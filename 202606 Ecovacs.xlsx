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\\SS-NAS01\Public\New Public\Promotion Team\DCH HA &amp; AV Product\Payroll\"/>
    </mc:Choice>
  </mc:AlternateContent>
  <xr:revisionPtr revIDLastSave="0" documentId="13_ncr:1_{01D952EA-187F-4171-8FC6-7730BB7CC249}" xr6:coauthVersionLast="47" xr6:coauthVersionMax="47" xr10:uidLastSave="{00000000-0000-0000-0000-000000000000}"/>
  <bookViews>
    <workbookView xWindow="-120" yWindow="-120" windowWidth="29040" windowHeight="15990" activeTab="3" xr2:uid="{6D89E862-A77D-4A96-A5F9-BDD8B3334A61}"/>
  </bookViews>
  <sheets>
    <sheet name="1-10" sheetId="6" r:id="rId1"/>
    <sheet name="11-20" sheetId="7" r:id="rId2"/>
    <sheet name="Roster" sheetId="1" r:id="rId3"/>
    <sheet name="Total" sheetId="5" r:id="rId4"/>
    <sheet name="工作表1" sheetId="8" r:id="rId5"/>
    <sheet name="Name List" sheetId="10" r:id="rId6"/>
  </sheets>
  <definedNames>
    <definedName name="_xlnm._FilterDatabase" localSheetId="5" hidden="1">'Name List'!$H$3:$I$3</definedName>
    <definedName name="_xlnm._FilterDatabase" localSheetId="3" hidden="1">Total!$A$7:$W$20</definedName>
    <definedName name="_xlnm.Print_Area" localSheetId="0">'1-10'!$A$1:$I$370</definedName>
    <definedName name="_xlnm.Print_Area" localSheetId="1">'11-20'!$A$1:$I$370</definedName>
    <definedName name="_xlnm.Print_Area" localSheetId="3">Total!#REF!</definedName>
  </definedNames>
  <calcPr calcId="191029"/>
  <pivotCaches>
    <pivotCache cacheId="12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5" l="1" a="1"/>
  <c r="G17" i="5" s="1"/>
  <c r="Q8" i="5"/>
  <c r="K11" i="5"/>
  <c r="O11" i="5"/>
  <c r="Q11" i="5"/>
  <c r="K14" i="5"/>
  <c r="O14" i="5"/>
  <c r="Q14" i="5"/>
  <c r="K16" i="5"/>
  <c r="O16" i="5"/>
  <c r="Q16" i="5"/>
  <c r="K18" i="5"/>
  <c r="O18" i="5"/>
  <c r="Q18" i="5"/>
  <c r="O8" i="5"/>
  <c r="K8" i="5"/>
  <c r="U9" i="5" l="1"/>
  <c r="V9" i="5" s="1"/>
  <c r="U10" i="5"/>
  <c r="V10" i="5" s="1"/>
  <c r="U11" i="5"/>
  <c r="V11" i="5" s="1"/>
  <c r="U12" i="5"/>
  <c r="V12" i="5" s="1"/>
  <c r="U13" i="5"/>
  <c r="V13" i="5" s="1"/>
  <c r="U14" i="5"/>
  <c r="V14" i="5" s="1"/>
  <c r="U15" i="5"/>
  <c r="V15" i="5" s="1"/>
  <c r="U16" i="5"/>
  <c r="V16" i="5" s="1"/>
  <c r="U17" i="5"/>
  <c r="V17" i="5" s="1"/>
  <c r="U18" i="5"/>
  <c r="V18" i="5" s="1"/>
  <c r="U8" i="5"/>
  <c r="V8" i="5" s="1"/>
  <c r="H18" i="5" a="1"/>
  <c r="H18" i="5" s="1"/>
  <c r="I18" i="5"/>
  <c r="H14" i="5" a="1"/>
  <c r="H14" i="5" s="1"/>
  <c r="I14" i="5"/>
  <c r="H15" i="5" a="1"/>
  <c r="H15" i="5" s="1"/>
  <c r="I15" i="5"/>
  <c r="H16" i="5" a="1"/>
  <c r="H16" i="5" s="1"/>
  <c r="I16" i="5"/>
  <c r="H17" i="5" a="1"/>
  <c r="H17" i="5" s="1"/>
  <c r="I17" i="5"/>
  <c r="W18" i="5" l="1"/>
  <c r="A2" i="5"/>
  <c r="B75" i="8" l="1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B643" i="8"/>
  <c r="B644" i="8"/>
  <c r="B645" i="8"/>
  <c r="B646" i="8"/>
  <c r="B647" i="8"/>
  <c r="B648" i="8"/>
  <c r="B649" i="8"/>
  <c r="B650" i="8"/>
  <c r="B651" i="8"/>
  <c r="B652" i="8"/>
  <c r="B653" i="8"/>
  <c r="B654" i="8"/>
  <c r="B655" i="8"/>
  <c r="B656" i="8"/>
  <c r="B657" i="8"/>
  <c r="B658" i="8"/>
  <c r="B659" i="8"/>
  <c r="B660" i="8"/>
  <c r="B661" i="8"/>
  <c r="B662" i="8"/>
  <c r="B663" i="8"/>
  <c r="B664" i="8"/>
  <c r="B665" i="8"/>
  <c r="B666" i="8"/>
  <c r="B667" i="8"/>
  <c r="B668" i="8"/>
  <c r="B669" i="8"/>
  <c r="B670" i="8"/>
  <c r="B671" i="8"/>
  <c r="B672" i="8"/>
  <c r="B673" i="8"/>
  <c r="B674" i="8"/>
  <c r="B675" i="8"/>
  <c r="B676" i="8"/>
  <c r="B677" i="8"/>
  <c r="B678" i="8"/>
  <c r="B679" i="8"/>
  <c r="B680" i="8"/>
  <c r="B681" i="8"/>
  <c r="B682" i="8"/>
  <c r="B683" i="8"/>
  <c r="B684" i="8"/>
  <c r="B685" i="8"/>
  <c r="B686" i="8"/>
  <c r="B687" i="8"/>
  <c r="B688" i="8"/>
  <c r="B689" i="8"/>
  <c r="B690" i="8"/>
  <c r="B691" i="8"/>
  <c r="B692" i="8"/>
  <c r="B693" i="8"/>
  <c r="B694" i="8"/>
  <c r="B695" i="8"/>
  <c r="B696" i="8"/>
  <c r="B697" i="8"/>
  <c r="B698" i="8"/>
  <c r="B699" i="8"/>
  <c r="B700" i="8"/>
  <c r="B701" i="8"/>
  <c r="B702" i="8"/>
  <c r="B703" i="8"/>
  <c r="B704" i="8"/>
  <c r="B705" i="8"/>
  <c r="B706" i="8"/>
  <c r="B707" i="8"/>
  <c r="B708" i="8"/>
  <c r="B709" i="8"/>
  <c r="B710" i="8"/>
  <c r="B711" i="8"/>
  <c r="B712" i="8"/>
  <c r="B713" i="8"/>
  <c r="B714" i="8"/>
  <c r="B715" i="8"/>
  <c r="B716" i="8"/>
  <c r="B717" i="8"/>
  <c r="B718" i="8"/>
  <c r="B719" i="8"/>
  <c r="B720" i="8"/>
  <c r="B721" i="8"/>
  <c r="B722" i="8"/>
  <c r="B723" i="8"/>
  <c r="B724" i="8"/>
  <c r="B725" i="8"/>
  <c r="B726" i="8"/>
  <c r="B727" i="8"/>
  <c r="B728" i="8"/>
  <c r="B729" i="8"/>
  <c r="B730" i="8"/>
  <c r="B731" i="8"/>
  <c r="B732" i="8"/>
  <c r="B733" i="8"/>
  <c r="B734" i="8"/>
  <c r="B735" i="8"/>
  <c r="B736" i="8"/>
  <c r="B737" i="8"/>
  <c r="B738" i="8"/>
  <c r="B739" i="8"/>
  <c r="B740" i="8"/>
  <c r="B741" i="8"/>
  <c r="B742" i="8"/>
  <c r="B743" i="8"/>
  <c r="B744" i="8"/>
  <c r="B745" i="8"/>
  <c r="B746" i="8"/>
  <c r="B747" i="8"/>
  <c r="B748" i="8"/>
  <c r="B749" i="8"/>
  <c r="B750" i="8"/>
  <c r="B751" i="8"/>
  <c r="B752" i="8"/>
  <c r="B753" i="8"/>
  <c r="B754" i="8"/>
  <c r="B755" i="8"/>
  <c r="B756" i="8"/>
  <c r="B757" i="8"/>
  <c r="B758" i="8"/>
  <c r="B759" i="8"/>
  <c r="B760" i="8"/>
  <c r="B761" i="8"/>
  <c r="B762" i="8"/>
  <c r="B763" i="8"/>
  <c r="B764" i="8"/>
  <c r="B765" i="8"/>
  <c r="B766" i="8"/>
  <c r="B767" i="8"/>
  <c r="B768" i="8"/>
  <c r="B769" i="8"/>
  <c r="B770" i="8"/>
  <c r="B771" i="8"/>
  <c r="B772" i="8"/>
  <c r="B773" i="8"/>
  <c r="B774" i="8"/>
  <c r="B775" i="8"/>
  <c r="B776" i="8"/>
  <c r="B777" i="8"/>
  <c r="B778" i="8"/>
  <c r="B779" i="8"/>
  <c r="B780" i="8"/>
  <c r="B781" i="8"/>
  <c r="B782" i="8"/>
  <c r="B783" i="8"/>
  <c r="B784" i="8"/>
  <c r="B785" i="8"/>
  <c r="B786" i="8"/>
  <c r="B787" i="8"/>
  <c r="B788" i="8"/>
  <c r="B789" i="8"/>
  <c r="B790" i="8"/>
  <c r="B791" i="8"/>
  <c r="B792" i="8"/>
  <c r="B793" i="8"/>
  <c r="B794" i="8"/>
  <c r="B795" i="8"/>
  <c r="B796" i="8"/>
  <c r="B797" i="8"/>
  <c r="B798" i="8"/>
  <c r="B799" i="8"/>
  <c r="B800" i="8"/>
  <c r="B801" i="8"/>
  <c r="B802" i="8"/>
  <c r="B803" i="8"/>
  <c r="B804" i="8"/>
  <c r="B805" i="8"/>
  <c r="B806" i="8"/>
  <c r="B807" i="8"/>
  <c r="B808" i="8"/>
  <c r="B809" i="8"/>
  <c r="B810" i="8"/>
  <c r="B811" i="8"/>
  <c r="B812" i="8"/>
  <c r="B813" i="8"/>
  <c r="B814" i="8"/>
  <c r="B815" i="8"/>
  <c r="B816" i="8"/>
  <c r="B817" i="8"/>
  <c r="B818" i="8"/>
  <c r="B819" i="8"/>
  <c r="B820" i="8"/>
  <c r="B821" i="8"/>
  <c r="B822" i="8"/>
  <c r="B823" i="8"/>
  <c r="B824" i="8"/>
  <c r="B825" i="8"/>
  <c r="B826" i="8"/>
  <c r="B827" i="8"/>
  <c r="B828" i="8"/>
  <c r="B829" i="8"/>
  <c r="B830" i="8"/>
  <c r="B831" i="8"/>
  <c r="B832" i="8"/>
  <c r="B833" i="8"/>
  <c r="B834" i="8"/>
  <c r="B835" i="8"/>
  <c r="B836" i="8"/>
  <c r="B837" i="8"/>
  <c r="B838" i="8"/>
  <c r="B839" i="8"/>
  <c r="B840" i="8"/>
  <c r="B841" i="8"/>
  <c r="B842" i="8"/>
  <c r="B843" i="8"/>
  <c r="B844" i="8"/>
  <c r="B845" i="8"/>
  <c r="B846" i="8"/>
  <c r="B847" i="8"/>
  <c r="B848" i="8"/>
  <c r="B849" i="8"/>
  <c r="B850" i="8"/>
  <c r="B851" i="8"/>
  <c r="B852" i="8"/>
  <c r="B853" i="8"/>
  <c r="B854" i="8"/>
  <c r="B855" i="8"/>
  <c r="B856" i="8"/>
  <c r="B857" i="8"/>
  <c r="B858" i="8"/>
  <c r="B859" i="8"/>
  <c r="B860" i="8"/>
  <c r="B861" i="8"/>
  <c r="B862" i="8"/>
  <c r="B863" i="8"/>
  <c r="B864" i="8"/>
  <c r="B865" i="8"/>
  <c r="B866" i="8"/>
  <c r="B867" i="8"/>
  <c r="B868" i="8"/>
  <c r="B869" i="8"/>
  <c r="B870" i="8"/>
  <c r="B871" i="8"/>
  <c r="B872" i="8"/>
  <c r="B873" i="8"/>
  <c r="B874" i="8"/>
  <c r="B875" i="8"/>
  <c r="B876" i="8"/>
  <c r="B877" i="8"/>
  <c r="B878" i="8"/>
  <c r="B879" i="8"/>
  <c r="B880" i="8"/>
  <c r="B881" i="8"/>
  <c r="B882" i="8"/>
  <c r="B883" i="8"/>
  <c r="B884" i="8"/>
  <c r="B885" i="8"/>
  <c r="B886" i="8"/>
  <c r="B887" i="8"/>
  <c r="B888" i="8"/>
  <c r="B889" i="8"/>
  <c r="B890" i="8"/>
  <c r="B891" i="8"/>
  <c r="B892" i="8"/>
  <c r="B893" i="8"/>
  <c r="B894" i="8"/>
  <c r="B895" i="8"/>
  <c r="B896" i="8"/>
  <c r="B897" i="8"/>
  <c r="B898" i="8"/>
  <c r="B899" i="8"/>
  <c r="B900" i="8"/>
  <c r="B901" i="8"/>
  <c r="B902" i="8"/>
  <c r="B903" i="8"/>
  <c r="B904" i="8"/>
  <c r="B905" i="8"/>
  <c r="B906" i="8"/>
  <c r="B907" i="8"/>
  <c r="B908" i="8"/>
  <c r="B909" i="8"/>
  <c r="B910" i="8"/>
  <c r="B911" i="8"/>
  <c r="B912" i="8"/>
  <c r="B913" i="8"/>
  <c r="B914" i="8"/>
  <c r="B915" i="8"/>
  <c r="B916" i="8"/>
  <c r="B917" i="8"/>
  <c r="B918" i="8"/>
  <c r="B919" i="8"/>
  <c r="B920" i="8"/>
  <c r="B921" i="8"/>
  <c r="B922" i="8"/>
  <c r="B923" i="8"/>
  <c r="B924" i="8"/>
  <c r="B925" i="8"/>
  <c r="B926" i="8"/>
  <c r="B927" i="8"/>
  <c r="B928" i="8"/>
  <c r="B929" i="8"/>
  <c r="B930" i="8"/>
  <c r="B931" i="8"/>
  <c r="B932" i="8"/>
  <c r="B933" i="8"/>
  <c r="B934" i="8"/>
  <c r="B935" i="8"/>
  <c r="B936" i="8"/>
  <c r="B937" i="8"/>
  <c r="B938" i="8"/>
  <c r="B939" i="8"/>
  <c r="B940" i="8"/>
  <c r="B941" i="8"/>
  <c r="B942" i="8"/>
  <c r="B943" i="8"/>
  <c r="B944" i="8"/>
  <c r="B945" i="8"/>
  <c r="B946" i="8"/>
  <c r="B947" i="8"/>
  <c r="B948" i="8"/>
  <c r="B949" i="8"/>
  <c r="B950" i="8"/>
  <c r="B951" i="8"/>
  <c r="B952" i="8"/>
  <c r="B953" i="8"/>
  <c r="B954" i="8"/>
  <c r="B955" i="8"/>
  <c r="B956" i="8"/>
  <c r="B957" i="8"/>
  <c r="B958" i="8"/>
  <c r="B959" i="8"/>
  <c r="B960" i="8"/>
  <c r="B961" i="8"/>
  <c r="B962" i="8"/>
  <c r="B963" i="8"/>
  <c r="B964" i="8"/>
  <c r="B965" i="8"/>
  <c r="B966" i="8"/>
  <c r="B967" i="8"/>
  <c r="B968" i="8"/>
  <c r="B969" i="8"/>
  <c r="B970" i="8"/>
  <c r="B971" i="8"/>
  <c r="B972" i="8"/>
  <c r="B973" i="8"/>
  <c r="B974" i="8"/>
  <c r="B975" i="8"/>
  <c r="B976" i="8"/>
  <c r="B977" i="8"/>
  <c r="B978" i="8"/>
  <c r="B979" i="8"/>
  <c r="B980" i="8"/>
  <c r="B981" i="8"/>
  <c r="B982" i="8"/>
  <c r="B983" i="8"/>
  <c r="B984" i="8"/>
  <c r="B985" i="8"/>
  <c r="B986" i="8"/>
  <c r="B987" i="8"/>
  <c r="B988" i="8"/>
  <c r="B989" i="8"/>
  <c r="B990" i="8"/>
  <c r="B991" i="8"/>
  <c r="B992" i="8"/>
  <c r="B993" i="8"/>
  <c r="B994" i="8"/>
  <c r="B995" i="8"/>
  <c r="B996" i="8"/>
  <c r="B997" i="8"/>
  <c r="B998" i="8"/>
  <c r="B999" i="8"/>
  <c r="B1000" i="8"/>
  <c r="B1001" i="8"/>
  <c r="B1002" i="8"/>
  <c r="B1003" i="8"/>
  <c r="B1004" i="8"/>
  <c r="B1005" i="8"/>
  <c r="B1006" i="8"/>
  <c r="B1007" i="8"/>
  <c r="B1008" i="8"/>
  <c r="B1009" i="8"/>
  <c r="B1010" i="8"/>
  <c r="B1011" i="8"/>
  <c r="B1012" i="8"/>
  <c r="B1013" i="8"/>
  <c r="B1014" i="8"/>
  <c r="B1015" i="8"/>
  <c r="B1016" i="8"/>
  <c r="B1017" i="8"/>
  <c r="B1018" i="8"/>
  <c r="B1019" i="8"/>
  <c r="B1020" i="8"/>
  <c r="B1021" i="8"/>
  <c r="B1022" i="8"/>
  <c r="B1023" i="8"/>
  <c r="B1024" i="8"/>
  <c r="B1025" i="8"/>
  <c r="B1026" i="8"/>
  <c r="B1027" i="8"/>
  <c r="B1028" i="8"/>
  <c r="B1029" i="8"/>
  <c r="B1030" i="8"/>
  <c r="B1031" i="8"/>
  <c r="B1032" i="8"/>
  <c r="B1033" i="8"/>
  <c r="B1034" i="8"/>
  <c r="B1035" i="8"/>
  <c r="B1036" i="8"/>
  <c r="B1037" i="8"/>
  <c r="B1038" i="8"/>
  <c r="B1039" i="8"/>
  <c r="B1040" i="8"/>
  <c r="B1041" i="8"/>
  <c r="B1042" i="8"/>
  <c r="B1043" i="8"/>
  <c r="B1044" i="8"/>
  <c r="B1045" i="8"/>
  <c r="B1046" i="8"/>
  <c r="B1047" i="8"/>
  <c r="B1048" i="8"/>
  <c r="B1049" i="8"/>
  <c r="B1050" i="8"/>
  <c r="B1051" i="8"/>
  <c r="B1052" i="8"/>
  <c r="B1053" i="8"/>
  <c r="B1054" i="8"/>
  <c r="B1055" i="8"/>
  <c r="B1056" i="8"/>
  <c r="B1057" i="8"/>
  <c r="B1058" i="8"/>
  <c r="B1059" i="8"/>
  <c r="B1060" i="8"/>
  <c r="B1061" i="8"/>
  <c r="B1062" i="8"/>
  <c r="B1063" i="8"/>
  <c r="B1064" i="8"/>
  <c r="B1065" i="8"/>
  <c r="B1066" i="8"/>
  <c r="B1067" i="8"/>
  <c r="B1068" i="8"/>
  <c r="B1069" i="8"/>
  <c r="B1070" i="8"/>
  <c r="B1071" i="8"/>
  <c r="B1072" i="8"/>
  <c r="B1073" i="8"/>
  <c r="B1074" i="8"/>
  <c r="B1075" i="8"/>
  <c r="B1076" i="8"/>
  <c r="B1077" i="8"/>
  <c r="B1078" i="8"/>
  <c r="B1079" i="8"/>
  <c r="B1080" i="8"/>
  <c r="B1081" i="8"/>
  <c r="B1082" i="8"/>
  <c r="B1083" i="8"/>
  <c r="B1084" i="8"/>
  <c r="B1085" i="8"/>
  <c r="B1086" i="8"/>
  <c r="B1087" i="8"/>
  <c r="B1088" i="8"/>
  <c r="B1089" i="8"/>
  <c r="B1090" i="8"/>
  <c r="B1091" i="8"/>
  <c r="B1092" i="8"/>
  <c r="B1093" i="8"/>
  <c r="B1094" i="8"/>
  <c r="B1095" i="8"/>
  <c r="B1096" i="8"/>
  <c r="B1097" i="8"/>
  <c r="B1098" i="8"/>
  <c r="B1099" i="8"/>
  <c r="B1100" i="8"/>
  <c r="B1101" i="8"/>
  <c r="B1102" i="8"/>
  <c r="B1103" i="8"/>
  <c r="B1104" i="8"/>
  <c r="B1105" i="8"/>
  <c r="B1106" i="8"/>
  <c r="B1107" i="8"/>
  <c r="B1108" i="8"/>
  <c r="B1109" i="8"/>
  <c r="B1110" i="8"/>
  <c r="B1111" i="8"/>
  <c r="B1112" i="8"/>
  <c r="B1113" i="8"/>
  <c r="B1114" i="8"/>
  <c r="B1115" i="8"/>
  <c r="B1116" i="8"/>
  <c r="B1117" i="8"/>
  <c r="B1118" i="8"/>
  <c r="B1119" i="8"/>
  <c r="B1120" i="8"/>
  <c r="B1121" i="8"/>
  <c r="B1122" i="8"/>
  <c r="B1123" i="8"/>
  <c r="B1124" i="8"/>
  <c r="B1125" i="8"/>
  <c r="B1126" i="8"/>
  <c r="B1127" i="8"/>
  <c r="B1128" i="8"/>
  <c r="B1129" i="8"/>
  <c r="B1130" i="8"/>
  <c r="B1131" i="8"/>
  <c r="B1132" i="8"/>
  <c r="B1133" i="8"/>
  <c r="B1134" i="8"/>
  <c r="B1135" i="8"/>
  <c r="B1136" i="8"/>
  <c r="B1137" i="8"/>
  <c r="B1138" i="8"/>
  <c r="B1139" i="8"/>
  <c r="B1140" i="8"/>
  <c r="B1141" i="8"/>
  <c r="B1142" i="8"/>
  <c r="B1143" i="8"/>
  <c r="B1144" i="8"/>
  <c r="B1145" i="8"/>
  <c r="B1146" i="8"/>
  <c r="B1147" i="8"/>
  <c r="B1148" i="8"/>
  <c r="B1149" i="8"/>
  <c r="B1150" i="8"/>
  <c r="B1151" i="8"/>
  <c r="B1152" i="8"/>
  <c r="B1153" i="8"/>
  <c r="B1154" i="8"/>
  <c r="B1155" i="8"/>
  <c r="B1156" i="8"/>
  <c r="B1157" i="8"/>
  <c r="B1158" i="8"/>
  <c r="B1159" i="8"/>
  <c r="B1160" i="8"/>
  <c r="B1161" i="8"/>
  <c r="B1162" i="8"/>
  <c r="B1163" i="8"/>
  <c r="B1164" i="8"/>
  <c r="B1165" i="8"/>
  <c r="B1166" i="8"/>
  <c r="B1167" i="8"/>
  <c r="B1168" i="8"/>
  <c r="B1169" i="8"/>
  <c r="B1170" i="8"/>
  <c r="B1171" i="8"/>
  <c r="B1172" i="8"/>
  <c r="B1173" i="8"/>
  <c r="B1174" i="8"/>
  <c r="B1175" i="8"/>
  <c r="B1176" i="8"/>
  <c r="B1177" i="8"/>
  <c r="B1178" i="8"/>
  <c r="B1179" i="8"/>
  <c r="B1180" i="8"/>
  <c r="B1181" i="8"/>
  <c r="B1182" i="8"/>
  <c r="B1183" i="8"/>
  <c r="B1184" i="8"/>
  <c r="B1185" i="8"/>
  <c r="B1186" i="8"/>
  <c r="B1187" i="8"/>
  <c r="B1188" i="8"/>
  <c r="B1189" i="8"/>
  <c r="B1190" i="8"/>
  <c r="B1191" i="8"/>
  <c r="B1192" i="8"/>
  <c r="B1193" i="8"/>
  <c r="B1194" i="8"/>
  <c r="B1195" i="8"/>
  <c r="B1196" i="8"/>
  <c r="B1197" i="8"/>
  <c r="B1198" i="8"/>
  <c r="B1199" i="8"/>
  <c r="B1200" i="8"/>
  <c r="B1201" i="8"/>
  <c r="B1202" i="8"/>
  <c r="B1203" i="8"/>
  <c r="B1204" i="8"/>
  <c r="B1205" i="8"/>
  <c r="B1206" i="8"/>
  <c r="B1207" i="8"/>
  <c r="B1208" i="8"/>
  <c r="B1209" i="8"/>
  <c r="B1210" i="8"/>
  <c r="B1211" i="8"/>
  <c r="B1212" i="8"/>
  <c r="B1213" i="8"/>
  <c r="B1214" i="8"/>
  <c r="B1215" i="8"/>
  <c r="B1216" i="8"/>
  <c r="B1217" i="8"/>
  <c r="B1218" i="8"/>
  <c r="B1219" i="8"/>
  <c r="B1220" i="8"/>
  <c r="B1221" i="8"/>
  <c r="B1222" i="8"/>
  <c r="B1223" i="8"/>
  <c r="B1224" i="8"/>
  <c r="B1225" i="8"/>
  <c r="B1226" i="8"/>
  <c r="B1227" i="8"/>
  <c r="B1228" i="8"/>
  <c r="B1229" i="8"/>
  <c r="B1230" i="8"/>
  <c r="B1231" i="8"/>
  <c r="B1232" i="8"/>
  <c r="B1233" i="8"/>
  <c r="B1234" i="8"/>
  <c r="B1235" i="8"/>
  <c r="B1236" i="8"/>
  <c r="B1237" i="8"/>
  <c r="B1238" i="8"/>
  <c r="B1239" i="8"/>
  <c r="B1240" i="8"/>
  <c r="B1241" i="8"/>
  <c r="B1242" i="8"/>
  <c r="B1243" i="8"/>
  <c r="B1244" i="8"/>
  <c r="B1245" i="8"/>
  <c r="B1246" i="8"/>
  <c r="B1247" i="8"/>
  <c r="B1248" i="8"/>
  <c r="B1249" i="8"/>
  <c r="B1250" i="8"/>
  <c r="B1251" i="8"/>
  <c r="B1252" i="8"/>
  <c r="B1253" i="8"/>
  <c r="B1254" i="8"/>
  <c r="B1255" i="8"/>
  <c r="B1256" i="8"/>
  <c r="B1257" i="8"/>
  <c r="B1258" i="8"/>
  <c r="B1259" i="8"/>
  <c r="B1260" i="8"/>
  <c r="B1261" i="8"/>
  <c r="B1262" i="8"/>
  <c r="B1263" i="8"/>
  <c r="B1264" i="8"/>
  <c r="B1265" i="8"/>
  <c r="B1266" i="8"/>
  <c r="B1267" i="8"/>
  <c r="B1268" i="8"/>
  <c r="B1269" i="8"/>
  <c r="B1270" i="8"/>
  <c r="B1271" i="8"/>
  <c r="B1272" i="8"/>
  <c r="B1273" i="8"/>
  <c r="B1274" i="8"/>
  <c r="B1275" i="8"/>
  <c r="B1276" i="8"/>
  <c r="B1277" i="8"/>
  <c r="B1278" i="8"/>
  <c r="B1279" i="8"/>
  <c r="B1280" i="8"/>
  <c r="B1281" i="8"/>
  <c r="B1282" i="8"/>
  <c r="B1283" i="8"/>
  <c r="B1284" i="8"/>
  <c r="B1285" i="8"/>
  <c r="B1286" i="8"/>
  <c r="B1287" i="8"/>
  <c r="B1288" i="8"/>
  <c r="B1289" i="8"/>
  <c r="B1290" i="8"/>
  <c r="B1291" i="8"/>
  <c r="B1292" i="8"/>
  <c r="B1293" i="8"/>
  <c r="B1294" i="8"/>
  <c r="B1295" i="8"/>
  <c r="B1296" i="8"/>
  <c r="B1297" i="8"/>
  <c r="B1298" i="8"/>
  <c r="B1299" i="8"/>
  <c r="B1300" i="8"/>
  <c r="B1301" i="8"/>
  <c r="B1302" i="8"/>
  <c r="B1303" i="8"/>
  <c r="B1304" i="8"/>
  <c r="B1305" i="8"/>
  <c r="B1306" i="8"/>
  <c r="B1307" i="8"/>
  <c r="B1308" i="8"/>
  <c r="B1309" i="8"/>
  <c r="B1310" i="8"/>
  <c r="B1311" i="8"/>
  <c r="B1312" i="8"/>
  <c r="B1313" i="8"/>
  <c r="B1314" i="8"/>
  <c r="B1315" i="8"/>
  <c r="B1316" i="8"/>
  <c r="B1317" i="8"/>
  <c r="B1318" i="8"/>
  <c r="B1319" i="8"/>
  <c r="B1320" i="8"/>
  <c r="B1321" i="8"/>
  <c r="B1322" i="8"/>
  <c r="B1323" i="8"/>
  <c r="B1324" i="8"/>
  <c r="B1325" i="8"/>
  <c r="B1326" i="8"/>
  <c r="B1327" i="8"/>
  <c r="B1328" i="8"/>
  <c r="B1329" i="8"/>
  <c r="B1330" i="8"/>
  <c r="B1331" i="8"/>
  <c r="B1332" i="8"/>
  <c r="B1333" i="8"/>
  <c r="B1334" i="8"/>
  <c r="B1335" i="8"/>
  <c r="B1336" i="8"/>
  <c r="B1337" i="8"/>
  <c r="B1338" i="8"/>
  <c r="B1339" i="8"/>
  <c r="B1340" i="8"/>
  <c r="B1341" i="8"/>
  <c r="B1342" i="8"/>
  <c r="B1343" i="8"/>
  <c r="B1344" i="8"/>
  <c r="B1345" i="8"/>
  <c r="B1346" i="8"/>
  <c r="B1347" i="8"/>
  <c r="B1348" i="8"/>
  <c r="B1349" i="8"/>
  <c r="B1350" i="8"/>
  <c r="B1351" i="8"/>
  <c r="B1352" i="8"/>
  <c r="B1353" i="8"/>
  <c r="B1354" i="8"/>
  <c r="B1355" i="8"/>
  <c r="B1356" i="8"/>
  <c r="B1357" i="8"/>
  <c r="B1358" i="8"/>
  <c r="B1359" i="8"/>
  <c r="B1360" i="8"/>
  <c r="B1361" i="8"/>
  <c r="B1362" i="8"/>
  <c r="B1363" i="8"/>
  <c r="B1364" i="8"/>
  <c r="B1365" i="8"/>
  <c r="B1366" i="8"/>
  <c r="B1367" i="8"/>
  <c r="B1368" i="8"/>
  <c r="B1369" i="8"/>
  <c r="B1370" i="8"/>
  <c r="B1371" i="8"/>
  <c r="B1372" i="8"/>
  <c r="B1373" i="8"/>
  <c r="B1374" i="8"/>
  <c r="B1375" i="8"/>
  <c r="B1376" i="8"/>
  <c r="B1377" i="8"/>
  <c r="B1378" i="8"/>
  <c r="B1379" i="8"/>
  <c r="B1380" i="8"/>
  <c r="B1381" i="8"/>
  <c r="B1382" i="8"/>
  <c r="B1383" i="8"/>
  <c r="B1384" i="8"/>
  <c r="B1385" i="8"/>
  <c r="B1386" i="8"/>
  <c r="B1387" i="8"/>
  <c r="B1388" i="8"/>
  <c r="B1389" i="8"/>
  <c r="B1390" i="8"/>
  <c r="B1391" i="8"/>
  <c r="B1392" i="8"/>
  <c r="B1393" i="8"/>
  <c r="B1394" i="8"/>
  <c r="B1395" i="8"/>
  <c r="B1396" i="8"/>
  <c r="B1397" i="8"/>
  <c r="B1398" i="8"/>
  <c r="B1399" i="8"/>
  <c r="B1400" i="8"/>
  <c r="B1401" i="8"/>
  <c r="B1402" i="8"/>
  <c r="B1403" i="8"/>
  <c r="B1404" i="8"/>
  <c r="B1405" i="8"/>
  <c r="B1406" i="8"/>
  <c r="B1407" i="8"/>
  <c r="B1408" i="8"/>
  <c r="B1409" i="8"/>
  <c r="B1410" i="8"/>
  <c r="B1411" i="8"/>
  <c r="B1412" i="8"/>
  <c r="B1413" i="8"/>
  <c r="B1414" i="8"/>
  <c r="B1415" i="8"/>
  <c r="B1416" i="8"/>
  <c r="B1417" i="8"/>
  <c r="B1418" i="8"/>
  <c r="B1419" i="8"/>
  <c r="B1420" i="8"/>
  <c r="B1421" i="8"/>
  <c r="B1422" i="8"/>
  <c r="B1423" i="8"/>
  <c r="B1424" i="8"/>
  <c r="B1425" i="8"/>
  <c r="B1426" i="8"/>
  <c r="B1427" i="8"/>
  <c r="B1428" i="8"/>
  <c r="B1429" i="8"/>
  <c r="B1430" i="8"/>
  <c r="B1431" i="8"/>
  <c r="B1432" i="8"/>
  <c r="B1433" i="8"/>
  <c r="B1434" i="8"/>
  <c r="B1435" i="8"/>
  <c r="B1436" i="8"/>
  <c r="B1437" i="8"/>
  <c r="B1438" i="8"/>
  <c r="B1439" i="8"/>
  <c r="B1440" i="8"/>
  <c r="B1441" i="8"/>
  <c r="B1442" i="8"/>
  <c r="B1443" i="8"/>
  <c r="B1444" i="8"/>
  <c r="B1445" i="8"/>
  <c r="B1446" i="8"/>
  <c r="B1447" i="8"/>
  <c r="B1448" i="8"/>
  <c r="B1449" i="8"/>
  <c r="B1450" i="8"/>
  <c r="B1451" i="8"/>
  <c r="B1452" i="8"/>
  <c r="B1453" i="8"/>
  <c r="B1454" i="8"/>
  <c r="B1455" i="8"/>
  <c r="B1456" i="8"/>
  <c r="B1457" i="8"/>
  <c r="B1458" i="8"/>
  <c r="B1459" i="8"/>
  <c r="B1460" i="8"/>
  <c r="B1461" i="8"/>
  <c r="B1462" i="8"/>
  <c r="B1463" i="8"/>
  <c r="B1464" i="8"/>
  <c r="B1465" i="8"/>
  <c r="B1466" i="8"/>
  <c r="B1467" i="8"/>
  <c r="B1468" i="8"/>
  <c r="B1469" i="8"/>
  <c r="B1470" i="8"/>
  <c r="B1471" i="8"/>
  <c r="B1472" i="8"/>
  <c r="B1473" i="8"/>
  <c r="B1474" i="8"/>
  <c r="B1475" i="8"/>
  <c r="B1476" i="8"/>
  <c r="B1477" i="8"/>
  <c r="B1478" i="8"/>
  <c r="B1479" i="8"/>
  <c r="B1480" i="8"/>
  <c r="B1481" i="8"/>
  <c r="B1482" i="8"/>
  <c r="B1483" i="8"/>
  <c r="B1484" i="8"/>
  <c r="B1485" i="8"/>
  <c r="B1486" i="8"/>
  <c r="B1487" i="8"/>
  <c r="B1488" i="8"/>
  <c r="B1489" i="8"/>
  <c r="B1490" i="8"/>
  <c r="B1491" i="8"/>
  <c r="B1492" i="8"/>
  <c r="B1493" i="8"/>
  <c r="B1494" i="8"/>
  <c r="B1495" i="8"/>
  <c r="B1496" i="8"/>
  <c r="B1497" i="8"/>
  <c r="B1498" i="8"/>
  <c r="B1499" i="8"/>
  <c r="B1500" i="8"/>
  <c r="B1501" i="8"/>
  <c r="B1502" i="8"/>
  <c r="B1503" i="8"/>
  <c r="B1504" i="8"/>
  <c r="B1505" i="8"/>
  <c r="B1506" i="8"/>
  <c r="B1507" i="8"/>
  <c r="B1508" i="8"/>
  <c r="B1509" i="8"/>
  <c r="B1510" i="8"/>
  <c r="B1511" i="8"/>
  <c r="B1512" i="8"/>
  <c r="B1513" i="8"/>
  <c r="B1514" i="8"/>
  <c r="B1515" i="8"/>
  <c r="B1516" i="8"/>
  <c r="B1517" i="8"/>
  <c r="B1518" i="8"/>
  <c r="B1519" i="8"/>
  <c r="B1520" i="8"/>
  <c r="B1521" i="8"/>
  <c r="B1522" i="8"/>
  <c r="B1523" i="8"/>
  <c r="B1524" i="8"/>
  <c r="B1525" i="8"/>
  <c r="B1526" i="8"/>
  <c r="B1527" i="8"/>
  <c r="B1528" i="8"/>
  <c r="B1529" i="8"/>
  <c r="B1530" i="8"/>
  <c r="B1531" i="8"/>
  <c r="B1532" i="8"/>
  <c r="B1533" i="8"/>
  <c r="B1534" i="8"/>
  <c r="B1535" i="8"/>
  <c r="B1536" i="8"/>
  <c r="B1537" i="8"/>
  <c r="B1538" i="8"/>
  <c r="B1539" i="8"/>
  <c r="B1540" i="8"/>
  <c r="B1541" i="8"/>
  <c r="B1542" i="8"/>
  <c r="B1543" i="8"/>
  <c r="B1544" i="8"/>
  <c r="B1545" i="8"/>
  <c r="B1546" i="8"/>
  <c r="B1547" i="8"/>
  <c r="B1548" i="8"/>
  <c r="B1549" i="8"/>
  <c r="B1550" i="8"/>
  <c r="B1551" i="8"/>
  <c r="B1552" i="8"/>
  <c r="B1553" i="8"/>
  <c r="B1554" i="8"/>
  <c r="B1555" i="8"/>
  <c r="B1556" i="8"/>
  <c r="B1557" i="8"/>
  <c r="B1558" i="8"/>
  <c r="B1559" i="8"/>
  <c r="B1560" i="8"/>
  <c r="B1561" i="8"/>
  <c r="B1562" i="8"/>
  <c r="B1563" i="8"/>
  <c r="B1564" i="8"/>
  <c r="B1565" i="8"/>
  <c r="B1566" i="8"/>
  <c r="B1567" i="8"/>
  <c r="B1568" i="8"/>
  <c r="B1569" i="8"/>
  <c r="B1570" i="8"/>
  <c r="B1571" i="8"/>
  <c r="B1572" i="8"/>
  <c r="B1573" i="8"/>
  <c r="B1574" i="8"/>
  <c r="B1575" i="8"/>
  <c r="B1576" i="8"/>
  <c r="B1577" i="8"/>
  <c r="B1578" i="8"/>
  <c r="B1579" i="8"/>
  <c r="B1580" i="8"/>
  <c r="B1581" i="8"/>
  <c r="B1582" i="8"/>
  <c r="B1583" i="8"/>
  <c r="B1584" i="8"/>
  <c r="B1585" i="8"/>
  <c r="B1586" i="8"/>
  <c r="B1587" i="8"/>
  <c r="B1588" i="8"/>
  <c r="B1589" i="8"/>
  <c r="B1590" i="8"/>
  <c r="B1591" i="8"/>
  <c r="B1592" i="8"/>
  <c r="B1593" i="8"/>
  <c r="B1594" i="8"/>
  <c r="B1595" i="8"/>
  <c r="B1596" i="8"/>
  <c r="B1597" i="8"/>
  <c r="B1598" i="8"/>
  <c r="B1599" i="8"/>
  <c r="B1600" i="8"/>
  <c r="B1601" i="8"/>
  <c r="B1602" i="8"/>
  <c r="B1603" i="8"/>
  <c r="B1604" i="8"/>
  <c r="B1605" i="8"/>
  <c r="B1606" i="8"/>
  <c r="B1607" i="8"/>
  <c r="B1608" i="8"/>
  <c r="B1609" i="8"/>
  <c r="B1610" i="8"/>
  <c r="B1611" i="8"/>
  <c r="B1612" i="8"/>
  <c r="B1613" i="8"/>
  <c r="B1614" i="8"/>
  <c r="B1615" i="8"/>
  <c r="B1616" i="8"/>
  <c r="B1617" i="8"/>
  <c r="B1618" i="8"/>
  <c r="B1619" i="8"/>
  <c r="B1620" i="8"/>
  <c r="B1621" i="8"/>
  <c r="B1622" i="8"/>
  <c r="B1623" i="8"/>
  <c r="B1624" i="8"/>
  <c r="B1625" i="8"/>
  <c r="B1626" i="8"/>
  <c r="B1627" i="8"/>
  <c r="B1628" i="8"/>
  <c r="B1629" i="8"/>
  <c r="B1630" i="8"/>
  <c r="B1631" i="8"/>
  <c r="B1632" i="8"/>
  <c r="B1633" i="8"/>
  <c r="B1634" i="8"/>
  <c r="B1635" i="8"/>
  <c r="B1636" i="8"/>
  <c r="B1637" i="8"/>
  <c r="B1638" i="8"/>
  <c r="B1639" i="8"/>
  <c r="B1640" i="8"/>
  <c r="B1641" i="8"/>
  <c r="B1642" i="8"/>
  <c r="B1643" i="8"/>
  <c r="B1644" i="8"/>
  <c r="B1645" i="8"/>
  <c r="B1646" i="8"/>
  <c r="B1647" i="8"/>
  <c r="B1648" i="8"/>
  <c r="B1649" i="8"/>
  <c r="B1650" i="8"/>
  <c r="B1651" i="8"/>
  <c r="B1652" i="8"/>
  <c r="B1653" i="8"/>
  <c r="B1654" i="8"/>
  <c r="B1655" i="8"/>
  <c r="B1656" i="8"/>
  <c r="B1657" i="8"/>
  <c r="B1658" i="8"/>
  <c r="B1659" i="8"/>
  <c r="B1660" i="8"/>
  <c r="B1661" i="8"/>
  <c r="B1662" i="8"/>
  <c r="B1663" i="8"/>
  <c r="B1664" i="8"/>
  <c r="B1665" i="8"/>
  <c r="B1666" i="8"/>
  <c r="B1667" i="8"/>
  <c r="B1668" i="8"/>
  <c r="B1669" i="8"/>
  <c r="B1670" i="8"/>
  <c r="B1671" i="8"/>
  <c r="B1672" i="8"/>
  <c r="B1673" i="8"/>
  <c r="B1674" i="8"/>
  <c r="B1675" i="8"/>
  <c r="B1676" i="8"/>
  <c r="B1677" i="8"/>
  <c r="B1678" i="8"/>
  <c r="B1679" i="8"/>
  <c r="B1680" i="8"/>
  <c r="B1681" i="8"/>
  <c r="B1682" i="8"/>
  <c r="B1683" i="8"/>
  <c r="B1684" i="8"/>
  <c r="B1685" i="8"/>
  <c r="B1686" i="8"/>
  <c r="B1687" i="8"/>
  <c r="B1688" i="8"/>
  <c r="B1689" i="8"/>
  <c r="B1690" i="8"/>
  <c r="B1691" i="8"/>
  <c r="B1692" i="8"/>
  <c r="B1693" i="8"/>
  <c r="B1694" i="8"/>
  <c r="B1695" i="8"/>
  <c r="B1696" i="8"/>
  <c r="B1697" i="8"/>
  <c r="B1698" i="8"/>
  <c r="B1699" i="8"/>
  <c r="B1700" i="8"/>
  <c r="B1701" i="8"/>
  <c r="B1702" i="8"/>
  <c r="B1703" i="8"/>
  <c r="B1704" i="8"/>
  <c r="B1705" i="8"/>
  <c r="B1706" i="8"/>
  <c r="B1707" i="8"/>
  <c r="B1708" i="8"/>
  <c r="B1709" i="8"/>
  <c r="B1710" i="8"/>
  <c r="B1711" i="8"/>
  <c r="B1712" i="8"/>
  <c r="B1713" i="8"/>
  <c r="B1714" i="8"/>
  <c r="B1715" i="8"/>
  <c r="B1716" i="8"/>
  <c r="B1717" i="8"/>
  <c r="B1718" i="8"/>
  <c r="B1719" i="8"/>
  <c r="B1720" i="8"/>
  <c r="B1721" i="8"/>
  <c r="B1722" i="8"/>
  <c r="B1723" i="8"/>
  <c r="B1724" i="8"/>
  <c r="B1725" i="8"/>
  <c r="B1726" i="8"/>
  <c r="B1727" i="8"/>
  <c r="B1728" i="8"/>
  <c r="B1729" i="8"/>
  <c r="B1730" i="8"/>
  <c r="B1731" i="8"/>
  <c r="B1732" i="8"/>
  <c r="B1733" i="8"/>
  <c r="B1734" i="8"/>
  <c r="B1735" i="8"/>
  <c r="B1736" i="8"/>
  <c r="B1737" i="8"/>
  <c r="B1738" i="8"/>
  <c r="B1739" i="8"/>
  <c r="B1740" i="8"/>
  <c r="B1741" i="8"/>
  <c r="B1742" i="8"/>
  <c r="B1743" i="8"/>
  <c r="B1744" i="8"/>
  <c r="B1745" i="8"/>
  <c r="B1746" i="8"/>
  <c r="B1747" i="8"/>
  <c r="B1748" i="8"/>
  <c r="B1749" i="8"/>
  <c r="B1750" i="8"/>
  <c r="B1751" i="8"/>
  <c r="B1752" i="8"/>
  <c r="B1753" i="8"/>
  <c r="B1754" i="8"/>
  <c r="B1755" i="8"/>
  <c r="B1756" i="8"/>
  <c r="B1757" i="8"/>
  <c r="B1758" i="8"/>
  <c r="B1759" i="8"/>
  <c r="B1760" i="8"/>
  <c r="B1761" i="8"/>
  <c r="B1762" i="8"/>
  <c r="B1763" i="8"/>
  <c r="B1764" i="8"/>
  <c r="B1765" i="8"/>
  <c r="B1766" i="8"/>
  <c r="B1767" i="8"/>
  <c r="B1768" i="8"/>
  <c r="B1769" i="8"/>
  <c r="B1770" i="8"/>
  <c r="B1771" i="8"/>
  <c r="B1772" i="8"/>
  <c r="B1773" i="8"/>
  <c r="B1774" i="8"/>
  <c r="B1775" i="8"/>
  <c r="B1776" i="8"/>
  <c r="B1777" i="8"/>
  <c r="B1778" i="8"/>
  <c r="B1779" i="8"/>
  <c r="B1780" i="8"/>
  <c r="B1781" i="8"/>
  <c r="B1782" i="8"/>
  <c r="B1783" i="8"/>
  <c r="B1784" i="8"/>
  <c r="B1785" i="8"/>
  <c r="B1786" i="8"/>
  <c r="B1787" i="8"/>
  <c r="B1788" i="8"/>
  <c r="B1789" i="8"/>
  <c r="B1790" i="8"/>
  <c r="B1791" i="8"/>
  <c r="B1792" i="8"/>
  <c r="B1793" i="8"/>
  <c r="B1794" i="8"/>
  <c r="B1795" i="8"/>
  <c r="B1796" i="8"/>
  <c r="B1797" i="8"/>
  <c r="B1798" i="8"/>
  <c r="B1799" i="8"/>
  <c r="B1800" i="8"/>
  <c r="B1801" i="8"/>
  <c r="B1802" i="8"/>
  <c r="B1803" i="8"/>
  <c r="B1804" i="8"/>
  <c r="B1805" i="8"/>
  <c r="B1806" i="8"/>
  <c r="B1807" i="8"/>
  <c r="B1808" i="8"/>
  <c r="B1809" i="8"/>
  <c r="B1810" i="8"/>
  <c r="B1811" i="8"/>
  <c r="B1812" i="8"/>
  <c r="B1813" i="8"/>
  <c r="B1814" i="8"/>
  <c r="B1815" i="8"/>
  <c r="B1816" i="8"/>
  <c r="B1817" i="8"/>
  <c r="B1818" i="8"/>
  <c r="B1819" i="8"/>
  <c r="B1820" i="8"/>
  <c r="B1821" i="8"/>
  <c r="B1822" i="8"/>
  <c r="B1823" i="8"/>
  <c r="B1824" i="8"/>
  <c r="B1825" i="8"/>
  <c r="B1826" i="8"/>
  <c r="B1827" i="8"/>
  <c r="B1828" i="8"/>
  <c r="B1829" i="8"/>
  <c r="B1830" i="8"/>
  <c r="B1831" i="8"/>
  <c r="B1832" i="8"/>
  <c r="B1833" i="8"/>
  <c r="B1834" i="8"/>
  <c r="B1835" i="8"/>
  <c r="B1836" i="8"/>
  <c r="B1837" i="8"/>
  <c r="B1838" i="8"/>
  <c r="B1839" i="8"/>
  <c r="B1840" i="8"/>
  <c r="B1841" i="8"/>
  <c r="B1842" i="8"/>
  <c r="B1843" i="8"/>
  <c r="B1844" i="8"/>
  <c r="B1845" i="8"/>
  <c r="B1846" i="8"/>
  <c r="B1847" i="8"/>
  <c r="B1848" i="8"/>
  <c r="B1849" i="8"/>
  <c r="B1850" i="8"/>
  <c r="B1851" i="8"/>
  <c r="B1852" i="8"/>
  <c r="B1853" i="8"/>
  <c r="B1854" i="8"/>
  <c r="B1855" i="8"/>
  <c r="B1856" i="8"/>
  <c r="B1857" i="8"/>
  <c r="B1858" i="8"/>
  <c r="B1859" i="8"/>
  <c r="B1860" i="8"/>
  <c r="B1861" i="8"/>
  <c r="B1862" i="8"/>
  <c r="B1863" i="8"/>
  <c r="B1864" i="8"/>
  <c r="B1865" i="8"/>
  <c r="B1866" i="8"/>
  <c r="B1867" i="8"/>
  <c r="B1868" i="8"/>
  <c r="B1869" i="8"/>
  <c r="B1870" i="8"/>
  <c r="B1871" i="8"/>
  <c r="B1872" i="8"/>
  <c r="B1873" i="8"/>
  <c r="B1874" i="8"/>
  <c r="B1875" i="8"/>
  <c r="B1876" i="8"/>
  <c r="B1877" i="8"/>
  <c r="B1878" i="8"/>
  <c r="B1879" i="8"/>
  <c r="B1880" i="8"/>
  <c r="B1881" i="8"/>
  <c r="B1882" i="8"/>
  <c r="B1883" i="8"/>
  <c r="B1884" i="8"/>
  <c r="B1885" i="8"/>
  <c r="B1886" i="8"/>
  <c r="B1887" i="8"/>
  <c r="B1888" i="8"/>
  <c r="B1889" i="8"/>
  <c r="B1890" i="8"/>
  <c r="B1891" i="8"/>
  <c r="B1892" i="8"/>
  <c r="B1893" i="8"/>
  <c r="B1894" i="8"/>
  <c r="B1895" i="8"/>
  <c r="B1896" i="8"/>
  <c r="B1897" i="8"/>
  <c r="B1898" i="8"/>
  <c r="B1899" i="8"/>
  <c r="B1900" i="8"/>
  <c r="B1901" i="8"/>
  <c r="B1902" i="8"/>
  <c r="B1903" i="8"/>
  <c r="B1904" i="8"/>
  <c r="B1905" i="8"/>
  <c r="B1906" i="8"/>
  <c r="B1907" i="8"/>
  <c r="B1908" i="8"/>
  <c r="B1909" i="8"/>
  <c r="B1910" i="8"/>
  <c r="B1911" i="8"/>
  <c r="B1912" i="8"/>
  <c r="B1913" i="8"/>
  <c r="B1914" i="8"/>
  <c r="B1915" i="8"/>
  <c r="B1916" i="8"/>
  <c r="B1917" i="8"/>
  <c r="B1918" i="8"/>
  <c r="B1919" i="8"/>
  <c r="B1920" i="8"/>
  <c r="B1921" i="8"/>
  <c r="B1922" i="8"/>
  <c r="B1923" i="8"/>
  <c r="B1924" i="8"/>
  <c r="B1925" i="8"/>
  <c r="B1926" i="8"/>
  <c r="B1927" i="8"/>
  <c r="B1928" i="8"/>
  <c r="B1929" i="8"/>
  <c r="B1930" i="8"/>
  <c r="B1931" i="8"/>
  <c r="B1932" i="8"/>
  <c r="B1933" i="8"/>
  <c r="B1934" i="8"/>
  <c r="B1935" i="8"/>
  <c r="B1936" i="8"/>
  <c r="B1937" i="8"/>
  <c r="B1938" i="8"/>
  <c r="B1939" i="8"/>
  <c r="B1940" i="8"/>
  <c r="B1941" i="8"/>
  <c r="B1942" i="8"/>
  <c r="B1943" i="8"/>
  <c r="B1944" i="8"/>
  <c r="B1945" i="8"/>
  <c r="B1946" i="8"/>
  <c r="B1947" i="8"/>
  <c r="B1948" i="8"/>
  <c r="B1949" i="8"/>
  <c r="B1950" i="8"/>
  <c r="B1951" i="8"/>
  <c r="B1952" i="8"/>
  <c r="B1953" i="8"/>
  <c r="B1954" i="8"/>
  <c r="B1955" i="8"/>
  <c r="B1956" i="8"/>
  <c r="B1957" i="8"/>
  <c r="B1958" i="8"/>
  <c r="B1959" i="8"/>
  <c r="B1960" i="8"/>
  <c r="B1961" i="8"/>
  <c r="B1962" i="8"/>
  <c r="B1963" i="8"/>
  <c r="B1964" i="8"/>
  <c r="B1965" i="8"/>
  <c r="B1966" i="8"/>
  <c r="B1967" i="8"/>
  <c r="B1968" i="8"/>
  <c r="B1969" i="8"/>
  <c r="B1970" i="8"/>
  <c r="B1971" i="8"/>
  <c r="B1972" i="8"/>
  <c r="B1973" i="8"/>
  <c r="B1974" i="8"/>
  <c r="B1975" i="8"/>
  <c r="B1976" i="8"/>
  <c r="B1977" i="8"/>
  <c r="B1978" i="8"/>
  <c r="B1979" i="8"/>
  <c r="B1980" i="8"/>
  <c r="B1981" i="8"/>
  <c r="B1982" i="8"/>
  <c r="B1983" i="8"/>
  <c r="B1984" i="8"/>
  <c r="B1985" i="8"/>
  <c r="B1986" i="8"/>
  <c r="B1987" i="8"/>
  <c r="B1988" i="8"/>
  <c r="B1989" i="8"/>
  <c r="B1990" i="8"/>
  <c r="B1991" i="8"/>
  <c r="B1992" i="8"/>
  <c r="B1993" i="8"/>
  <c r="B1994" i="8"/>
  <c r="B1995" i="8"/>
  <c r="B1996" i="8"/>
  <c r="B1997" i="8"/>
  <c r="B1998" i="8"/>
  <c r="B1999" i="8"/>
  <c r="B2000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1002" i="8"/>
  <c r="E1003" i="8"/>
  <c r="E1004" i="8"/>
  <c r="E1005" i="8"/>
  <c r="E1006" i="8"/>
  <c r="E1007" i="8"/>
  <c r="E1008" i="8"/>
  <c r="E1009" i="8"/>
  <c r="E1010" i="8"/>
  <c r="E1011" i="8"/>
  <c r="E1012" i="8"/>
  <c r="E1013" i="8"/>
  <c r="E1014" i="8"/>
  <c r="E1015" i="8"/>
  <c r="E1016" i="8"/>
  <c r="E1017" i="8"/>
  <c r="E1018" i="8"/>
  <c r="E1019" i="8"/>
  <c r="E1020" i="8"/>
  <c r="E1021" i="8"/>
  <c r="E1022" i="8"/>
  <c r="E1023" i="8"/>
  <c r="E1024" i="8"/>
  <c r="E1025" i="8"/>
  <c r="E1026" i="8"/>
  <c r="E1027" i="8"/>
  <c r="E1028" i="8"/>
  <c r="E1029" i="8"/>
  <c r="E1030" i="8"/>
  <c r="E1031" i="8"/>
  <c r="E1032" i="8"/>
  <c r="E1033" i="8"/>
  <c r="E1034" i="8"/>
  <c r="E1035" i="8"/>
  <c r="E1036" i="8"/>
  <c r="E1037" i="8"/>
  <c r="E1038" i="8"/>
  <c r="E1039" i="8"/>
  <c r="E1040" i="8"/>
  <c r="E1041" i="8"/>
  <c r="E1042" i="8"/>
  <c r="E1043" i="8"/>
  <c r="E1044" i="8"/>
  <c r="E1045" i="8"/>
  <c r="E1046" i="8"/>
  <c r="E1047" i="8"/>
  <c r="E1048" i="8"/>
  <c r="E1049" i="8"/>
  <c r="E1050" i="8"/>
  <c r="E1051" i="8"/>
  <c r="E1052" i="8"/>
  <c r="E1053" i="8"/>
  <c r="E1054" i="8"/>
  <c r="E1055" i="8"/>
  <c r="E1056" i="8"/>
  <c r="E1057" i="8"/>
  <c r="E1058" i="8"/>
  <c r="E1059" i="8"/>
  <c r="E1060" i="8"/>
  <c r="E1061" i="8"/>
  <c r="E1062" i="8"/>
  <c r="E1063" i="8"/>
  <c r="E1064" i="8"/>
  <c r="E1065" i="8"/>
  <c r="E1066" i="8"/>
  <c r="E1067" i="8"/>
  <c r="E1068" i="8"/>
  <c r="E1069" i="8"/>
  <c r="E1070" i="8"/>
  <c r="E1071" i="8"/>
  <c r="E1072" i="8"/>
  <c r="E1073" i="8"/>
  <c r="E1074" i="8"/>
  <c r="E1075" i="8"/>
  <c r="E1076" i="8"/>
  <c r="E1077" i="8"/>
  <c r="E1078" i="8"/>
  <c r="E1079" i="8"/>
  <c r="E1080" i="8"/>
  <c r="E1081" i="8"/>
  <c r="E1082" i="8"/>
  <c r="E1083" i="8"/>
  <c r="E1084" i="8"/>
  <c r="E1085" i="8"/>
  <c r="E1086" i="8"/>
  <c r="E1087" i="8"/>
  <c r="E1088" i="8"/>
  <c r="E1089" i="8"/>
  <c r="E1090" i="8"/>
  <c r="E1091" i="8"/>
  <c r="E1092" i="8"/>
  <c r="E1093" i="8"/>
  <c r="E1094" i="8"/>
  <c r="E1095" i="8"/>
  <c r="E1096" i="8"/>
  <c r="E1097" i="8"/>
  <c r="E1098" i="8"/>
  <c r="E1099" i="8"/>
  <c r="E1100" i="8"/>
  <c r="E1101" i="8"/>
  <c r="E1102" i="8"/>
  <c r="E1103" i="8"/>
  <c r="E1104" i="8"/>
  <c r="E1105" i="8"/>
  <c r="E1106" i="8"/>
  <c r="E1107" i="8"/>
  <c r="E1108" i="8"/>
  <c r="E1109" i="8"/>
  <c r="E1110" i="8"/>
  <c r="E1111" i="8"/>
  <c r="E1112" i="8"/>
  <c r="E1113" i="8"/>
  <c r="E1114" i="8"/>
  <c r="E1115" i="8"/>
  <c r="E1116" i="8"/>
  <c r="E1117" i="8"/>
  <c r="E1118" i="8"/>
  <c r="E1119" i="8"/>
  <c r="E1120" i="8"/>
  <c r="E1121" i="8"/>
  <c r="E1122" i="8"/>
  <c r="E1123" i="8"/>
  <c r="E1124" i="8"/>
  <c r="E1125" i="8"/>
  <c r="E1126" i="8"/>
  <c r="E1127" i="8"/>
  <c r="E1128" i="8"/>
  <c r="E1129" i="8"/>
  <c r="E1130" i="8"/>
  <c r="E1131" i="8"/>
  <c r="E1132" i="8"/>
  <c r="E1133" i="8"/>
  <c r="E1134" i="8"/>
  <c r="E1135" i="8"/>
  <c r="E1136" i="8"/>
  <c r="E1137" i="8"/>
  <c r="E1138" i="8"/>
  <c r="E1139" i="8"/>
  <c r="E1140" i="8"/>
  <c r="E1141" i="8"/>
  <c r="E1142" i="8"/>
  <c r="E1143" i="8"/>
  <c r="E1144" i="8"/>
  <c r="E1145" i="8"/>
  <c r="E1146" i="8"/>
  <c r="E1147" i="8"/>
  <c r="E1148" i="8"/>
  <c r="E1149" i="8"/>
  <c r="E1150" i="8"/>
  <c r="E1151" i="8"/>
  <c r="E1152" i="8"/>
  <c r="E1153" i="8"/>
  <c r="E1154" i="8"/>
  <c r="E1155" i="8"/>
  <c r="E1156" i="8"/>
  <c r="E1157" i="8"/>
  <c r="E1158" i="8"/>
  <c r="E1159" i="8"/>
  <c r="E1160" i="8"/>
  <c r="E1161" i="8"/>
  <c r="E1162" i="8"/>
  <c r="E1163" i="8"/>
  <c r="E1164" i="8"/>
  <c r="E1165" i="8"/>
  <c r="E1166" i="8"/>
  <c r="E1167" i="8"/>
  <c r="E1168" i="8"/>
  <c r="E1169" i="8"/>
  <c r="E1170" i="8"/>
  <c r="E1171" i="8"/>
  <c r="E1172" i="8"/>
  <c r="E1173" i="8"/>
  <c r="E1174" i="8"/>
  <c r="E1175" i="8"/>
  <c r="E1176" i="8"/>
  <c r="E1177" i="8"/>
  <c r="E1178" i="8"/>
  <c r="E1179" i="8"/>
  <c r="E1180" i="8"/>
  <c r="E1181" i="8"/>
  <c r="E1182" i="8"/>
  <c r="E1183" i="8"/>
  <c r="E1184" i="8"/>
  <c r="E1185" i="8"/>
  <c r="E1186" i="8"/>
  <c r="E1187" i="8"/>
  <c r="E1188" i="8"/>
  <c r="E1189" i="8"/>
  <c r="E1190" i="8"/>
  <c r="E1191" i="8"/>
  <c r="E1192" i="8"/>
  <c r="E1193" i="8"/>
  <c r="E1194" i="8"/>
  <c r="E1195" i="8"/>
  <c r="E1196" i="8"/>
  <c r="E1197" i="8"/>
  <c r="E1198" i="8"/>
  <c r="E1199" i="8"/>
  <c r="E1200" i="8"/>
  <c r="E1201" i="8"/>
  <c r="E1202" i="8"/>
  <c r="E1203" i="8"/>
  <c r="E1204" i="8"/>
  <c r="E1205" i="8"/>
  <c r="E1206" i="8"/>
  <c r="E1207" i="8"/>
  <c r="E1208" i="8"/>
  <c r="E1209" i="8"/>
  <c r="E1210" i="8"/>
  <c r="E1211" i="8"/>
  <c r="E1212" i="8"/>
  <c r="E1213" i="8"/>
  <c r="E1214" i="8"/>
  <c r="E1215" i="8"/>
  <c r="E1216" i="8"/>
  <c r="E1217" i="8"/>
  <c r="E1218" i="8"/>
  <c r="E1219" i="8"/>
  <c r="E1220" i="8"/>
  <c r="E1221" i="8"/>
  <c r="E1222" i="8"/>
  <c r="E1223" i="8"/>
  <c r="E1224" i="8"/>
  <c r="E1225" i="8"/>
  <c r="E1226" i="8"/>
  <c r="E1227" i="8"/>
  <c r="E1228" i="8"/>
  <c r="E1229" i="8"/>
  <c r="E1230" i="8"/>
  <c r="E1231" i="8"/>
  <c r="E1232" i="8"/>
  <c r="E1233" i="8"/>
  <c r="E1234" i="8"/>
  <c r="E1235" i="8"/>
  <c r="E1236" i="8"/>
  <c r="E1237" i="8"/>
  <c r="E1238" i="8"/>
  <c r="E1239" i="8"/>
  <c r="E1240" i="8"/>
  <c r="E1241" i="8"/>
  <c r="E1242" i="8"/>
  <c r="E1243" i="8"/>
  <c r="E1244" i="8"/>
  <c r="E1245" i="8"/>
  <c r="E1246" i="8"/>
  <c r="E1247" i="8"/>
  <c r="E1248" i="8"/>
  <c r="E1249" i="8"/>
  <c r="E1250" i="8"/>
  <c r="E1251" i="8"/>
  <c r="E1252" i="8"/>
  <c r="E1253" i="8"/>
  <c r="E1254" i="8"/>
  <c r="E1255" i="8"/>
  <c r="E1256" i="8"/>
  <c r="E1257" i="8"/>
  <c r="E1258" i="8"/>
  <c r="E1259" i="8"/>
  <c r="E1260" i="8"/>
  <c r="E1261" i="8"/>
  <c r="E1262" i="8"/>
  <c r="E1263" i="8"/>
  <c r="E1264" i="8"/>
  <c r="E1265" i="8"/>
  <c r="E1266" i="8"/>
  <c r="E1267" i="8"/>
  <c r="E1268" i="8"/>
  <c r="E1269" i="8"/>
  <c r="E1270" i="8"/>
  <c r="E1271" i="8"/>
  <c r="E1272" i="8"/>
  <c r="E1273" i="8"/>
  <c r="E1274" i="8"/>
  <c r="E1275" i="8"/>
  <c r="E1276" i="8"/>
  <c r="E1277" i="8"/>
  <c r="E1278" i="8"/>
  <c r="E1279" i="8"/>
  <c r="E1280" i="8"/>
  <c r="E1281" i="8"/>
  <c r="E1282" i="8"/>
  <c r="E1283" i="8"/>
  <c r="E1284" i="8"/>
  <c r="E1285" i="8"/>
  <c r="E1286" i="8"/>
  <c r="E1287" i="8"/>
  <c r="E1288" i="8"/>
  <c r="E1289" i="8"/>
  <c r="E1290" i="8"/>
  <c r="E1291" i="8"/>
  <c r="E1292" i="8"/>
  <c r="E1293" i="8"/>
  <c r="E1294" i="8"/>
  <c r="E1295" i="8"/>
  <c r="E1296" i="8"/>
  <c r="E1297" i="8"/>
  <c r="E1298" i="8"/>
  <c r="E1299" i="8"/>
  <c r="E1300" i="8"/>
  <c r="E1301" i="8"/>
  <c r="E1302" i="8"/>
  <c r="E1303" i="8"/>
  <c r="E1304" i="8"/>
  <c r="E1305" i="8"/>
  <c r="E1306" i="8"/>
  <c r="E1307" i="8"/>
  <c r="E1308" i="8"/>
  <c r="E1309" i="8"/>
  <c r="E1310" i="8"/>
  <c r="E1311" i="8"/>
  <c r="E1312" i="8"/>
  <c r="E1313" i="8"/>
  <c r="E1314" i="8"/>
  <c r="E1315" i="8"/>
  <c r="E1316" i="8"/>
  <c r="E1317" i="8"/>
  <c r="E1318" i="8"/>
  <c r="E1319" i="8"/>
  <c r="E1320" i="8"/>
  <c r="E1321" i="8"/>
  <c r="E1322" i="8"/>
  <c r="E1323" i="8"/>
  <c r="E1324" i="8"/>
  <c r="E1325" i="8"/>
  <c r="E1326" i="8"/>
  <c r="E1327" i="8"/>
  <c r="E1328" i="8"/>
  <c r="E1329" i="8"/>
  <c r="E1330" i="8"/>
  <c r="E1331" i="8"/>
  <c r="E1332" i="8"/>
  <c r="E1333" i="8"/>
  <c r="E1334" i="8"/>
  <c r="E1335" i="8"/>
  <c r="E1336" i="8"/>
  <c r="E1337" i="8"/>
  <c r="E1338" i="8"/>
  <c r="E1339" i="8"/>
  <c r="E1340" i="8"/>
  <c r="E1341" i="8"/>
  <c r="E1342" i="8"/>
  <c r="E1343" i="8"/>
  <c r="E1344" i="8"/>
  <c r="E1345" i="8"/>
  <c r="E1346" i="8"/>
  <c r="E1347" i="8"/>
  <c r="E1348" i="8"/>
  <c r="E1349" i="8"/>
  <c r="E1350" i="8"/>
  <c r="E1351" i="8"/>
  <c r="E1352" i="8"/>
  <c r="E1353" i="8"/>
  <c r="E1354" i="8"/>
  <c r="E1355" i="8"/>
  <c r="E1356" i="8"/>
  <c r="E1357" i="8"/>
  <c r="E1358" i="8"/>
  <c r="E1359" i="8"/>
  <c r="E1360" i="8"/>
  <c r="E1361" i="8"/>
  <c r="E1362" i="8"/>
  <c r="E1363" i="8"/>
  <c r="E1364" i="8"/>
  <c r="E1365" i="8"/>
  <c r="E1366" i="8"/>
  <c r="E1367" i="8"/>
  <c r="E1368" i="8"/>
  <c r="E1369" i="8"/>
  <c r="E1370" i="8"/>
  <c r="E1371" i="8"/>
  <c r="E1372" i="8"/>
  <c r="E1373" i="8"/>
  <c r="E1374" i="8"/>
  <c r="E1375" i="8"/>
  <c r="E1376" i="8"/>
  <c r="E1377" i="8"/>
  <c r="E1378" i="8"/>
  <c r="E1379" i="8"/>
  <c r="E1380" i="8"/>
  <c r="E1381" i="8"/>
  <c r="E1382" i="8"/>
  <c r="E1383" i="8"/>
  <c r="E1384" i="8"/>
  <c r="E1385" i="8"/>
  <c r="E1386" i="8"/>
  <c r="E1387" i="8"/>
  <c r="E1388" i="8"/>
  <c r="E1389" i="8"/>
  <c r="E1390" i="8"/>
  <c r="E1391" i="8"/>
  <c r="E1392" i="8"/>
  <c r="E1393" i="8"/>
  <c r="E1394" i="8"/>
  <c r="E1395" i="8"/>
  <c r="E1396" i="8"/>
  <c r="E1397" i="8"/>
  <c r="E1398" i="8"/>
  <c r="E1399" i="8"/>
  <c r="E1400" i="8"/>
  <c r="E1401" i="8"/>
  <c r="E1402" i="8"/>
  <c r="E1403" i="8"/>
  <c r="E1404" i="8"/>
  <c r="E1405" i="8"/>
  <c r="E1406" i="8"/>
  <c r="E1407" i="8"/>
  <c r="E1408" i="8"/>
  <c r="E1409" i="8"/>
  <c r="E1410" i="8"/>
  <c r="E1411" i="8"/>
  <c r="E1412" i="8"/>
  <c r="E1413" i="8"/>
  <c r="E1414" i="8"/>
  <c r="E1415" i="8"/>
  <c r="E1416" i="8"/>
  <c r="E1417" i="8"/>
  <c r="E1418" i="8"/>
  <c r="E1419" i="8"/>
  <c r="E1420" i="8"/>
  <c r="E1421" i="8"/>
  <c r="E1422" i="8"/>
  <c r="E1423" i="8"/>
  <c r="E1424" i="8"/>
  <c r="E1425" i="8"/>
  <c r="E1426" i="8"/>
  <c r="E1427" i="8"/>
  <c r="E1428" i="8"/>
  <c r="E1429" i="8"/>
  <c r="E1430" i="8"/>
  <c r="E1431" i="8"/>
  <c r="E1432" i="8"/>
  <c r="E1433" i="8"/>
  <c r="E1434" i="8"/>
  <c r="E1435" i="8"/>
  <c r="E1436" i="8"/>
  <c r="E1437" i="8"/>
  <c r="E1438" i="8"/>
  <c r="E1439" i="8"/>
  <c r="E1440" i="8"/>
  <c r="E1441" i="8"/>
  <c r="E1442" i="8"/>
  <c r="E1443" i="8"/>
  <c r="E1444" i="8"/>
  <c r="E1445" i="8"/>
  <c r="E1446" i="8"/>
  <c r="E1447" i="8"/>
  <c r="E1448" i="8"/>
  <c r="E1449" i="8"/>
  <c r="E1450" i="8"/>
  <c r="E1451" i="8"/>
  <c r="E1452" i="8"/>
  <c r="E1453" i="8"/>
  <c r="E1454" i="8"/>
  <c r="E1455" i="8"/>
  <c r="E1456" i="8"/>
  <c r="E1457" i="8"/>
  <c r="E1458" i="8"/>
  <c r="E1459" i="8"/>
  <c r="E1460" i="8"/>
  <c r="E1461" i="8"/>
  <c r="E1462" i="8"/>
  <c r="E1463" i="8"/>
  <c r="E1464" i="8"/>
  <c r="E1465" i="8"/>
  <c r="E1466" i="8"/>
  <c r="E1467" i="8"/>
  <c r="E1468" i="8"/>
  <c r="E1469" i="8"/>
  <c r="E1470" i="8"/>
  <c r="E1471" i="8"/>
  <c r="E1472" i="8"/>
  <c r="E1473" i="8"/>
  <c r="E1474" i="8"/>
  <c r="E1475" i="8"/>
  <c r="E1476" i="8"/>
  <c r="E1477" i="8"/>
  <c r="E1478" i="8"/>
  <c r="E1479" i="8"/>
  <c r="E1480" i="8"/>
  <c r="E1481" i="8"/>
  <c r="E1482" i="8"/>
  <c r="E1483" i="8"/>
  <c r="E1484" i="8"/>
  <c r="E1485" i="8"/>
  <c r="E1486" i="8"/>
  <c r="E1487" i="8"/>
  <c r="E1488" i="8"/>
  <c r="E1489" i="8"/>
  <c r="E1490" i="8"/>
  <c r="E1491" i="8"/>
  <c r="E1492" i="8"/>
  <c r="E1493" i="8"/>
  <c r="E1494" i="8"/>
  <c r="E1495" i="8"/>
  <c r="E1496" i="8"/>
  <c r="E1497" i="8"/>
  <c r="E1498" i="8"/>
  <c r="E1499" i="8"/>
  <c r="E1500" i="8"/>
  <c r="E1501" i="8"/>
  <c r="E1502" i="8"/>
  <c r="E1503" i="8"/>
  <c r="E1504" i="8"/>
  <c r="E1505" i="8"/>
  <c r="E1506" i="8"/>
  <c r="E1507" i="8"/>
  <c r="E1508" i="8"/>
  <c r="E1509" i="8"/>
  <c r="E1510" i="8"/>
  <c r="E1511" i="8"/>
  <c r="E1512" i="8"/>
  <c r="E1513" i="8"/>
  <c r="E1514" i="8"/>
  <c r="E1515" i="8"/>
  <c r="E1516" i="8"/>
  <c r="E1517" i="8"/>
  <c r="E1518" i="8"/>
  <c r="E1519" i="8"/>
  <c r="E1520" i="8"/>
  <c r="E1521" i="8"/>
  <c r="E1522" i="8"/>
  <c r="E1523" i="8"/>
  <c r="E1524" i="8"/>
  <c r="E1525" i="8"/>
  <c r="E1526" i="8"/>
  <c r="E1527" i="8"/>
  <c r="E1528" i="8"/>
  <c r="E1529" i="8"/>
  <c r="E1530" i="8"/>
  <c r="E1531" i="8"/>
  <c r="E1532" i="8"/>
  <c r="E1533" i="8"/>
  <c r="E1534" i="8"/>
  <c r="E1535" i="8"/>
  <c r="E1536" i="8"/>
  <c r="E1537" i="8"/>
  <c r="E1538" i="8"/>
  <c r="E1539" i="8"/>
  <c r="E1540" i="8"/>
  <c r="E1541" i="8"/>
  <c r="E1542" i="8"/>
  <c r="E1543" i="8"/>
  <c r="E1544" i="8"/>
  <c r="E1545" i="8"/>
  <c r="E1546" i="8"/>
  <c r="E1547" i="8"/>
  <c r="E1548" i="8"/>
  <c r="E1549" i="8"/>
  <c r="E1550" i="8"/>
  <c r="E1551" i="8"/>
  <c r="E1552" i="8"/>
  <c r="E1553" i="8"/>
  <c r="E1554" i="8"/>
  <c r="E1555" i="8"/>
  <c r="E1556" i="8"/>
  <c r="E1557" i="8"/>
  <c r="E1558" i="8"/>
  <c r="E1559" i="8"/>
  <c r="E1560" i="8"/>
  <c r="E1561" i="8"/>
  <c r="E1562" i="8"/>
  <c r="E1563" i="8"/>
  <c r="E1564" i="8"/>
  <c r="E1565" i="8"/>
  <c r="E1566" i="8"/>
  <c r="E1567" i="8"/>
  <c r="E1568" i="8"/>
  <c r="E1569" i="8"/>
  <c r="E1570" i="8"/>
  <c r="E1571" i="8"/>
  <c r="E1572" i="8"/>
  <c r="E1573" i="8"/>
  <c r="E1574" i="8"/>
  <c r="E1575" i="8"/>
  <c r="E1576" i="8"/>
  <c r="E1577" i="8"/>
  <c r="E1578" i="8"/>
  <c r="E1579" i="8"/>
  <c r="E1580" i="8"/>
  <c r="E1581" i="8"/>
  <c r="E1582" i="8"/>
  <c r="E1583" i="8"/>
  <c r="E1584" i="8"/>
  <c r="E1585" i="8"/>
  <c r="E1586" i="8"/>
  <c r="E1587" i="8"/>
  <c r="E1588" i="8"/>
  <c r="E1589" i="8"/>
  <c r="E1590" i="8"/>
  <c r="E1591" i="8"/>
  <c r="E1592" i="8"/>
  <c r="E1593" i="8"/>
  <c r="E1594" i="8"/>
  <c r="E1595" i="8"/>
  <c r="E1596" i="8"/>
  <c r="E1597" i="8"/>
  <c r="E1598" i="8"/>
  <c r="E1599" i="8"/>
  <c r="E1600" i="8"/>
  <c r="E1601" i="8"/>
  <c r="E1602" i="8"/>
  <c r="E1603" i="8"/>
  <c r="E1604" i="8"/>
  <c r="E1605" i="8"/>
  <c r="E1606" i="8"/>
  <c r="E1607" i="8"/>
  <c r="E1608" i="8"/>
  <c r="E1609" i="8"/>
  <c r="E1610" i="8"/>
  <c r="E1611" i="8"/>
  <c r="E1612" i="8"/>
  <c r="E1613" i="8"/>
  <c r="E1614" i="8"/>
  <c r="E1615" i="8"/>
  <c r="E1616" i="8"/>
  <c r="E1617" i="8"/>
  <c r="E1618" i="8"/>
  <c r="E1619" i="8"/>
  <c r="E1620" i="8"/>
  <c r="E1621" i="8"/>
  <c r="E1622" i="8"/>
  <c r="E1623" i="8"/>
  <c r="E1624" i="8"/>
  <c r="E1625" i="8"/>
  <c r="E1626" i="8"/>
  <c r="E1627" i="8"/>
  <c r="E1628" i="8"/>
  <c r="E1629" i="8"/>
  <c r="E1630" i="8"/>
  <c r="E1631" i="8"/>
  <c r="E1632" i="8"/>
  <c r="E1633" i="8"/>
  <c r="E1634" i="8"/>
  <c r="E1635" i="8"/>
  <c r="E1636" i="8"/>
  <c r="E1637" i="8"/>
  <c r="E1638" i="8"/>
  <c r="E1639" i="8"/>
  <c r="E1640" i="8"/>
  <c r="E1641" i="8"/>
  <c r="E1642" i="8"/>
  <c r="E1643" i="8"/>
  <c r="E1644" i="8"/>
  <c r="E1645" i="8"/>
  <c r="E1646" i="8"/>
  <c r="E1647" i="8"/>
  <c r="E1648" i="8"/>
  <c r="E1649" i="8"/>
  <c r="E1650" i="8"/>
  <c r="E1651" i="8"/>
  <c r="E1652" i="8"/>
  <c r="E1653" i="8"/>
  <c r="E1654" i="8"/>
  <c r="E1655" i="8"/>
  <c r="E1656" i="8"/>
  <c r="E1657" i="8"/>
  <c r="E1658" i="8"/>
  <c r="E1659" i="8"/>
  <c r="E1660" i="8"/>
  <c r="E1661" i="8"/>
  <c r="E1662" i="8"/>
  <c r="E1663" i="8"/>
  <c r="E1664" i="8"/>
  <c r="E1665" i="8"/>
  <c r="E1666" i="8"/>
  <c r="E1667" i="8"/>
  <c r="E1668" i="8"/>
  <c r="E1669" i="8"/>
  <c r="E1670" i="8"/>
  <c r="E1671" i="8"/>
  <c r="E1672" i="8"/>
  <c r="E1673" i="8"/>
  <c r="E1674" i="8"/>
  <c r="E1675" i="8"/>
  <c r="E1676" i="8"/>
  <c r="E1677" i="8"/>
  <c r="E1678" i="8"/>
  <c r="E1679" i="8"/>
  <c r="E1680" i="8"/>
  <c r="E1681" i="8"/>
  <c r="E1682" i="8"/>
  <c r="E1683" i="8"/>
  <c r="E1684" i="8"/>
  <c r="E1685" i="8"/>
  <c r="E1686" i="8"/>
  <c r="E1687" i="8"/>
  <c r="E1688" i="8"/>
  <c r="E1689" i="8"/>
  <c r="E1690" i="8"/>
  <c r="E1691" i="8"/>
  <c r="E1692" i="8"/>
  <c r="E1693" i="8"/>
  <c r="E1694" i="8"/>
  <c r="E1695" i="8"/>
  <c r="E1696" i="8"/>
  <c r="E1697" i="8"/>
  <c r="E1698" i="8"/>
  <c r="E1699" i="8"/>
  <c r="E1700" i="8"/>
  <c r="E1701" i="8"/>
  <c r="E1702" i="8"/>
  <c r="E1703" i="8"/>
  <c r="E1704" i="8"/>
  <c r="E1705" i="8"/>
  <c r="E1706" i="8"/>
  <c r="E1707" i="8"/>
  <c r="E1708" i="8"/>
  <c r="E1709" i="8"/>
  <c r="E1710" i="8"/>
  <c r="E1711" i="8"/>
  <c r="E1712" i="8"/>
  <c r="E1713" i="8"/>
  <c r="E1714" i="8"/>
  <c r="E1715" i="8"/>
  <c r="E1716" i="8"/>
  <c r="E1717" i="8"/>
  <c r="E1718" i="8"/>
  <c r="E1719" i="8"/>
  <c r="E1720" i="8"/>
  <c r="E1721" i="8"/>
  <c r="E1722" i="8"/>
  <c r="E1723" i="8"/>
  <c r="E1724" i="8"/>
  <c r="E1725" i="8"/>
  <c r="E1726" i="8"/>
  <c r="E1727" i="8"/>
  <c r="E1728" i="8"/>
  <c r="E1729" i="8"/>
  <c r="E1730" i="8"/>
  <c r="E1731" i="8"/>
  <c r="E1732" i="8"/>
  <c r="E1733" i="8"/>
  <c r="E1734" i="8"/>
  <c r="E1735" i="8"/>
  <c r="E1736" i="8"/>
  <c r="E1737" i="8"/>
  <c r="E1738" i="8"/>
  <c r="E1739" i="8"/>
  <c r="E1740" i="8"/>
  <c r="E1741" i="8"/>
  <c r="E1742" i="8"/>
  <c r="E1743" i="8"/>
  <c r="E1744" i="8"/>
  <c r="E1745" i="8"/>
  <c r="E1746" i="8"/>
  <c r="E1747" i="8"/>
  <c r="E1748" i="8"/>
  <c r="E1749" i="8"/>
  <c r="E1750" i="8"/>
  <c r="E1751" i="8"/>
  <c r="E1752" i="8"/>
  <c r="E1753" i="8"/>
  <c r="E1754" i="8"/>
  <c r="E1755" i="8"/>
  <c r="E1756" i="8"/>
  <c r="E1757" i="8"/>
  <c r="E1758" i="8"/>
  <c r="E1759" i="8"/>
  <c r="E1760" i="8"/>
  <c r="E1761" i="8"/>
  <c r="E1762" i="8"/>
  <c r="E1763" i="8"/>
  <c r="E1764" i="8"/>
  <c r="E1765" i="8"/>
  <c r="E1766" i="8"/>
  <c r="E1767" i="8"/>
  <c r="E1768" i="8"/>
  <c r="E1769" i="8"/>
  <c r="E1770" i="8"/>
  <c r="E1771" i="8"/>
  <c r="E1772" i="8"/>
  <c r="E1773" i="8"/>
  <c r="E1774" i="8"/>
  <c r="E1775" i="8"/>
  <c r="E1776" i="8"/>
  <c r="E1777" i="8"/>
  <c r="E1778" i="8"/>
  <c r="E1779" i="8"/>
  <c r="E1780" i="8"/>
  <c r="E1781" i="8"/>
  <c r="E1782" i="8"/>
  <c r="E1783" i="8"/>
  <c r="E1784" i="8"/>
  <c r="E1785" i="8"/>
  <c r="E1786" i="8"/>
  <c r="E1787" i="8"/>
  <c r="E1788" i="8"/>
  <c r="E1789" i="8"/>
  <c r="E1790" i="8"/>
  <c r="E1791" i="8"/>
  <c r="E1792" i="8"/>
  <c r="E1793" i="8"/>
  <c r="E1794" i="8"/>
  <c r="E1795" i="8"/>
  <c r="E1796" i="8"/>
  <c r="E1797" i="8"/>
  <c r="E1798" i="8"/>
  <c r="E1799" i="8"/>
  <c r="E1800" i="8"/>
  <c r="E1801" i="8"/>
  <c r="E1802" i="8"/>
  <c r="E1803" i="8"/>
  <c r="E1804" i="8"/>
  <c r="E1805" i="8"/>
  <c r="E1806" i="8"/>
  <c r="E1807" i="8"/>
  <c r="E1808" i="8"/>
  <c r="E1809" i="8"/>
  <c r="E1810" i="8"/>
  <c r="E1811" i="8"/>
  <c r="E1812" i="8"/>
  <c r="E1813" i="8"/>
  <c r="E1814" i="8"/>
  <c r="E1815" i="8"/>
  <c r="E1816" i="8"/>
  <c r="E1817" i="8"/>
  <c r="E1818" i="8"/>
  <c r="E1819" i="8"/>
  <c r="E1820" i="8"/>
  <c r="E1821" i="8"/>
  <c r="E1822" i="8"/>
  <c r="E1823" i="8"/>
  <c r="E1824" i="8"/>
  <c r="E1825" i="8"/>
  <c r="E1826" i="8"/>
  <c r="E1827" i="8"/>
  <c r="E1828" i="8"/>
  <c r="E1829" i="8"/>
  <c r="E1830" i="8"/>
  <c r="E1831" i="8"/>
  <c r="E1832" i="8"/>
  <c r="E1833" i="8"/>
  <c r="E1834" i="8"/>
  <c r="E1835" i="8"/>
  <c r="E1836" i="8"/>
  <c r="E1837" i="8"/>
  <c r="E1838" i="8"/>
  <c r="E1839" i="8"/>
  <c r="E1840" i="8"/>
  <c r="E1841" i="8"/>
  <c r="E1842" i="8"/>
  <c r="E1843" i="8"/>
  <c r="E1844" i="8"/>
  <c r="E1845" i="8"/>
  <c r="E1846" i="8"/>
  <c r="E1847" i="8"/>
  <c r="E1848" i="8"/>
  <c r="E1849" i="8"/>
  <c r="E1850" i="8"/>
  <c r="E1851" i="8"/>
  <c r="E1852" i="8"/>
  <c r="E1853" i="8"/>
  <c r="E1854" i="8"/>
  <c r="E1855" i="8"/>
  <c r="E1856" i="8"/>
  <c r="E1857" i="8"/>
  <c r="E1858" i="8"/>
  <c r="E1859" i="8"/>
  <c r="E1860" i="8"/>
  <c r="E1861" i="8"/>
  <c r="E1862" i="8"/>
  <c r="E1863" i="8"/>
  <c r="E1864" i="8"/>
  <c r="E1865" i="8"/>
  <c r="E1866" i="8"/>
  <c r="E1867" i="8"/>
  <c r="E1868" i="8"/>
  <c r="E1869" i="8"/>
  <c r="E1870" i="8"/>
  <c r="E1871" i="8"/>
  <c r="E1872" i="8"/>
  <c r="E1873" i="8"/>
  <c r="E1874" i="8"/>
  <c r="E1875" i="8"/>
  <c r="E1876" i="8"/>
  <c r="E1877" i="8"/>
  <c r="E1878" i="8"/>
  <c r="E1879" i="8"/>
  <c r="E1880" i="8"/>
  <c r="E1881" i="8"/>
  <c r="E1882" i="8"/>
  <c r="E1883" i="8"/>
  <c r="E1884" i="8"/>
  <c r="E1885" i="8"/>
  <c r="E1886" i="8"/>
  <c r="E1887" i="8"/>
  <c r="E1888" i="8"/>
  <c r="E1889" i="8"/>
  <c r="E1890" i="8"/>
  <c r="E1891" i="8"/>
  <c r="E1892" i="8"/>
  <c r="E1893" i="8"/>
  <c r="E1894" i="8"/>
  <c r="E1895" i="8"/>
  <c r="E1896" i="8"/>
  <c r="E1897" i="8"/>
  <c r="E1898" i="8"/>
  <c r="E1899" i="8"/>
  <c r="E1900" i="8"/>
  <c r="E1901" i="8"/>
  <c r="E1902" i="8"/>
  <c r="E1903" i="8"/>
  <c r="E1904" i="8"/>
  <c r="E1905" i="8"/>
  <c r="E1906" i="8"/>
  <c r="E1907" i="8"/>
  <c r="E1908" i="8"/>
  <c r="E1909" i="8"/>
  <c r="E1910" i="8"/>
  <c r="E1911" i="8"/>
  <c r="E1912" i="8"/>
  <c r="E1913" i="8"/>
  <c r="E1914" i="8"/>
  <c r="E1915" i="8"/>
  <c r="E1916" i="8"/>
  <c r="E1917" i="8"/>
  <c r="E1918" i="8"/>
  <c r="E1919" i="8"/>
  <c r="E1920" i="8"/>
  <c r="E1921" i="8"/>
  <c r="E1922" i="8"/>
  <c r="E1923" i="8"/>
  <c r="E1924" i="8"/>
  <c r="E1925" i="8"/>
  <c r="E1926" i="8"/>
  <c r="E1927" i="8"/>
  <c r="E1928" i="8"/>
  <c r="E1929" i="8"/>
  <c r="E1930" i="8"/>
  <c r="E1931" i="8"/>
  <c r="E1932" i="8"/>
  <c r="E1933" i="8"/>
  <c r="E1934" i="8"/>
  <c r="E1935" i="8"/>
  <c r="E1936" i="8"/>
  <c r="E1937" i="8"/>
  <c r="E1938" i="8"/>
  <c r="E1939" i="8"/>
  <c r="E1940" i="8"/>
  <c r="E1941" i="8"/>
  <c r="E1942" i="8"/>
  <c r="E1943" i="8"/>
  <c r="E1944" i="8"/>
  <c r="E1945" i="8"/>
  <c r="E1946" i="8"/>
  <c r="E1947" i="8"/>
  <c r="E1948" i="8"/>
  <c r="E1949" i="8"/>
  <c r="E1950" i="8"/>
  <c r="E1951" i="8"/>
  <c r="E1952" i="8"/>
  <c r="E1953" i="8"/>
  <c r="E1954" i="8"/>
  <c r="E1955" i="8"/>
  <c r="E1956" i="8"/>
  <c r="E1957" i="8"/>
  <c r="E1958" i="8"/>
  <c r="E1959" i="8"/>
  <c r="E1960" i="8"/>
  <c r="E1961" i="8"/>
  <c r="E1962" i="8"/>
  <c r="E1963" i="8"/>
  <c r="E1964" i="8"/>
  <c r="E1965" i="8"/>
  <c r="E1966" i="8"/>
  <c r="E1967" i="8"/>
  <c r="E1968" i="8"/>
  <c r="E1969" i="8"/>
  <c r="E1970" i="8"/>
  <c r="E1971" i="8"/>
  <c r="E1972" i="8"/>
  <c r="E1973" i="8"/>
  <c r="E1974" i="8"/>
  <c r="E1975" i="8"/>
  <c r="E1976" i="8"/>
  <c r="E1977" i="8"/>
  <c r="E1978" i="8"/>
  <c r="E1979" i="8"/>
  <c r="E1980" i="8"/>
  <c r="E1981" i="8"/>
  <c r="E1982" i="8"/>
  <c r="E1983" i="8"/>
  <c r="E1984" i="8"/>
  <c r="E1985" i="8"/>
  <c r="E1986" i="8"/>
  <c r="E1987" i="8"/>
  <c r="E1988" i="8"/>
  <c r="E1989" i="8"/>
  <c r="E1990" i="8"/>
  <c r="E1991" i="8"/>
  <c r="E1992" i="8"/>
  <c r="E1993" i="8"/>
  <c r="E1994" i="8"/>
  <c r="E1995" i="8"/>
  <c r="E1996" i="8"/>
  <c r="E1997" i="8"/>
  <c r="E1998" i="8"/>
  <c r="E1999" i="8"/>
  <c r="E2000" i="8"/>
  <c r="G75" i="8"/>
  <c r="C75" i="8" s="1"/>
  <c r="G76" i="8"/>
  <c r="C76" i="8" s="1"/>
  <c r="G77" i="8"/>
  <c r="C77" i="8" s="1"/>
  <c r="G78" i="8"/>
  <c r="C78" i="8" s="1"/>
  <c r="G79" i="8"/>
  <c r="C79" i="8" s="1"/>
  <c r="G80" i="8"/>
  <c r="C80" i="8" s="1"/>
  <c r="G81" i="8"/>
  <c r="C81" i="8" s="1"/>
  <c r="G82" i="8"/>
  <c r="C82" i="8" s="1"/>
  <c r="G83" i="8"/>
  <c r="C83" i="8" s="1"/>
  <c r="G84" i="8"/>
  <c r="C84" i="8" s="1"/>
  <c r="G85" i="8"/>
  <c r="C85" i="8" s="1"/>
  <c r="G86" i="8"/>
  <c r="C86" i="8" s="1"/>
  <c r="G87" i="8"/>
  <c r="C87" i="8" s="1"/>
  <c r="G88" i="8"/>
  <c r="C88" i="8" s="1"/>
  <c r="G89" i="8"/>
  <c r="C89" i="8" s="1"/>
  <c r="G90" i="8"/>
  <c r="C90" i="8" s="1"/>
  <c r="G91" i="8"/>
  <c r="C91" i="8" s="1"/>
  <c r="G92" i="8"/>
  <c r="C92" i="8" s="1"/>
  <c r="G93" i="8"/>
  <c r="C93" i="8" s="1"/>
  <c r="G94" i="8"/>
  <c r="C94" i="8" s="1"/>
  <c r="G95" i="8"/>
  <c r="C95" i="8" s="1"/>
  <c r="G96" i="8"/>
  <c r="C96" i="8" s="1"/>
  <c r="G97" i="8"/>
  <c r="C97" i="8" s="1"/>
  <c r="G98" i="8"/>
  <c r="C98" i="8" s="1"/>
  <c r="G99" i="8"/>
  <c r="C99" i="8" s="1"/>
  <c r="G100" i="8"/>
  <c r="C100" i="8" s="1"/>
  <c r="G101" i="8"/>
  <c r="C101" i="8" s="1"/>
  <c r="G102" i="8"/>
  <c r="C102" i="8" s="1"/>
  <c r="G103" i="8"/>
  <c r="C103" i="8" s="1"/>
  <c r="G104" i="8"/>
  <c r="C104" i="8" s="1"/>
  <c r="G105" i="8"/>
  <c r="C105" i="8" s="1"/>
  <c r="G106" i="8"/>
  <c r="C106" i="8" s="1"/>
  <c r="G107" i="8"/>
  <c r="C107" i="8" s="1"/>
  <c r="G108" i="8"/>
  <c r="C108" i="8" s="1"/>
  <c r="G109" i="8"/>
  <c r="C109" i="8" s="1"/>
  <c r="G110" i="8"/>
  <c r="C110" i="8" s="1"/>
  <c r="G111" i="8"/>
  <c r="C111" i="8" s="1"/>
  <c r="G112" i="8"/>
  <c r="C112" i="8" s="1"/>
  <c r="G113" i="8"/>
  <c r="C113" i="8" s="1"/>
  <c r="G114" i="8"/>
  <c r="C114" i="8" s="1"/>
  <c r="G115" i="8"/>
  <c r="C115" i="8" s="1"/>
  <c r="G116" i="8"/>
  <c r="C116" i="8" s="1"/>
  <c r="G117" i="8"/>
  <c r="C117" i="8" s="1"/>
  <c r="G118" i="8"/>
  <c r="C118" i="8" s="1"/>
  <c r="G119" i="8"/>
  <c r="C119" i="8" s="1"/>
  <c r="G120" i="8"/>
  <c r="C120" i="8" s="1"/>
  <c r="G121" i="8"/>
  <c r="C121" i="8" s="1"/>
  <c r="G122" i="8"/>
  <c r="C122" i="8" s="1"/>
  <c r="G123" i="8"/>
  <c r="C123" i="8" s="1"/>
  <c r="G124" i="8"/>
  <c r="C124" i="8" s="1"/>
  <c r="G125" i="8"/>
  <c r="C125" i="8" s="1"/>
  <c r="G126" i="8"/>
  <c r="C126" i="8" s="1"/>
  <c r="G127" i="8"/>
  <c r="C127" i="8" s="1"/>
  <c r="G128" i="8"/>
  <c r="C128" i="8" s="1"/>
  <c r="G129" i="8"/>
  <c r="C129" i="8" s="1"/>
  <c r="G130" i="8"/>
  <c r="C130" i="8" s="1"/>
  <c r="G131" i="8"/>
  <c r="C131" i="8" s="1"/>
  <c r="G132" i="8"/>
  <c r="C132" i="8" s="1"/>
  <c r="G133" i="8"/>
  <c r="C133" i="8" s="1"/>
  <c r="G134" i="8"/>
  <c r="C134" i="8" s="1"/>
  <c r="G135" i="8"/>
  <c r="C135" i="8" s="1"/>
  <c r="G136" i="8"/>
  <c r="C136" i="8" s="1"/>
  <c r="G137" i="8"/>
  <c r="C137" i="8" s="1"/>
  <c r="G138" i="8"/>
  <c r="C138" i="8" s="1"/>
  <c r="G139" i="8"/>
  <c r="C139" i="8" s="1"/>
  <c r="G140" i="8"/>
  <c r="C140" i="8" s="1"/>
  <c r="G141" i="8"/>
  <c r="C141" i="8" s="1"/>
  <c r="G142" i="8"/>
  <c r="C142" i="8" s="1"/>
  <c r="G143" i="8"/>
  <c r="C143" i="8" s="1"/>
  <c r="G144" i="8"/>
  <c r="C144" i="8" s="1"/>
  <c r="G145" i="8"/>
  <c r="C145" i="8" s="1"/>
  <c r="G146" i="8"/>
  <c r="C146" i="8" s="1"/>
  <c r="G147" i="8"/>
  <c r="C147" i="8" s="1"/>
  <c r="G148" i="8"/>
  <c r="C148" i="8" s="1"/>
  <c r="G149" i="8"/>
  <c r="C149" i="8" s="1"/>
  <c r="G150" i="8"/>
  <c r="C150" i="8" s="1"/>
  <c r="G151" i="8"/>
  <c r="C151" i="8" s="1"/>
  <c r="G152" i="8"/>
  <c r="C152" i="8" s="1"/>
  <c r="G153" i="8"/>
  <c r="C153" i="8" s="1"/>
  <c r="G154" i="8"/>
  <c r="C154" i="8" s="1"/>
  <c r="G155" i="8"/>
  <c r="C155" i="8" s="1"/>
  <c r="G156" i="8"/>
  <c r="C156" i="8" s="1"/>
  <c r="G157" i="8"/>
  <c r="C157" i="8" s="1"/>
  <c r="G158" i="8"/>
  <c r="C158" i="8" s="1"/>
  <c r="G159" i="8"/>
  <c r="C159" i="8" s="1"/>
  <c r="G160" i="8"/>
  <c r="C160" i="8" s="1"/>
  <c r="G161" i="8"/>
  <c r="C161" i="8" s="1"/>
  <c r="G162" i="8"/>
  <c r="C162" i="8" s="1"/>
  <c r="G163" i="8"/>
  <c r="C163" i="8" s="1"/>
  <c r="G164" i="8"/>
  <c r="C164" i="8" s="1"/>
  <c r="G165" i="8"/>
  <c r="C165" i="8" s="1"/>
  <c r="G166" i="8"/>
  <c r="C166" i="8" s="1"/>
  <c r="G167" i="8"/>
  <c r="C167" i="8" s="1"/>
  <c r="G168" i="8"/>
  <c r="C168" i="8" s="1"/>
  <c r="G169" i="8"/>
  <c r="C169" i="8" s="1"/>
  <c r="G170" i="8"/>
  <c r="C170" i="8" s="1"/>
  <c r="G171" i="8"/>
  <c r="C171" i="8" s="1"/>
  <c r="G172" i="8"/>
  <c r="C172" i="8" s="1"/>
  <c r="G173" i="8"/>
  <c r="C173" i="8" s="1"/>
  <c r="G174" i="8"/>
  <c r="C174" i="8" s="1"/>
  <c r="G175" i="8"/>
  <c r="C175" i="8" s="1"/>
  <c r="G176" i="8"/>
  <c r="C176" i="8" s="1"/>
  <c r="G177" i="8"/>
  <c r="C177" i="8" s="1"/>
  <c r="G178" i="8"/>
  <c r="C178" i="8" s="1"/>
  <c r="G179" i="8"/>
  <c r="C179" i="8" s="1"/>
  <c r="G180" i="8"/>
  <c r="C180" i="8" s="1"/>
  <c r="G181" i="8"/>
  <c r="C181" i="8" s="1"/>
  <c r="G182" i="8"/>
  <c r="C182" i="8" s="1"/>
  <c r="G183" i="8"/>
  <c r="C183" i="8" s="1"/>
  <c r="G184" i="8"/>
  <c r="C184" i="8" s="1"/>
  <c r="G185" i="8"/>
  <c r="C185" i="8" s="1"/>
  <c r="G186" i="8"/>
  <c r="C186" i="8" s="1"/>
  <c r="G187" i="8"/>
  <c r="C187" i="8" s="1"/>
  <c r="G188" i="8"/>
  <c r="C188" i="8" s="1"/>
  <c r="G189" i="8"/>
  <c r="C189" i="8" s="1"/>
  <c r="G190" i="8"/>
  <c r="C190" i="8" s="1"/>
  <c r="G191" i="8"/>
  <c r="C191" i="8" s="1"/>
  <c r="G192" i="8"/>
  <c r="C192" i="8" s="1"/>
  <c r="G193" i="8"/>
  <c r="C193" i="8" s="1"/>
  <c r="G194" i="8"/>
  <c r="C194" i="8" s="1"/>
  <c r="G195" i="8"/>
  <c r="C195" i="8" s="1"/>
  <c r="G196" i="8"/>
  <c r="C196" i="8" s="1"/>
  <c r="G197" i="8"/>
  <c r="C197" i="8" s="1"/>
  <c r="G198" i="8"/>
  <c r="C198" i="8" s="1"/>
  <c r="G199" i="8"/>
  <c r="C199" i="8" s="1"/>
  <c r="G200" i="8"/>
  <c r="C200" i="8" s="1"/>
  <c r="G201" i="8"/>
  <c r="C201" i="8" s="1"/>
  <c r="G202" i="8"/>
  <c r="C202" i="8" s="1"/>
  <c r="G203" i="8"/>
  <c r="C203" i="8" s="1"/>
  <c r="G204" i="8"/>
  <c r="C204" i="8" s="1"/>
  <c r="G205" i="8"/>
  <c r="C205" i="8" s="1"/>
  <c r="G206" i="8"/>
  <c r="C206" i="8" s="1"/>
  <c r="G207" i="8"/>
  <c r="C207" i="8" s="1"/>
  <c r="G208" i="8"/>
  <c r="C208" i="8" s="1"/>
  <c r="G209" i="8"/>
  <c r="C209" i="8" s="1"/>
  <c r="G210" i="8"/>
  <c r="C210" i="8" s="1"/>
  <c r="G211" i="8"/>
  <c r="C211" i="8" s="1"/>
  <c r="G212" i="8"/>
  <c r="C212" i="8" s="1"/>
  <c r="G213" i="8"/>
  <c r="C213" i="8" s="1"/>
  <c r="G214" i="8"/>
  <c r="C214" i="8" s="1"/>
  <c r="G215" i="8"/>
  <c r="C215" i="8" s="1"/>
  <c r="G216" i="8"/>
  <c r="C216" i="8" s="1"/>
  <c r="G217" i="8"/>
  <c r="C217" i="8" s="1"/>
  <c r="G218" i="8"/>
  <c r="C218" i="8" s="1"/>
  <c r="G219" i="8"/>
  <c r="C219" i="8" s="1"/>
  <c r="G220" i="8"/>
  <c r="C220" i="8" s="1"/>
  <c r="G221" i="8"/>
  <c r="C221" i="8" s="1"/>
  <c r="G222" i="8"/>
  <c r="C222" i="8" s="1"/>
  <c r="G223" i="8"/>
  <c r="C223" i="8" s="1"/>
  <c r="G224" i="8"/>
  <c r="C224" i="8" s="1"/>
  <c r="G225" i="8"/>
  <c r="C225" i="8" s="1"/>
  <c r="G226" i="8"/>
  <c r="C226" i="8" s="1"/>
  <c r="G227" i="8"/>
  <c r="C227" i="8" s="1"/>
  <c r="G228" i="8"/>
  <c r="C228" i="8" s="1"/>
  <c r="G229" i="8"/>
  <c r="C229" i="8" s="1"/>
  <c r="G230" i="8"/>
  <c r="C230" i="8" s="1"/>
  <c r="G231" i="8"/>
  <c r="C231" i="8" s="1"/>
  <c r="G232" i="8"/>
  <c r="C232" i="8" s="1"/>
  <c r="G233" i="8"/>
  <c r="C233" i="8" s="1"/>
  <c r="G234" i="8"/>
  <c r="C234" i="8" s="1"/>
  <c r="G235" i="8"/>
  <c r="C235" i="8" s="1"/>
  <c r="G236" i="8"/>
  <c r="C236" i="8" s="1"/>
  <c r="G237" i="8"/>
  <c r="C237" i="8" s="1"/>
  <c r="G238" i="8"/>
  <c r="C238" i="8" s="1"/>
  <c r="G239" i="8"/>
  <c r="C239" i="8" s="1"/>
  <c r="G240" i="8"/>
  <c r="C240" i="8" s="1"/>
  <c r="G241" i="8"/>
  <c r="C241" i="8" s="1"/>
  <c r="G242" i="8"/>
  <c r="C242" i="8" s="1"/>
  <c r="G243" i="8"/>
  <c r="C243" i="8" s="1"/>
  <c r="G244" i="8"/>
  <c r="C244" i="8" s="1"/>
  <c r="G245" i="8"/>
  <c r="C245" i="8" s="1"/>
  <c r="G246" i="8"/>
  <c r="C246" i="8" s="1"/>
  <c r="G247" i="8"/>
  <c r="C247" i="8" s="1"/>
  <c r="G248" i="8"/>
  <c r="C248" i="8" s="1"/>
  <c r="G249" i="8"/>
  <c r="C249" i="8" s="1"/>
  <c r="G250" i="8"/>
  <c r="C250" i="8" s="1"/>
  <c r="G251" i="8"/>
  <c r="C251" i="8" s="1"/>
  <c r="G252" i="8"/>
  <c r="C252" i="8" s="1"/>
  <c r="G253" i="8"/>
  <c r="C253" i="8" s="1"/>
  <c r="G254" i="8"/>
  <c r="C254" i="8" s="1"/>
  <c r="G255" i="8"/>
  <c r="C255" i="8" s="1"/>
  <c r="G256" i="8"/>
  <c r="C256" i="8" s="1"/>
  <c r="G257" i="8"/>
  <c r="C257" i="8" s="1"/>
  <c r="G258" i="8"/>
  <c r="C258" i="8" s="1"/>
  <c r="G259" i="8"/>
  <c r="C259" i="8" s="1"/>
  <c r="G260" i="8"/>
  <c r="C260" i="8" s="1"/>
  <c r="G261" i="8"/>
  <c r="C261" i="8" s="1"/>
  <c r="G262" i="8"/>
  <c r="C262" i="8" s="1"/>
  <c r="G263" i="8"/>
  <c r="C263" i="8" s="1"/>
  <c r="G264" i="8"/>
  <c r="C264" i="8" s="1"/>
  <c r="G265" i="8"/>
  <c r="C265" i="8" s="1"/>
  <c r="G266" i="8"/>
  <c r="C266" i="8" s="1"/>
  <c r="G267" i="8"/>
  <c r="C267" i="8" s="1"/>
  <c r="G268" i="8"/>
  <c r="C268" i="8" s="1"/>
  <c r="G269" i="8"/>
  <c r="C269" i="8" s="1"/>
  <c r="G270" i="8"/>
  <c r="C270" i="8" s="1"/>
  <c r="G271" i="8"/>
  <c r="C271" i="8" s="1"/>
  <c r="G272" i="8"/>
  <c r="C272" i="8" s="1"/>
  <c r="G273" i="8"/>
  <c r="C273" i="8" s="1"/>
  <c r="G274" i="8"/>
  <c r="C274" i="8" s="1"/>
  <c r="G275" i="8"/>
  <c r="C275" i="8" s="1"/>
  <c r="G276" i="8"/>
  <c r="C276" i="8" s="1"/>
  <c r="G277" i="8"/>
  <c r="C277" i="8" s="1"/>
  <c r="G278" i="8"/>
  <c r="C278" i="8" s="1"/>
  <c r="G279" i="8"/>
  <c r="C279" i="8" s="1"/>
  <c r="G280" i="8"/>
  <c r="C280" i="8" s="1"/>
  <c r="G281" i="8"/>
  <c r="C281" i="8" s="1"/>
  <c r="G282" i="8"/>
  <c r="C282" i="8" s="1"/>
  <c r="G283" i="8"/>
  <c r="C283" i="8" s="1"/>
  <c r="G284" i="8"/>
  <c r="C284" i="8" s="1"/>
  <c r="G285" i="8"/>
  <c r="C285" i="8" s="1"/>
  <c r="G286" i="8"/>
  <c r="C286" i="8" s="1"/>
  <c r="G287" i="8"/>
  <c r="C287" i="8" s="1"/>
  <c r="G288" i="8"/>
  <c r="C288" i="8" s="1"/>
  <c r="G289" i="8"/>
  <c r="C289" i="8" s="1"/>
  <c r="G290" i="8"/>
  <c r="C290" i="8" s="1"/>
  <c r="G291" i="8"/>
  <c r="C291" i="8" s="1"/>
  <c r="G292" i="8"/>
  <c r="C292" i="8" s="1"/>
  <c r="G293" i="8"/>
  <c r="C293" i="8" s="1"/>
  <c r="G294" i="8"/>
  <c r="C294" i="8" s="1"/>
  <c r="G295" i="8"/>
  <c r="C295" i="8" s="1"/>
  <c r="G296" i="8"/>
  <c r="C296" i="8" s="1"/>
  <c r="G297" i="8"/>
  <c r="C297" i="8" s="1"/>
  <c r="G298" i="8"/>
  <c r="C298" i="8" s="1"/>
  <c r="G299" i="8"/>
  <c r="C299" i="8" s="1"/>
  <c r="G300" i="8"/>
  <c r="C300" i="8" s="1"/>
  <c r="G301" i="8"/>
  <c r="C301" i="8" s="1"/>
  <c r="G302" i="8"/>
  <c r="C302" i="8" s="1"/>
  <c r="G303" i="8"/>
  <c r="C303" i="8" s="1"/>
  <c r="G304" i="8"/>
  <c r="C304" i="8" s="1"/>
  <c r="G305" i="8"/>
  <c r="C305" i="8" s="1"/>
  <c r="G306" i="8"/>
  <c r="C306" i="8" s="1"/>
  <c r="G307" i="8"/>
  <c r="C307" i="8" s="1"/>
  <c r="G308" i="8"/>
  <c r="C308" i="8" s="1"/>
  <c r="G309" i="8"/>
  <c r="C309" i="8" s="1"/>
  <c r="G310" i="8"/>
  <c r="C310" i="8" s="1"/>
  <c r="G311" i="8"/>
  <c r="C311" i="8" s="1"/>
  <c r="G312" i="8"/>
  <c r="C312" i="8" s="1"/>
  <c r="G313" i="8"/>
  <c r="C313" i="8" s="1"/>
  <c r="G314" i="8"/>
  <c r="C314" i="8" s="1"/>
  <c r="G315" i="8"/>
  <c r="C315" i="8" s="1"/>
  <c r="G316" i="8"/>
  <c r="C316" i="8" s="1"/>
  <c r="G317" i="8"/>
  <c r="C317" i="8" s="1"/>
  <c r="G318" i="8"/>
  <c r="C318" i="8" s="1"/>
  <c r="G319" i="8"/>
  <c r="C319" i="8" s="1"/>
  <c r="G320" i="8"/>
  <c r="C320" i="8" s="1"/>
  <c r="G321" i="8"/>
  <c r="C321" i="8" s="1"/>
  <c r="G322" i="8"/>
  <c r="C322" i="8" s="1"/>
  <c r="G323" i="8"/>
  <c r="C323" i="8" s="1"/>
  <c r="G324" i="8"/>
  <c r="C324" i="8" s="1"/>
  <c r="G325" i="8"/>
  <c r="C325" i="8" s="1"/>
  <c r="G326" i="8"/>
  <c r="C326" i="8" s="1"/>
  <c r="G327" i="8"/>
  <c r="C327" i="8" s="1"/>
  <c r="G328" i="8"/>
  <c r="C328" i="8" s="1"/>
  <c r="G329" i="8"/>
  <c r="C329" i="8" s="1"/>
  <c r="G330" i="8"/>
  <c r="C330" i="8" s="1"/>
  <c r="G331" i="8"/>
  <c r="C331" i="8" s="1"/>
  <c r="G332" i="8"/>
  <c r="C332" i="8" s="1"/>
  <c r="G333" i="8"/>
  <c r="C333" i="8" s="1"/>
  <c r="G334" i="8"/>
  <c r="C334" i="8" s="1"/>
  <c r="G335" i="8"/>
  <c r="C335" i="8" s="1"/>
  <c r="G336" i="8"/>
  <c r="C336" i="8" s="1"/>
  <c r="G337" i="8"/>
  <c r="C337" i="8" s="1"/>
  <c r="G338" i="8"/>
  <c r="C338" i="8" s="1"/>
  <c r="G339" i="8"/>
  <c r="C339" i="8" s="1"/>
  <c r="G340" i="8"/>
  <c r="C340" i="8" s="1"/>
  <c r="G341" i="8"/>
  <c r="C341" i="8" s="1"/>
  <c r="G342" i="8"/>
  <c r="C342" i="8" s="1"/>
  <c r="G343" i="8"/>
  <c r="C343" i="8" s="1"/>
  <c r="G344" i="8"/>
  <c r="C344" i="8" s="1"/>
  <c r="G345" i="8"/>
  <c r="C345" i="8" s="1"/>
  <c r="G346" i="8"/>
  <c r="C346" i="8" s="1"/>
  <c r="G347" i="8"/>
  <c r="C347" i="8" s="1"/>
  <c r="G348" i="8"/>
  <c r="C348" i="8" s="1"/>
  <c r="G349" i="8"/>
  <c r="C349" i="8" s="1"/>
  <c r="G350" i="8"/>
  <c r="C350" i="8" s="1"/>
  <c r="G351" i="8"/>
  <c r="C351" i="8" s="1"/>
  <c r="G352" i="8"/>
  <c r="C352" i="8" s="1"/>
  <c r="G353" i="8"/>
  <c r="C353" i="8" s="1"/>
  <c r="G354" i="8"/>
  <c r="C354" i="8" s="1"/>
  <c r="G355" i="8"/>
  <c r="C355" i="8" s="1"/>
  <c r="G356" i="8"/>
  <c r="C356" i="8" s="1"/>
  <c r="G357" i="8"/>
  <c r="C357" i="8" s="1"/>
  <c r="G358" i="8"/>
  <c r="C358" i="8" s="1"/>
  <c r="G359" i="8"/>
  <c r="C359" i="8" s="1"/>
  <c r="G360" i="8"/>
  <c r="C360" i="8" s="1"/>
  <c r="G361" i="8"/>
  <c r="C361" i="8" s="1"/>
  <c r="G362" i="8"/>
  <c r="C362" i="8" s="1"/>
  <c r="G363" i="8"/>
  <c r="C363" i="8" s="1"/>
  <c r="G364" i="8"/>
  <c r="C364" i="8" s="1"/>
  <c r="G365" i="8"/>
  <c r="C365" i="8" s="1"/>
  <c r="G366" i="8"/>
  <c r="C366" i="8" s="1"/>
  <c r="G367" i="8"/>
  <c r="C367" i="8" s="1"/>
  <c r="G368" i="8"/>
  <c r="C368" i="8" s="1"/>
  <c r="G369" i="8"/>
  <c r="C369" i="8" s="1"/>
  <c r="G370" i="8"/>
  <c r="C370" i="8" s="1"/>
  <c r="G371" i="8"/>
  <c r="C371" i="8" s="1"/>
  <c r="G372" i="8"/>
  <c r="C372" i="8" s="1"/>
  <c r="G373" i="8"/>
  <c r="C373" i="8" s="1"/>
  <c r="G374" i="8"/>
  <c r="C374" i="8" s="1"/>
  <c r="G375" i="8"/>
  <c r="C375" i="8" s="1"/>
  <c r="G376" i="8"/>
  <c r="C376" i="8" s="1"/>
  <c r="G377" i="8"/>
  <c r="C377" i="8" s="1"/>
  <c r="G378" i="8"/>
  <c r="C378" i="8" s="1"/>
  <c r="G379" i="8"/>
  <c r="C379" i="8" s="1"/>
  <c r="G380" i="8"/>
  <c r="C380" i="8" s="1"/>
  <c r="G381" i="8"/>
  <c r="C381" i="8" s="1"/>
  <c r="G382" i="8"/>
  <c r="C382" i="8" s="1"/>
  <c r="G383" i="8"/>
  <c r="C383" i="8" s="1"/>
  <c r="G384" i="8"/>
  <c r="C384" i="8" s="1"/>
  <c r="G385" i="8"/>
  <c r="C385" i="8" s="1"/>
  <c r="G386" i="8"/>
  <c r="C386" i="8" s="1"/>
  <c r="G387" i="8"/>
  <c r="C387" i="8" s="1"/>
  <c r="G388" i="8"/>
  <c r="C388" i="8" s="1"/>
  <c r="G389" i="8"/>
  <c r="C389" i="8" s="1"/>
  <c r="G390" i="8"/>
  <c r="C390" i="8" s="1"/>
  <c r="G391" i="8"/>
  <c r="C391" i="8" s="1"/>
  <c r="G392" i="8"/>
  <c r="C392" i="8" s="1"/>
  <c r="G393" i="8"/>
  <c r="C393" i="8" s="1"/>
  <c r="G394" i="8"/>
  <c r="C394" i="8" s="1"/>
  <c r="G395" i="8"/>
  <c r="C395" i="8" s="1"/>
  <c r="G396" i="8"/>
  <c r="C396" i="8" s="1"/>
  <c r="G397" i="8"/>
  <c r="C397" i="8" s="1"/>
  <c r="G398" i="8"/>
  <c r="C398" i="8" s="1"/>
  <c r="G399" i="8"/>
  <c r="C399" i="8" s="1"/>
  <c r="G400" i="8"/>
  <c r="C400" i="8" s="1"/>
  <c r="G401" i="8"/>
  <c r="C401" i="8" s="1"/>
  <c r="G402" i="8"/>
  <c r="C402" i="8" s="1"/>
  <c r="G403" i="8"/>
  <c r="C403" i="8" s="1"/>
  <c r="G404" i="8"/>
  <c r="C404" i="8" s="1"/>
  <c r="G405" i="8"/>
  <c r="C405" i="8" s="1"/>
  <c r="G406" i="8"/>
  <c r="C406" i="8" s="1"/>
  <c r="G407" i="8"/>
  <c r="C407" i="8" s="1"/>
  <c r="G408" i="8"/>
  <c r="C408" i="8" s="1"/>
  <c r="G409" i="8"/>
  <c r="C409" i="8" s="1"/>
  <c r="G410" i="8"/>
  <c r="C410" i="8" s="1"/>
  <c r="G411" i="8"/>
  <c r="C411" i="8" s="1"/>
  <c r="G412" i="8"/>
  <c r="C412" i="8" s="1"/>
  <c r="G413" i="8"/>
  <c r="C413" i="8" s="1"/>
  <c r="G414" i="8"/>
  <c r="C414" i="8" s="1"/>
  <c r="G415" i="8"/>
  <c r="C415" i="8" s="1"/>
  <c r="G416" i="8"/>
  <c r="C416" i="8" s="1"/>
  <c r="G417" i="8"/>
  <c r="C417" i="8" s="1"/>
  <c r="G418" i="8"/>
  <c r="C418" i="8" s="1"/>
  <c r="G419" i="8"/>
  <c r="C419" i="8" s="1"/>
  <c r="G420" i="8"/>
  <c r="C420" i="8" s="1"/>
  <c r="G421" i="8"/>
  <c r="C421" i="8" s="1"/>
  <c r="G422" i="8"/>
  <c r="C422" i="8" s="1"/>
  <c r="G423" i="8"/>
  <c r="C423" i="8" s="1"/>
  <c r="G424" i="8"/>
  <c r="C424" i="8" s="1"/>
  <c r="G425" i="8"/>
  <c r="C425" i="8" s="1"/>
  <c r="G426" i="8"/>
  <c r="C426" i="8" s="1"/>
  <c r="G427" i="8"/>
  <c r="C427" i="8" s="1"/>
  <c r="G428" i="8"/>
  <c r="C428" i="8" s="1"/>
  <c r="G429" i="8"/>
  <c r="C429" i="8" s="1"/>
  <c r="G430" i="8"/>
  <c r="C430" i="8" s="1"/>
  <c r="G431" i="8"/>
  <c r="C431" i="8" s="1"/>
  <c r="G432" i="8"/>
  <c r="C432" i="8" s="1"/>
  <c r="G433" i="8"/>
  <c r="C433" i="8" s="1"/>
  <c r="G434" i="8"/>
  <c r="C434" i="8" s="1"/>
  <c r="G435" i="8"/>
  <c r="C435" i="8" s="1"/>
  <c r="G436" i="8"/>
  <c r="C436" i="8" s="1"/>
  <c r="G437" i="8"/>
  <c r="C437" i="8" s="1"/>
  <c r="G438" i="8"/>
  <c r="C438" i="8" s="1"/>
  <c r="G439" i="8"/>
  <c r="C439" i="8" s="1"/>
  <c r="G440" i="8"/>
  <c r="C440" i="8" s="1"/>
  <c r="G441" i="8"/>
  <c r="C441" i="8" s="1"/>
  <c r="G442" i="8"/>
  <c r="C442" i="8" s="1"/>
  <c r="G443" i="8"/>
  <c r="C443" i="8" s="1"/>
  <c r="G444" i="8"/>
  <c r="C444" i="8" s="1"/>
  <c r="G445" i="8"/>
  <c r="C445" i="8" s="1"/>
  <c r="G446" i="8"/>
  <c r="C446" i="8" s="1"/>
  <c r="G447" i="8"/>
  <c r="C447" i="8" s="1"/>
  <c r="G448" i="8"/>
  <c r="C448" i="8" s="1"/>
  <c r="G449" i="8"/>
  <c r="C449" i="8" s="1"/>
  <c r="G450" i="8"/>
  <c r="C450" i="8" s="1"/>
  <c r="G451" i="8"/>
  <c r="C451" i="8" s="1"/>
  <c r="G452" i="8"/>
  <c r="C452" i="8" s="1"/>
  <c r="G453" i="8"/>
  <c r="C453" i="8" s="1"/>
  <c r="G454" i="8"/>
  <c r="C454" i="8" s="1"/>
  <c r="G455" i="8"/>
  <c r="C455" i="8" s="1"/>
  <c r="G456" i="8"/>
  <c r="C456" i="8" s="1"/>
  <c r="G457" i="8"/>
  <c r="C457" i="8" s="1"/>
  <c r="G458" i="8"/>
  <c r="C458" i="8" s="1"/>
  <c r="G459" i="8"/>
  <c r="C459" i="8" s="1"/>
  <c r="G460" i="8"/>
  <c r="C460" i="8" s="1"/>
  <c r="G461" i="8"/>
  <c r="C461" i="8" s="1"/>
  <c r="G462" i="8"/>
  <c r="C462" i="8" s="1"/>
  <c r="G463" i="8"/>
  <c r="C463" i="8" s="1"/>
  <c r="G464" i="8"/>
  <c r="C464" i="8" s="1"/>
  <c r="G465" i="8"/>
  <c r="C465" i="8" s="1"/>
  <c r="G466" i="8"/>
  <c r="C466" i="8" s="1"/>
  <c r="G467" i="8"/>
  <c r="C467" i="8" s="1"/>
  <c r="G468" i="8"/>
  <c r="C468" i="8" s="1"/>
  <c r="G469" i="8"/>
  <c r="C469" i="8" s="1"/>
  <c r="G470" i="8"/>
  <c r="C470" i="8" s="1"/>
  <c r="G471" i="8"/>
  <c r="C471" i="8" s="1"/>
  <c r="G472" i="8"/>
  <c r="C472" i="8" s="1"/>
  <c r="G473" i="8"/>
  <c r="C473" i="8" s="1"/>
  <c r="G474" i="8"/>
  <c r="C474" i="8" s="1"/>
  <c r="G475" i="8"/>
  <c r="C475" i="8" s="1"/>
  <c r="G476" i="8"/>
  <c r="C476" i="8" s="1"/>
  <c r="G477" i="8"/>
  <c r="C477" i="8" s="1"/>
  <c r="G478" i="8"/>
  <c r="C478" i="8" s="1"/>
  <c r="G479" i="8"/>
  <c r="C479" i="8" s="1"/>
  <c r="G480" i="8"/>
  <c r="C480" i="8" s="1"/>
  <c r="G481" i="8"/>
  <c r="C481" i="8" s="1"/>
  <c r="G482" i="8"/>
  <c r="C482" i="8" s="1"/>
  <c r="G483" i="8"/>
  <c r="C483" i="8" s="1"/>
  <c r="G484" i="8"/>
  <c r="C484" i="8" s="1"/>
  <c r="G485" i="8"/>
  <c r="C485" i="8" s="1"/>
  <c r="G486" i="8"/>
  <c r="C486" i="8" s="1"/>
  <c r="G487" i="8"/>
  <c r="C487" i="8" s="1"/>
  <c r="G488" i="8"/>
  <c r="C488" i="8" s="1"/>
  <c r="G489" i="8"/>
  <c r="C489" i="8" s="1"/>
  <c r="G490" i="8"/>
  <c r="C490" i="8" s="1"/>
  <c r="G491" i="8"/>
  <c r="C491" i="8" s="1"/>
  <c r="G492" i="8"/>
  <c r="C492" i="8" s="1"/>
  <c r="G493" i="8"/>
  <c r="C493" i="8" s="1"/>
  <c r="G494" i="8"/>
  <c r="C494" i="8" s="1"/>
  <c r="G495" i="8"/>
  <c r="C495" i="8" s="1"/>
  <c r="G496" i="8"/>
  <c r="C496" i="8" s="1"/>
  <c r="G497" i="8"/>
  <c r="C497" i="8" s="1"/>
  <c r="G498" i="8"/>
  <c r="C498" i="8" s="1"/>
  <c r="G499" i="8"/>
  <c r="C499" i="8" s="1"/>
  <c r="G500" i="8"/>
  <c r="C500" i="8" s="1"/>
  <c r="G501" i="8"/>
  <c r="C501" i="8" s="1"/>
  <c r="G502" i="8"/>
  <c r="C502" i="8" s="1"/>
  <c r="G503" i="8"/>
  <c r="C503" i="8" s="1"/>
  <c r="G504" i="8"/>
  <c r="C504" i="8" s="1"/>
  <c r="G505" i="8"/>
  <c r="C505" i="8" s="1"/>
  <c r="G506" i="8"/>
  <c r="C506" i="8" s="1"/>
  <c r="G507" i="8"/>
  <c r="C507" i="8" s="1"/>
  <c r="G508" i="8"/>
  <c r="C508" i="8" s="1"/>
  <c r="G509" i="8"/>
  <c r="C509" i="8" s="1"/>
  <c r="G510" i="8"/>
  <c r="C510" i="8" s="1"/>
  <c r="G511" i="8"/>
  <c r="C511" i="8" s="1"/>
  <c r="G512" i="8"/>
  <c r="C512" i="8" s="1"/>
  <c r="G513" i="8"/>
  <c r="C513" i="8" s="1"/>
  <c r="G514" i="8"/>
  <c r="C514" i="8" s="1"/>
  <c r="G515" i="8"/>
  <c r="C515" i="8" s="1"/>
  <c r="G516" i="8"/>
  <c r="C516" i="8" s="1"/>
  <c r="G517" i="8"/>
  <c r="C517" i="8" s="1"/>
  <c r="G518" i="8"/>
  <c r="C518" i="8" s="1"/>
  <c r="G519" i="8"/>
  <c r="C519" i="8" s="1"/>
  <c r="G520" i="8"/>
  <c r="C520" i="8" s="1"/>
  <c r="G521" i="8"/>
  <c r="C521" i="8" s="1"/>
  <c r="G522" i="8"/>
  <c r="C522" i="8" s="1"/>
  <c r="G523" i="8"/>
  <c r="C523" i="8" s="1"/>
  <c r="G524" i="8"/>
  <c r="C524" i="8" s="1"/>
  <c r="G525" i="8"/>
  <c r="C525" i="8" s="1"/>
  <c r="G526" i="8"/>
  <c r="C526" i="8" s="1"/>
  <c r="G527" i="8"/>
  <c r="C527" i="8" s="1"/>
  <c r="G528" i="8"/>
  <c r="C528" i="8" s="1"/>
  <c r="G529" i="8"/>
  <c r="C529" i="8" s="1"/>
  <c r="G530" i="8"/>
  <c r="C530" i="8" s="1"/>
  <c r="G531" i="8"/>
  <c r="C531" i="8" s="1"/>
  <c r="G532" i="8"/>
  <c r="C532" i="8" s="1"/>
  <c r="G533" i="8"/>
  <c r="C533" i="8" s="1"/>
  <c r="G534" i="8"/>
  <c r="C534" i="8" s="1"/>
  <c r="G535" i="8"/>
  <c r="C535" i="8" s="1"/>
  <c r="G536" i="8"/>
  <c r="C536" i="8" s="1"/>
  <c r="G537" i="8"/>
  <c r="C537" i="8" s="1"/>
  <c r="G538" i="8"/>
  <c r="C538" i="8" s="1"/>
  <c r="G539" i="8"/>
  <c r="C539" i="8" s="1"/>
  <c r="G540" i="8"/>
  <c r="C540" i="8" s="1"/>
  <c r="G541" i="8"/>
  <c r="C541" i="8" s="1"/>
  <c r="G542" i="8"/>
  <c r="C542" i="8" s="1"/>
  <c r="G543" i="8"/>
  <c r="C543" i="8" s="1"/>
  <c r="G544" i="8"/>
  <c r="C544" i="8" s="1"/>
  <c r="G545" i="8"/>
  <c r="C545" i="8" s="1"/>
  <c r="G546" i="8"/>
  <c r="C546" i="8" s="1"/>
  <c r="G547" i="8"/>
  <c r="C547" i="8" s="1"/>
  <c r="G548" i="8"/>
  <c r="C548" i="8" s="1"/>
  <c r="G549" i="8"/>
  <c r="C549" i="8" s="1"/>
  <c r="G550" i="8"/>
  <c r="C550" i="8" s="1"/>
  <c r="G551" i="8"/>
  <c r="C551" i="8" s="1"/>
  <c r="G552" i="8"/>
  <c r="C552" i="8" s="1"/>
  <c r="G553" i="8"/>
  <c r="C553" i="8" s="1"/>
  <c r="G554" i="8"/>
  <c r="C554" i="8" s="1"/>
  <c r="G555" i="8"/>
  <c r="C555" i="8" s="1"/>
  <c r="G556" i="8"/>
  <c r="C556" i="8" s="1"/>
  <c r="G557" i="8"/>
  <c r="C557" i="8" s="1"/>
  <c r="G558" i="8"/>
  <c r="C558" i="8" s="1"/>
  <c r="G559" i="8"/>
  <c r="C559" i="8" s="1"/>
  <c r="G560" i="8"/>
  <c r="C560" i="8" s="1"/>
  <c r="G561" i="8"/>
  <c r="C561" i="8" s="1"/>
  <c r="G562" i="8"/>
  <c r="C562" i="8" s="1"/>
  <c r="G563" i="8"/>
  <c r="C563" i="8" s="1"/>
  <c r="G564" i="8"/>
  <c r="C564" i="8" s="1"/>
  <c r="G565" i="8"/>
  <c r="C565" i="8" s="1"/>
  <c r="G566" i="8"/>
  <c r="C566" i="8" s="1"/>
  <c r="G567" i="8"/>
  <c r="C567" i="8" s="1"/>
  <c r="G568" i="8"/>
  <c r="C568" i="8" s="1"/>
  <c r="G569" i="8"/>
  <c r="C569" i="8" s="1"/>
  <c r="G570" i="8"/>
  <c r="C570" i="8" s="1"/>
  <c r="G571" i="8"/>
  <c r="C571" i="8" s="1"/>
  <c r="G572" i="8"/>
  <c r="C572" i="8" s="1"/>
  <c r="G573" i="8"/>
  <c r="C573" i="8" s="1"/>
  <c r="G574" i="8"/>
  <c r="C574" i="8" s="1"/>
  <c r="G575" i="8"/>
  <c r="C575" i="8" s="1"/>
  <c r="G576" i="8"/>
  <c r="C576" i="8" s="1"/>
  <c r="G577" i="8"/>
  <c r="C577" i="8" s="1"/>
  <c r="G578" i="8"/>
  <c r="C578" i="8" s="1"/>
  <c r="G579" i="8"/>
  <c r="C579" i="8" s="1"/>
  <c r="G580" i="8"/>
  <c r="C580" i="8" s="1"/>
  <c r="G581" i="8"/>
  <c r="C581" i="8" s="1"/>
  <c r="G582" i="8"/>
  <c r="C582" i="8" s="1"/>
  <c r="G583" i="8"/>
  <c r="C583" i="8" s="1"/>
  <c r="G584" i="8"/>
  <c r="C584" i="8" s="1"/>
  <c r="G585" i="8"/>
  <c r="C585" i="8" s="1"/>
  <c r="G586" i="8"/>
  <c r="C586" i="8" s="1"/>
  <c r="G587" i="8"/>
  <c r="C587" i="8" s="1"/>
  <c r="G588" i="8"/>
  <c r="C588" i="8" s="1"/>
  <c r="G589" i="8"/>
  <c r="C589" i="8" s="1"/>
  <c r="G590" i="8"/>
  <c r="C590" i="8" s="1"/>
  <c r="G591" i="8"/>
  <c r="C591" i="8" s="1"/>
  <c r="G592" i="8"/>
  <c r="C592" i="8" s="1"/>
  <c r="G593" i="8"/>
  <c r="C593" i="8" s="1"/>
  <c r="G594" i="8"/>
  <c r="C594" i="8" s="1"/>
  <c r="G595" i="8"/>
  <c r="C595" i="8" s="1"/>
  <c r="G596" i="8"/>
  <c r="C596" i="8" s="1"/>
  <c r="G597" i="8"/>
  <c r="C597" i="8" s="1"/>
  <c r="G598" i="8"/>
  <c r="C598" i="8" s="1"/>
  <c r="G599" i="8"/>
  <c r="C599" i="8" s="1"/>
  <c r="G600" i="8"/>
  <c r="C600" i="8" s="1"/>
  <c r="G601" i="8"/>
  <c r="C601" i="8" s="1"/>
  <c r="G602" i="8"/>
  <c r="C602" i="8" s="1"/>
  <c r="G603" i="8"/>
  <c r="C603" i="8" s="1"/>
  <c r="G604" i="8"/>
  <c r="C604" i="8" s="1"/>
  <c r="G605" i="8"/>
  <c r="C605" i="8" s="1"/>
  <c r="G606" i="8"/>
  <c r="C606" i="8" s="1"/>
  <c r="G607" i="8"/>
  <c r="C607" i="8" s="1"/>
  <c r="G608" i="8"/>
  <c r="C608" i="8" s="1"/>
  <c r="G609" i="8"/>
  <c r="C609" i="8" s="1"/>
  <c r="G610" i="8"/>
  <c r="C610" i="8" s="1"/>
  <c r="G611" i="8"/>
  <c r="C611" i="8" s="1"/>
  <c r="G612" i="8"/>
  <c r="C612" i="8" s="1"/>
  <c r="G613" i="8"/>
  <c r="C613" i="8" s="1"/>
  <c r="G614" i="8"/>
  <c r="C614" i="8" s="1"/>
  <c r="G615" i="8"/>
  <c r="C615" i="8" s="1"/>
  <c r="G616" i="8"/>
  <c r="C616" i="8" s="1"/>
  <c r="G617" i="8"/>
  <c r="C617" i="8" s="1"/>
  <c r="G618" i="8"/>
  <c r="C618" i="8" s="1"/>
  <c r="G619" i="8"/>
  <c r="C619" i="8" s="1"/>
  <c r="G620" i="8"/>
  <c r="C620" i="8" s="1"/>
  <c r="G621" i="8"/>
  <c r="C621" i="8" s="1"/>
  <c r="G622" i="8"/>
  <c r="C622" i="8" s="1"/>
  <c r="G623" i="8"/>
  <c r="C623" i="8" s="1"/>
  <c r="G624" i="8"/>
  <c r="C624" i="8" s="1"/>
  <c r="G625" i="8"/>
  <c r="C625" i="8" s="1"/>
  <c r="G626" i="8"/>
  <c r="C626" i="8" s="1"/>
  <c r="G627" i="8"/>
  <c r="C627" i="8" s="1"/>
  <c r="G628" i="8"/>
  <c r="C628" i="8" s="1"/>
  <c r="G629" i="8"/>
  <c r="C629" i="8" s="1"/>
  <c r="G630" i="8"/>
  <c r="C630" i="8" s="1"/>
  <c r="G631" i="8"/>
  <c r="C631" i="8" s="1"/>
  <c r="G632" i="8"/>
  <c r="C632" i="8" s="1"/>
  <c r="G633" i="8"/>
  <c r="C633" i="8" s="1"/>
  <c r="G634" i="8"/>
  <c r="C634" i="8" s="1"/>
  <c r="G635" i="8"/>
  <c r="C635" i="8" s="1"/>
  <c r="G636" i="8"/>
  <c r="C636" i="8" s="1"/>
  <c r="G637" i="8"/>
  <c r="C637" i="8" s="1"/>
  <c r="G638" i="8"/>
  <c r="C638" i="8" s="1"/>
  <c r="G639" i="8"/>
  <c r="C639" i="8" s="1"/>
  <c r="G640" i="8"/>
  <c r="C640" i="8" s="1"/>
  <c r="G641" i="8"/>
  <c r="C641" i="8" s="1"/>
  <c r="G642" i="8"/>
  <c r="C642" i="8" s="1"/>
  <c r="G643" i="8"/>
  <c r="C643" i="8" s="1"/>
  <c r="G644" i="8"/>
  <c r="C644" i="8" s="1"/>
  <c r="G645" i="8"/>
  <c r="C645" i="8" s="1"/>
  <c r="G646" i="8"/>
  <c r="C646" i="8" s="1"/>
  <c r="G647" i="8"/>
  <c r="C647" i="8" s="1"/>
  <c r="G648" i="8"/>
  <c r="C648" i="8" s="1"/>
  <c r="G649" i="8"/>
  <c r="C649" i="8" s="1"/>
  <c r="G650" i="8"/>
  <c r="C650" i="8" s="1"/>
  <c r="G651" i="8"/>
  <c r="C651" i="8" s="1"/>
  <c r="G652" i="8"/>
  <c r="C652" i="8" s="1"/>
  <c r="G653" i="8"/>
  <c r="C653" i="8" s="1"/>
  <c r="G654" i="8"/>
  <c r="C654" i="8" s="1"/>
  <c r="G655" i="8"/>
  <c r="C655" i="8" s="1"/>
  <c r="G656" i="8"/>
  <c r="C656" i="8" s="1"/>
  <c r="G657" i="8"/>
  <c r="C657" i="8" s="1"/>
  <c r="G658" i="8"/>
  <c r="C658" i="8" s="1"/>
  <c r="G659" i="8"/>
  <c r="C659" i="8" s="1"/>
  <c r="G660" i="8"/>
  <c r="C660" i="8" s="1"/>
  <c r="G661" i="8"/>
  <c r="C661" i="8" s="1"/>
  <c r="G662" i="8"/>
  <c r="C662" i="8" s="1"/>
  <c r="G663" i="8"/>
  <c r="C663" i="8" s="1"/>
  <c r="G664" i="8"/>
  <c r="C664" i="8" s="1"/>
  <c r="G665" i="8"/>
  <c r="C665" i="8" s="1"/>
  <c r="G666" i="8"/>
  <c r="C666" i="8" s="1"/>
  <c r="G667" i="8"/>
  <c r="C667" i="8" s="1"/>
  <c r="G668" i="8"/>
  <c r="C668" i="8" s="1"/>
  <c r="G669" i="8"/>
  <c r="C669" i="8" s="1"/>
  <c r="G670" i="8"/>
  <c r="C670" i="8" s="1"/>
  <c r="G671" i="8"/>
  <c r="C671" i="8" s="1"/>
  <c r="G672" i="8"/>
  <c r="C672" i="8" s="1"/>
  <c r="G673" i="8"/>
  <c r="C673" i="8" s="1"/>
  <c r="G674" i="8"/>
  <c r="C674" i="8" s="1"/>
  <c r="G675" i="8"/>
  <c r="C675" i="8" s="1"/>
  <c r="G676" i="8"/>
  <c r="C676" i="8" s="1"/>
  <c r="G677" i="8"/>
  <c r="C677" i="8" s="1"/>
  <c r="G678" i="8"/>
  <c r="C678" i="8" s="1"/>
  <c r="G679" i="8"/>
  <c r="C679" i="8" s="1"/>
  <c r="G680" i="8"/>
  <c r="C680" i="8" s="1"/>
  <c r="G681" i="8"/>
  <c r="C681" i="8" s="1"/>
  <c r="G682" i="8"/>
  <c r="C682" i="8" s="1"/>
  <c r="G683" i="8"/>
  <c r="C683" i="8" s="1"/>
  <c r="G684" i="8"/>
  <c r="C684" i="8" s="1"/>
  <c r="G685" i="8"/>
  <c r="C685" i="8" s="1"/>
  <c r="G686" i="8"/>
  <c r="C686" i="8" s="1"/>
  <c r="G687" i="8"/>
  <c r="C687" i="8" s="1"/>
  <c r="G688" i="8"/>
  <c r="C688" i="8" s="1"/>
  <c r="G689" i="8"/>
  <c r="C689" i="8" s="1"/>
  <c r="G690" i="8"/>
  <c r="C690" i="8" s="1"/>
  <c r="G691" i="8"/>
  <c r="C691" i="8" s="1"/>
  <c r="G692" i="8"/>
  <c r="C692" i="8" s="1"/>
  <c r="G693" i="8"/>
  <c r="C693" i="8" s="1"/>
  <c r="G694" i="8"/>
  <c r="C694" i="8" s="1"/>
  <c r="G695" i="8"/>
  <c r="C695" i="8" s="1"/>
  <c r="G696" i="8"/>
  <c r="C696" i="8" s="1"/>
  <c r="G697" i="8"/>
  <c r="C697" i="8" s="1"/>
  <c r="G698" i="8"/>
  <c r="C698" i="8" s="1"/>
  <c r="G699" i="8"/>
  <c r="C699" i="8" s="1"/>
  <c r="G700" i="8"/>
  <c r="C700" i="8" s="1"/>
  <c r="G701" i="8"/>
  <c r="C701" i="8" s="1"/>
  <c r="G702" i="8"/>
  <c r="C702" i="8" s="1"/>
  <c r="G703" i="8"/>
  <c r="C703" i="8" s="1"/>
  <c r="G704" i="8"/>
  <c r="C704" i="8" s="1"/>
  <c r="G705" i="8"/>
  <c r="C705" i="8" s="1"/>
  <c r="G706" i="8"/>
  <c r="C706" i="8" s="1"/>
  <c r="G707" i="8"/>
  <c r="C707" i="8" s="1"/>
  <c r="G708" i="8"/>
  <c r="C708" i="8" s="1"/>
  <c r="G709" i="8"/>
  <c r="C709" i="8" s="1"/>
  <c r="G710" i="8"/>
  <c r="C710" i="8" s="1"/>
  <c r="G711" i="8"/>
  <c r="C711" i="8" s="1"/>
  <c r="G712" i="8"/>
  <c r="C712" i="8" s="1"/>
  <c r="G713" i="8"/>
  <c r="C713" i="8" s="1"/>
  <c r="G714" i="8"/>
  <c r="C714" i="8" s="1"/>
  <c r="G715" i="8"/>
  <c r="C715" i="8" s="1"/>
  <c r="G716" i="8"/>
  <c r="C716" i="8" s="1"/>
  <c r="G717" i="8"/>
  <c r="C717" i="8" s="1"/>
  <c r="G718" i="8"/>
  <c r="C718" i="8" s="1"/>
  <c r="G719" i="8"/>
  <c r="C719" i="8" s="1"/>
  <c r="G720" i="8"/>
  <c r="C720" i="8" s="1"/>
  <c r="G721" i="8"/>
  <c r="C721" i="8" s="1"/>
  <c r="G722" i="8"/>
  <c r="C722" i="8" s="1"/>
  <c r="G723" i="8"/>
  <c r="C723" i="8" s="1"/>
  <c r="G724" i="8"/>
  <c r="C724" i="8" s="1"/>
  <c r="G725" i="8"/>
  <c r="C725" i="8" s="1"/>
  <c r="G726" i="8"/>
  <c r="C726" i="8" s="1"/>
  <c r="G727" i="8"/>
  <c r="C727" i="8" s="1"/>
  <c r="G728" i="8"/>
  <c r="C728" i="8" s="1"/>
  <c r="G729" i="8"/>
  <c r="C729" i="8" s="1"/>
  <c r="G730" i="8"/>
  <c r="C730" i="8" s="1"/>
  <c r="G731" i="8"/>
  <c r="C731" i="8" s="1"/>
  <c r="G732" i="8"/>
  <c r="C732" i="8" s="1"/>
  <c r="G733" i="8"/>
  <c r="C733" i="8" s="1"/>
  <c r="G734" i="8"/>
  <c r="C734" i="8" s="1"/>
  <c r="G735" i="8"/>
  <c r="C735" i="8" s="1"/>
  <c r="G736" i="8"/>
  <c r="C736" i="8" s="1"/>
  <c r="G737" i="8"/>
  <c r="C737" i="8" s="1"/>
  <c r="G738" i="8"/>
  <c r="C738" i="8" s="1"/>
  <c r="G739" i="8"/>
  <c r="C739" i="8" s="1"/>
  <c r="G740" i="8"/>
  <c r="C740" i="8" s="1"/>
  <c r="G741" i="8"/>
  <c r="C741" i="8" s="1"/>
  <c r="G742" i="8"/>
  <c r="C742" i="8" s="1"/>
  <c r="G743" i="8"/>
  <c r="C743" i="8" s="1"/>
  <c r="G744" i="8"/>
  <c r="C744" i="8" s="1"/>
  <c r="G745" i="8"/>
  <c r="C745" i="8" s="1"/>
  <c r="G746" i="8"/>
  <c r="C746" i="8" s="1"/>
  <c r="G747" i="8"/>
  <c r="C747" i="8" s="1"/>
  <c r="G748" i="8"/>
  <c r="C748" i="8" s="1"/>
  <c r="G749" i="8"/>
  <c r="C749" i="8" s="1"/>
  <c r="G750" i="8"/>
  <c r="C750" i="8" s="1"/>
  <c r="G751" i="8"/>
  <c r="C751" i="8" s="1"/>
  <c r="G752" i="8"/>
  <c r="C752" i="8" s="1"/>
  <c r="G753" i="8"/>
  <c r="C753" i="8" s="1"/>
  <c r="G754" i="8"/>
  <c r="C754" i="8" s="1"/>
  <c r="G755" i="8"/>
  <c r="C755" i="8" s="1"/>
  <c r="G756" i="8"/>
  <c r="C756" i="8" s="1"/>
  <c r="G757" i="8"/>
  <c r="C757" i="8" s="1"/>
  <c r="G758" i="8"/>
  <c r="C758" i="8" s="1"/>
  <c r="G759" i="8"/>
  <c r="C759" i="8" s="1"/>
  <c r="G760" i="8"/>
  <c r="C760" i="8" s="1"/>
  <c r="G761" i="8"/>
  <c r="C761" i="8" s="1"/>
  <c r="G762" i="8"/>
  <c r="C762" i="8" s="1"/>
  <c r="G763" i="8"/>
  <c r="C763" i="8" s="1"/>
  <c r="G764" i="8"/>
  <c r="C764" i="8" s="1"/>
  <c r="G765" i="8"/>
  <c r="C765" i="8" s="1"/>
  <c r="G766" i="8"/>
  <c r="C766" i="8" s="1"/>
  <c r="G767" i="8"/>
  <c r="C767" i="8" s="1"/>
  <c r="G768" i="8"/>
  <c r="C768" i="8" s="1"/>
  <c r="G769" i="8"/>
  <c r="C769" i="8" s="1"/>
  <c r="G770" i="8"/>
  <c r="C770" i="8" s="1"/>
  <c r="G771" i="8"/>
  <c r="C771" i="8" s="1"/>
  <c r="G772" i="8"/>
  <c r="C772" i="8" s="1"/>
  <c r="G773" i="8"/>
  <c r="C773" i="8" s="1"/>
  <c r="G774" i="8"/>
  <c r="C774" i="8" s="1"/>
  <c r="G775" i="8"/>
  <c r="C775" i="8" s="1"/>
  <c r="G776" i="8"/>
  <c r="C776" i="8" s="1"/>
  <c r="G777" i="8"/>
  <c r="C777" i="8" s="1"/>
  <c r="G778" i="8"/>
  <c r="C778" i="8" s="1"/>
  <c r="G779" i="8"/>
  <c r="C779" i="8" s="1"/>
  <c r="G780" i="8"/>
  <c r="C780" i="8" s="1"/>
  <c r="G781" i="8"/>
  <c r="C781" i="8" s="1"/>
  <c r="G782" i="8"/>
  <c r="C782" i="8" s="1"/>
  <c r="G783" i="8"/>
  <c r="C783" i="8" s="1"/>
  <c r="G784" i="8"/>
  <c r="C784" i="8" s="1"/>
  <c r="G785" i="8"/>
  <c r="C785" i="8" s="1"/>
  <c r="G786" i="8"/>
  <c r="C786" i="8" s="1"/>
  <c r="G787" i="8"/>
  <c r="C787" i="8" s="1"/>
  <c r="G788" i="8"/>
  <c r="C788" i="8" s="1"/>
  <c r="G789" i="8"/>
  <c r="C789" i="8" s="1"/>
  <c r="G790" i="8"/>
  <c r="C790" i="8" s="1"/>
  <c r="G791" i="8"/>
  <c r="C791" i="8" s="1"/>
  <c r="G792" i="8"/>
  <c r="C792" i="8" s="1"/>
  <c r="G793" i="8"/>
  <c r="C793" i="8" s="1"/>
  <c r="G794" i="8"/>
  <c r="C794" i="8" s="1"/>
  <c r="G795" i="8"/>
  <c r="C795" i="8" s="1"/>
  <c r="G796" i="8"/>
  <c r="C796" i="8" s="1"/>
  <c r="G797" i="8"/>
  <c r="C797" i="8" s="1"/>
  <c r="G798" i="8"/>
  <c r="C798" i="8" s="1"/>
  <c r="G799" i="8"/>
  <c r="C799" i="8" s="1"/>
  <c r="G800" i="8"/>
  <c r="C800" i="8" s="1"/>
  <c r="G801" i="8"/>
  <c r="C801" i="8" s="1"/>
  <c r="G802" i="8"/>
  <c r="C802" i="8" s="1"/>
  <c r="G803" i="8"/>
  <c r="C803" i="8" s="1"/>
  <c r="G804" i="8"/>
  <c r="C804" i="8" s="1"/>
  <c r="G805" i="8"/>
  <c r="C805" i="8" s="1"/>
  <c r="G806" i="8"/>
  <c r="C806" i="8" s="1"/>
  <c r="G807" i="8"/>
  <c r="C807" i="8" s="1"/>
  <c r="G808" i="8"/>
  <c r="C808" i="8" s="1"/>
  <c r="G809" i="8"/>
  <c r="C809" i="8" s="1"/>
  <c r="G810" i="8"/>
  <c r="C810" i="8" s="1"/>
  <c r="G811" i="8"/>
  <c r="C811" i="8" s="1"/>
  <c r="G812" i="8"/>
  <c r="C812" i="8" s="1"/>
  <c r="G813" i="8"/>
  <c r="C813" i="8" s="1"/>
  <c r="G814" i="8"/>
  <c r="C814" i="8" s="1"/>
  <c r="G815" i="8"/>
  <c r="C815" i="8" s="1"/>
  <c r="G816" i="8"/>
  <c r="C816" i="8" s="1"/>
  <c r="G817" i="8"/>
  <c r="C817" i="8" s="1"/>
  <c r="G818" i="8"/>
  <c r="C818" i="8" s="1"/>
  <c r="G819" i="8"/>
  <c r="C819" i="8" s="1"/>
  <c r="G820" i="8"/>
  <c r="C820" i="8" s="1"/>
  <c r="G821" i="8"/>
  <c r="C821" i="8" s="1"/>
  <c r="G822" i="8"/>
  <c r="C822" i="8" s="1"/>
  <c r="G823" i="8"/>
  <c r="C823" i="8" s="1"/>
  <c r="G824" i="8"/>
  <c r="C824" i="8" s="1"/>
  <c r="G825" i="8"/>
  <c r="C825" i="8" s="1"/>
  <c r="G826" i="8"/>
  <c r="C826" i="8" s="1"/>
  <c r="G827" i="8"/>
  <c r="C827" i="8" s="1"/>
  <c r="G828" i="8"/>
  <c r="C828" i="8" s="1"/>
  <c r="G829" i="8"/>
  <c r="C829" i="8" s="1"/>
  <c r="G830" i="8"/>
  <c r="C830" i="8" s="1"/>
  <c r="G831" i="8"/>
  <c r="C831" i="8" s="1"/>
  <c r="G832" i="8"/>
  <c r="C832" i="8" s="1"/>
  <c r="G833" i="8"/>
  <c r="C833" i="8" s="1"/>
  <c r="G834" i="8"/>
  <c r="C834" i="8" s="1"/>
  <c r="G835" i="8"/>
  <c r="C835" i="8" s="1"/>
  <c r="G836" i="8"/>
  <c r="C836" i="8" s="1"/>
  <c r="G837" i="8"/>
  <c r="C837" i="8" s="1"/>
  <c r="G838" i="8"/>
  <c r="C838" i="8" s="1"/>
  <c r="G839" i="8"/>
  <c r="C839" i="8" s="1"/>
  <c r="G840" i="8"/>
  <c r="C840" i="8" s="1"/>
  <c r="G841" i="8"/>
  <c r="C841" i="8" s="1"/>
  <c r="G842" i="8"/>
  <c r="C842" i="8" s="1"/>
  <c r="G843" i="8"/>
  <c r="C843" i="8" s="1"/>
  <c r="G844" i="8"/>
  <c r="C844" i="8" s="1"/>
  <c r="G845" i="8"/>
  <c r="C845" i="8" s="1"/>
  <c r="G846" i="8"/>
  <c r="C846" i="8" s="1"/>
  <c r="G847" i="8"/>
  <c r="C847" i="8" s="1"/>
  <c r="G848" i="8"/>
  <c r="C848" i="8" s="1"/>
  <c r="G849" i="8"/>
  <c r="C849" i="8" s="1"/>
  <c r="G850" i="8"/>
  <c r="C850" i="8" s="1"/>
  <c r="G851" i="8"/>
  <c r="C851" i="8" s="1"/>
  <c r="G852" i="8"/>
  <c r="C852" i="8" s="1"/>
  <c r="G853" i="8"/>
  <c r="C853" i="8" s="1"/>
  <c r="G854" i="8"/>
  <c r="C854" i="8" s="1"/>
  <c r="G855" i="8"/>
  <c r="C855" i="8" s="1"/>
  <c r="G856" i="8"/>
  <c r="C856" i="8" s="1"/>
  <c r="G857" i="8"/>
  <c r="C857" i="8" s="1"/>
  <c r="G858" i="8"/>
  <c r="C858" i="8" s="1"/>
  <c r="G859" i="8"/>
  <c r="C859" i="8" s="1"/>
  <c r="G860" i="8"/>
  <c r="C860" i="8" s="1"/>
  <c r="G861" i="8"/>
  <c r="C861" i="8" s="1"/>
  <c r="G862" i="8"/>
  <c r="C862" i="8" s="1"/>
  <c r="G863" i="8"/>
  <c r="C863" i="8" s="1"/>
  <c r="G864" i="8"/>
  <c r="C864" i="8" s="1"/>
  <c r="G865" i="8"/>
  <c r="C865" i="8" s="1"/>
  <c r="G866" i="8"/>
  <c r="C866" i="8" s="1"/>
  <c r="G867" i="8"/>
  <c r="C867" i="8" s="1"/>
  <c r="G868" i="8"/>
  <c r="C868" i="8" s="1"/>
  <c r="G869" i="8"/>
  <c r="C869" i="8" s="1"/>
  <c r="G870" i="8"/>
  <c r="C870" i="8" s="1"/>
  <c r="G871" i="8"/>
  <c r="C871" i="8" s="1"/>
  <c r="G872" i="8"/>
  <c r="C872" i="8" s="1"/>
  <c r="G873" i="8"/>
  <c r="C873" i="8" s="1"/>
  <c r="G874" i="8"/>
  <c r="C874" i="8" s="1"/>
  <c r="G875" i="8"/>
  <c r="C875" i="8" s="1"/>
  <c r="G876" i="8"/>
  <c r="C876" i="8" s="1"/>
  <c r="G877" i="8"/>
  <c r="C877" i="8" s="1"/>
  <c r="G878" i="8"/>
  <c r="C878" i="8" s="1"/>
  <c r="G879" i="8"/>
  <c r="C879" i="8" s="1"/>
  <c r="G880" i="8"/>
  <c r="C880" i="8" s="1"/>
  <c r="G881" i="8"/>
  <c r="C881" i="8" s="1"/>
  <c r="G882" i="8"/>
  <c r="C882" i="8" s="1"/>
  <c r="G883" i="8"/>
  <c r="C883" i="8" s="1"/>
  <c r="G884" i="8"/>
  <c r="C884" i="8" s="1"/>
  <c r="G885" i="8"/>
  <c r="C885" i="8" s="1"/>
  <c r="G886" i="8"/>
  <c r="C886" i="8" s="1"/>
  <c r="G887" i="8"/>
  <c r="C887" i="8" s="1"/>
  <c r="G888" i="8"/>
  <c r="C888" i="8" s="1"/>
  <c r="G889" i="8"/>
  <c r="C889" i="8" s="1"/>
  <c r="G890" i="8"/>
  <c r="C890" i="8" s="1"/>
  <c r="G891" i="8"/>
  <c r="C891" i="8" s="1"/>
  <c r="G892" i="8"/>
  <c r="C892" i="8" s="1"/>
  <c r="G893" i="8"/>
  <c r="C893" i="8" s="1"/>
  <c r="G894" i="8"/>
  <c r="C894" i="8" s="1"/>
  <c r="G895" i="8"/>
  <c r="C895" i="8" s="1"/>
  <c r="G896" i="8"/>
  <c r="C896" i="8" s="1"/>
  <c r="G897" i="8"/>
  <c r="C897" i="8" s="1"/>
  <c r="G898" i="8"/>
  <c r="C898" i="8" s="1"/>
  <c r="G899" i="8"/>
  <c r="C899" i="8" s="1"/>
  <c r="G900" i="8"/>
  <c r="C900" i="8" s="1"/>
  <c r="G901" i="8"/>
  <c r="C901" i="8" s="1"/>
  <c r="G902" i="8"/>
  <c r="C902" i="8" s="1"/>
  <c r="G903" i="8"/>
  <c r="C903" i="8" s="1"/>
  <c r="G904" i="8"/>
  <c r="C904" i="8" s="1"/>
  <c r="G905" i="8"/>
  <c r="C905" i="8" s="1"/>
  <c r="G906" i="8"/>
  <c r="C906" i="8" s="1"/>
  <c r="G907" i="8"/>
  <c r="C907" i="8" s="1"/>
  <c r="G908" i="8"/>
  <c r="C908" i="8" s="1"/>
  <c r="G909" i="8"/>
  <c r="C909" i="8" s="1"/>
  <c r="G910" i="8"/>
  <c r="C910" i="8" s="1"/>
  <c r="G911" i="8"/>
  <c r="C911" i="8" s="1"/>
  <c r="G912" i="8"/>
  <c r="C912" i="8" s="1"/>
  <c r="G913" i="8"/>
  <c r="C913" i="8" s="1"/>
  <c r="G914" i="8"/>
  <c r="C914" i="8" s="1"/>
  <c r="G915" i="8"/>
  <c r="C915" i="8" s="1"/>
  <c r="G916" i="8"/>
  <c r="C916" i="8" s="1"/>
  <c r="G917" i="8"/>
  <c r="C917" i="8" s="1"/>
  <c r="G918" i="8"/>
  <c r="C918" i="8" s="1"/>
  <c r="G919" i="8"/>
  <c r="C919" i="8" s="1"/>
  <c r="G920" i="8"/>
  <c r="C920" i="8" s="1"/>
  <c r="G921" i="8"/>
  <c r="C921" i="8" s="1"/>
  <c r="G922" i="8"/>
  <c r="C922" i="8" s="1"/>
  <c r="G923" i="8"/>
  <c r="C923" i="8" s="1"/>
  <c r="G924" i="8"/>
  <c r="C924" i="8" s="1"/>
  <c r="G925" i="8"/>
  <c r="C925" i="8" s="1"/>
  <c r="G926" i="8"/>
  <c r="C926" i="8" s="1"/>
  <c r="G927" i="8"/>
  <c r="C927" i="8" s="1"/>
  <c r="G928" i="8"/>
  <c r="C928" i="8" s="1"/>
  <c r="G929" i="8"/>
  <c r="C929" i="8" s="1"/>
  <c r="G930" i="8"/>
  <c r="C930" i="8" s="1"/>
  <c r="G931" i="8"/>
  <c r="C931" i="8" s="1"/>
  <c r="G932" i="8"/>
  <c r="C932" i="8" s="1"/>
  <c r="G933" i="8"/>
  <c r="C933" i="8" s="1"/>
  <c r="G934" i="8"/>
  <c r="C934" i="8" s="1"/>
  <c r="G935" i="8"/>
  <c r="C935" i="8" s="1"/>
  <c r="G936" i="8"/>
  <c r="C936" i="8" s="1"/>
  <c r="G937" i="8"/>
  <c r="C937" i="8" s="1"/>
  <c r="G938" i="8"/>
  <c r="C938" i="8" s="1"/>
  <c r="G939" i="8"/>
  <c r="C939" i="8" s="1"/>
  <c r="G940" i="8"/>
  <c r="C940" i="8" s="1"/>
  <c r="G941" i="8"/>
  <c r="C941" i="8" s="1"/>
  <c r="G942" i="8"/>
  <c r="C942" i="8" s="1"/>
  <c r="G943" i="8"/>
  <c r="C943" i="8" s="1"/>
  <c r="G944" i="8"/>
  <c r="C944" i="8" s="1"/>
  <c r="G945" i="8"/>
  <c r="C945" i="8" s="1"/>
  <c r="G946" i="8"/>
  <c r="C946" i="8" s="1"/>
  <c r="G947" i="8"/>
  <c r="C947" i="8" s="1"/>
  <c r="G948" i="8"/>
  <c r="C948" i="8" s="1"/>
  <c r="G949" i="8"/>
  <c r="C949" i="8" s="1"/>
  <c r="G950" i="8"/>
  <c r="C950" i="8" s="1"/>
  <c r="G951" i="8"/>
  <c r="C951" i="8" s="1"/>
  <c r="G952" i="8"/>
  <c r="C952" i="8" s="1"/>
  <c r="G953" i="8"/>
  <c r="C953" i="8" s="1"/>
  <c r="G954" i="8"/>
  <c r="C954" i="8" s="1"/>
  <c r="G955" i="8"/>
  <c r="C955" i="8" s="1"/>
  <c r="G956" i="8"/>
  <c r="C956" i="8" s="1"/>
  <c r="G957" i="8"/>
  <c r="C957" i="8" s="1"/>
  <c r="G958" i="8"/>
  <c r="C958" i="8" s="1"/>
  <c r="G959" i="8"/>
  <c r="C959" i="8" s="1"/>
  <c r="G960" i="8"/>
  <c r="C960" i="8" s="1"/>
  <c r="G961" i="8"/>
  <c r="C961" i="8" s="1"/>
  <c r="G962" i="8"/>
  <c r="C962" i="8" s="1"/>
  <c r="G963" i="8"/>
  <c r="C963" i="8" s="1"/>
  <c r="G964" i="8"/>
  <c r="C964" i="8" s="1"/>
  <c r="G965" i="8"/>
  <c r="C965" i="8" s="1"/>
  <c r="G966" i="8"/>
  <c r="C966" i="8" s="1"/>
  <c r="G967" i="8"/>
  <c r="C967" i="8" s="1"/>
  <c r="G968" i="8"/>
  <c r="C968" i="8" s="1"/>
  <c r="G969" i="8"/>
  <c r="C969" i="8" s="1"/>
  <c r="G970" i="8"/>
  <c r="C970" i="8" s="1"/>
  <c r="G971" i="8"/>
  <c r="C971" i="8" s="1"/>
  <c r="G972" i="8"/>
  <c r="C972" i="8" s="1"/>
  <c r="G973" i="8"/>
  <c r="C973" i="8" s="1"/>
  <c r="G974" i="8"/>
  <c r="C974" i="8" s="1"/>
  <c r="G975" i="8"/>
  <c r="C975" i="8" s="1"/>
  <c r="G976" i="8"/>
  <c r="C976" i="8" s="1"/>
  <c r="G977" i="8"/>
  <c r="C977" i="8" s="1"/>
  <c r="G978" i="8"/>
  <c r="C978" i="8" s="1"/>
  <c r="G979" i="8"/>
  <c r="C979" i="8" s="1"/>
  <c r="G980" i="8"/>
  <c r="C980" i="8" s="1"/>
  <c r="G981" i="8"/>
  <c r="C981" i="8" s="1"/>
  <c r="G982" i="8"/>
  <c r="C982" i="8" s="1"/>
  <c r="G983" i="8"/>
  <c r="C983" i="8" s="1"/>
  <c r="G984" i="8"/>
  <c r="C984" i="8" s="1"/>
  <c r="G985" i="8"/>
  <c r="C985" i="8" s="1"/>
  <c r="G986" i="8"/>
  <c r="C986" i="8" s="1"/>
  <c r="G987" i="8"/>
  <c r="C987" i="8" s="1"/>
  <c r="G988" i="8"/>
  <c r="C988" i="8" s="1"/>
  <c r="G989" i="8"/>
  <c r="C989" i="8" s="1"/>
  <c r="G990" i="8"/>
  <c r="C990" i="8" s="1"/>
  <c r="G991" i="8"/>
  <c r="C991" i="8" s="1"/>
  <c r="G992" i="8"/>
  <c r="C992" i="8" s="1"/>
  <c r="G993" i="8"/>
  <c r="C993" i="8" s="1"/>
  <c r="G994" i="8"/>
  <c r="C994" i="8" s="1"/>
  <c r="G995" i="8"/>
  <c r="C995" i="8" s="1"/>
  <c r="G996" i="8"/>
  <c r="C996" i="8" s="1"/>
  <c r="G997" i="8"/>
  <c r="C997" i="8" s="1"/>
  <c r="G998" i="8"/>
  <c r="C998" i="8" s="1"/>
  <c r="G999" i="8"/>
  <c r="C999" i="8" s="1"/>
  <c r="G1000" i="8"/>
  <c r="C1000" i="8" s="1"/>
  <c r="G1001" i="8"/>
  <c r="C1001" i="8" s="1"/>
  <c r="G1002" i="8"/>
  <c r="C1002" i="8" s="1"/>
  <c r="G1003" i="8"/>
  <c r="C1003" i="8" s="1"/>
  <c r="G1004" i="8"/>
  <c r="C1004" i="8" s="1"/>
  <c r="G1005" i="8"/>
  <c r="C1005" i="8" s="1"/>
  <c r="G1006" i="8"/>
  <c r="C1006" i="8" s="1"/>
  <c r="G1007" i="8"/>
  <c r="C1007" i="8" s="1"/>
  <c r="G1008" i="8"/>
  <c r="C1008" i="8" s="1"/>
  <c r="G1009" i="8"/>
  <c r="C1009" i="8" s="1"/>
  <c r="G1010" i="8"/>
  <c r="C1010" i="8" s="1"/>
  <c r="G1011" i="8"/>
  <c r="C1011" i="8" s="1"/>
  <c r="G1012" i="8"/>
  <c r="C1012" i="8" s="1"/>
  <c r="G1013" i="8"/>
  <c r="C1013" i="8" s="1"/>
  <c r="G1014" i="8"/>
  <c r="C1014" i="8" s="1"/>
  <c r="G1015" i="8"/>
  <c r="C1015" i="8" s="1"/>
  <c r="G1016" i="8"/>
  <c r="C1016" i="8" s="1"/>
  <c r="G1017" i="8"/>
  <c r="C1017" i="8" s="1"/>
  <c r="G1018" i="8"/>
  <c r="C1018" i="8" s="1"/>
  <c r="G1019" i="8"/>
  <c r="C1019" i="8" s="1"/>
  <c r="G1020" i="8"/>
  <c r="C1020" i="8" s="1"/>
  <c r="G1021" i="8"/>
  <c r="C1021" i="8" s="1"/>
  <c r="G1022" i="8"/>
  <c r="C1022" i="8" s="1"/>
  <c r="G1023" i="8"/>
  <c r="C1023" i="8" s="1"/>
  <c r="G1024" i="8"/>
  <c r="C1024" i="8" s="1"/>
  <c r="G1025" i="8"/>
  <c r="C1025" i="8" s="1"/>
  <c r="G1026" i="8"/>
  <c r="C1026" i="8" s="1"/>
  <c r="G1027" i="8"/>
  <c r="C1027" i="8" s="1"/>
  <c r="G1028" i="8"/>
  <c r="C1028" i="8" s="1"/>
  <c r="G1029" i="8"/>
  <c r="C1029" i="8" s="1"/>
  <c r="G1030" i="8"/>
  <c r="C1030" i="8" s="1"/>
  <c r="G1031" i="8"/>
  <c r="C1031" i="8" s="1"/>
  <c r="G1032" i="8"/>
  <c r="C1032" i="8" s="1"/>
  <c r="G1033" i="8"/>
  <c r="C1033" i="8" s="1"/>
  <c r="G1034" i="8"/>
  <c r="C1034" i="8" s="1"/>
  <c r="G1035" i="8"/>
  <c r="C1035" i="8" s="1"/>
  <c r="G1036" i="8"/>
  <c r="C1036" i="8" s="1"/>
  <c r="G1037" i="8"/>
  <c r="C1037" i="8" s="1"/>
  <c r="G1038" i="8"/>
  <c r="C1038" i="8" s="1"/>
  <c r="G1039" i="8"/>
  <c r="C1039" i="8" s="1"/>
  <c r="G1040" i="8"/>
  <c r="C1040" i="8" s="1"/>
  <c r="G1041" i="8"/>
  <c r="C1041" i="8" s="1"/>
  <c r="G1042" i="8"/>
  <c r="C1042" i="8" s="1"/>
  <c r="G1043" i="8"/>
  <c r="C1043" i="8" s="1"/>
  <c r="G1044" i="8"/>
  <c r="C1044" i="8" s="1"/>
  <c r="G1045" i="8"/>
  <c r="C1045" i="8" s="1"/>
  <c r="G1046" i="8"/>
  <c r="C1046" i="8" s="1"/>
  <c r="G1047" i="8"/>
  <c r="C1047" i="8" s="1"/>
  <c r="G1048" i="8"/>
  <c r="C1048" i="8" s="1"/>
  <c r="G1049" i="8"/>
  <c r="C1049" i="8" s="1"/>
  <c r="G1050" i="8"/>
  <c r="C1050" i="8" s="1"/>
  <c r="G1051" i="8"/>
  <c r="C1051" i="8" s="1"/>
  <c r="G1052" i="8"/>
  <c r="C1052" i="8" s="1"/>
  <c r="G1053" i="8"/>
  <c r="C1053" i="8" s="1"/>
  <c r="G1054" i="8"/>
  <c r="C1054" i="8" s="1"/>
  <c r="G1055" i="8"/>
  <c r="C1055" i="8" s="1"/>
  <c r="G1056" i="8"/>
  <c r="C1056" i="8" s="1"/>
  <c r="G1057" i="8"/>
  <c r="C1057" i="8" s="1"/>
  <c r="G1058" i="8"/>
  <c r="C1058" i="8" s="1"/>
  <c r="G1059" i="8"/>
  <c r="C1059" i="8" s="1"/>
  <c r="G1060" i="8"/>
  <c r="C1060" i="8" s="1"/>
  <c r="G1061" i="8"/>
  <c r="C1061" i="8" s="1"/>
  <c r="G1062" i="8"/>
  <c r="C1062" i="8" s="1"/>
  <c r="G1063" i="8"/>
  <c r="C1063" i="8" s="1"/>
  <c r="G1064" i="8"/>
  <c r="C1064" i="8" s="1"/>
  <c r="G1065" i="8"/>
  <c r="C1065" i="8" s="1"/>
  <c r="G1066" i="8"/>
  <c r="C1066" i="8" s="1"/>
  <c r="G1067" i="8"/>
  <c r="C1067" i="8" s="1"/>
  <c r="G1068" i="8"/>
  <c r="C1068" i="8" s="1"/>
  <c r="G1069" i="8"/>
  <c r="C1069" i="8" s="1"/>
  <c r="G1070" i="8"/>
  <c r="C1070" i="8" s="1"/>
  <c r="G1071" i="8"/>
  <c r="C1071" i="8" s="1"/>
  <c r="G1072" i="8"/>
  <c r="C1072" i="8" s="1"/>
  <c r="G1073" i="8"/>
  <c r="C1073" i="8" s="1"/>
  <c r="G1074" i="8"/>
  <c r="C1074" i="8" s="1"/>
  <c r="G1075" i="8"/>
  <c r="C1075" i="8" s="1"/>
  <c r="G1076" i="8"/>
  <c r="C1076" i="8" s="1"/>
  <c r="G1077" i="8"/>
  <c r="C1077" i="8" s="1"/>
  <c r="G1078" i="8"/>
  <c r="C1078" i="8" s="1"/>
  <c r="G1079" i="8"/>
  <c r="C1079" i="8" s="1"/>
  <c r="G1080" i="8"/>
  <c r="C1080" i="8" s="1"/>
  <c r="G1081" i="8"/>
  <c r="C1081" i="8" s="1"/>
  <c r="G1082" i="8"/>
  <c r="C1082" i="8" s="1"/>
  <c r="G1083" i="8"/>
  <c r="C1083" i="8" s="1"/>
  <c r="G1084" i="8"/>
  <c r="C1084" i="8" s="1"/>
  <c r="G1085" i="8"/>
  <c r="C1085" i="8" s="1"/>
  <c r="G1086" i="8"/>
  <c r="C1086" i="8" s="1"/>
  <c r="G1087" i="8"/>
  <c r="C1087" i="8" s="1"/>
  <c r="G1088" i="8"/>
  <c r="C1088" i="8" s="1"/>
  <c r="G1089" i="8"/>
  <c r="C1089" i="8" s="1"/>
  <c r="G1090" i="8"/>
  <c r="C1090" i="8" s="1"/>
  <c r="G1091" i="8"/>
  <c r="C1091" i="8" s="1"/>
  <c r="G1092" i="8"/>
  <c r="C1092" i="8" s="1"/>
  <c r="G1093" i="8"/>
  <c r="C1093" i="8" s="1"/>
  <c r="G1094" i="8"/>
  <c r="C1094" i="8" s="1"/>
  <c r="G1095" i="8"/>
  <c r="C1095" i="8" s="1"/>
  <c r="G1096" i="8"/>
  <c r="C1096" i="8" s="1"/>
  <c r="G1097" i="8"/>
  <c r="C1097" i="8" s="1"/>
  <c r="G1098" i="8"/>
  <c r="C1098" i="8" s="1"/>
  <c r="G1099" i="8"/>
  <c r="C1099" i="8" s="1"/>
  <c r="G1100" i="8"/>
  <c r="C1100" i="8" s="1"/>
  <c r="G1101" i="8"/>
  <c r="C1101" i="8" s="1"/>
  <c r="G1102" i="8"/>
  <c r="C1102" i="8" s="1"/>
  <c r="G1103" i="8"/>
  <c r="C1103" i="8" s="1"/>
  <c r="G1104" i="8"/>
  <c r="C1104" i="8" s="1"/>
  <c r="G1105" i="8"/>
  <c r="C1105" i="8" s="1"/>
  <c r="G1106" i="8"/>
  <c r="C1106" i="8" s="1"/>
  <c r="G1107" i="8"/>
  <c r="C1107" i="8" s="1"/>
  <c r="G1108" i="8"/>
  <c r="C1108" i="8" s="1"/>
  <c r="G1109" i="8"/>
  <c r="C1109" i="8" s="1"/>
  <c r="G1110" i="8"/>
  <c r="C1110" i="8" s="1"/>
  <c r="G1111" i="8"/>
  <c r="C1111" i="8" s="1"/>
  <c r="G1112" i="8"/>
  <c r="C1112" i="8" s="1"/>
  <c r="G1113" i="8"/>
  <c r="C1113" i="8" s="1"/>
  <c r="G1114" i="8"/>
  <c r="C1114" i="8" s="1"/>
  <c r="G1115" i="8"/>
  <c r="C1115" i="8" s="1"/>
  <c r="G1116" i="8"/>
  <c r="C1116" i="8" s="1"/>
  <c r="G1117" i="8"/>
  <c r="C1117" i="8" s="1"/>
  <c r="G1118" i="8"/>
  <c r="C1118" i="8" s="1"/>
  <c r="G1119" i="8"/>
  <c r="C1119" i="8" s="1"/>
  <c r="G1120" i="8"/>
  <c r="C1120" i="8" s="1"/>
  <c r="G1121" i="8"/>
  <c r="C1121" i="8" s="1"/>
  <c r="G1122" i="8"/>
  <c r="C1122" i="8" s="1"/>
  <c r="G1123" i="8"/>
  <c r="C1123" i="8" s="1"/>
  <c r="G1124" i="8"/>
  <c r="C1124" i="8" s="1"/>
  <c r="G1125" i="8"/>
  <c r="C1125" i="8" s="1"/>
  <c r="G1126" i="8"/>
  <c r="C1126" i="8" s="1"/>
  <c r="G1127" i="8"/>
  <c r="C1127" i="8" s="1"/>
  <c r="G1128" i="8"/>
  <c r="C1128" i="8" s="1"/>
  <c r="G1129" i="8"/>
  <c r="C1129" i="8" s="1"/>
  <c r="G1130" i="8"/>
  <c r="C1130" i="8" s="1"/>
  <c r="G1131" i="8"/>
  <c r="C1131" i="8" s="1"/>
  <c r="G1132" i="8"/>
  <c r="C1132" i="8" s="1"/>
  <c r="G1133" i="8"/>
  <c r="C1133" i="8" s="1"/>
  <c r="G1134" i="8"/>
  <c r="C1134" i="8" s="1"/>
  <c r="G1135" i="8"/>
  <c r="C1135" i="8" s="1"/>
  <c r="G1136" i="8"/>
  <c r="C1136" i="8" s="1"/>
  <c r="G1137" i="8"/>
  <c r="C1137" i="8" s="1"/>
  <c r="G1138" i="8"/>
  <c r="C1138" i="8" s="1"/>
  <c r="G1139" i="8"/>
  <c r="C1139" i="8" s="1"/>
  <c r="G1140" i="8"/>
  <c r="C1140" i="8" s="1"/>
  <c r="G1141" i="8"/>
  <c r="C1141" i="8" s="1"/>
  <c r="G1142" i="8"/>
  <c r="C1142" i="8" s="1"/>
  <c r="G1143" i="8"/>
  <c r="C1143" i="8" s="1"/>
  <c r="G1144" i="8"/>
  <c r="C1144" i="8" s="1"/>
  <c r="G1145" i="8"/>
  <c r="C1145" i="8" s="1"/>
  <c r="G1146" i="8"/>
  <c r="C1146" i="8" s="1"/>
  <c r="G1147" i="8"/>
  <c r="C1147" i="8" s="1"/>
  <c r="G1148" i="8"/>
  <c r="C1148" i="8" s="1"/>
  <c r="G1149" i="8"/>
  <c r="C1149" i="8" s="1"/>
  <c r="G1150" i="8"/>
  <c r="C1150" i="8" s="1"/>
  <c r="G1151" i="8"/>
  <c r="C1151" i="8" s="1"/>
  <c r="G1152" i="8"/>
  <c r="C1152" i="8" s="1"/>
  <c r="G1153" i="8"/>
  <c r="C1153" i="8" s="1"/>
  <c r="G1154" i="8"/>
  <c r="C1154" i="8" s="1"/>
  <c r="G1155" i="8"/>
  <c r="C1155" i="8" s="1"/>
  <c r="G1156" i="8"/>
  <c r="C1156" i="8" s="1"/>
  <c r="G1157" i="8"/>
  <c r="C1157" i="8" s="1"/>
  <c r="G1158" i="8"/>
  <c r="C1158" i="8" s="1"/>
  <c r="G1159" i="8"/>
  <c r="C1159" i="8" s="1"/>
  <c r="G1160" i="8"/>
  <c r="C1160" i="8" s="1"/>
  <c r="G1161" i="8"/>
  <c r="C1161" i="8" s="1"/>
  <c r="G1162" i="8"/>
  <c r="C1162" i="8" s="1"/>
  <c r="G1163" i="8"/>
  <c r="C1163" i="8" s="1"/>
  <c r="G1164" i="8"/>
  <c r="C1164" i="8" s="1"/>
  <c r="G1165" i="8"/>
  <c r="C1165" i="8" s="1"/>
  <c r="G1166" i="8"/>
  <c r="C1166" i="8" s="1"/>
  <c r="G1167" i="8"/>
  <c r="C1167" i="8" s="1"/>
  <c r="G1168" i="8"/>
  <c r="C1168" i="8" s="1"/>
  <c r="G1169" i="8"/>
  <c r="C1169" i="8" s="1"/>
  <c r="G1170" i="8"/>
  <c r="C1170" i="8" s="1"/>
  <c r="G1171" i="8"/>
  <c r="C1171" i="8" s="1"/>
  <c r="G1172" i="8"/>
  <c r="C1172" i="8" s="1"/>
  <c r="G1173" i="8"/>
  <c r="C1173" i="8" s="1"/>
  <c r="G1174" i="8"/>
  <c r="C1174" i="8" s="1"/>
  <c r="G1175" i="8"/>
  <c r="C1175" i="8" s="1"/>
  <c r="G1176" i="8"/>
  <c r="C1176" i="8" s="1"/>
  <c r="G1177" i="8"/>
  <c r="C1177" i="8" s="1"/>
  <c r="G1178" i="8"/>
  <c r="C1178" i="8" s="1"/>
  <c r="G1179" i="8"/>
  <c r="C1179" i="8" s="1"/>
  <c r="G1180" i="8"/>
  <c r="C1180" i="8" s="1"/>
  <c r="G1181" i="8"/>
  <c r="C1181" i="8" s="1"/>
  <c r="G1182" i="8"/>
  <c r="C1182" i="8" s="1"/>
  <c r="G1183" i="8"/>
  <c r="C1183" i="8" s="1"/>
  <c r="G1184" i="8"/>
  <c r="C1184" i="8" s="1"/>
  <c r="G1185" i="8"/>
  <c r="C1185" i="8" s="1"/>
  <c r="G1186" i="8"/>
  <c r="C1186" i="8" s="1"/>
  <c r="G1187" i="8"/>
  <c r="C1187" i="8" s="1"/>
  <c r="G1188" i="8"/>
  <c r="C1188" i="8" s="1"/>
  <c r="G1189" i="8"/>
  <c r="C1189" i="8" s="1"/>
  <c r="G1190" i="8"/>
  <c r="C1190" i="8" s="1"/>
  <c r="G1191" i="8"/>
  <c r="C1191" i="8" s="1"/>
  <c r="G1192" i="8"/>
  <c r="C1192" i="8" s="1"/>
  <c r="G1193" i="8"/>
  <c r="C1193" i="8" s="1"/>
  <c r="G1194" i="8"/>
  <c r="C1194" i="8" s="1"/>
  <c r="G1195" i="8"/>
  <c r="C1195" i="8" s="1"/>
  <c r="G1196" i="8"/>
  <c r="C1196" i="8" s="1"/>
  <c r="G1197" i="8"/>
  <c r="C1197" i="8" s="1"/>
  <c r="G1198" i="8"/>
  <c r="C1198" i="8" s="1"/>
  <c r="G1199" i="8"/>
  <c r="C1199" i="8" s="1"/>
  <c r="G1200" i="8"/>
  <c r="C1200" i="8" s="1"/>
  <c r="G1201" i="8"/>
  <c r="C1201" i="8" s="1"/>
  <c r="G1202" i="8"/>
  <c r="C1202" i="8" s="1"/>
  <c r="G1203" i="8"/>
  <c r="C1203" i="8" s="1"/>
  <c r="G1204" i="8"/>
  <c r="C1204" i="8" s="1"/>
  <c r="G1205" i="8"/>
  <c r="C1205" i="8" s="1"/>
  <c r="G1206" i="8"/>
  <c r="C1206" i="8" s="1"/>
  <c r="G1207" i="8"/>
  <c r="C1207" i="8" s="1"/>
  <c r="G1208" i="8"/>
  <c r="C1208" i="8" s="1"/>
  <c r="G1209" i="8"/>
  <c r="C1209" i="8" s="1"/>
  <c r="G1210" i="8"/>
  <c r="C1210" i="8" s="1"/>
  <c r="G1211" i="8"/>
  <c r="C1211" i="8" s="1"/>
  <c r="G1212" i="8"/>
  <c r="C1212" i="8" s="1"/>
  <c r="G1213" i="8"/>
  <c r="C1213" i="8" s="1"/>
  <c r="G1214" i="8"/>
  <c r="C1214" i="8" s="1"/>
  <c r="G1215" i="8"/>
  <c r="C1215" i="8" s="1"/>
  <c r="G1216" i="8"/>
  <c r="C1216" i="8" s="1"/>
  <c r="G1217" i="8"/>
  <c r="C1217" i="8" s="1"/>
  <c r="G1218" i="8"/>
  <c r="C1218" i="8" s="1"/>
  <c r="G1219" i="8"/>
  <c r="C1219" i="8" s="1"/>
  <c r="G1220" i="8"/>
  <c r="C1220" i="8" s="1"/>
  <c r="G1221" i="8"/>
  <c r="C1221" i="8" s="1"/>
  <c r="G1222" i="8"/>
  <c r="C1222" i="8" s="1"/>
  <c r="G1223" i="8"/>
  <c r="C1223" i="8" s="1"/>
  <c r="G1224" i="8"/>
  <c r="C1224" i="8" s="1"/>
  <c r="G1225" i="8"/>
  <c r="C1225" i="8" s="1"/>
  <c r="G1226" i="8"/>
  <c r="C1226" i="8" s="1"/>
  <c r="G1227" i="8"/>
  <c r="C1227" i="8" s="1"/>
  <c r="G1228" i="8"/>
  <c r="C1228" i="8" s="1"/>
  <c r="G1229" i="8"/>
  <c r="C1229" i="8" s="1"/>
  <c r="G1230" i="8"/>
  <c r="C1230" i="8" s="1"/>
  <c r="G1231" i="8"/>
  <c r="C1231" i="8" s="1"/>
  <c r="G1232" i="8"/>
  <c r="C1232" i="8" s="1"/>
  <c r="G1233" i="8"/>
  <c r="C1233" i="8" s="1"/>
  <c r="G1234" i="8"/>
  <c r="C1234" i="8" s="1"/>
  <c r="G1235" i="8"/>
  <c r="C1235" i="8" s="1"/>
  <c r="G1236" i="8"/>
  <c r="C1236" i="8" s="1"/>
  <c r="G1237" i="8"/>
  <c r="C1237" i="8" s="1"/>
  <c r="G1238" i="8"/>
  <c r="C1238" i="8" s="1"/>
  <c r="G1239" i="8"/>
  <c r="C1239" i="8" s="1"/>
  <c r="G1240" i="8"/>
  <c r="C1240" i="8" s="1"/>
  <c r="G1241" i="8"/>
  <c r="C1241" i="8" s="1"/>
  <c r="G1242" i="8"/>
  <c r="C1242" i="8" s="1"/>
  <c r="G1243" i="8"/>
  <c r="C1243" i="8" s="1"/>
  <c r="G1244" i="8"/>
  <c r="C1244" i="8" s="1"/>
  <c r="G1245" i="8"/>
  <c r="C1245" i="8" s="1"/>
  <c r="G1246" i="8"/>
  <c r="C1246" i="8" s="1"/>
  <c r="G1247" i="8"/>
  <c r="C1247" i="8" s="1"/>
  <c r="G1248" i="8"/>
  <c r="C1248" i="8" s="1"/>
  <c r="G1249" i="8"/>
  <c r="C1249" i="8" s="1"/>
  <c r="G1250" i="8"/>
  <c r="C1250" i="8" s="1"/>
  <c r="G1251" i="8"/>
  <c r="C1251" i="8" s="1"/>
  <c r="G1252" i="8"/>
  <c r="C1252" i="8" s="1"/>
  <c r="G1253" i="8"/>
  <c r="C1253" i="8" s="1"/>
  <c r="G1254" i="8"/>
  <c r="C1254" i="8" s="1"/>
  <c r="G1255" i="8"/>
  <c r="C1255" i="8" s="1"/>
  <c r="G1256" i="8"/>
  <c r="C1256" i="8" s="1"/>
  <c r="G1257" i="8"/>
  <c r="C1257" i="8" s="1"/>
  <c r="G1258" i="8"/>
  <c r="C1258" i="8" s="1"/>
  <c r="G1259" i="8"/>
  <c r="C1259" i="8" s="1"/>
  <c r="G1260" i="8"/>
  <c r="C1260" i="8" s="1"/>
  <c r="G1261" i="8"/>
  <c r="C1261" i="8" s="1"/>
  <c r="G1262" i="8"/>
  <c r="C1262" i="8" s="1"/>
  <c r="G1263" i="8"/>
  <c r="C1263" i="8" s="1"/>
  <c r="G1264" i="8"/>
  <c r="C1264" i="8" s="1"/>
  <c r="G1265" i="8"/>
  <c r="C1265" i="8" s="1"/>
  <c r="G1266" i="8"/>
  <c r="C1266" i="8" s="1"/>
  <c r="G1267" i="8"/>
  <c r="C1267" i="8" s="1"/>
  <c r="G1268" i="8"/>
  <c r="C1268" i="8" s="1"/>
  <c r="G1269" i="8"/>
  <c r="C1269" i="8" s="1"/>
  <c r="G1270" i="8"/>
  <c r="C1270" i="8" s="1"/>
  <c r="G1271" i="8"/>
  <c r="C1271" i="8" s="1"/>
  <c r="G1272" i="8"/>
  <c r="C1272" i="8" s="1"/>
  <c r="G1273" i="8"/>
  <c r="C1273" i="8" s="1"/>
  <c r="G1274" i="8"/>
  <c r="C1274" i="8" s="1"/>
  <c r="G1275" i="8"/>
  <c r="C1275" i="8" s="1"/>
  <c r="G1276" i="8"/>
  <c r="C1276" i="8" s="1"/>
  <c r="G1277" i="8"/>
  <c r="C1277" i="8" s="1"/>
  <c r="G1278" i="8"/>
  <c r="C1278" i="8" s="1"/>
  <c r="G1279" i="8"/>
  <c r="C1279" i="8" s="1"/>
  <c r="G1280" i="8"/>
  <c r="C1280" i="8" s="1"/>
  <c r="G1281" i="8"/>
  <c r="C1281" i="8" s="1"/>
  <c r="G1282" i="8"/>
  <c r="C1282" i="8" s="1"/>
  <c r="G1283" i="8"/>
  <c r="C1283" i="8" s="1"/>
  <c r="G1284" i="8"/>
  <c r="C1284" i="8" s="1"/>
  <c r="G1285" i="8"/>
  <c r="C1285" i="8" s="1"/>
  <c r="G1286" i="8"/>
  <c r="C1286" i="8" s="1"/>
  <c r="G1287" i="8"/>
  <c r="C1287" i="8" s="1"/>
  <c r="G1288" i="8"/>
  <c r="C1288" i="8" s="1"/>
  <c r="G1289" i="8"/>
  <c r="C1289" i="8" s="1"/>
  <c r="G1290" i="8"/>
  <c r="C1290" i="8" s="1"/>
  <c r="G1291" i="8"/>
  <c r="C1291" i="8" s="1"/>
  <c r="G1292" i="8"/>
  <c r="C1292" i="8" s="1"/>
  <c r="G1293" i="8"/>
  <c r="C1293" i="8" s="1"/>
  <c r="G1294" i="8"/>
  <c r="C1294" i="8" s="1"/>
  <c r="G1295" i="8"/>
  <c r="C1295" i="8" s="1"/>
  <c r="G1296" i="8"/>
  <c r="C1296" i="8" s="1"/>
  <c r="G1297" i="8"/>
  <c r="C1297" i="8" s="1"/>
  <c r="G1298" i="8"/>
  <c r="C1298" i="8" s="1"/>
  <c r="G1299" i="8"/>
  <c r="C1299" i="8" s="1"/>
  <c r="G1300" i="8"/>
  <c r="C1300" i="8" s="1"/>
  <c r="G1301" i="8"/>
  <c r="C1301" i="8" s="1"/>
  <c r="G1302" i="8"/>
  <c r="C1302" i="8" s="1"/>
  <c r="G1303" i="8"/>
  <c r="C1303" i="8" s="1"/>
  <c r="G1304" i="8"/>
  <c r="C1304" i="8" s="1"/>
  <c r="G1305" i="8"/>
  <c r="C1305" i="8" s="1"/>
  <c r="G1306" i="8"/>
  <c r="C1306" i="8" s="1"/>
  <c r="G1307" i="8"/>
  <c r="C1307" i="8" s="1"/>
  <c r="G1308" i="8"/>
  <c r="C1308" i="8" s="1"/>
  <c r="G1309" i="8"/>
  <c r="C1309" i="8" s="1"/>
  <c r="G1310" i="8"/>
  <c r="C1310" i="8" s="1"/>
  <c r="G1311" i="8"/>
  <c r="C1311" i="8" s="1"/>
  <c r="G1312" i="8"/>
  <c r="C1312" i="8" s="1"/>
  <c r="G1313" i="8"/>
  <c r="C1313" i="8" s="1"/>
  <c r="G1314" i="8"/>
  <c r="C1314" i="8" s="1"/>
  <c r="G1315" i="8"/>
  <c r="C1315" i="8" s="1"/>
  <c r="G1316" i="8"/>
  <c r="C1316" i="8" s="1"/>
  <c r="G1317" i="8"/>
  <c r="C1317" i="8" s="1"/>
  <c r="G1318" i="8"/>
  <c r="C1318" i="8" s="1"/>
  <c r="G1319" i="8"/>
  <c r="C1319" i="8" s="1"/>
  <c r="G1320" i="8"/>
  <c r="C1320" i="8" s="1"/>
  <c r="G1321" i="8"/>
  <c r="C1321" i="8" s="1"/>
  <c r="G1322" i="8"/>
  <c r="C1322" i="8" s="1"/>
  <c r="G1323" i="8"/>
  <c r="C1323" i="8" s="1"/>
  <c r="G1324" i="8"/>
  <c r="C1324" i="8" s="1"/>
  <c r="G1325" i="8"/>
  <c r="C1325" i="8" s="1"/>
  <c r="G1326" i="8"/>
  <c r="C1326" i="8" s="1"/>
  <c r="G1327" i="8"/>
  <c r="C1327" i="8" s="1"/>
  <c r="G1328" i="8"/>
  <c r="C1328" i="8" s="1"/>
  <c r="G1329" i="8"/>
  <c r="C1329" i="8" s="1"/>
  <c r="G1330" i="8"/>
  <c r="C1330" i="8" s="1"/>
  <c r="G1331" i="8"/>
  <c r="C1331" i="8" s="1"/>
  <c r="G1332" i="8"/>
  <c r="C1332" i="8" s="1"/>
  <c r="G1333" i="8"/>
  <c r="C1333" i="8" s="1"/>
  <c r="G1334" i="8"/>
  <c r="C1334" i="8" s="1"/>
  <c r="G1335" i="8"/>
  <c r="C1335" i="8" s="1"/>
  <c r="G1336" i="8"/>
  <c r="C1336" i="8" s="1"/>
  <c r="G1337" i="8"/>
  <c r="C1337" i="8" s="1"/>
  <c r="G1338" i="8"/>
  <c r="C1338" i="8" s="1"/>
  <c r="G1339" i="8"/>
  <c r="C1339" i="8" s="1"/>
  <c r="G1340" i="8"/>
  <c r="C1340" i="8" s="1"/>
  <c r="G1341" i="8"/>
  <c r="C1341" i="8" s="1"/>
  <c r="G1342" i="8"/>
  <c r="C1342" i="8" s="1"/>
  <c r="G1343" i="8"/>
  <c r="C1343" i="8" s="1"/>
  <c r="G1344" i="8"/>
  <c r="C1344" i="8" s="1"/>
  <c r="G1345" i="8"/>
  <c r="C1345" i="8" s="1"/>
  <c r="G1346" i="8"/>
  <c r="C1346" i="8" s="1"/>
  <c r="G1347" i="8"/>
  <c r="C1347" i="8" s="1"/>
  <c r="G1348" i="8"/>
  <c r="C1348" i="8" s="1"/>
  <c r="G1349" i="8"/>
  <c r="C1349" i="8" s="1"/>
  <c r="G1350" i="8"/>
  <c r="C1350" i="8" s="1"/>
  <c r="G1351" i="8"/>
  <c r="C1351" i="8" s="1"/>
  <c r="G1352" i="8"/>
  <c r="C1352" i="8" s="1"/>
  <c r="G1353" i="8"/>
  <c r="C1353" i="8" s="1"/>
  <c r="G1354" i="8"/>
  <c r="C1354" i="8" s="1"/>
  <c r="G1355" i="8"/>
  <c r="C1355" i="8" s="1"/>
  <c r="G1356" i="8"/>
  <c r="C1356" i="8" s="1"/>
  <c r="G1357" i="8"/>
  <c r="C1357" i="8" s="1"/>
  <c r="G1358" i="8"/>
  <c r="C1358" i="8" s="1"/>
  <c r="G1359" i="8"/>
  <c r="C1359" i="8" s="1"/>
  <c r="G1360" i="8"/>
  <c r="C1360" i="8" s="1"/>
  <c r="G1361" i="8"/>
  <c r="C1361" i="8" s="1"/>
  <c r="G1362" i="8"/>
  <c r="C1362" i="8" s="1"/>
  <c r="G1363" i="8"/>
  <c r="C1363" i="8" s="1"/>
  <c r="G1364" i="8"/>
  <c r="C1364" i="8" s="1"/>
  <c r="G1365" i="8"/>
  <c r="C1365" i="8" s="1"/>
  <c r="G1366" i="8"/>
  <c r="C1366" i="8" s="1"/>
  <c r="G1367" i="8"/>
  <c r="C1367" i="8" s="1"/>
  <c r="G1368" i="8"/>
  <c r="C1368" i="8" s="1"/>
  <c r="G1369" i="8"/>
  <c r="C1369" i="8" s="1"/>
  <c r="G1370" i="8"/>
  <c r="C1370" i="8" s="1"/>
  <c r="G1371" i="8"/>
  <c r="C1371" i="8" s="1"/>
  <c r="G1372" i="8"/>
  <c r="C1372" i="8" s="1"/>
  <c r="G1373" i="8"/>
  <c r="C1373" i="8" s="1"/>
  <c r="G1374" i="8"/>
  <c r="C1374" i="8" s="1"/>
  <c r="G1375" i="8"/>
  <c r="C1375" i="8" s="1"/>
  <c r="G1376" i="8"/>
  <c r="C1376" i="8" s="1"/>
  <c r="G1377" i="8"/>
  <c r="C1377" i="8" s="1"/>
  <c r="G1378" i="8"/>
  <c r="C1378" i="8" s="1"/>
  <c r="G1379" i="8"/>
  <c r="C1379" i="8" s="1"/>
  <c r="G1380" i="8"/>
  <c r="C1380" i="8" s="1"/>
  <c r="G1381" i="8"/>
  <c r="C1381" i="8" s="1"/>
  <c r="G1382" i="8"/>
  <c r="C1382" i="8" s="1"/>
  <c r="G1383" i="8"/>
  <c r="C1383" i="8" s="1"/>
  <c r="G1384" i="8"/>
  <c r="C1384" i="8" s="1"/>
  <c r="G1385" i="8"/>
  <c r="C1385" i="8" s="1"/>
  <c r="G1386" i="8"/>
  <c r="C1386" i="8" s="1"/>
  <c r="G1387" i="8"/>
  <c r="C1387" i="8" s="1"/>
  <c r="G1388" i="8"/>
  <c r="C1388" i="8" s="1"/>
  <c r="G1389" i="8"/>
  <c r="C1389" i="8" s="1"/>
  <c r="G1390" i="8"/>
  <c r="C1390" i="8" s="1"/>
  <c r="G1391" i="8"/>
  <c r="C1391" i="8" s="1"/>
  <c r="G1392" i="8"/>
  <c r="C1392" i="8" s="1"/>
  <c r="G1393" i="8"/>
  <c r="C1393" i="8" s="1"/>
  <c r="G1394" i="8"/>
  <c r="C1394" i="8" s="1"/>
  <c r="G1395" i="8"/>
  <c r="C1395" i="8" s="1"/>
  <c r="G1396" i="8"/>
  <c r="C1396" i="8" s="1"/>
  <c r="G1397" i="8"/>
  <c r="C1397" i="8" s="1"/>
  <c r="G1398" i="8"/>
  <c r="C1398" i="8" s="1"/>
  <c r="G1399" i="8"/>
  <c r="C1399" i="8" s="1"/>
  <c r="G1400" i="8"/>
  <c r="C1400" i="8" s="1"/>
  <c r="G1401" i="8"/>
  <c r="C1401" i="8" s="1"/>
  <c r="G1402" i="8"/>
  <c r="C1402" i="8" s="1"/>
  <c r="G1403" i="8"/>
  <c r="C1403" i="8" s="1"/>
  <c r="G1404" i="8"/>
  <c r="C1404" i="8" s="1"/>
  <c r="G1405" i="8"/>
  <c r="C1405" i="8" s="1"/>
  <c r="G1406" i="8"/>
  <c r="C1406" i="8" s="1"/>
  <c r="G1407" i="8"/>
  <c r="C1407" i="8" s="1"/>
  <c r="G1408" i="8"/>
  <c r="C1408" i="8" s="1"/>
  <c r="G1409" i="8"/>
  <c r="C1409" i="8" s="1"/>
  <c r="G1410" i="8"/>
  <c r="C1410" i="8" s="1"/>
  <c r="G1411" i="8"/>
  <c r="C1411" i="8" s="1"/>
  <c r="G1412" i="8"/>
  <c r="C1412" i="8" s="1"/>
  <c r="G1413" i="8"/>
  <c r="C1413" i="8" s="1"/>
  <c r="G1414" i="8"/>
  <c r="C1414" i="8" s="1"/>
  <c r="G1415" i="8"/>
  <c r="C1415" i="8" s="1"/>
  <c r="G1416" i="8"/>
  <c r="C1416" i="8" s="1"/>
  <c r="G1417" i="8"/>
  <c r="C1417" i="8" s="1"/>
  <c r="G1418" i="8"/>
  <c r="C1418" i="8" s="1"/>
  <c r="G1419" i="8"/>
  <c r="C1419" i="8" s="1"/>
  <c r="G1420" i="8"/>
  <c r="C1420" i="8" s="1"/>
  <c r="G1421" i="8"/>
  <c r="C1421" i="8" s="1"/>
  <c r="G1422" i="8"/>
  <c r="C1422" i="8" s="1"/>
  <c r="G1423" i="8"/>
  <c r="C1423" i="8" s="1"/>
  <c r="G1424" i="8"/>
  <c r="C1424" i="8" s="1"/>
  <c r="G1425" i="8"/>
  <c r="C1425" i="8" s="1"/>
  <c r="G1426" i="8"/>
  <c r="C1426" i="8" s="1"/>
  <c r="G1427" i="8"/>
  <c r="C1427" i="8" s="1"/>
  <c r="G1428" i="8"/>
  <c r="C1428" i="8" s="1"/>
  <c r="G1429" i="8"/>
  <c r="C1429" i="8" s="1"/>
  <c r="G1430" i="8"/>
  <c r="C1430" i="8" s="1"/>
  <c r="G1431" i="8"/>
  <c r="C1431" i="8" s="1"/>
  <c r="G1432" i="8"/>
  <c r="C1432" i="8" s="1"/>
  <c r="G1433" i="8"/>
  <c r="C1433" i="8" s="1"/>
  <c r="G1434" i="8"/>
  <c r="C1434" i="8" s="1"/>
  <c r="G1435" i="8"/>
  <c r="C1435" i="8" s="1"/>
  <c r="G1436" i="8"/>
  <c r="C1436" i="8" s="1"/>
  <c r="G1437" i="8"/>
  <c r="C1437" i="8" s="1"/>
  <c r="G1438" i="8"/>
  <c r="C1438" i="8" s="1"/>
  <c r="G1439" i="8"/>
  <c r="C1439" i="8" s="1"/>
  <c r="G1440" i="8"/>
  <c r="C1440" i="8" s="1"/>
  <c r="G1441" i="8"/>
  <c r="C1441" i="8" s="1"/>
  <c r="G1442" i="8"/>
  <c r="C1442" i="8" s="1"/>
  <c r="G1443" i="8"/>
  <c r="C1443" i="8" s="1"/>
  <c r="G1444" i="8"/>
  <c r="C1444" i="8" s="1"/>
  <c r="G1445" i="8"/>
  <c r="C1445" i="8" s="1"/>
  <c r="G1446" i="8"/>
  <c r="C1446" i="8" s="1"/>
  <c r="G1447" i="8"/>
  <c r="C1447" i="8" s="1"/>
  <c r="G1448" i="8"/>
  <c r="C1448" i="8" s="1"/>
  <c r="G1449" i="8"/>
  <c r="C1449" i="8" s="1"/>
  <c r="G1450" i="8"/>
  <c r="C1450" i="8" s="1"/>
  <c r="G1451" i="8"/>
  <c r="C1451" i="8" s="1"/>
  <c r="G1452" i="8"/>
  <c r="C1452" i="8" s="1"/>
  <c r="G1453" i="8"/>
  <c r="C1453" i="8" s="1"/>
  <c r="G1454" i="8"/>
  <c r="C1454" i="8" s="1"/>
  <c r="G1455" i="8"/>
  <c r="C1455" i="8" s="1"/>
  <c r="G1456" i="8"/>
  <c r="C1456" i="8" s="1"/>
  <c r="G1457" i="8"/>
  <c r="C1457" i="8" s="1"/>
  <c r="G1458" i="8"/>
  <c r="C1458" i="8" s="1"/>
  <c r="G1459" i="8"/>
  <c r="C1459" i="8" s="1"/>
  <c r="G1460" i="8"/>
  <c r="C1460" i="8" s="1"/>
  <c r="G1461" i="8"/>
  <c r="C1461" i="8" s="1"/>
  <c r="G1462" i="8"/>
  <c r="C1462" i="8" s="1"/>
  <c r="G1463" i="8"/>
  <c r="C1463" i="8" s="1"/>
  <c r="G1464" i="8"/>
  <c r="C1464" i="8" s="1"/>
  <c r="G1465" i="8"/>
  <c r="C1465" i="8" s="1"/>
  <c r="G1466" i="8"/>
  <c r="C1466" i="8" s="1"/>
  <c r="G1467" i="8"/>
  <c r="C1467" i="8" s="1"/>
  <c r="G1468" i="8"/>
  <c r="C1468" i="8" s="1"/>
  <c r="G1469" i="8"/>
  <c r="C1469" i="8" s="1"/>
  <c r="G1470" i="8"/>
  <c r="C1470" i="8" s="1"/>
  <c r="G1471" i="8"/>
  <c r="C1471" i="8" s="1"/>
  <c r="G1472" i="8"/>
  <c r="C1472" i="8" s="1"/>
  <c r="G1473" i="8"/>
  <c r="C1473" i="8" s="1"/>
  <c r="G1474" i="8"/>
  <c r="C1474" i="8" s="1"/>
  <c r="G1475" i="8"/>
  <c r="C1475" i="8" s="1"/>
  <c r="G1476" i="8"/>
  <c r="C1476" i="8" s="1"/>
  <c r="G1477" i="8"/>
  <c r="C1477" i="8" s="1"/>
  <c r="G1478" i="8"/>
  <c r="C1478" i="8" s="1"/>
  <c r="G1479" i="8"/>
  <c r="C1479" i="8" s="1"/>
  <c r="G1480" i="8"/>
  <c r="C1480" i="8" s="1"/>
  <c r="G1481" i="8"/>
  <c r="C1481" i="8" s="1"/>
  <c r="G1482" i="8"/>
  <c r="C1482" i="8" s="1"/>
  <c r="G1483" i="8"/>
  <c r="C1483" i="8" s="1"/>
  <c r="G1484" i="8"/>
  <c r="C1484" i="8" s="1"/>
  <c r="G1485" i="8"/>
  <c r="C1485" i="8" s="1"/>
  <c r="G1486" i="8"/>
  <c r="C1486" i="8" s="1"/>
  <c r="G1487" i="8"/>
  <c r="C1487" i="8" s="1"/>
  <c r="G1488" i="8"/>
  <c r="C1488" i="8" s="1"/>
  <c r="G1489" i="8"/>
  <c r="C1489" i="8" s="1"/>
  <c r="G1490" i="8"/>
  <c r="C1490" i="8" s="1"/>
  <c r="G1491" i="8"/>
  <c r="C1491" i="8" s="1"/>
  <c r="G1492" i="8"/>
  <c r="C1492" i="8" s="1"/>
  <c r="G1493" i="8"/>
  <c r="C1493" i="8" s="1"/>
  <c r="G1494" i="8"/>
  <c r="C1494" i="8" s="1"/>
  <c r="G1495" i="8"/>
  <c r="C1495" i="8" s="1"/>
  <c r="G1496" i="8"/>
  <c r="C1496" i="8" s="1"/>
  <c r="G1497" i="8"/>
  <c r="C1497" i="8" s="1"/>
  <c r="G1498" i="8"/>
  <c r="C1498" i="8" s="1"/>
  <c r="G1499" i="8"/>
  <c r="C1499" i="8" s="1"/>
  <c r="G1500" i="8"/>
  <c r="C1500" i="8" s="1"/>
  <c r="G1501" i="8"/>
  <c r="C1501" i="8" s="1"/>
  <c r="G1502" i="8"/>
  <c r="C1502" i="8" s="1"/>
  <c r="G1503" i="8"/>
  <c r="C1503" i="8" s="1"/>
  <c r="G1504" i="8"/>
  <c r="C1504" i="8" s="1"/>
  <c r="G1505" i="8"/>
  <c r="C1505" i="8" s="1"/>
  <c r="G1506" i="8"/>
  <c r="C1506" i="8" s="1"/>
  <c r="G1507" i="8"/>
  <c r="C1507" i="8" s="1"/>
  <c r="G1508" i="8"/>
  <c r="C1508" i="8" s="1"/>
  <c r="G1509" i="8"/>
  <c r="C1509" i="8" s="1"/>
  <c r="G1510" i="8"/>
  <c r="C1510" i="8" s="1"/>
  <c r="G1511" i="8"/>
  <c r="C1511" i="8" s="1"/>
  <c r="G1512" i="8"/>
  <c r="C1512" i="8" s="1"/>
  <c r="G1513" i="8"/>
  <c r="C1513" i="8" s="1"/>
  <c r="G1514" i="8"/>
  <c r="C1514" i="8" s="1"/>
  <c r="G1515" i="8"/>
  <c r="C1515" i="8" s="1"/>
  <c r="G1516" i="8"/>
  <c r="C1516" i="8" s="1"/>
  <c r="G1517" i="8"/>
  <c r="C1517" i="8" s="1"/>
  <c r="G1518" i="8"/>
  <c r="C1518" i="8" s="1"/>
  <c r="G1519" i="8"/>
  <c r="C1519" i="8" s="1"/>
  <c r="G1520" i="8"/>
  <c r="C1520" i="8" s="1"/>
  <c r="G1521" i="8"/>
  <c r="C1521" i="8" s="1"/>
  <c r="G1522" i="8"/>
  <c r="C1522" i="8" s="1"/>
  <c r="G1523" i="8"/>
  <c r="C1523" i="8" s="1"/>
  <c r="G1524" i="8"/>
  <c r="C1524" i="8" s="1"/>
  <c r="G1525" i="8"/>
  <c r="C1525" i="8" s="1"/>
  <c r="G1526" i="8"/>
  <c r="C1526" i="8" s="1"/>
  <c r="G1527" i="8"/>
  <c r="C1527" i="8" s="1"/>
  <c r="G1528" i="8"/>
  <c r="C1528" i="8" s="1"/>
  <c r="G1529" i="8"/>
  <c r="C1529" i="8" s="1"/>
  <c r="G1530" i="8"/>
  <c r="C1530" i="8" s="1"/>
  <c r="G1531" i="8"/>
  <c r="C1531" i="8" s="1"/>
  <c r="G1532" i="8"/>
  <c r="C1532" i="8" s="1"/>
  <c r="G1533" i="8"/>
  <c r="C1533" i="8" s="1"/>
  <c r="G1534" i="8"/>
  <c r="C1534" i="8" s="1"/>
  <c r="G1535" i="8"/>
  <c r="C1535" i="8" s="1"/>
  <c r="G1536" i="8"/>
  <c r="C1536" i="8" s="1"/>
  <c r="G1537" i="8"/>
  <c r="C1537" i="8" s="1"/>
  <c r="G1538" i="8"/>
  <c r="C1538" i="8" s="1"/>
  <c r="G1539" i="8"/>
  <c r="C1539" i="8" s="1"/>
  <c r="G1540" i="8"/>
  <c r="C1540" i="8" s="1"/>
  <c r="G1541" i="8"/>
  <c r="C1541" i="8" s="1"/>
  <c r="G1542" i="8"/>
  <c r="C1542" i="8" s="1"/>
  <c r="G1543" i="8"/>
  <c r="C1543" i="8" s="1"/>
  <c r="G1544" i="8"/>
  <c r="C1544" i="8" s="1"/>
  <c r="G1545" i="8"/>
  <c r="C1545" i="8" s="1"/>
  <c r="G1546" i="8"/>
  <c r="C1546" i="8" s="1"/>
  <c r="G1547" i="8"/>
  <c r="C1547" i="8" s="1"/>
  <c r="G1548" i="8"/>
  <c r="C1548" i="8" s="1"/>
  <c r="G1549" i="8"/>
  <c r="C1549" i="8" s="1"/>
  <c r="G1550" i="8"/>
  <c r="C1550" i="8" s="1"/>
  <c r="G1551" i="8"/>
  <c r="C1551" i="8" s="1"/>
  <c r="G1552" i="8"/>
  <c r="C1552" i="8" s="1"/>
  <c r="G1553" i="8"/>
  <c r="C1553" i="8" s="1"/>
  <c r="G1554" i="8"/>
  <c r="C1554" i="8" s="1"/>
  <c r="G1555" i="8"/>
  <c r="C1555" i="8" s="1"/>
  <c r="G1556" i="8"/>
  <c r="C1556" i="8" s="1"/>
  <c r="G1557" i="8"/>
  <c r="C1557" i="8" s="1"/>
  <c r="G1558" i="8"/>
  <c r="C1558" i="8" s="1"/>
  <c r="G1559" i="8"/>
  <c r="C1559" i="8" s="1"/>
  <c r="G1560" i="8"/>
  <c r="C1560" i="8" s="1"/>
  <c r="G1561" i="8"/>
  <c r="C1561" i="8" s="1"/>
  <c r="G1562" i="8"/>
  <c r="C1562" i="8" s="1"/>
  <c r="G1563" i="8"/>
  <c r="C1563" i="8" s="1"/>
  <c r="G1564" i="8"/>
  <c r="C1564" i="8" s="1"/>
  <c r="G1565" i="8"/>
  <c r="C1565" i="8" s="1"/>
  <c r="G1566" i="8"/>
  <c r="C1566" i="8" s="1"/>
  <c r="G1567" i="8"/>
  <c r="C1567" i="8" s="1"/>
  <c r="G1568" i="8"/>
  <c r="C1568" i="8" s="1"/>
  <c r="G1569" i="8"/>
  <c r="C1569" i="8" s="1"/>
  <c r="G1570" i="8"/>
  <c r="C1570" i="8" s="1"/>
  <c r="G1571" i="8"/>
  <c r="C1571" i="8" s="1"/>
  <c r="G1572" i="8"/>
  <c r="C1572" i="8" s="1"/>
  <c r="G1573" i="8"/>
  <c r="C1573" i="8" s="1"/>
  <c r="G1574" i="8"/>
  <c r="C1574" i="8" s="1"/>
  <c r="G1575" i="8"/>
  <c r="C1575" i="8" s="1"/>
  <c r="G1576" i="8"/>
  <c r="C1576" i="8" s="1"/>
  <c r="G1577" i="8"/>
  <c r="C1577" i="8" s="1"/>
  <c r="G1578" i="8"/>
  <c r="C1578" i="8" s="1"/>
  <c r="G1579" i="8"/>
  <c r="C1579" i="8" s="1"/>
  <c r="G1580" i="8"/>
  <c r="C1580" i="8" s="1"/>
  <c r="G1581" i="8"/>
  <c r="C1581" i="8" s="1"/>
  <c r="G1582" i="8"/>
  <c r="C1582" i="8" s="1"/>
  <c r="G1583" i="8"/>
  <c r="C1583" i="8" s="1"/>
  <c r="G1584" i="8"/>
  <c r="C1584" i="8" s="1"/>
  <c r="G1585" i="8"/>
  <c r="C1585" i="8" s="1"/>
  <c r="G1586" i="8"/>
  <c r="C1586" i="8" s="1"/>
  <c r="G1587" i="8"/>
  <c r="C1587" i="8" s="1"/>
  <c r="G1588" i="8"/>
  <c r="C1588" i="8" s="1"/>
  <c r="G1589" i="8"/>
  <c r="C1589" i="8" s="1"/>
  <c r="G1590" i="8"/>
  <c r="C1590" i="8" s="1"/>
  <c r="G1591" i="8"/>
  <c r="C1591" i="8" s="1"/>
  <c r="G1592" i="8"/>
  <c r="C1592" i="8" s="1"/>
  <c r="G1593" i="8"/>
  <c r="C1593" i="8" s="1"/>
  <c r="G1594" i="8"/>
  <c r="C1594" i="8" s="1"/>
  <c r="G1595" i="8"/>
  <c r="C1595" i="8" s="1"/>
  <c r="G1596" i="8"/>
  <c r="C1596" i="8" s="1"/>
  <c r="G1597" i="8"/>
  <c r="C1597" i="8" s="1"/>
  <c r="G1598" i="8"/>
  <c r="C1598" i="8" s="1"/>
  <c r="G1599" i="8"/>
  <c r="C1599" i="8" s="1"/>
  <c r="G1600" i="8"/>
  <c r="C1600" i="8" s="1"/>
  <c r="G1601" i="8"/>
  <c r="C1601" i="8" s="1"/>
  <c r="G1602" i="8"/>
  <c r="C1602" i="8" s="1"/>
  <c r="G1603" i="8"/>
  <c r="C1603" i="8" s="1"/>
  <c r="G1604" i="8"/>
  <c r="C1604" i="8" s="1"/>
  <c r="G1605" i="8"/>
  <c r="C1605" i="8" s="1"/>
  <c r="G1606" i="8"/>
  <c r="C1606" i="8" s="1"/>
  <c r="G1607" i="8"/>
  <c r="C1607" i="8" s="1"/>
  <c r="G1608" i="8"/>
  <c r="C1608" i="8" s="1"/>
  <c r="G1609" i="8"/>
  <c r="C1609" i="8" s="1"/>
  <c r="G1610" i="8"/>
  <c r="C1610" i="8" s="1"/>
  <c r="G1611" i="8"/>
  <c r="C1611" i="8" s="1"/>
  <c r="G1612" i="8"/>
  <c r="C1612" i="8" s="1"/>
  <c r="G1613" i="8"/>
  <c r="C1613" i="8" s="1"/>
  <c r="G1614" i="8"/>
  <c r="C1614" i="8" s="1"/>
  <c r="G1615" i="8"/>
  <c r="C1615" i="8" s="1"/>
  <c r="G1616" i="8"/>
  <c r="C1616" i="8" s="1"/>
  <c r="G1617" i="8"/>
  <c r="C1617" i="8" s="1"/>
  <c r="G1618" i="8"/>
  <c r="C1618" i="8" s="1"/>
  <c r="G1619" i="8"/>
  <c r="C1619" i="8" s="1"/>
  <c r="G1620" i="8"/>
  <c r="C1620" i="8" s="1"/>
  <c r="G1621" i="8"/>
  <c r="C1621" i="8" s="1"/>
  <c r="G1622" i="8"/>
  <c r="C1622" i="8" s="1"/>
  <c r="G1623" i="8"/>
  <c r="C1623" i="8" s="1"/>
  <c r="G1624" i="8"/>
  <c r="C1624" i="8" s="1"/>
  <c r="G1625" i="8"/>
  <c r="C1625" i="8" s="1"/>
  <c r="G1626" i="8"/>
  <c r="C1626" i="8" s="1"/>
  <c r="G1627" i="8"/>
  <c r="C1627" i="8" s="1"/>
  <c r="G1628" i="8"/>
  <c r="C1628" i="8" s="1"/>
  <c r="G1629" i="8"/>
  <c r="C1629" i="8" s="1"/>
  <c r="G1630" i="8"/>
  <c r="C1630" i="8" s="1"/>
  <c r="G1631" i="8"/>
  <c r="C1631" i="8" s="1"/>
  <c r="G1632" i="8"/>
  <c r="C1632" i="8" s="1"/>
  <c r="G1633" i="8"/>
  <c r="C1633" i="8" s="1"/>
  <c r="G1634" i="8"/>
  <c r="C1634" i="8" s="1"/>
  <c r="G1635" i="8"/>
  <c r="C1635" i="8" s="1"/>
  <c r="G1636" i="8"/>
  <c r="C1636" i="8" s="1"/>
  <c r="G1637" i="8"/>
  <c r="C1637" i="8" s="1"/>
  <c r="G1638" i="8"/>
  <c r="C1638" i="8" s="1"/>
  <c r="G1639" i="8"/>
  <c r="C1639" i="8" s="1"/>
  <c r="G1640" i="8"/>
  <c r="C1640" i="8" s="1"/>
  <c r="G1641" i="8"/>
  <c r="C1641" i="8" s="1"/>
  <c r="G1642" i="8"/>
  <c r="C1642" i="8" s="1"/>
  <c r="G1643" i="8"/>
  <c r="C1643" i="8" s="1"/>
  <c r="G1644" i="8"/>
  <c r="C1644" i="8" s="1"/>
  <c r="G1645" i="8"/>
  <c r="C1645" i="8" s="1"/>
  <c r="G1646" i="8"/>
  <c r="C1646" i="8" s="1"/>
  <c r="G1647" i="8"/>
  <c r="C1647" i="8" s="1"/>
  <c r="G1648" i="8"/>
  <c r="C1648" i="8" s="1"/>
  <c r="G1649" i="8"/>
  <c r="C1649" i="8" s="1"/>
  <c r="G1650" i="8"/>
  <c r="C1650" i="8" s="1"/>
  <c r="G1651" i="8"/>
  <c r="C1651" i="8" s="1"/>
  <c r="G1652" i="8"/>
  <c r="C1652" i="8" s="1"/>
  <c r="G1653" i="8"/>
  <c r="C1653" i="8" s="1"/>
  <c r="G1654" i="8"/>
  <c r="C1654" i="8" s="1"/>
  <c r="G1655" i="8"/>
  <c r="C1655" i="8" s="1"/>
  <c r="G1656" i="8"/>
  <c r="C1656" i="8" s="1"/>
  <c r="G1657" i="8"/>
  <c r="C1657" i="8" s="1"/>
  <c r="G1658" i="8"/>
  <c r="C1658" i="8" s="1"/>
  <c r="G1659" i="8"/>
  <c r="C1659" i="8" s="1"/>
  <c r="G1660" i="8"/>
  <c r="C1660" i="8" s="1"/>
  <c r="G1661" i="8"/>
  <c r="C1661" i="8" s="1"/>
  <c r="G1662" i="8"/>
  <c r="C1662" i="8" s="1"/>
  <c r="G1663" i="8"/>
  <c r="C1663" i="8" s="1"/>
  <c r="G1664" i="8"/>
  <c r="C1664" i="8" s="1"/>
  <c r="G1665" i="8"/>
  <c r="C1665" i="8" s="1"/>
  <c r="G1666" i="8"/>
  <c r="C1666" i="8" s="1"/>
  <c r="G1667" i="8"/>
  <c r="C1667" i="8" s="1"/>
  <c r="G1668" i="8"/>
  <c r="C1668" i="8" s="1"/>
  <c r="G1669" i="8"/>
  <c r="C1669" i="8" s="1"/>
  <c r="G1670" i="8"/>
  <c r="C1670" i="8" s="1"/>
  <c r="G1671" i="8"/>
  <c r="C1671" i="8" s="1"/>
  <c r="G1672" i="8"/>
  <c r="C1672" i="8" s="1"/>
  <c r="G1673" i="8"/>
  <c r="C1673" i="8" s="1"/>
  <c r="G1674" i="8"/>
  <c r="C1674" i="8" s="1"/>
  <c r="G1675" i="8"/>
  <c r="C1675" i="8" s="1"/>
  <c r="G1676" i="8"/>
  <c r="C1676" i="8" s="1"/>
  <c r="G1677" i="8"/>
  <c r="C1677" i="8" s="1"/>
  <c r="G1678" i="8"/>
  <c r="C1678" i="8" s="1"/>
  <c r="G1679" i="8"/>
  <c r="C1679" i="8" s="1"/>
  <c r="G1680" i="8"/>
  <c r="C1680" i="8" s="1"/>
  <c r="G1681" i="8"/>
  <c r="C1681" i="8" s="1"/>
  <c r="G1682" i="8"/>
  <c r="C1682" i="8" s="1"/>
  <c r="G1683" i="8"/>
  <c r="C1683" i="8" s="1"/>
  <c r="G1684" i="8"/>
  <c r="C1684" i="8" s="1"/>
  <c r="G1685" i="8"/>
  <c r="C1685" i="8" s="1"/>
  <c r="G1686" i="8"/>
  <c r="C1686" i="8" s="1"/>
  <c r="G1687" i="8"/>
  <c r="C1687" i="8" s="1"/>
  <c r="G1688" i="8"/>
  <c r="C1688" i="8" s="1"/>
  <c r="G1689" i="8"/>
  <c r="C1689" i="8" s="1"/>
  <c r="G1690" i="8"/>
  <c r="C1690" i="8" s="1"/>
  <c r="G1691" i="8"/>
  <c r="C1691" i="8" s="1"/>
  <c r="G1692" i="8"/>
  <c r="C1692" i="8" s="1"/>
  <c r="G1693" i="8"/>
  <c r="C1693" i="8" s="1"/>
  <c r="G1694" i="8"/>
  <c r="C1694" i="8" s="1"/>
  <c r="G1695" i="8"/>
  <c r="C1695" i="8" s="1"/>
  <c r="G1696" i="8"/>
  <c r="C1696" i="8" s="1"/>
  <c r="G1697" i="8"/>
  <c r="C1697" i="8" s="1"/>
  <c r="G1698" i="8"/>
  <c r="C1698" i="8" s="1"/>
  <c r="G1699" i="8"/>
  <c r="C1699" i="8" s="1"/>
  <c r="G1700" i="8"/>
  <c r="C1700" i="8" s="1"/>
  <c r="G1701" i="8"/>
  <c r="C1701" i="8" s="1"/>
  <c r="G1702" i="8"/>
  <c r="C1702" i="8" s="1"/>
  <c r="G1703" i="8"/>
  <c r="C1703" i="8" s="1"/>
  <c r="G1704" i="8"/>
  <c r="C1704" i="8" s="1"/>
  <c r="G1705" i="8"/>
  <c r="C1705" i="8" s="1"/>
  <c r="G1706" i="8"/>
  <c r="C1706" i="8" s="1"/>
  <c r="G1707" i="8"/>
  <c r="C1707" i="8" s="1"/>
  <c r="G1708" i="8"/>
  <c r="C1708" i="8" s="1"/>
  <c r="G1709" i="8"/>
  <c r="C1709" i="8" s="1"/>
  <c r="G1710" i="8"/>
  <c r="C1710" i="8" s="1"/>
  <c r="G1711" i="8"/>
  <c r="C1711" i="8" s="1"/>
  <c r="G1712" i="8"/>
  <c r="C1712" i="8" s="1"/>
  <c r="G1713" i="8"/>
  <c r="C1713" i="8" s="1"/>
  <c r="G1714" i="8"/>
  <c r="C1714" i="8" s="1"/>
  <c r="G1715" i="8"/>
  <c r="C1715" i="8" s="1"/>
  <c r="G1716" i="8"/>
  <c r="C1716" i="8" s="1"/>
  <c r="G1717" i="8"/>
  <c r="C1717" i="8" s="1"/>
  <c r="G1718" i="8"/>
  <c r="C1718" i="8" s="1"/>
  <c r="G1719" i="8"/>
  <c r="C1719" i="8" s="1"/>
  <c r="G1720" i="8"/>
  <c r="C1720" i="8" s="1"/>
  <c r="G1721" i="8"/>
  <c r="C1721" i="8" s="1"/>
  <c r="G1722" i="8"/>
  <c r="C1722" i="8" s="1"/>
  <c r="G1723" i="8"/>
  <c r="C1723" i="8" s="1"/>
  <c r="G1724" i="8"/>
  <c r="C1724" i="8" s="1"/>
  <c r="G1725" i="8"/>
  <c r="C1725" i="8" s="1"/>
  <c r="G1726" i="8"/>
  <c r="C1726" i="8" s="1"/>
  <c r="G1727" i="8"/>
  <c r="C1727" i="8" s="1"/>
  <c r="G1728" i="8"/>
  <c r="C1728" i="8" s="1"/>
  <c r="G1729" i="8"/>
  <c r="C1729" i="8" s="1"/>
  <c r="G1730" i="8"/>
  <c r="C1730" i="8" s="1"/>
  <c r="G1731" i="8"/>
  <c r="C1731" i="8" s="1"/>
  <c r="G1732" i="8"/>
  <c r="C1732" i="8" s="1"/>
  <c r="G1733" i="8"/>
  <c r="C1733" i="8" s="1"/>
  <c r="G1734" i="8"/>
  <c r="C1734" i="8" s="1"/>
  <c r="G1735" i="8"/>
  <c r="C1735" i="8" s="1"/>
  <c r="G1736" i="8"/>
  <c r="C1736" i="8" s="1"/>
  <c r="G1737" i="8"/>
  <c r="C1737" i="8" s="1"/>
  <c r="G1738" i="8"/>
  <c r="C1738" i="8" s="1"/>
  <c r="G1739" i="8"/>
  <c r="C1739" i="8" s="1"/>
  <c r="G1740" i="8"/>
  <c r="C1740" i="8" s="1"/>
  <c r="G1741" i="8"/>
  <c r="C1741" i="8" s="1"/>
  <c r="G1742" i="8"/>
  <c r="C1742" i="8" s="1"/>
  <c r="G1743" i="8"/>
  <c r="C1743" i="8" s="1"/>
  <c r="G1744" i="8"/>
  <c r="C1744" i="8" s="1"/>
  <c r="G1745" i="8"/>
  <c r="C1745" i="8" s="1"/>
  <c r="G1746" i="8"/>
  <c r="C1746" i="8" s="1"/>
  <c r="G1747" i="8"/>
  <c r="C1747" i="8" s="1"/>
  <c r="G1748" i="8"/>
  <c r="C1748" i="8" s="1"/>
  <c r="G1749" i="8"/>
  <c r="C1749" i="8" s="1"/>
  <c r="G1750" i="8"/>
  <c r="C1750" i="8" s="1"/>
  <c r="G1751" i="8"/>
  <c r="C1751" i="8" s="1"/>
  <c r="G1752" i="8"/>
  <c r="C1752" i="8" s="1"/>
  <c r="G1753" i="8"/>
  <c r="C1753" i="8" s="1"/>
  <c r="G1754" i="8"/>
  <c r="C1754" i="8" s="1"/>
  <c r="G1755" i="8"/>
  <c r="C1755" i="8" s="1"/>
  <c r="G1756" i="8"/>
  <c r="C1756" i="8" s="1"/>
  <c r="G1757" i="8"/>
  <c r="C1757" i="8" s="1"/>
  <c r="G1758" i="8"/>
  <c r="C1758" i="8" s="1"/>
  <c r="G1759" i="8"/>
  <c r="C1759" i="8" s="1"/>
  <c r="G1760" i="8"/>
  <c r="C1760" i="8" s="1"/>
  <c r="G1761" i="8"/>
  <c r="C1761" i="8" s="1"/>
  <c r="G1762" i="8"/>
  <c r="C1762" i="8" s="1"/>
  <c r="G1763" i="8"/>
  <c r="C1763" i="8" s="1"/>
  <c r="G1764" i="8"/>
  <c r="C1764" i="8" s="1"/>
  <c r="G1765" i="8"/>
  <c r="C1765" i="8" s="1"/>
  <c r="G1766" i="8"/>
  <c r="C1766" i="8" s="1"/>
  <c r="G1767" i="8"/>
  <c r="C1767" i="8" s="1"/>
  <c r="G1768" i="8"/>
  <c r="C1768" i="8" s="1"/>
  <c r="G1769" i="8"/>
  <c r="C1769" i="8" s="1"/>
  <c r="G1770" i="8"/>
  <c r="C1770" i="8" s="1"/>
  <c r="G1771" i="8"/>
  <c r="C1771" i="8" s="1"/>
  <c r="G1772" i="8"/>
  <c r="C1772" i="8" s="1"/>
  <c r="G1773" i="8"/>
  <c r="C1773" i="8" s="1"/>
  <c r="G1774" i="8"/>
  <c r="C1774" i="8" s="1"/>
  <c r="G1775" i="8"/>
  <c r="C1775" i="8" s="1"/>
  <c r="G1776" i="8"/>
  <c r="C1776" i="8" s="1"/>
  <c r="G1777" i="8"/>
  <c r="C1777" i="8" s="1"/>
  <c r="G1778" i="8"/>
  <c r="C1778" i="8" s="1"/>
  <c r="G1779" i="8"/>
  <c r="C1779" i="8" s="1"/>
  <c r="G1780" i="8"/>
  <c r="C1780" i="8" s="1"/>
  <c r="G1781" i="8"/>
  <c r="C1781" i="8" s="1"/>
  <c r="G1782" i="8"/>
  <c r="C1782" i="8" s="1"/>
  <c r="G1783" i="8"/>
  <c r="C1783" i="8" s="1"/>
  <c r="G1784" i="8"/>
  <c r="C1784" i="8" s="1"/>
  <c r="G1785" i="8"/>
  <c r="C1785" i="8" s="1"/>
  <c r="G1786" i="8"/>
  <c r="C1786" i="8" s="1"/>
  <c r="G1787" i="8"/>
  <c r="C1787" i="8" s="1"/>
  <c r="G1788" i="8"/>
  <c r="C1788" i="8" s="1"/>
  <c r="G1789" i="8"/>
  <c r="C1789" i="8" s="1"/>
  <c r="G1790" i="8"/>
  <c r="C1790" i="8" s="1"/>
  <c r="G1791" i="8"/>
  <c r="C1791" i="8" s="1"/>
  <c r="G1792" i="8"/>
  <c r="C1792" i="8" s="1"/>
  <c r="G1793" i="8"/>
  <c r="C1793" i="8" s="1"/>
  <c r="G1794" i="8"/>
  <c r="C1794" i="8" s="1"/>
  <c r="G1795" i="8"/>
  <c r="C1795" i="8" s="1"/>
  <c r="G1796" i="8"/>
  <c r="C1796" i="8" s="1"/>
  <c r="G1797" i="8"/>
  <c r="C1797" i="8" s="1"/>
  <c r="G1798" i="8"/>
  <c r="C1798" i="8" s="1"/>
  <c r="G1799" i="8"/>
  <c r="C1799" i="8" s="1"/>
  <c r="G1800" i="8"/>
  <c r="C1800" i="8" s="1"/>
  <c r="G1801" i="8"/>
  <c r="C1801" i="8" s="1"/>
  <c r="G1802" i="8"/>
  <c r="C1802" i="8" s="1"/>
  <c r="G1803" i="8"/>
  <c r="C1803" i="8" s="1"/>
  <c r="G1804" i="8"/>
  <c r="C1804" i="8" s="1"/>
  <c r="G1805" i="8"/>
  <c r="C1805" i="8" s="1"/>
  <c r="G1806" i="8"/>
  <c r="C1806" i="8" s="1"/>
  <c r="G1807" i="8"/>
  <c r="C1807" i="8" s="1"/>
  <c r="G1808" i="8"/>
  <c r="C1808" i="8" s="1"/>
  <c r="G1809" i="8"/>
  <c r="C1809" i="8" s="1"/>
  <c r="G1810" i="8"/>
  <c r="C1810" i="8" s="1"/>
  <c r="G1811" i="8"/>
  <c r="C1811" i="8" s="1"/>
  <c r="G1812" i="8"/>
  <c r="C1812" i="8" s="1"/>
  <c r="G1813" i="8"/>
  <c r="C1813" i="8" s="1"/>
  <c r="G1814" i="8"/>
  <c r="C1814" i="8" s="1"/>
  <c r="G1815" i="8"/>
  <c r="C1815" i="8" s="1"/>
  <c r="G1816" i="8"/>
  <c r="C1816" i="8" s="1"/>
  <c r="G1817" i="8"/>
  <c r="C1817" i="8" s="1"/>
  <c r="G1818" i="8"/>
  <c r="C1818" i="8" s="1"/>
  <c r="G1819" i="8"/>
  <c r="C1819" i="8" s="1"/>
  <c r="G1820" i="8"/>
  <c r="C1820" i="8" s="1"/>
  <c r="G1821" i="8"/>
  <c r="C1821" i="8" s="1"/>
  <c r="G1822" i="8"/>
  <c r="C1822" i="8" s="1"/>
  <c r="G1823" i="8"/>
  <c r="C1823" i="8" s="1"/>
  <c r="G1824" i="8"/>
  <c r="C1824" i="8" s="1"/>
  <c r="G1825" i="8"/>
  <c r="C1825" i="8" s="1"/>
  <c r="G1826" i="8"/>
  <c r="C1826" i="8" s="1"/>
  <c r="G1827" i="8"/>
  <c r="C1827" i="8" s="1"/>
  <c r="G1828" i="8"/>
  <c r="C1828" i="8" s="1"/>
  <c r="G1829" i="8"/>
  <c r="C1829" i="8" s="1"/>
  <c r="G1830" i="8"/>
  <c r="C1830" i="8" s="1"/>
  <c r="G1831" i="8"/>
  <c r="C1831" i="8" s="1"/>
  <c r="G1832" i="8"/>
  <c r="C1832" i="8" s="1"/>
  <c r="G1833" i="8"/>
  <c r="C1833" i="8" s="1"/>
  <c r="G1834" i="8"/>
  <c r="C1834" i="8" s="1"/>
  <c r="G1835" i="8"/>
  <c r="C1835" i="8" s="1"/>
  <c r="G1836" i="8"/>
  <c r="C1836" i="8" s="1"/>
  <c r="G1837" i="8"/>
  <c r="C1837" i="8" s="1"/>
  <c r="G1838" i="8"/>
  <c r="C1838" i="8" s="1"/>
  <c r="G1839" i="8"/>
  <c r="C1839" i="8" s="1"/>
  <c r="G1840" i="8"/>
  <c r="C1840" i="8" s="1"/>
  <c r="G1841" i="8"/>
  <c r="C1841" i="8" s="1"/>
  <c r="G1842" i="8"/>
  <c r="C1842" i="8" s="1"/>
  <c r="G1843" i="8"/>
  <c r="C1843" i="8" s="1"/>
  <c r="G1844" i="8"/>
  <c r="C1844" i="8" s="1"/>
  <c r="G1845" i="8"/>
  <c r="C1845" i="8" s="1"/>
  <c r="G1846" i="8"/>
  <c r="C1846" i="8" s="1"/>
  <c r="G1847" i="8"/>
  <c r="C1847" i="8" s="1"/>
  <c r="G1848" i="8"/>
  <c r="C1848" i="8" s="1"/>
  <c r="G1849" i="8"/>
  <c r="C1849" i="8" s="1"/>
  <c r="G1850" i="8"/>
  <c r="C1850" i="8" s="1"/>
  <c r="G1851" i="8"/>
  <c r="C1851" i="8" s="1"/>
  <c r="G1852" i="8"/>
  <c r="C1852" i="8" s="1"/>
  <c r="G1853" i="8"/>
  <c r="C1853" i="8" s="1"/>
  <c r="G1854" i="8"/>
  <c r="C1854" i="8" s="1"/>
  <c r="G1855" i="8"/>
  <c r="C1855" i="8" s="1"/>
  <c r="G1856" i="8"/>
  <c r="C1856" i="8" s="1"/>
  <c r="G1857" i="8"/>
  <c r="C1857" i="8" s="1"/>
  <c r="G1858" i="8"/>
  <c r="C1858" i="8" s="1"/>
  <c r="G1859" i="8"/>
  <c r="C1859" i="8" s="1"/>
  <c r="G1860" i="8"/>
  <c r="C1860" i="8" s="1"/>
  <c r="G1861" i="8"/>
  <c r="C1861" i="8" s="1"/>
  <c r="G1862" i="8"/>
  <c r="C1862" i="8" s="1"/>
  <c r="G1863" i="8"/>
  <c r="C1863" i="8" s="1"/>
  <c r="G1864" i="8"/>
  <c r="C1864" i="8" s="1"/>
  <c r="G1865" i="8"/>
  <c r="C1865" i="8" s="1"/>
  <c r="G1866" i="8"/>
  <c r="C1866" i="8" s="1"/>
  <c r="G1867" i="8"/>
  <c r="C1867" i="8" s="1"/>
  <c r="G1868" i="8"/>
  <c r="C1868" i="8" s="1"/>
  <c r="G1869" i="8"/>
  <c r="C1869" i="8" s="1"/>
  <c r="G1870" i="8"/>
  <c r="C1870" i="8" s="1"/>
  <c r="G1871" i="8"/>
  <c r="C1871" i="8" s="1"/>
  <c r="G1872" i="8"/>
  <c r="C1872" i="8" s="1"/>
  <c r="G1873" i="8"/>
  <c r="C1873" i="8" s="1"/>
  <c r="G1874" i="8"/>
  <c r="C1874" i="8" s="1"/>
  <c r="G1875" i="8"/>
  <c r="C1875" i="8" s="1"/>
  <c r="G1876" i="8"/>
  <c r="C1876" i="8" s="1"/>
  <c r="G1877" i="8"/>
  <c r="C1877" i="8" s="1"/>
  <c r="G1878" i="8"/>
  <c r="C1878" i="8" s="1"/>
  <c r="G1879" i="8"/>
  <c r="C1879" i="8" s="1"/>
  <c r="G1880" i="8"/>
  <c r="C1880" i="8" s="1"/>
  <c r="G1881" i="8"/>
  <c r="C1881" i="8" s="1"/>
  <c r="G1882" i="8"/>
  <c r="C1882" i="8" s="1"/>
  <c r="G1883" i="8"/>
  <c r="C1883" i="8" s="1"/>
  <c r="G1884" i="8"/>
  <c r="C1884" i="8" s="1"/>
  <c r="G1885" i="8"/>
  <c r="C1885" i="8" s="1"/>
  <c r="G1886" i="8"/>
  <c r="C1886" i="8" s="1"/>
  <c r="G1887" i="8"/>
  <c r="C1887" i="8" s="1"/>
  <c r="G1888" i="8"/>
  <c r="C1888" i="8" s="1"/>
  <c r="G1889" i="8"/>
  <c r="C1889" i="8" s="1"/>
  <c r="G1890" i="8"/>
  <c r="C1890" i="8" s="1"/>
  <c r="G1891" i="8"/>
  <c r="C1891" i="8" s="1"/>
  <c r="G1892" i="8"/>
  <c r="C1892" i="8" s="1"/>
  <c r="G1893" i="8"/>
  <c r="C1893" i="8" s="1"/>
  <c r="G1894" i="8"/>
  <c r="C1894" i="8" s="1"/>
  <c r="G1895" i="8"/>
  <c r="C1895" i="8" s="1"/>
  <c r="G1896" i="8"/>
  <c r="C1896" i="8" s="1"/>
  <c r="G1897" i="8"/>
  <c r="C1897" i="8" s="1"/>
  <c r="G1898" i="8"/>
  <c r="C1898" i="8" s="1"/>
  <c r="G1899" i="8"/>
  <c r="C1899" i="8" s="1"/>
  <c r="G1900" i="8"/>
  <c r="C1900" i="8" s="1"/>
  <c r="G1901" i="8"/>
  <c r="C1901" i="8" s="1"/>
  <c r="G1902" i="8"/>
  <c r="C1902" i="8" s="1"/>
  <c r="G1903" i="8"/>
  <c r="C1903" i="8" s="1"/>
  <c r="G1904" i="8"/>
  <c r="C1904" i="8" s="1"/>
  <c r="G1905" i="8"/>
  <c r="C1905" i="8" s="1"/>
  <c r="G1906" i="8"/>
  <c r="C1906" i="8" s="1"/>
  <c r="G1907" i="8"/>
  <c r="C1907" i="8" s="1"/>
  <c r="G1908" i="8"/>
  <c r="C1908" i="8" s="1"/>
  <c r="G1909" i="8"/>
  <c r="C1909" i="8" s="1"/>
  <c r="G1910" i="8"/>
  <c r="C1910" i="8" s="1"/>
  <c r="G1911" i="8"/>
  <c r="C1911" i="8" s="1"/>
  <c r="G1912" i="8"/>
  <c r="C1912" i="8" s="1"/>
  <c r="G1913" i="8"/>
  <c r="C1913" i="8" s="1"/>
  <c r="G1914" i="8"/>
  <c r="C1914" i="8" s="1"/>
  <c r="G1915" i="8"/>
  <c r="C1915" i="8" s="1"/>
  <c r="G1916" i="8"/>
  <c r="C1916" i="8" s="1"/>
  <c r="G1917" i="8"/>
  <c r="C1917" i="8" s="1"/>
  <c r="G1918" i="8"/>
  <c r="C1918" i="8" s="1"/>
  <c r="G1919" i="8"/>
  <c r="C1919" i="8" s="1"/>
  <c r="G1920" i="8"/>
  <c r="C1920" i="8" s="1"/>
  <c r="G1921" i="8"/>
  <c r="C1921" i="8" s="1"/>
  <c r="G1922" i="8"/>
  <c r="C1922" i="8" s="1"/>
  <c r="G1923" i="8"/>
  <c r="C1923" i="8" s="1"/>
  <c r="G1924" i="8"/>
  <c r="C1924" i="8" s="1"/>
  <c r="G1925" i="8"/>
  <c r="C1925" i="8" s="1"/>
  <c r="G1926" i="8"/>
  <c r="C1926" i="8" s="1"/>
  <c r="G1927" i="8"/>
  <c r="C1927" i="8" s="1"/>
  <c r="G1928" i="8"/>
  <c r="C1928" i="8" s="1"/>
  <c r="G1929" i="8"/>
  <c r="C1929" i="8" s="1"/>
  <c r="G1930" i="8"/>
  <c r="C1930" i="8" s="1"/>
  <c r="G1931" i="8"/>
  <c r="C1931" i="8" s="1"/>
  <c r="G1932" i="8"/>
  <c r="C1932" i="8" s="1"/>
  <c r="G1933" i="8"/>
  <c r="C1933" i="8" s="1"/>
  <c r="G1934" i="8"/>
  <c r="C1934" i="8" s="1"/>
  <c r="G1935" i="8"/>
  <c r="C1935" i="8" s="1"/>
  <c r="G1936" i="8"/>
  <c r="C1936" i="8" s="1"/>
  <c r="G1937" i="8"/>
  <c r="C1937" i="8" s="1"/>
  <c r="G1938" i="8"/>
  <c r="C1938" i="8" s="1"/>
  <c r="G1939" i="8"/>
  <c r="C1939" i="8" s="1"/>
  <c r="G1940" i="8"/>
  <c r="C1940" i="8" s="1"/>
  <c r="G1941" i="8"/>
  <c r="C1941" i="8" s="1"/>
  <c r="G1942" i="8"/>
  <c r="C1942" i="8" s="1"/>
  <c r="G1943" i="8"/>
  <c r="C1943" i="8" s="1"/>
  <c r="G1944" i="8"/>
  <c r="C1944" i="8" s="1"/>
  <c r="G1945" i="8"/>
  <c r="C1945" i="8" s="1"/>
  <c r="G1946" i="8"/>
  <c r="C1946" i="8" s="1"/>
  <c r="G1947" i="8"/>
  <c r="C1947" i="8" s="1"/>
  <c r="G1948" i="8"/>
  <c r="C1948" i="8" s="1"/>
  <c r="G1949" i="8"/>
  <c r="C1949" i="8" s="1"/>
  <c r="G1950" i="8"/>
  <c r="C1950" i="8" s="1"/>
  <c r="G1951" i="8"/>
  <c r="C1951" i="8" s="1"/>
  <c r="G1952" i="8"/>
  <c r="C1952" i="8" s="1"/>
  <c r="G1953" i="8"/>
  <c r="C1953" i="8" s="1"/>
  <c r="G1954" i="8"/>
  <c r="C1954" i="8" s="1"/>
  <c r="G1955" i="8"/>
  <c r="C1955" i="8" s="1"/>
  <c r="G1956" i="8"/>
  <c r="C1956" i="8" s="1"/>
  <c r="G1957" i="8"/>
  <c r="C1957" i="8" s="1"/>
  <c r="G1958" i="8"/>
  <c r="C1958" i="8" s="1"/>
  <c r="G1959" i="8"/>
  <c r="C1959" i="8" s="1"/>
  <c r="G1960" i="8"/>
  <c r="C1960" i="8" s="1"/>
  <c r="G1961" i="8"/>
  <c r="C1961" i="8" s="1"/>
  <c r="G1962" i="8"/>
  <c r="C1962" i="8" s="1"/>
  <c r="G1963" i="8"/>
  <c r="C1963" i="8" s="1"/>
  <c r="G1964" i="8"/>
  <c r="C1964" i="8" s="1"/>
  <c r="G1965" i="8"/>
  <c r="C1965" i="8" s="1"/>
  <c r="G1966" i="8"/>
  <c r="C1966" i="8" s="1"/>
  <c r="G1967" i="8"/>
  <c r="C1967" i="8" s="1"/>
  <c r="G1968" i="8"/>
  <c r="C1968" i="8" s="1"/>
  <c r="G1969" i="8"/>
  <c r="C1969" i="8" s="1"/>
  <c r="G1970" i="8"/>
  <c r="C1970" i="8" s="1"/>
  <c r="G1971" i="8"/>
  <c r="C1971" i="8" s="1"/>
  <c r="G1972" i="8"/>
  <c r="C1972" i="8" s="1"/>
  <c r="G1973" i="8"/>
  <c r="C1973" i="8" s="1"/>
  <c r="G1974" i="8"/>
  <c r="C1974" i="8" s="1"/>
  <c r="G1975" i="8"/>
  <c r="C1975" i="8" s="1"/>
  <c r="G1976" i="8"/>
  <c r="C1976" i="8" s="1"/>
  <c r="G1977" i="8"/>
  <c r="C1977" i="8" s="1"/>
  <c r="G1978" i="8"/>
  <c r="C1978" i="8" s="1"/>
  <c r="G1979" i="8"/>
  <c r="C1979" i="8" s="1"/>
  <c r="G1980" i="8"/>
  <c r="C1980" i="8" s="1"/>
  <c r="G1981" i="8"/>
  <c r="C1981" i="8" s="1"/>
  <c r="G1982" i="8"/>
  <c r="C1982" i="8" s="1"/>
  <c r="G1983" i="8"/>
  <c r="C1983" i="8" s="1"/>
  <c r="G1984" i="8"/>
  <c r="C1984" i="8" s="1"/>
  <c r="G1985" i="8"/>
  <c r="C1985" i="8" s="1"/>
  <c r="G1986" i="8"/>
  <c r="C1986" i="8" s="1"/>
  <c r="G1987" i="8"/>
  <c r="C1987" i="8" s="1"/>
  <c r="G1988" i="8"/>
  <c r="C1988" i="8" s="1"/>
  <c r="G1989" i="8"/>
  <c r="C1989" i="8" s="1"/>
  <c r="G1990" i="8"/>
  <c r="C1990" i="8" s="1"/>
  <c r="G1991" i="8"/>
  <c r="C1991" i="8" s="1"/>
  <c r="G1992" i="8"/>
  <c r="C1992" i="8" s="1"/>
  <c r="G1993" i="8"/>
  <c r="C1993" i="8" s="1"/>
  <c r="G1994" i="8"/>
  <c r="C1994" i="8" s="1"/>
  <c r="G1995" i="8"/>
  <c r="C1995" i="8" s="1"/>
  <c r="G1996" i="8"/>
  <c r="C1996" i="8" s="1"/>
  <c r="G1997" i="8"/>
  <c r="C1997" i="8" s="1"/>
  <c r="G1998" i="8"/>
  <c r="C1998" i="8" s="1"/>
  <c r="G1999" i="8"/>
  <c r="C1999" i="8" s="1"/>
  <c r="G2000" i="8"/>
  <c r="C2000" i="8" s="1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L236" i="8"/>
  <c r="L237" i="8"/>
  <c r="L238" i="8"/>
  <c r="L239" i="8"/>
  <c r="L240" i="8"/>
  <c r="L241" i="8"/>
  <c r="L242" i="8"/>
  <c r="L243" i="8"/>
  <c r="L244" i="8"/>
  <c r="L245" i="8"/>
  <c r="L246" i="8"/>
  <c r="L247" i="8"/>
  <c r="L248" i="8"/>
  <c r="L249" i="8"/>
  <c r="L250" i="8"/>
  <c r="L251" i="8"/>
  <c r="L252" i="8"/>
  <c r="L253" i="8"/>
  <c r="L254" i="8"/>
  <c r="L255" i="8"/>
  <c r="L256" i="8"/>
  <c r="L257" i="8"/>
  <c r="L258" i="8"/>
  <c r="L259" i="8"/>
  <c r="L260" i="8"/>
  <c r="L261" i="8"/>
  <c r="L262" i="8"/>
  <c r="L263" i="8"/>
  <c r="L264" i="8"/>
  <c r="L265" i="8"/>
  <c r="L266" i="8"/>
  <c r="L267" i="8"/>
  <c r="L268" i="8"/>
  <c r="L269" i="8"/>
  <c r="L270" i="8"/>
  <c r="L271" i="8"/>
  <c r="L272" i="8"/>
  <c r="L273" i="8"/>
  <c r="L274" i="8"/>
  <c r="L275" i="8"/>
  <c r="L276" i="8"/>
  <c r="L277" i="8"/>
  <c r="L278" i="8"/>
  <c r="L279" i="8"/>
  <c r="L280" i="8"/>
  <c r="L281" i="8"/>
  <c r="L282" i="8"/>
  <c r="L283" i="8"/>
  <c r="L284" i="8"/>
  <c r="L285" i="8"/>
  <c r="L286" i="8"/>
  <c r="L287" i="8"/>
  <c r="L288" i="8"/>
  <c r="L289" i="8"/>
  <c r="L290" i="8"/>
  <c r="L291" i="8"/>
  <c r="L292" i="8"/>
  <c r="L293" i="8"/>
  <c r="L294" i="8"/>
  <c r="L295" i="8"/>
  <c r="L296" i="8"/>
  <c r="L297" i="8"/>
  <c r="L298" i="8"/>
  <c r="L299" i="8"/>
  <c r="L300" i="8"/>
  <c r="L301" i="8"/>
  <c r="L302" i="8"/>
  <c r="L303" i="8"/>
  <c r="L304" i="8"/>
  <c r="L305" i="8"/>
  <c r="L306" i="8"/>
  <c r="L307" i="8"/>
  <c r="L308" i="8"/>
  <c r="L309" i="8"/>
  <c r="L310" i="8"/>
  <c r="L311" i="8"/>
  <c r="L312" i="8"/>
  <c r="L313" i="8"/>
  <c r="L314" i="8"/>
  <c r="L315" i="8"/>
  <c r="L316" i="8"/>
  <c r="L317" i="8"/>
  <c r="L318" i="8"/>
  <c r="L319" i="8"/>
  <c r="L320" i="8"/>
  <c r="L321" i="8"/>
  <c r="L322" i="8"/>
  <c r="L323" i="8"/>
  <c r="L324" i="8"/>
  <c r="L325" i="8"/>
  <c r="L326" i="8"/>
  <c r="L327" i="8"/>
  <c r="L328" i="8"/>
  <c r="L329" i="8"/>
  <c r="L330" i="8"/>
  <c r="L331" i="8"/>
  <c r="L332" i="8"/>
  <c r="L333" i="8"/>
  <c r="L334" i="8"/>
  <c r="L335" i="8"/>
  <c r="L336" i="8"/>
  <c r="L337" i="8"/>
  <c r="L338" i="8"/>
  <c r="L339" i="8"/>
  <c r="L340" i="8"/>
  <c r="L341" i="8"/>
  <c r="L342" i="8"/>
  <c r="L343" i="8"/>
  <c r="L344" i="8"/>
  <c r="L345" i="8"/>
  <c r="L346" i="8"/>
  <c r="L347" i="8"/>
  <c r="L348" i="8"/>
  <c r="L349" i="8"/>
  <c r="L350" i="8"/>
  <c r="L351" i="8"/>
  <c r="L352" i="8"/>
  <c r="L353" i="8"/>
  <c r="L354" i="8"/>
  <c r="L355" i="8"/>
  <c r="L356" i="8"/>
  <c r="L357" i="8"/>
  <c r="L358" i="8"/>
  <c r="L359" i="8"/>
  <c r="L360" i="8"/>
  <c r="L361" i="8"/>
  <c r="L362" i="8"/>
  <c r="L363" i="8"/>
  <c r="L364" i="8"/>
  <c r="L365" i="8"/>
  <c r="L366" i="8"/>
  <c r="L367" i="8"/>
  <c r="L368" i="8"/>
  <c r="L369" i="8"/>
  <c r="L370" i="8"/>
  <c r="L371" i="8"/>
  <c r="L372" i="8"/>
  <c r="L373" i="8"/>
  <c r="L374" i="8"/>
  <c r="L375" i="8"/>
  <c r="L376" i="8"/>
  <c r="L377" i="8"/>
  <c r="L378" i="8"/>
  <c r="L379" i="8"/>
  <c r="L380" i="8"/>
  <c r="L381" i="8"/>
  <c r="L382" i="8"/>
  <c r="L383" i="8"/>
  <c r="L384" i="8"/>
  <c r="L385" i="8"/>
  <c r="L386" i="8"/>
  <c r="L387" i="8"/>
  <c r="L388" i="8"/>
  <c r="L389" i="8"/>
  <c r="L390" i="8"/>
  <c r="L391" i="8"/>
  <c r="L392" i="8"/>
  <c r="L393" i="8"/>
  <c r="L394" i="8"/>
  <c r="L395" i="8"/>
  <c r="L396" i="8"/>
  <c r="L397" i="8"/>
  <c r="L398" i="8"/>
  <c r="L399" i="8"/>
  <c r="L400" i="8"/>
  <c r="L401" i="8"/>
  <c r="L402" i="8"/>
  <c r="L403" i="8"/>
  <c r="L404" i="8"/>
  <c r="L405" i="8"/>
  <c r="L406" i="8"/>
  <c r="L407" i="8"/>
  <c r="L408" i="8"/>
  <c r="L409" i="8"/>
  <c r="L410" i="8"/>
  <c r="L411" i="8"/>
  <c r="L412" i="8"/>
  <c r="L413" i="8"/>
  <c r="L414" i="8"/>
  <c r="L415" i="8"/>
  <c r="L416" i="8"/>
  <c r="L417" i="8"/>
  <c r="L418" i="8"/>
  <c r="L419" i="8"/>
  <c r="L420" i="8"/>
  <c r="L421" i="8"/>
  <c r="L422" i="8"/>
  <c r="L423" i="8"/>
  <c r="L424" i="8"/>
  <c r="L425" i="8"/>
  <c r="L426" i="8"/>
  <c r="L427" i="8"/>
  <c r="L428" i="8"/>
  <c r="L429" i="8"/>
  <c r="L430" i="8"/>
  <c r="L431" i="8"/>
  <c r="L432" i="8"/>
  <c r="L433" i="8"/>
  <c r="L434" i="8"/>
  <c r="L435" i="8"/>
  <c r="L436" i="8"/>
  <c r="L437" i="8"/>
  <c r="L438" i="8"/>
  <c r="L439" i="8"/>
  <c r="L440" i="8"/>
  <c r="L441" i="8"/>
  <c r="L442" i="8"/>
  <c r="L443" i="8"/>
  <c r="L444" i="8"/>
  <c r="L445" i="8"/>
  <c r="L446" i="8"/>
  <c r="L447" i="8"/>
  <c r="L448" i="8"/>
  <c r="L449" i="8"/>
  <c r="L450" i="8"/>
  <c r="L451" i="8"/>
  <c r="L452" i="8"/>
  <c r="L453" i="8"/>
  <c r="L454" i="8"/>
  <c r="L455" i="8"/>
  <c r="L456" i="8"/>
  <c r="L457" i="8"/>
  <c r="L458" i="8"/>
  <c r="L459" i="8"/>
  <c r="L460" i="8"/>
  <c r="L461" i="8"/>
  <c r="L462" i="8"/>
  <c r="L463" i="8"/>
  <c r="L464" i="8"/>
  <c r="L465" i="8"/>
  <c r="L466" i="8"/>
  <c r="L467" i="8"/>
  <c r="L468" i="8"/>
  <c r="L469" i="8"/>
  <c r="L470" i="8"/>
  <c r="L471" i="8"/>
  <c r="L472" i="8"/>
  <c r="L473" i="8"/>
  <c r="L474" i="8"/>
  <c r="L475" i="8"/>
  <c r="L476" i="8"/>
  <c r="L477" i="8"/>
  <c r="L478" i="8"/>
  <c r="L479" i="8"/>
  <c r="L480" i="8"/>
  <c r="L481" i="8"/>
  <c r="L482" i="8"/>
  <c r="L483" i="8"/>
  <c r="L484" i="8"/>
  <c r="L485" i="8"/>
  <c r="L486" i="8"/>
  <c r="L487" i="8"/>
  <c r="L488" i="8"/>
  <c r="L489" i="8"/>
  <c r="L490" i="8"/>
  <c r="L491" i="8"/>
  <c r="L492" i="8"/>
  <c r="L493" i="8"/>
  <c r="L494" i="8"/>
  <c r="L495" i="8"/>
  <c r="L496" i="8"/>
  <c r="L497" i="8"/>
  <c r="L498" i="8"/>
  <c r="L499" i="8"/>
  <c r="L500" i="8"/>
  <c r="L501" i="8"/>
  <c r="L502" i="8"/>
  <c r="L503" i="8"/>
  <c r="L504" i="8"/>
  <c r="L505" i="8"/>
  <c r="L506" i="8"/>
  <c r="L507" i="8"/>
  <c r="L508" i="8"/>
  <c r="L509" i="8"/>
  <c r="L510" i="8"/>
  <c r="L511" i="8"/>
  <c r="L512" i="8"/>
  <c r="L513" i="8"/>
  <c r="L514" i="8"/>
  <c r="L515" i="8"/>
  <c r="L516" i="8"/>
  <c r="L517" i="8"/>
  <c r="L518" i="8"/>
  <c r="L519" i="8"/>
  <c r="L520" i="8"/>
  <c r="L521" i="8"/>
  <c r="L522" i="8"/>
  <c r="L523" i="8"/>
  <c r="L524" i="8"/>
  <c r="L525" i="8"/>
  <c r="L526" i="8"/>
  <c r="L527" i="8"/>
  <c r="L528" i="8"/>
  <c r="L529" i="8"/>
  <c r="L530" i="8"/>
  <c r="L531" i="8"/>
  <c r="L532" i="8"/>
  <c r="L533" i="8"/>
  <c r="L534" i="8"/>
  <c r="L535" i="8"/>
  <c r="L536" i="8"/>
  <c r="L537" i="8"/>
  <c r="L538" i="8"/>
  <c r="L539" i="8"/>
  <c r="L540" i="8"/>
  <c r="L541" i="8"/>
  <c r="L542" i="8"/>
  <c r="L543" i="8"/>
  <c r="L544" i="8"/>
  <c r="L545" i="8"/>
  <c r="L546" i="8"/>
  <c r="L547" i="8"/>
  <c r="L548" i="8"/>
  <c r="L549" i="8"/>
  <c r="L550" i="8"/>
  <c r="L551" i="8"/>
  <c r="L552" i="8"/>
  <c r="L553" i="8"/>
  <c r="L554" i="8"/>
  <c r="L555" i="8"/>
  <c r="L556" i="8"/>
  <c r="L557" i="8"/>
  <c r="L558" i="8"/>
  <c r="L559" i="8"/>
  <c r="L560" i="8"/>
  <c r="L561" i="8"/>
  <c r="L562" i="8"/>
  <c r="L563" i="8"/>
  <c r="L564" i="8"/>
  <c r="L565" i="8"/>
  <c r="L566" i="8"/>
  <c r="L567" i="8"/>
  <c r="L568" i="8"/>
  <c r="L569" i="8"/>
  <c r="L570" i="8"/>
  <c r="L571" i="8"/>
  <c r="L572" i="8"/>
  <c r="L573" i="8"/>
  <c r="L574" i="8"/>
  <c r="L575" i="8"/>
  <c r="L576" i="8"/>
  <c r="L577" i="8"/>
  <c r="L578" i="8"/>
  <c r="L579" i="8"/>
  <c r="L580" i="8"/>
  <c r="L581" i="8"/>
  <c r="L582" i="8"/>
  <c r="L583" i="8"/>
  <c r="L584" i="8"/>
  <c r="L585" i="8"/>
  <c r="L586" i="8"/>
  <c r="L587" i="8"/>
  <c r="L588" i="8"/>
  <c r="L589" i="8"/>
  <c r="L590" i="8"/>
  <c r="L591" i="8"/>
  <c r="L592" i="8"/>
  <c r="L593" i="8"/>
  <c r="L594" i="8"/>
  <c r="L595" i="8"/>
  <c r="L596" i="8"/>
  <c r="L597" i="8"/>
  <c r="L598" i="8"/>
  <c r="L599" i="8"/>
  <c r="L600" i="8"/>
  <c r="L601" i="8"/>
  <c r="L602" i="8"/>
  <c r="L603" i="8"/>
  <c r="L604" i="8"/>
  <c r="L605" i="8"/>
  <c r="L606" i="8"/>
  <c r="L607" i="8"/>
  <c r="L608" i="8"/>
  <c r="L609" i="8"/>
  <c r="L610" i="8"/>
  <c r="L611" i="8"/>
  <c r="L612" i="8"/>
  <c r="L613" i="8"/>
  <c r="L614" i="8"/>
  <c r="L615" i="8"/>
  <c r="L616" i="8"/>
  <c r="L617" i="8"/>
  <c r="L618" i="8"/>
  <c r="L619" i="8"/>
  <c r="L620" i="8"/>
  <c r="L621" i="8"/>
  <c r="L622" i="8"/>
  <c r="L623" i="8"/>
  <c r="L624" i="8"/>
  <c r="L625" i="8"/>
  <c r="L626" i="8"/>
  <c r="L627" i="8"/>
  <c r="L628" i="8"/>
  <c r="L629" i="8"/>
  <c r="L630" i="8"/>
  <c r="L631" i="8"/>
  <c r="L632" i="8"/>
  <c r="L633" i="8"/>
  <c r="L634" i="8"/>
  <c r="L635" i="8"/>
  <c r="L636" i="8"/>
  <c r="L637" i="8"/>
  <c r="L638" i="8"/>
  <c r="L639" i="8"/>
  <c r="L640" i="8"/>
  <c r="L641" i="8"/>
  <c r="L642" i="8"/>
  <c r="L643" i="8"/>
  <c r="L644" i="8"/>
  <c r="L645" i="8"/>
  <c r="L646" i="8"/>
  <c r="L647" i="8"/>
  <c r="L648" i="8"/>
  <c r="L649" i="8"/>
  <c r="L650" i="8"/>
  <c r="L651" i="8"/>
  <c r="L652" i="8"/>
  <c r="L653" i="8"/>
  <c r="L654" i="8"/>
  <c r="L655" i="8"/>
  <c r="L656" i="8"/>
  <c r="L657" i="8"/>
  <c r="L658" i="8"/>
  <c r="L659" i="8"/>
  <c r="L660" i="8"/>
  <c r="L661" i="8"/>
  <c r="L662" i="8"/>
  <c r="L663" i="8"/>
  <c r="L664" i="8"/>
  <c r="L665" i="8"/>
  <c r="L666" i="8"/>
  <c r="L667" i="8"/>
  <c r="L668" i="8"/>
  <c r="L669" i="8"/>
  <c r="L670" i="8"/>
  <c r="L671" i="8"/>
  <c r="L672" i="8"/>
  <c r="L673" i="8"/>
  <c r="L674" i="8"/>
  <c r="L675" i="8"/>
  <c r="L676" i="8"/>
  <c r="L677" i="8"/>
  <c r="L678" i="8"/>
  <c r="L679" i="8"/>
  <c r="L680" i="8"/>
  <c r="L681" i="8"/>
  <c r="L682" i="8"/>
  <c r="L683" i="8"/>
  <c r="L684" i="8"/>
  <c r="L685" i="8"/>
  <c r="L686" i="8"/>
  <c r="L687" i="8"/>
  <c r="L688" i="8"/>
  <c r="L689" i="8"/>
  <c r="L690" i="8"/>
  <c r="L691" i="8"/>
  <c r="L692" i="8"/>
  <c r="L693" i="8"/>
  <c r="L694" i="8"/>
  <c r="L695" i="8"/>
  <c r="L696" i="8"/>
  <c r="L697" i="8"/>
  <c r="L698" i="8"/>
  <c r="L699" i="8"/>
  <c r="L700" i="8"/>
  <c r="L701" i="8"/>
  <c r="L702" i="8"/>
  <c r="L703" i="8"/>
  <c r="L704" i="8"/>
  <c r="L705" i="8"/>
  <c r="L706" i="8"/>
  <c r="L707" i="8"/>
  <c r="L708" i="8"/>
  <c r="L709" i="8"/>
  <c r="L710" i="8"/>
  <c r="L711" i="8"/>
  <c r="L712" i="8"/>
  <c r="L713" i="8"/>
  <c r="L714" i="8"/>
  <c r="L715" i="8"/>
  <c r="L716" i="8"/>
  <c r="L717" i="8"/>
  <c r="L718" i="8"/>
  <c r="L719" i="8"/>
  <c r="L720" i="8"/>
  <c r="L721" i="8"/>
  <c r="L722" i="8"/>
  <c r="L723" i="8"/>
  <c r="L724" i="8"/>
  <c r="L725" i="8"/>
  <c r="L726" i="8"/>
  <c r="L727" i="8"/>
  <c r="L728" i="8"/>
  <c r="L729" i="8"/>
  <c r="L730" i="8"/>
  <c r="L731" i="8"/>
  <c r="L732" i="8"/>
  <c r="L733" i="8"/>
  <c r="L734" i="8"/>
  <c r="L735" i="8"/>
  <c r="L736" i="8"/>
  <c r="L737" i="8"/>
  <c r="L738" i="8"/>
  <c r="L739" i="8"/>
  <c r="L740" i="8"/>
  <c r="L741" i="8"/>
  <c r="L742" i="8"/>
  <c r="L743" i="8"/>
  <c r="L744" i="8"/>
  <c r="L745" i="8"/>
  <c r="L746" i="8"/>
  <c r="L747" i="8"/>
  <c r="L748" i="8"/>
  <c r="L749" i="8"/>
  <c r="L750" i="8"/>
  <c r="L751" i="8"/>
  <c r="L752" i="8"/>
  <c r="L753" i="8"/>
  <c r="L754" i="8"/>
  <c r="L755" i="8"/>
  <c r="L756" i="8"/>
  <c r="L757" i="8"/>
  <c r="L758" i="8"/>
  <c r="L759" i="8"/>
  <c r="L760" i="8"/>
  <c r="L761" i="8"/>
  <c r="L762" i="8"/>
  <c r="L763" i="8"/>
  <c r="L764" i="8"/>
  <c r="L765" i="8"/>
  <c r="L766" i="8"/>
  <c r="L767" i="8"/>
  <c r="L768" i="8"/>
  <c r="L769" i="8"/>
  <c r="L770" i="8"/>
  <c r="L771" i="8"/>
  <c r="L772" i="8"/>
  <c r="L773" i="8"/>
  <c r="L774" i="8"/>
  <c r="L775" i="8"/>
  <c r="L776" i="8"/>
  <c r="L777" i="8"/>
  <c r="L778" i="8"/>
  <c r="L779" i="8"/>
  <c r="L780" i="8"/>
  <c r="L781" i="8"/>
  <c r="L782" i="8"/>
  <c r="L783" i="8"/>
  <c r="L784" i="8"/>
  <c r="L785" i="8"/>
  <c r="L786" i="8"/>
  <c r="L787" i="8"/>
  <c r="L788" i="8"/>
  <c r="L789" i="8"/>
  <c r="L790" i="8"/>
  <c r="L791" i="8"/>
  <c r="L792" i="8"/>
  <c r="L793" i="8"/>
  <c r="L794" i="8"/>
  <c r="L795" i="8"/>
  <c r="L796" i="8"/>
  <c r="L797" i="8"/>
  <c r="L798" i="8"/>
  <c r="L799" i="8"/>
  <c r="L800" i="8"/>
  <c r="L801" i="8"/>
  <c r="L802" i="8"/>
  <c r="L803" i="8"/>
  <c r="L804" i="8"/>
  <c r="L805" i="8"/>
  <c r="L806" i="8"/>
  <c r="L807" i="8"/>
  <c r="L808" i="8"/>
  <c r="L809" i="8"/>
  <c r="L810" i="8"/>
  <c r="L811" i="8"/>
  <c r="L812" i="8"/>
  <c r="L813" i="8"/>
  <c r="L814" i="8"/>
  <c r="L815" i="8"/>
  <c r="L816" i="8"/>
  <c r="L817" i="8"/>
  <c r="L818" i="8"/>
  <c r="L819" i="8"/>
  <c r="L820" i="8"/>
  <c r="L821" i="8"/>
  <c r="L822" i="8"/>
  <c r="L823" i="8"/>
  <c r="L824" i="8"/>
  <c r="L825" i="8"/>
  <c r="L826" i="8"/>
  <c r="L827" i="8"/>
  <c r="L828" i="8"/>
  <c r="L829" i="8"/>
  <c r="L830" i="8"/>
  <c r="L831" i="8"/>
  <c r="L832" i="8"/>
  <c r="L833" i="8"/>
  <c r="L834" i="8"/>
  <c r="L835" i="8"/>
  <c r="L836" i="8"/>
  <c r="L837" i="8"/>
  <c r="L838" i="8"/>
  <c r="L839" i="8"/>
  <c r="L840" i="8"/>
  <c r="L841" i="8"/>
  <c r="L842" i="8"/>
  <c r="L843" i="8"/>
  <c r="L844" i="8"/>
  <c r="L845" i="8"/>
  <c r="L846" i="8"/>
  <c r="L847" i="8"/>
  <c r="L848" i="8"/>
  <c r="L849" i="8"/>
  <c r="L850" i="8"/>
  <c r="L851" i="8"/>
  <c r="L852" i="8"/>
  <c r="L853" i="8"/>
  <c r="L854" i="8"/>
  <c r="L855" i="8"/>
  <c r="L856" i="8"/>
  <c r="L857" i="8"/>
  <c r="L858" i="8"/>
  <c r="L859" i="8"/>
  <c r="L860" i="8"/>
  <c r="L861" i="8"/>
  <c r="L862" i="8"/>
  <c r="L863" i="8"/>
  <c r="L864" i="8"/>
  <c r="L865" i="8"/>
  <c r="L866" i="8"/>
  <c r="L867" i="8"/>
  <c r="L868" i="8"/>
  <c r="L869" i="8"/>
  <c r="L870" i="8"/>
  <c r="L871" i="8"/>
  <c r="L872" i="8"/>
  <c r="L873" i="8"/>
  <c r="L874" i="8"/>
  <c r="L875" i="8"/>
  <c r="L876" i="8"/>
  <c r="L877" i="8"/>
  <c r="L878" i="8"/>
  <c r="L879" i="8"/>
  <c r="L880" i="8"/>
  <c r="L881" i="8"/>
  <c r="L882" i="8"/>
  <c r="L883" i="8"/>
  <c r="L884" i="8"/>
  <c r="L885" i="8"/>
  <c r="L886" i="8"/>
  <c r="L887" i="8"/>
  <c r="L888" i="8"/>
  <c r="L889" i="8"/>
  <c r="L890" i="8"/>
  <c r="L891" i="8"/>
  <c r="L892" i="8"/>
  <c r="L893" i="8"/>
  <c r="L894" i="8"/>
  <c r="L895" i="8"/>
  <c r="L896" i="8"/>
  <c r="L897" i="8"/>
  <c r="L898" i="8"/>
  <c r="L899" i="8"/>
  <c r="L900" i="8"/>
  <c r="L901" i="8"/>
  <c r="L902" i="8"/>
  <c r="L903" i="8"/>
  <c r="L904" i="8"/>
  <c r="L905" i="8"/>
  <c r="L906" i="8"/>
  <c r="L907" i="8"/>
  <c r="L908" i="8"/>
  <c r="L909" i="8"/>
  <c r="L910" i="8"/>
  <c r="L911" i="8"/>
  <c r="L912" i="8"/>
  <c r="L913" i="8"/>
  <c r="L914" i="8"/>
  <c r="L915" i="8"/>
  <c r="L916" i="8"/>
  <c r="L917" i="8"/>
  <c r="L918" i="8"/>
  <c r="L919" i="8"/>
  <c r="L920" i="8"/>
  <c r="L921" i="8"/>
  <c r="L922" i="8"/>
  <c r="L923" i="8"/>
  <c r="L924" i="8"/>
  <c r="L925" i="8"/>
  <c r="L926" i="8"/>
  <c r="L927" i="8"/>
  <c r="L928" i="8"/>
  <c r="L929" i="8"/>
  <c r="L930" i="8"/>
  <c r="L931" i="8"/>
  <c r="L932" i="8"/>
  <c r="L933" i="8"/>
  <c r="L934" i="8"/>
  <c r="L935" i="8"/>
  <c r="L936" i="8"/>
  <c r="L937" i="8"/>
  <c r="L938" i="8"/>
  <c r="L939" i="8"/>
  <c r="L940" i="8"/>
  <c r="L941" i="8"/>
  <c r="L942" i="8"/>
  <c r="L943" i="8"/>
  <c r="L944" i="8"/>
  <c r="L945" i="8"/>
  <c r="L946" i="8"/>
  <c r="L947" i="8"/>
  <c r="L948" i="8"/>
  <c r="L949" i="8"/>
  <c r="L950" i="8"/>
  <c r="L951" i="8"/>
  <c r="L952" i="8"/>
  <c r="L953" i="8"/>
  <c r="L954" i="8"/>
  <c r="L955" i="8"/>
  <c r="L956" i="8"/>
  <c r="L957" i="8"/>
  <c r="L958" i="8"/>
  <c r="L959" i="8"/>
  <c r="L960" i="8"/>
  <c r="L961" i="8"/>
  <c r="L962" i="8"/>
  <c r="L963" i="8"/>
  <c r="L964" i="8"/>
  <c r="L965" i="8"/>
  <c r="L966" i="8"/>
  <c r="L967" i="8"/>
  <c r="L968" i="8"/>
  <c r="L969" i="8"/>
  <c r="L970" i="8"/>
  <c r="L971" i="8"/>
  <c r="L972" i="8"/>
  <c r="L973" i="8"/>
  <c r="L974" i="8"/>
  <c r="L975" i="8"/>
  <c r="L976" i="8"/>
  <c r="L977" i="8"/>
  <c r="L978" i="8"/>
  <c r="L979" i="8"/>
  <c r="L980" i="8"/>
  <c r="L981" i="8"/>
  <c r="L982" i="8"/>
  <c r="L983" i="8"/>
  <c r="L984" i="8"/>
  <c r="L985" i="8"/>
  <c r="L986" i="8"/>
  <c r="L987" i="8"/>
  <c r="L988" i="8"/>
  <c r="L989" i="8"/>
  <c r="L990" i="8"/>
  <c r="L991" i="8"/>
  <c r="L992" i="8"/>
  <c r="L993" i="8"/>
  <c r="L994" i="8"/>
  <c r="L995" i="8"/>
  <c r="L996" i="8"/>
  <c r="L997" i="8"/>
  <c r="L998" i="8"/>
  <c r="L999" i="8"/>
  <c r="L1000" i="8"/>
  <c r="L1001" i="8"/>
  <c r="L1002" i="8"/>
  <c r="L1003" i="8"/>
  <c r="L1004" i="8"/>
  <c r="L1005" i="8"/>
  <c r="L1006" i="8"/>
  <c r="L1007" i="8"/>
  <c r="L1008" i="8"/>
  <c r="L1009" i="8"/>
  <c r="L1010" i="8"/>
  <c r="L1011" i="8"/>
  <c r="L1012" i="8"/>
  <c r="L1013" i="8"/>
  <c r="L1014" i="8"/>
  <c r="L1015" i="8"/>
  <c r="L1016" i="8"/>
  <c r="L1017" i="8"/>
  <c r="L1018" i="8"/>
  <c r="L1019" i="8"/>
  <c r="L1020" i="8"/>
  <c r="L1021" i="8"/>
  <c r="L1022" i="8"/>
  <c r="L1023" i="8"/>
  <c r="L1024" i="8"/>
  <c r="L1025" i="8"/>
  <c r="L1026" i="8"/>
  <c r="L1027" i="8"/>
  <c r="L1028" i="8"/>
  <c r="L1029" i="8"/>
  <c r="L1030" i="8"/>
  <c r="L1031" i="8"/>
  <c r="L1032" i="8"/>
  <c r="L1033" i="8"/>
  <c r="L1034" i="8"/>
  <c r="L1035" i="8"/>
  <c r="L1036" i="8"/>
  <c r="L1037" i="8"/>
  <c r="L1038" i="8"/>
  <c r="L1039" i="8"/>
  <c r="L1040" i="8"/>
  <c r="L1041" i="8"/>
  <c r="L1042" i="8"/>
  <c r="L1043" i="8"/>
  <c r="L1044" i="8"/>
  <c r="L1045" i="8"/>
  <c r="L1046" i="8"/>
  <c r="L1047" i="8"/>
  <c r="L1048" i="8"/>
  <c r="L1049" i="8"/>
  <c r="L1050" i="8"/>
  <c r="L1051" i="8"/>
  <c r="L1052" i="8"/>
  <c r="L1053" i="8"/>
  <c r="L1054" i="8"/>
  <c r="L1055" i="8"/>
  <c r="L1056" i="8"/>
  <c r="L1057" i="8"/>
  <c r="L1058" i="8"/>
  <c r="L1059" i="8"/>
  <c r="L1060" i="8"/>
  <c r="L1061" i="8"/>
  <c r="L1062" i="8"/>
  <c r="L1063" i="8"/>
  <c r="L1064" i="8"/>
  <c r="L1065" i="8"/>
  <c r="L1066" i="8"/>
  <c r="L1067" i="8"/>
  <c r="L1068" i="8"/>
  <c r="L1069" i="8"/>
  <c r="L1070" i="8"/>
  <c r="L1071" i="8"/>
  <c r="L1072" i="8"/>
  <c r="L1073" i="8"/>
  <c r="L1074" i="8"/>
  <c r="L1075" i="8"/>
  <c r="L1076" i="8"/>
  <c r="L1077" i="8"/>
  <c r="L1078" i="8"/>
  <c r="L1079" i="8"/>
  <c r="L1080" i="8"/>
  <c r="L1081" i="8"/>
  <c r="L1082" i="8"/>
  <c r="L1083" i="8"/>
  <c r="L1084" i="8"/>
  <c r="L1085" i="8"/>
  <c r="L1086" i="8"/>
  <c r="L1087" i="8"/>
  <c r="L1088" i="8"/>
  <c r="L1089" i="8"/>
  <c r="L1090" i="8"/>
  <c r="L1091" i="8"/>
  <c r="L1092" i="8"/>
  <c r="L1093" i="8"/>
  <c r="L1094" i="8"/>
  <c r="L1095" i="8"/>
  <c r="L1096" i="8"/>
  <c r="L1097" i="8"/>
  <c r="L1098" i="8"/>
  <c r="L1099" i="8"/>
  <c r="L1100" i="8"/>
  <c r="L1101" i="8"/>
  <c r="L1102" i="8"/>
  <c r="L1103" i="8"/>
  <c r="L1104" i="8"/>
  <c r="L1105" i="8"/>
  <c r="L1106" i="8"/>
  <c r="L1107" i="8"/>
  <c r="L1108" i="8"/>
  <c r="L1109" i="8"/>
  <c r="L1110" i="8"/>
  <c r="L1111" i="8"/>
  <c r="L1112" i="8"/>
  <c r="L1113" i="8"/>
  <c r="L1114" i="8"/>
  <c r="L1115" i="8"/>
  <c r="L1116" i="8"/>
  <c r="L1117" i="8"/>
  <c r="L1118" i="8"/>
  <c r="L1119" i="8"/>
  <c r="L1120" i="8"/>
  <c r="L1121" i="8"/>
  <c r="L1122" i="8"/>
  <c r="L1123" i="8"/>
  <c r="L1124" i="8"/>
  <c r="L1125" i="8"/>
  <c r="L1126" i="8"/>
  <c r="L1127" i="8"/>
  <c r="L1128" i="8"/>
  <c r="L1129" i="8"/>
  <c r="L1130" i="8"/>
  <c r="L1131" i="8"/>
  <c r="L1132" i="8"/>
  <c r="L1133" i="8"/>
  <c r="L1134" i="8"/>
  <c r="L1135" i="8"/>
  <c r="L1136" i="8"/>
  <c r="L1137" i="8"/>
  <c r="L1138" i="8"/>
  <c r="L1139" i="8"/>
  <c r="L1140" i="8"/>
  <c r="L1141" i="8"/>
  <c r="L1142" i="8"/>
  <c r="L1143" i="8"/>
  <c r="L1144" i="8"/>
  <c r="L1145" i="8"/>
  <c r="L1146" i="8"/>
  <c r="L1147" i="8"/>
  <c r="L1148" i="8"/>
  <c r="L1149" i="8"/>
  <c r="L1150" i="8"/>
  <c r="L1151" i="8"/>
  <c r="L1152" i="8"/>
  <c r="L1153" i="8"/>
  <c r="L1154" i="8"/>
  <c r="L1155" i="8"/>
  <c r="L1156" i="8"/>
  <c r="L1157" i="8"/>
  <c r="L1158" i="8"/>
  <c r="L1159" i="8"/>
  <c r="L1160" i="8"/>
  <c r="L1161" i="8"/>
  <c r="L1162" i="8"/>
  <c r="L1163" i="8"/>
  <c r="L1164" i="8"/>
  <c r="L1165" i="8"/>
  <c r="L1166" i="8"/>
  <c r="L1167" i="8"/>
  <c r="L1168" i="8"/>
  <c r="L1169" i="8"/>
  <c r="L1170" i="8"/>
  <c r="L1171" i="8"/>
  <c r="L1172" i="8"/>
  <c r="L1173" i="8"/>
  <c r="L1174" i="8"/>
  <c r="L1175" i="8"/>
  <c r="L1176" i="8"/>
  <c r="L1177" i="8"/>
  <c r="L1178" i="8"/>
  <c r="L1179" i="8"/>
  <c r="L1180" i="8"/>
  <c r="L1181" i="8"/>
  <c r="L1182" i="8"/>
  <c r="L1183" i="8"/>
  <c r="L1184" i="8"/>
  <c r="L1185" i="8"/>
  <c r="L1186" i="8"/>
  <c r="L1187" i="8"/>
  <c r="L1188" i="8"/>
  <c r="L1189" i="8"/>
  <c r="L1190" i="8"/>
  <c r="L1191" i="8"/>
  <c r="L1192" i="8"/>
  <c r="L1193" i="8"/>
  <c r="L1194" i="8"/>
  <c r="L1195" i="8"/>
  <c r="L1196" i="8"/>
  <c r="L1197" i="8"/>
  <c r="L1198" i="8"/>
  <c r="L1199" i="8"/>
  <c r="L1200" i="8"/>
  <c r="L1201" i="8"/>
  <c r="L1202" i="8"/>
  <c r="L1203" i="8"/>
  <c r="L1204" i="8"/>
  <c r="L1205" i="8"/>
  <c r="L1206" i="8"/>
  <c r="L1207" i="8"/>
  <c r="L1208" i="8"/>
  <c r="L1209" i="8"/>
  <c r="L1210" i="8"/>
  <c r="L1211" i="8"/>
  <c r="L1212" i="8"/>
  <c r="L1213" i="8"/>
  <c r="L1214" i="8"/>
  <c r="L1215" i="8"/>
  <c r="L1216" i="8"/>
  <c r="L1217" i="8"/>
  <c r="L1218" i="8"/>
  <c r="L1219" i="8"/>
  <c r="L1220" i="8"/>
  <c r="L1221" i="8"/>
  <c r="L1222" i="8"/>
  <c r="L1223" i="8"/>
  <c r="L1224" i="8"/>
  <c r="L1225" i="8"/>
  <c r="L1226" i="8"/>
  <c r="L1227" i="8"/>
  <c r="L1228" i="8"/>
  <c r="L1229" i="8"/>
  <c r="L1230" i="8"/>
  <c r="L1231" i="8"/>
  <c r="L1232" i="8"/>
  <c r="L1233" i="8"/>
  <c r="L1234" i="8"/>
  <c r="L1235" i="8"/>
  <c r="L1236" i="8"/>
  <c r="L1237" i="8"/>
  <c r="L1238" i="8"/>
  <c r="L1239" i="8"/>
  <c r="L1240" i="8"/>
  <c r="L1241" i="8"/>
  <c r="L1242" i="8"/>
  <c r="L1243" i="8"/>
  <c r="L1244" i="8"/>
  <c r="L1245" i="8"/>
  <c r="L1246" i="8"/>
  <c r="L1247" i="8"/>
  <c r="L1248" i="8"/>
  <c r="L1249" i="8"/>
  <c r="L1250" i="8"/>
  <c r="L1251" i="8"/>
  <c r="L1252" i="8"/>
  <c r="L1253" i="8"/>
  <c r="L1254" i="8"/>
  <c r="L1255" i="8"/>
  <c r="L1256" i="8"/>
  <c r="L1257" i="8"/>
  <c r="L1258" i="8"/>
  <c r="L1259" i="8"/>
  <c r="L1260" i="8"/>
  <c r="L1261" i="8"/>
  <c r="L1262" i="8"/>
  <c r="L1263" i="8"/>
  <c r="L1264" i="8"/>
  <c r="L1265" i="8"/>
  <c r="L1266" i="8"/>
  <c r="L1267" i="8"/>
  <c r="L1268" i="8"/>
  <c r="L1269" i="8"/>
  <c r="L1270" i="8"/>
  <c r="L1271" i="8"/>
  <c r="L1272" i="8"/>
  <c r="L1273" i="8"/>
  <c r="L1274" i="8"/>
  <c r="L1275" i="8"/>
  <c r="L1276" i="8"/>
  <c r="L1277" i="8"/>
  <c r="L1278" i="8"/>
  <c r="L1279" i="8"/>
  <c r="L1280" i="8"/>
  <c r="L1281" i="8"/>
  <c r="L1282" i="8"/>
  <c r="L1283" i="8"/>
  <c r="L1284" i="8"/>
  <c r="L1285" i="8"/>
  <c r="L1286" i="8"/>
  <c r="L1287" i="8"/>
  <c r="L1288" i="8"/>
  <c r="L1289" i="8"/>
  <c r="L1290" i="8"/>
  <c r="L1291" i="8"/>
  <c r="L1292" i="8"/>
  <c r="L1293" i="8"/>
  <c r="L1294" i="8"/>
  <c r="L1295" i="8"/>
  <c r="L1296" i="8"/>
  <c r="L1297" i="8"/>
  <c r="L1298" i="8"/>
  <c r="L1299" i="8"/>
  <c r="L1300" i="8"/>
  <c r="L1301" i="8"/>
  <c r="L1302" i="8"/>
  <c r="L1303" i="8"/>
  <c r="L1304" i="8"/>
  <c r="L1305" i="8"/>
  <c r="L1306" i="8"/>
  <c r="L1307" i="8"/>
  <c r="L1308" i="8"/>
  <c r="L1309" i="8"/>
  <c r="L1310" i="8"/>
  <c r="L1311" i="8"/>
  <c r="L1312" i="8"/>
  <c r="L1313" i="8"/>
  <c r="L1314" i="8"/>
  <c r="L1315" i="8"/>
  <c r="L1316" i="8"/>
  <c r="L1317" i="8"/>
  <c r="L1318" i="8"/>
  <c r="L1319" i="8"/>
  <c r="L1320" i="8"/>
  <c r="L1321" i="8"/>
  <c r="L1322" i="8"/>
  <c r="L1323" i="8"/>
  <c r="L1324" i="8"/>
  <c r="L1325" i="8"/>
  <c r="L1326" i="8"/>
  <c r="L1327" i="8"/>
  <c r="L1328" i="8"/>
  <c r="L1329" i="8"/>
  <c r="L1330" i="8"/>
  <c r="L1331" i="8"/>
  <c r="L1332" i="8"/>
  <c r="L1333" i="8"/>
  <c r="L1334" i="8"/>
  <c r="L1335" i="8"/>
  <c r="L1336" i="8"/>
  <c r="L1337" i="8"/>
  <c r="L1338" i="8"/>
  <c r="L1339" i="8"/>
  <c r="L1340" i="8"/>
  <c r="L1341" i="8"/>
  <c r="L1342" i="8"/>
  <c r="L1343" i="8"/>
  <c r="L1344" i="8"/>
  <c r="L1345" i="8"/>
  <c r="L1346" i="8"/>
  <c r="L1347" i="8"/>
  <c r="L1348" i="8"/>
  <c r="L1349" i="8"/>
  <c r="L1350" i="8"/>
  <c r="L1351" i="8"/>
  <c r="L1352" i="8"/>
  <c r="L1353" i="8"/>
  <c r="L1354" i="8"/>
  <c r="L1355" i="8"/>
  <c r="L1356" i="8"/>
  <c r="L1357" i="8"/>
  <c r="L1358" i="8"/>
  <c r="L1359" i="8"/>
  <c r="L1360" i="8"/>
  <c r="L1361" i="8"/>
  <c r="L1362" i="8"/>
  <c r="L1363" i="8"/>
  <c r="L1364" i="8"/>
  <c r="L1365" i="8"/>
  <c r="L1366" i="8"/>
  <c r="L1367" i="8"/>
  <c r="L1368" i="8"/>
  <c r="L1369" i="8"/>
  <c r="L1370" i="8"/>
  <c r="L1371" i="8"/>
  <c r="L1372" i="8"/>
  <c r="L1373" i="8"/>
  <c r="L1374" i="8"/>
  <c r="L1375" i="8"/>
  <c r="L1376" i="8"/>
  <c r="L1377" i="8"/>
  <c r="L1378" i="8"/>
  <c r="L1379" i="8"/>
  <c r="L1380" i="8"/>
  <c r="L1381" i="8"/>
  <c r="L1382" i="8"/>
  <c r="L1383" i="8"/>
  <c r="L1384" i="8"/>
  <c r="L1385" i="8"/>
  <c r="L1386" i="8"/>
  <c r="L1387" i="8"/>
  <c r="L1388" i="8"/>
  <c r="L1389" i="8"/>
  <c r="L1390" i="8"/>
  <c r="L1391" i="8"/>
  <c r="L1392" i="8"/>
  <c r="L1393" i="8"/>
  <c r="L1394" i="8"/>
  <c r="L1395" i="8"/>
  <c r="L1396" i="8"/>
  <c r="L1397" i="8"/>
  <c r="L1398" i="8"/>
  <c r="L1399" i="8"/>
  <c r="L1400" i="8"/>
  <c r="L1401" i="8"/>
  <c r="L1402" i="8"/>
  <c r="L1403" i="8"/>
  <c r="L1404" i="8"/>
  <c r="L1405" i="8"/>
  <c r="L1406" i="8"/>
  <c r="L1407" i="8"/>
  <c r="L1408" i="8"/>
  <c r="L1409" i="8"/>
  <c r="L1410" i="8"/>
  <c r="L1411" i="8"/>
  <c r="L1412" i="8"/>
  <c r="L1413" i="8"/>
  <c r="L1414" i="8"/>
  <c r="L1415" i="8"/>
  <c r="L1416" i="8"/>
  <c r="L1417" i="8"/>
  <c r="L1418" i="8"/>
  <c r="L1419" i="8"/>
  <c r="L1420" i="8"/>
  <c r="L1421" i="8"/>
  <c r="L1422" i="8"/>
  <c r="L1423" i="8"/>
  <c r="L1424" i="8"/>
  <c r="L1425" i="8"/>
  <c r="L1426" i="8"/>
  <c r="L1427" i="8"/>
  <c r="L1428" i="8"/>
  <c r="L1429" i="8"/>
  <c r="L1430" i="8"/>
  <c r="L1431" i="8"/>
  <c r="L1432" i="8"/>
  <c r="L1433" i="8"/>
  <c r="L1434" i="8"/>
  <c r="L1435" i="8"/>
  <c r="L1436" i="8"/>
  <c r="L1437" i="8"/>
  <c r="L1438" i="8"/>
  <c r="L1439" i="8"/>
  <c r="L1440" i="8"/>
  <c r="L1441" i="8"/>
  <c r="L1442" i="8"/>
  <c r="L1443" i="8"/>
  <c r="L1444" i="8"/>
  <c r="L1445" i="8"/>
  <c r="L1446" i="8"/>
  <c r="L1447" i="8"/>
  <c r="L1448" i="8"/>
  <c r="L1449" i="8"/>
  <c r="L1450" i="8"/>
  <c r="L1451" i="8"/>
  <c r="L1452" i="8"/>
  <c r="L1453" i="8"/>
  <c r="L1454" i="8"/>
  <c r="L1455" i="8"/>
  <c r="L1456" i="8"/>
  <c r="L1457" i="8"/>
  <c r="L1458" i="8"/>
  <c r="L1459" i="8"/>
  <c r="L1460" i="8"/>
  <c r="L1461" i="8"/>
  <c r="L1462" i="8"/>
  <c r="L1463" i="8"/>
  <c r="L1464" i="8"/>
  <c r="L1465" i="8"/>
  <c r="L1466" i="8"/>
  <c r="L1467" i="8"/>
  <c r="L1468" i="8"/>
  <c r="L1469" i="8"/>
  <c r="L1470" i="8"/>
  <c r="L1471" i="8"/>
  <c r="L1472" i="8"/>
  <c r="L1473" i="8"/>
  <c r="L1474" i="8"/>
  <c r="L1475" i="8"/>
  <c r="L1476" i="8"/>
  <c r="L1477" i="8"/>
  <c r="L1478" i="8"/>
  <c r="L1479" i="8"/>
  <c r="L1480" i="8"/>
  <c r="L1481" i="8"/>
  <c r="L1482" i="8"/>
  <c r="L1483" i="8"/>
  <c r="L1484" i="8"/>
  <c r="L1485" i="8"/>
  <c r="L1486" i="8"/>
  <c r="L1487" i="8"/>
  <c r="L1488" i="8"/>
  <c r="L1489" i="8"/>
  <c r="L1490" i="8"/>
  <c r="L1491" i="8"/>
  <c r="L1492" i="8"/>
  <c r="L1493" i="8"/>
  <c r="L1494" i="8"/>
  <c r="L1495" i="8"/>
  <c r="L1496" i="8"/>
  <c r="L1497" i="8"/>
  <c r="L1498" i="8"/>
  <c r="L1499" i="8"/>
  <c r="L1500" i="8"/>
  <c r="L1501" i="8"/>
  <c r="L1502" i="8"/>
  <c r="L1503" i="8"/>
  <c r="L1504" i="8"/>
  <c r="L1505" i="8"/>
  <c r="L1506" i="8"/>
  <c r="L1507" i="8"/>
  <c r="L1508" i="8"/>
  <c r="L1509" i="8"/>
  <c r="L1510" i="8"/>
  <c r="L1511" i="8"/>
  <c r="L1512" i="8"/>
  <c r="L1513" i="8"/>
  <c r="L1514" i="8"/>
  <c r="L1515" i="8"/>
  <c r="L1516" i="8"/>
  <c r="L1517" i="8"/>
  <c r="L1518" i="8"/>
  <c r="L1519" i="8"/>
  <c r="L1520" i="8"/>
  <c r="L1521" i="8"/>
  <c r="L1522" i="8"/>
  <c r="L1523" i="8"/>
  <c r="L1524" i="8"/>
  <c r="L1525" i="8"/>
  <c r="L1526" i="8"/>
  <c r="L1527" i="8"/>
  <c r="L1528" i="8"/>
  <c r="L1529" i="8"/>
  <c r="L1530" i="8"/>
  <c r="L1531" i="8"/>
  <c r="L1532" i="8"/>
  <c r="L1533" i="8"/>
  <c r="L1534" i="8"/>
  <c r="L1535" i="8"/>
  <c r="L1536" i="8"/>
  <c r="L1537" i="8"/>
  <c r="L1538" i="8"/>
  <c r="L1539" i="8"/>
  <c r="L1540" i="8"/>
  <c r="L1541" i="8"/>
  <c r="L1542" i="8"/>
  <c r="L1543" i="8"/>
  <c r="L1544" i="8"/>
  <c r="L1545" i="8"/>
  <c r="L1546" i="8"/>
  <c r="L1547" i="8"/>
  <c r="L1548" i="8"/>
  <c r="L1549" i="8"/>
  <c r="L1550" i="8"/>
  <c r="L1551" i="8"/>
  <c r="L1552" i="8"/>
  <c r="L1553" i="8"/>
  <c r="L1554" i="8"/>
  <c r="L1555" i="8"/>
  <c r="L1556" i="8"/>
  <c r="L1557" i="8"/>
  <c r="L1558" i="8"/>
  <c r="L1559" i="8"/>
  <c r="L1560" i="8"/>
  <c r="L1561" i="8"/>
  <c r="L1562" i="8"/>
  <c r="L1563" i="8"/>
  <c r="L1564" i="8"/>
  <c r="L1565" i="8"/>
  <c r="L1566" i="8"/>
  <c r="L1567" i="8"/>
  <c r="L1568" i="8"/>
  <c r="L1569" i="8"/>
  <c r="L1570" i="8"/>
  <c r="L1571" i="8"/>
  <c r="L1572" i="8"/>
  <c r="L1573" i="8"/>
  <c r="L1574" i="8"/>
  <c r="L1575" i="8"/>
  <c r="L1576" i="8"/>
  <c r="L1577" i="8"/>
  <c r="L1578" i="8"/>
  <c r="L1579" i="8"/>
  <c r="L1580" i="8"/>
  <c r="L1581" i="8"/>
  <c r="L1582" i="8"/>
  <c r="L1583" i="8"/>
  <c r="L1584" i="8"/>
  <c r="L1585" i="8"/>
  <c r="L1586" i="8"/>
  <c r="L1587" i="8"/>
  <c r="L1588" i="8"/>
  <c r="L1589" i="8"/>
  <c r="L1590" i="8"/>
  <c r="L1591" i="8"/>
  <c r="L1592" i="8"/>
  <c r="L1593" i="8"/>
  <c r="L1594" i="8"/>
  <c r="L1595" i="8"/>
  <c r="L1596" i="8"/>
  <c r="L1597" i="8"/>
  <c r="L1598" i="8"/>
  <c r="L1599" i="8"/>
  <c r="L1600" i="8"/>
  <c r="L1601" i="8"/>
  <c r="L1602" i="8"/>
  <c r="L1603" i="8"/>
  <c r="L1604" i="8"/>
  <c r="L1605" i="8"/>
  <c r="L1606" i="8"/>
  <c r="L1607" i="8"/>
  <c r="L1608" i="8"/>
  <c r="L1609" i="8"/>
  <c r="L1610" i="8"/>
  <c r="L1611" i="8"/>
  <c r="L1612" i="8"/>
  <c r="L1613" i="8"/>
  <c r="L1614" i="8"/>
  <c r="L1615" i="8"/>
  <c r="L1616" i="8"/>
  <c r="L1617" i="8"/>
  <c r="L1618" i="8"/>
  <c r="L1619" i="8"/>
  <c r="L1620" i="8"/>
  <c r="L1621" i="8"/>
  <c r="L1622" i="8"/>
  <c r="L1623" i="8"/>
  <c r="L1624" i="8"/>
  <c r="L1625" i="8"/>
  <c r="L1626" i="8"/>
  <c r="L1627" i="8"/>
  <c r="L1628" i="8"/>
  <c r="L1629" i="8"/>
  <c r="L1630" i="8"/>
  <c r="L1631" i="8"/>
  <c r="L1632" i="8"/>
  <c r="L1633" i="8"/>
  <c r="L1634" i="8"/>
  <c r="L1635" i="8"/>
  <c r="L1636" i="8"/>
  <c r="L1637" i="8"/>
  <c r="L1638" i="8"/>
  <c r="L1639" i="8"/>
  <c r="L1640" i="8"/>
  <c r="L1641" i="8"/>
  <c r="L1642" i="8"/>
  <c r="L1643" i="8"/>
  <c r="L1644" i="8"/>
  <c r="L1645" i="8"/>
  <c r="L1646" i="8"/>
  <c r="L1647" i="8"/>
  <c r="L1648" i="8"/>
  <c r="L1649" i="8"/>
  <c r="L1650" i="8"/>
  <c r="L1651" i="8"/>
  <c r="L1652" i="8"/>
  <c r="L1653" i="8"/>
  <c r="L1654" i="8"/>
  <c r="L1655" i="8"/>
  <c r="L1656" i="8"/>
  <c r="L1657" i="8"/>
  <c r="L1658" i="8"/>
  <c r="L1659" i="8"/>
  <c r="L1660" i="8"/>
  <c r="L1661" i="8"/>
  <c r="L1662" i="8"/>
  <c r="L1663" i="8"/>
  <c r="L1664" i="8"/>
  <c r="L1665" i="8"/>
  <c r="L1666" i="8"/>
  <c r="L1667" i="8"/>
  <c r="L1668" i="8"/>
  <c r="L1669" i="8"/>
  <c r="L1670" i="8"/>
  <c r="L1671" i="8"/>
  <c r="L1672" i="8"/>
  <c r="L1673" i="8"/>
  <c r="L1674" i="8"/>
  <c r="L1675" i="8"/>
  <c r="L1676" i="8"/>
  <c r="L1677" i="8"/>
  <c r="L1678" i="8"/>
  <c r="L1679" i="8"/>
  <c r="L1680" i="8"/>
  <c r="L1681" i="8"/>
  <c r="L1682" i="8"/>
  <c r="L1683" i="8"/>
  <c r="L1684" i="8"/>
  <c r="L1685" i="8"/>
  <c r="L1686" i="8"/>
  <c r="L1687" i="8"/>
  <c r="L1688" i="8"/>
  <c r="L1689" i="8"/>
  <c r="L1690" i="8"/>
  <c r="L1691" i="8"/>
  <c r="L1692" i="8"/>
  <c r="L1693" i="8"/>
  <c r="L1694" i="8"/>
  <c r="L1695" i="8"/>
  <c r="L1696" i="8"/>
  <c r="L1697" i="8"/>
  <c r="L1698" i="8"/>
  <c r="L1699" i="8"/>
  <c r="L1700" i="8"/>
  <c r="L1701" i="8"/>
  <c r="L1702" i="8"/>
  <c r="L1703" i="8"/>
  <c r="L1704" i="8"/>
  <c r="L1705" i="8"/>
  <c r="L1706" i="8"/>
  <c r="L1707" i="8"/>
  <c r="L1708" i="8"/>
  <c r="L1709" i="8"/>
  <c r="L1710" i="8"/>
  <c r="L1711" i="8"/>
  <c r="L1712" i="8"/>
  <c r="L1713" i="8"/>
  <c r="L1714" i="8"/>
  <c r="L1715" i="8"/>
  <c r="L1716" i="8"/>
  <c r="L1717" i="8"/>
  <c r="L1718" i="8"/>
  <c r="L1719" i="8"/>
  <c r="L1720" i="8"/>
  <c r="L1721" i="8"/>
  <c r="L1722" i="8"/>
  <c r="L1723" i="8"/>
  <c r="L1724" i="8"/>
  <c r="L1725" i="8"/>
  <c r="L1726" i="8"/>
  <c r="L1727" i="8"/>
  <c r="L1728" i="8"/>
  <c r="L1729" i="8"/>
  <c r="L1730" i="8"/>
  <c r="L1731" i="8"/>
  <c r="L1732" i="8"/>
  <c r="L1733" i="8"/>
  <c r="L1734" i="8"/>
  <c r="L1735" i="8"/>
  <c r="L1736" i="8"/>
  <c r="L1737" i="8"/>
  <c r="L1738" i="8"/>
  <c r="L1739" i="8"/>
  <c r="L1740" i="8"/>
  <c r="L1741" i="8"/>
  <c r="L1742" i="8"/>
  <c r="L1743" i="8"/>
  <c r="L1744" i="8"/>
  <c r="L1745" i="8"/>
  <c r="L1746" i="8"/>
  <c r="L1747" i="8"/>
  <c r="L1748" i="8"/>
  <c r="L1749" i="8"/>
  <c r="L1750" i="8"/>
  <c r="L1751" i="8"/>
  <c r="L1752" i="8"/>
  <c r="L1753" i="8"/>
  <c r="L1754" i="8"/>
  <c r="L1755" i="8"/>
  <c r="L1756" i="8"/>
  <c r="L1757" i="8"/>
  <c r="L1758" i="8"/>
  <c r="L1759" i="8"/>
  <c r="L1760" i="8"/>
  <c r="L1761" i="8"/>
  <c r="L1762" i="8"/>
  <c r="L1763" i="8"/>
  <c r="L1764" i="8"/>
  <c r="L1765" i="8"/>
  <c r="L1766" i="8"/>
  <c r="L1767" i="8"/>
  <c r="L1768" i="8"/>
  <c r="L1769" i="8"/>
  <c r="L1770" i="8"/>
  <c r="L1771" i="8"/>
  <c r="L1772" i="8"/>
  <c r="L1773" i="8"/>
  <c r="L1774" i="8"/>
  <c r="L1775" i="8"/>
  <c r="L1776" i="8"/>
  <c r="L1777" i="8"/>
  <c r="L1778" i="8"/>
  <c r="L1779" i="8"/>
  <c r="L1780" i="8"/>
  <c r="L1781" i="8"/>
  <c r="L1782" i="8"/>
  <c r="L1783" i="8"/>
  <c r="L1784" i="8"/>
  <c r="L1785" i="8"/>
  <c r="L1786" i="8"/>
  <c r="L1787" i="8"/>
  <c r="L1788" i="8"/>
  <c r="L1789" i="8"/>
  <c r="L1790" i="8"/>
  <c r="L1791" i="8"/>
  <c r="L1792" i="8"/>
  <c r="L1793" i="8"/>
  <c r="L1794" i="8"/>
  <c r="L1795" i="8"/>
  <c r="L1796" i="8"/>
  <c r="L1797" i="8"/>
  <c r="L1798" i="8"/>
  <c r="L1799" i="8"/>
  <c r="L1800" i="8"/>
  <c r="L1801" i="8"/>
  <c r="L1802" i="8"/>
  <c r="L1803" i="8"/>
  <c r="L1804" i="8"/>
  <c r="L1805" i="8"/>
  <c r="L1806" i="8"/>
  <c r="L1807" i="8"/>
  <c r="L1808" i="8"/>
  <c r="L1809" i="8"/>
  <c r="L1810" i="8"/>
  <c r="L1811" i="8"/>
  <c r="L1812" i="8"/>
  <c r="L1813" i="8"/>
  <c r="L1814" i="8"/>
  <c r="L1815" i="8"/>
  <c r="L1816" i="8"/>
  <c r="L1817" i="8"/>
  <c r="L1818" i="8"/>
  <c r="L1819" i="8"/>
  <c r="L1820" i="8"/>
  <c r="L1821" i="8"/>
  <c r="L1822" i="8"/>
  <c r="L1823" i="8"/>
  <c r="L1824" i="8"/>
  <c r="L1825" i="8"/>
  <c r="L1826" i="8"/>
  <c r="L1827" i="8"/>
  <c r="L1828" i="8"/>
  <c r="L1829" i="8"/>
  <c r="L1830" i="8"/>
  <c r="L1831" i="8"/>
  <c r="M1831" i="8" s="1"/>
  <c r="L1832" i="8"/>
  <c r="L1833" i="8"/>
  <c r="L1834" i="8"/>
  <c r="L1835" i="8"/>
  <c r="L1836" i="8"/>
  <c r="L1837" i="8"/>
  <c r="L1838" i="8"/>
  <c r="L1839" i="8"/>
  <c r="L1840" i="8"/>
  <c r="L1841" i="8"/>
  <c r="L1842" i="8"/>
  <c r="L1843" i="8"/>
  <c r="L1844" i="8"/>
  <c r="L1845" i="8"/>
  <c r="L1846" i="8"/>
  <c r="L1847" i="8"/>
  <c r="M1847" i="8" s="1"/>
  <c r="L1848" i="8"/>
  <c r="L1849" i="8"/>
  <c r="L1850" i="8"/>
  <c r="L1851" i="8"/>
  <c r="L1852" i="8"/>
  <c r="L1853" i="8"/>
  <c r="L1854" i="8"/>
  <c r="L1855" i="8"/>
  <c r="L1856" i="8"/>
  <c r="L1857" i="8"/>
  <c r="L1858" i="8"/>
  <c r="L1859" i="8"/>
  <c r="L1860" i="8"/>
  <c r="L1861" i="8"/>
  <c r="L1862" i="8"/>
  <c r="L1863" i="8"/>
  <c r="M1863" i="8" s="1"/>
  <c r="L1864" i="8"/>
  <c r="L1865" i="8"/>
  <c r="L1866" i="8"/>
  <c r="L1867" i="8"/>
  <c r="L1868" i="8"/>
  <c r="L1869" i="8"/>
  <c r="L1870" i="8"/>
  <c r="L1871" i="8"/>
  <c r="L1872" i="8"/>
  <c r="L1873" i="8"/>
  <c r="L1874" i="8"/>
  <c r="L1875" i="8"/>
  <c r="L1876" i="8"/>
  <c r="L1877" i="8"/>
  <c r="L1878" i="8"/>
  <c r="L1879" i="8"/>
  <c r="M1879" i="8" s="1"/>
  <c r="L1880" i="8"/>
  <c r="L1881" i="8"/>
  <c r="L1882" i="8"/>
  <c r="L1883" i="8"/>
  <c r="L1884" i="8"/>
  <c r="L1885" i="8"/>
  <c r="L1886" i="8"/>
  <c r="L1887" i="8"/>
  <c r="L1888" i="8"/>
  <c r="L1889" i="8"/>
  <c r="L1890" i="8"/>
  <c r="L1891" i="8"/>
  <c r="L1892" i="8"/>
  <c r="L1893" i="8"/>
  <c r="L1894" i="8"/>
  <c r="L1895" i="8"/>
  <c r="L1896" i="8"/>
  <c r="L1897" i="8"/>
  <c r="L1898" i="8"/>
  <c r="L1899" i="8"/>
  <c r="L1900" i="8"/>
  <c r="L1901" i="8"/>
  <c r="L1902" i="8"/>
  <c r="L1903" i="8"/>
  <c r="L1904" i="8"/>
  <c r="L1905" i="8"/>
  <c r="L1906" i="8"/>
  <c r="L1907" i="8"/>
  <c r="L1908" i="8"/>
  <c r="L1909" i="8"/>
  <c r="L1910" i="8"/>
  <c r="L1911" i="8"/>
  <c r="L1912" i="8"/>
  <c r="L1913" i="8"/>
  <c r="L1914" i="8"/>
  <c r="L1915" i="8"/>
  <c r="L1916" i="8"/>
  <c r="L1917" i="8"/>
  <c r="L1918" i="8"/>
  <c r="L1919" i="8"/>
  <c r="L1920" i="8"/>
  <c r="L1921" i="8"/>
  <c r="L1922" i="8"/>
  <c r="L1923" i="8"/>
  <c r="L1924" i="8"/>
  <c r="L1925" i="8"/>
  <c r="L1926" i="8"/>
  <c r="L1927" i="8"/>
  <c r="L1928" i="8"/>
  <c r="L1929" i="8"/>
  <c r="L1930" i="8"/>
  <c r="L1931" i="8"/>
  <c r="L1932" i="8"/>
  <c r="L1933" i="8"/>
  <c r="L1934" i="8"/>
  <c r="L1935" i="8"/>
  <c r="L1936" i="8"/>
  <c r="L1937" i="8"/>
  <c r="L1938" i="8"/>
  <c r="L1939" i="8"/>
  <c r="L1940" i="8"/>
  <c r="L1941" i="8"/>
  <c r="L1942" i="8"/>
  <c r="L1943" i="8"/>
  <c r="L1944" i="8"/>
  <c r="L1945" i="8"/>
  <c r="L1946" i="8"/>
  <c r="L1947" i="8"/>
  <c r="L1948" i="8"/>
  <c r="L1949" i="8"/>
  <c r="L1950" i="8"/>
  <c r="L1951" i="8"/>
  <c r="L1952" i="8"/>
  <c r="L1953" i="8"/>
  <c r="L1954" i="8"/>
  <c r="L1955" i="8"/>
  <c r="L1956" i="8"/>
  <c r="L1957" i="8"/>
  <c r="L1958" i="8"/>
  <c r="L1959" i="8"/>
  <c r="L1960" i="8"/>
  <c r="L1961" i="8"/>
  <c r="L1962" i="8"/>
  <c r="L1963" i="8"/>
  <c r="L1964" i="8"/>
  <c r="L1965" i="8"/>
  <c r="L1966" i="8"/>
  <c r="L1967" i="8"/>
  <c r="L1968" i="8"/>
  <c r="L1969" i="8"/>
  <c r="L1970" i="8"/>
  <c r="L1971" i="8"/>
  <c r="L1972" i="8"/>
  <c r="L1973" i="8"/>
  <c r="L1974" i="8"/>
  <c r="L1975" i="8"/>
  <c r="L1976" i="8"/>
  <c r="L1977" i="8"/>
  <c r="L1978" i="8"/>
  <c r="L1979" i="8"/>
  <c r="L1980" i="8"/>
  <c r="L1981" i="8"/>
  <c r="L1982" i="8"/>
  <c r="L1983" i="8"/>
  <c r="L1984" i="8"/>
  <c r="L1985" i="8"/>
  <c r="L1986" i="8"/>
  <c r="L1987" i="8"/>
  <c r="L1988" i="8"/>
  <c r="L1989" i="8"/>
  <c r="L1990" i="8"/>
  <c r="L1991" i="8"/>
  <c r="L1992" i="8"/>
  <c r="L1993" i="8"/>
  <c r="L1994" i="8"/>
  <c r="L1995" i="8"/>
  <c r="L1996" i="8"/>
  <c r="L1997" i="8"/>
  <c r="L1998" i="8"/>
  <c r="L1999" i="8"/>
  <c r="L2000" i="8"/>
  <c r="P75" i="8"/>
  <c r="P76" i="8"/>
  <c r="P77" i="8"/>
  <c r="M77" i="8" s="1"/>
  <c r="P78" i="8"/>
  <c r="M78" i="8" s="1"/>
  <c r="P79" i="8"/>
  <c r="P80" i="8"/>
  <c r="P81" i="8"/>
  <c r="P82" i="8"/>
  <c r="P83" i="8"/>
  <c r="P84" i="8"/>
  <c r="P85" i="8"/>
  <c r="M85" i="8" s="1"/>
  <c r="P86" i="8"/>
  <c r="P87" i="8"/>
  <c r="P88" i="8"/>
  <c r="P89" i="8"/>
  <c r="P90" i="8"/>
  <c r="P91" i="8"/>
  <c r="P92" i="8"/>
  <c r="M92" i="8" s="1"/>
  <c r="P93" i="8"/>
  <c r="M93" i="8" s="1"/>
  <c r="P94" i="8"/>
  <c r="M94" i="8" s="1"/>
  <c r="P95" i="8"/>
  <c r="P96" i="8"/>
  <c r="P97" i="8"/>
  <c r="P98" i="8"/>
  <c r="P99" i="8"/>
  <c r="P100" i="8"/>
  <c r="P101" i="8"/>
  <c r="M101" i="8" s="1"/>
  <c r="P102" i="8"/>
  <c r="P103" i="8"/>
  <c r="P104" i="8"/>
  <c r="P105" i="8"/>
  <c r="P106" i="8"/>
  <c r="P107" i="8"/>
  <c r="P108" i="8"/>
  <c r="M108" i="8" s="1"/>
  <c r="P109" i="8"/>
  <c r="M109" i="8" s="1"/>
  <c r="P110" i="8"/>
  <c r="M110" i="8" s="1"/>
  <c r="P111" i="8"/>
  <c r="P112" i="8"/>
  <c r="P113" i="8"/>
  <c r="P114" i="8"/>
  <c r="P115" i="8"/>
  <c r="P116" i="8"/>
  <c r="P117" i="8"/>
  <c r="M117" i="8" s="1"/>
  <c r="P118" i="8"/>
  <c r="P119" i="8"/>
  <c r="P120" i="8"/>
  <c r="P121" i="8"/>
  <c r="P122" i="8"/>
  <c r="P123" i="8"/>
  <c r="P124" i="8"/>
  <c r="M124" i="8" s="1"/>
  <c r="P125" i="8"/>
  <c r="M125" i="8" s="1"/>
  <c r="P126" i="8"/>
  <c r="M126" i="8" s="1"/>
  <c r="P127" i="8"/>
  <c r="P128" i="8"/>
  <c r="P129" i="8"/>
  <c r="P130" i="8"/>
  <c r="P131" i="8"/>
  <c r="P132" i="8"/>
  <c r="P133" i="8"/>
  <c r="M133" i="8" s="1"/>
  <c r="P134" i="8"/>
  <c r="P135" i="8"/>
  <c r="P136" i="8"/>
  <c r="P137" i="8"/>
  <c r="P138" i="8"/>
  <c r="P139" i="8"/>
  <c r="P140" i="8"/>
  <c r="M140" i="8" s="1"/>
  <c r="P141" i="8"/>
  <c r="M141" i="8" s="1"/>
  <c r="P142" i="8"/>
  <c r="M142" i="8" s="1"/>
  <c r="P143" i="8"/>
  <c r="P144" i="8"/>
  <c r="P145" i="8"/>
  <c r="P146" i="8"/>
  <c r="P147" i="8"/>
  <c r="P148" i="8"/>
  <c r="P149" i="8"/>
  <c r="M149" i="8" s="1"/>
  <c r="P150" i="8"/>
  <c r="P151" i="8"/>
  <c r="P152" i="8"/>
  <c r="P153" i="8"/>
  <c r="P154" i="8"/>
  <c r="P155" i="8"/>
  <c r="P156" i="8"/>
  <c r="M156" i="8" s="1"/>
  <c r="P157" i="8"/>
  <c r="M157" i="8" s="1"/>
  <c r="P158" i="8"/>
  <c r="M158" i="8" s="1"/>
  <c r="P159" i="8"/>
  <c r="P160" i="8"/>
  <c r="P161" i="8"/>
  <c r="P162" i="8"/>
  <c r="P163" i="8"/>
  <c r="P164" i="8"/>
  <c r="P165" i="8"/>
  <c r="M165" i="8" s="1"/>
  <c r="P166" i="8"/>
  <c r="P167" i="8"/>
  <c r="P168" i="8"/>
  <c r="P169" i="8"/>
  <c r="P170" i="8"/>
  <c r="M170" i="8" s="1"/>
  <c r="P171" i="8"/>
  <c r="P172" i="8"/>
  <c r="M172" i="8" s="1"/>
  <c r="P173" i="8"/>
  <c r="M173" i="8" s="1"/>
  <c r="P174" i="8"/>
  <c r="M174" i="8" s="1"/>
  <c r="P175" i="8"/>
  <c r="P176" i="8"/>
  <c r="P177" i="8"/>
  <c r="P178" i="8"/>
  <c r="P179" i="8"/>
  <c r="P180" i="8"/>
  <c r="P181" i="8"/>
  <c r="M181" i="8" s="1"/>
  <c r="P182" i="8"/>
  <c r="P183" i="8"/>
  <c r="P184" i="8"/>
  <c r="P185" i="8"/>
  <c r="P186" i="8"/>
  <c r="M186" i="8" s="1"/>
  <c r="P187" i="8"/>
  <c r="P188" i="8"/>
  <c r="M188" i="8" s="1"/>
  <c r="P189" i="8"/>
  <c r="M189" i="8" s="1"/>
  <c r="P190" i="8"/>
  <c r="M190" i="8" s="1"/>
  <c r="P191" i="8"/>
  <c r="P192" i="8"/>
  <c r="P193" i="8"/>
  <c r="P194" i="8"/>
  <c r="P195" i="8"/>
  <c r="P196" i="8"/>
  <c r="P197" i="8"/>
  <c r="M197" i="8" s="1"/>
  <c r="P198" i="8"/>
  <c r="P199" i="8"/>
  <c r="P200" i="8"/>
  <c r="P201" i="8"/>
  <c r="P202" i="8"/>
  <c r="M202" i="8" s="1"/>
  <c r="P203" i="8"/>
  <c r="P204" i="8"/>
  <c r="M204" i="8" s="1"/>
  <c r="P205" i="8"/>
  <c r="M205" i="8" s="1"/>
  <c r="P206" i="8"/>
  <c r="M206" i="8" s="1"/>
  <c r="P207" i="8"/>
  <c r="P208" i="8"/>
  <c r="P209" i="8"/>
  <c r="P210" i="8"/>
  <c r="P211" i="8"/>
  <c r="P212" i="8"/>
  <c r="P213" i="8"/>
  <c r="M213" i="8" s="1"/>
  <c r="P214" i="8"/>
  <c r="P215" i="8"/>
  <c r="P216" i="8"/>
  <c r="P217" i="8"/>
  <c r="P218" i="8"/>
  <c r="M218" i="8" s="1"/>
  <c r="P219" i="8"/>
  <c r="P220" i="8"/>
  <c r="M220" i="8" s="1"/>
  <c r="P221" i="8"/>
  <c r="M221" i="8" s="1"/>
  <c r="P222" i="8"/>
  <c r="M222" i="8" s="1"/>
  <c r="P223" i="8"/>
  <c r="P224" i="8"/>
  <c r="P225" i="8"/>
  <c r="P226" i="8"/>
  <c r="P227" i="8"/>
  <c r="P228" i="8"/>
  <c r="P229" i="8"/>
  <c r="M229" i="8" s="1"/>
  <c r="P230" i="8"/>
  <c r="P231" i="8"/>
  <c r="P232" i="8"/>
  <c r="P233" i="8"/>
  <c r="P234" i="8"/>
  <c r="M234" i="8" s="1"/>
  <c r="P235" i="8"/>
  <c r="P236" i="8"/>
  <c r="M236" i="8" s="1"/>
  <c r="P237" i="8"/>
  <c r="M237" i="8" s="1"/>
  <c r="P238" i="8"/>
  <c r="M238" i="8" s="1"/>
  <c r="P239" i="8"/>
  <c r="P240" i="8"/>
  <c r="P241" i="8"/>
  <c r="P242" i="8"/>
  <c r="P243" i="8"/>
  <c r="P244" i="8"/>
  <c r="P245" i="8"/>
  <c r="M245" i="8" s="1"/>
  <c r="P246" i="8"/>
  <c r="P247" i="8"/>
  <c r="P248" i="8"/>
  <c r="P249" i="8"/>
  <c r="P250" i="8"/>
  <c r="M250" i="8" s="1"/>
  <c r="P251" i="8"/>
  <c r="P252" i="8"/>
  <c r="M252" i="8" s="1"/>
  <c r="P253" i="8"/>
  <c r="M253" i="8" s="1"/>
  <c r="P254" i="8"/>
  <c r="M254" i="8" s="1"/>
  <c r="P255" i="8"/>
  <c r="P256" i="8"/>
  <c r="P257" i="8"/>
  <c r="P258" i="8"/>
  <c r="P259" i="8"/>
  <c r="P260" i="8"/>
  <c r="P261" i="8"/>
  <c r="M261" i="8" s="1"/>
  <c r="P262" i="8"/>
  <c r="P263" i="8"/>
  <c r="P264" i="8"/>
  <c r="P265" i="8"/>
  <c r="P266" i="8"/>
  <c r="M266" i="8" s="1"/>
  <c r="P267" i="8"/>
  <c r="P268" i="8"/>
  <c r="M268" i="8" s="1"/>
  <c r="P269" i="8"/>
  <c r="M269" i="8" s="1"/>
  <c r="P270" i="8"/>
  <c r="M270" i="8" s="1"/>
  <c r="P271" i="8"/>
  <c r="P272" i="8"/>
  <c r="P273" i="8"/>
  <c r="P274" i="8"/>
  <c r="P275" i="8"/>
  <c r="P276" i="8"/>
  <c r="P277" i="8"/>
  <c r="M277" i="8" s="1"/>
  <c r="P278" i="8"/>
  <c r="P279" i="8"/>
  <c r="P280" i="8"/>
  <c r="P281" i="8"/>
  <c r="P282" i="8"/>
  <c r="M282" i="8" s="1"/>
  <c r="P283" i="8"/>
  <c r="P284" i="8"/>
  <c r="M284" i="8" s="1"/>
  <c r="P285" i="8"/>
  <c r="M285" i="8" s="1"/>
  <c r="P286" i="8"/>
  <c r="M286" i="8" s="1"/>
  <c r="P287" i="8"/>
  <c r="P288" i="8"/>
  <c r="P289" i="8"/>
  <c r="P290" i="8"/>
  <c r="P291" i="8"/>
  <c r="P292" i="8"/>
  <c r="P293" i="8"/>
  <c r="M293" i="8" s="1"/>
  <c r="P294" i="8"/>
  <c r="P295" i="8"/>
  <c r="P296" i="8"/>
  <c r="P297" i="8"/>
  <c r="P298" i="8"/>
  <c r="M298" i="8" s="1"/>
  <c r="P299" i="8"/>
  <c r="P300" i="8"/>
  <c r="M300" i="8" s="1"/>
  <c r="P301" i="8"/>
  <c r="M301" i="8" s="1"/>
  <c r="P302" i="8"/>
  <c r="M302" i="8" s="1"/>
  <c r="P303" i="8"/>
  <c r="P304" i="8"/>
  <c r="P305" i="8"/>
  <c r="P306" i="8"/>
  <c r="P307" i="8"/>
  <c r="P308" i="8"/>
  <c r="P309" i="8"/>
  <c r="M309" i="8" s="1"/>
  <c r="P310" i="8"/>
  <c r="P311" i="8"/>
  <c r="P312" i="8"/>
  <c r="P313" i="8"/>
  <c r="P314" i="8"/>
  <c r="M314" i="8" s="1"/>
  <c r="P315" i="8"/>
  <c r="P316" i="8"/>
  <c r="M316" i="8" s="1"/>
  <c r="P317" i="8"/>
  <c r="M317" i="8" s="1"/>
  <c r="P318" i="8"/>
  <c r="M318" i="8" s="1"/>
  <c r="P319" i="8"/>
  <c r="P320" i="8"/>
  <c r="P321" i="8"/>
  <c r="P322" i="8"/>
  <c r="P323" i="8"/>
  <c r="P324" i="8"/>
  <c r="P325" i="8"/>
  <c r="M325" i="8" s="1"/>
  <c r="P326" i="8"/>
  <c r="P327" i="8"/>
  <c r="P328" i="8"/>
  <c r="P329" i="8"/>
  <c r="P330" i="8"/>
  <c r="M330" i="8" s="1"/>
  <c r="P331" i="8"/>
  <c r="P332" i="8"/>
  <c r="M332" i="8" s="1"/>
  <c r="P333" i="8"/>
  <c r="M333" i="8" s="1"/>
  <c r="P334" i="8"/>
  <c r="M334" i="8" s="1"/>
  <c r="P335" i="8"/>
  <c r="P336" i="8"/>
  <c r="P337" i="8"/>
  <c r="P338" i="8"/>
  <c r="P339" i="8"/>
  <c r="P340" i="8"/>
  <c r="P341" i="8"/>
  <c r="M341" i="8" s="1"/>
  <c r="P342" i="8"/>
  <c r="P343" i="8"/>
  <c r="P344" i="8"/>
  <c r="P345" i="8"/>
  <c r="P346" i="8"/>
  <c r="M346" i="8" s="1"/>
  <c r="P347" i="8"/>
  <c r="P348" i="8"/>
  <c r="M348" i="8" s="1"/>
  <c r="P349" i="8"/>
  <c r="M349" i="8" s="1"/>
  <c r="P350" i="8"/>
  <c r="M350" i="8" s="1"/>
  <c r="P351" i="8"/>
  <c r="P352" i="8"/>
  <c r="P353" i="8"/>
  <c r="P354" i="8"/>
  <c r="P355" i="8"/>
  <c r="P356" i="8"/>
  <c r="P357" i="8"/>
  <c r="M357" i="8" s="1"/>
  <c r="P358" i="8"/>
  <c r="P359" i="8"/>
  <c r="P360" i="8"/>
  <c r="P361" i="8"/>
  <c r="P362" i="8"/>
  <c r="M362" i="8" s="1"/>
  <c r="P363" i="8"/>
  <c r="P364" i="8"/>
  <c r="M364" i="8" s="1"/>
  <c r="P365" i="8"/>
  <c r="M365" i="8" s="1"/>
  <c r="P366" i="8"/>
  <c r="M366" i="8" s="1"/>
  <c r="P367" i="8"/>
  <c r="P368" i="8"/>
  <c r="P369" i="8"/>
  <c r="P370" i="8"/>
  <c r="P371" i="8"/>
  <c r="P372" i="8"/>
  <c r="P373" i="8"/>
  <c r="M373" i="8" s="1"/>
  <c r="P374" i="8"/>
  <c r="P375" i="8"/>
  <c r="P376" i="8"/>
  <c r="P377" i="8"/>
  <c r="P378" i="8"/>
  <c r="M378" i="8" s="1"/>
  <c r="P379" i="8"/>
  <c r="P380" i="8"/>
  <c r="M380" i="8" s="1"/>
  <c r="P381" i="8"/>
  <c r="M381" i="8" s="1"/>
  <c r="P382" i="8"/>
  <c r="M382" i="8" s="1"/>
  <c r="P383" i="8"/>
  <c r="P384" i="8"/>
  <c r="P385" i="8"/>
  <c r="P386" i="8"/>
  <c r="P387" i="8"/>
  <c r="P388" i="8"/>
  <c r="P389" i="8"/>
  <c r="M389" i="8" s="1"/>
  <c r="P390" i="8"/>
  <c r="P391" i="8"/>
  <c r="P392" i="8"/>
  <c r="P393" i="8"/>
  <c r="P394" i="8"/>
  <c r="M394" i="8" s="1"/>
  <c r="P395" i="8"/>
  <c r="P396" i="8"/>
  <c r="M396" i="8" s="1"/>
  <c r="P397" i="8"/>
  <c r="M397" i="8" s="1"/>
  <c r="P398" i="8"/>
  <c r="M398" i="8" s="1"/>
  <c r="P399" i="8"/>
  <c r="P400" i="8"/>
  <c r="P401" i="8"/>
  <c r="P402" i="8"/>
  <c r="P403" i="8"/>
  <c r="P404" i="8"/>
  <c r="P405" i="8"/>
  <c r="M405" i="8" s="1"/>
  <c r="P406" i="8"/>
  <c r="P407" i="8"/>
  <c r="P408" i="8"/>
  <c r="P409" i="8"/>
  <c r="P410" i="8"/>
  <c r="M410" i="8" s="1"/>
  <c r="P411" i="8"/>
  <c r="P412" i="8"/>
  <c r="M412" i="8" s="1"/>
  <c r="P413" i="8"/>
  <c r="M413" i="8" s="1"/>
  <c r="P414" i="8"/>
  <c r="M414" i="8" s="1"/>
  <c r="P415" i="8"/>
  <c r="P416" i="8"/>
  <c r="P417" i="8"/>
  <c r="P418" i="8"/>
  <c r="P419" i="8"/>
  <c r="P420" i="8"/>
  <c r="P421" i="8"/>
  <c r="M421" i="8" s="1"/>
  <c r="P422" i="8"/>
  <c r="P423" i="8"/>
  <c r="P424" i="8"/>
  <c r="P425" i="8"/>
  <c r="P426" i="8"/>
  <c r="M426" i="8" s="1"/>
  <c r="P427" i="8"/>
  <c r="P428" i="8"/>
  <c r="M428" i="8" s="1"/>
  <c r="P429" i="8"/>
  <c r="M429" i="8" s="1"/>
  <c r="P430" i="8"/>
  <c r="M430" i="8" s="1"/>
  <c r="P431" i="8"/>
  <c r="P432" i="8"/>
  <c r="P433" i="8"/>
  <c r="P434" i="8"/>
  <c r="P435" i="8"/>
  <c r="P436" i="8"/>
  <c r="P437" i="8"/>
  <c r="M437" i="8" s="1"/>
  <c r="P438" i="8"/>
  <c r="P439" i="8"/>
  <c r="P440" i="8"/>
  <c r="P441" i="8"/>
  <c r="P442" i="8"/>
  <c r="M442" i="8" s="1"/>
  <c r="P443" i="8"/>
  <c r="P444" i="8"/>
  <c r="M444" i="8" s="1"/>
  <c r="P445" i="8"/>
  <c r="M445" i="8" s="1"/>
  <c r="P446" i="8"/>
  <c r="M446" i="8" s="1"/>
  <c r="P447" i="8"/>
  <c r="P448" i="8"/>
  <c r="P449" i="8"/>
  <c r="P450" i="8"/>
  <c r="P451" i="8"/>
  <c r="P452" i="8"/>
  <c r="P453" i="8"/>
  <c r="M453" i="8" s="1"/>
  <c r="P454" i="8"/>
  <c r="P455" i="8"/>
  <c r="P456" i="8"/>
  <c r="P457" i="8"/>
  <c r="P458" i="8"/>
  <c r="M458" i="8" s="1"/>
  <c r="P459" i="8"/>
  <c r="P460" i="8"/>
  <c r="M460" i="8" s="1"/>
  <c r="P461" i="8"/>
  <c r="M461" i="8" s="1"/>
  <c r="P462" i="8"/>
  <c r="M462" i="8" s="1"/>
  <c r="P463" i="8"/>
  <c r="P464" i="8"/>
  <c r="P465" i="8"/>
  <c r="P466" i="8"/>
  <c r="P467" i="8"/>
  <c r="P468" i="8"/>
  <c r="P469" i="8"/>
  <c r="M469" i="8" s="1"/>
  <c r="P470" i="8"/>
  <c r="P471" i="8"/>
  <c r="P472" i="8"/>
  <c r="P473" i="8"/>
  <c r="P474" i="8"/>
  <c r="M474" i="8" s="1"/>
  <c r="P475" i="8"/>
  <c r="P476" i="8"/>
  <c r="M476" i="8" s="1"/>
  <c r="P477" i="8"/>
  <c r="M477" i="8" s="1"/>
  <c r="P478" i="8"/>
  <c r="M478" i="8" s="1"/>
  <c r="P479" i="8"/>
  <c r="P480" i="8"/>
  <c r="P481" i="8"/>
  <c r="P482" i="8"/>
  <c r="P483" i="8"/>
  <c r="P484" i="8"/>
  <c r="P485" i="8"/>
  <c r="M485" i="8" s="1"/>
  <c r="P486" i="8"/>
  <c r="P487" i="8"/>
  <c r="P488" i="8"/>
  <c r="P489" i="8"/>
  <c r="P490" i="8"/>
  <c r="M490" i="8" s="1"/>
  <c r="P491" i="8"/>
  <c r="P492" i="8"/>
  <c r="M492" i="8" s="1"/>
  <c r="P493" i="8"/>
  <c r="M493" i="8" s="1"/>
  <c r="P494" i="8"/>
  <c r="M494" i="8" s="1"/>
  <c r="P495" i="8"/>
  <c r="P496" i="8"/>
  <c r="P497" i="8"/>
  <c r="P498" i="8"/>
  <c r="P499" i="8"/>
  <c r="P500" i="8"/>
  <c r="P501" i="8"/>
  <c r="M501" i="8" s="1"/>
  <c r="P502" i="8"/>
  <c r="P503" i="8"/>
  <c r="P504" i="8"/>
  <c r="P505" i="8"/>
  <c r="P506" i="8"/>
  <c r="M506" i="8" s="1"/>
  <c r="P507" i="8"/>
  <c r="P508" i="8"/>
  <c r="M508" i="8" s="1"/>
  <c r="P509" i="8"/>
  <c r="M509" i="8" s="1"/>
  <c r="P510" i="8"/>
  <c r="M510" i="8" s="1"/>
  <c r="P511" i="8"/>
  <c r="P512" i="8"/>
  <c r="P513" i="8"/>
  <c r="P514" i="8"/>
  <c r="P515" i="8"/>
  <c r="P516" i="8"/>
  <c r="P517" i="8"/>
  <c r="P518" i="8"/>
  <c r="P519" i="8"/>
  <c r="P520" i="8"/>
  <c r="P521" i="8"/>
  <c r="P522" i="8"/>
  <c r="M522" i="8" s="1"/>
  <c r="P523" i="8"/>
  <c r="P524" i="8"/>
  <c r="M524" i="8" s="1"/>
  <c r="P525" i="8"/>
  <c r="M525" i="8" s="1"/>
  <c r="P526" i="8"/>
  <c r="M526" i="8" s="1"/>
  <c r="P527" i="8"/>
  <c r="P528" i="8"/>
  <c r="P529" i="8"/>
  <c r="P530" i="8"/>
  <c r="P531" i="8"/>
  <c r="P532" i="8"/>
  <c r="P533" i="8"/>
  <c r="M533" i="8" s="1"/>
  <c r="P534" i="8"/>
  <c r="P535" i="8"/>
  <c r="P536" i="8"/>
  <c r="P537" i="8"/>
  <c r="P538" i="8"/>
  <c r="M538" i="8" s="1"/>
  <c r="P539" i="8"/>
  <c r="P540" i="8"/>
  <c r="M540" i="8" s="1"/>
  <c r="P541" i="8"/>
  <c r="M541" i="8" s="1"/>
  <c r="P542" i="8"/>
  <c r="M542" i="8" s="1"/>
  <c r="P543" i="8"/>
  <c r="P544" i="8"/>
  <c r="P545" i="8"/>
  <c r="P546" i="8"/>
  <c r="P547" i="8"/>
  <c r="P548" i="8"/>
  <c r="P549" i="8"/>
  <c r="M549" i="8" s="1"/>
  <c r="P550" i="8"/>
  <c r="P551" i="8"/>
  <c r="P552" i="8"/>
  <c r="P553" i="8"/>
  <c r="P554" i="8"/>
  <c r="M554" i="8" s="1"/>
  <c r="P555" i="8"/>
  <c r="P556" i="8"/>
  <c r="M556" i="8" s="1"/>
  <c r="P557" i="8"/>
  <c r="M557" i="8" s="1"/>
  <c r="P558" i="8"/>
  <c r="M558" i="8" s="1"/>
  <c r="P559" i="8"/>
  <c r="P560" i="8"/>
  <c r="P561" i="8"/>
  <c r="P562" i="8"/>
  <c r="P563" i="8"/>
  <c r="P564" i="8"/>
  <c r="P565" i="8"/>
  <c r="M565" i="8" s="1"/>
  <c r="P566" i="8"/>
  <c r="P567" i="8"/>
  <c r="P568" i="8"/>
  <c r="P569" i="8"/>
  <c r="P570" i="8"/>
  <c r="M570" i="8" s="1"/>
  <c r="P571" i="8"/>
  <c r="P572" i="8"/>
  <c r="M572" i="8" s="1"/>
  <c r="P573" i="8"/>
  <c r="M573" i="8" s="1"/>
  <c r="P574" i="8"/>
  <c r="M574" i="8" s="1"/>
  <c r="P575" i="8"/>
  <c r="P576" i="8"/>
  <c r="P577" i="8"/>
  <c r="P578" i="8"/>
  <c r="P579" i="8"/>
  <c r="P580" i="8"/>
  <c r="P581" i="8"/>
  <c r="M581" i="8" s="1"/>
  <c r="P582" i="8"/>
  <c r="P583" i="8"/>
  <c r="P584" i="8"/>
  <c r="P585" i="8"/>
  <c r="P586" i="8"/>
  <c r="M586" i="8" s="1"/>
  <c r="P587" i="8"/>
  <c r="P588" i="8"/>
  <c r="M588" i="8" s="1"/>
  <c r="P589" i="8"/>
  <c r="M589" i="8" s="1"/>
  <c r="P590" i="8"/>
  <c r="M590" i="8" s="1"/>
  <c r="P591" i="8"/>
  <c r="P592" i="8"/>
  <c r="P593" i="8"/>
  <c r="P594" i="8"/>
  <c r="P595" i="8"/>
  <c r="P596" i="8"/>
  <c r="P597" i="8"/>
  <c r="M597" i="8" s="1"/>
  <c r="P598" i="8"/>
  <c r="P599" i="8"/>
  <c r="P600" i="8"/>
  <c r="P601" i="8"/>
  <c r="P602" i="8"/>
  <c r="M602" i="8" s="1"/>
  <c r="P603" i="8"/>
  <c r="P604" i="8"/>
  <c r="M604" i="8" s="1"/>
  <c r="P605" i="8"/>
  <c r="M605" i="8" s="1"/>
  <c r="P606" i="8"/>
  <c r="M606" i="8" s="1"/>
  <c r="P607" i="8"/>
  <c r="P608" i="8"/>
  <c r="P609" i="8"/>
  <c r="P610" i="8"/>
  <c r="P611" i="8"/>
  <c r="P612" i="8"/>
  <c r="P613" i="8"/>
  <c r="M613" i="8" s="1"/>
  <c r="P614" i="8"/>
  <c r="P615" i="8"/>
  <c r="P616" i="8"/>
  <c r="P617" i="8"/>
  <c r="P618" i="8"/>
  <c r="M618" i="8" s="1"/>
  <c r="P619" i="8"/>
  <c r="P620" i="8"/>
  <c r="M620" i="8" s="1"/>
  <c r="P621" i="8"/>
  <c r="M621" i="8" s="1"/>
  <c r="P622" i="8"/>
  <c r="M622" i="8" s="1"/>
  <c r="P623" i="8"/>
  <c r="P624" i="8"/>
  <c r="P625" i="8"/>
  <c r="P626" i="8"/>
  <c r="P627" i="8"/>
  <c r="P628" i="8"/>
  <c r="P629" i="8"/>
  <c r="M629" i="8" s="1"/>
  <c r="P630" i="8"/>
  <c r="P631" i="8"/>
  <c r="P632" i="8"/>
  <c r="P633" i="8"/>
  <c r="P634" i="8"/>
  <c r="M634" i="8" s="1"/>
  <c r="P635" i="8"/>
  <c r="P636" i="8"/>
  <c r="M636" i="8" s="1"/>
  <c r="P637" i="8"/>
  <c r="M637" i="8" s="1"/>
  <c r="P638" i="8"/>
  <c r="M638" i="8" s="1"/>
  <c r="P639" i="8"/>
  <c r="P640" i="8"/>
  <c r="P641" i="8"/>
  <c r="P642" i="8"/>
  <c r="P643" i="8"/>
  <c r="P644" i="8"/>
  <c r="P645" i="8"/>
  <c r="M645" i="8" s="1"/>
  <c r="P646" i="8"/>
  <c r="P647" i="8"/>
  <c r="P648" i="8"/>
  <c r="P649" i="8"/>
  <c r="P650" i="8"/>
  <c r="M650" i="8" s="1"/>
  <c r="P651" i="8"/>
  <c r="P652" i="8"/>
  <c r="M652" i="8" s="1"/>
  <c r="P653" i="8"/>
  <c r="M653" i="8" s="1"/>
  <c r="P654" i="8"/>
  <c r="M654" i="8" s="1"/>
  <c r="P655" i="8"/>
  <c r="P656" i="8"/>
  <c r="P657" i="8"/>
  <c r="P658" i="8"/>
  <c r="P659" i="8"/>
  <c r="P660" i="8"/>
  <c r="P661" i="8"/>
  <c r="M661" i="8" s="1"/>
  <c r="P662" i="8"/>
  <c r="P663" i="8"/>
  <c r="P664" i="8"/>
  <c r="P665" i="8"/>
  <c r="P666" i="8"/>
  <c r="M666" i="8" s="1"/>
  <c r="P667" i="8"/>
  <c r="P668" i="8"/>
  <c r="M668" i="8" s="1"/>
  <c r="P669" i="8"/>
  <c r="M669" i="8" s="1"/>
  <c r="P670" i="8"/>
  <c r="M670" i="8" s="1"/>
  <c r="P671" i="8"/>
  <c r="P672" i="8"/>
  <c r="P673" i="8"/>
  <c r="P674" i="8"/>
  <c r="P675" i="8"/>
  <c r="P676" i="8"/>
  <c r="P677" i="8"/>
  <c r="M677" i="8" s="1"/>
  <c r="P678" i="8"/>
  <c r="P679" i="8"/>
  <c r="P680" i="8"/>
  <c r="P681" i="8"/>
  <c r="P682" i="8"/>
  <c r="M682" i="8" s="1"/>
  <c r="P683" i="8"/>
  <c r="P684" i="8"/>
  <c r="M684" i="8" s="1"/>
  <c r="P685" i="8"/>
  <c r="M685" i="8" s="1"/>
  <c r="P686" i="8"/>
  <c r="M686" i="8" s="1"/>
  <c r="P687" i="8"/>
  <c r="P688" i="8"/>
  <c r="P689" i="8"/>
  <c r="P690" i="8"/>
  <c r="P691" i="8"/>
  <c r="P692" i="8"/>
  <c r="P693" i="8"/>
  <c r="M693" i="8" s="1"/>
  <c r="P694" i="8"/>
  <c r="P695" i="8"/>
  <c r="P696" i="8"/>
  <c r="P697" i="8"/>
  <c r="P698" i="8"/>
  <c r="M698" i="8" s="1"/>
  <c r="P699" i="8"/>
  <c r="P700" i="8"/>
  <c r="M700" i="8" s="1"/>
  <c r="P701" i="8"/>
  <c r="M701" i="8" s="1"/>
  <c r="P702" i="8"/>
  <c r="M702" i="8" s="1"/>
  <c r="P703" i="8"/>
  <c r="P704" i="8"/>
  <c r="P705" i="8"/>
  <c r="P706" i="8"/>
  <c r="P707" i="8"/>
  <c r="P708" i="8"/>
  <c r="P709" i="8"/>
  <c r="M709" i="8" s="1"/>
  <c r="P710" i="8"/>
  <c r="P711" i="8"/>
  <c r="P712" i="8"/>
  <c r="P713" i="8"/>
  <c r="P714" i="8"/>
  <c r="M714" i="8" s="1"/>
  <c r="P715" i="8"/>
  <c r="P716" i="8"/>
  <c r="M716" i="8" s="1"/>
  <c r="P717" i="8"/>
  <c r="M717" i="8" s="1"/>
  <c r="P718" i="8"/>
  <c r="M718" i="8" s="1"/>
  <c r="P719" i="8"/>
  <c r="P720" i="8"/>
  <c r="P721" i="8"/>
  <c r="P722" i="8"/>
  <c r="P723" i="8"/>
  <c r="P724" i="8"/>
  <c r="P725" i="8"/>
  <c r="M725" i="8" s="1"/>
  <c r="P726" i="8"/>
  <c r="P727" i="8"/>
  <c r="P728" i="8"/>
  <c r="P729" i="8"/>
  <c r="P730" i="8"/>
  <c r="M730" i="8" s="1"/>
  <c r="P731" i="8"/>
  <c r="P732" i="8"/>
  <c r="M732" i="8" s="1"/>
  <c r="P733" i="8"/>
  <c r="M733" i="8" s="1"/>
  <c r="P734" i="8"/>
  <c r="M734" i="8" s="1"/>
  <c r="P735" i="8"/>
  <c r="P736" i="8"/>
  <c r="P737" i="8"/>
  <c r="P738" i="8"/>
  <c r="P739" i="8"/>
  <c r="P740" i="8"/>
  <c r="P741" i="8"/>
  <c r="M741" i="8" s="1"/>
  <c r="P742" i="8"/>
  <c r="P743" i="8"/>
  <c r="P744" i="8"/>
  <c r="P745" i="8"/>
  <c r="P746" i="8"/>
  <c r="M746" i="8" s="1"/>
  <c r="P747" i="8"/>
  <c r="P748" i="8"/>
  <c r="M748" i="8" s="1"/>
  <c r="P749" i="8"/>
  <c r="M749" i="8" s="1"/>
  <c r="P750" i="8"/>
  <c r="M750" i="8" s="1"/>
  <c r="P751" i="8"/>
  <c r="P752" i="8"/>
  <c r="P753" i="8"/>
  <c r="P754" i="8"/>
  <c r="P755" i="8"/>
  <c r="P756" i="8"/>
  <c r="P757" i="8"/>
  <c r="M757" i="8" s="1"/>
  <c r="P758" i="8"/>
  <c r="P759" i="8"/>
  <c r="P760" i="8"/>
  <c r="P761" i="8"/>
  <c r="P762" i="8"/>
  <c r="M762" i="8" s="1"/>
  <c r="P763" i="8"/>
  <c r="P764" i="8"/>
  <c r="M764" i="8" s="1"/>
  <c r="P765" i="8"/>
  <c r="M765" i="8" s="1"/>
  <c r="P766" i="8"/>
  <c r="M766" i="8" s="1"/>
  <c r="P767" i="8"/>
  <c r="P768" i="8"/>
  <c r="P769" i="8"/>
  <c r="P770" i="8"/>
  <c r="P771" i="8"/>
  <c r="P772" i="8"/>
  <c r="P773" i="8"/>
  <c r="M773" i="8" s="1"/>
  <c r="P774" i="8"/>
  <c r="P775" i="8"/>
  <c r="P776" i="8"/>
  <c r="P777" i="8"/>
  <c r="P778" i="8"/>
  <c r="M778" i="8" s="1"/>
  <c r="P779" i="8"/>
  <c r="P780" i="8"/>
  <c r="M780" i="8" s="1"/>
  <c r="P781" i="8"/>
  <c r="M781" i="8" s="1"/>
  <c r="P782" i="8"/>
  <c r="M782" i="8" s="1"/>
  <c r="P783" i="8"/>
  <c r="P784" i="8"/>
  <c r="P785" i="8"/>
  <c r="P786" i="8"/>
  <c r="P787" i="8"/>
  <c r="P788" i="8"/>
  <c r="P789" i="8"/>
  <c r="M789" i="8" s="1"/>
  <c r="P790" i="8"/>
  <c r="P791" i="8"/>
  <c r="P792" i="8"/>
  <c r="P793" i="8"/>
  <c r="P794" i="8"/>
  <c r="M794" i="8" s="1"/>
  <c r="P795" i="8"/>
  <c r="P796" i="8"/>
  <c r="M796" i="8" s="1"/>
  <c r="P797" i="8"/>
  <c r="M797" i="8" s="1"/>
  <c r="P798" i="8"/>
  <c r="M798" i="8" s="1"/>
  <c r="P799" i="8"/>
  <c r="P800" i="8"/>
  <c r="P801" i="8"/>
  <c r="P802" i="8"/>
  <c r="P803" i="8"/>
  <c r="P804" i="8"/>
  <c r="P805" i="8"/>
  <c r="M805" i="8" s="1"/>
  <c r="P806" i="8"/>
  <c r="P807" i="8"/>
  <c r="P808" i="8"/>
  <c r="P809" i="8"/>
  <c r="P810" i="8"/>
  <c r="M810" i="8" s="1"/>
  <c r="P811" i="8"/>
  <c r="P812" i="8"/>
  <c r="M812" i="8" s="1"/>
  <c r="P813" i="8"/>
  <c r="M813" i="8" s="1"/>
  <c r="P814" i="8"/>
  <c r="M814" i="8" s="1"/>
  <c r="P815" i="8"/>
  <c r="P816" i="8"/>
  <c r="P817" i="8"/>
  <c r="P818" i="8"/>
  <c r="P819" i="8"/>
  <c r="P820" i="8"/>
  <c r="M820" i="8" s="1"/>
  <c r="P821" i="8"/>
  <c r="M821" i="8" s="1"/>
  <c r="P822" i="8"/>
  <c r="P823" i="8"/>
  <c r="P824" i="8"/>
  <c r="P825" i="8"/>
  <c r="P826" i="8"/>
  <c r="M826" i="8" s="1"/>
  <c r="P827" i="8"/>
  <c r="P828" i="8"/>
  <c r="M828" i="8" s="1"/>
  <c r="P829" i="8"/>
  <c r="M829" i="8" s="1"/>
  <c r="P830" i="8"/>
  <c r="M830" i="8" s="1"/>
  <c r="P831" i="8"/>
  <c r="P832" i="8"/>
  <c r="P833" i="8"/>
  <c r="P834" i="8"/>
  <c r="P835" i="8"/>
  <c r="P836" i="8"/>
  <c r="M836" i="8" s="1"/>
  <c r="P837" i="8"/>
  <c r="M837" i="8" s="1"/>
  <c r="P838" i="8"/>
  <c r="P839" i="8"/>
  <c r="P840" i="8"/>
  <c r="P841" i="8"/>
  <c r="P842" i="8"/>
  <c r="M842" i="8" s="1"/>
  <c r="P843" i="8"/>
  <c r="P844" i="8"/>
  <c r="M844" i="8" s="1"/>
  <c r="P845" i="8"/>
  <c r="M845" i="8" s="1"/>
  <c r="P846" i="8"/>
  <c r="M846" i="8" s="1"/>
  <c r="P847" i="8"/>
  <c r="P848" i="8"/>
  <c r="P849" i="8"/>
  <c r="P850" i="8"/>
  <c r="P851" i="8"/>
  <c r="P852" i="8"/>
  <c r="M852" i="8" s="1"/>
  <c r="P853" i="8"/>
  <c r="M853" i="8" s="1"/>
  <c r="P854" i="8"/>
  <c r="P855" i="8"/>
  <c r="P856" i="8"/>
  <c r="P857" i="8"/>
  <c r="P858" i="8"/>
  <c r="M858" i="8" s="1"/>
  <c r="P859" i="8"/>
  <c r="P860" i="8"/>
  <c r="M860" i="8" s="1"/>
  <c r="P861" i="8"/>
  <c r="M861" i="8" s="1"/>
  <c r="P862" i="8"/>
  <c r="M862" i="8" s="1"/>
  <c r="P863" i="8"/>
  <c r="P864" i="8"/>
  <c r="P865" i="8"/>
  <c r="P866" i="8"/>
  <c r="P867" i="8"/>
  <c r="P868" i="8"/>
  <c r="M868" i="8" s="1"/>
  <c r="P869" i="8"/>
  <c r="M869" i="8" s="1"/>
  <c r="P870" i="8"/>
  <c r="P871" i="8"/>
  <c r="P872" i="8"/>
  <c r="P873" i="8"/>
  <c r="P874" i="8"/>
  <c r="M874" i="8" s="1"/>
  <c r="P875" i="8"/>
  <c r="P876" i="8"/>
  <c r="M876" i="8" s="1"/>
  <c r="P877" i="8"/>
  <c r="M877" i="8" s="1"/>
  <c r="P878" i="8"/>
  <c r="M878" i="8" s="1"/>
  <c r="P879" i="8"/>
  <c r="P880" i="8"/>
  <c r="P881" i="8"/>
  <c r="P882" i="8"/>
  <c r="P883" i="8"/>
  <c r="P884" i="8"/>
  <c r="M884" i="8" s="1"/>
  <c r="P885" i="8"/>
  <c r="M885" i="8" s="1"/>
  <c r="P886" i="8"/>
  <c r="P887" i="8"/>
  <c r="P888" i="8"/>
  <c r="P889" i="8"/>
  <c r="P890" i="8"/>
  <c r="M890" i="8" s="1"/>
  <c r="P891" i="8"/>
  <c r="P892" i="8"/>
  <c r="M892" i="8" s="1"/>
  <c r="P893" i="8"/>
  <c r="M893" i="8" s="1"/>
  <c r="P894" i="8"/>
  <c r="M894" i="8" s="1"/>
  <c r="P895" i="8"/>
  <c r="P896" i="8"/>
  <c r="P897" i="8"/>
  <c r="P898" i="8"/>
  <c r="P899" i="8"/>
  <c r="P900" i="8"/>
  <c r="M900" i="8" s="1"/>
  <c r="P901" i="8"/>
  <c r="M901" i="8" s="1"/>
  <c r="P902" i="8"/>
  <c r="P903" i="8"/>
  <c r="P904" i="8"/>
  <c r="P905" i="8"/>
  <c r="P906" i="8"/>
  <c r="M906" i="8" s="1"/>
  <c r="P907" i="8"/>
  <c r="P908" i="8"/>
  <c r="M908" i="8" s="1"/>
  <c r="P909" i="8"/>
  <c r="M909" i="8" s="1"/>
  <c r="P910" i="8"/>
  <c r="M910" i="8" s="1"/>
  <c r="P911" i="8"/>
  <c r="P912" i="8"/>
  <c r="P913" i="8"/>
  <c r="P914" i="8"/>
  <c r="P915" i="8"/>
  <c r="P916" i="8"/>
  <c r="M916" i="8" s="1"/>
  <c r="P917" i="8"/>
  <c r="M917" i="8" s="1"/>
  <c r="P918" i="8"/>
  <c r="P919" i="8"/>
  <c r="P920" i="8"/>
  <c r="P921" i="8"/>
  <c r="P922" i="8"/>
  <c r="M922" i="8" s="1"/>
  <c r="P923" i="8"/>
  <c r="P924" i="8"/>
  <c r="M924" i="8" s="1"/>
  <c r="P925" i="8"/>
  <c r="M925" i="8" s="1"/>
  <c r="P926" i="8"/>
  <c r="M926" i="8" s="1"/>
  <c r="P927" i="8"/>
  <c r="P928" i="8"/>
  <c r="P929" i="8"/>
  <c r="P930" i="8"/>
  <c r="P931" i="8"/>
  <c r="P932" i="8"/>
  <c r="M932" i="8" s="1"/>
  <c r="P933" i="8"/>
  <c r="M933" i="8" s="1"/>
  <c r="P934" i="8"/>
  <c r="P935" i="8"/>
  <c r="P936" i="8"/>
  <c r="P937" i="8"/>
  <c r="P938" i="8"/>
  <c r="M938" i="8" s="1"/>
  <c r="P939" i="8"/>
  <c r="P940" i="8"/>
  <c r="M940" i="8" s="1"/>
  <c r="P941" i="8"/>
  <c r="M941" i="8" s="1"/>
  <c r="P942" i="8"/>
  <c r="M942" i="8" s="1"/>
  <c r="P943" i="8"/>
  <c r="P944" i="8"/>
  <c r="P945" i="8"/>
  <c r="P946" i="8"/>
  <c r="P947" i="8"/>
  <c r="P948" i="8"/>
  <c r="M948" i="8" s="1"/>
  <c r="P949" i="8"/>
  <c r="M949" i="8" s="1"/>
  <c r="P950" i="8"/>
  <c r="P951" i="8"/>
  <c r="P952" i="8"/>
  <c r="P953" i="8"/>
  <c r="P954" i="8"/>
  <c r="M954" i="8" s="1"/>
  <c r="P955" i="8"/>
  <c r="P956" i="8"/>
  <c r="M956" i="8" s="1"/>
  <c r="P957" i="8"/>
  <c r="M957" i="8" s="1"/>
  <c r="P958" i="8"/>
  <c r="M958" i="8" s="1"/>
  <c r="P959" i="8"/>
  <c r="P960" i="8"/>
  <c r="P961" i="8"/>
  <c r="P962" i="8"/>
  <c r="P963" i="8"/>
  <c r="P964" i="8"/>
  <c r="M964" i="8" s="1"/>
  <c r="P965" i="8"/>
  <c r="M965" i="8" s="1"/>
  <c r="P966" i="8"/>
  <c r="P967" i="8"/>
  <c r="P968" i="8"/>
  <c r="P969" i="8"/>
  <c r="P970" i="8"/>
  <c r="M970" i="8" s="1"/>
  <c r="P971" i="8"/>
  <c r="P972" i="8"/>
  <c r="M972" i="8" s="1"/>
  <c r="P973" i="8"/>
  <c r="M973" i="8" s="1"/>
  <c r="P974" i="8"/>
  <c r="M974" i="8" s="1"/>
  <c r="P975" i="8"/>
  <c r="P976" i="8"/>
  <c r="P977" i="8"/>
  <c r="P978" i="8"/>
  <c r="P979" i="8"/>
  <c r="P980" i="8"/>
  <c r="M980" i="8" s="1"/>
  <c r="P981" i="8"/>
  <c r="M981" i="8" s="1"/>
  <c r="P982" i="8"/>
  <c r="P983" i="8"/>
  <c r="P984" i="8"/>
  <c r="P985" i="8"/>
  <c r="P986" i="8"/>
  <c r="M986" i="8" s="1"/>
  <c r="P987" i="8"/>
  <c r="P988" i="8"/>
  <c r="M988" i="8" s="1"/>
  <c r="P989" i="8"/>
  <c r="M989" i="8" s="1"/>
  <c r="P990" i="8"/>
  <c r="M990" i="8" s="1"/>
  <c r="P991" i="8"/>
  <c r="P992" i="8"/>
  <c r="P993" i="8"/>
  <c r="P994" i="8"/>
  <c r="P995" i="8"/>
  <c r="P996" i="8"/>
  <c r="M996" i="8" s="1"/>
  <c r="P997" i="8"/>
  <c r="M997" i="8" s="1"/>
  <c r="P998" i="8"/>
  <c r="P999" i="8"/>
  <c r="P1000" i="8"/>
  <c r="P1001" i="8"/>
  <c r="P1002" i="8"/>
  <c r="M1002" i="8" s="1"/>
  <c r="P1003" i="8"/>
  <c r="P1004" i="8"/>
  <c r="M1004" i="8" s="1"/>
  <c r="P1005" i="8"/>
  <c r="M1005" i="8" s="1"/>
  <c r="P1006" i="8"/>
  <c r="M1006" i="8" s="1"/>
  <c r="P1007" i="8"/>
  <c r="P1008" i="8"/>
  <c r="P1009" i="8"/>
  <c r="P1010" i="8"/>
  <c r="P1011" i="8"/>
  <c r="P1012" i="8"/>
  <c r="M1012" i="8" s="1"/>
  <c r="P1013" i="8"/>
  <c r="M1013" i="8" s="1"/>
  <c r="P1014" i="8"/>
  <c r="P1015" i="8"/>
  <c r="P1016" i="8"/>
  <c r="P1017" i="8"/>
  <c r="P1018" i="8"/>
  <c r="M1018" i="8" s="1"/>
  <c r="P1019" i="8"/>
  <c r="P1020" i="8"/>
  <c r="M1020" i="8" s="1"/>
  <c r="P1021" i="8"/>
  <c r="M1021" i="8" s="1"/>
  <c r="P1022" i="8"/>
  <c r="M1022" i="8" s="1"/>
  <c r="P1023" i="8"/>
  <c r="P1024" i="8"/>
  <c r="P1025" i="8"/>
  <c r="P1026" i="8"/>
  <c r="P1027" i="8"/>
  <c r="P1028" i="8"/>
  <c r="M1028" i="8" s="1"/>
  <c r="P1029" i="8"/>
  <c r="M1029" i="8" s="1"/>
  <c r="P1030" i="8"/>
  <c r="P1031" i="8"/>
  <c r="P1032" i="8"/>
  <c r="P1033" i="8"/>
  <c r="P1034" i="8"/>
  <c r="M1034" i="8" s="1"/>
  <c r="P1035" i="8"/>
  <c r="P1036" i="8"/>
  <c r="M1036" i="8" s="1"/>
  <c r="P1037" i="8"/>
  <c r="M1037" i="8" s="1"/>
  <c r="P1038" i="8"/>
  <c r="M1038" i="8" s="1"/>
  <c r="P1039" i="8"/>
  <c r="P1040" i="8"/>
  <c r="P1041" i="8"/>
  <c r="P1042" i="8"/>
  <c r="P1043" i="8"/>
  <c r="P1044" i="8"/>
  <c r="M1044" i="8" s="1"/>
  <c r="P1045" i="8"/>
  <c r="M1045" i="8" s="1"/>
  <c r="P1046" i="8"/>
  <c r="P1047" i="8"/>
  <c r="P1048" i="8"/>
  <c r="P1049" i="8"/>
  <c r="P1050" i="8"/>
  <c r="M1050" i="8" s="1"/>
  <c r="P1051" i="8"/>
  <c r="P1052" i="8"/>
  <c r="M1052" i="8" s="1"/>
  <c r="P1053" i="8"/>
  <c r="M1053" i="8" s="1"/>
  <c r="P1054" i="8"/>
  <c r="M1054" i="8" s="1"/>
  <c r="P1055" i="8"/>
  <c r="P1056" i="8"/>
  <c r="P1057" i="8"/>
  <c r="P1058" i="8"/>
  <c r="P1059" i="8"/>
  <c r="P1060" i="8"/>
  <c r="M1060" i="8" s="1"/>
  <c r="P1061" i="8"/>
  <c r="M1061" i="8" s="1"/>
  <c r="P1062" i="8"/>
  <c r="P1063" i="8"/>
  <c r="P1064" i="8"/>
  <c r="P1065" i="8"/>
  <c r="P1066" i="8"/>
  <c r="M1066" i="8" s="1"/>
  <c r="P1067" i="8"/>
  <c r="P1068" i="8"/>
  <c r="M1068" i="8" s="1"/>
  <c r="P1069" i="8"/>
  <c r="M1069" i="8" s="1"/>
  <c r="P1070" i="8"/>
  <c r="M1070" i="8" s="1"/>
  <c r="P1071" i="8"/>
  <c r="P1072" i="8"/>
  <c r="P1073" i="8"/>
  <c r="P1074" i="8"/>
  <c r="P1075" i="8"/>
  <c r="P1076" i="8"/>
  <c r="M1076" i="8" s="1"/>
  <c r="P1077" i="8"/>
  <c r="M1077" i="8" s="1"/>
  <c r="P1078" i="8"/>
  <c r="P1079" i="8"/>
  <c r="P1080" i="8"/>
  <c r="P1081" i="8"/>
  <c r="P1082" i="8"/>
  <c r="M1082" i="8" s="1"/>
  <c r="P1083" i="8"/>
  <c r="P1084" i="8"/>
  <c r="M1084" i="8" s="1"/>
  <c r="P1085" i="8"/>
  <c r="M1085" i="8" s="1"/>
  <c r="P1086" i="8"/>
  <c r="M1086" i="8" s="1"/>
  <c r="P1087" i="8"/>
  <c r="P1088" i="8"/>
  <c r="P1089" i="8"/>
  <c r="P1090" i="8"/>
  <c r="P1091" i="8"/>
  <c r="P1092" i="8"/>
  <c r="M1092" i="8" s="1"/>
  <c r="P1093" i="8"/>
  <c r="M1093" i="8" s="1"/>
  <c r="P1094" i="8"/>
  <c r="P1095" i="8"/>
  <c r="P1096" i="8"/>
  <c r="P1097" i="8"/>
  <c r="P1098" i="8"/>
  <c r="M1098" i="8" s="1"/>
  <c r="P1099" i="8"/>
  <c r="P1100" i="8"/>
  <c r="M1100" i="8" s="1"/>
  <c r="P1101" i="8"/>
  <c r="M1101" i="8" s="1"/>
  <c r="P1102" i="8"/>
  <c r="M1102" i="8" s="1"/>
  <c r="P1103" i="8"/>
  <c r="P1104" i="8"/>
  <c r="P1105" i="8"/>
  <c r="P1106" i="8"/>
  <c r="P1107" i="8"/>
  <c r="P1108" i="8"/>
  <c r="M1108" i="8" s="1"/>
  <c r="P1109" i="8"/>
  <c r="M1109" i="8" s="1"/>
  <c r="P1110" i="8"/>
  <c r="P1111" i="8"/>
  <c r="P1112" i="8"/>
  <c r="P1113" i="8"/>
  <c r="P1114" i="8"/>
  <c r="M1114" i="8" s="1"/>
  <c r="P1115" i="8"/>
  <c r="P1116" i="8"/>
  <c r="M1116" i="8" s="1"/>
  <c r="P1117" i="8"/>
  <c r="P1118" i="8"/>
  <c r="M1118" i="8" s="1"/>
  <c r="P1119" i="8"/>
  <c r="P1120" i="8"/>
  <c r="P1121" i="8"/>
  <c r="P1122" i="8"/>
  <c r="P1123" i="8"/>
  <c r="P1124" i="8"/>
  <c r="M1124" i="8" s="1"/>
  <c r="P1125" i="8"/>
  <c r="M1125" i="8" s="1"/>
  <c r="P1126" i="8"/>
  <c r="P1127" i="8"/>
  <c r="P1128" i="8"/>
  <c r="P1129" i="8"/>
  <c r="P1130" i="8"/>
  <c r="M1130" i="8" s="1"/>
  <c r="P1131" i="8"/>
  <c r="P1132" i="8"/>
  <c r="M1132" i="8" s="1"/>
  <c r="P1133" i="8"/>
  <c r="P1134" i="8"/>
  <c r="M1134" i="8" s="1"/>
  <c r="P1135" i="8"/>
  <c r="P1136" i="8"/>
  <c r="P1137" i="8"/>
  <c r="P1138" i="8"/>
  <c r="P1139" i="8"/>
  <c r="P1140" i="8"/>
  <c r="M1140" i="8" s="1"/>
  <c r="P1141" i="8"/>
  <c r="M1141" i="8" s="1"/>
  <c r="P1142" i="8"/>
  <c r="P1143" i="8"/>
  <c r="P1144" i="8"/>
  <c r="P1145" i="8"/>
  <c r="P1146" i="8"/>
  <c r="M1146" i="8" s="1"/>
  <c r="P1147" i="8"/>
  <c r="P1148" i="8"/>
  <c r="M1148" i="8" s="1"/>
  <c r="P1149" i="8"/>
  <c r="M1149" i="8" s="1"/>
  <c r="P1150" i="8"/>
  <c r="M1150" i="8" s="1"/>
  <c r="P1151" i="8"/>
  <c r="P1152" i="8"/>
  <c r="P1153" i="8"/>
  <c r="P1154" i="8"/>
  <c r="P1155" i="8"/>
  <c r="P1156" i="8"/>
  <c r="M1156" i="8" s="1"/>
  <c r="P1157" i="8"/>
  <c r="M1157" i="8" s="1"/>
  <c r="P1158" i="8"/>
  <c r="P1159" i="8"/>
  <c r="P1160" i="8"/>
  <c r="P1161" i="8"/>
  <c r="P1162" i="8"/>
  <c r="M1162" i="8" s="1"/>
  <c r="P1163" i="8"/>
  <c r="P1164" i="8"/>
  <c r="M1164" i="8" s="1"/>
  <c r="P1165" i="8"/>
  <c r="M1165" i="8" s="1"/>
  <c r="P1166" i="8"/>
  <c r="M1166" i="8" s="1"/>
  <c r="P1167" i="8"/>
  <c r="P1168" i="8"/>
  <c r="P1169" i="8"/>
  <c r="P1170" i="8"/>
  <c r="P1171" i="8"/>
  <c r="P1172" i="8"/>
  <c r="M1172" i="8" s="1"/>
  <c r="P1173" i="8"/>
  <c r="M1173" i="8" s="1"/>
  <c r="P1174" i="8"/>
  <c r="P1175" i="8"/>
  <c r="P1176" i="8"/>
  <c r="P1177" i="8"/>
  <c r="P1178" i="8"/>
  <c r="M1178" i="8" s="1"/>
  <c r="P1179" i="8"/>
  <c r="P1180" i="8"/>
  <c r="M1180" i="8" s="1"/>
  <c r="P1181" i="8"/>
  <c r="M1181" i="8" s="1"/>
  <c r="P1182" i="8"/>
  <c r="M1182" i="8" s="1"/>
  <c r="P1183" i="8"/>
  <c r="P1184" i="8"/>
  <c r="P1185" i="8"/>
  <c r="P1186" i="8"/>
  <c r="P1187" i="8"/>
  <c r="P1188" i="8"/>
  <c r="M1188" i="8" s="1"/>
  <c r="P1189" i="8"/>
  <c r="M1189" i="8" s="1"/>
  <c r="P1190" i="8"/>
  <c r="P1191" i="8"/>
  <c r="P1192" i="8"/>
  <c r="P1193" i="8"/>
  <c r="P1194" i="8"/>
  <c r="M1194" i="8" s="1"/>
  <c r="P1195" i="8"/>
  <c r="P1196" i="8"/>
  <c r="M1196" i="8" s="1"/>
  <c r="P1197" i="8"/>
  <c r="M1197" i="8" s="1"/>
  <c r="P1198" i="8"/>
  <c r="M1198" i="8" s="1"/>
  <c r="P1199" i="8"/>
  <c r="P1200" i="8"/>
  <c r="P1201" i="8"/>
  <c r="P1202" i="8"/>
  <c r="P1203" i="8"/>
  <c r="P1204" i="8"/>
  <c r="M1204" i="8" s="1"/>
  <c r="P1205" i="8"/>
  <c r="M1205" i="8" s="1"/>
  <c r="P1206" i="8"/>
  <c r="P1207" i="8"/>
  <c r="P1208" i="8"/>
  <c r="P1209" i="8"/>
  <c r="P1210" i="8"/>
  <c r="M1210" i="8" s="1"/>
  <c r="P1211" i="8"/>
  <c r="P1212" i="8"/>
  <c r="M1212" i="8" s="1"/>
  <c r="P1213" i="8"/>
  <c r="M1213" i="8" s="1"/>
  <c r="P1214" i="8"/>
  <c r="M1214" i="8" s="1"/>
  <c r="P1215" i="8"/>
  <c r="P1216" i="8"/>
  <c r="P1217" i="8"/>
  <c r="P1218" i="8"/>
  <c r="P1219" i="8"/>
  <c r="P1220" i="8"/>
  <c r="M1220" i="8" s="1"/>
  <c r="P1221" i="8"/>
  <c r="M1221" i="8" s="1"/>
  <c r="P1222" i="8"/>
  <c r="P1223" i="8"/>
  <c r="P1224" i="8"/>
  <c r="P1225" i="8"/>
  <c r="P1226" i="8"/>
  <c r="M1226" i="8" s="1"/>
  <c r="P1227" i="8"/>
  <c r="P1228" i="8"/>
  <c r="M1228" i="8" s="1"/>
  <c r="P1229" i="8"/>
  <c r="M1229" i="8" s="1"/>
  <c r="P1230" i="8"/>
  <c r="M1230" i="8" s="1"/>
  <c r="P1231" i="8"/>
  <c r="P1232" i="8"/>
  <c r="P1233" i="8"/>
  <c r="P1234" i="8"/>
  <c r="P1235" i="8"/>
  <c r="P1236" i="8"/>
  <c r="M1236" i="8" s="1"/>
  <c r="P1237" i="8"/>
  <c r="M1237" i="8" s="1"/>
  <c r="P1238" i="8"/>
  <c r="P1239" i="8"/>
  <c r="P1240" i="8"/>
  <c r="P1241" i="8"/>
  <c r="P1242" i="8"/>
  <c r="M1242" i="8" s="1"/>
  <c r="P1243" i="8"/>
  <c r="P1244" i="8"/>
  <c r="M1244" i="8" s="1"/>
  <c r="P1245" i="8"/>
  <c r="P1246" i="8"/>
  <c r="M1246" i="8" s="1"/>
  <c r="P1247" i="8"/>
  <c r="P1248" i="8"/>
  <c r="P1249" i="8"/>
  <c r="P1250" i="8"/>
  <c r="P1251" i="8"/>
  <c r="P1252" i="8"/>
  <c r="M1252" i="8" s="1"/>
  <c r="P1253" i="8"/>
  <c r="M1253" i="8" s="1"/>
  <c r="P1254" i="8"/>
  <c r="P1255" i="8"/>
  <c r="P1256" i="8"/>
  <c r="P1257" i="8"/>
  <c r="P1258" i="8"/>
  <c r="M1258" i="8" s="1"/>
  <c r="P1259" i="8"/>
  <c r="P1260" i="8"/>
  <c r="M1260" i="8" s="1"/>
  <c r="P1261" i="8"/>
  <c r="P1262" i="8"/>
  <c r="M1262" i="8" s="1"/>
  <c r="P1263" i="8"/>
  <c r="P1264" i="8"/>
  <c r="P1265" i="8"/>
  <c r="P1266" i="8"/>
  <c r="P1267" i="8"/>
  <c r="P1268" i="8"/>
  <c r="M1268" i="8" s="1"/>
  <c r="P1269" i="8"/>
  <c r="M1269" i="8" s="1"/>
  <c r="P1270" i="8"/>
  <c r="P1271" i="8"/>
  <c r="P1272" i="8"/>
  <c r="P1273" i="8"/>
  <c r="P1274" i="8"/>
  <c r="M1274" i="8" s="1"/>
  <c r="P1275" i="8"/>
  <c r="P1276" i="8"/>
  <c r="M1276" i="8" s="1"/>
  <c r="P1277" i="8"/>
  <c r="M1277" i="8" s="1"/>
  <c r="P1278" i="8"/>
  <c r="M1278" i="8" s="1"/>
  <c r="P1279" i="8"/>
  <c r="P1280" i="8"/>
  <c r="P1281" i="8"/>
  <c r="P1282" i="8"/>
  <c r="P1283" i="8"/>
  <c r="M1283" i="8" s="1"/>
  <c r="P1284" i="8"/>
  <c r="M1284" i="8" s="1"/>
  <c r="P1285" i="8"/>
  <c r="M1285" i="8" s="1"/>
  <c r="P1286" i="8"/>
  <c r="P1287" i="8"/>
  <c r="P1288" i="8"/>
  <c r="P1289" i="8"/>
  <c r="P1290" i="8"/>
  <c r="M1290" i="8" s="1"/>
  <c r="P1291" i="8"/>
  <c r="P1292" i="8"/>
  <c r="M1292" i="8" s="1"/>
  <c r="P1293" i="8"/>
  <c r="M1293" i="8" s="1"/>
  <c r="P1294" i="8"/>
  <c r="M1294" i="8" s="1"/>
  <c r="P1295" i="8"/>
  <c r="P1296" i="8"/>
  <c r="P1297" i="8"/>
  <c r="P1298" i="8"/>
  <c r="P1299" i="8"/>
  <c r="P1300" i="8"/>
  <c r="M1300" i="8" s="1"/>
  <c r="P1301" i="8"/>
  <c r="M1301" i="8" s="1"/>
  <c r="P1302" i="8"/>
  <c r="P1303" i="8"/>
  <c r="P1304" i="8"/>
  <c r="P1305" i="8"/>
  <c r="P1306" i="8"/>
  <c r="M1306" i="8" s="1"/>
  <c r="P1307" i="8"/>
  <c r="P1308" i="8"/>
  <c r="M1308" i="8" s="1"/>
  <c r="P1309" i="8"/>
  <c r="M1309" i="8" s="1"/>
  <c r="P1310" i="8"/>
  <c r="M1310" i="8" s="1"/>
  <c r="P1311" i="8"/>
  <c r="P1312" i="8"/>
  <c r="P1313" i="8"/>
  <c r="P1314" i="8"/>
  <c r="P1315" i="8"/>
  <c r="P1316" i="8"/>
  <c r="M1316" i="8" s="1"/>
  <c r="P1317" i="8"/>
  <c r="M1317" i="8" s="1"/>
  <c r="P1318" i="8"/>
  <c r="P1319" i="8"/>
  <c r="P1320" i="8"/>
  <c r="P1321" i="8"/>
  <c r="P1322" i="8"/>
  <c r="M1322" i="8" s="1"/>
  <c r="P1323" i="8"/>
  <c r="P1324" i="8"/>
  <c r="M1324" i="8" s="1"/>
  <c r="P1325" i="8"/>
  <c r="M1325" i="8" s="1"/>
  <c r="P1326" i="8"/>
  <c r="M1326" i="8" s="1"/>
  <c r="P1327" i="8"/>
  <c r="P1328" i="8"/>
  <c r="P1329" i="8"/>
  <c r="P1330" i="8"/>
  <c r="P1331" i="8"/>
  <c r="P1332" i="8"/>
  <c r="M1332" i="8" s="1"/>
  <c r="P1333" i="8"/>
  <c r="M1333" i="8" s="1"/>
  <c r="P1334" i="8"/>
  <c r="P1335" i="8"/>
  <c r="P1336" i="8"/>
  <c r="P1337" i="8"/>
  <c r="P1338" i="8"/>
  <c r="M1338" i="8" s="1"/>
  <c r="P1339" i="8"/>
  <c r="P1340" i="8"/>
  <c r="M1340" i="8" s="1"/>
  <c r="P1341" i="8"/>
  <c r="M1341" i="8" s="1"/>
  <c r="P1342" i="8"/>
  <c r="M1342" i="8" s="1"/>
  <c r="P1343" i="8"/>
  <c r="P1344" i="8"/>
  <c r="P1345" i="8"/>
  <c r="P1346" i="8"/>
  <c r="P1347" i="8"/>
  <c r="P1348" i="8"/>
  <c r="M1348" i="8" s="1"/>
  <c r="P1349" i="8"/>
  <c r="M1349" i="8" s="1"/>
  <c r="P1350" i="8"/>
  <c r="P1351" i="8"/>
  <c r="P1352" i="8"/>
  <c r="P1353" i="8"/>
  <c r="P1354" i="8"/>
  <c r="M1354" i="8" s="1"/>
  <c r="P1355" i="8"/>
  <c r="P1356" i="8"/>
  <c r="M1356" i="8" s="1"/>
  <c r="P1357" i="8"/>
  <c r="M1357" i="8" s="1"/>
  <c r="P1358" i="8"/>
  <c r="M1358" i="8" s="1"/>
  <c r="P1359" i="8"/>
  <c r="P1360" i="8"/>
  <c r="P1361" i="8"/>
  <c r="P1362" i="8"/>
  <c r="P1363" i="8"/>
  <c r="P1364" i="8"/>
  <c r="M1364" i="8" s="1"/>
  <c r="P1365" i="8"/>
  <c r="M1365" i="8" s="1"/>
  <c r="P1366" i="8"/>
  <c r="P1367" i="8"/>
  <c r="P1368" i="8"/>
  <c r="P1369" i="8"/>
  <c r="P1370" i="8"/>
  <c r="M1370" i="8" s="1"/>
  <c r="P1371" i="8"/>
  <c r="P1372" i="8"/>
  <c r="M1372" i="8" s="1"/>
  <c r="P1373" i="8"/>
  <c r="M1373" i="8" s="1"/>
  <c r="P1374" i="8"/>
  <c r="M1374" i="8" s="1"/>
  <c r="P1375" i="8"/>
  <c r="P1376" i="8"/>
  <c r="P1377" i="8"/>
  <c r="P1378" i="8"/>
  <c r="P1379" i="8"/>
  <c r="P1380" i="8"/>
  <c r="M1380" i="8" s="1"/>
  <c r="P1381" i="8"/>
  <c r="M1381" i="8" s="1"/>
  <c r="P1382" i="8"/>
  <c r="P1383" i="8"/>
  <c r="P1384" i="8"/>
  <c r="P1385" i="8"/>
  <c r="P1386" i="8"/>
  <c r="M1386" i="8" s="1"/>
  <c r="P1387" i="8"/>
  <c r="P1388" i="8"/>
  <c r="M1388" i="8" s="1"/>
  <c r="P1389" i="8"/>
  <c r="M1389" i="8" s="1"/>
  <c r="P1390" i="8"/>
  <c r="M1390" i="8" s="1"/>
  <c r="P1391" i="8"/>
  <c r="P1392" i="8"/>
  <c r="P1393" i="8"/>
  <c r="P1394" i="8"/>
  <c r="P1395" i="8"/>
  <c r="P1396" i="8"/>
  <c r="M1396" i="8" s="1"/>
  <c r="P1397" i="8"/>
  <c r="M1397" i="8" s="1"/>
  <c r="P1398" i="8"/>
  <c r="P1399" i="8"/>
  <c r="P1400" i="8"/>
  <c r="P1401" i="8"/>
  <c r="P1402" i="8"/>
  <c r="M1402" i="8" s="1"/>
  <c r="P1403" i="8"/>
  <c r="P1404" i="8"/>
  <c r="M1404" i="8" s="1"/>
  <c r="P1405" i="8"/>
  <c r="P1406" i="8"/>
  <c r="M1406" i="8" s="1"/>
  <c r="P1407" i="8"/>
  <c r="P1408" i="8"/>
  <c r="P1409" i="8"/>
  <c r="P1410" i="8"/>
  <c r="P1411" i="8"/>
  <c r="P1412" i="8"/>
  <c r="M1412" i="8" s="1"/>
  <c r="P1413" i="8"/>
  <c r="M1413" i="8" s="1"/>
  <c r="P1414" i="8"/>
  <c r="P1415" i="8"/>
  <c r="P1416" i="8"/>
  <c r="P1417" i="8"/>
  <c r="P1418" i="8"/>
  <c r="M1418" i="8" s="1"/>
  <c r="P1419" i="8"/>
  <c r="P1420" i="8"/>
  <c r="M1420" i="8" s="1"/>
  <c r="P1421" i="8"/>
  <c r="P1422" i="8"/>
  <c r="M1422" i="8" s="1"/>
  <c r="P1423" i="8"/>
  <c r="P1424" i="8"/>
  <c r="P1425" i="8"/>
  <c r="P1426" i="8"/>
  <c r="P1427" i="8"/>
  <c r="P1428" i="8"/>
  <c r="M1428" i="8" s="1"/>
  <c r="P1429" i="8"/>
  <c r="M1429" i="8" s="1"/>
  <c r="P1430" i="8"/>
  <c r="P1431" i="8"/>
  <c r="P1432" i="8"/>
  <c r="P1433" i="8"/>
  <c r="M1433" i="8" s="1"/>
  <c r="P1434" i="8"/>
  <c r="M1434" i="8" s="1"/>
  <c r="P1435" i="8"/>
  <c r="P1436" i="8"/>
  <c r="M1436" i="8" s="1"/>
  <c r="P1437" i="8"/>
  <c r="M1437" i="8" s="1"/>
  <c r="P1438" i="8"/>
  <c r="M1438" i="8" s="1"/>
  <c r="P1439" i="8"/>
  <c r="P1440" i="8"/>
  <c r="P1441" i="8"/>
  <c r="P1442" i="8"/>
  <c r="P1443" i="8"/>
  <c r="P1444" i="8"/>
  <c r="M1444" i="8" s="1"/>
  <c r="P1445" i="8"/>
  <c r="M1445" i="8" s="1"/>
  <c r="P1446" i="8"/>
  <c r="P1447" i="8"/>
  <c r="P1448" i="8"/>
  <c r="P1449" i="8"/>
  <c r="M1449" i="8" s="1"/>
  <c r="P1450" i="8"/>
  <c r="M1450" i="8" s="1"/>
  <c r="P1451" i="8"/>
  <c r="P1452" i="8"/>
  <c r="M1452" i="8" s="1"/>
  <c r="P1453" i="8"/>
  <c r="P1454" i="8"/>
  <c r="M1454" i="8" s="1"/>
  <c r="P1455" i="8"/>
  <c r="P1456" i="8"/>
  <c r="P1457" i="8"/>
  <c r="P1458" i="8"/>
  <c r="P1459" i="8"/>
  <c r="P1460" i="8"/>
  <c r="M1460" i="8" s="1"/>
  <c r="P1461" i="8"/>
  <c r="M1461" i="8" s="1"/>
  <c r="P1462" i="8"/>
  <c r="P1463" i="8"/>
  <c r="P1464" i="8"/>
  <c r="P1465" i="8"/>
  <c r="M1465" i="8" s="1"/>
  <c r="P1466" i="8"/>
  <c r="M1466" i="8" s="1"/>
  <c r="P1467" i="8"/>
  <c r="P1468" i="8"/>
  <c r="M1468" i="8" s="1"/>
  <c r="P1469" i="8"/>
  <c r="P1470" i="8"/>
  <c r="M1470" i="8" s="1"/>
  <c r="P1471" i="8"/>
  <c r="P1472" i="8"/>
  <c r="P1473" i="8"/>
  <c r="P1474" i="8"/>
  <c r="P1475" i="8"/>
  <c r="P1476" i="8"/>
  <c r="M1476" i="8" s="1"/>
  <c r="P1477" i="8"/>
  <c r="M1477" i="8" s="1"/>
  <c r="P1478" i="8"/>
  <c r="P1479" i="8"/>
  <c r="P1480" i="8"/>
  <c r="P1481" i="8"/>
  <c r="M1481" i="8" s="1"/>
  <c r="P1482" i="8"/>
  <c r="M1482" i="8" s="1"/>
  <c r="P1483" i="8"/>
  <c r="P1484" i="8"/>
  <c r="M1484" i="8" s="1"/>
  <c r="P1485" i="8"/>
  <c r="M1485" i="8" s="1"/>
  <c r="P1486" i="8"/>
  <c r="M1486" i="8" s="1"/>
  <c r="P1487" i="8"/>
  <c r="P1488" i="8"/>
  <c r="P1489" i="8"/>
  <c r="P1490" i="8"/>
  <c r="P1491" i="8"/>
  <c r="P1492" i="8"/>
  <c r="M1492" i="8" s="1"/>
  <c r="P1493" i="8"/>
  <c r="M1493" i="8" s="1"/>
  <c r="P1494" i="8"/>
  <c r="P1495" i="8"/>
  <c r="P1496" i="8"/>
  <c r="P1497" i="8"/>
  <c r="M1497" i="8" s="1"/>
  <c r="P1498" i="8"/>
  <c r="M1498" i="8" s="1"/>
  <c r="P1499" i="8"/>
  <c r="P1500" i="8"/>
  <c r="M1500" i="8" s="1"/>
  <c r="P1501" i="8"/>
  <c r="M1501" i="8" s="1"/>
  <c r="P1502" i="8"/>
  <c r="M1502" i="8" s="1"/>
  <c r="P1503" i="8"/>
  <c r="P1504" i="8"/>
  <c r="P1505" i="8"/>
  <c r="P1506" i="8"/>
  <c r="P1507" i="8"/>
  <c r="P1508" i="8"/>
  <c r="M1508" i="8" s="1"/>
  <c r="P1509" i="8"/>
  <c r="M1509" i="8" s="1"/>
  <c r="P1510" i="8"/>
  <c r="P1511" i="8"/>
  <c r="P1512" i="8"/>
  <c r="P1513" i="8"/>
  <c r="M1513" i="8" s="1"/>
  <c r="P1514" i="8"/>
  <c r="M1514" i="8" s="1"/>
  <c r="P1515" i="8"/>
  <c r="P1516" i="8"/>
  <c r="M1516" i="8" s="1"/>
  <c r="P1517" i="8"/>
  <c r="M1517" i="8" s="1"/>
  <c r="P1518" i="8"/>
  <c r="M1518" i="8" s="1"/>
  <c r="P1519" i="8"/>
  <c r="P1520" i="8"/>
  <c r="P1521" i="8"/>
  <c r="M1521" i="8" s="1"/>
  <c r="P1522" i="8"/>
  <c r="P1523" i="8"/>
  <c r="P1524" i="8"/>
  <c r="M1524" i="8" s="1"/>
  <c r="P1525" i="8"/>
  <c r="M1525" i="8" s="1"/>
  <c r="P1526" i="8"/>
  <c r="P1527" i="8"/>
  <c r="P1528" i="8"/>
  <c r="P1529" i="8"/>
  <c r="M1529" i="8" s="1"/>
  <c r="P1530" i="8"/>
  <c r="M1530" i="8" s="1"/>
  <c r="P1531" i="8"/>
  <c r="P1532" i="8"/>
  <c r="M1532" i="8" s="1"/>
  <c r="P1533" i="8"/>
  <c r="M1533" i="8" s="1"/>
  <c r="P1534" i="8"/>
  <c r="M1534" i="8" s="1"/>
  <c r="P1535" i="8"/>
  <c r="P1536" i="8"/>
  <c r="P1537" i="8"/>
  <c r="M1537" i="8" s="1"/>
  <c r="P1538" i="8"/>
  <c r="P1539" i="8"/>
  <c r="P1540" i="8"/>
  <c r="M1540" i="8" s="1"/>
  <c r="P1541" i="8"/>
  <c r="M1541" i="8" s="1"/>
  <c r="P1542" i="8"/>
  <c r="P1543" i="8"/>
  <c r="P1544" i="8"/>
  <c r="P1545" i="8"/>
  <c r="M1545" i="8" s="1"/>
  <c r="P1546" i="8"/>
  <c r="M1546" i="8" s="1"/>
  <c r="P1547" i="8"/>
  <c r="P1548" i="8"/>
  <c r="M1548" i="8" s="1"/>
  <c r="P1549" i="8"/>
  <c r="M1549" i="8" s="1"/>
  <c r="P1550" i="8"/>
  <c r="M1550" i="8" s="1"/>
  <c r="P1551" i="8"/>
  <c r="P1552" i="8"/>
  <c r="P1553" i="8"/>
  <c r="M1553" i="8" s="1"/>
  <c r="P1554" i="8"/>
  <c r="P1555" i="8"/>
  <c r="P1556" i="8"/>
  <c r="M1556" i="8" s="1"/>
  <c r="P1557" i="8"/>
  <c r="M1557" i="8" s="1"/>
  <c r="P1558" i="8"/>
  <c r="P1559" i="8"/>
  <c r="P1560" i="8"/>
  <c r="P1561" i="8"/>
  <c r="M1561" i="8" s="1"/>
  <c r="P1562" i="8"/>
  <c r="M1562" i="8" s="1"/>
  <c r="P1563" i="8"/>
  <c r="P1564" i="8"/>
  <c r="M1564" i="8" s="1"/>
  <c r="P1565" i="8"/>
  <c r="M1565" i="8" s="1"/>
  <c r="P1566" i="8"/>
  <c r="M1566" i="8" s="1"/>
  <c r="P1567" i="8"/>
  <c r="P1568" i="8"/>
  <c r="P1569" i="8"/>
  <c r="M1569" i="8" s="1"/>
  <c r="P1570" i="8"/>
  <c r="P1571" i="8"/>
  <c r="P1572" i="8"/>
  <c r="M1572" i="8" s="1"/>
  <c r="P1573" i="8"/>
  <c r="M1573" i="8" s="1"/>
  <c r="P1574" i="8"/>
  <c r="P1575" i="8"/>
  <c r="P1576" i="8"/>
  <c r="P1577" i="8"/>
  <c r="M1577" i="8" s="1"/>
  <c r="P1578" i="8"/>
  <c r="M1578" i="8" s="1"/>
  <c r="P1579" i="8"/>
  <c r="P1580" i="8"/>
  <c r="M1580" i="8" s="1"/>
  <c r="P1581" i="8"/>
  <c r="M1581" i="8" s="1"/>
  <c r="P1582" i="8"/>
  <c r="M1582" i="8" s="1"/>
  <c r="P1583" i="8"/>
  <c r="P1584" i="8"/>
  <c r="P1585" i="8"/>
  <c r="M1585" i="8" s="1"/>
  <c r="P1586" i="8"/>
  <c r="P1587" i="8"/>
  <c r="P1588" i="8"/>
  <c r="M1588" i="8" s="1"/>
  <c r="P1589" i="8"/>
  <c r="M1589" i="8" s="1"/>
  <c r="P1590" i="8"/>
  <c r="P1591" i="8"/>
  <c r="P1592" i="8"/>
  <c r="P1593" i="8"/>
  <c r="M1593" i="8" s="1"/>
  <c r="P1594" i="8"/>
  <c r="M1594" i="8" s="1"/>
  <c r="P1595" i="8"/>
  <c r="P1596" i="8"/>
  <c r="M1596" i="8" s="1"/>
  <c r="P1597" i="8"/>
  <c r="M1597" i="8" s="1"/>
  <c r="P1598" i="8"/>
  <c r="M1598" i="8" s="1"/>
  <c r="P1599" i="8"/>
  <c r="P1600" i="8"/>
  <c r="P1601" i="8"/>
  <c r="M1601" i="8" s="1"/>
  <c r="P1602" i="8"/>
  <c r="P1603" i="8"/>
  <c r="P1604" i="8"/>
  <c r="M1604" i="8" s="1"/>
  <c r="P1605" i="8"/>
  <c r="M1605" i="8" s="1"/>
  <c r="P1606" i="8"/>
  <c r="P1607" i="8"/>
  <c r="P1608" i="8"/>
  <c r="P1609" i="8"/>
  <c r="M1609" i="8" s="1"/>
  <c r="P1610" i="8"/>
  <c r="M1610" i="8" s="1"/>
  <c r="P1611" i="8"/>
  <c r="P1612" i="8"/>
  <c r="M1612" i="8" s="1"/>
  <c r="P1613" i="8"/>
  <c r="M1613" i="8" s="1"/>
  <c r="P1614" i="8"/>
  <c r="M1614" i="8" s="1"/>
  <c r="P1615" i="8"/>
  <c r="P1616" i="8"/>
  <c r="P1617" i="8"/>
  <c r="M1617" i="8" s="1"/>
  <c r="P1618" i="8"/>
  <c r="P1619" i="8"/>
  <c r="P1620" i="8"/>
  <c r="M1620" i="8" s="1"/>
  <c r="P1621" i="8"/>
  <c r="M1621" i="8" s="1"/>
  <c r="P1622" i="8"/>
  <c r="P1623" i="8"/>
  <c r="P1624" i="8"/>
  <c r="P1625" i="8"/>
  <c r="M1625" i="8" s="1"/>
  <c r="P1626" i="8"/>
  <c r="M1626" i="8" s="1"/>
  <c r="P1627" i="8"/>
  <c r="P1628" i="8"/>
  <c r="M1628" i="8" s="1"/>
  <c r="P1629" i="8"/>
  <c r="M1629" i="8" s="1"/>
  <c r="P1630" i="8"/>
  <c r="M1630" i="8" s="1"/>
  <c r="P1631" i="8"/>
  <c r="P1632" i="8"/>
  <c r="P1633" i="8"/>
  <c r="M1633" i="8" s="1"/>
  <c r="P1634" i="8"/>
  <c r="P1635" i="8"/>
  <c r="P1636" i="8"/>
  <c r="M1636" i="8" s="1"/>
  <c r="P1637" i="8"/>
  <c r="M1637" i="8" s="1"/>
  <c r="P1638" i="8"/>
  <c r="P1639" i="8"/>
  <c r="P1640" i="8"/>
  <c r="P1641" i="8"/>
  <c r="M1641" i="8" s="1"/>
  <c r="P1642" i="8"/>
  <c r="M1642" i="8" s="1"/>
  <c r="P1643" i="8"/>
  <c r="P1644" i="8"/>
  <c r="M1644" i="8" s="1"/>
  <c r="P1645" i="8"/>
  <c r="M1645" i="8" s="1"/>
  <c r="P1646" i="8"/>
  <c r="M1646" i="8" s="1"/>
  <c r="P1647" i="8"/>
  <c r="P1648" i="8"/>
  <c r="P1649" i="8"/>
  <c r="M1649" i="8" s="1"/>
  <c r="P1650" i="8"/>
  <c r="P1651" i="8"/>
  <c r="P1652" i="8"/>
  <c r="M1652" i="8" s="1"/>
  <c r="P1653" i="8"/>
  <c r="M1653" i="8" s="1"/>
  <c r="P1654" i="8"/>
  <c r="P1655" i="8"/>
  <c r="P1656" i="8"/>
  <c r="P1657" i="8"/>
  <c r="M1657" i="8" s="1"/>
  <c r="P1658" i="8"/>
  <c r="M1658" i="8" s="1"/>
  <c r="P1659" i="8"/>
  <c r="P1660" i="8"/>
  <c r="M1660" i="8" s="1"/>
  <c r="P1661" i="8"/>
  <c r="M1661" i="8" s="1"/>
  <c r="P1662" i="8"/>
  <c r="M1662" i="8" s="1"/>
  <c r="P1663" i="8"/>
  <c r="P1664" i="8"/>
  <c r="P1665" i="8"/>
  <c r="M1665" i="8" s="1"/>
  <c r="P1666" i="8"/>
  <c r="P1667" i="8"/>
  <c r="P1668" i="8"/>
  <c r="M1668" i="8" s="1"/>
  <c r="P1669" i="8"/>
  <c r="M1669" i="8" s="1"/>
  <c r="P1670" i="8"/>
  <c r="P1671" i="8"/>
  <c r="P1672" i="8"/>
  <c r="P1673" i="8"/>
  <c r="M1673" i="8" s="1"/>
  <c r="P1674" i="8"/>
  <c r="M1674" i="8" s="1"/>
  <c r="P1675" i="8"/>
  <c r="P1676" i="8"/>
  <c r="M1676" i="8" s="1"/>
  <c r="P1677" i="8"/>
  <c r="M1677" i="8" s="1"/>
  <c r="P1678" i="8"/>
  <c r="M1678" i="8" s="1"/>
  <c r="P1679" i="8"/>
  <c r="P1680" i="8"/>
  <c r="P1681" i="8"/>
  <c r="M1681" i="8" s="1"/>
  <c r="P1682" i="8"/>
  <c r="P1683" i="8"/>
  <c r="P1684" i="8"/>
  <c r="M1684" i="8" s="1"/>
  <c r="P1685" i="8"/>
  <c r="M1685" i="8" s="1"/>
  <c r="P1686" i="8"/>
  <c r="P1687" i="8"/>
  <c r="P1688" i="8"/>
  <c r="P1689" i="8"/>
  <c r="M1689" i="8" s="1"/>
  <c r="P1690" i="8"/>
  <c r="M1690" i="8" s="1"/>
  <c r="P1691" i="8"/>
  <c r="P1692" i="8"/>
  <c r="M1692" i="8" s="1"/>
  <c r="P1693" i="8"/>
  <c r="M1693" i="8" s="1"/>
  <c r="P1694" i="8"/>
  <c r="M1694" i="8" s="1"/>
  <c r="P1695" i="8"/>
  <c r="P1696" i="8"/>
  <c r="P1697" i="8"/>
  <c r="M1697" i="8" s="1"/>
  <c r="P1698" i="8"/>
  <c r="P1699" i="8"/>
  <c r="P1700" i="8"/>
  <c r="M1700" i="8" s="1"/>
  <c r="P1701" i="8"/>
  <c r="M1701" i="8" s="1"/>
  <c r="P1702" i="8"/>
  <c r="P1703" i="8"/>
  <c r="P1704" i="8"/>
  <c r="P1705" i="8"/>
  <c r="M1705" i="8" s="1"/>
  <c r="P1706" i="8"/>
  <c r="M1706" i="8" s="1"/>
  <c r="P1707" i="8"/>
  <c r="P1708" i="8"/>
  <c r="M1708" i="8" s="1"/>
  <c r="P1709" i="8"/>
  <c r="M1709" i="8" s="1"/>
  <c r="P1710" i="8"/>
  <c r="M1710" i="8" s="1"/>
  <c r="P1711" i="8"/>
  <c r="P1712" i="8"/>
  <c r="P1713" i="8"/>
  <c r="M1713" i="8" s="1"/>
  <c r="P1714" i="8"/>
  <c r="P1715" i="8"/>
  <c r="P1716" i="8"/>
  <c r="M1716" i="8" s="1"/>
  <c r="P1717" i="8"/>
  <c r="M1717" i="8" s="1"/>
  <c r="P1718" i="8"/>
  <c r="P1719" i="8"/>
  <c r="P1720" i="8"/>
  <c r="P1721" i="8"/>
  <c r="M1721" i="8" s="1"/>
  <c r="P1722" i="8"/>
  <c r="M1722" i="8" s="1"/>
  <c r="P1723" i="8"/>
  <c r="P1724" i="8"/>
  <c r="M1724" i="8" s="1"/>
  <c r="P1725" i="8"/>
  <c r="M1725" i="8" s="1"/>
  <c r="P1726" i="8"/>
  <c r="M1726" i="8" s="1"/>
  <c r="P1727" i="8"/>
  <c r="P1728" i="8"/>
  <c r="P1729" i="8"/>
  <c r="M1729" i="8" s="1"/>
  <c r="P1730" i="8"/>
  <c r="P1731" i="8"/>
  <c r="P1732" i="8"/>
  <c r="M1732" i="8" s="1"/>
  <c r="P1733" i="8"/>
  <c r="M1733" i="8" s="1"/>
  <c r="P1734" i="8"/>
  <c r="P1735" i="8"/>
  <c r="P1736" i="8"/>
  <c r="P1737" i="8"/>
  <c r="M1737" i="8" s="1"/>
  <c r="P1738" i="8"/>
  <c r="M1738" i="8" s="1"/>
  <c r="P1739" i="8"/>
  <c r="P1740" i="8"/>
  <c r="M1740" i="8" s="1"/>
  <c r="P1741" i="8"/>
  <c r="M1741" i="8" s="1"/>
  <c r="P1742" i="8"/>
  <c r="M1742" i="8" s="1"/>
  <c r="P1743" i="8"/>
  <c r="P1744" i="8"/>
  <c r="P1745" i="8"/>
  <c r="M1745" i="8" s="1"/>
  <c r="P1746" i="8"/>
  <c r="P1747" i="8"/>
  <c r="P1748" i="8"/>
  <c r="M1748" i="8" s="1"/>
  <c r="P1749" i="8"/>
  <c r="M1749" i="8" s="1"/>
  <c r="P1750" i="8"/>
  <c r="P1751" i="8"/>
  <c r="P1752" i="8"/>
  <c r="P1753" i="8"/>
  <c r="M1753" i="8" s="1"/>
  <c r="P1754" i="8"/>
  <c r="M1754" i="8" s="1"/>
  <c r="P1755" i="8"/>
  <c r="P1756" i="8"/>
  <c r="M1756" i="8" s="1"/>
  <c r="P1757" i="8"/>
  <c r="M1757" i="8" s="1"/>
  <c r="P1758" i="8"/>
  <c r="M1758" i="8" s="1"/>
  <c r="P1759" i="8"/>
  <c r="P1760" i="8"/>
  <c r="P1761" i="8"/>
  <c r="M1761" i="8" s="1"/>
  <c r="P1762" i="8"/>
  <c r="P1763" i="8"/>
  <c r="P1764" i="8"/>
  <c r="M1764" i="8" s="1"/>
  <c r="P1765" i="8"/>
  <c r="M1765" i="8" s="1"/>
  <c r="P1766" i="8"/>
  <c r="P1767" i="8"/>
  <c r="P1768" i="8"/>
  <c r="P1769" i="8"/>
  <c r="M1769" i="8" s="1"/>
  <c r="P1770" i="8"/>
  <c r="M1770" i="8" s="1"/>
  <c r="P1771" i="8"/>
  <c r="P1772" i="8"/>
  <c r="M1772" i="8" s="1"/>
  <c r="P1773" i="8"/>
  <c r="M1773" i="8" s="1"/>
  <c r="P1774" i="8"/>
  <c r="M1774" i="8" s="1"/>
  <c r="P1775" i="8"/>
  <c r="P1776" i="8"/>
  <c r="P1777" i="8"/>
  <c r="M1777" i="8" s="1"/>
  <c r="P1778" i="8"/>
  <c r="P1779" i="8"/>
  <c r="P1780" i="8"/>
  <c r="M1780" i="8" s="1"/>
  <c r="P1781" i="8"/>
  <c r="M1781" i="8" s="1"/>
  <c r="P1782" i="8"/>
  <c r="P1783" i="8"/>
  <c r="P1784" i="8"/>
  <c r="P1785" i="8"/>
  <c r="M1785" i="8" s="1"/>
  <c r="P1786" i="8"/>
  <c r="M1786" i="8" s="1"/>
  <c r="P1787" i="8"/>
  <c r="P1788" i="8"/>
  <c r="M1788" i="8" s="1"/>
  <c r="P1789" i="8"/>
  <c r="M1789" i="8" s="1"/>
  <c r="P1790" i="8"/>
  <c r="M1790" i="8" s="1"/>
  <c r="P1791" i="8"/>
  <c r="P1792" i="8"/>
  <c r="P1793" i="8"/>
  <c r="M1793" i="8" s="1"/>
  <c r="P1794" i="8"/>
  <c r="P1795" i="8"/>
  <c r="P1796" i="8"/>
  <c r="M1796" i="8" s="1"/>
  <c r="P1797" i="8"/>
  <c r="M1797" i="8" s="1"/>
  <c r="P1798" i="8"/>
  <c r="P1799" i="8"/>
  <c r="P1800" i="8"/>
  <c r="P1801" i="8"/>
  <c r="M1801" i="8" s="1"/>
  <c r="P1802" i="8"/>
  <c r="M1802" i="8" s="1"/>
  <c r="P1803" i="8"/>
  <c r="P1804" i="8"/>
  <c r="M1804" i="8" s="1"/>
  <c r="P1805" i="8"/>
  <c r="M1805" i="8" s="1"/>
  <c r="P1806" i="8"/>
  <c r="M1806" i="8" s="1"/>
  <c r="P1807" i="8"/>
  <c r="P1808" i="8"/>
  <c r="P1809" i="8"/>
  <c r="M1809" i="8" s="1"/>
  <c r="P1810" i="8"/>
  <c r="P1811" i="8"/>
  <c r="P1812" i="8"/>
  <c r="M1812" i="8" s="1"/>
  <c r="P1813" i="8"/>
  <c r="M1813" i="8" s="1"/>
  <c r="P1814" i="8"/>
  <c r="P1815" i="8"/>
  <c r="P1816" i="8"/>
  <c r="P1817" i="8"/>
  <c r="M1817" i="8" s="1"/>
  <c r="P1818" i="8"/>
  <c r="M1818" i="8" s="1"/>
  <c r="P1819" i="8"/>
  <c r="P1820" i="8"/>
  <c r="M1820" i="8" s="1"/>
  <c r="P1821" i="8"/>
  <c r="M1821" i="8" s="1"/>
  <c r="P1822" i="8"/>
  <c r="M1822" i="8" s="1"/>
  <c r="P1823" i="8"/>
  <c r="P1824" i="8"/>
  <c r="P1825" i="8"/>
  <c r="M1825" i="8" s="1"/>
  <c r="P1826" i="8"/>
  <c r="P1827" i="8"/>
  <c r="P1828" i="8"/>
  <c r="M1828" i="8" s="1"/>
  <c r="P1829" i="8"/>
  <c r="M1829" i="8" s="1"/>
  <c r="P1830" i="8"/>
  <c r="P1831" i="8"/>
  <c r="P1832" i="8"/>
  <c r="P1833" i="8"/>
  <c r="M1833" i="8" s="1"/>
  <c r="P1834" i="8"/>
  <c r="M1834" i="8" s="1"/>
  <c r="P1835" i="8"/>
  <c r="P1836" i="8"/>
  <c r="M1836" i="8" s="1"/>
  <c r="P1837" i="8"/>
  <c r="M1837" i="8" s="1"/>
  <c r="P1838" i="8"/>
  <c r="M1838" i="8" s="1"/>
  <c r="P1839" i="8"/>
  <c r="P1840" i="8"/>
  <c r="P1841" i="8"/>
  <c r="M1841" i="8" s="1"/>
  <c r="P1842" i="8"/>
  <c r="P1843" i="8"/>
  <c r="P1844" i="8"/>
  <c r="M1844" i="8" s="1"/>
  <c r="P1845" i="8"/>
  <c r="M1845" i="8" s="1"/>
  <c r="P1846" i="8"/>
  <c r="P1847" i="8"/>
  <c r="P1848" i="8"/>
  <c r="P1849" i="8"/>
  <c r="M1849" i="8" s="1"/>
  <c r="P1850" i="8"/>
  <c r="M1850" i="8" s="1"/>
  <c r="P1851" i="8"/>
  <c r="P1852" i="8"/>
  <c r="M1852" i="8" s="1"/>
  <c r="P1853" i="8"/>
  <c r="M1853" i="8" s="1"/>
  <c r="P1854" i="8"/>
  <c r="M1854" i="8" s="1"/>
  <c r="P1855" i="8"/>
  <c r="P1856" i="8"/>
  <c r="P1857" i="8"/>
  <c r="M1857" i="8" s="1"/>
  <c r="P1858" i="8"/>
  <c r="P1859" i="8"/>
  <c r="P1860" i="8"/>
  <c r="M1860" i="8" s="1"/>
  <c r="P1861" i="8"/>
  <c r="M1861" i="8" s="1"/>
  <c r="P1862" i="8"/>
  <c r="P1863" i="8"/>
  <c r="P1864" i="8"/>
  <c r="P1865" i="8"/>
  <c r="M1865" i="8" s="1"/>
  <c r="P1866" i="8"/>
  <c r="M1866" i="8" s="1"/>
  <c r="P1867" i="8"/>
  <c r="P1868" i="8"/>
  <c r="M1868" i="8" s="1"/>
  <c r="P1869" i="8"/>
  <c r="M1869" i="8" s="1"/>
  <c r="P1870" i="8"/>
  <c r="M1870" i="8" s="1"/>
  <c r="P1871" i="8"/>
  <c r="P1872" i="8"/>
  <c r="P1873" i="8"/>
  <c r="M1873" i="8" s="1"/>
  <c r="P1874" i="8"/>
  <c r="P1875" i="8"/>
  <c r="P1876" i="8"/>
  <c r="M1876" i="8" s="1"/>
  <c r="P1877" i="8"/>
  <c r="M1877" i="8" s="1"/>
  <c r="P1878" i="8"/>
  <c r="P1879" i="8"/>
  <c r="P1880" i="8"/>
  <c r="P1881" i="8"/>
  <c r="M1881" i="8" s="1"/>
  <c r="P1882" i="8"/>
  <c r="M1882" i="8" s="1"/>
  <c r="P1883" i="8"/>
  <c r="P1884" i="8"/>
  <c r="M1884" i="8" s="1"/>
  <c r="P1885" i="8"/>
  <c r="M1885" i="8" s="1"/>
  <c r="P1886" i="8"/>
  <c r="M1886" i="8" s="1"/>
  <c r="P1887" i="8"/>
  <c r="P1888" i="8"/>
  <c r="P1889" i="8"/>
  <c r="M1889" i="8" s="1"/>
  <c r="P1890" i="8"/>
  <c r="P1891" i="8"/>
  <c r="P1892" i="8"/>
  <c r="M1892" i="8" s="1"/>
  <c r="P1893" i="8"/>
  <c r="M1893" i="8" s="1"/>
  <c r="P1894" i="8"/>
  <c r="P1895" i="8"/>
  <c r="P1896" i="8"/>
  <c r="P1897" i="8"/>
  <c r="M1897" i="8" s="1"/>
  <c r="P1898" i="8"/>
  <c r="M1898" i="8" s="1"/>
  <c r="P1899" i="8"/>
  <c r="P1900" i="8"/>
  <c r="M1900" i="8" s="1"/>
  <c r="P1901" i="8"/>
  <c r="M1901" i="8" s="1"/>
  <c r="P1902" i="8"/>
  <c r="M1902" i="8" s="1"/>
  <c r="P1903" i="8"/>
  <c r="P1904" i="8"/>
  <c r="P1905" i="8"/>
  <c r="M1905" i="8" s="1"/>
  <c r="P1906" i="8"/>
  <c r="P1907" i="8"/>
  <c r="P1908" i="8"/>
  <c r="M1908" i="8" s="1"/>
  <c r="P1909" i="8"/>
  <c r="M1909" i="8" s="1"/>
  <c r="P1910" i="8"/>
  <c r="P1911" i="8"/>
  <c r="P1912" i="8"/>
  <c r="P1913" i="8"/>
  <c r="M1913" i="8" s="1"/>
  <c r="P1914" i="8"/>
  <c r="M1914" i="8" s="1"/>
  <c r="P1915" i="8"/>
  <c r="P1916" i="8"/>
  <c r="M1916" i="8" s="1"/>
  <c r="P1917" i="8"/>
  <c r="M1917" i="8" s="1"/>
  <c r="P1918" i="8"/>
  <c r="M1918" i="8" s="1"/>
  <c r="P1919" i="8"/>
  <c r="P1920" i="8"/>
  <c r="P1921" i="8"/>
  <c r="M1921" i="8" s="1"/>
  <c r="P1922" i="8"/>
  <c r="P1923" i="8"/>
  <c r="P1924" i="8"/>
  <c r="M1924" i="8" s="1"/>
  <c r="P1925" i="8"/>
  <c r="M1925" i="8" s="1"/>
  <c r="P1926" i="8"/>
  <c r="P1927" i="8"/>
  <c r="P1928" i="8"/>
  <c r="P1929" i="8"/>
  <c r="M1929" i="8" s="1"/>
  <c r="P1930" i="8"/>
  <c r="M1930" i="8" s="1"/>
  <c r="P1931" i="8"/>
  <c r="P1932" i="8"/>
  <c r="M1932" i="8" s="1"/>
  <c r="P1933" i="8"/>
  <c r="M1933" i="8" s="1"/>
  <c r="P1934" i="8"/>
  <c r="M1934" i="8" s="1"/>
  <c r="P1935" i="8"/>
  <c r="P1936" i="8"/>
  <c r="P1937" i="8"/>
  <c r="M1937" i="8" s="1"/>
  <c r="P1938" i="8"/>
  <c r="P1939" i="8"/>
  <c r="P1940" i="8"/>
  <c r="M1940" i="8" s="1"/>
  <c r="P1941" i="8"/>
  <c r="M1941" i="8" s="1"/>
  <c r="P1942" i="8"/>
  <c r="P1943" i="8"/>
  <c r="P1944" i="8"/>
  <c r="P1945" i="8"/>
  <c r="M1945" i="8" s="1"/>
  <c r="P1946" i="8"/>
  <c r="M1946" i="8" s="1"/>
  <c r="P1947" i="8"/>
  <c r="P1948" i="8"/>
  <c r="M1948" i="8" s="1"/>
  <c r="P1949" i="8"/>
  <c r="M1949" i="8" s="1"/>
  <c r="P1950" i="8"/>
  <c r="M1950" i="8" s="1"/>
  <c r="P1951" i="8"/>
  <c r="P1952" i="8"/>
  <c r="P1953" i="8"/>
  <c r="M1953" i="8" s="1"/>
  <c r="P1954" i="8"/>
  <c r="P1955" i="8"/>
  <c r="P1956" i="8"/>
  <c r="M1956" i="8" s="1"/>
  <c r="P1957" i="8"/>
  <c r="M1957" i="8" s="1"/>
  <c r="P1958" i="8"/>
  <c r="P1959" i="8"/>
  <c r="P1960" i="8"/>
  <c r="P1961" i="8"/>
  <c r="M1961" i="8" s="1"/>
  <c r="P1962" i="8"/>
  <c r="M1962" i="8" s="1"/>
  <c r="P1963" i="8"/>
  <c r="P1964" i="8"/>
  <c r="M1964" i="8" s="1"/>
  <c r="P1965" i="8"/>
  <c r="M1965" i="8" s="1"/>
  <c r="P1966" i="8"/>
  <c r="M1966" i="8" s="1"/>
  <c r="P1967" i="8"/>
  <c r="P1968" i="8"/>
  <c r="P1969" i="8"/>
  <c r="M1969" i="8" s="1"/>
  <c r="P1970" i="8"/>
  <c r="P1971" i="8"/>
  <c r="P1972" i="8"/>
  <c r="M1972" i="8" s="1"/>
  <c r="P1973" i="8"/>
  <c r="M1973" i="8" s="1"/>
  <c r="P1974" i="8"/>
  <c r="P1975" i="8"/>
  <c r="P1976" i="8"/>
  <c r="P1977" i="8"/>
  <c r="M1977" i="8" s="1"/>
  <c r="P1978" i="8"/>
  <c r="M1978" i="8" s="1"/>
  <c r="P1979" i="8"/>
  <c r="P1980" i="8"/>
  <c r="M1980" i="8" s="1"/>
  <c r="P1981" i="8"/>
  <c r="M1981" i="8" s="1"/>
  <c r="P1982" i="8"/>
  <c r="M1982" i="8" s="1"/>
  <c r="P1983" i="8"/>
  <c r="P1984" i="8"/>
  <c r="P1985" i="8"/>
  <c r="M1985" i="8" s="1"/>
  <c r="P1986" i="8"/>
  <c r="P1987" i="8"/>
  <c r="P1988" i="8"/>
  <c r="M1988" i="8" s="1"/>
  <c r="P1989" i="8"/>
  <c r="M1989" i="8" s="1"/>
  <c r="P1990" i="8"/>
  <c r="P1991" i="8"/>
  <c r="P1992" i="8"/>
  <c r="P1993" i="8"/>
  <c r="M1993" i="8" s="1"/>
  <c r="P1994" i="8"/>
  <c r="M1994" i="8" s="1"/>
  <c r="P1995" i="8"/>
  <c r="P1996" i="8"/>
  <c r="M1996" i="8" s="1"/>
  <c r="P1997" i="8"/>
  <c r="M1997" i="8" s="1"/>
  <c r="P1998" i="8"/>
  <c r="M1998" i="8" s="1"/>
  <c r="P1999" i="8"/>
  <c r="P2000" i="8"/>
  <c r="R75" i="8"/>
  <c r="S75" i="8" s="1"/>
  <c r="R76" i="8"/>
  <c r="S76" i="8" s="1"/>
  <c r="R77" i="8"/>
  <c r="S77" i="8" s="1"/>
  <c r="R78" i="8"/>
  <c r="R79" i="8"/>
  <c r="S79" i="8" s="1"/>
  <c r="R80" i="8"/>
  <c r="S80" i="8" s="1"/>
  <c r="R81" i="8"/>
  <c r="S81" i="8" s="1"/>
  <c r="R82" i="8"/>
  <c r="S82" i="8" s="1"/>
  <c r="R83" i="8"/>
  <c r="S83" i="8" s="1"/>
  <c r="R84" i="8"/>
  <c r="S84" i="8" s="1"/>
  <c r="R85" i="8"/>
  <c r="S85" i="8" s="1"/>
  <c r="R86" i="8"/>
  <c r="S86" i="8" s="1"/>
  <c r="R87" i="8"/>
  <c r="S87" i="8" s="1"/>
  <c r="R88" i="8"/>
  <c r="S88" i="8" s="1"/>
  <c r="R89" i="8"/>
  <c r="S89" i="8" s="1"/>
  <c r="R90" i="8"/>
  <c r="S90" i="8" s="1"/>
  <c r="R91" i="8"/>
  <c r="S91" i="8" s="1"/>
  <c r="R92" i="8"/>
  <c r="S92" i="8" s="1"/>
  <c r="R93" i="8"/>
  <c r="S93" i="8" s="1"/>
  <c r="R94" i="8"/>
  <c r="S94" i="8" s="1"/>
  <c r="R95" i="8"/>
  <c r="S95" i="8" s="1"/>
  <c r="R96" i="8"/>
  <c r="S96" i="8" s="1"/>
  <c r="R97" i="8"/>
  <c r="S97" i="8" s="1"/>
  <c r="R98" i="8"/>
  <c r="S98" i="8" s="1"/>
  <c r="R99" i="8"/>
  <c r="S99" i="8" s="1"/>
  <c r="R100" i="8"/>
  <c r="S100" i="8" s="1"/>
  <c r="R101" i="8"/>
  <c r="S101" i="8" s="1"/>
  <c r="R102" i="8"/>
  <c r="S102" i="8" s="1"/>
  <c r="R103" i="8"/>
  <c r="S103" i="8" s="1"/>
  <c r="R104" i="8"/>
  <c r="S104" i="8" s="1"/>
  <c r="R105" i="8"/>
  <c r="S105" i="8" s="1"/>
  <c r="R106" i="8"/>
  <c r="S106" i="8" s="1"/>
  <c r="R107" i="8"/>
  <c r="S107" i="8" s="1"/>
  <c r="R108" i="8"/>
  <c r="S108" i="8" s="1"/>
  <c r="R109" i="8"/>
  <c r="S109" i="8" s="1"/>
  <c r="R110" i="8"/>
  <c r="R111" i="8"/>
  <c r="S111" i="8" s="1"/>
  <c r="R112" i="8"/>
  <c r="S112" i="8" s="1"/>
  <c r="R113" i="8"/>
  <c r="S113" i="8" s="1"/>
  <c r="R114" i="8"/>
  <c r="S114" i="8" s="1"/>
  <c r="R115" i="8"/>
  <c r="S115" i="8" s="1"/>
  <c r="R116" i="8"/>
  <c r="S116" i="8" s="1"/>
  <c r="R117" i="8"/>
  <c r="S117" i="8" s="1"/>
  <c r="R118" i="8"/>
  <c r="S118" i="8" s="1"/>
  <c r="R119" i="8"/>
  <c r="S119" i="8" s="1"/>
  <c r="R120" i="8"/>
  <c r="S120" i="8" s="1"/>
  <c r="R121" i="8"/>
  <c r="S121" i="8" s="1"/>
  <c r="R122" i="8"/>
  <c r="S122" i="8" s="1"/>
  <c r="R123" i="8"/>
  <c r="S123" i="8" s="1"/>
  <c r="R124" i="8"/>
  <c r="S124" i="8" s="1"/>
  <c r="R125" i="8"/>
  <c r="R126" i="8"/>
  <c r="R127" i="8"/>
  <c r="S127" i="8" s="1"/>
  <c r="R128" i="8"/>
  <c r="S128" i="8" s="1"/>
  <c r="R129" i="8"/>
  <c r="S129" i="8" s="1"/>
  <c r="R130" i="8"/>
  <c r="S130" i="8" s="1"/>
  <c r="R131" i="8"/>
  <c r="S131" i="8" s="1"/>
  <c r="R132" i="8"/>
  <c r="S132" i="8" s="1"/>
  <c r="R133" i="8"/>
  <c r="S133" i="8" s="1"/>
  <c r="R134" i="8"/>
  <c r="S134" i="8" s="1"/>
  <c r="R135" i="8"/>
  <c r="S135" i="8" s="1"/>
  <c r="R136" i="8"/>
  <c r="S136" i="8" s="1"/>
  <c r="R137" i="8"/>
  <c r="S137" i="8" s="1"/>
  <c r="R138" i="8"/>
  <c r="S138" i="8" s="1"/>
  <c r="R139" i="8"/>
  <c r="S139" i="8" s="1"/>
  <c r="R140" i="8"/>
  <c r="S140" i="8" s="1"/>
  <c r="R141" i="8"/>
  <c r="R142" i="8"/>
  <c r="R143" i="8"/>
  <c r="S143" i="8" s="1"/>
  <c r="R144" i="8"/>
  <c r="S144" i="8" s="1"/>
  <c r="R145" i="8"/>
  <c r="S145" i="8" s="1"/>
  <c r="R146" i="8"/>
  <c r="S146" i="8" s="1"/>
  <c r="R147" i="8"/>
  <c r="S147" i="8" s="1"/>
  <c r="R148" i="8"/>
  <c r="S148" i="8" s="1"/>
  <c r="R149" i="8"/>
  <c r="S149" i="8" s="1"/>
  <c r="R150" i="8"/>
  <c r="S150" i="8" s="1"/>
  <c r="R151" i="8"/>
  <c r="S151" i="8" s="1"/>
  <c r="R152" i="8"/>
  <c r="S152" i="8" s="1"/>
  <c r="R153" i="8"/>
  <c r="S153" i="8" s="1"/>
  <c r="R154" i="8"/>
  <c r="S154" i="8" s="1"/>
  <c r="R155" i="8"/>
  <c r="S155" i="8" s="1"/>
  <c r="R156" i="8"/>
  <c r="S156" i="8" s="1"/>
  <c r="R157" i="8"/>
  <c r="R158" i="8"/>
  <c r="R159" i="8"/>
  <c r="S159" i="8" s="1"/>
  <c r="R160" i="8"/>
  <c r="S160" i="8" s="1"/>
  <c r="R161" i="8"/>
  <c r="S161" i="8" s="1"/>
  <c r="R162" i="8"/>
  <c r="S162" i="8" s="1"/>
  <c r="R163" i="8"/>
  <c r="S163" i="8" s="1"/>
  <c r="R164" i="8"/>
  <c r="S164" i="8" s="1"/>
  <c r="R165" i="8"/>
  <c r="S165" i="8" s="1"/>
  <c r="R166" i="8"/>
  <c r="S166" i="8" s="1"/>
  <c r="R167" i="8"/>
  <c r="S167" i="8" s="1"/>
  <c r="R168" i="8"/>
  <c r="S168" i="8" s="1"/>
  <c r="R169" i="8"/>
  <c r="S169" i="8" s="1"/>
  <c r="R170" i="8"/>
  <c r="S170" i="8" s="1"/>
  <c r="R171" i="8"/>
  <c r="S171" i="8" s="1"/>
  <c r="R172" i="8"/>
  <c r="S172" i="8" s="1"/>
  <c r="R173" i="8"/>
  <c r="R174" i="8"/>
  <c r="R175" i="8"/>
  <c r="S175" i="8" s="1"/>
  <c r="R176" i="8"/>
  <c r="S176" i="8" s="1"/>
  <c r="R177" i="8"/>
  <c r="S177" i="8" s="1"/>
  <c r="R178" i="8"/>
  <c r="S178" i="8" s="1"/>
  <c r="R179" i="8"/>
  <c r="S179" i="8" s="1"/>
  <c r="R180" i="8"/>
  <c r="S180" i="8" s="1"/>
  <c r="R181" i="8"/>
  <c r="S181" i="8" s="1"/>
  <c r="R182" i="8"/>
  <c r="S182" i="8" s="1"/>
  <c r="R183" i="8"/>
  <c r="S183" i="8" s="1"/>
  <c r="R184" i="8"/>
  <c r="S184" i="8" s="1"/>
  <c r="R185" i="8"/>
  <c r="S185" i="8" s="1"/>
  <c r="R186" i="8"/>
  <c r="S186" i="8" s="1"/>
  <c r="R187" i="8"/>
  <c r="S187" i="8" s="1"/>
  <c r="R188" i="8"/>
  <c r="S188" i="8" s="1"/>
  <c r="R189" i="8"/>
  <c r="S189" i="8" s="1"/>
  <c r="R190" i="8"/>
  <c r="S190" i="8" s="1"/>
  <c r="R191" i="8"/>
  <c r="S191" i="8" s="1"/>
  <c r="R192" i="8"/>
  <c r="S192" i="8" s="1"/>
  <c r="R193" i="8"/>
  <c r="S193" i="8" s="1"/>
  <c r="R194" i="8"/>
  <c r="S194" i="8" s="1"/>
  <c r="R195" i="8"/>
  <c r="S195" i="8" s="1"/>
  <c r="R196" i="8"/>
  <c r="S196" i="8" s="1"/>
  <c r="R197" i="8"/>
  <c r="S197" i="8" s="1"/>
  <c r="R198" i="8"/>
  <c r="S198" i="8" s="1"/>
  <c r="R199" i="8"/>
  <c r="S199" i="8" s="1"/>
  <c r="R200" i="8"/>
  <c r="S200" i="8" s="1"/>
  <c r="R201" i="8"/>
  <c r="S201" i="8" s="1"/>
  <c r="R202" i="8"/>
  <c r="S202" i="8" s="1"/>
  <c r="R203" i="8"/>
  <c r="S203" i="8" s="1"/>
  <c r="R204" i="8"/>
  <c r="S204" i="8" s="1"/>
  <c r="R205" i="8"/>
  <c r="R206" i="8"/>
  <c r="R207" i="8"/>
  <c r="S207" i="8" s="1"/>
  <c r="R208" i="8"/>
  <c r="S208" i="8" s="1"/>
  <c r="R209" i="8"/>
  <c r="S209" i="8" s="1"/>
  <c r="R210" i="8"/>
  <c r="S210" i="8" s="1"/>
  <c r="R211" i="8"/>
  <c r="S211" i="8" s="1"/>
  <c r="R212" i="8"/>
  <c r="S212" i="8" s="1"/>
  <c r="R213" i="8"/>
  <c r="S213" i="8" s="1"/>
  <c r="R214" i="8"/>
  <c r="S214" i="8" s="1"/>
  <c r="R215" i="8"/>
  <c r="S215" i="8" s="1"/>
  <c r="R216" i="8"/>
  <c r="S216" i="8" s="1"/>
  <c r="R217" i="8"/>
  <c r="S217" i="8" s="1"/>
  <c r="R218" i="8"/>
  <c r="S218" i="8" s="1"/>
  <c r="R219" i="8"/>
  <c r="S219" i="8" s="1"/>
  <c r="R220" i="8"/>
  <c r="S220" i="8" s="1"/>
  <c r="R221" i="8"/>
  <c r="R222" i="8"/>
  <c r="S222" i="8" s="1"/>
  <c r="R223" i="8"/>
  <c r="S223" i="8" s="1"/>
  <c r="R224" i="8"/>
  <c r="S224" i="8" s="1"/>
  <c r="R225" i="8"/>
  <c r="S225" i="8" s="1"/>
  <c r="R226" i="8"/>
  <c r="S226" i="8" s="1"/>
  <c r="R227" i="8"/>
  <c r="S227" i="8" s="1"/>
  <c r="R228" i="8"/>
  <c r="S228" i="8" s="1"/>
  <c r="R229" i="8"/>
  <c r="S229" i="8" s="1"/>
  <c r="R230" i="8"/>
  <c r="S230" i="8" s="1"/>
  <c r="R231" i="8"/>
  <c r="S231" i="8" s="1"/>
  <c r="R232" i="8"/>
  <c r="S232" i="8" s="1"/>
  <c r="R233" i="8"/>
  <c r="S233" i="8" s="1"/>
  <c r="R234" i="8"/>
  <c r="S234" i="8" s="1"/>
  <c r="R235" i="8"/>
  <c r="S235" i="8" s="1"/>
  <c r="R236" i="8"/>
  <c r="S236" i="8" s="1"/>
  <c r="R237" i="8"/>
  <c r="R238" i="8"/>
  <c r="R239" i="8"/>
  <c r="S239" i="8" s="1"/>
  <c r="R240" i="8"/>
  <c r="S240" i="8" s="1"/>
  <c r="R241" i="8"/>
  <c r="S241" i="8" s="1"/>
  <c r="R242" i="8"/>
  <c r="S242" i="8" s="1"/>
  <c r="R243" i="8"/>
  <c r="S243" i="8" s="1"/>
  <c r="R244" i="8"/>
  <c r="S244" i="8" s="1"/>
  <c r="R245" i="8"/>
  <c r="S245" i="8" s="1"/>
  <c r="R246" i="8"/>
  <c r="S246" i="8" s="1"/>
  <c r="R247" i="8"/>
  <c r="S247" i="8" s="1"/>
  <c r="R248" i="8"/>
  <c r="S248" i="8" s="1"/>
  <c r="R249" i="8"/>
  <c r="R250" i="8"/>
  <c r="S250" i="8" s="1"/>
  <c r="R251" i="8"/>
  <c r="S251" i="8" s="1"/>
  <c r="R252" i="8"/>
  <c r="S252" i="8" s="1"/>
  <c r="R253" i="8"/>
  <c r="R254" i="8"/>
  <c r="R255" i="8"/>
  <c r="S255" i="8" s="1"/>
  <c r="R256" i="8"/>
  <c r="S256" i="8" s="1"/>
  <c r="R257" i="8"/>
  <c r="S257" i="8" s="1"/>
  <c r="R258" i="8"/>
  <c r="S258" i="8" s="1"/>
  <c r="R259" i="8"/>
  <c r="S259" i="8" s="1"/>
  <c r="R260" i="8"/>
  <c r="S260" i="8" s="1"/>
  <c r="R261" i="8"/>
  <c r="S261" i="8" s="1"/>
  <c r="R262" i="8"/>
  <c r="S262" i="8" s="1"/>
  <c r="R263" i="8"/>
  <c r="S263" i="8" s="1"/>
  <c r="R264" i="8"/>
  <c r="S264" i="8" s="1"/>
  <c r="R265" i="8"/>
  <c r="S265" i="8" s="1"/>
  <c r="R266" i="8"/>
  <c r="S266" i="8" s="1"/>
  <c r="R267" i="8"/>
  <c r="S267" i="8" s="1"/>
  <c r="R268" i="8"/>
  <c r="S268" i="8" s="1"/>
  <c r="R269" i="8"/>
  <c r="R270" i="8"/>
  <c r="R271" i="8"/>
  <c r="S271" i="8" s="1"/>
  <c r="R272" i="8"/>
  <c r="S272" i="8" s="1"/>
  <c r="R273" i="8"/>
  <c r="S273" i="8" s="1"/>
  <c r="R274" i="8"/>
  <c r="S274" i="8" s="1"/>
  <c r="R275" i="8"/>
  <c r="S275" i="8" s="1"/>
  <c r="R276" i="8"/>
  <c r="S276" i="8" s="1"/>
  <c r="R277" i="8"/>
  <c r="S277" i="8" s="1"/>
  <c r="R278" i="8"/>
  <c r="S278" i="8" s="1"/>
  <c r="R279" i="8"/>
  <c r="S279" i="8" s="1"/>
  <c r="R280" i="8"/>
  <c r="S280" i="8" s="1"/>
  <c r="R281" i="8"/>
  <c r="S281" i="8" s="1"/>
  <c r="R282" i="8"/>
  <c r="S282" i="8" s="1"/>
  <c r="R283" i="8"/>
  <c r="S283" i="8" s="1"/>
  <c r="R284" i="8"/>
  <c r="S284" i="8" s="1"/>
  <c r="R285" i="8"/>
  <c r="S285" i="8" s="1"/>
  <c r="R286" i="8"/>
  <c r="R287" i="8"/>
  <c r="S287" i="8" s="1"/>
  <c r="R288" i="8"/>
  <c r="S288" i="8" s="1"/>
  <c r="R289" i="8"/>
  <c r="S289" i="8" s="1"/>
  <c r="R290" i="8"/>
  <c r="S290" i="8" s="1"/>
  <c r="R291" i="8"/>
  <c r="S291" i="8" s="1"/>
  <c r="R292" i="8"/>
  <c r="S292" i="8" s="1"/>
  <c r="R293" i="8"/>
  <c r="S293" i="8" s="1"/>
  <c r="R294" i="8"/>
  <c r="R295" i="8"/>
  <c r="S295" i="8" s="1"/>
  <c r="R296" i="8"/>
  <c r="S296" i="8" s="1"/>
  <c r="R297" i="8"/>
  <c r="S297" i="8" s="1"/>
  <c r="R298" i="8"/>
  <c r="S298" i="8" s="1"/>
  <c r="R299" i="8"/>
  <c r="S299" i="8" s="1"/>
  <c r="R300" i="8"/>
  <c r="S300" i="8" s="1"/>
  <c r="R301" i="8"/>
  <c r="R302" i="8"/>
  <c r="R303" i="8"/>
  <c r="S303" i="8" s="1"/>
  <c r="R304" i="8"/>
  <c r="S304" i="8" s="1"/>
  <c r="R305" i="8"/>
  <c r="S305" i="8" s="1"/>
  <c r="R306" i="8"/>
  <c r="S306" i="8" s="1"/>
  <c r="R307" i="8"/>
  <c r="S307" i="8" s="1"/>
  <c r="R308" i="8"/>
  <c r="S308" i="8" s="1"/>
  <c r="R309" i="8"/>
  <c r="S309" i="8" s="1"/>
  <c r="R310" i="8"/>
  <c r="S310" i="8" s="1"/>
  <c r="R311" i="8"/>
  <c r="S311" i="8" s="1"/>
  <c r="R312" i="8"/>
  <c r="S312" i="8" s="1"/>
  <c r="R313" i="8"/>
  <c r="R314" i="8"/>
  <c r="S314" i="8" s="1"/>
  <c r="R315" i="8"/>
  <c r="S315" i="8" s="1"/>
  <c r="R316" i="8"/>
  <c r="S316" i="8" s="1"/>
  <c r="R317" i="8"/>
  <c r="R318" i="8"/>
  <c r="S318" i="8" s="1"/>
  <c r="R319" i="8"/>
  <c r="S319" i="8" s="1"/>
  <c r="R320" i="8"/>
  <c r="S320" i="8" s="1"/>
  <c r="R321" i="8"/>
  <c r="S321" i="8" s="1"/>
  <c r="R322" i="8"/>
  <c r="S322" i="8" s="1"/>
  <c r="R323" i="8"/>
  <c r="S323" i="8" s="1"/>
  <c r="R324" i="8"/>
  <c r="S324" i="8" s="1"/>
  <c r="R325" i="8"/>
  <c r="S325" i="8" s="1"/>
  <c r="R326" i="8"/>
  <c r="S326" i="8" s="1"/>
  <c r="R327" i="8"/>
  <c r="S327" i="8" s="1"/>
  <c r="R328" i="8"/>
  <c r="S328" i="8" s="1"/>
  <c r="R329" i="8"/>
  <c r="S329" i="8" s="1"/>
  <c r="R330" i="8"/>
  <c r="S330" i="8" s="1"/>
  <c r="R331" i="8"/>
  <c r="S331" i="8" s="1"/>
  <c r="R332" i="8"/>
  <c r="S332" i="8" s="1"/>
  <c r="R333" i="8"/>
  <c r="R334" i="8"/>
  <c r="R335" i="8"/>
  <c r="S335" i="8" s="1"/>
  <c r="R336" i="8"/>
  <c r="S336" i="8" s="1"/>
  <c r="R337" i="8"/>
  <c r="S337" i="8" s="1"/>
  <c r="R338" i="8"/>
  <c r="S338" i="8" s="1"/>
  <c r="R339" i="8"/>
  <c r="S339" i="8" s="1"/>
  <c r="R340" i="8"/>
  <c r="S340" i="8" s="1"/>
  <c r="R341" i="8"/>
  <c r="S341" i="8" s="1"/>
  <c r="R342" i="8"/>
  <c r="S342" i="8" s="1"/>
  <c r="R343" i="8"/>
  <c r="S343" i="8" s="1"/>
  <c r="R344" i="8"/>
  <c r="S344" i="8" s="1"/>
  <c r="R345" i="8"/>
  <c r="S345" i="8" s="1"/>
  <c r="R346" i="8"/>
  <c r="S346" i="8" s="1"/>
  <c r="R347" i="8"/>
  <c r="S347" i="8" s="1"/>
  <c r="R348" i="8"/>
  <c r="S348" i="8" s="1"/>
  <c r="R349" i="8"/>
  <c r="R350" i="8"/>
  <c r="S350" i="8" s="1"/>
  <c r="R351" i="8"/>
  <c r="S351" i="8" s="1"/>
  <c r="R352" i="8"/>
  <c r="S352" i="8" s="1"/>
  <c r="R353" i="8"/>
  <c r="S353" i="8" s="1"/>
  <c r="R354" i="8"/>
  <c r="S354" i="8" s="1"/>
  <c r="R355" i="8"/>
  <c r="S355" i="8" s="1"/>
  <c r="R356" i="8"/>
  <c r="S356" i="8" s="1"/>
  <c r="R357" i="8"/>
  <c r="S357" i="8" s="1"/>
  <c r="R358" i="8"/>
  <c r="S358" i="8" s="1"/>
  <c r="R359" i="8"/>
  <c r="S359" i="8" s="1"/>
  <c r="R360" i="8"/>
  <c r="S360" i="8" s="1"/>
  <c r="R361" i="8"/>
  <c r="S361" i="8" s="1"/>
  <c r="R362" i="8"/>
  <c r="S362" i="8" s="1"/>
  <c r="R363" i="8"/>
  <c r="S363" i="8" s="1"/>
  <c r="R364" i="8"/>
  <c r="S364" i="8" s="1"/>
  <c r="R365" i="8"/>
  <c r="R366" i="8"/>
  <c r="R367" i="8"/>
  <c r="S367" i="8" s="1"/>
  <c r="R368" i="8"/>
  <c r="S368" i="8" s="1"/>
  <c r="R369" i="8"/>
  <c r="S369" i="8" s="1"/>
  <c r="R370" i="8"/>
  <c r="S370" i="8" s="1"/>
  <c r="R371" i="8"/>
  <c r="S371" i="8" s="1"/>
  <c r="R372" i="8"/>
  <c r="S372" i="8" s="1"/>
  <c r="R373" i="8"/>
  <c r="S373" i="8" s="1"/>
  <c r="R374" i="8"/>
  <c r="S374" i="8" s="1"/>
  <c r="R375" i="8"/>
  <c r="S375" i="8" s="1"/>
  <c r="R376" i="8"/>
  <c r="S376" i="8" s="1"/>
  <c r="R377" i="8"/>
  <c r="S377" i="8" s="1"/>
  <c r="R378" i="8"/>
  <c r="S378" i="8" s="1"/>
  <c r="R379" i="8"/>
  <c r="S379" i="8" s="1"/>
  <c r="R380" i="8"/>
  <c r="S380" i="8" s="1"/>
  <c r="R381" i="8"/>
  <c r="R382" i="8"/>
  <c r="R383" i="8"/>
  <c r="S383" i="8" s="1"/>
  <c r="R384" i="8"/>
  <c r="S384" i="8" s="1"/>
  <c r="R385" i="8"/>
  <c r="S385" i="8" s="1"/>
  <c r="R386" i="8"/>
  <c r="S386" i="8" s="1"/>
  <c r="R387" i="8"/>
  <c r="S387" i="8" s="1"/>
  <c r="R388" i="8"/>
  <c r="S388" i="8" s="1"/>
  <c r="R389" i="8"/>
  <c r="S389" i="8" s="1"/>
  <c r="R390" i="8"/>
  <c r="S390" i="8" s="1"/>
  <c r="R391" i="8"/>
  <c r="S391" i="8" s="1"/>
  <c r="R392" i="8"/>
  <c r="S392" i="8" s="1"/>
  <c r="R393" i="8"/>
  <c r="S393" i="8" s="1"/>
  <c r="R394" i="8"/>
  <c r="S394" i="8" s="1"/>
  <c r="R395" i="8"/>
  <c r="S395" i="8" s="1"/>
  <c r="R396" i="8"/>
  <c r="S396" i="8" s="1"/>
  <c r="R397" i="8"/>
  <c r="S397" i="8" s="1"/>
  <c r="R398" i="8"/>
  <c r="R399" i="8"/>
  <c r="S399" i="8" s="1"/>
  <c r="R400" i="8"/>
  <c r="S400" i="8" s="1"/>
  <c r="R401" i="8"/>
  <c r="S401" i="8" s="1"/>
  <c r="R402" i="8"/>
  <c r="S402" i="8" s="1"/>
  <c r="R403" i="8"/>
  <c r="S403" i="8" s="1"/>
  <c r="R404" i="8"/>
  <c r="S404" i="8" s="1"/>
  <c r="R405" i="8"/>
  <c r="S405" i="8" s="1"/>
  <c r="R406" i="8"/>
  <c r="S406" i="8" s="1"/>
  <c r="R407" i="8"/>
  <c r="S407" i="8" s="1"/>
  <c r="R408" i="8"/>
  <c r="S408" i="8" s="1"/>
  <c r="R409" i="8"/>
  <c r="S409" i="8" s="1"/>
  <c r="R410" i="8"/>
  <c r="S410" i="8" s="1"/>
  <c r="R411" i="8"/>
  <c r="S411" i="8" s="1"/>
  <c r="R412" i="8"/>
  <c r="S412" i="8" s="1"/>
  <c r="R413" i="8"/>
  <c r="R414" i="8"/>
  <c r="R415" i="8"/>
  <c r="S415" i="8" s="1"/>
  <c r="R416" i="8"/>
  <c r="S416" i="8" s="1"/>
  <c r="R417" i="8"/>
  <c r="S417" i="8" s="1"/>
  <c r="R418" i="8"/>
  <c r="S418" i="8" s="1"/>
  <c r="R419" i="8"/>
  <c r="S419" i="8" s="1"/>
  <c r="R420" i="8"/>
  <c r="S420" i="8" s="1"/>
  <c r="R421" i="8"/>
  <c r="S421" i="8" s="1"/>
  <c r="R422" i="8"/>
  <c r="S422" i="8" s="1"/>
  <c r="R423" i="8"/>
  <c r="S423" i="8" s="1"/>
  <c r="R424" i="8"/>
  <c r="S424" i="8" s="1"/>
  <c r="R425" i="8"/>
  <c r="S425" i="8" s="1"/>
  <c r="R426" i="8"/>
  <c r="S426" i="8" s="1"/>
  <c r="R427" i="8"/>
  <c r="S427" i="8" s="1"/>
  <c r="R428" i="8"/>
  <c r="S428" i="8" s="1"/>
  <c r="R429" i="8"/>
  <c r="R430" i="8"/>
  <c r="R431" i="8"/>
  <c r="S431" i="8" s="1"/>
  <c r="R432" i="8"/>
  <c r="S432" i="8" s="1"/>
  <c r="R433" i="8"/>
  <c r="S433" i="8" s="1"/>
  <c r="R434" i="8"/>
  <c r="S434" i="8" s="1"/>
  <c r="R435" i="8"/>
  <c r="S435" i="8" s="1"/>
  <c r="R436" i="8"/>
  <c r="S436" i="8" s="1"/>
  <c r="R437" i="8"/>
  <c r="S437" i="8" s="1"/>
  <c r="R438" i="8"/>
  <c r="S438" i="8" s="1"/>
  <c r="R439" i="8"/>
  <c r="S439" i="8" s="1"/>
  <c r="R440" i="8"/>
  <c r="S440" i="8" s="1"/>
  <c r="R441" i="8"/>
  <c r="S441" i="8" s="1"/>
  <c r="R442" i="8"/>
  <c r="S442" i="8" s="1"/>
  <c r="R443" i="8"/>
  <c r="S443" i="8" s="1"/>
  <c r="R444" i="8"/>
  <c r="S444" i="8" s="1"/>
  <c r="R445" i="8"/>
  <c r="R446" i="8"/>
  <c r="S446" i="8" s="1"/>
  <c r="R447" i="8"/>
  <c r="S447" i="8" s="1"/>
  <c r="R448" i="8"/>
  <c r="S448" i="8" s="1"/>
  <c r="R449" i="8"/>
  <c r="S449" i="8" s="1"/>
  <c r="R450" i="8"/>
  <c r="S450" i="8" s="1"/>
  <c r="R451" i="8"/>
  <c r="S451" i="8" s="1"/>
  <c r="R452" i="8"/>
  <c r="S452" i="8" s="1"/>
  <c r="R453" i="8"/>
  <c r="S453" i="8" s="1"/>
  <c r="R454" i="8"/>
  <c r="S454" i="8" s="1"/>
  <c r="R455" i="8"/>
  <c r="S455" i="8" s="1"/>
  <c r="R456" i="8"/>
  <c r="S456" i="8" s="1"/>
  <c r="R457" i="8"/>
  <c r="S457" i="8" s="1"/>
  <c r="R458" i="8"/>
  <c r="S458" i="8" s="1"/>
  <c r="R459" i="8"/>
  <c r="S459" i="8" s="1"/>
  <c r="R460" i="8"/>
  <c r="S460" i="8" s="1"/>
  <c r="R461" i="8"/>
  <c r="S461" i="8" s="1"/>
  <c r="R462" i="8"/>
  <c r="R463" i="8"/>
  <c r="S463" i="8" s="1"/>
  <c r="R464" i="8"/>
  <c r="S464" i="8" s="1"/>
  <c r="R465" i="8"/>
  <c r="S465" i="8" s="1"/>
  <c r="R466" i="8"/>
  <c r="S466" i="8" s="1"/>
  <c r="R467" i="8"/>
  <c r="S467" i="8" s="1"/>
  <c r="R468" i="8"/>
  <c r="S468" i="8" s="1"/>
  <c r="R469" i="8"/>
  <c r="R470" i="8"/>
  <c r="S470" i="8" s="1"/>
  <c r="R471" i="8"/>
  <c r="S471" i="8" s="1"/>
  <c r="R472" i="8"/>
  <c r="S472" i="8" s="1"/>
  <c r="R473" i="8"/>
  <c r="S473" i="8" s="1"/>
  <c r="R474" i="8"/>
  <c r="S474" i="8" s="1"/>
  <c r="R475" i="8"/>
  <c r="S475" i="8" s="1"/>
  <c r="R476" i="8"/>
  <c r="S476" i="8" s="1"/>
  <c r="R477" i="8"/>
  <c r="R478" i="8"/>
  <c r="R479" i="8"/>
  <c r="S479" i="8" s="1"/>
  <c r="R480" i="8"/>
  <c r="S480" i="8" s="1"/>
  <c r="R481" i="8"/>
  <c r="S481" i="8" s="1"/>
  <c r="R482" i="8"/>
  <c r="S482" i="8" s="1"/>
  <c r="R483" i="8"/>
  <c r="S483" i="8" s="1"/>
  <c r="R484" i="8"/>
  <c r="S484" i="8" s="1"/>
  <c r="R485" i="8"/>
  <c r="S485" i="8" s="1"/>
  <c r="R486" i="8"/>
  <c r="S486" i="8" s="1"/>
  <c r="R487" i="8"/>
  <c r="S487" i="8" s="1"/>
  <c r="R488" i="8"/>
  <c r="S488" i="8" s="1"/>
  <c r="R489" i="8"/>
  <c r="S489" i="8" s="1"/>
  <c r="R490" i="8"/>
  <c r="S490" i="8" s="1"/>
  <c r="R491" i="8"/>
  <c r="S491" i="8" s="1"/>
  <c r="R492" i="8"/>
  <c r="S492" i="8" s="1"/>
  <c r="R493" i="8"/>
  <c r="R494" i="8"/>
  <c r="S494" i="8" s="1"/>
  <c r="R495" i="8"/>
  <c r="S495" i="8" s="1"/>
  <c r="R496" i="8"/>
  <c r="S496" i="8" s="1"/>
  <c r="R497" i="8"/>
  <c r="S497" i="8" s="1"/>
  <c r="R498" i="8"/>
  <c r="S498" i="8" s="1"/>
  <c r="R499" i="8"/>
  <c r="S499" i="8" s="1"/>
  <c r="R500" i="8"/>
  <c r="S500" i="8" s="1"/>
  <c r="R501" i="8"/>
  <c r="S501" i="8" s="1"/>
  <c r="R502" i="8"/>
  <c r="S502" i="8" s="1"/>
  <c r="R503" i="8"/>
  <c r="S503" i="8" s="1"/>
  <c r="R504" i="8"/>
  <c r="S504" i="8" s="1"/>
  <c r="R505" i="8"/>
  <c r="S505" i="8" s="1"/>
  <c r="R506" i="8"/>
  <c r="S506" i="8" s="1"/>
  <c r="R507" i="8"/>
  <c r="S507" i="8" s="1"/>
  <c r="R508" i="8"/>
  <c r="S508" i="8" s="1"/>
  <c r="R509" i="8"/>
  <c r="S509" i="8" s="1"/>
  <c r="R510" i="8"/>
  <c r="S510" i="8" s="1"/>
  <c r="R511" i="8"/>
  <c r="S511" i="8" s="1"/>
  <c r="R512" i="8"/>
  <c r="S512" i="8" s="1"/>
  <c r="R513" i="8"/>
  <c r="S513" i="8" s="1"/>
  <c r="R514" i="8"/>
  <c r="R515" i="8"/>
  <c r="S515" i="8" s="1"/>
  <c r="R516" i="8"/>
  <c r="S516" i="8" s="1"/>
  <c r="R517" i="8"/>
  <c r="S517" i="8" s="1"/>
  <c r="R518" i="8"/>
  <c r="S518" i="8" s="1"/>
  <c r="R519" i="8"/>
  <c r="S519" i="8" s="1"/>
  <c r="R520" i="8"/>
  <c r="S520" i="8" s="1"/>
  <c r="R521" i="8"/>
  <c r="R522" i="8"/>
  <c r="S522" i="8" s="1"/>
  <c r="R523" i="8"/>
  <c r="S523" i="8" s="1"/>
  <c r="R524" i="8"/>
  <c r="S524" i="8" s="1"/>
  <c r="R525" i="8"/>
  <c r="S525" i="8" s="1"/>
  <c r="R526" i="8"/>
  <c r="S526" i="8" s="1"/>
  <c r="R527" i="8"/>
  <c r="S527" i="8" s="1"/>
  <c r="R528" i="8"/>
  <c r="S528" i="8" s="1"/>
  <c r="R529" i="8"/>
  <c r="S529" i="8" s="1"/>
  <c r="R530" i="8"/>
  <c r="S530" i="8" s="1"/>
  <c r="R531" i="8"/>
  <c r="S531" i="8" s="1"/>
  <c r="R532" i="8"/>
  <c r="S532" i="8" s="1"/>
  <c r="R533" i="8"/>
  <c r="S533" i="8" s="1"/>
  <c r="R534" i="8"/>
  <c r="S534" i="8" s="1"/>
  <c r="R535" i="8"/>
  <c r="S535" i="8" s="1"/>
  <c r="R536" i="8"/>
  <c r="S536" i="8" s="1"/>
  <c r="R537" i="8"/>
  <c r="S537" i="8" s="1"/>
  <c r="R538" i="8"/>
  <c r="S538" i="8" s="1"/>
  <c r="R539" i="8"/>
  <c r="S539" i="8" s="1"/>
  <c r="R540" i="8"/>
  <c r="S540" i="8" s="1"/>
  <c r="R541" i="8"/>
  <c r="S541" i="8" s="1"/>
  <c r="R542" i="8"/>
  <c r="S542" i="8" s="1"/>
  <c r="R543" i="8"/>
  <c r="S543" i="8" s="1"/>
  <c r="R544" i="8"/>
  <c r="S544" i="8" s="1"/>
  <c r="R545" i="8"/>
  <c r="S545" i="8" s="1"/>
  <c r="R546" i="8"/>
  <c r="S546" i="8" s="1"/>
  <c r="R547" i="8"/>
  <c r="S547" i="8" s="1"/>
  <c r="R548" i="8"/>
  <c r="S548" i="8" s="1"/>
  <c r="R549" i="8"/>
  <c r="S549" i="8" s="1"/>
  <c r="R550" i="8"/>
  <c r="S550" i="8" s="1"/>
  <c r="R551" i="8"/>
  <c r="S551" i="8" s="1"/>
  <c r="R552" i="8"/>
  <c r="S552" i="8" s="1"/>
  <c r="R553" i="8"/>
  <c r="S553" i="8" s="1"/>
  <c r="R554" i="8"/>
  <c r="S554" i="8" s="1"/>
  <c r="R555" i="8"/>
  <c r="S555" i="8" s="1"/>
  <c r="R556" i="8"/>
  <c r="S556" i="8" s="1"/>
  <c r="R557" i="8"/>
  <c r="R558" i="8"/>
  <c r="S558" i="8" s="1"/>
  <c r="R559" i="8"/>
  <c r="S559" i="8" s="1"/>
  <c r="R560" i="8"/>
  <c r="S560" i="8" s="1"/>
  <c r="R561" i="8"/>
  <c r="S561" i="8" s="1"/>
  <c r="R562" i="8"/>
  <c r="S562" i="8" s="1"/>
  <c r="R563" i="8"/>
  <c r="S563" i="8" s="1"/>
  <c r="R564" i="8"/>
  <c r="S564" i="8" s="1"/>
  <c r="R565" i="8"/>
  <c r="S565" i="8" s="1"/>
  <c r="R566" i="8"/>
  <c r="S566" i="8" s="1"/>
  <c r="R567" i="8"/>
  <c r="S567" i="8" s="1"/>
  <c r="R568" i="8"/>
  <c r="S568" i="8" s="1"/>
  <c r="R569" i="8"/>
  <c r="S569" i="8" s="1"/>
  <c r="R570" i="8"/>
  <c r="S570" i="8" s="1"/>
  <c r="R571" i="8"/>
  <c r="S571" i="8" s="1"/>
  <c r="R572" i="8"/>
  <c r="S572" i="8" s="1"/>
  <c r="R573" i="8"/>
  <c r="S573" i="8" s="1"/>
  <c r="R574" i="8"/>
  <c r="S574" i="8" s="1"/>
  <c r="R575" i="8"/>
  <c r="S575" i="8" s="1"/>
  <c r="R576" i="8"/>
  <c r="S576" i="8" s="1"/>
  <c r="R577" i="8"/>
  <c r="S577" i="8" s="1"/>
  <c r="R578" i="8"/>
  <c r="S578" i="8" s="1"/>
  <c r="R579" i="8"/>
  <c r="S579" i="8" s="1"/>
  <c r="R580" i="8"/>
  <c r="S580" i="8" s="1"/>
  <c r="R581" i="8"/>
  <c r="S581" i="8" s="1"/>
  <c r="R582" i="8"/>
  <c r="S582" i="8" s="1"/>
  <c r="R583" i="8"/>
  <c r="S583" i="8" s="1"/>
  <c r="R584" i="8"/>
  <c r="S584" i="8" s="1"/>
  <c r="R585" i="8"/>
  <c r="S585" i="8" s="1"/>
  <c r="R586" i="8"/>
  <c r="S586" i="8" s="1"/>
  <c r="R587" i="8"/>
  <c r="S587" i="8" s="1"/>
  <c r="R588" i="8"/>
  <c r="S588" i="8" s="1"/>
  <c r="R589" i="8"/>
  <c r="R590" i="8"/>
  <c r="S590" i="8" s="1"/>
  <c r="R591" i="8"/>
  <c r="S591" i="8" s="1"/>
  <c r="R592" i="8"/>
  <c r="S592" i="8" s="1"/>
  <c r="R593" i="8"/>
  <c r="S593" i="8" s="1"/>
  <c r="R594" i="8"/>
  <c r="S594" i="8" s="1"/>
  <c r="R595" i="8"/>
  <c r="S595" i="8" s="1"/>
  <c r="R596" i="8"/>
  <c r="S596" i="8" s="1"/>
  <c r="R597" i="8"/>
  <c r="S597" i="8" s="1"/>
  <c r="R598" i="8"/>
  <c r="S598" i="8" s="1"/>
  <c r="R599" i="8"/>
  <c r="S599" i="8" s="1"/>
  <c r="R600" i="8"/>
  <c r="S600" i="8" s="1"/>
  <c r="R601" i="8"/>
  <c r="S601" i="8" s="1"/>
  <c r="R602" i="8"/>
  <c r="S602" i="8" s="1"/>
  <c r="R603" i="8"/>
  <c r="S603" i="8" s="1"/>
  <c r="R604" i="8"/>
  <c r="S604" i="8" s="1"/>
  <c r="R605" i="8"/>
  <c r="S605" i="8" s="1"/>
  <c r="R606" i="8"/>
  <c r="R607" i="8"/>
  <c r="S607" i="8" s="1"/>
  <c r="R608" i="8"/>
  <c r="S608" i="8" s="1"/>
  <c r="R609" i="8"/>
  <c r="S609" i="8" s="1"/>
  <c r="R610" i="8"/>
  <c r="S610" i="8" s="1"/>
  <c r="R611" i="8"/>
  <c r="S611" i="8" s="1"/>
  <c r="R612" i="8"/>
  <c r="S612" i="8" s="1"/>
  <c r="R613" i="8"/>
  <c r="S613" i="8" s="1"/>
  <c r="R614" i="8"/>
  <c r="S614" i="8" s="1"/>
  <c r="R615" i="8"/>
  <c r="S615" i="8" s="1"/>
  <c r="R616" i="8"/>
  <c r="S616" i="8" s="1"/>
  <c r="R617" i="8"/>
  <c r="S617" i="8" s="1"/>
  <c r="R618" i="8"/>
  <c r="S618" i="8" s="1"/>
  <c r="R619" i="8"/>
  <c r="S619" i="8" s="1"/>
  <c r="R620" i="8"/>
  <c r="S620" i="8" s="1"/>
  <c r="R621" i="8"/>
  <c r="S621" i="8" s="1"/>
  <c r="R622" i="8"/>
  <c r="S622" i="8" s="1"/>
  <c r="R623" i="8"/>
  <c r="S623" i="8" s="1"/>
  <c r="R624" i="8"/>
  <c r="S624" i="8" s="1"/>
  <c r="R625" i="8"/>
  <c r="S625" i="8" s="1"/>
  <c r="R626" i="8"/>
  <c r="S626" i="8" s="1"/>
  <c r="R627" i="8"/>
  <c r="S627" i="8" s="1"/>
  <c r="R628" i="8"/>
  <c r="S628" i="8" s="1"/>
  <c r="R629" i="8"/>
  <c r="S629" i="8" s="1"/>
  <c r="R630" i="8"/>
  <c r="S630" i="8" s="1"/>
  <c r="R631" i="8"/>
  <c r="S631" i="8" s="1"/>
  <c r="R632" i="8"/>
  <c r="S632" i="8" s="1"/>
  <c r="R633" i="8"/>
  <c r="S633" i="8" s="1"/>
  <c r="R634" i="8"/>
  <c r="S634" i="8" s="1"/>
  <c r="R635" i="8"/>
  <c r="S635" i="8" s="1"/>
  <c r="R636" i="8"/>
  <c r="S636" i="8" s="1"/>
  <c r="R637" i="8"/>
  <c r="R638" i="8"/>
  <c r="S638" i="8" s="1"/>
  <c r="R639" i="8"/>
  <c r="S639" i="8" s="1"/>
  <c r="R640" i="8"/>
  <c r="S640" i="8" s="1"/>
  <c r="R641" i="8"/>
  <c r="S641" i="8" s="1"/>
  <c r="R642" i="8"/>
  <c r="S642" i="8" s="1"/>
  <c r="R643" i="8"/>
  <c r="S643" i="8" s="1"/>
  <c r="R644" i="8"/>
  <c r="S644" i="8" s="1"/>
  <c r="R645" i="8"/>
  <c r="S645" i="8" s="1"/>
  <c r="R646" i="8"/>
  <c r="S646" i="8" s="1"/>
  <c r="R647" i="8"/>
  <c r="S647" i="8" s="1"/>
  <c r="R648" i="8"/>
  <c r="S648" i="8" s="1"/>
  <c r="R649" i="8"/>
  <c r="S649" i="8" s="1"/>
  <c r="R650" i="8"/>
  <c r="S650" i="8" s="1"/>
  <c r="R651" i="8"/>
  <c r="S651" i="8" s="1"/>
  <c r="R652" i="8"/>
  <c r="S652" i="8" s="1"/>
  <c r="R653" i="8"/>
  <c r="S653" i="8" s="1"/>
  <c r="R654" i="8"/>
  <c r="S654" i="8" s="1"/>
  <c r="R655" i="8"/>
  <c r="S655" i="8" s="1"/>
  <c r="R656" i="8"/>
  <c r="S656" i="8" s="1"/>
  <c r="R657" i="8"/>
  <c r="S657" i="8" s="1"/>
  <c r="R658" i="8"/>
  <c r="S658" i="8" s="1"/>
  <c r="R659" i="8"/>
  <c r="S659" i="8" s="1"/>
  <c r="R660" i="8"/>
  <c r="S660" i="8" s="1"/>
  <c r="R661" i="8"/>
  <c r="S661" i="8" s="1"/>
  <c r="R662" i="8"/>
  <c r="S662" i="8" s="1"/>
  <c r="R663" i="8"/>
  <c r="S663" i="8" s="1"/>
  <c r="R664" i="8"/>
  <c r="S664" i="8" s="1"/>
  <c r="R665" i="8"/>
  <c r="S665" i="8" s="1"/>
  <c r="R666" i="8"/>
  <c r="S666" i="8" s="1"/>
  <c r="R667" i="8"/>
  <c r="S667" i="8" s="1"/>
  <c r="R668" i="8"/>
  <c r="S668" i="8" s="1"/>
  <c r="R669" i="8"/>
  <c r="S669" i="8" s="1"/>
  <c r="R670" i="8"/>
  <c r="S670" i="8" s="1"/>
  <c r="R671" i="8"/>
  <c r="S671" i="8" s="1"/>
  <c r="R672" i="8"/>
  <c r="S672" i="8" s="1"/>
  <c r="R673" i="8"/>
  <c r="S673" i="8" s="1"/>
  <c r="R674" i="8"/>
  <c r="S674" i="8" s="1"/>
  <c r="R675" i="8"/>
  <c r="S675" i="8" s="1"/>
  <c r="R676" i="8"/>
  <c r="S676" i="8" s="1"/>
  <c r="R677" i="8"/>
  <c r="S677" i="8" s="1"/>
  <c r="R678" i="8"/>
  <c r="S678" i="8" s="1"/>
  <c r="R679" i="8"/>
  <c r="S679" i="8" s="1"/>
  <c r="R680" i="8"/>
  <c r="S680" i="8" s="1"/>
  <c r="R681" i="8"/>
  <c r="S681" i="8" s="1"/>
  <c r="R682" i="8"/>
  <c r="S682" i="8" s="1"/>
  <c r="R683" i="8"/>
  <c r="S683" i="8" s="1"/>
  <c r="R684" i="8"/>
  <c r="S684" i="8" s="1"/>
  <c r="R685" i="8"/>
  <c r="R686" i="8"/>
  <c r="S686" i="8" s="1"/>
  <c r="R687" i="8"/>
  <c r="S687" i="8" s="1"/>
  <c r="R688" i="8"/>
  <c r="S688" i="8" s="1"/>
  <c r="R689" i="8"/>
  <c r="S689" i="8" s="1"/>
  <c r="R690" i="8"/>
  <c r="S690" i="8" s="1"/>
  <c r="R691" i="8"/>
  <c r="S691" i="8" s="1"/>
  <c r="R692" i="8"/>
  <c r="S692" i="8" s="1"/>
  <c r="R693" i="8"/>
  <c r="S693" i="8" s="1"/>
  <c r="R694" i="8"/>
  <c r="S694" i="8" s="1"/>
  <c r="R695" i="8"/>
  <c r="S695" i="8" s="1"/>
  <c r="R696" i="8"/>
  <c r="S696" i="8" s="1"/>
  <c r="R697" i="8"/>
  <c r="S697" i="8" s="1"/>
  <c r="R698" i="8"/>
  <c r="S698" i="8" s="1"/>
  <c r="R699" i="8"/>
  <c r="S699" i="8" s="1"/>
  <c r="R700" i="8"/>
  <c r="S700" i="8" s="1"/>
  <c r="R701" i="8"/>
  <c r="S701" i="8" s="1"/>
  <c r="R702" i="8"/>
  <c r="S702" i="8" s="1"/>
  <c r="R703" i="8"/>
  <c r="S703" i="8" s="1"/>
  <c r="R704" i="8"/>
  <c r="S704" i="8" s="1"/>
  <c r="R705" i="8"/>
  <c r="S705" i="8" s="1"/>
  <c r="R706" i="8"/>
  <c r="S706" i="8" s="1"/>
  <c r="R707" i="8"/>
  <c r="S707" i="8" s="1"/>
  <c r="R708" i="8"/>
  <c r="S708" i="8" s="1"/>
  <c r="R709" i="8"/>
  <c r="S709" i="8" s="1"/>
  <c r="R710" i="8"/>
  <c r="S710" i="8" s="1"/>
  <c r="R711" i="8"/>
  <c r="S711" i="8" s="1"/>
  <c r="R712" i="8"/>
  <c r="S712" i="8" s="1"/>
  <c r="R713" i="8"/>
  <c r="S713" i="8" s="1"/>
  <c r="R714" i="8"/>
  <c r="S714" i="8" s="1"/>
  <c r="R715" i="8"/>
  <c r="S715" i="8" s="1"/>
  <c r="R716" i="8"/>
  <c r="S716" i="8" s="1"/>
  <c r="R717" i="8"/>
  <c r="S717" i="8" s="1"/>
  <c r="R718" i="8"/>
  <c r="S718" i="8" s="1"/>
  <c r="R719" i="8"/>
  <c r="S719" i="8" s="1"/>
  <c r="R720" i="8"/>
  <c r="S720" i="8" s="1"/>
  <c r="R721" i="8"/>
  <c r="S721" i="8" s="1"/>
  <c r="R722" i="8"/>
  <c r="S722" i="8" s="1"/>
  <c r="R723" i="8"/>
  <c r="S723" i="8" s="1"/>
  <c r="R724" i="8"/>
  <c r="S724" i="8" s="1"/>
  <c r="R725" i="8"/>
  <c r="S725" i="8" s="1"/>
  <c r="R726" i="8"/>
  <c r="S726" i="8" s="1"/>
  <c r="R727" i="8"/>
  <c r="S727" i="8" s="1"/>
  <c r="R728" i="8"/>
  <c r="S728" i="8" s="1"/>
  <c r="R729" i="8"/>
  <c r="S729" i="8" s="1"/>
  <c r="R730" i="8"/>
  <c r="S730" i="8" s="1"/>
  <c r="R731" i="8"/>
  <c r="S731" i="8" s="1"/>
  <c r="R732" i="8"/>
  <c r="S732" i="8" s="1"/>
  <c r="R733" i="8"/>
  <c r="S733" i="8" s="1"/>
  <c r="R734" i="8"/>
  <c r="S734" i="8" s="1"/>
  <c r="R735" i="8"/>
  <c r="S735" i="8" s="1"/>
  <c r="R736" i="8"/>
  <c r="S736" i="8" s="1"/>
  <c r="R737" i="8"/>
  <c r="S737" i="8" s="1"/>
  <c r="R738" i="8"/>
  <c r="S738" i="8" s="1"/>
  <c r="R739" i="8"/>
  <c r="S739" i="8" s="1"/>
  <c r="R740" i="8"/>
  <c r="S740" i="8" s="1"/>
  <c r="R741" i="8"/>
  <c r="S741" i="8" s="1"/>
  <c r="R742" i="8"/>
  <c r="S742" i="8" s="1"/>
  <c r="R743" i="8"/>
  <c r="S743" i="8" s="1"/>
  <c r="R744" i="8"/>
  <c r="S744" i="8" s="1"/>
  <c r="R745" i="8"/>
  <c r="S745" i="8" s="1"/>
  <c r="R746" i="8"/>
  <c r="S746" i="8" s="1"/>
  <c r="R747" i="8"/>
  <c r="S747" i="8" s="1"/>
  <c r="R748" i="8"/>
  <c r="S748" i="8" s="1"/>
  <c r="R749" i="8"/>
  <c r="R750" i="8"/>
  <c r="S750" i="8" s="1"/>
  <c r="R751" i="8"/>
  <c r="S751" i="8" s="1"/>
  <c r="R752" i="8"/>
  <c r="S752" i="8" s="1"/>
  <c r="R753" i="8"/>
  <c r="S753" i="8" s="1"/>
  <c r="R754" i="8"/>
  <c r="S754" i="8" s="1"/>
  <c r="R755" i="8"/>
  <c r="S755" i="8" s="1"/>
  <c r="R756" i="8"/>
  <c r="S756" i="8" s="1"/>
  <c r="R757" i="8"/>
  <c r="S757" i="8" s="1"/>
  <c r="R758" i="8"/>
  <c r="S758" i="8" s="1"/>
  <c r="R759" i="8"/>
  <c r="S759" i="8" s="1"/>
  <c r="R760" i="8"/>
  <c r="S760" i="8" s="1"/>
  <c r="R761" i="8"/>
  <c r="S761" i="8" s="1"/>
  <c r="R762" i="8"/>
  <c r="S762" i="8" s="1"/>
  <c r="R763" i="8"/>
  <c r="S763" i="8" s="1"/>
  <c r="R764" i="8"/>
  <c r="S764" i="8" s="1"/>
  <c r="R765" i="8"/>
  <c r="R766" i="8"/>
  <c r="S766" i="8" s="1"/>
  <c r="R767" i="8"/>
  <c r="S767" i="8" s="1"/>
  <c r="R768" i="8"/>
  <c r="S768" i="8" s="1"/>
  <c r="R769" i="8"/>
  <c r="S769" i="8" s="1"/>
  <c r="R770" i="8"/>
  <c r="S770" i="8" s="1"/>
  <c r="R771" i="8"/>
  <c r="S771" i="8" s="1"/>
  <c r="R772" i="8"/>
  <c r="S772" i="8" s="1"/>
  <c r="R773" i="8"/>
  <c r="S773" i="8" s="1"/>
  <c r="R774" i="8"/>
  <c r="S774" i="8" s="1"/>
  <c r="R775" i="8"/>
  <c r="S775" i="8" s="1"/>
  <c r="R776" i="8"/>
  <c r="S776" i="8" s="1"/>
  <c r="R777" i="8"/>
  <c r="S777" i="8" s="1"/>
  <c r="R778" i="8"/>
  <c r="S778" i="8" s="1"/>
  <c r="R779" i="8"/>
  <c r="S779" i="8" s="1"/>
  <c r="R780" i="8"/>
  <c r="S780" i="8" s="1"/>
  <c r="R781" i="8"/>
  <c r="S781" i="8" s="1"/>
  <c r="R782" i="8"/>
  <c r="S782" i="8" s="1"/>
  <c r="R783" i="8"/>
  <c r="S783" i="8" s="1"/>
  <c r="R784" i="8"/>
  <c r="S784" i="8" s="1"/>
  <c r="R785" i="8"/>
  <c r="S785" i="8" s="1"/>
  <c r="R786" i="8"/>
  <c r="S786" i="8" s="1"/>
  <c r="R787" i="8"/>
  <c r="S787" i="8" s="1"/>
  <c r="R788" i="8"/>
  <c r="S788" i="8" s="1"/>
  <c r="R789" i="8"/>
  <c r="S789" i="8" s="1"/>
  <c r="R790" i="8"/>
  <c r="S790" i="8" s="1"/>
  <c r="R791" i="8"/>
  <c r="S791" i="8" s="1"/>
  <c r="R792" i="8"/>
  <c r="S792" i="8" s="1"/>
  <c r="R793" i="8"/>
  <c r="S793" i="8" s="1"/>
  <c r="R794" i="8"/>
  <c r="S794" i="8" s="1"/>
  <c r="R795" i="8"/>
  <c r="S795" i="8" s="1"/>
  <c r="R796" i="8"/>
  <c r="S796" i="8" s="1"/>
  <c r="R797" i="8"/>
  <c r="S797" i="8" s="1"/>
  <c r="R798" i="8"/>
  <c r="S798" i="8" s="1"/>
  <c r="R799" i="8"/>
  <c r="S799" i="8" s="1"/>
  <c r="R800" i="8"/>
  <c r="S800" i="8" s="1"/>
  <c r="R801" i="8"/>
  <c r="S801" i="8" s="1"/>
  <c r="R802" i="8"/>
  <c r="S802" i="8" s="1"/>
  <c r="R803" i="8"/>
  <c r="S803" i="8" s="1"/>
  <c r="R804" i="8"/>
  <c r="S804" i="8" s="1"/>
  <c r="R805" i="8"/>
  <c r="S805" i="8" s="1"/>
  <c r="R806" i="8"/>
  <c r="S806" i="8" s="1"/>
  <c r="R807" i="8"/>
  <c r="S807" i="8" s="1"/>
  <c r="R808" i="8"/>
  <c r="S808" i="8" s="1"/>
  <c r="R809" i="8"/>
  <c r="S809" i="8" s="1"/>
  <c r="R810" i="8"/>
  <c r="S810" i="8" s="1"/>
  <c r="R811" i="8"/>
  <c r="S811" i="8" s="1"/>
  <c r="R812" i="8"/>
  <c r="S812" i="8" s="1"/>
  <c r="R813" i="8"/>
  <c r="S813" i="8" s="1"/>
  <c r="R814" i="8"/>
  <c r="S814" i="8" s="1"/>
  <c r="R815" i="8"/>
  <c r="S815" i="8" s="1"/>
  <c r="R816" i="8"/>
  <c r="S816" i="8" s="1"/>
  <c r="R817" i="8"/>
  <c r="S817" i="8" s="1"/>
  <c r="R818" i="8"/>
  <c r="S818" i="8" s="1"/>
  <c r="R819" i="8"/>
  <c r="S819" i="8" s="1"/>
  <c r="R820" i="8"/>
  <c r="S820" i="8" s="1"/>
  <c r="R821" i="8"/>
  <c r="S821" i="8" s="1"/>
  <c r="R822" i="8"/>
  <c r="S822" i="8" s="1"/>
  <c r="R823" i="8"/>
  <c r="S823" i="8" s="1"/>
  <c r="R824" i="8"/>
  <c r="S824" i="8" s="1"/>
  <c r="R825" i="8"/>
  <c r="S825" i="8" s="1"/>
  <c r="R826" i="8"/>
  <c r="S826" i="8" s="1"/>
  <c r="R827" i="8"/>
  <c r="S827" i="8" s="1"/>
  <c r="R828" i="8"/>
  <c r="S828" i="8" s="1"/>
  <c r="R829" i="8"/>
  <c r="S829" i="8" s="1"/>
  <c r="R830" i="8"/>
  <c r="S830" i="8" s="1"/>
  <c r="R831" i="8"/>
  <c r="S831" i="8" s="1"/>
  <c r="R832" i="8"/>
  <c r="S832" i="8" s="1"/>
  <c r="R833" i="8"/>
  <c r="S833" i="8" s="1"/>
  <c r="R834" i="8"/>
  <c r="S834" i="8" s="1"/>
  <c r="R835" i="8"/>
  <c r="S835" i="8" s="1"/>
  <c r="R836" i="8"/>
  <c r="S836" i="8" s="1"/>
  <c r="R837" i="8"/>
  <c r="S837" i="8" s="1"/>
  <c r="R838" i="8"/>
  <c r="S838" i="8" s="1"/>
  <c r="R839" i="8"/>
  <c r="S839" i="8" s="1"/>
  <c r="R840" i="8"/>
  <c r="S840" i="8" s="1"/>
  <c r="R841" i="8"/>
  <c r="S841" i="8" s="1"/>
  <c r="R842" i="8"/>
  <c r="S842" i="8" s="1"/>
  <c r="R843" i="8"/>
  <c r="S843" i="8" s="1"/>
  <c r="R844" i="8"/>
  <c r="S844" i="8" s="1"/>
  <c r="R845" i="8"/>
  <c r="S845" i="8" s="1"/>
  <c r="R846" i="8"/>
  <c r="S846" i="8" s="1"/>
  <c r="R847" i="8"/>
  <c r="S847" i="8" s="1"/>
  <c r="R848" i="8"/>
  <c r="S848" i="8" s="1"/>
  <c r="R849" i="8"/>
  <c r="S849" i="8" s="1"/>
  <c r="R850" i="8"/>
  <c r="S850" i="8" s="1"/>
  <c r="R851" i="8"/>
  <c r="S851" i="8" s="1"/>
  <c r="R852" i="8"/>
  <c r="S852" i="8" s="1"/>
  <c r="R853" i="8"/>
  <c r="S853" i="8" s="1"/>
  <c r="R854" i="8"/>
  <c r="S854" i="8" s="1"/>
  <c r="R855" i="8"/>
  <c r="S855" i="8" s="1"/>
  <c r="R856" i="8"/>
  <c r="S856" i="8" s="1"/>
  <c r="R857" i="8"/>
  <c r="S857" i="8" s="1"/>
  <c r="R858" i="8"/>
  <c r="S858" i="8" s="1"/>
  <c r="R859" i="8"/>
  <c r="S859" i="8" s="1"/>
  <c r="R860" i="8"/>
  <c r="S860" i="8" s="1"/>
  <c r="R861" i="8"/>
  <c r="S861" i="8" s="1"/>
  <c r="R862" i="8"/>
  <c r="S862" i="8" s="1"/>
  <c r="R863" i="8"/>
  <c r="S863" i="8" s="1"/>
  <c r="R864" i="8"/>
  <c r="S864" i="8" s="1"/>
  <c r="R865" i="8"/>
  <c r="S865" i="8" s="1"/>
  <c r="R866" i="8"/>
  <c r="S866" i="8" s="1"/>
  <c r="R867" i="8"/>
  <c r="S867" i="8" s="1"/>
  <c r="R868" i="8"/>
  <c r="S868" i="8" s="1"/>
  <c r="R869" i="8"/>
  <c r="S869" i="8" s="1"/>
  <c r="R870" i="8"/>
  <c r="S870" i="8" s="1"/>
  <c r="R871" i="8"/>
  <c r="S871" i="8" s="1"/>
  <c r="R872" i="8"/>
  <c r="S872" i="8" s="1"/>
  <c r="R873" i="8"/>
  <c r="S873" i="8" s="1"/>
  <c r="R874" i="8"/>
  <c r="S874" i="8" s="1"/>
  <c r="R875" i="8"/>
  <c r="S875" i="8" s="1"/>
  <c r="R876" i="8"/>
  <c r="S876" i="8" s="1"/>
  <c r="R877" i="8"/>
  <c r="S877" i="8" s="1"/>
  <c r="R878" i="8"/>
  <c r="S878" i="8" s="1"/>
  <c r="R879" i="8"/>
  <c r="S879" i="8" s="1"/>
  <c r="R880" i="8"/>
  <c r="S880" i="8" s="1"/>
  <c r="R881" i="8"/>
  <c r="S881" i="8" s="1"/>
  <c r="R882" i="8"/>
  <c r="S882" i="8" s="1"/>
  <c r="R883" i="8"/>
  <c r="S883" i="8" s="1"/>
  <c r="R884" i="8"/>
  <c r="S884" i="8" s="1"/>
  <c r="R885" i="8"/>
  <c r="S885" i="8" s="1"/>
  <c r="R886" i="8"/>
  <c r="S886" i="8" s="1"/>
  <c r="R887" i="8"/>
  <c r="S887" i="8" s="1"/>
  <c r="R888" i="8"/>
  <c r="S888" i="8" s="1"/>
  <c r="R889" i="8"/>
  <c r="S889" i="8" s="1"/>
  <c r="R890" i="8"/>
  <c r="S890" i="8" s="1"/>
  <c r="R891" i="8"/>
  <c r="S891" i="8" s="1"/>
  <c r="R892" i="8"/>
  <c r="S892" i="8" s="1"/>
  <c r="R893" i="8"/>
  <c r="S893" i="8" s="1"/>
  <c r="R894" i="8"/>
  <c r="S894" i="8" s="1"/>
  <c r="R895" i="8"/>
  <c r="S895" i="8" s="1"/>
  <c r="R896" i="8"/>
  <c r="S896" i="8" s="1"/>
  <c r="R897" i="8"/>
  <c r="S897" i="8" s="1"/>
  <c r="R898" i="8"/>
  <c r="S898" i="8" s="1"/>
  <c r="R899" i="8"/>
  <c r="S899" i="8" s="1"/>
  <c r="R900" i="8"/>
  <c r="S900" i="8" s="1"/>
  <c r="R901" i="8"/>
  <c r="S901" i="8" s="1"/>
  <c r="R902" i="8"/>
  <c r="S902" i="8" s="1"/>
  <c r="R903" i="8"/>
  <c r="S903" i="8" s="1"/>
  <c r="R904" i="8"/>
  <c r="S904" i="8" s="1"/>
  <c r="R905" i="8"/>
  <c r="S905" i="8" s="1"/>
  <c r="R906" i="8"/>
  <c r="S906" i="8" s="1"/>
  <c r="R907" i="8"/>
  <c r="S907" i="8" s="1"/>
  <c r="R908" i="8"/>
  <c r="S908" i="8" s="1"/>
  <c r="R909" i="8"/>
  <c r="R910" i="8"/>
  <c r="S910" i="8" s="1"/>
  <c r="R911" i="8"/>
  <c r="S911" i="8" s="1"/>
  <c r="R912" i="8"/>
  <c r="S912" i="8" s="1"/>
  <c r="R913" i="8"/>
  <c r="S913" i="8" s="1"/>
  <c r="R914" i="8"/>
  <c r="S914" i="8" s="1"/>
  <c r="R915" i="8"/>
  <c r="S915" i="8" s="1"/>
  <c r="R916" i="8"/>
  <c r="S916" i="8" s="1"/>
  <c r="R917" i="8"/>
  <c r="S917" i="8" s="1"/>
  <c r="R918" i="8"/>
  <c r="S918" i="8" s="1"/>
  <c r="R919" i="8"/>
  <c r="S919" i="8" s="1"/>
  <c r="R920" i="8"/>
  <c r="S920" i="8" s="1"/>
  <c r="R921" i="8"/>
  <c r="S921" i="8" s="1"/>
  <c r="R922" i="8"/>
  <c r="S922" i="8" s="1"/>
  <c r="R923" i="8"/>
  <c r="S923" i="8" s="1"/>
  <c r="R924" i="8"/>
  <c r="S924" i="8" s="1"/>
  <c r="R925" i="8"/>
  <c r="S925" i="8" s="1"/>
  <c r="R926" i="8"/>
  <c r="S926" i="8" s="1"/>
  <c r="R927" i="8"/>
  <c r="S927" i="8" s="1"/>
  <c r="R928" i="8"/>
  <c r="S928" i="8" s="1"/>
  <c r="R929" i="8"/>
  <c r="S929" i="8" s="1"/>
  <c r="R930" i="8"/>
  <c r="S930" i="8" s="1"/>
  <c r="R931" i="8"/>
  <c r="S931" i="8" s="1"/>
  <c r="R932" i="8"/>
  <c r="S932" i="8" s="1"/>
  <c r="R933" i="8"/>
  <c r="S933" i="8" s="1"/>
  <c r="R934" i="8"/>
  <c r="S934" i="8" s="1"/>
  <c r="R935" i="8"/>
  <c r="S935" i="8" s="1"/>
  <c r="R936" i="8"/>
  <c r="S936" i="8" s="1"/>
  <c r="R937" i="8"/>
  <c r="S937" i="8" s="1"/>
  <c r="R938" i="8"/>
  <c r="S938" i="8" s="1"/>
  <c r="R939" i="8"/>
  <c r="S939" i="8" s="1"/>
  <c r="R940" i="8"/>
  <c r="S940" i="8" s="1"/>
  <c r="R941" i="8"/>
  <c r="S941" i="8" s="1"/>
  <c r="R942" i="8"/>
  <c r="S942" i="8" s="1"/>
  <c r="R943" i="8"/>
  <c r="S943" i="8" s="1"/>
  <c r="R944" i="8"/>
  <c r="S944" i="8" s="1"/>
  <c r="R945" i="8"/>
  <c r="S945" i="8" s="1"/>
  <c r="R946" i="8"/>
  <c r="S946" i="8" s="1"/>
  <c r="R947" i="8"/>
  <c r="S947" i="8" s="1"/>
  <c r="R948" i="8"/>
  <c r="S948" i="8" s="1"/>
  <c r="R949" i="8"/>
  <c r="S949" i="8" s="1"/>
  <c r="R950" i="8"/>
  <c r="S950" i="8" s="1"/>
  <c r="R951" i="8"/>
  <c r="S951" i="8" s="1"/>
  <c r="R952" i="8"/>
  <c r="S952" i="8" s="1"/>
  <c r="R953" i="8"/>
  <c r="S953" i="8" s="1"/>
  <c r="R954" i="8"/>
  <c r="S954" i="8" s="1"/>
  <c r="R955" i="8"/>
  <c r="S955" i="8" s="1"/>
  <c r="R956" i="8"/>
  <c r="S956" i="8" s="1"/>
  <c r="R957" i="8"/>
  <c r="S957" i="8" s="1"/>
  <c r="R958" i="8"/>
  <c r="S958" i="8" s="1"/>
  <c r="R959" i="8"/>
  <c r="S959" i="8" s="1"/>
  <c r="R960" i="8"/>
  <c r="S960" i="8" s="1"/>
  <c r="R961" i="8"/>
  <c r="S961" i="8" s="1"/>
  <c r="R962" i="8"/>
  <c r="S962" i="8" s="1"/>
  <c r="R963" i="8"/>
  <c r="S963" i="8" s="1"/>
  <c r="R964" i="8"/>
  <c r="S964" i="8" s="1"/>
  <c r="R965" i="8"/>
  <c r="S965" i="8" s="1"/>
  <c r="R966" i="8"/>
  <c r="S966" i="8" s="1"/>
  <c r="R967" i="8"/>
  <c r="S967" i="8" s="1"/>
  <c r="R968" i="8"/>
  <c r="S968" i="8" s="1"/>
  <c r="R969" i="8"/>
  <c r="S969" i="8" s="1"/>
  <c r="R970" i="8"/>
  <c r="S970" i="8" s="1"/>
  <c r="R971" i="8"/>
  <c r="S971" i="8" s="1"/>
  <c r="R972" i="8"/>
  <c r="S972" i="8" s="1"/>
  <c r="R973" i="8"/>
  <c r="S973" i="8" s="1"/>
  <c r="R974" i="8"/>
  <c r="S974" i="8" s="1"/>
  <c r="R975" i="8"/>
  <c r="S975" i="8" s="1"/>
  <c r="R976" i="8"/>
  <c r="S976" i="8" s="1"/>
  <c r="R977" i="8"/>
  <c r="S977" i="8" s="1"/>
  <c r="R978" i="8"/>
  <c r="S978" i="8" s="1"/>
  <c r="R979" i="8"/>
  <c r="S979" i="8" s="1"/>
  <c r="R980" i="8"/>
  <c r="S980" i="8" s="1"/>
  <c r="R981" i="8"/>
  <c r="S981" i="8" s="1"/>
  <c r="R982" i="8"/>
  <c r="S982" i="8" s="1"/>
  <c r="R983" i="8"/>
  <c r="S983" i="8" s="1"/>
  <c r="R984" i="8"/>
  <c r="S984" i="8" s="1"/>
  <c r="R985" i="8"/>
  <c r="S985" i="8" s="1"/>
  <c r="R986" i="8"/>
  <c r="S986" i="8" s="1"/>
  <c r="R987" i="8"/>
  <c r="S987" i="8" s="1"/>
  <c r="R988" i="8"/>
  <c r="S988" i="8" s="1"/>
  <c r="R989" i="8"/>
  <c r="S989" i="8" s="1"/>
  <c r="R990" i="8"/>
  <c r="S990" i="8" s="1"/>
  <c r="R991" i="8"/>
  <c r="S991" i="8" s="1"/>
  <c r="R992" i="8"/>
  <c r="S992" i="8" s="1"/>
  <c r="R993" i="8"/>
  <c r="S993" i="8" s="1"/>
  <c r="R994" i="8"/>
  <c r="S994" i="8" s="1"/>
  <c r="R995" i="8"/>
  <c r="S995" i="8" s="1"/>
  <c r="R996" i="8"/>
  <c r="S996" i="8" s="1"/>
  <c r="R997" i="8"/>
  <c r="S997" i="8" s="1"/>
  <c r="R998" i="8"/>
  <c r="S998" i="8" s="1"/>
  <c r="R999" i="8"/>
  <c r="S999" i="8" s="1"/>
  <c r="R1000" i="8"/>
  <c r="S1000" i="8" s="1"/>
  <c r="R1001" i="8"/>
  <c r="S1001" i="8" s="1"/>
  <c r="R1002" i="8"/>
  <c r="S1002" i="8" s="1"/>
  <c r="R1003" i="8"/>
  <c r="S1003" i="8" s="1"/>
  <c r="R1004" i="8"/>
  <c r="S1004" i="8" s="1"/>
  <c r="R1005" i="8"/>
  <c r="S1005" i="8" s="1"/>
  <c r="R1006" i="8"/>
  <c r="S1006" i="8" s="1"/>
  <c r="R1007" i="8"/>
  <c r="S1007" i="8" s="1"/>
  <c r="R1008" i="8"/>
  <c r="S1008" i="8" s="1"/>
  <c r="R1009" i="8"/>
  <c r="S1009" i="8" s="1"/>
  <c r="R1010" i="8"/>
  <c r="S1010" i="8" s="1"/>
  <c r="R1011" i="8"/>
  <c r="S1011" i="8" s="1"/>
  <c r="R1012" i="8"/>
  <c r="S1012" i="8" s="1"/>
  <c r="R1013" i="8"/>
  <c r="S1013" i="8" s="1"/>
  <c r="R1014" i="8"/>
  <c r="S1014" i="8" s="1"/>
  <c r="R1015" i="8"/>
  <c r="S1015" i="8" s="1"/>
  <c r="R1016" i="8"/>
  <c r="S1016" i="8" s="1"/>
  <c r="R1017" i="8"/>
  <c r="S1017" i="8" s="1"/>
  <c r="R1018" i="8"/>
  <c r="S1018" i="8" s="1"/>
  <c r="R1019" i="8"/>
  <c r="S1019" i="8" s="1"/>
  <c r="R1020" i="8"/>
  <c r="S1020" i="8" s="1"/>
  <c r="R1021" i="8"/>
  <c r="S1021" i="8" s="1"/>
  <c r="R1022" i="8"/>
  <c r="S1022" i="8" s="1"/>
  <c r="R1023" i="8"/>
  <c r="S1023" i="8" s="1"/>
  <c r="R1024" i="8"/>
  <c r="S1024" i="8" s="1"/>
  <c r="R1025" i="8"/>
  <c r="S1025" i="8" s="1"/>
  <c r="R1026" i="8"/>
  <c r="S1026" i="8" s="1"/>
  <c r="R1027" i="8"/>
  <c r="S1027" i="8" s="1"/>
  <c r="R1028" i="8"/>
  <c r="S1028" i="8" s="1"/>
  <c r="R1029" i="8"/>
  <c r="S1029" i="8" s="1"/>
  <c r="R1030" i="8"/>
  <c r="S1030" i="8" s="1"/>
  <c r="R1031" i="8"/>
  <c r="S1031" i="8" s="1"/>
  <c r="R1032" i="8"/>
  <c r="S1032" i="8" s="1"/>
  <c r="R1033" i="8"/>
  <c r="S1033" i="8" s="1"/>
  <c r="R1034" i="8"/>
  <c r="S1034" i="8" s="1"/>
  <c r="R1035" i="8"/>
  <c r="S1035" i="8" s="1"/>
  <c r="R1036" i="8"/>
  <c r="S1036" i="8" s="1"/>
  <c r="R1037" i="8"/>
  <c r="S1037" i="8" s="1"/>
  <c r="R1038" i="8"/>
  <c r="S1038" i="8" s="1"/>
  <c r="R1039" i="8"/>
  <c r="S1039" i="8" s="1"/>
  <c r="R1040" i="8"/>
  <c r="S1040" i="8" s="1"/>
  <c r="R1041" i="8"/>
  <c r="S1041" i="8" s="1"/>
  <c r="R1042" i="8"/>
  <c r="S1042" i="8" s="1"/>
  <c r="R1043" i="8"/>
  <c r="S1043" i="8" s="1"/>
  <c r="R1044" i="8"/>
  <c r="S1044" i="8" s="1"/>
  <c r="R1045" i="8"/>
  <c r="S1045" i="8" s="1"/>
  <c r="R1046" i="8"/>
  <c r="S1046" i="8" s="1"/>
  <c r="R1047" i="8"/>
  <c r="S1047" i="8" s="1"/>
  <c r="R1048" i="8"/>
  <c r="S1048" i="8" s="1"/>
  <c r="R1049" i="8"/>
  <c r="S1049" i="8" s="1"/>
  <c r="R1050" i="8"/>
  <c r="S1050" i="8" s="1"/>
  <c r="R1051" i="8"/>
  <c r="S1051" i="8" s="1"/>
  <c r="R1052" i="8"/>
  <c r="S1052" i="8" s="1"/>
  <c r="R1053" i="8"/>
  <c r="S1053" i="8" s="1"/>
  <c r="R1054" i="8"/>
  <c r="S1054" i="8" s="1"/>
  <c r="R1055" i="8"/>
  <c r="S1055" i="8" s="1"/>
  <c r="R1056" i="8"/>
  <c r="S1056" i="8" s="1"/>
  <c r="R1057" i="8"/>
  <c r="S1057" i="8" s="1"/>
  <c r="R1058" i="8"/>
  <c r="S1058" i="8" s="1"/>
  <c r="R1059" i="8"/>
  <c r="S1059" i="8" s="1"/>
  <c r="R1060" i="8"/>
  <c r="S1060" i="8" s="1"/>
  <c r="R1061" i="8"/>
  <c r="S1061" i="8" s="1"/>
  <c r="R1062" i="8"/>
  <c r="S1062" i="8" s="1"/>
  <c r="R1063" i="8"/>
  <c r="S1063" i="8" s="1"/>
  <c r="R1064" i="8"/>
  <c r="S1064" i="8" s="1"/>
  <c r="R1065" i="8"/>
  <c r="S1065" i="8" s="1"/>
  <c r="R1066" i="8"/>
  <c r="S1066" i="8" s="1"/>
  <c r="R1067" i="8"/>
  <c r="S1067" i="8" s="1"/>
  <c r="R1068" i="8"/>
  <c r="S1068" i="8" s="1"/>
  <c r="R1069" i="8"/>
  <c r="S1069" i="8" s="1"/>
  <c r="R1070" i="8"/>
  <c r="S1070" i="8" s="1"/>
  <c r="R1071" i="8"/>
  <c r="S1071" i="8" s="1"/>
  <c r="R1072" i="8"/>
  <c r="S1072" i="8" s="1"/>
  <c r="R1073" i="8"/>
  <c r="S1073" i="8" s="1"/>
  <c r="R1074" i="8"/>
  <c r="S1074" i="8" s="1"/>
  <c r="R1075" i="8"/>
  <c r="S1075" i="8" s="1"/>
  <c r="R1076" i="8"/>
  <c r="S1076" i="8" s="1"/>
  <c r="R1077" i="8"/>
  <c r="S1077" i="8" s="1"/>
  <c r="R1078" i="8"/>
  <c r="S1078" i="8" s="1"/>
  <c r="R1079" i="8"/>
  <c r="S1079" i="8" s="1"/>
  <c r="R1080" i="8"/>
  <c r="S1080" i="8" s="1"/>
  <c r="R1081" i="8"/>
  <c r="S1081" i="8" s="1"/>
  <c r="R1082" i="8"/>
  <c r="S1082" i="8" s="1"/>
  <c r="R1083" i="8"/>
  <c r="S1083" i="8" s="1"/>
  <c r="R1084" i="8"/>
  <c r="S1084" i="8" s="1"/>
  <c r="R1085" i="8"/>
  <c r="S1085" i="8" s="1"/>
  <c r="R1086" i="8"/>
  <c r="S1086" i="8" s="1"/>
  <c r="R1087" i="8"/>
  <c r="S1087" i="8" s="1"/>
  <c r="R1088" i="8"/>
  <c r="S1088" i="8" s="1"/>
  <c r="R1089" i="8"/>
  <c r="S1089" i="8" s="1"/>
  <c r="R1090" i="8"/>
  <c r="S1090" i="8" s="1"/>
  <c r="R1091" i="8"/>
  <c r="S1091" i="8" s="1"/>
  <c r="R1092" i="8"/>
  <c r="S1092" i="8" s="1"/>
  <c r="R1093" i="8"/>
  <c r="S1093" i="8" s="1"/>
  <c r="R1094" i="8"/>
  <c r="S1094" i="8" s="1"/>
  <c r="R1095" i="8"/>
  <c r="S1095" i="8" s="1"/>
  <c r="R1096" i="8"/>
  <c r="S1096" i="8" s="1"/>
  <c r="R1097" i="8"/>
  <c r="S1097" i="8" s="1"/>
  <c r="R1098" i="8"/>
  <c r="S1098" i="8" s="1"/>
  <c r="R1099" i="8"/>
  <c r="S1099" i="8" s="1"/>
  <c r="R1100" i="8"/>
  <c r="S1100" i="8" s="1"/>
  <c r="R1101" i="8"/>
  <c r="S1101" i="8" s="1"/>
  <c r="R1102" i="8"/>
  <c r="S1102" i="8" s="1"/>
  <c r="R1103" i="8"/>
  <c r="S1103" i="8" s="1"/>
  <c r="R1104" i="8"/>
  <c r="S1104" i="8" s="1"/>
  <c r="R1105" i="8"/>
  <c r="S1105" i="8" s="1"/>
  <c r="R1106" i="8"/>
  <c r="S1106" i="8" s="1"/>
  <c r="R1107" i="8"/>
  <c r="S1107" i="8" s="1"/>
  <c r="R1108" i="8"/>
  <c r="S1108" i="8" s="1"/>
  <c r="R1109" i="8"/>
  <c r="S1109" i="8" s="1"/>
  <c r="R1110" i="8"/>
  <c r="S1110" i="8" s="1"/>
  <c r="R1111" i="8"/>
  <c r="S1111" i="8" s="1"/>
  <c r="R1112" i="8"/>
  <c r="S1112" i="8" s="1"/>
  <c r="R1113" i="8"/>
  <c r="S1113" i="8" s="1"/>
  <c r="R1114" i="8"/>
  <c r="S1114" i="8" s="1"/>
  <c r="R1115" i="8"/>
  <c r="S1115" i="8" s="1"/>
  <c r="R1116" i="8"/>
  <c r="S1116" i="8" s="1"/>
  <c r="R1117" i="8"/>
  <c r="S1117" i="8" s="1"/>
  <c r="R1118" i="8"/>
  <c r="S1118" i="8" s="1"/>
  <c r="R1119" i="8"/>
  <c r="S1119" i="8" s="1"/>
  <c r="R1120" i="8"/>
  <c r="S1120" i="8" s="1"/>
  <c r="R1121" i="8"/>
  <c r="S1121" i="8" s="1"/>
  <c r="R1122" i="8"/>
  <c r="S1122" i="8" s="1"/>
  <c r="R1123" i="8"/>
  <c r="S1123" i="8" s="1"/>
  <c r="R1124" i="8"/>
  <c r="S1124" i="8" s="1"/>
  <c r="R1125" i="8"/>
  <c r="S1125" i="8" s="1"/>
  <c r="R1126" i="8"/>
  <c r="S1126" i="8" s="1"/>
  <c r="R1127" i="8"/>
  <c r="S1127" i="8" s="1"/>
  <c r="R1128" i="8"/>
  <c r="S1128" i="8" s="1"/>
  <c r="R1129" i="8"/>
  <c r="S1129" i="8" s="1"/>
  <c r="R1130" i="8"/>
  <c r="S1130" i="8" s="1"/>
  <c r="R1131" i="8"/>
  <c r="S1131" i="8" s="1"/>
  <c r="R1132" i="8"/>
  <c r="S1132" i="8" s="1"/>
  <c r="R1133" i="8"/>
  <c r="S1133" i="8" s="1"/>
  <c r="R1134" i="8"/>
  <c r="S1134" i="8" s="1"/>
  <c r="R1135" i="8"/>
  <c r="S1135" i="8" s="1"/>
  <c r="R1136" i="8"/>
  <c r="S1136" i="8" s="1"/>
  <c r="R1137" i="8"/>
  <c r="S1137" i="8" s="1"/>
  <c r="R1138" i="8"/>
  <c r="S1138" i="8" s="1"/>
  <c r="R1139" i="8"/>
  <c r="S1139" i="8" s="1"/>
  <c r="R1140" i="8"/>
  <c r="S1140" i="8" s="1"/>
  <c r="R1141" i="8"/>
  <c r="S1141" i="8" s="1"/>
  <c r="R1142" i="8"/>
  <c r="S1142" i="8" s="1"/>
  <c r="R1143" i="8"/>
  <c r="S1143" i="8" s="1"/>
  <c r="R1144" i="8"/>
  <c r="S1144" i="8" s="1"/>
  <c r="R1145" i="8"/>
  <c r="S1145" i="8" s="1"/>
  <c r="R1146" i="8"/>
  <c r="S1146" i="8" s="1"/>
  <c r="R1147" i="8"/>
  <c r="S1147" i="8" s="1"/>
  <c r="R1148" i="8"/>
  <c r="S1148" i="8" s="1"/>
  <c r="R1149" i="8"/>
  <c r="S1149" i="8" s="1"/>
  <c r="R1150" i="8"/>
  <c r="S1150" i="8" s="1"/>
  <c r="R1151" i="8"/>
  <c r="S1151" i="8" s="1"/>
  <c r="R1152" i="8"/>
  <c r="S1152" i="8" s="1"/>
  <c r="R1153" i="8"/>
  <c r="S1153" i="8" s="1"/>
  <c r="R1154" i="8"/>
  <c r="S1154" i="8" s="1"/>
  <c r="R1155" i="8"/>
  <c r="S1155" i="8" s="1"/>
  <c r="R1156" i="8"/>
  <c r="S1156" i="8" s="1"/>
  <c r="R1157" i="8"/>
  <c r="S1157" i="8" s="1"/>
  <c r="R1158" i="8"/>
  <c r="S1158" i="8" s="1"/>
  <c r="R1159" i="8"/>
  <c r="S1159" i="8" s="1"/>
  <c r="R1160" i="8"/>
  <c r="S1160" i="8" s="1"/>
  <c r="R1161" i="8"/>
  <c r="S1161" i="8" s="1"/>
  <c r="R1162" i="8"/>
  <c r="S1162" i="8" s="1"/>
  <c r="R1163" i="8"/>
  <c r="S1163" i="8" s="1"/>
  <c r="R1164" i="8"/>
  <c r="S1164" i="8" s="1"/>
  <c r="R1165" i="8"/>
  <c r="S1165" i="8" s="1"/>
  <c r="R1166" i="8"/>
  <c r="S1166" i="8" s="1"/>
  <c r="R1167" i="8"/>
  <c r="S1167" i="8" s="1"/>
  <c r="R1168" i="8"/>
  <c r="S1168" i="8" s="1"/>
  <c r="R1169" i="8"/>
  <c r="S1169" i="8" s="1"/>
  <c r="R1170" i="8"/>
  <c r="S1170" i="8" s="1"/>
  <c r="R1171" i="8"/>
  <c r="S1171" i="8" s="1"/>
  <c r="R1172" i="8"/>
  <c r="S1172" i="8" s="1"/>
  <c r="R1173" i="8"/>
  <c r="S1173" i="8" s="1"/>
  <c r="R1174" i="8"/>
  <c r="S1174" i="8" s="1"/>
  <c r="R1175" i="8"/>
  <c r="S1175" i="8" s="1"/>
  <c r="R1176" i="8"/>
  <c r="S1176" i="8" s="1"/>
  <c r="R1177" i="8"/>
  <c r="S1177" i="8" s="1"/>
  <c r="R1178" i="8"/>
  <c r="S1178" i="8" s="1"/>
  <c r="R1179" i="8"/>
  <c r="S1179" i="8" s="1"/>
  <c r="R1180" i="8"/>
  <c r="S1180" i="8" s="1"/>
  <c r="R1181" i="8"/>
  <c r="S1181" i="8" s="1"/>
  <c r="R1182" i="8"/>
  <c r="S1182" i="8" s="1"/>
  <c r="R1183" i="8"/>
  <c r="S1183" i="8" s="1"/>
  <c r="R1184" i="8"/>
  <c r="S1184" i="8" s="1"/>
  <c r="R1185" i="8"/>
  <c r="S1185" i="8" s="1"/>
  <c r="R1186" i="8"/>
  <c r="S1186" i="8" s="1"/>
  <c r="R1187" i="8"/>
  <c r="S1187" i="8" s="1"/>
  <c r="R1188" i="8"/>
  <c r="S1188" i="8" s="1"/>
  <c r="R1189" i="8"/>
  <c r="S1189" i="8" s="1"/>
  <c r="R1190" i="8"/>
  <c r="S1190" i="8" s="1"/>
  <c r="R1191" i="8"/>
  <c r="S1191" i="8" s="1"/>
  <c r="R1192" i="8"/>
  <c r="S1192" i="8" s="1"/>
  <c r="R1193" i="8"/>
  <c r="S1193" i="8" s="1"/>
  <c r="R1194" i="8"/>
  <c r="S1194" i="8" s="1"/>
  <c r="R1195" i="8"/>
  <c r="S1195" i="8" s="1"/>
  <c r="R1196" i="8"/>
  <c r="S1196" i="8" s="1"/>
  <c r="R1197" i="8"/>
  <c r="S1197" i="8" s="1"/>
  <c r="R1198" i="8"/>
  <c r="S1198" i="8" s="1"/>
  <c r="R1199" i="8"/>
  <c r="S1199" i="8" s="1"/>
  <c r="R1200" i="8"/>
  <c r="S1200" i="8" s="1"/>
  <c r="R1201" i="8"/>
  <c r="S1201" i="8" s="1"/>
  <c r="R1202" i="8"/>
  <c r="S1202" i="8" s="1"/>
  <c r="R1203" i="8"/>
  <c r="S1203" i="8" s="1"/>
  <c r="R1204" i="8"/>
  <c r="S1204" i="8" s="1"/>
  <c r="R1205" i="8"/>
  <c r="S1205" i="8" s="1"/>
  <c r="R1206" i="8"/>
  <c r="S1206" i="8" s="1"/>
  <c r="R1207" i="8"/>
  <c r="S1207" i="8" s="1"/>
  <c r="R1208" i="8"/>
  <c r="S1208" i="8" s="1"/>
  <c r="R1209" i="8"/>
  <c r="S1209" i="8" s="1"/>
  <c r="R1210" i="8"/>
  <c r="S1210" i="8" s="1"/>
  <c r="R1211" i="8"/>
  <c r="S1211" i="8" s="1"/>
  <c r="R1212" i="8"/>
  <c r="S1212" i="8" s="1"/>
  <c r="R1213" i="8"/>
  <c r="S1213" i="8" s="1"/>
  <c r="R1214" i="8"/>
  <c r="S1214" i="8" s="1"/>
  <c r="R1215" i="8"/>
  <c r="S1215" i="8" s="1"/>
  <c r="R1216" i="8"/>
  <c r="S1216" i="8" s="1"/>
  <c r="R1217" i="8"/>
  <c r="S1217" i="8" s="1"/>
  <c r="R1218" i="8"/>
  <c r="S1218" i="8" s="1"/>
  <c r="R1219" i="8"/>
  <c r="S1219" i="8" s="1"/>
  <c r="R1220" i="8"/>
  <c r="S1220" i="8" s="1"/>
  <c r="R1221" i="8"/>
  <c r="S1221" i="8" s="1"/>
  <c r="R1222" i="8"/>
  <c r="S1222" i="8" s="1"/>
  <c r="R1223" i="8"/>
  <c r="S1223" i="8" s="1"/>
  <c r="R1224" i="8"/>
  <c r="S1224" i="8" s="1"/>
  <c r="R1225" i="8"/>
  <c r="S1225" i="8" s="1"/>
  <c r="R1226" i="8"/>
  <c r="S1226" i="8" s="1"/>
  <c r="R1227" i="8"/>
  <c r="S1227" i="8" s="1"/>
  <c r="R1228" i="8"/>
  <c r="S1228" i="8" s="1"/>
  <c r="R1229" i="8"/>
  <c r="S1229" i="8" s="1"/>
  <c r="R1230" i="8"/>
  <c r="S1230" i="8" s="1"/>
  <c r="R1231" i="8"/>
  <c r="S1231" i="8" s="1"/>
  <c r="R1232" i="8"/>
  <c r="S1232" i="8" s="1"/>
  <c r="R1233" i="8"/>
  <c r="S1233" i="8" s="1"/>
  <c r="R1234" i="8"/>
  <c r="S1234" i="8" s="1"/>
  <c r="R1235" i="8"/>
  <c r="S1235" i="8" s="1"/>
  <c r="R1236" i="8"/>
  <c r="S1236" i="8" s="1"/>
  <c r="R1237" i="8"/>
  <c r="S1237" i="8" s="1"/>
  <c r="R1238" i="8"/>
  <c r="S1238" i="8" s="1"/>
  <c r="R1239" i="8"/>
  <c r="S1239" i="8" s="1"/>
  <c r="R1240" i="8"/>
  <c r="S1240" i="8" s="1"/>
  <c r="R1241" i="8"/>
  <c r="S1241" i="8" s="1"/>
  <c r="R1242" i="8"/>
  <c r="S1242" i="8" s="1"/>
  <c r="R1243" i="8"/>
  <c r="S1243" i="8" s="1"/>
  <c r="R1244" i="8"/>
  <c r="S1244" i="8" s="1"/>
  <c r="R1245" i="8"/>
  <c r="S1245" i="8" s="1"/>
  <c r="R1246" i="8"/>
  <c r="S1246" i="8" s="1"/>
  <c r="R1247" i="8"/>
  <c r="S1247" i="8" s="1"/>
  <c r="R1248" i="8"/>
  <c r="S1248" i="8" s="1"/>
  <c r="R1249" i="8"/>
  <c r="S1249" i="8" s="1"/>
  <c r="R1250" i="8"/>
  <c r="S1250" i="8" s="1"/>
  <c r="R1251" i="8"/>
  <c r="S1251" i="8" s="1"/>
  <c r="R1252" i="8"/>
  <c r="S1252" i="8" s="1"/>
  <c r="R1253" i="8"/>
  <c r="S1253" i="8" s="1"/>
  <c r="R1254" i="8"/>
  <c r="S1254" i="8" s="1"/>
  <c r="R1255" i="8"/>
  <c r="S1255" i="8" s="1"/>
  <c r="R1256" i="8"/>
  <c r="S1256" i="8" s="1"/>
  <c r="R1257" i="8"/>
  <c r="S1257" i="8" s="1"/>
  <c r="R1258" i="8"/>
  <c r="S1258" i="8" s="1"/>
  <c r="R1259" i="8"/>
  <c r="S1259" i="8" s="1"/>
  <c r="R1260" i="8"/>
  <c r="S1260" i="8" s="1"/>
  <c r="R1261" i="8"/>
  <c r="S1261" i="8" s="1"/>
  <c r="R1262" i="8"/>
  <c r="S1262" i="8" s="1"/>
  <c r="R1263" i="8"/>
  <c r="S1263" i="8" s="1"/>
  <c r="R1264" i="8"/>
  <c r="S1264" i="8" s="1"/>
  <c r="R1265" i="8"/>
  <c r="S1265" i="8" s="1"/>
  <c r="R1266" i="8"/>
  <c r="S1266" i="8" s="1"/>
  <c r="R1267" i="8"/>
  <c r="S1267" i="8" s="1"/>
  <c r="R1268" i="8"/>
  <c r="S1268" i="8" s="1"/>
  <c r="R1269" i="8"/>
  <c r="S1269" i="8" s="1"/>
  <c r="R1270" i="8"/>
  <c r="S1270" i="8" s="1"/>
  <c r="R1271" i="8"/>
  <c r="S1271" i="8" s="1"/>
  <c r="R1272" i="8"/>
  <c r="S1272" i="8" s="1"/>
  <c r="R1273" i="8"/>
  <c r="S1273" i="8" s="1"/>
  <c r="R1274" i="8"/>
  <c r="S1274" i="8" s="1"/>
  <c r="R1275" i="8"/>
  <c r="S1275" i="8" s="1"/>
  <c r="R1276" i="8"/>
  <c r="S1276" i="8" s="1"/>
  <c r="R1277" i="8"/>
  <c r="S1277" i="8" s="1"/>
  <c r="R1278" i="8"/>
  <c r="S1278" i="8" s="1"/>
  <c r="R1279" i="8"/>
  <c r="S1279" i="8" s="1"/>
  <c r="R1280" i="8"/>
  <c r="S1280" i="8" s="1"/>
  <c r="R1281" i="8"/>
  <c r="S1281" i="8" s="1"/>
  <c r="R1282" i="8"/>
  <c r="S1282" i="8" s="1"/>
  <c r="R1283" i="8"/>
  <c r="S1283" i="8" s="1"/>
  <c r="R1284" i="8"/>
  <c r="S1284" i="8" s="1"/>
  <c r="R1285" i="8"/>
  <c r="S1285" i="8" s="1"/>
  <c r="R1286" i="8"/>
  <c r="S1286" i="8" s="1"/>
  <c r="R1287" i="8"/>
  <c r="S1287" i="8" s="1"/>
  <c r="R1288" i="8"/>
  <c r="S1288" i="8" s="1"/>
  <c r="R1289" i="8"/>
  <c r="S1289" i="8" s="1"/>
  <c r="R1290" i="8"/>
  <c r="S1290" i="8" s="1"/>
  <c r="R1291" i="8"/>
  <c r="S1291" i="8" s="1"/>
  <c r="R1292" i="8"/>
  <c r="S1292" i="8" s="1"/>
  <c r="R1293" i="8"/>
  <c r="S1293" i="8" s="1"/>
  <c r="R1294" i="8"/>
  <c r="S1294" i="8" s="1"/>
  <c r="R1295" i="8"/>
  <c r="S1295" i="8" s="1"/>
  <c r="R1296" i="8"/>
  <c r="S1296" i="8" s="1"/>
  <c r="R1297" i="8"/>
  <c r="S1297" i="8" s="1"/>
  <c r="R1298" i="8"/>
  <c r="S1298" i="8" s="1"/>
  <c r="R1299" i="8"/>
  <c r="S1299" i="8" s="1"/>
  <c r="R1300" i="8"/>
  <c r="S1300" i="8" s="1"/>
  <c r="R1301" i="8"/>
  <c r="S1301" i="8" s="1"/>
  <c r="R1302" i="8"/>
  <c r="S1302" i="8" s="1"/>
  <c r="R1303" i="8"/>
  <c r="S1303" i="8" s="1"/>
  <c r="R1304" i="8"/>
  <c r="S1304" i="8" s="1"/>
  <c r="R1305" i="8"/>
  <c r="S1305" i="8" s="1"/>
  <c r="R1306" i="8"/>
  <c r="S1306" i="8" s="1"/>
  <c r="R1307" i="8"/>
  <c r="S1307" i="8" s="1"/>
  <c r="R1308" i="8"/>
  <c r="S1308" i="8" s="1"/>
  <c r="R1309" i="8"/>
  <c r="S1309" i="8" s="1"/>
  <c r="R1310" i="8"/>
  <c r="S1310" i="8" s="1"/>
  <c r="R1311" i="8"/>
  <c r="S1311" i="8" s="1"/>
  <c r="R1312" i="8"/>
  <c r="S1312" i="8" s="1"/>
  <c r="R1313" i="8"/>
  <c r="S1313" i="8" s="1"/>
  <c r="R1314" i="8"/>
  <c r="S1314" i="8" s="1"/>
  <c r="R1315" i="8"/>
  <c r="S1315" i="8" s="1"/>
  <c r="R1316" i="8"/>
  <c r="S1316" i="8" s="1"/>
  <c r="R1317" i="8"/>
  <c r="S1317" i="8" s="1"/>
  <c r="R1318" i="8"/>
  <c r="S1318" i="8" s="1"/>
  <c r="R1319" i="8"/>
  <c r="S1319" i="8" s="1"/>
  <c r="R1320" i="8"/>
  <c r="S1320" i="8" s="1"/>
  <c r="R1321" i="8"/>
  <c r="S1321" i="8" s="1"/>
  <c r="R1322" i="8"/>
  <c r="S1322" i="8" s="1"/>
  <c r="R1323" i="8"/>
  <c r="S1323" i="8" s="1"/>
  <c r="R1324" i="8"/>
  <c r="S1324" i="8" s="1"/>
  <c r="R1325" i="8"/>
  <c r="S1325" i="8" s="1"/>
  <c r="R1326" i="8"/>
  <c r="S1326" i="8" s="1"/>
  <c r="R1327" i="8"/>
  <c r="S1327" i="8" s="1"/>
  <c r="R1328" i="8"/>
  <c r="S1328" i="8" s="1"/>
  <c r="R1329" i="8"/>
  <c r="S1329" i="8" s="1"/>
  <c r="R1330" i="8"/>
  <c r="S1330" i="8" s="1"/>
  <c r="R1331" i="8"/>
  <c r="S1331" i="8" s="1"/>
  <c r="R1332" i="8"/>
  <c r="S1332" i="8" s="1"/>
  <c r="R1333" i="8"/>
  <c r="S1333" i="8" s="1"/>
  <c r="R1334" i="8"/>
  <c r="S1334" i="8" s="1"/>
  <c r="R1335" i="8"/>
  <c r="S1335" i="8" s="1"/>
  <c r="R1336" i="8"/>
  <c r="S1336" i="8" s="1"/>
  <c r="R1337" i="8"/>
  <c r="S1337" i="8" s="1"/>
  <c r="R1338" i="8"/>
  <c r="S1338" i="8" s="1"/>
  <c r="R1339" i="8"/>
  <c r="S1339" i="8" s="1"/>
  <c r="R1340" i="8"/>
  <c r="S1340" i="8" s="1"/>
  <c r="R1341" i="8"/>
  <c r="S1341" i="8" s="1"/>
  <c r="R1342" i="8"/>
  <c r="S1342" i="8" s="1"/>
  <c r="R1343" i="8"/>
  <c r="S1343" i="8" s="1"/>
  <c r="R1344" i="8"/>
  <c r="S1344" i="8" s="1"/>
  <c r="R1345" i="8"/>
  <c r="S1345" i="8" s="1"/>
  <c r="R1346" i="8"/>
  <c r="S1346" i="8" s="1"/>
  <c r="R1347" i="8"/>
  <c r="S1347" i="8" s="1"/>
  <c r="R1348" i="8"/>
  <c r="S1348" i="8" s="1"/>
  <c r="R1349" i="8"/>
  <c r="S1349" i="8" s="1"/>
  <c r="R1350" i="8"/>
  <c r="S1350" i="8" s="1"/>
  <c r="R1351" i="8"/>
  <c r="S1351" i="8" s="1"/>
  <c r="R1352" i="8"/>
  <c r="S1352" i="8" s="1"/>
  <c r="R1353" i="8"/>
  <c r="S1353" i="8" s="1"/>
  <c r="R1354" i="8"/>
  <c r="S1354" i="8" s="1"/>
  <c r="R1355" i="8"/>
  <c r="S1355" i="8" s="1"/>
  <c r="R1356" i="8"/>
  <c r="S1356" i="8" s="1"/>
  <c r="R1357" i="8"/>
  <c r="S1357" i="8" s="1"/>
  <c r="R1358" i="8"/>
  <c r="S1358" i="8" s="1"/>
  <c r="R1359" i="8"/>
  <c r="S1359" i="8" s="1"/>
  <c r="R1360" i="8"/>
  <c r="S1360" i="8" s="1"/>
  <c r="R1361" i="8"/>
  <c r="S1361" i="8" s="1"/>
  <c r="R1362" i="8"/>
  <c r="S1362" i="8" s="1"/>
  <c r="R1363" i="8"/>
  <c r="S1363" i="8" s="1"/>
  <c r="R1364" i="8"/>
  <c r="S1364" i="8" s="1"/>
  <c r="R1365" i="8"/>
  <c r="S1365" i="8" s="1"/>
  <c r="R1366" i="8"/>
  <c r="S1366" i="8" s="1"/>
  <c r="R1367" i="8"/>
  <c r="S1367" i="8" s="1"/>
  <c r="R1368" i="8"/>
  <c r="S1368" i="8" s="1"/>
  <c r="R1369" i="8"/>
  <c r="S1369" i="8" s="1"/>
  <c r="R1370" i="8"/>
  <c r="S1370" i="8" s="1"/>
  <c r="R1371" i="8"/>
  <c r="S1371" i="8" s="1"/>
  <c r="R1372" i="8"/>
  <c r="S1372" i="8" s="1"/>
  <c r="R1373" i="8"/>
  <c r="S1373" i="8" s="1"/>
  <c r="R1374" i="8"/>
  <c r="S1374" i="8" s="1"/>
  <c r="R1375" i="8"/>
  <c r="S1375" i="8" s="1"/>
  <c r="R1376" i="8"/>
  <c r="S1376" i="8" s="1"/>
  <c r="R1377" i="8"/>
  <c r="S1377" i="8" s="1"/>
  <c r="R1378" i="8"/>
  <c r="S1378" i="8" s="1"/>
  <c r="R1379" i="8"/>
  <c r="S1379" i="8" s="1"/>
  <c r="R1380" i="8"/>
  <c r="S1380" i="8" s="1"/>
  <c r="R1381" i="8"/>
  <c r="S1381" i="8" s="1"/>
  <c r="R1382" i="8"/>
  <c r="S1382" i="8" s="1"/>
  <c r="R1383" i="8"/>
  <c r="S1383" i="8" s="1"/>
  <c r="R1384" i="8"/>
  <c r="S1384" i="8" s="1"/>
  <c r="R1385" i="8"/>
  <c r="S1385" i="8" s="1"/>
  <c r="R1386" i="8"/>
  <c r="S1386" i="8" s="1"/>
  <c r="R1387" i="8"/>
  <c r="S1387" i="8" s="1"/>
  <c r="R1388" i="8"/>
  <c r="S1388" i="8" s="1"/>
  <c r="R1389" i="8"/>
  <c r="S1389" i="8" s="1"/>
  <c r="R1390" i="8"/>
  <c r="S1390" i="8" s="1"/>
  <c r="R1391" i="8"/>
  <c r="S1391" i="8" s="1"/>
  <c r="R1392" i="8"/>
  <c r="S1392" i="8" s="1"/>
  <c r="R1393" i="8"/>
  <c r="S1393" i="8" s="1"/>
  <c r="R1394" i="8"/>
  <c r="S1394" i="8" s="1"/>
  <c r="R1395" i="8"/>
  <c r="S1395" i="8" s="1"/>
  <c r="R1396" i="8"/>
  <c r="S1396" i="8" s="1"/>
  <c r="R1397" i="8"/>
  <c r="S1397" i="8" s="1"/>
  <c r="R1398" i="8"/>
  <c r="S1398" i="8" s="1"/>
  <c r="R1399" i="8"/>
  <c r="S1399" i="8" s="1"/>
  <c r="R1400" i="8"/>
  <c r="S1400" i="8" s="1"/>
  <c r="R1401" i="8"/>
  <c r="S1401" i="8" s="1"/>
  <c r="R1402" i="8"/>
  <c r="S1402" i="8" s="1"/>
  <c r="R1403" i="8"/>
  <c r="S1403" i="8" s="1"/>
  <c r="R1404" i="8"/>
  <c r="S1404" i="8" s="1"/>
  <c r="R1405" i="8"/>
  <c r="S1405" i="8" s="1"/>
  <c r="R1406" i="8"/>
  <c r="S1406" i="8" s="1"/>
  <c r="R1407" i="8"/>
  <c r="S1407" i="8" s="1"/>
  <c r="R1408" i="8"/>
  <c r="S1408" i="8" s="1"/>
  <c r="R1409" i="8"/>
  <c r="S1409" i="8" s="1"/>
  <c r="R1410" i="8"/>
  <c r="S1410" i="8" s="1"/>
  <c r="R1411" i="8"/>
  <c r="S1411" i="8" s="1"/>
  <c r="R1412" i="8"/>
  <c r="S1412" i="8" s="1"/>
  <c r="R1413" i="8"/>
  <c r="S1413" i="8" s="1"/>
  <c r="R1414" i="8"/>
  <c r="S1414" i="8" s="1"/>
  <c r="R1415" i="8"/>
  <c r="S1415" i="8" s="1"/>
  <c r="R1416" i="8"/>
  <c r="S1416" i="8" s="1"/>
  <c r="R1417" i="8"/>
  <c r="S1417" i="8" s="1"/>
  <c r="R1418" i="8"/>
  <c r="S1418" i="8" s="1"/>
  <c r="R1419" i="8"/>
  <c r="S1419" i="8" s="1"/>
  <c r="R1420" i="8"/>
  <c r="S1420" i="8" s="1"/>
  <c r="R1421" i="8"/>
  <c r="S1421" i="8" s="1"/>
  <c r="R1422" i="8"/>
  <c r="S1422" i="8" s="1"/>
  <c r="R1423" i="8"/>
  <c r="S1423" i="8" s="1"/>
  <c r="R1424" i="8"/>
  <c r="S1424" i="8" s="1"/>
  <c r="R1425" i="8"/>
  <c r="S1425" i="8" s="1"/>
  <c r="R1426" i="8"/>
  <c r="S1426" i="8" s="1"/>
  <c r="R1427" i="8"/>
  <c r="S1427" i="8" s="1"/>
  <c r="R1428" i="8"/>
  <c r="S1428" i="8" s="1"/>
  <c r="R1429" i="8"/>
  <c r="S1429" i="8" s="1"/>
  <c r="R1430" i="8"/>
  <c r="S1430" i="8" s="1"/>
  <c r="R1431" i="8"/>
  <c r="S1431" i="8" s="1"/>
  <c r="R1432" i="8"/>
  <c r="S1432" i="8" s="1"/>
  <c r="R1433" i="8"/>
  <c r="S1433" i="8" s="1"/>
  <c r="R1434" i="8"/>
  <c r="S1434" i="8" s="1"/>
  <c r="R1435" i="8"/>
  <c r="S1435" i="8" s="1"/>
  <c r="R1436" i="8"/>
  <c r="S1436" i="8" s="1"/>
  <c r="R1437" i="8"/>
  <c r="S1437" i="8" s="1"/>
  <c r="R1438" i="8"/>
  <c r="S1438" i="8" s="1"/>
  <c r="R1439" i="8"/>
  <c r="S1439" i="8" s="1"/>
  <c r="R1440" i="8"/>
  <c r="S1440" i="8" s="1"/>
  <c r="R1441" i="8"/>
  <c r="S1441" i="8" s="1"/>
  <c r="R1442" i="8"/>
  <c r="S1442" i="8" s="1"/>
  <c r="R1443" i="8"/>
  <c r="S1443" i="8" s="1"/>
  <c r="R1444" i="8"/>
  <c r="S1444" i="8" s="1"/>
  <c r="R1445" i="8"/>
  <c r="S1445" i="8" s="1"/>
  <c r="R1446" i="8"/>
  <c r="S1446" i="8" s="1"/>
  <c r="R1447" i="8"/>
  <c r="S1447" i="8" s="1"/>
  <c r="R1448" i="8"/>
  <c r="S1448" i="8" s="1"/>
  <c r="R1449" i="8"/>
  <c r="S1449" i="8" s="1"/>
  <c r="R1450" i="8"/>
  <c r="S1450" i="8" s="1"/>
  <c r="R1451" i="8"/>
  <c r="S1451" i="8" s="1"/>
  <c r="R1452" i="8"/>
  <c r="S1452" i="8" s="1"/>
  <c r="R1453" i="8"/>
  <c r="S1453" i="8" s="1"/>
  <c r="R1454" i="8"/>
  <c r="S1454" i="8" s="1"/>
  <c r="R1455" i="8"/>
  <c r="S1455" i="8" s="1"/>
  <c r="R1456" i="8"/>
  <c r="S1456" i="8" s="1"/>
  <c r="R1457" i="8"/>
  <c r="S1457" i="8" s="1"/>
  <c r="R1458" i="8"/>
  <c r="S1458" i="8" s="1"/>
  <c r="R1459" i="8"/>
  <c r="S1459" i="8" s="1"/>
  <c r="R1460" i="8"/>
  <c r="S1460" i="8" s="1"/>
  <c r="R1461" i="8"/>
  <c r="S1461" i="8" s="1"/>
  <c r="R1462" i="8"/>
  <c r="S1462" i="8" s="1"/>
  <c r="R1463" i="8"/>
  <c r="S1463" i="8" s="1"/>
  <c r="R1464" i="8"/>
  <c r="S1464" i="8" s="1"/>
  <c r="R1465" i="8"/>
  <c r="S1465" i="8" s="1"/>
  <c r="R1466" i="8"/>
  <c r="S1466" i="8" s="1"/>
  <c r="R1467" i="8"/>
  <c r="S1467" i="8" s="1"/>
  <c r="R1468" i="8"/>
  <c r="S1468" i="8" s="1"/>
  <c r="R1469" i="8"/>
  <c r="S1469" i="8" s="1"/>
  <c r="R1470" i="8"/>
  <c r="S1470" i="8" s="1"/>
  <c r="R1471" i="8"/>
  <c r="S1471" i="8" s="1"/>
  <c r="R1472" i="8"/>
  <c r="S1472" i="8" s="1"/>
  <c r="R1473" i="8"/>
  <c r="S1473" i="8" s="1"/>
  <c r="R1474" i="8"/>
  <c r="S1474" i="8" s="1"/>
  <c r="R1475" i="8"/>
  <c r="S1475" i="8" s="1"/>
  <c r="R1476" i="8"/>
  <c r="S1476" i="8" s="1"/>
  <c r="R1477" i="8"/>
  <c r="S1477" i="8" s="1"/>
  <c r="R1478" i="8"/>
  <c r="S1478" i="8" s="1"/>
  <c r="R1479" i="8"/>
  <c r="S1479" i="8" s="1"/>
  <c r="R1480" i="8"/>
  <c r="S1480" i="8" s="1"/>
  <c r="R1481" i="8"/>
  <c r="S1481" i="8" s="1"/>
  <c r="R1482" i="8"/>
  <c r="S1482" i="8" s="1"/>
  <c r="R1483" i="8"/>
  <c r="S1483" i="8" s="1"/>
  <c r="R1484" i="8"/>
  <c r="S1484" i="8" s="1"/>
  <c r="R1485" i="8"/>
  <c r="S1485" i="8" s="1"/>
  <c r="R1486" i="8"/>
  <c r="S1486" i="8" s="1"/>
  <c r="R1487" i="8"/>
  <c r="S1487" i="8" s="1"/>
  <c r="R1488" i="8"/>
  <c r="S1488" i="8" s="1"/>
  <c r="R1489" i="8"/>
  <c r="S1489" i="8" s="1"/>
  <c r="R1490" i="8"/>
  <c r="S1490" i="8" s="1"/>
  <c r="R1491" i="8"/>
  <c r="S1491" i="8" s="1"/>
  <c r="R1492" i="8"/>
  <c r="S1492" i="8" s="1"/>
  <c r="R1493" i="8"/>
  <c r="S1493" i="8" s="1"/>
  <c r="R1494" i="8"/>
  <c r="S1494" i="8" s="1"/>
  <c r="R1495" i="8"/>
  <c r="S1495" i="8" s="1"/>
  <c r="R1496" i="8"/>
  <c r="S1496" i="8" s="1"/>
  <c r="R1497" i="8"/>
  <c r="S1497" i="8" s="1"/>
  <c r="R1498" i="8"/>
  <c r="S1498" i="8" s="1"/>
  <c r="R1499" i="8"/>
  <c r="S1499" i="8" s="1"/>
  <c r="R1500" i="8"/>
  <c r="S1500" i="8" s="1"/>
  <c r="R1501" i="8"/>
  <c r="S1501" i="8" s="1"/>
  <c r="R1502" i="8"/>
  <c r="S1502" i="8" s="1"/>
  <c r="R1503" i="8"/>
  <c r="S1503" i="8" s="1"/>
  <c r="R1504" i="8"/>
  <c r="S1504" i="8" s="1"/>
  <c r="R1505" i="8"/>
  <c r="S1505" i="8" s="1"/>
  <c r="R1506" i="8"/>
  <c r="S1506" i="8" s="1"/>
  <c r="R1507" i="8"/>
  <c r="S1507" i="8" s="1"/>
  <c r="R1508" i="8"/>
  <c r="S1508" i="8" s="1"/>
  <c r="R1509" i="8"/>
  <c r="S1509" i="8" s="1"/>
  <c r="R1510" i="8"/>
  <c r="S1510" i="8" s="1"/>
  <c r="R1511" i="8"/>
  <c r="S1511" i="8" s="1"/>
  <c r="R1512" i="8"/>
  <c r="S1512" i="8" s="1"/>
  <c r="R1513" i="8"/>
  <c r="S1513" i="8" s="1"/>
  <c r="R1514" i="8"/>
  <c r="S1514" i="8" s="1"/>
  <c r="R1515" i="8"/>
  <c r="S1515" i="8" s="1"/>
  <c r="R1516" i="8"/>
  <c r="S1516" i="8" s="1"/>
  <c r="R1517" i="8"/>
  <c r="S1517" i="8" s="1"/>
  <c r="R1518" i="8"/>
  <c r="S1518" i="8" s="1"/>
  <c r="R1519" i="8"/>
  <c r="S1519" i="8" s="1"/>
  <c r="R1520" i="8"/>
  <c r="S1520" i="8" s="1"/>
  <c r="R1521" i="8"/>
  <c r="S1521" i="8" s="1"/>
  <c r="R1522" i="8"/>
  <c r="S1522" i="8" s="1"/>
  <c r="R1523" i="8"/>
  <c r="S1523" i="8" s="1"/>
  <c r="R1524" i="8"/>
  <c r="S1524" i="8" s="1"/>
  <c r="R1525" i="8"/>
  <c r="S1525" i="8" s="1"/>
  <c r="R1526" i="8"/>
  <c r="S1526" i="8" s="1"/>
  <c r="R1527" i="8"/>
  <c r="S1527" i="8" s="1"/>
  <c r="R1528" i="8"/>
  <c r="S1528" i="8" s="1"/>
  <c r="R1529" i="8"/>
  <c r="S1529" i="8" s="1"/>
  <c r="R1530" i="8"/>
  <c r="S1530" i="8" s="1"/>
  <c r="R1531" i="8"/>
  <c r="S1531" i="8" s="1"/>
  <c r="R1532" i="8"/>
  <c r="S1532" i="8" s="1"/>
  <c r="R1533" i="8"/>
  <c r="S1533" i="8" s="1"/>
  <c r="R1534" i="8"/>
  <c r="S1534" i="8" s="1"/>
  <c r="R1535" i="8"/>
  <c r="S1535" i="8" s="1"/>
  <c r="R1536" i="8"/>
  <c r="S1536" i="8" s="1"/>
  <c r="R1537" i="8"/>
  <c r="S1537" i="8" s="1"/>
  <c r="R1538" i="8"/>
  <c r="S1538" i="8" s="1"/>
  <c r="R1539" i="8"/>
  <c r="S1539" i="8" s="1"/>
  <c r="R1540" i="8"/>
  <c r="S1540" i="8" s="1"/>
  <c r="R1541" i="8"/>
  <c r="S1541" i="8" s="1"/>
  <c r="R1542" i="8"/>
  <c r="S1542" i="8" s="1"/>
  <c r="R1543" i="8"/>
  <c r="S1543" i="8" s="1"/>
  <c r="R1544" i="8"/>
  <c r="S1544" i="8" s="1"/>
  <c r="R1545" i="8"/>
  <c r="S1545" i="8" s="1"/>
  <c r="R1546" i="8"/>
  <c r="S1546" i="8" s="1"/>
  <c r="R1547" i="8"/>
  <c r="S1547" i="8" s="1"/>
  <c r="R1548" i="8"/>
  <c r="S1548" i="8" s="1"/>
  <c r="R1549" i="8"/>
  <c r="S1549" i="8" s="1"/>
  <c r="R1550" i="8"/>
  <c r="S1550" i="8" s="1"/>
  <c r="R1551" i="8"/>
  <c r="S1551" i="8" s="1"/>
  <c r="R1552" i="8"/>
  <c r="S1552" i="8" s="1"/>
  <c r="R1553" i="8"/>
  <c r="S1553" i="8" s="1"/>
  <c r="R1554" i="8"/>
  <c r="S1554" i="8" s="1"/>
  <c r="R1555" i="8"/>
  <c r="S1555" i="8" s="1"/>
  <c r="R1556" i="8"/>
  <c r="S1556" i="8" s="1"/>
  <c r="R1557" i="8"/>
  <c r="S1557" i="8" s="1"/>
  <c r="R1558" i="8"/>
  <c r="S1558" i="8" s="1"/>
  <c r="R1559" i="8"/>
  <c r="S1559" i="8" s="1"/>
  <c r="R1560" i="8"/>
  <c r="S1560" i="8" s="1"/>
  <c r="R1561" i="8"/>
  <c r="S1561" i="8" s="1"/>
  <c r="R1562" i="8"/>
  <c r="S1562" i="8" s="1"/>
  <c r="R1563" i="8"/>
  <c r="S1563" i="8" s="1"/>
  <c r="R1564" i="8"/>
  <c r="S1564" i="8" s="1"/>
  <c r="R1565" i="8"/>
  <c r="S1565" i="8" s="1"/>
  <c r="R1566" i="8"/>
  <c r="S1566" i="8" s="1"/>
  <c r="R1567" i="8"/>
  <c r="S1567" i="8" s="1"/>
  <c r="R1568" i="8"/>
  <c r="S1568" i="8" s="1"/>
  <c r="R1569" i="8"/>
  <c r="S1569" i="8" s="1"/>
  <c r="R1570" i="8"/>
  <c r="S1570" i="8" s="1"/>
  <c r="R1571" i="8"/>
  <c r="S1571" i="8" s="1"/>
  <c r="R1572" i="8"/>
  <c r="S1572" i="8" s="1"/>
  <c r="R1573" i="8"/>
  <c r="S1573" i="8" s="1"/>
  <c r="R1574" i="8"/>
  <c r="S1574" i="8" s="1"/>
  <c r="R1575" i="8"/>
  <c r="S1575" i="8" s="1"/>
  <c r="R1576" i="8"/>
  <c r="S1576" i="8" s="1"/>
  <c r="R1577" i="8"/>
  <c r="S1577" i="8" s="1"/>
  <c r="R1578" i="8"/>
  <c r="S1578" i="8" s="1"/>
  <c r="R1579" i="8"/>
  <c r="S1579" i="8" s="1"/>
  <c r="R1580" i="8"/>
  <c r="S1580" i="8" s="1"/>
  <c r="R1581" i="8"/>
  <c r="S1581" i="8" s="1"/>
  <c r="R1582" i="8"/>
  <c r="S1582" i="8" s="1"/>
  <c r="R1583" i="8"/>
  <c r="S1583" i="8" s="1"/>
  <c r="R1584" i="8"/>
  <c r="S1584" i="8" s="1"/>
  <c r="R1585" i="8"/>
  <c r="S1585" i="8" s="1"/>
  <c r="R1586" i="8"/>
  <c r="S1586" i="8" s="1"/>
  <c r="R1587" i="8"/>
  <c r="S1587" i="8" s="1"/>
  <c r="R1588" i="8"/>
  <c r="S1588" i="8" s="1"/>
  <c r="R1589" i="8"/>
  <c r="S1589" i="8" s="1"/>
  <c r="R1590" i="8"/>
  <c r="S1590" i="8" s="1"/>
  <c r="R1591" i="8"/>
  <c r="S1591" i="8" s="1"/>
  <c r="R1592" i="8"/>
  <c r="S1592" i="8" s="1"/>
  <c r="R1593" i="8"/>
  <c r="S1593" i="8" s="1"/>
  <c r="R1594" i="8"/>
  <c r="S1594" i="8" s="1"/>
  <c r="R1595" i="8"/>
  <c r="S1595" i="8" s="1"/>
  <c r="R1596" i="8"/>
  <c r="S1596" i="8" s="1"/>
  <c r="R1597" i="8"/>
  <c r="S1597" i="8" s="1"/>
  <c r="R1598" i="8"/>
  <c r="S1598" i="8" s="1"/>
  <c r="R1599" i="8"/>
  <c r="S1599" i="8" s="1"/>
  <c r="R1600" i="8"/>
  <c r="S1600" i="8" s="1"/>
  <c r="R1601" i="8"/>
  <c r="S1601" i="8" s="1"/>
  <c r="R1602" i="8"/>
  <c r="S1602" i="8" s="1"/>
  <c r="R1603" i="8"/>
  <c r="S1603" i="8" s="1"/>
  <c r="R1604" i="8"/>
  <c r="S1604" i="8" s="1"/>
  <c r="R1605" i="8"/>
  <c r="S1605" i="8" s="1"/>
  <c r="R1606" i="8"/>
  <c r="S1606" i="8" s="1"/>
  <c r="R1607" i="8"/>
  <c r="S1607" i="8" s="1"/>
  <c r="R1608" i="8"/>
  <c r="S1608" i="8" s="1"/>
  <c r="R1609" i="8"/>
  <c r="S1609" i="8" s="1"/>
  <c r="R1610" i="8"/>
  <c r="S1610" i="8" s="1"/>
  <c r="R1611" i="8"/>
  <c r="S1611" i="8" s="1"/>
  <c r="R1612" i="8"/>
  <c r="S1612" i="8" s="1"/>
  <c r="R1613" i="8"/>
  <c r="S1613" i="8" s="1"/>
  <c r="R1614" i="8"/>
  <c r="S1614" i="8" s="1"/>
  <c r="R1615" i="8"/>
  <c r="S1615" i="8" s="1"/>
  <c r="R1616" i="8"/>
  <c r="S1616" i="8" s="1"/>
  <c r="R1617" i="8"/>
  <c r="S1617" i="8" s="1"/>
  <c r="R1618" i="8"/>
  <c r="S1618" i="8" s="1"/>
  <c r="R1619" i="8"/>
  <c r="S1619" i="8" s="1"/>
  <c r="R1620" i="8"/>
  <c r="S1620" i="8" s="1"/>
  <c r="R1621" i="8"/>
  <c r="S1621" i="8" s="1"/>
  <c r="R1622" i="8"/>
  <c r="S1622" i="8" s="1"/>
  <c r="R1623" i="8"/>
  <c r="S1623" i="8" s="1"/>
  <c r="R1624" i="8"/>
  <c r="S1624" i="8" s="1"/>
  <c r="R1625" i="8"/>
  <c r="S1625" i="8" s="1"/>
  <c r="R1626" i="8"/>
  <c r="S1626" i="8" s="1"/>
  <c r="R1627" i="8"/>
  <c r="S1627" i="8" s="1"/>
  <c r="R1628" i="8"/>
  <c r="S1628" i="8" s="1"/>
  <c r="R1629" i="8"/>
  <c r="S1629" i="8" s="1"/>
  <c r="R1630" i="8"/>
  <c r="S1630" i="8" s="1"/>
  <c r="R1631" i="8"/>
  <c r="S1631" i="8" s="1"/>
  <c r="R1632" i="8"/>
  <c r="S1632" i="8" s="1"/>
  <c r="R1633" i="8"/>
  <c r="S1633" i="8" s="1"/>
  <c r="R1634" i="8"/>
  <c r="S1634" i="8" s="1"/>
  <c r="R1635" i="8"/>
  <c r="S1635" i="8" s="1"/>
  <c r="R1636" i="8"/>
  <c r="S1636" i="8" s="1"/>
  <c r="R1637" i="8"/>
  <c r="S1637" i="8" s="1"/>
  <c r="R1638" i="8"/>
  <c r="S1638" i="8" s="1"/>
  <c r="R1639" i="8"/>
  <c r="S1639" i="8" s="1"/>
  <c r="R1640" i="8"/>
  <c r="S1640" i="8" s="1"/>
  <c r="R1641" i="8"/>
  <c r="S1641" i="8" s="1"/>
  <c r="R1642" i="8"/>
  <c r="S1642" i="8" s="1"/>
  <c r="R1643" i="8"/>
  <c r="S1643" i="8" s="1"/>
  <c r="R1644" i="8"/>
  <c r="S1644" i="8" s="1"/>
  <c r="R1645" i="8"/>
  <c r="S1645" i="8" s="1"/>
  <c r="R1646" i="8"/>
  <c r="S1646" i="8" s="1"/>
  <c r="R1647" i="8"/>
  <c r="S1647" i="8" s="1"/>
  <c r="R1648" i="8"/>
  <c r="S1648" i="8" s="1"/>
  <c r="R1649" i="8"/>
  <c r="S1649" i="8" s="1"/>
  <c r="R1650" i="8"/>
  <c r="S1650" i="8" s="1"/>
  <c r="R1651" i="8"/>
  <c r="S1651" i="8" s="1"/>
  <c r="R1652" i="8"/>
  <c r="S1652" i="8" s="1"/>
  <c r="R1653" i="8"/>
  <c r="S1653" i="8" s="1"/>
  <c r="R1654" i="8"/>
  <c r="S1654" i="8" s="1"/>
  <c r="R1655" i="8"/>
  <c r="S1655" i="8" s="1"/>
  <c r="R1656" i="8"/>
  <c r="S1656" i="8" s="1"/>
  <c r="R1657" i="8"/>
  <c r="S1657" i="8" s="1"/>
  <c r="R1658" i="8"/>
  <c r="S1658" i="8" s="1"/>
  <c r="R1659" i="8"/>
  <c r="S1659" i="8" s="1"/>
  <c r="R1660" i="8"/>
  <c r="S1660" i="8" s="1"/>
  <c r="R1661" i="8"/>
  <c r="S1661" i="8" s="1"/>
  <c r="R1662" i="8"/>
  <c r="S1662" i="8" s="1"/>
  <c r="R1663" i="8"/>
  <c r="S1663" i="8" s="1"/>
  <c r="R1664" i="8"/>
  <c r="S1664" i="8" s="1"/>
  <c r="R1665" i="8"/>
  <c r="S1665" i="8" s="1"/>
  <c r="R1666" i="8"/>
  <c r="S1666" i="8" s="1"/>
  <c r="R1667" i="8"/>
  <c r="S1667" i="8" s="1"/>
  <c r="R1668" i="8"/>
  <c r="S1668" i="8" s="1"/>
  <c r="R1669" i="8"/>
  <c r="S1669" i="8" s="1"/>
  <c r="R1670" i="8"/>
  <c r="S1670" i="8" s="1"/>
  <c r="R1671" i="8"/>
  <c r="S1671" i="8" s="1"/>
  <c r="R1672" i="8"/>
  <c r="S1672" i="8" s="1"/>
  <c r="R1673" i="8"/>
  <c r="S1673" i="8" s="1"/>
  <c r="R1674" i="8"/>
  <c r="S1674" i="8" s="1"/>
  <c r="R1675" i="8"/>
  <c r="S1675" i="8" s="1"/>
  <c r="R1676" i="8"/>
  <c r="S1676" i="8" s="1"/>
  <c r="R1677" i="8"/>
  <c r="S1677" i="8" s="1"/>
  <c r="R1678" i="8"/>
  <c r="S1678" i="8" s="1"/>
  <c r="R1679" i="8"/>
  <c r="S1679" i="8" s="1"/>
  <c r="R1680" i="8"/>
  <c r="S1680" i="8" s="1"/>
  <c r="R1681" i="8"/>
  <c r="S1681" i="8" s="1"/>
  <c r="R1682" i="8"/>
  <c r="S1682" i="8" s="1"/>
  <c r="R1683" i="8"/>
  <c r="S1683" i="8" s="1"/>
  <c r="R1684" i="8"/>
  <c r="S1684" i="8" s="1"/>
  <c r="R1685" i="8"/>
  <c r="S1685" i="8" s="1"/>
  <c r="R1686" i="8"/>
  <c r="S1686" i="8" s="1"/>
  <c r="R1687" i="8"/>
  <c r="S1687" i="8" s="1"/>
  <c r="R1688" i="8"/>
  <c r="S1688" i="8" s="1"/>
  <c r="R1689" i="8"/>
  <c r="S1689" i="8" s="1"/>
  <c r="R1690" i="8"/>
  <c r="S1690" i="8" s="1"/>
  <c r="R1691" i="8"/>
  <c r="S1691" i="8" s="1"/>
  <c r="R1692" i="8"/>
  <c r="S1692" i="8" s="1"/>
  <c r="R1693" i="8"/>
  <c r="S1693" i="8" s="1"/>
  <c r="R1694" i="8"/>
  <c r="S1694" i="8" s="1"/>
  <c r="R1695" i="8"/>
  <c r="S1695" i="8" s="1"/>
  <c r="R1696" i="8"/>
  <c r="S1696" i="8" s="1"/>
  <c r="R1697" i="8"/>
  <c r="S1697" i="8" s="1"/>
  <c r="R1698" i="8"/>
  <c r="S1698" i="8" s="1"/>
  <c r="R1699" i="8"/>
  <c r="S1699" i="8" s="1"/>
  <c r="R1700" i="8"/>
  <c r="S1700" i="8" s="1"/>
  <c r="R1701" i="8"/>
  <c r="S1701" i="8" s="1"/>
  <c r="R1702" i="8"/>
  <c r="S1702" i="8" s="1"/>
  <c r="R1703" i="8"/>
  <c r="S1703" i="8" s="1"/>
  <c r="R1704" i="8"/>
  <c r="S1704" i="8" s="1"/>
  <c r="R1705" i="8"/>
  <c r="S1705" i="8" s="1"/>
  <c r="R1706" i="8"/>
  <c r="S1706" i="8" s="1"/>
  <c r="R1707" i="8"/>
  <c r="S1707" i="8" s="1"/>
  <c r="R1708" i="8"/>
  <c r="S1708" i="8" s="1"/>
  <c r="R1709" i="8"/>
  <c r="S1709" i="8" s="1"/>
  <c r="R1710" i="8"/>
  <c r="S1710" i="8" s="1"/>
  <c r="R1711" i="8"/>
  <c r="S1711" i="8" s="1"/>
  <c r="R1712" i="8"/>
  <c r="S1712" i="8" s="1"/>
  <c r="R1713" i="8"/>
  <c r="S1713" i="8" s="1"/>
  <c r="R1714" i="8"/>
  <c r="S1714" i="8" s="1"/>
  <c r="R1715" i="8"/>
  <c r="S1715" i="8" s="1"/>
  <c r="R1716" i="8"/>
  <c r="S1716" i="8" s="1"/>
  <c r="R1717" i="8"/>
  <c r="S1717" i="8" s="1"/>
  <c r="R1718" i="8"/>
  <c r="S1718" i="8" s="1"/>
  <c r="R1719" i="8"/>
  <c r="S1719" i="8" s="1"/>
  <c r="R1720" i="8"/>
  <c r="S1720" i="8" s="1"/>
  <c r="R1721" i="8"/>
  <c r="S1721" i="8" s="1"/>
  <c r="R1722" i="8"/>
  <c r="S1722" i="8" s="1"/>
  <c r="R1723" i="8"/>
  <c r="S1723" i="8" s="1"/>
  <c r="R1724" i="8"/>
  <c r="S1724" i="8" s="1"/>
  <c r="R1725" i="8"/>
  <c r="S1725" i="8" s="1"/>
  <c r="R1726" i="8"/>
  <c r="S1726" i="8" s="1"/>
  <c r="R1727" i="8"/>
  <c r="S1727" i="8" s="1"/>
  <c r="R1728" i="8"/>
  <c r="S1728" i="8" s="1"/>
  <c r="R1729" i="8"/>
  <c r="S1729" i="8" s="1"/>
  <c r="R1730" i="8"/>
  <c r="S1730" i="8" s="1"/>
  <c r="R1731" i="8"/>
  <c r="S1731" i="8" s="1"/>
  <c r="R1732" i="8"/>
  <c r="S1732" i="8" s="1"/>
  <c r="R1733" i="8"/>
  <c r="S1733" i="8" s="1"/>
  <c r="R1734" i="8"/>
  <c r="S1734" i="8" s="1"/>
  <c r="R1735" i="8"/>
  <c r="S1735" i="8" s="1"/>
  <c r="R1736" i="8"/>
  <c r="S1736" i="8" s="1"/>
  <c r="R1737" i="8"/>
  <c r="S1737" i="8" s="1"/>
  <c r="R1738" i="8"/>
  <c r="S1738" i="8" s="1"/>
  <c r="R1739" i="8"/>
  <c r="S1739" i="8" s="1"/>
  <c r="R1740" i="8"/>
  <c r="S1740" i="8" s="1"/>
  <c r="R1741" i="8"/>
  <c r="S1741" i="8" s="1"/>
  <c r="R1742" i="8"/>
  <c r="S1742" i="8" s="1"/>
  <c r="R1743" i="8"/>
  <c r="S1743" i="8" s="1"/>
  <c r="R1744" i="8"/>
  <c r="S1744" i="8" s="1"/>
  <c r="R1745" i="8"/>
  <c r="S1745" i="8" s="1"/>
  <c r="R1746" i="8"/>
  <c r="S1746" i="8" s="1"/>
  <c r="R1747" i="8"/>
  <c r="S1747" i="8" s="1"/>
  <c r="R1748" i="8"/>
  <c r="S1748" i="8" s="1"/>
  <c r="R1749" i="8"/>
  <c r="S1749" i="8" s="1"/>
  <c r="R1750" i="8"/>
  <c r="S1750" i="8" s="1"/>
  <c r="R1751" i="8"/>
  <c r="S1751" i="8" s="1"/>
  <c r="R1752" i="8"/>
  <c r="S1752" i="8" s="1"/>
  <c r="R1753" i="8"/>
  <c r="S1753" i="8" s="1"/>
  <c r="R1754" i="8"/>
  <c r="S1754" i="8" s="1"/>
  <c r="R1755" i="8"/>
  <c r="S1755" i="8" s="1"/>
  <c r="R1756" i="8"/>
  <c r="S1756" i="8" s="1"/>
  <c r="R1757" i="8"/>
  <c r="S1757" i="8" s="1"/>
  <c r="R1758" i="8"/>
  <c r="S1758" i="8" s="1"/>
  <c r="R1759" i="8"/>
  <c r="S1759" i="8" s="1"/>
  <c r="R1760" i="8"/>
  <c r="S1760" i="8" s="1"/>
  <c r="R1761" i="8"/>
  <c r="S1761" i="8" s="1"/>
  <c r="R1762" i="8"/>
  <c r="S1762" i="8" s="1"/>
  <c r="R1763" i="8"/>
  <c r="S1763" i="8" s="1"/>
  <c r="R1764" i="8"/>
  <c r="S1764" i="8" s="1"/>
  <c r="R1765" i="8"/>
  <c r="S1765" i="8" s="1"/>
  <c r="R1766" i="8"/>
  <c r="S1766" i="8" s="1"/>
  <c r="R1767" i="8"/>
  <c r="S1767" i="8" s="1"/>
  <c r="R1768" i="8"/>
  <c r="S1768" i="8" s="1"/>
  <c r="R1769" i="8"/>
  <c r="S1769" i="8" s="1"/>
  <c r="R1770" i="8"/>
  <c r="S1770" i="8" s="1"/>
  <c r="R1771" i="8"/>
  <c r="S1771" i="8" s="1"/>
  <c r="R1772" i="8"/>
  <c r="S1772" i="8" s="1"/>
  <c r="R1773" i="8"/>
  <c r="S1773" i="8" s="1"/>
  <c r="R1774" i="8"/>
  <c r="S1774" i="8" s="1"/>
  <c r="R1775" i="8"/>
  <c r="S1775" i="8" s="1"/>
  <c r="R1776" i="8"/>
  <c r="S1776" i="8" s="1"/>
  <c r="R1777" i="8"/>
  <c r="S1777" i="8" s="1"/>
  <c r="R1778" i="8"/>
  <c r="S1778" i="8" s="1"/>
  <c r="R1779" i="8"/>
  <c r="S1779" i="8" s="1"/>
  <c r="R1780" i="8"/>
  <c r="S1780" i="8" s="1"/>
  <c r="R1781" i="8"/>
  <c r="S1781" i="8" s="1"/>
  <c r="R1782" i="8"/>
  <c r="S1782" i="8" s="1"/>
  <c r="R1783" i="8"/>
  <c r="S1783" i="8" s="1"/>
  <c r="R1784" i="8"/>
  <c r="S1784" i="8" s="1"/>
  <c r="R1785" i="8"/>
  <c r="S1785" i="8" s="1"/>
  <c r="R1786" i="8"/>
  <c r="S1786" i="8" s="1"/>
  <c r="R1787" i="8"/>
  <c r="S1787" i="8" s="1"/>
  <c r="R1788" i="8"/>
  <c r="S1788" i="8" s="1"/>
  <c r="R1789" i="8"/>
  <c r="S1789" i="8" s="1"/>
  <c r="R1790" i="8"/>
  <c r="S1790" i="8" s="1"/>
  <c r="R1791" i="8"/>
  <c r="S1791" i="8" s="1"/>
  <c r="R1792" i="8"/>
  <c r="S1792" i="8" s="1"/>
  <c r="R1793" i="8"/>
  <c r="S1793" i="8" s="1"/>
  <c r="R1794" i="8"/>
  <c r="S1794" i="8" s="1"/>
  <c r="R1795" i="8"/>
  <c r="S1795" i="8" s="1"/>
  <c r="R1796" i="8"/>
  <c r="S1796" i="8" s="1"/>
  <c r="R1797" i="8"/>
  <c r="S1797" i="8" s="1"/>
  <c r="R1798" i="8"/>
  <c r="S1798" i="8" s="1"/>
  <c r="R1799" i="8"/>
  <c r="S1799" i="8" s="1"/>
  <c r="R1800" i="8"/>
  <c r="S1800" i="8" s="1"/>
  <c r="R1801" i="8"/>
  <c r="S1801" i="8" s="1"/>
  <c r="R1802" i="8"/>
  <c r="S1802" i="8" s="1"/>
  <c r="R1803" i="8"/>
  <c r="S1803" i="8" s="1"/>
  <c r="R1804" i="8"/>
  <c r="S1804" i="8" s="1"/>
  <c r="R1805" i="8"/>
  <c r="S1805" i="8" s="1"/>
  <c r="R1806" i="8"/>
  <c r="S1806" i="8" s="1"/>
  <c r="R1807" i="8"/>
  <c r="S1807" i="8" s="1"/>
  <c r="R1808" i="8"/>
  <c r="S1808" i="8" s="1"/>
  <c r="R1809" i="8"/>
  <c r="S1809" i="8" s="1"/>
  <c r="R1810" i="8"/>
  <c r="S1810" i="8" s="1"/>
  <c r="R1811" i="8"/>
  <c r="S1811" i="8" s="1"/>
  <c r="R1812" i="8"/>
  <c r="S1812" i="8" s="1"/>
  <c r="R1813" i="8"/>
  <c r="S1813" i="8" s="1"/>
  <c r="R1814" i="8"/>
  <c r="S1814" i="8" s="1"/>
  <c r="R1815" i="8"/>
  <c r="S1815" i="8" s="1"/>
  <c r="R1816" i="8"/>
  <c r="S1816" i="8" s="1"/>
  <c r="R1817" i="8"/>
  <c r="S1817" i="8" s="1"/>
  <c r="R1818" i="8"/>
  <c r="S1818" i="8" s="1"/>
  <c r="R1819" i="8"/>
  <c r="S1819" i="8" s="1"/>
  <c r="R1820" i="8"/>
  <c r="S1820" i="8" s="1"/>
  <c r="R1821" i="8"/>
  <c r="S1821" i="8" s="1"/>
  <c r="R1822" i="8"/>
  <c r="S1822" i="8" s="1"/>
  <c r="R1823" i="8"/>
  <c r="S1823" i="8" s="1"/>
  <c r="R1824" i="8"/>
  <c r="S1824" i="8" s="1"/>
  <c r="R1825" i="8"/>
  <c r="S1825" i="8" s="1"/>
  <c r="R1826" i="8"/>
  <c r="S1826" i="8" s="1"/>
  <c r="R1827" i="8"/>
  <c r="S1827" i="8" s="1"/>
  <c r="R1828" i="8"/>
  <c r="S1828" i="8" s="1"/>
  <c r="R1829" i="8"/>
  <c r="S1829" i="8" s="1"/>
  <c r="R1830" i="8"/>
  <c r="S1830" i="8" s="1"/>
  <c r="R1831" i="8"/>
  <c r="S1831" i="8" s="1"/>
  <c r="R1832" i="8"/>
  <c r="S1832" i="8" s="1"/>
  <c r="R1833" i="8"/>
  <c r="S1833" i="8" s="1"/>
  <c r="R1834" i="8"/>
  <c r="S1834" i="8" s="1"/>
  <c r="R1835" i="8"/>
  <c r="S1835" i="8" s="1"/>
  <c r="R1836" i="8"/>
  <c r="S1836" i="8" s="1"/>
  <c r="R1837" i="8"/>
  <c r="S1837" i="8" s="1"/>
  <c r="R1838" i="8"/>
  <c r="S1838" i="8" s="1"/>
  <c r="R1839" i="8"/>
  <c r="S1839" i="8" s="1"/>
  <c r="R1840" i="8"/>
  <c r="S1840" i="8" s="1"/>
  <c r="R1841" i="8"/>
  <c r="S1841" i="8" s="1"/>
  <c r="R1842" i="8"/>
  <c r="S1842" i="8" s="1"/>
  <c r="R1843" i="8"/>
  <c r="S1843" i="8" s="1"/>
  <c r="R1844" i="8"/>
  <c r="S1844" i="8" s="1"/>
  <c r="R1845" i="8"/>
  <c r="S1845" i="8" s="1"/>
  <c r="R1846" i="8"/>
  <c r="S1846" i="8" s="1"/>
  <c r="R1847" i="8"/>
  <c r="S1847" i="8" s="1"/>
  <c r="R1848" i="8"/>
  <c r="S1848" i="8" s="1"/>
  <c r="R1849" i="8"/>
  <c r="S1849" i="8" s="1"/>
  <c r="R1850" i="8"/>
  <c r="S1850" i="8" s="1"/>
  <c r="R1851" i="8"/>
  <c r="S1851" i="8" s="1"/>
  <c r="R1852" i="8"/>
  <c r="S1852" i="8" s="1"/>
  <c r="R1853" i="8"/>
  <c r="S1853" i="8" s="1"/>
  <c r="R1854" i="8"/>
  <c r="S1854" i="8" s="1"/>
  <c r="R1855" i="8"/>
  <c r="S1855" i="8" s="1"/>
  <c r="R1856" i="8"/>
  <c r="S1856" i="8" s="1"/>
  <c r="R1857" i="8"/>
  <c r="S1857" i="8" s="1"/>
  <c r="R1858" i="8"/>
  <c r="S1858" i="8" s="1"/>
  <c r="R1859" i="8"/>
  <c r="S1859" i="8" s="1"/>
  <c r="R1860" i="8"/>
  <c r="S1860" i="8" s="1"/>
  <c r="R1861" i="8"/>
  <c r="S1861" i="8" s="1"/>
  <c r="R1862" i="8"/>
  <c r="S1862" i="8" s="1"/>
  <c r="R1863" i="8"/>
  <c r="S1863" i="8" s="1"/>
  <c r="R1864" i="8"/>
  <c r="S1864" i="8" s="1"/>
  <c r="R1865" i="8"/>
  <c r="S1865" i="8" s="1"/>
  <c r="R1866" i="8"/>
  <c r="S1866" i="8" s="1"/>
  <c r="R1867" i="8"/>
  <c r="S1867" i="8" s="1"/>
  <c r="R1868" i="8"/>
  <c r="S1868" i="8" s="1"/>
  <c r="R1869" i="8"/>
  <c r="S1869" i="8" s="1"/>
  <c r="R1870" i="8"/>
  <c r="S1870" i="8" s="1"/>
  <c r="R1871" i="8"/>
  <c r="S1871" i="8" s="1"/>
  <c r="R1872" i="8"/>
  <c r="S1872" i="8" s="1"/>
  <c r="R1873" i="8"/>
  <c r="S1873" i="8" s="1"/>
  <c r="R1874" i="8"/>
  <c r="S1874" i="8" s="1"/>
  <c r="R1875" i="8"/>
  <c r="S1875" i="8" s="1"/>
  <c r="R1876" i="8"/>
  <c r="S1876" i="8" s="1"/>
  <c r="R1877" i="8"/>
  <c r="S1877" i="8" s="1"/>
  <c r="R1878" i="8"/>
  <c r="S1878" i="8" s="1"/>
  <c r="R1879" i="8"/>
  <c r="S1879" i="8" s="1"/>
  <c r="R1880" i="8"/>
  <c r="S1880" i="8" s="1"/>
  <c r="R1881" i="8"/>
  <c r="S1881" i="8" s="1"/>
  <c r="R1882" i="8"/>
  <c r="S1882" i="8" s="1"/>
  <c r="R1883" i="8"/>
  <c r="S1883" i="8" s="1"/>
  <c r="R1884" i="8"/>
  <c r="S1884" i="8" s="1"/>
  <c r="R1885" i="8"/>
  <c r="S1885" i="8" s="1"/>
  <c r="R1886" i="8"/>
  <c r="S1886" i="8" s="1"/>
  <c r="R1887" i="8"/>
  <c r="S1887" i="8" s="1"/>
  <c r="R1888" i="8"/>
  <c r="S1888" i="8" s="1"/>
  <c r="R1889" i="8"/>
  <c r="S1889" i="8" s="1"/>
  <c r="R1890" i="8"/>
  <c r="S1890" i="8" s="1"/>
  <c r="R1891" i="8"/>
  <c r="S1891" i="8" s="1"/>
  <c r="R1892" i="8"/>
  <c r="S1892" i="8" s="1"/>
  <c r="R1893" i="8"/>
  <c r="S1893" i="8" s="1"/>
  <c r="R1894" i="8"/>
  <c r="S1894" i="8" s="1"/>
  <c r="R1895" i="8"/>
  <c r="S1895" i="8" s="1"/>
  <c r="R1896" i="8"/>
  <c r="S1896" i="8" s="1"/>
  <c r="R1897" i="8"/>
  <c r="S1897" i="8" s="1"/>
  <c r="R1898" i="8"/>
  <c r="S1898" i="8" s="1"/>
  <c r="R1899" i="8"/>
  <c r="S1899" i="8" s="1"/>
  <c r="R1900" i="8"/>
  <c r="S1900" i="8" s="1"/>
  <c r="R1901" i="8"/>
  <c r="S1901" i="8" s="1"/>
  <c r="R1902" i="8"/>
  <c r="S1902" i="8" s="1"/>
  <c r="R1903" i="8"/>
  <c r="S1903" i="8" s="1"/>
  <c r="R1904" i="8"/>
  <c r="S1904" i="8" s="1"/>
  <c r="R1905" i="8"/>
  <c r="S1905" i="8" s="1"/>
  <c r="R1906" i="8"/>
  <c r="S1906" i="8" s="1"/>
  <c r="R1907" i="8"/>
  <c r="S1907" i="8" s="1"/>
  <c r="R1908" i="8"/>
  <c r="S1908" i="8" s="1"/>
  <c r="R1909" i="8"/>
  <c r="S1909" i="8" s="1"/>
  <c r="R1910" i="8"/>
  <c r="S1910" i="8" s="1"/>
  <c r="R1911" i="8"/>
  <c r="S1911" i="8" s="1"/>
  <c r="R1912" i="8"/>
  <c r="S1912" i="8" s="1"/>
  <c r="R1913" i="8"/>
  <c r="S1913" i="8" s="1"/>
  <c r="R1914" i="8"/>
  <c r="S1914" i="8" s="1"/>
  <c r="R1915" i="8"/>
  <c r="S1915" i="8" s="1"/>
  <c r="R1916" i="8"/>
  <c r="S1916" i="8" s="1"/>
  <c r="R1917" i="8"/>
  <c r="S1917" i="8" s="1"/>
  <c r="R1918" i="8"/>
  <c r="S1918" i="8" s="1"/>
  <c r="R1919" i="8"/>
  <c r="S1919" i="8" s="1"/>
  <c r="R1920" i="8"/>
  <c r="S1920" i="8" s="1"/>
  <c r="R1921" i="8"/>
  <c r="S1921" i="8" s="1"/>
  <c r="R1922" i="8"/>
  <c r="S1922" i="8" s="1"/>
  <c r="R1923" i="8"/>
  <c r="S1923" i="8" s="1"/>
  <c r="R1924" i="8"/>
  <c r="S1924" i="8" s="1"/>
  <c r="R1925" i="8"/>
  <c r="S1925" i="8" s="1"/>
  <c r="R1926" i="8"/>
  <c r="S1926" i="8" s="1"/>
  <c r="R1927" i="8"/>
  <c r="S1927" i="8" s="1"/>
  <c r="R1928" i="8"/>
  <c r="S1928" i="8" s="1"/>
  <c r="R1929" i="8"/>
  <c r="S1929" i="8" s="1"/>
  <c r="R1930" i="8"/>
  <c r="S1930" i="8" s="1"/>
  <c r="R1931" i="8"/>
  <c r="S1931" i="8" s="1"/>
  <c r="R1932" i="8"/>
  <c r="S1932" i="8" s="1"/>
  <c r="R1933" i="8"/>
  <c r="S1933" i="8" s="1"/>
  <c r="R1934" i="8"/>
  <c r="S1934" i="8" s="1"/>
  <c r="R1935" i="8"/>
  <c r="S1935" i="8" s="1"/>
  <c r="R1936" i="8"/>
  <c r="S1936" i="8" s="1"/>
  <c r="R1937" i="8"/>
  <c r="S1937" i="8" s="1"/>
  <c r="R1938" i="8"/>
  <c r="S1938" i="8" s="1"/>
  <c r="R1939" i="8"/>
  <c r="S1939" i="8" s="1"/>
  <c r="R1940" i="8"/>
  <c r="S1940" i="8" s="1"/>
  <c r="R1941" i="8"/>
  <c r="S1941" i="8" s="1"/>
  <c r="R1942" i="8"/>
  <c r="S1942" i="8" s="1"/>
  <c r="R1943" i="8"/>
  <c r="S1943" i="8" s="1"/>
  <c r="R1944" i="8"/>
  <c r="S1944" i="8" s="1"/>
  <c r="R1945" i="8"/>
  <c r="S1945" i="8" s="1"/>
  <c r="R1946" i="8"/>
  <c r="S1946" i="8" s="1"/>
  <c r="R1947" i="8"/>
  <c r="S1947" i="8" s="1"/>
  <c r="R1948" i="8"/>
  <c r="S1948" i="8" s="1"/>
  <c r="R1949" i="8"/>
  <c r="S1949" i="8" s="1"/>
  <c r="R1950" i="8"/>
  <c r="S1950" i="8" s="1"/>
  <c r="R1951" i="8"/>
  <c r="S1951" i="8" s="1"/>
  <c r="R1952" i="8"/>
  <c r="S1952" i="8" s="1"/>
  <c r="R1953" i="8"/>
  <c r="S1953" i="8" s="1"/>
  <c r="R1954" i="8"/>
  <c r="S1954" i="8" s="1"/>
  <c r="R1955" i="8"/>
  <c r="S1955" i="8" s="1"/>
  <c r="R1956" i="8"/>
  <c r="S1956" i="8" s="1"/>
  <c r="R1957" i="8"/>
  <c r="S1957" i="8" s="1"/>
  <c r="R1958" i="8"/>
  <c r="S1958" i="8" s="1"/>
  <c r="R1959" i="8"/>
  <c r="S1959" i="8" s="1"/>
  <c r="R1960" i="8"/>
  <c r="S1960" i="8" s="1"/>
  <c r="R1961" i="8"/>
  <c r="S1961" i="8" s="1"/>
  <c r="R1962" i="8"/>
  <c r="S1962" i="8" s="1"/>
  <c r="R1963" i="8"/>
  <c r="S1963" i="8" s="1"/>
  <c r="R1964" i="8"/>
  <c r="S1964" i="8" s="1"/>
  <c r="R1965" i="8"/>
  <c r="S1965" i="8" s="1"/>
  <c r="R1966" i="8"/>
  <c r="S1966" i="8" s="1"/>
  <c r="R1967" i="8"/>
  <c r="S1967" i="8" s="1"/>
  <c r="R1968" i="8"/>
  <c r="S1968" i="8" s="1"/>
  <c r="R1969" i="8"/>
  <c r="S1969" i="8" s="1"/>
  <c r="R1970" i="8"/>
  <c r="S1970" i="8" s="1"/>
  <c r="R1971" i="8"/>
  <c r="S1971" i="8" s="1"/>
  <c r="R1972" i="8"/>
  <c r="S1972" i="8" s="1"/>
  <c r="R1973" i="8"/>
  <c r="S1973" i="8" s="1"/>
  <c r="R1974" i="8"/>
  <c r="S1974" i="8" s="1"/>
  <c r="R1975" i="8"/>
  <c r="S1975" i="8" s="1"/>
  <c r="R1976" i="8"/>
  <c r="S1976" i="8" s="1"/>
  <c r="R1977" i="8"/>
  <c r="S1977" i="8" s="1"/>
  <c r="R1978" i="8"/>
  <c r="S1978" i="8" s="1"/>
  <c r="R1979" i="8"/>
  <c r="S1979" i="8" s="1"/>
  <c r="R1980" i="8"/>
  <c r="S1980" i="8" s="1"/>
  <c r="R1981" i="8"/>
  <c r="S1981" i="8" s="1"/>
  <c r="R1982" i="8"/>
  <c r="S1982" i="8" s="1"/>
  <c r="R1983" i="8"/>
  <c r="S1983" i="8" s="1"/>
  <c r="R1984" i="8"/>
  <c r="S1984" i="8" s="1"/>
  <c r="R1985" i="8"/>
  <c r="S1985" i="8" s="1"/>
  <c r="R1986" i="8"/>
  <c r="S1986" i="8" s="1"/>
  <c r="R1987" i="8"/>
  <c r="S1987" i="8" s="1"/>
  <c r="R1988" i="8"/>
  <c r="S1988" i="8" s="1"/>
  <c r="R1989" i="8"/>
  <c r="S1989" i="8" s="1"/>
  <c r="R1990" i="8"/>
  <c r="S1990" i="8" s="1"/>
  <c r="R1991" i="8"/>
  <c r="S1991" i="8" s="1"/>
  <c r="R1992" i="8"/>
  <c r="S1992" i="8" s="1"/>
  <c r="R1993" i="8"/>
  <c r="S1993" i="8" s="1"/>
  <c r="R1994" i="8"/>
  <c r="S1994" i="8" s="1"/>
  <c r="R1995" i="8"/>
  <c r="S1995" i="8" s="1"/>
  <c r="R1996" i="8"/>
  <c r="S1996" i="8" s="1"/>
  <c r="R1997" i="8"/>
  <c r="S1997" i="8" s="1"/>
  <c r="R1998" i="8"/>
  <c r="S1998" i="8" s="1"/>
  <c r="R1999" i="8"/>
  <c r="S1999" i="8" s="1"/>
  <c r="R2000" i="8"/>
  <c r="S2000" i="8" s="1"/>
  <c r="S78" i="8"/>
  <c r="S110" i="8"/>
  <c r="S125" i="8"/>
  <c r="S126" i="8"/>
  <c r="S141" i="8"/>
  <c r="S142" i="8"/>
  <c r="S157" i="8"/>
  <c r="S158" i="8"/>
  <c r="S173" i="8"/>
  <c r="S174" i="8"/>
  <c r="S205" i="8"/>
  <c r="S206" i="8"/>
  <c r="S221" i="8"/>
  <c r="S237" i="8"/>
  <c r="S238" i="8"/>
  <c r="S249" i="8"/>
  <c r="S253" i="8"/>
  <c r="S254" i="8"/>
  <c r="S269" i="8"/>
  <c r="S270" i="8"/>
  <c r="S286" i="8"/>
  <c r="S294" i="8"/>
  <c r="S301" i="8"/>
  <c r="S302" i="8"/>
  <c r="S313" i="8"/>
  <c r="S317" i="8"/>
  <c r="S333" i="8"/>
  <c r="S334" i="8"/>
  <c r="S349" i="8"/>
  <c r="S365" i="8"/>
  <c r="S366" i="8"/>
  <c r="S381" i="8"/>
  <c r="S382" i="8"/>
  <c r="S398" i="8"/>
  <c r="S413" i="8"/>
  <c r="S414" i="8"/>
  <c r="S429" i="8"/>
  <c r="S430" i="8"/>
  <c r="S445" i="8"/>
  <c r="S462" i="8"/>
  <c r="S469" i="8"/>
  <c r="S477" i="8"/>
  <c r="S478" i="8"/>
  <c r="S493" i="8"/>
  <c r="S514" i="8"/>
  <c r="S521" i="8"/>
  <c r="S557" i="8"/>
  <c r="S589" i="8"/>
  <c r="S606" i="8"/>
  <c r="S637" i="8"/>
  <c r="S685" i="8"/>
  <c r="S749" i="8"/>
  <c r="S765" i="8"/>
  <c r="S909" i="8"/>
  <c r="M76" i="8" l="1"/>
  <c r="M517" i="8"/>
  <c r="M1417" i="8"/>
  <c r="M1401" i="8"/>
  <c r="M1385" i="8"/>
  <c r="M1369" i="8"/>
  <c r="M1353" i="8"/>
  <c r="M1337" i="8"/>
  <c r="M1321" i="8"/>
  <c r="M1305" i="8"/>
  <c r="M1289" i="8"/>
  <c r="M1273" i="8"/>
  <c r="M1257" i="8"/>
  <c r="M1241" i="8"/>
  <c r="M1225" i="8"/>
  <c r="M1209" i="8"/>
  <c r="M1193" i="8"/>
  <c r="M1177" i="8"/>
  <c r="M1161" i="8"/>
  <c r="M1145" i="8"/>
  <c r="M1129" i="8"/>
  <c r="M1113" i="8"/>
  <c r="M1097" i="8"/>
  <c r="M1081" i="8"/>
  <c r="M1065" i="8"/>
  <c r="M1049" i="8"/>
  <c r="M1033" i="8"/>
  <c r="M1017" i="8"/>
  <c r="M1001" i="8"/>
  <c r="M985" i="8"/>
  <c r="M969" i="8"/>
  <c r="M953" i="8"/>
  <c r="M937" i="8"/>
  <c r="M921" i="8"/>
  <c r="M905" i="8"/>
  <c r="M889" i="8"/>
  <c r="M873" i="8"/>
  <c r="M857" i="8"/>
  <c r="M841" i="8"/>
  <c r="M825" i="8"/>
  <c r="M809" i="8"/>
  <c r="M793" i="8"/>
  <c r="M777" i="8"/>
  <c r="M761" i="8"/>
  <c r="M745" i="8"/>
  <c r="M729" i="8"/>
  <c r="M713" i="8"/>
  <c r="M697" i="8"/>
  <c r="M681" i="8"/>
  <c r="M665" i="8"/>
  <c r="M649" i="8"/>
  <c r="M633" i="8"/>
  <c r="M617" i="8"/>
  <c r="M601" i="8"/>
  <c r="M585" i="8"/>
  <c r="M569" i="8"/>
  <c r="M553" i="8"/>
  <c r="M537" i="8"/>
  <c r="M521" i="8"/>
  <c r="M505" i="8"/>
  <c r="M489" i="8"/>
  <c r="M473" i="8"/>
  <c r="M457" i="8"/>
  <c r="M441" i="8"/>
  <c r="M425" i="8"/>
  <c r="M409" i="8"/>
  <c r="M393" i="8"/>
  <c r="M377" i="8"/>
  <c r="M361" i="8"/>
  <c r="M345" i="8"/>
  <c r="M329" i="8"/>
  <c r="M313" i="8"/>
  <c r="M297" i="8"/>
  <c r="M281" i="8"/>
  <c r="M265" i="8"/>
  <c r="M249" i="8"/>
  <c r="M233" i="8"/>
  <c r="M217" i="8"/>
  <c r="M201" i="8"/>
  <c r="M185" i="8"/>
  <c r="M169" i="8"/>
  <c r="M153" i="8"/>
  <c r="M137" i="8"/>
  <c r="M121" i="8"/>
  <c r="M105" i="8"/>
  <c r="M89" i="8"/>
  <c r="M2000" i="8"/>
  <c r="M1984" i="8"/>
  <c r="M1968" i="8"/>
  <c r="M1952" i="8"/>
  <c r="M1936" i="8"/>
  <c r="M1920" i="8"/>
  <c r="M1904" i="8"/>
  <c r="M1888" i="8"/>
  <c r="M1872" i="8"/>
  <c r="M1856" i="8"/>
  <c r="M1840" i="8"/>
  <c r="M1824" i="8"/>
  <c r="M1808" i="8"/>
  <c r="M1792" i="8"/>
  <c r="M1776" i="8"/>
  <c r="M1760" i="8"/>
  <c r="M1744" i="8"/>
  <c r="M1728" i="8"/>
  <c r="M1712" i="8"/>
  <c r="M1696" i="8"/>
  <c r="M1680" i="8"/>
  <c r="M1664" i="8"/>
  <c r="M1648" i="8"/>
  <c r="M1632" i="8"/>
  <c r="M1616" i="8"/>
  <c r="M1600" i="8"/>
  <c r="M1584" i="8"/>
  <c r="M1568" i="8"/>
  <c r="M1552" i="8"/>
  <c r="M1536" i="8"/>
  <c r="M1520" i="8"/>
  <c r="M1504" i="8"/>
  <c r="M1488" i="8"/>
  <c r="M1472" i="8"/>
  <c r="M1456" i="8"/>
  <c r="M1440" i="8"/>
  <c r="M1986" i="8"/>
  <c r="M1970" i="8"/>
  <c r="M1954" i="8"/>
  <c r="M1938" i="8"/>
  <c r="M1922" i="8"/>
  <c r="M1906" i="8"/>
  <c r="M1890" i="8"/>
  <c r="M1874" i="8"/>
  <c r="M1858" i="8"/>
  <c r="M1842" i="8"/>
  <c r="M1826" i="8"/>
  <c r="M1810" i="8"/>
  <c r="M1794" i="8"/>
  <c r="M1778" i="8"/>
  <c r="M1762" i="8"/>
  <c r="M1746" i="8"/>
  <c r="M1730" i="8"/>
  <c r="M1714" i="8"/>
  <c r="M1698" i="8"/>
  <c r="M1682" i="8"/>
  <c r="M1666" i="8"/>
  <c r="M1650" i="8"/>
  <c r="M1634" i="8"/>
  <c r="M1618" i="8"/>
  <c r="M1602" i="8"/>
  <c r="M1586" i="8"/>
  <c r="M1570" i="8"/>
  <c r="M1554" i="8"/>
  <c r="M1538" i="8"/>
  <c r="M1522" i="8"/>
  <c r="M1506" i="8"/>
  <c r="M1490" i="8"/>
  <c r="M1474" i="8"/>
  <c r="M1458" i="8"/>
  <c r="M1442" i="8"/>
  <c r="M1426" i="8"/>
  <c r="M1410" i="8"/>
  <c r="M1394" i="8"/>
  <c r="M1378" i="8"/>
  <c r="M1362" i="8"/>
  <c r="M1346" i="8"/>
  <c r="M1330" i="8"/>
  <c r="M175" i="8"/>
  <c r="M111" i="8"/>
  <c r="M1299" i="8"/>
  <c r="M1251" i="8"/>
  <c r="M1219" i="8"/>
  <c r="M1203" i="8"/>
  <c r="M1171" i="8"/>
  <c r="M1155" i="8"/>
  <c r="M1314" i="8"/>
  <c r="M1298" i="8"/>
  <c r="M1282" i="8"/>
  <c r="M1266" i="8"/>
  <c r="M1250" i="8"/>
  <c r="M1234" i="8"/>
  <c r="M1218" i="8"/>
  <c r="M1202" i="8"/>
  <c r="M1186" i="8"/>
  <c r="M1170" i="8"/>
  <c r="M1154" i="8"/>
  <c r="M1138" i="8"/>
  <c r="M1122" i="8"/>
  <c r="M1106" i="8"/>
  <c r="M1090" i="8"/>
  <c r="M1074" i="8"/>
  <c r="M1058" i="8"/>
  <c r="M1042" i="8"/>
  <c r="M1026" i="8"/>
  <c r="M1010" i="8"/>
  <c r="M994" i="8"/>
  <c r="M978" i="8"/>
  <c r="M962" i="8"/>
  <c r="M946" i="8"/>
  <c r="M930" i="8"/>
  <c r="M914" i="8"/>
  <c r="M898" i="8"/>
  <c r="M882" i="8"/>
  <c r="M866" i="8"/>
  <c r="M850" i="8"/>
  <c r="M834" i="8"/>
  <c r="M818" i="8"/>
  <c r="M802" i="8"/>
  <c r="M786" i="8"/>
  <c r="M770" i="8"/>
  <c r="M754" i="8"/>
  <c r="M738" i="8"/>
  <c r="M722" i="8"/>
  <c r="M706" i="8"/>
  <c r="M690" i="8"/>
  <c r="M674" i="8"/>
  <c r="M658" i="8"/>
  <c r="M642" i="8"/>
  <c r="M626" i="8"/>
  <c r="M610" i="8"/>
  <c r="M594" i="8"/>
  <c r="M578" i="8"/>
  <c r="M562" i="8"/>
  <c r="M546" i="8"/>
  <c r="M530" i="8"/>
  <c r="M514" i="8"/>
  <c r="M498" i="8"/>
  <c r="M482" i="8"/>
  <c r="M466" i="8"/>
  <c r="M450" i="8"/>
  <c r="M434" i="8"/>
  <c r="M418" i="8"/>
  <c r="M402" i="8"/>
  <c r="M386" i="8"/>
  <c r="M370" i="8"/>
  <c r="M354" i="8"/>
  <c r="M338" i="8"/>
  <c r="M322" i="8"/>
  <c r="M306" i="8"/>
  <c r="M290" i="8"/>
  <c r="M274" i="8"/>
  <c r="M258" i="8"/>
  <c r="M242" i="8"/>
  <c r="M226" i="8"/>
  <c r="M210" i="8"/>
  <c r="M194" i="8"/>
  <c r="M178" i="8"/>
  <c r="M162" i="8"/>
  <c r="M146" i="8"/>
  <c r="M130" i="8"/>
  <c r="M114" i="8"/>
  <c r="M98" i="8"/>
  <c r="M82" i="8"/>
  <c r="M1424" i="8"/>
  <c r="M1408" i="8"/>
  <c r="M1392" i="8"/>
  <c r="M1376" i="8"/>
  <c r="M1360" i="8"/>
  <c r="M1344" i="8"/>
  <c r="M1328" i="8"/>
  <c r="M1312" i="8"/>
  <c r="M1296" i="8"/>
  <c r="M1280" i="8"/>
  <c r="M1264" i="8"/>
  <c r="M1248" i="8"/>
  <c r="M1232" i="8"/>
  <c r="M1216" i="8"/>
  <c r="M1200" i="8"/>
  <c r="M1184" i="8"/>
  <c r="M1168" i="8"/>
  <c r="M1152" i="8"/>
  <c r="M1136" i="8"/>
  <c r="M1120" i="8"/>
  <c r="M1104" i="8"/>
  <c r="M1088" i="8"/>
  <c r="M1072" i="8"/>
  <c r="M1056" i="8"/>
  <c r="M1040" i="8"/>
  <c r="M1024" i="8"/>
  <c r="M1008" i="8"/>
  <c r="M992" i="8"/>
  <c r="M976" i="8"/>
  <c r="M960" i="8"/>
  <c r="M944" i="8"/>
  <c r="M928" i="8"/>
  <c r="M912" i="8"/>
  <c r="M896" i="8"/>
  <c r="M880" i="8"/>
  <c r="M864" i="8"/>
  <c r="M848" i="8"/>
  <c r="M832" i="8"/>
  <c r="M816" i="8"/>
  <c r="M800" i="8"/>
  <c r="M784" i="8"/>
  <c r="M768" i="8"/>
  <c r="M752" i="8"/>
  <c r="M736" i="8"/>
  <c r="M720" i="8"/>
  <c r="M704" i="8"/>
  <c r="M688" i="8"/>
  <c r="M672" i="8"/>
  <c r="M656" i="8"/>
  <c r="M640" i="8"/>
  <c r="M624" i="8"/>
  <c r="M608" i="8"/>
  <c r="M592" i="8"/>
  <c r="M576" i="8"/>
  <c r="M560" i="8"/>
  <c r="M544" i="8"/>
  <c r="M528" i="8"/>
  <c r="M512" i="8"/>
  <c r="M496" i="8"/>
  <c r="M480" i="8"/>
  <c r="M464" i="8"/>
  <c r="M448" i="8"/>
  <c r="M432" i="8"/>
  <c r="M416" i="8"/>
  <c r="M400" i="8"/>
  <c r="M384" i="8"/>
  <c r="M368" i="8"/>
  <c r="M352" i="8"/>
  <c r="M336" i="8"/>
  <c r="M320" i="8"/>
  <c r="M304" i="8"/>
  <c r="M288" i="8"/>
  <c r="M272" i="8"/>
  <c r="M256" i="8"/>
  <c r="M240" i="8"/>
  <c r="M224" i="8"/>
  <c r="M208" i="8"/>
  <c r="M192" i="8"/>
  <c r="M176" i="8"/>
  <c r="M160" i="8"/>
  <c r="M144" i="8"/>
  <c r="M128" i="8"/>
  <c r="M112" i="8"/>
  <c r="M96" i="8"/>
  <c r="M80" i="8"/>
  <c r="M1990" i="8"/>
  <c r="M1974" i="8"/>
  <c r="M1958" i="8"/>
  <c r="M1942" i="8"/>
  <c r="M1926" i="8"/>
  <c r="M1910" i="8"/>
  <c r="M1894" i="8"/>
  <c r="M1878" i="8"/>
  <c r="M1862" i="8"/>
  <c r="M1846" i="8"/>
  <c r="M1830" i="8"/>
  <c r="M1814" i="8"/>
  <c r="M1798" i="8"/>
  <c r="M1782" i="8"/>
  <c r="M1766" i="8"/>
  <c r="M1750" i="8"/>
  <c r="M1734" i="8"/>
  <c r="M1718" i="8"/>
  <c r="M1702" i="8"/>
  <c r="M1686" i="8"/>
  <c r="M1670" i="8"/>
  <c r="M1654" i="8"/>
  <c r="M1638" i="8"/>
  <c r="M1622" i="8"/>
  <c r="M1606" i="8"/>
  <c r="M1590" i="8"/>
  <c r="M1574" i="8"/>
  <c r="M1558" i="8"/>
  <c r="M1542" i="8"/>
  <c r="M1526" i="8"/>
  <c r="M1510" i="8"/>
  <c r="M1494" i="8"/>
  <c r="M1478" i="8"/>
  <c r="M1462" i="8"/>
  <c r="M1446" i="8"/>
  <c r="M1430" i="8"/>
  <c r="M1505" i="8"/>
  <c r="M1489" i="8"/>
  <c r="M1473" i="8"/>
  <c r="M1457" i="8"/>
  <c r="M1441" i="8"/>
  <c r="M1425" i="8"/>
  <c r="M804" i="8"/>
  <c r="M788" i="8"/>
  <c r="M772" i="8"/>
  <c r="M756" i="8"/>
  <c r="M740" i="8"/>
  <c r="M724" i="8"/>
  <c r="M708" i="8"/>
  <c r="M692" i="8"/>
  <c r="M676" i="8"/>
  <c r="M660" i="8"/>
  <c r="M644" i="8"/>
  <c r="M628" i="8"/>
  <c r="M612" i="8"/>
  <c r="M596" i="8"/>
  <c r="M580" i="8"/>
  <c r="M564" i="8"/>
  <c r="M548" i="8"/>
  <c r="M532" i="8"/>
  <c r="M516" i="8"/>
  <c r="M500" i="8"/>
  <c r="M484" i="8"/>
  <c r="M468" i="8"/>
  <c r="M452" i="8"/>
  <c r="M436" i="8"/>
  <c r="M420" i="8"/>
  <c r="M404" i="8"/>
  <c r="M388" i="8"/>
  <c r="M372" i="8"/>
  <c r="M356" i="8"/>
  <c r="M340" i="8"/>
  <c r="M324" i="8"/>
  <c r="M308" i="8"/>
  <c r="M292" i="8"/>
  <c r="M276" i="8"/>
  <c r="M260" i="8"/>
  <c r="M244" i="8"/>
  <c r="M228" i="8"/>
  <c r="M212" i="8"/>
  <c r="M196" i="8"/>
  <c r="M180" i="8"/>
  <c r="M164" i="8"/>
  <c r="M148" i="8"/>
  <c r="M132" i="8"/>
  <c r="M116" i="8"/>
  <c r="M100" i="8"/>
  <c r="M84" i="8"/>
  <c r="M1409" i="8"/>
  <c r="M1393" i="8"/>
  <c r="M1377" i="8"/>
  <c r="M1361" i="8"/>
  <c r="M1345" i="8"/>
  <c r="M1329" i="8"/>
  <c r="M1313" i="8"/>
  <c r="M1297" i="8"/>
  <c r="M1281" i="8"/>
  <c r="M1265" i="8"/>
  <c r="M1249" i="8"/>
  <c r="M1233" i="8"/>
  <c r="M1217" i="8"/>
  <c r="M1201" i="8"/>
  <c r="M1185" i="8"/>
  <c r="M1169" i="8"/>
  <c r="M1153" i="8"/>
  <c r="M1137" i="8"/>
  <c r="M1121" i="8"/>
  <c r="M1105" i="8"/>
  <c r="M1089" i="8"/>
  <c r="M1073" i="8"/>
  <c r="M1057" i="8"/>
  <c r="M1041" i="8"/>
  <c r="M1025" i="8"/>
  <c r="M1009" i="8"/>
  <c r="M993" i="8"/>
  <c r="M977" i="8"/>
  <c r="M961" i="8"/>
  <c r="M945" i="8"/>
  <c r="M929" i="8"/>
  <c r="M913" i="8"/>
  <c r="M897" i="8"/>
  <c r="M881" i="8"/>
  <c r="M865" i="8"/>
  <c r="M849" i="8"/>
  <c r="M833" i="8"/>
  <c r="M817" i="8"/>
  <c r="M801" i="8"/>
  <c r="M785" i="8"/>
  <c r="M769" i="8"/>
  <c r="M753" i="8"/>
  <c r="M737" i="8"/>
  <c r="M721" i="8"/>
  <c r="M705" i="8"/>
  <c r="M689" i="8"/>
  <c r="M673" i="8"/>
  <c r="M657" i="8"/>
  <c r="M641" i="8"/>
  <c r="M625" i="8"/>
  <c r="M609" i="8"/>
  <c r="M593" i="8"/>
  <c r="M577" i="8"/>
  <c r="M561" i="8"/>
  <c r="M545" i="8"/>
  <c r="M529" i="8"/>
  <c r="M513" i="8"/>
  <c r="M497" i="8"/>
  <c r="M481" i="8"/>
  <c r="M465" i="8"/>
  <c r="M449" i="8"/>
  <c r="M433" i="8"/>
  <c r="M417" i="8"/>
  <c r="M401" i="8"/>
  <c r="M385" i="8"/>
  <c r="M369" i="8"/>
  <c r="M353" i="8"/>
  <c r="M337" i="8"/>
  <c r="M321" i="8"/>
  <c r="M305" i="8"/>
  <c r="M289" i="8"/>
  <c r="M273" i="8"/>
  <c r="M257" i="8"/>
  <c r="M241" i="8"/>
  <c r="M225" i="8"/>
  <c r="M209" i="8"/>
  <c r="M193" i="8"/>
  <c r="M177" i="8"/>
  <c r="M161" i="8"/>
  <c r="M145" i="8"/>
  <c r="M129" i="8"/>
  <c r="M113" i="8"/>
  <c r="M97" i="8"/>
  <c r="M81" i="8"/>
  <c r="M383" i="8"/>
  <c r="M367" i="8"/>
  <c r="M335" i="8"/>
  <c r="M319" i="8"/>
  <c r="M303" i="8"/>
  <c r="M287" i="8"/>
  <c r="M271" i="8"/>
  <c r="M255" i="8"/>
  <c r="M239" i="8"/>
  <c r="M223" i="8"/>
  <c r="M207" i="8"/>
  <c r="M191" i="8"/>
  <c r="M159" i="8"/>
  <c r="M143" i="8"/>
  <c r="M127" i="8"/>
  <c r="M95" i="8"/>
  <c r="M79" i="8"/>
  <c r="M1875" i="8"/>
  <c r="M1859" i="8"/>
  <c r="M1843" i="8"/>
  <c r="M1827" i="8"/>
  <c r="M1811" i="8"/>
  <c r="M1795" i="8"/>
  <c r="M1779" i="8"/>
  <c r="M1763" i="8"/>
  <c r="M1747" i="8"/>
  <c r="M1731" i="8"/>
  <c r="M1715" i="8"/>
  <c r="M1699" i="8"/>
  <c r="M1683" i="8"/>
  <c r="M1667" i="8"/>
  <c r="M1651" i="8"/>
  <c r="M1635" i="8"/>
  <c r="M1619" i="8"/>
  <c r="M1603" i="8"/>
  <c r="M1587" i="8"/>
  <c r="M1571" i="8"/>
  <c r="M1555" i="8"/>
  <c r="M1539" i="8"/>
  <c r="M1523" i="8"/>
  <c r="M1315" i="8"/>
  <c r="M1267" i="8"/>
  <c r="M1235" i="8"/>
  <c r="M1187" i="8"/>
  <c r="M1139" i="8"/>
  <c r="M1123" i="8"/>
  <c r="M1107" i="8"/>
  <c r="M1091" i="8"/>
  <c r="M1075" i="8"/>
  <c r="M1059" i="8"/>
  <c r="M1043" i="8"/>
  <c r="M138" i="8"/>
  <c r="M122" i="8"/>
  <c r="M106" i="8"/>
  <c r="M1992" i="8"/>
  <c r="M1976" i="8"/>
  <c r="M1960" i="8"/>
  <c r="M1944" i="8"/>
  <c r="M1928" i="8"/>
  <c r="M1912" i="8"/>
  <c r="M1896" i="8"/>
  <c r="M1880" i="8"/>
  <c r="M1864" i="8"/>
  <c r="M1848" i="8"/>
  <c r="M1832" i="8"/>
  <c r="M1816" i="8"/>
  <c r="M1800" i="8"/>
  <c r="M1784" i="8"/>
  <c r="M1768" i="8"/>
  <c r="M1752" i="8"/>
  <c r="M1736" i="8"/>
  <c r="M1720" i="8"/>
  <c r="M1704" i="8"/>
  <c r="M1688" i="8"/>
  <c r="M1672" i="8"/>
  <c r="M1656" i="8"/>
  <c r="M1640" i="8"/>
  <c r="M1624" i="8"/>
  <c r="M1608" i="8"/>
  <c r="M1592" i="8"/>
  <c r="M1576" i="8"/>
  <c r="M1560" i="8"/>
  <c r="M1544" i="8"/>
  <c r="M1528" i="8"/>
  <c r="M1512" i="8"/>
  <c r="M1496" i="8"/>
  <c r="M1480" i="8"/>
  <c r="M1464" i="8"/>
  <c r="M1448" i="8"/>
  <c r="M1432" i="8"/>
  <c r="M1416" i="8"/>
  <c r="M1400" i="8"/>
  <c r="M1384" i="8"/>
  <c r="M1368" i="8"/>
  <c r="M1352" i="8"/>
  <c r="M1336" i="8"/>
  <c r="M1320" i="8"/>
  <c r="M1304" i="8"/>
  <c r="M1288" i="8"/>
  <c r="M1272" i="8"/>
  <c r="M1256" i="8"/>
  <c r="M1240" i="8"/>
  <c r="M1224" i="8"/>
  <c r="M1208" i="8"/>
  <c r="M1192" i="8"/>
  <c r="M1176" i="8"/>
  <c r="M1160" i="8"/>
  <c r="M1144" i="8"/>
  <c r="M1128" i="8"/>
  <c r="M1112" i="8"/>
  <c r="M1096" i="8"/>
  <c r="M1080" i="8"/>
  <c r="M1064" i="8"/>
  <c r="M1048" i="8"/>
  <c r="M1032" i="8"/>
  <c r="M1016" i="8"/>
  <c r="M1000" i="8"/>
  <c r="M984" i="8"/>
  <c r="M968" i="8"/>
  <c r="M952" i="8"/>
  <c r="M936" i="8"/>
  <c r="M920" i="8"/>
  <c r="M904" i="8"/>
  <c r="M888" i="8"/>
  <c r="M872" i="8"/>
  <c r="M856" i="8"/>
  <c r="M840" i="8"/>
  <c r="M824" i="8"/>
  <c r="M808" i="8"/>
  <c r="M792" i="8"/>
  <c r="M776" i="8"/>
  <c r="M760" i="8"/>
  <c r="M744" i="8"/>
  <c r="M728" i="8"/>
  <c r="M712" i="8"/>
  <c r="M696" i="8"/>
  <c r="M680" i="8"/>
  <c r="M664" i="8"/>
  <c r="M648" i="8"/>
  <c r="M632" i="8"/>
  <c r="M616" i="8"/>
  <c r="M600" i="8"/>
  <c r="M584" i="8"/>
  <c r="M568" i="8"/>
  <c r="M552" i="8"/>
  <c r="M536" i="8"/>
  <c r="M520" i="8"/>
  <c r="M504" i="8"/>
  <c r="M488" i="8"/>
  <c r="M472" i="8"/>
  <c r="M456" i="8"/>
  <c r="M440" i="8"/>
  <c r="M424" i="8"/>
  <c r="M408" i="8"/>
  <c r="M392" i="8"/>
  <c r="M376" i="8"/>
  <c r="M360" i="8"/>
  <c r="M344" i="8"/>
  <c r="M328" i="8"/>
  <c r="M312" i="8"/>
  <c r="M296" i="8"/>
  <c r="M280" i="8"/>
  <c r="M264" i="8"/>
  <c r="M248" i="8"/>
  <c r="M232" i="8"/>
  <c r="M216" i="8"/>
  <c r="M200" i="8"/>
  <c r="M184" i="8"/>
  <c r="M168" i="8"/>
  <c r="M152" i="8"/>
  <c r="M136" i="8"/>
  <c r="M120" i="8"/>
  <c r="M104" i="8"/>
  <c r="M88" i="8"/>
  <c r="M1414" i="8"/>
  <c r="M1398" i="8"/>
  <c r="M1382" i="8"/>
  <c r="M1366" i="8"/>
  <c r="M1350" i="8"/>
  <c r="M1334" i="8"/>
  <c r="M1871" i="8"/>
  <c r="M1855" i="8"/>
  <c r="M1839" i="8"/>
  <c r="M1823" i="8"/>
  <c r="M1807" i="8"/>
  <c r="M1791" i="8"/>
  <c r="M1775" i="8"/>
  <c r="M1759" i="8"/>
  <c r="M1743" i="8"/>
  <c r="M1727" i="8"/>
  <c r="M1711" i="8"/>
  <c r="M1695" i="8"/>
  <c r="M1679" i="8"/>
  <c r="M1663" i="8"/>
  <c r="M1647" i="8"/>
  <c r="M1631" i="8"/>
  <c r="M1615" i="8"/>
  <c r="M1599" i="8"/>
  <c r="M1469" i="8"/>
  <c r="M1453" i="8"/>
  <c r="M1421" i="8"/>
  <c r="M1405" i="8"/>
  <c r="M1261" i="8"/>
  <c r="M1245" i="8"/>
  <c r="M1133" i="8"/>
  <c r="M1117" i="8"/>
  <c r="M154" i="8"/>
  <c r="M90" i="8"/>
  <c r="M1815" i="8"/>
  <c r="M1799" i="8"/>
  <c r="M1783" i="8"/>
  <c r="M1767" i="8"/>
  <c r="M1751" i="8"/>
  <c r="M1735" i="8"/>
  <c r="M1719" i="8"/>
  <c r="M1703" i="8"/>
  <c r="M1687" i="8"/>
  <c r="M1671" i="8"/>
  <c r="M1655" i="8"/>
  <c r="M1639" i="8"/>
  <c r="M1623" i="8"/>
  <c r="M1607" i="8"/>
  <c r="M1591" i="8"/>
  <c r="M1575" i="8"/>
  <c r="M1559" i="8"/>
  <c r="M1543" i="8"/>
  <c r="M1527" i="8"/>
  <c r="M1511" i="8"/>
  <c r="M1495" i="8"/>
  <c r="M1479" i="8"/>
  <c r="M1463" i="8"/>
  <c r="M1447" i="8"/>
  <c r="M1431" i="8"/>
  <c r="M1415" i="8"/>
  <c r="M1399" i="8"/>
  <c r="M1383" i="8"/>
  <c r="M1367" i="8"/>
  <c r="M1351" i="8"/>
  <c r="M1335" i="8"/>
  <c r="M1319" i="8"/>
  <c r="M1303" i="8"/>
  <c r="M1287" i="8"/>
  <c r="M1271" i="8"/>
  <c r="M1255" i="8"/>
  <c r="M1239" i="8"/>
  <c r="M1223" i="8"/>
  <c r="M1207" i="8"/>
  <c r="M1191" i="8"/>
  <c r="M1175" i="8"/>
  <c r="M1159" i="8"/>
  <c r="M1143" i="8"/>
  <c r="M1127" i="8"/>
  <c r="M1111" i="8"/>
  <c r="M1095" i="8"/>
  <c r="M1079" i="8"/>
  <c r="M1063" i="8"/>
  <c r="M1047" i="8"/>
  <c r="M1031" i="8"/>
  <c r="M1318" i="8"/>
  <c r="M1302" i="8"/>
  <c r="M1286" i="8"/>
  <c r="M1270" i="8"/>
  <c r="M1254" i="8"/>
  <c r="M1238" i="8"/>
  <c r="M1222" i="8"/>
  <c r="M1206" i="8"/>
  <c r="M1190" i="8"/>
  <c r="M1174" i="8"/>
  <c r="M1158" i="8"/>
  <c r="M1142" i="8"/>
  <c r="M1126" i="8"/>
  <c r="M1110" i="8"/>
  <c r="M1094" i="8"/>
  <c r="M1078" i="8"/>
  <c r="M1062" i="8"/>
  <c r="M1046" i="8"/>
  <c r="M1030" i="8"/>
  <c r="M1014" i="8"/>
  <c r="M998" i="8"/>
  <c r="M982" i="8"/>
  <c r="M966" i="8"/>
  <c r="M950" i="8"/>
  <c r="M934" i="8"/>
  <c r="M918" i="8"/>
  <c r="M902" i="8"/>
  <c r="M886" i="8"/>
  <c r="M870" i="8"/>
  <c r="M854" i="8"/>
  <c r="M838" i="8"/>
  <c r="M822" i="8"/>
  <c r="M806" i="8"/>
  <c r="M790" i="8"/>
  <c r="M774" i="8"/>
  <c r="M758" i="8"/>
  <c r="M742" i="8"/>
  <c r="M726" i="8"/>
  <c r="M710" i="8"/>
  <c r="M694" i="8"/>
  <c r="M678" i="8"/>
  <c r="M662" i="8"/>
  <c r="M646" i="8"/>
  <c r="M630" i="8"/>
  <c r="M614" i="8"/>
  <c r="M598" i="8"/>
  <c r="M582" i="8"/>
  <c r="M566" i="8"/>
  <c r="M550" i="8"/>
  <c r="M534" i="8"/>
  <c r="M518" i="8"/>
  <c r="M502" i="8"/>
  <c r="M486" i="8"/>
  <c r="M470" i="8"/>
  <c r="M454" i="8"/>
  <c r="M438" i="8"/>
  <c r="M422" i="8"/>
  <c r="M406" i="8"/>
  <c r="M390" i="8"/>
  <c r="M374" i="8"/>
  <c r="M358" i="8"/>
  <c r="M342" i="8"/>
  <c r="M326" i="8"/>
  <c r="M310" i="8"/>
  <c r="M294" i="8"/>
  <c r="M278" i="8"/>
  <c r="M262" i="8"/>
  <c r="M246" i="8"/>
  <c r="M230" i="8"/>
  <c r="M214" i="8"/>
  <c r="M198" i="8"/>
  <c r="M182" i="8"/>
  <c r="M166" i="8"/>
  <c r="M150" i="8"/>
  <c r="M134" i="8"/>
  <c r="M118" i="8"/>
  <c r="M102" i="8"/>
  <c r="M86" i="8"/>
  <c r="M1507" i="8"/>
  <c r="M1491" i="8"/>
  <c r="M1475" i="8"/>
  <c r="M1459" i="8"/>
  <c r="M1443" i="8"/>
  <c r="M1427" i="8"/>
  <c r="M1411" i="8"/>
  <c r="M1395" i="8"/>
  <c r="M1379" i="8"/>
  <c r="M1363" i="8"/>
  <c r="M1347" i="8"/>
  <c r="M1331" i="8"/>
  <c r="M1583" i="8"/>
  <c r="M1567" i="8"/>
  <c r="M1551" i="8"/>
  <c r="M1535" i="8"/>
  <c r="M1519" i="8"/>
  <c r="M1503" i="8"/>
  <c r="M1487" i="8"/>
  <c r="M1471" i="8"/>
  <c r="M1455" i="8"/>
  <c r="M1439" i="8"/>
  <c r="M1423" i="8"/>
  <c r="M1407" i="8"/>
  <c r="M1391" i="8"/>
  <c r="M1375" i="8"/>
  <c r="M1359" i="8"/>
  <c r="M1343" i="8"/>
  <c r="M1327" i="8"/>
  <c r="M1311" i="8"/>
  <c r="M1295" i="8"/>
  <c r="M1279" i="8"/>
  <c r="M1263" i="8"/>
  <c r="M1247" i="8"/>
  <c r="M1231" i="8"/>
  <c r="M1215" i="8"/>
  <c r="M1199" i="8"/>
  <c r="M1183" i="8"/>
  <c r="M1167" i="8"/>
  <c r="M1151" i="8"/>
  <c r="M1135" i="8"/>
  <c r="M1119" i="8"/>
  <c r="M1103" i="8"/>
  <c r="M1087" i="8"/>
  <c r="M1071" i="8"/>
  <c r="M1055" i="8"/>
  <c r="M1039" i="8"/>
  <c r="M351" i="8"/>
  <c r="M1883" i="8"/>
  <c r="M1867" i="8"/>
  <c r="M1851" i="8"/>
  <c r="M1835" i="8"/>
  <c r="M1819" i="8"/>
  <c r="M1803" i="8"/>
  <c r="M1787" i="8"/>
  <c r="M1771" i="8"/>
  <c r="M1755" i="8"/>
  <c r="M1739" i="8"/>
  <c r="M1723" i="8"/>
  <c r="M1707" i="8"/>
  <c r="M1691" i="8"/>
  <c r="M1675" i="8"/>
  <c r="M1659" i="8"/>
  <c r="M1643" i="8"/>
  <c r="M1627" i="8"/>
  <c r="M1611" i="8"/>
  <c r="M1595" i="8"/>
  <c r="M1579" i="8"/>
  <c r="M1563" i="8"/>
  <c r="M1547" i="8"/>
  <c r="M1531" i="8"/>
  <c r="M1515" i="8"/>
  <c r="M1499" i="8"/>
  <c r="M1483" i="8"/>
  <c r="M1467" i="8"/>
  <c r="M1451" i="8"/>
  <c r="M1435" i="8"/>
  <c r="M1419" i="8"/>
  <c r="M1403" i="8"/>
  <c r="M1387" i="8"/>
  <c r="M1371" i="8"/>
  <c r="M1355" i="8"/>
  <c r="M1339" i="8"/>
  <c r="M1323" i="8"/>
  <c r="M1307" i="8"/>
  <c r="M1291" i="8"/>
  <c r="M1275" i="8"/>
  <c r="M1259" i="8"/>
  <c r="M1243" i="8"/>
  <c r="M1227" i="8"/>
  <c r="M1211" i="8"/>
  <c r="M1195" i="8"/>
  <c r="M1179" i="8"/>
  <c r="M1163" i="8"/>
  <c r="M1147" i="8"/>
  <c r="M1131" i="8"/>
  <c r="M1115" i="8"/>
  <c r="M1099" i="8"/>
  <c r="M1083" i="8"/>
  <c r="M1067" i="8"/>
  <c r="M1051" i="8"/>
  <c r="M1035" i="8"/>
  <c r="M1999" i="8"/>
  <c r="M1995" i="8"/>
  <c r="M1991" i="8"/>
  <c r="M1987" i="8"/>
  <c r="M1983" i="8"/>
  <c r="M1979" i="8"/>
  <c r="M1975" i="8"/>
  <c r="M1971" i="8"/>
  <c r="M1967" i="8"/>
  <c r="M1963" i="8"/>
  <c r="M1959" i="8"/>
  <c r="M1955" i="8"/>
  <c r="M1951" i="8"/>
  <c r="M1947" i="8"/>
  <c r="M1943" i="8"/>
  <c r="M1939" i="8"/>
  <c r="M1935" i="8"/>
  <c r="M1931" i="8"/>
  <c r="M1927" i="8"/>
  <c r="M1923" i="8"/>
  <c r="M1919" i="8"/>
  <c r="M1915" i="8"/>
  <c r="M1911" i="8"/>
  <c r="M1907" i="8"/>
  <c r="M1903" i="8"/>
  <c r="M1899" i="8"/>
  <c r="M1895" i="8"/>
  <c r="M1891" i="8"/>
  <c r="M1887" i="8"/>
  <c r="M1027" i="8"/>
  <c r="M1023" i="8"/>
  <c r="M1019" i="8"/>
  <c r="M1015" i="8"/>
  <c r="M1011" i="8"/>
  <c r="M1007" i="8"/>
  <c r="M1003" i="8"/>
  <c r="M999" i="8"/>
  <c r="M995" i="8"/>
  <c r="M991" i="8"/>
  <c r="M987" i="8"/>
  <c r="M983" i="8"/>
  <c r="M979" i="8"/>
  <c r="M975" i="8"/>
  <c r="M971" i="8"/>
  <c r="M967" i="8"/>
  <c r="M963" i="8"/>
  <c r="M959" i="8"/>
  <c r="M955" i="8"/>
  <c r="M951" i="8"/>
  <c r="M947" i="8"/>
  <c r="M943" i="8"/>
  <c r="M939" i="8"/>
  <c r="M935" i="8"/>
  <c r="M931" i="8"/>
  <c r="M927" i="8"/>
  <c r="M923" i="8"/>
  <c r="M919" i="8"/>
  <c r="M915" i="8"/>
  <c r="M911" i="8"/>
  <c r="M907" i="8"/>
  <c r="M903" i="8"/>
  <c r="M899" i="8"/>
  <c r="M895" i="8"/>
  <c r="M891" i="8"/>
  <c r="M887" i="8"/>
  <c r="M883" i="8"/>
  <c r="M879" i="8"/>
  <c r="M875" i="8"/>
  <c r="M871" i="8"/>
  <c r="M867" i="8"/>
  <c r="M863" i="8"/>
  <c r="M859" i="8"/>
  <c r="M855" i="8"/>
  <c r="M851" i="8"/>
  <c r="M847" i="8"/>
  <c r="M843" i="8"/>
  <c r="M839" i="8"/>
  <c r="M835" i="8"/>
  <c r="M831" i="8"/>
  <c r="M827" i="8"/>
  <c r="M823" i="8"/>
  <c r="M819" i="8"/>
  <c r="M815" i="8"/>
  <c r="M811" i="8"/>
  <c r="M807" i="8"/>
  <c r="M803" i="8"/>
  <c r="M799" i="8"/>
  <c r="M795" i="8"/>
  <c r="M791" i="8"/>
  <c r="M787" i="8"/>
  <c r="M783" i="8"/>
  <c r="M779" i="8"/>
  <c r="M775" i="8"/>
  <c r="M771" i="8"/>
  <c r="M767" i="8"/>
  <c r="M763" i="8"/>
  <c r="M759" i="8"/>
  <c r="M755" i="8"/>
  <c r="M751" i="8"/>
  <c r="M747" i="8"/>
  <c r="M743" i="8"/>
  <c r="M739" i="8"/>
  <c r="M735" i="8"/>
  <c r="M731" i="8"/>
  <c r="M727" i="8"/>
  <c r="M723" i="8"/>
  <c r="M719" i="8"/>
  <c r="M715" i="8"/>
  <c r="M711" i="8"/>
  <c r="M707" i="8"/>
  <c r="M703" i="8"/>
  <c r="M699" i="8"/>
  <c r="M695" i="8"/>
  <c r="M691" i="8"/>
  <c r="M687" i="8"/>
  <c r="M683" i="8"/>
  <c r="M679" i="8"/>
  <c r="M675" i="8"/>
  <c r="M671" i="8"/>
  <c r="M667" i="8"/>
  <c r="M663" i="8"/>
  <c r="M659" i="8"/>
  <c r="M655" i="8"/>
  <c r="M651" i="8"/>
  <c r="M647" i="8"/>
  <c r="M643" i="8"/>
  <c r="M639" i="8"/>
  <c r="M635" i="8"/>
  <c r="M631" i="8"/>
  <c r="M627" i="8"/>
  <c r="M623" i="8"/>
  <c r="M619" i="8"/>
  <c r="M615" i="8"/>
  <c r="M611" i="8"/>
  <c r="M607" i="8"/>
  <c r="M603" i="8"/>
  <c r="M599" i="8"/>
  <c r="M595" i="8"/>
  <c r="M591" i="8"/>
  <c r="M587" i="8"/>
  <c r="M583" i="8"/>
  <c r="M579" i="8"/>
  <c r="M575" i="8"/>
  <c r="M571" i="8"/>
  <c r="M567" i="8"/>
  <c r="M563" i="8"/>
  <c r="M559" i="8"/>
  <c r="M555" i="8"/>
  <c r="M551" i="8"/>
  <c r="M547" i="8"/>
  <c r="M543" i="8"/>
  <c r="M539" i="8"/>
  <c r="M535" i="8"/>
  <c r="M531" i="8"/>
  <c r="M527" i="8"/>
  <c r="M523" i="8"/>
  <c r="M519" i="8"/>
  <c r="M515" i="8"/>
  <c r="M511" i="8"/>
  <c r="M507" i="8"/>
  <c r="M503" i="8"/>
  <c r="M499" i="8"/>
  <c r="M495" i="8"/>
  <c r="M491" i="8"/>
  <c r="M487" i="8"/>
  <c r="M483" i="8"/>
  <c r="M479" i="8"/>
  <c r="M475" i="8"/>
  <c r="M471" i="8"/>
  <c r="M467" i="8"/>
  <c r="M463" i="8"/>
  <c r="M459" i="8"/>
  <c r="M455" i="8"/>
  <c r="M451" i="8"/>
  <c r="M447" i="8"/>
  <c r="M443" i="8"/>
  <c r="M439" i="8"/>
  <c r="M435" i="8"/>
  <c r="M431" i="8"/>
  <c r="M427" i="8"/>
  <c r="M423" i="8"/>
  <c r="M419" i="8"/>
  <c r="M415" i="8"/>
  <c r="M411" i="8"/>
  <c r="M407" i="8"/>
  <c r="M403" i="8"/>
  <c r="M399" i="8"/>
  <c r="M395" i="8"/>
  <c r="M391" i="8"/>
  <c r="M387" i="8"/>
  <c r="M379" i="8"/>
  <c r="M375" i="8"/>
  <c r="M371" i="8"/>
  <c r="M363" i="8"/>
  <c r="M359" i="8"/>
  <c r="M355" i="8"/>
  <c r="M347" i="8"/>
  <c r="M343" i="8"/>
  <c r="M339" i="8"/>
  <c r="M331" i="8"/>
  <c r="M327" i="8"/>
  <c r="M323" i="8"/>
  <c r="M315" i="8"/>
  <c r="M311" i="8"/>
  <c r="M307" i="8"/>
  <c r="M299" i="8"/>
  <c r="M295" i="8"/>
  <c r="M291" i="8"/>
  <c r="M283" i="8"/>
  <c r="M279" i="8"/>
  <c r="M275" i="8"/>
  <c r="M267" i="8"/>
  <c r="M263" i="8"/>
  <c r="M259" i="8"/>
  <c r="M251" i="8"/>
  <c r="M247" i="8"/>
  <c r="M243" i="8"/>
  <c r="M235" i="8"/>
  <c r="M231" i="8"/>
  <c r="M227" i="8"/>
  <c r="M219" i="8"/>
  <c r="M215" i="8"/>
  <c r="M211" i="8"/>
  <c r="M203" i="8"/>
  <c r="M199" i="8"/>
  <c r="M195" i="8"/>
  <c r="M187" i="8"/>
  <c r="M183" i="8"/>
  <c r="M179" i="8"/>
  <c r="M171" i="8"/>
  <c r="M167" i="8"/>
  <c r="M163" i="8"/>
  <c r="M155" i="8"/>
  <c r="M151" i="8"/>
  <c r="M147" i="8"/>
  <c r="M139" i="8"/>
  <c r="M135" i="8"/>
  <c r="M131" i="8"/>
  <c r="M123" i="8"/>
  <c r="M119" i="8"/>
  <c r="M115" i="8"/>
  <c r="M107" i="8"/>
  <c r="M103" i="8"/>
  <c r="M99" i="8"/>
  <c r="M91" i="8"/>
  <c r="M87" i="8"/>
  <c r="M83" i="8"/>
  <c r="M75" i="8"/>
  <c r="I4" i="10" l="1" a="1"/>
  <c r="I4" i="10" s="1"/>
  <c r="R3" i="10" a="1"/>
  <c r="R3" i="10" s="1"/>
  <c r="B74" i="8"/>
  <c r="E74" i="8"/>
  <c r="G74" i="8"/>
  <c r="C74" i="8" s="1"/>
  <c r="L74" i="8"/>
  <c r="P74" i="8"/>
  <c r="R74" i="8"/>
  <c r="S74" i="8" s="1"/>
  <c r="B72" i="8"/>
  <c r="B73" i="8"/>
  <c r="E72" i="8"/>
  <c r="E73" i="8"/>
  <c r="G72" i="8"/>
  <c r="G73" i="8"/>
  <c r="C73" i="8" s="1"/>
  <c r="L72" i="8"/>
  <c r="L73" i="8"/>
  <c r="P72" i="8"/>
  <c r="P73" i="8"/>
  <c r="R72" i="8"/>
  <c r="S72" i="8" s="1"/>
  <c r="R73" i="8"/>
  <c r="S73" i="8" s="1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G18" i="5" s="1" a="1"/>
  <c r="G18" i="5" s="1"/>
  <c r="E69" i="8"/>
  <c r="E70" i="8"/>
  <c r="E71" i="8"/>
  <c r="G55" i="8"/>
  <c r="C55" i="8" s="1"/>
  <c r="G56" i="8"/>
  <c r="C56" i="8" s="1"/>
  <c r="G57" i="8"/>
  <c r="C57" i="8" s="1"/>
  <c r="G58" i="8"/>
  <c r="C58" i="8" s="1"/>
  <c r="G59" i="8"/>
  <c r="C59" i="8" s="1"/>
  <c r="G60" i="8"/>
  <c r="C60" i="8" s="1"/>
  <c r="G61" i="8"/>
  <c r="C61" i="8" s="1"/>
  <c r="G62" i="8"/>
  <c r="C62" i="8" s="1"/>
  <c r="G63" i="8"/>
  <c r="C63" i="8" s="1"/>
  <c r="G64" i="8"/>
  <c r="C64" i="8" s="1"/>
  <c r="G65" i="8"/>
  <c r="C65" i="8" s="1"/>
  <c r="G66" i="8"/>
  <c r="C66" i="8" s="1"/>
  <c r="G67" i="8"/>
  <c r="C67" i="8" s="1"/>
  <c r="G68" i="8"/>
  <c r="C68" i="8" s="1"/>
  <c r="G69" i="8"/>
  <c r="C69" i="8" s="1"/>
  <c r="G70" i="8"/>
  <c r="C70" i="8" s="1"/>
  <c r="G71" i="8"/>
  <c r="C71" i="8" s="1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R55" i="8"/>
  <c r="S55" i="8" s="1"/>
  <c r="R56" i="8"/>
  <c r="S56" i="8" s="1"/>
  <c r="R57" i="8"/>
  <c r="S57" i="8" s="1"/>
  <c r="R58" i="8"/>
  <c r="S58" i="8" s="1"/>
  <c r="R59" i="8"/>
  <c r="S59" i="8" s="1"/>
  <c r="R60" i="8"/>
  <c r="S60" i="8" s="1"/>
  <c r="R61" i="8"/>
  <c r="S61" i="8" s="1"/>
  <c r="R62" i="8"/>
  <c r="S62" i="8" s="1"/>
  <c r="R63" i="8"/>
  <c r="S63" i="8" s="1"/>
  <c r="R64" i="8"/>
  <c r="S64" i="8" s="1"/>
  <c r="R65" i="8"/>
  <c r="S65" i="8" s="1"/>
  <c r="R66" i="8"/>
  <c r="S66" i="8" s="1"/>
  <c r="R67" i="8"/>
  <c r="S67" i="8" s="1"/>
  <c r="R68" i="8"/>
  <c r="S68" i="8" s="1"/>
  <c r="R69" i="8"/>
  <c r="S69" i="8" s="1"/>
  <c r="R70" i="8"/>
  <c r="S70" i="8" s="1"/>
  <c r="R71" i="8"/>
  <c r="S71" i="8" s="1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G36" i="8"/>
  <c r="C36" i="8" s="1"/>
  <c r="G37" i="8"/>
  <c r="C37" i="8" s="1"/>
  <c r="G38" i="8"/>
  <c r="C38" i="8" s="1"/>
  <c r="G39" i="8"/>
  <c r="C39" i="8" s="1"/>
  <c r="G40" i="8"/>
  <c r="C40" i="8" s="1"/>
  <c r="G41" i="8"/>
  <c r="C41" i="8" s="1"/>
  <c r="G42" i="8"/>
  <c r="C42" i="8" s="1"/>
  <c r="G43" i="8"/>
  <c r="C43" i="8" s="1"/>
  <c r="G44" i="8"/>
  <c r="C44" i="8" s="1"/>
  <c r="G45" i="8"/>
  <c r="C45" i="8" s="1"/>
  <c r="G46" i="8"/>
  <c r="C46" i="8" s="1"/>
  <c r="G47" i="8"/>
  <c r="C47" i="8" s="1"/>
  <c r="G48" i="8"/>
  <c r="C48" i="8" s="1"/>
  <c r="G49" i="8"/>
  <c r="G50" i="8"/>
  <c r="C50" i="8" s="1"/>
  <c r="G51" i="8"/>
  <c r="C51" i="8" s="1"/>
  <c r="G52" i="8"/>
  <c r="C52" i="8" s="1"/>
  <c r="G53" i="8"/>
  <c r="C53" i="8" s="1"/>
  <c r="G54" i="8"/>
  <c r="C54" i="8" s="1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R36" i="8"/>
  <c r="S36" i="8" s="1"/>
  <c r="R37" i="8"/>
  <c r="S37" i="8" s="1"/>
  <c r="R38" i="8"/>
  <c r="S38" i="8" s="1"/>
  <c r="R39" i="8"/>
  <c r="S39" i="8" s="1"/>
  <c r="R40" i="8"/>
  <c r="S40" i="8" s="1"/>
  <c r="R41" i="8"/>
  <c r="S41" i="8" s="1"/>
  <c r="R42" i="8"/>
  <c r="S42" i="8" s="1"/>
  <c r="R43" i="8"/>
  <c r="S43" i="8" s="1"/>
  <c r="R44" i="8"/>
  <c r="S44" i="8" s="1"/>
  <c r="R45" i="8"/>
  <c r="S45" i="8" s="1"/>
  <c r="R46" i="8"/>
  <c r="S46" i="8" s="1"/>
  <c r="R47" i="8"/>
  <c r="S47" i="8" s="1"/>
  <c r="R48" i="8"/>
  <c r="S48" i="8" s="1"/>
  <c r="R49" i="8"/>
  <c r="S49" i="8" s="1"/>
  <c r="R50" i="8"/>
  <c r="S50" i="8" s="1"/>
  <c r="R51" i="8"/>
  <c r="S51" i="8" s="1"/>
  <c r="R52" i="8"/>
  <c r="S52" i="8" s="1"/>
  <c r="R53" i="8"/>
  <c r="S53" i="8" s="1"/>
  <c r="R54" i="8"/>
  <c r="S54" i="8" s="1"/>
  <c r="B28" i="8"/>
  <c r="B29" i="8"/>
  <c r="B30" i="8"/>
  <c r="B31" i="8"/>
  <c r="B32" i="8"/>
  <c r="B33" i="8"/>
  <c r="B34" i="8"/>
  <c r="B35" i="8"/>
  <c r="E28" i="8"/>
  <c r="E29" i="8"/>
  <c r="E30" i="8"/>
  <c r="E31" i="8"/>
  <c r="E32" i="8"/>
  <c r="E33" i="8"/>
  <c r="E34" i="8"/>
  <c r="E35" i="8"/>
  <c r="G28" i="8"/>
  <c r="C28" i="8" s="1"/>
  <c r="G29" i="8"/>
  <c r="C29" i="8" s="1"/>
  <c r="G30" i="8"/>
  <c r="C30" i="8" s="1"/>
  <c r="G31" i="8"/>
  <c r="C31" i="8" s="1"/>
  <c r="G32" i="8"/>
  <c r="C32" i="8" s="1"/>
  <c r="G33" i="8"/>
  <c r="C33" i="8" s="1"/>
  <c r="G34" i="8"/>
  <c r="C34" i="8" s="1"/>
  <c r="G35" i="8"/>
  <c r="C35" i="8" s="1"/>
  <c r="L28" i="8"/>
  <c r="L29" i="8"/>
  <c r="L30" i="8"/>
  <c r="L31" i="8"/>
  <c r="L32" i="8"/>
  <c r="L33" i="8"/>
  <c r="L34" i="8"/>
  <c r="L35" i="8"/>
  <c r="P28" i="8"/>
  <c r="P29" i="8"/>
  <c r="P30" i="8"/>
  <c r="P31" i="8"/>
  <c r="P32" i="8"/>
  <c r="P33" i="8"/>
  <c r="P34" i="8"/>
  <c r="P35" i="8"/>
  <c r="R28" i="8"/>
  <c r="S28" i="8" s="1"/>
  <c r="R29" i="8"/>
  <c r="S29" i="8" s="1"/>
  <c r="R30" i="8"/>
  <c r="S30" i="8" s="1"/>
  <c r="R31" i="8"/>
  <c r="S31" i="8" s="1"/>
  <c r="R32" i="8"/>
  <c r="S32" i="8" s="1"/>
  <c r="R33" i="8"/>
  <c r="S33" i="8" s="1"/>
  <c r="R34" i="8"/>
  <c r="S34" i="8" s="1"/>
  <c r="R35" i="8"/>
  <c r="S35" i="8" s="1"/>
  <c r="C49" i="8" l="1"/>
  <c r="C72" i="8"/>
  <c r="G15" i="5" a="1"/>
  <c r="G15" i="5" s="1"/>
  <c r="G14" i="5" a="1"/>
  <c r="G14" i="5" s="1"/>
  <c r="G16" i="5" a="1"/>
  <c r="G16" i="5" s="1"/>
  <c r="M58" i="8"/>
  <c r="M69" i="8"/>
  <c r="M51" i="8"/>
  <c r="M74" i="8"/>
  <c r="M49" i="8"/>
  <c r="M63" i="8"/>
  <c r="M60" i="8"/>
  <c r="M73" i="8"/>
  <c r="M70" i="8"/>
  <c r="M72" i="8"/>
  <c r="M59" i="8"/>
  <c r="M32" i="8"/>
  <c r="M37" i="8"/>
  <c r="M52" i="8"/>
  <c r="M56" i="8"/>
  <c r="M50" i="8"/>
  <c r="M30" i="8"/>
  <c r="M33" i="8"/>
  <c r="M66" i="8"/>
  <c r="M64" i="8"/>
  <c r="M62" i="8"/>
  <c r="M61" i="8"/>
  <c r="M34" i="8"/>
  <c r="M31" i="8"/>
  <c r="M68" i="8"/>
  <c r="M65" i="8"/>
  <c r="M57" i="8"/>
  <c r="M43" i="8"/>
  <c r="M47" i="8"/>
  <c r="M46" i="8"/>
  <c r="M71" i="8"/>
  <c r="M55" i="8"/>
  <c r="M45" i="8"/>
  <c r="M40" i="8"/>
  <c r="M53" i="8"/>
  <c r="M67" i="8"/>
  <c r="M35" i="8"/>
  <c r="M48" i="8"/>
  <c r="M36" i="8"/>
  <c r="M44" i="8"/>
  <c r="M42" i="8"/>
  <c r="M41" i="8"/>
  <c r="M29" i="8"/>
  <c r="M39" i="8"/>
  <c r="M28" i="8"/>
  <c r="M54" i="8"/>
  <c r="M38" i="8"/>
  <c r="G9" i="8" l="1"/>
  <c r="E1" i="1"/>
  <c r="D1" i="1"/>
  <c r="C8" i="1" l="1" a="1"/>
  <c r="B27" i="8"/>
  <c r="E27" i="8"/>
  <c r="G27" i="8"/>
  <c r="C27" i="8" s="1"/>
  <c r="L27" i="8"/>
  <c r="P27" i="8"/>
  <c r="R27" i="8"/>
  <c r="S27" i="8" s="1"/>
  <c r="P24" i="8"/>
  <c r="P25" i="8"/>
  <c r="P26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B24" i="8"/>
  <c r="B25" i="8"/>
  <c r="B26" i="8"/>
  <c r="E24" i="8"/>
  <c r="E25" i="8"/>
  <c r="E26" i="8"/>
  <c r="G24" i="8"/>
  <c r="G25" i="8"/>
  <c r="C25" i="8" s="1"/>
  <c r="G26" i="8"/>
  <c r="L24" i="8"/>
  <c r="L25" i="8"/>
  <c r="L26" i="8"/>
  <c r="R24" i="8"/>
  <c r="S24" i="8" s="1"/>
  <c r="R25" i="8"/>
  <c r="S25" i="8" s="1"/>
  <c r="R26" i="8"/>
  <c r="S26" i="8" s="1"/>
  <c r="I9" i="5"/>
  <c r="I10" i="5"/>
  <c r="I11" i="5"/>
  <c r="I12" i="5"/>
  <c r="I13" i="5"/>
  <c r="I8" i="5"/>
  <c r="I6" i="5" l="1"/>
  <c r="M25" i="8"/>
  <c r="C8" i="1"/>
  <c r="M27" i="8"/>
  <c r="M24" i="8"/>
  <c r="C24" i="8"/>
  <c r="M26" i="8"/>
  <c r="C26" i="8"/>
  <c r="L22" i="8"/>
  <c r="M22" i="8" s="1"/>
  <c r="L23" i="8"/>
  <c r="M23" i="8" s="1"/>
  <c r="B23" i="8"/>
  <c r="E23" i="8"/>
  <c r="G23" i="8"/>
  <c r="C23" i="8" s="1"/>
  <c r="R23" i="8"/>
  <c r="S23" i="8" s="1"/>
  <c r="B22" i="8"/>
  <c r="E22" i="8"/>
  <c r="G22" i="8"/>
  <c r="R22" i="8"/>
  <c r="S22" i="8" s="1"/>
  <c r="D7" i="1"/>
  <c r="D9" i="1" l="1" a="1"/>
  <c r="D9" i="1" s="1"/>
  <c r="D14" i="1" a="1"/>
  <c r="D14" i="1" s="1"/>
  <c r="D11" i="1" a="1"/>
  <c r="D11" i="1" s="1"/>
  <c r="D16" i="1" a="1"/>
  <c r="D16" i="1" s="1"/>
  <c r="D10" i="1" a="1"/>
  <c r="D10" i="1" s="1"/>
  <c r="D18" i="1" a="1"/>
  <c r="D18" i="1" s="1"/>
  <c r="D12" i="1" a="1"/>
  <c r="D12" i="1" s="1"/>
  <c r="D20" i="1" a="1"/>
  <c r="D20" i="1" s="1"/>
  <c r="D21" i="1" a="1"/>
  <c r="D21" i="1" s="1"/>
  <c r="D24" i="1" a="1"/>
  <c r="D24" i="1" s="1"/>
  <c r="D31" i="1" a="1"/>
  <c r="D31" i="1" s="1"/>
  <c r="D26" i="1" a="1"/>
  <c r="D26" i="1" s="1"/>
  <c r="D13" i="1" a="1"/>
  <c r="D13" i="1" s="1"/>
  <c r="D15" i="1" a="1"/>
  <c r="D15" i="1" s="1"/>
  <c r="D25" i="1" a="1"/>
  <c r="D25" i="1" s="1"/>
  <c r="D28" i="1" a="1"/>
  <c r="D28" i="1" s="1"/>
  <c r="D17" i="1" a="1"/>
  <c r="D17" i="1" s="1"/>
  <c r="D22" i="1" a="1"/>
  <c r="D22" i="1" s="1"/>
  <c r="D32" i="1" a="1"/>
  <c r="D32" i="1" s="1"/>
  <c r="D34" i="1" a="1"/>
  <c r="D34" i="1" s="1"/>
  <c r="D33" i="1" a="1"/>
  <c r="D33" i="1" s="1"/>
  <c r="D29" i="1" a="1"/>
  <c r="D29" i="1" s="1"/>
  <c r="D30" i="1" a="1"/>
  <c r="D30" i="1" s="1"/>
  <c r="D36" i="1" a="1"/>
  <c r="D36" i="1" s="1"/>
  <c r="D37" i="1" a="1"/>
  <c r="D37" i="1" s="1"/>
  <c r="D38" i="1" a="1"/>
  <c r="D38" i="1" s="1"/>
  <c r="D39" i="1" a="1"/>
  <c r="D39" i="1" s="1"/>
  <c r="D43" i="1" a="1"/>
  <c r="D43" i="1" s="1"/>
  <c r="D45" i="1" a="1"/>
  <c r="D45" i="1" s="1"/>
  <c r="D19" i="1" a="1"/>
  <c r="D19" i="1" s="1"/>
  <c r="D27" i="1" a="1"/>
  <c r="D27" i="1" s="1"/>
  <c r="D42" i="1" a="1"/>
  <c r="D42" i="1" s="1"/>
  <c r="D35" i="1" a="1"/>
  <c r="D35" i="1" s="1"/>
  <c r="D41" i="1" a="1"/>
  <c r="D41" i="1" s="1"/>
  <c r="D44" i="1" a="1"/>
  <c r="D44" i="1" s="1"/>
  <c r="D23" i="1" a="1"/>
  <c r="D23" i="1" s="1"/>
  <c r="D40" i="1" a="1"/>
  <c r="D40" i="1" s="1"/>
  <c r="D6" i="1"/>
  <c r="C22" i="8"/>
  <c r="E7" i="1"/>
  <c r="E10" i="1" l="1" a="1"/>
  <c r="E10" i="1" s="1"/>
  <c r="E15" i="1" a="1"/>
  <c r="E15" i="1" s="1"/>
  <c r="E12" i="1" a="1"/>
  <c r="E12" i="1" s="1"/>
  <c r="E14" i="1" a="1"/>
  <c r="E14" i="1" s="1"/>
  <c r="E11" i="1" a="1"/>
  <c r="E11" i="1" s="1"/>
  <c r="E13" i="1" a="1"/>
  <c r="E13" i="1" s="1"/>
  <c r="E17" i="1" a="1"/>
  <c r="E17" i="1" s="1"/>
  <c r="E19" i="1" a="1"/>
  <c r="E19" i="1" s="1"/>
  <c r="E18" i="1" a="1"/>
  <c r="E18" i="1" s="1"/>
  <c r="E22" i="1" a="1"/>
  <c r="E22" i="1" s="1"/>
  <c r="E25" i="1" a="1"/>
  <c r="E25" i="1" s="1"/>
  <c r="E26" i="1" a="1"/>
  <c r="E26" i="1" s="1"/>
  <c r="E21" i="1" a="1"/>
  <c r="E21" i="1" s="1"/>
  <c r="E23" i="1" a="1"/>
  <c r="E23" i="1" s="1"/>
  <c r="E24" i="1" a="1"/>
  <c r="E24" i="1" s="1"/>
  <c r="E16" i="1" a="1"/>
  <c r="E16" i="1" s="1"/>
  <c r="E20" i="1" a="1"/>
  <c r="E20" i="1" s="1"/>
  <c r="E27" i="1" a="1"/>
  <c r="E27" i="1" s="1"/>
  <c r="E29" i="1" a="1"/>
  <c r="E29" i="1" s="1"/>
  <c r="E31" i="1" a="1"/>
  <c r="E31" i="1" s="1"/>
  <c r="E28" i="1" a="1"/>
  <c r="E28" i="1" s="1"/>
  <c r="E32" i="1" a="1"/>
  <c r="E32" i="1" s="1"/>
  <c r="E34" i="1" a="1"/>
  <c r="E34" i="1" s="1"/>
  <c r="E33" i="1" a="1"/>
  <c r="E33" i="1" s="1"/>
  <c r="E40" i="1" a="1"/>
  <c r="E40" i="1" s="1"/>
  <c r="E36" i="1" a="1"/>
  <c r="E36" i="1" s="1"/>
  <c r="E37" i="1" a="1"/>
  <c r="E37" i="1" s="1"/>
  <c r="E38" i="1" a="1"/>
  <c r="E38" i="1" s="1"/>
  <c r="E43" i="1" a="1"/>
  <c r="E43" i="1" s="1"/>
  <c r="E30" i="1" a="1"/>
  <c r="E30" i="1" s="1"/>
  <c r="E39" i="1" a="1"/>
  <c r="E39" i="1" s="1"/>
  <c r="E42" i="1" a="1"/>
  <c r="E42" i="1" s="1"/>
  <c r="E45" i="1" a="1"/>
  <c r="E45" i="1" s="1"/>
  <c r="E35" i="1" a="1"/>
  <c r="E35" i="1" s="1"/>
  <c r="E41" i="1" a="1"/>
  <c r="E41" i="1" s="1"/>
  <c r="E44" i="1" a="1"/>
  <c r="E44" i="1" s="1"/>
  <c r="E6" i="1"/>
  <c r="E8" i="1" a="1"/>
  <c r="E8" i="1" s="1"/>
  <c r="F7" i="1"/>
  <c r="F11" i="1" l="1" a="1"/>
  <c r="F11" i="1" s="1"/>
  <c r="F10" i="1" a="1"/>
  <c r="F10" i="1" s="1"/>
  <c r="F13" i="1" a="1"/>
  <c r="F13" i="1" s="1"/>
  <c r="F15" i="1" a="1"/>
  <c r="F15" i="1" s="1"/>
  <c r="F17" i="1" a="1"/>
  <c r="F17" i="1" s="1"/>
  <c r="F12" i="1" a="1"/>
  <c r="F12" i="1" s="1"/>
  <c r="F9" i="1" a="1"/>
  <c r="F9" i="1" s="1"/>
  <c r="F14" i="1" a="1"/>
  <c r="F14" i="1" s="1"/>
  <c r="F16" i="1" a="1"/>
  <c r="F16" i="1" s="1"/>
  <c r="F19" i="1" a="1"/>
  <c r="F19" i="1" s="1"/>
  <c r="F23" i="1" a="1"/>
  <c r="F23" i="1" s="1"/>
  <c r="F27" i="1" a="1"/>
  <c r="F27" i="1" s="1"/>
  <c r="F28" i="1" a="1"/>
  <c r="F28" i="1" s="1"/>
  <c r="F29" i="1" a="1"/>
  <c r="F29" i="1" s="1"/>
  <c r="F21" i="1" a="1"/>
  <c r="F21" i="1" s="1"/>
  <c r="F22" i="1" a="1"/>
  <c r="F22" i="1" s="1"/>
  <c r="F26" i="1" a="1"/>
  <c r="F26" i="1" s="1"/>
  <c r="F20" i="1" a="1"/>
  <c r="F20" i="1" s="1"/>
  <c r="F30" i="1" a="1"/>
  <c r="F30" i="1" s="1"/>
  <c r="F25" i="1" a="1"/>
  <c r="F25" i="1" s="1"/>
  <c r="F31" i="1" a="1"/>
  <c r="F31" i="1" s="1"/>
  <c r="F35" i="1" a="1"/>
  <c r="F35" i="1" s="1"/>
  <c r="F34" i="1" a="1"/>
  <c r="F34" i="1" s="1"/>
  <c r="F18" i="1" a="1"/>
  <c r="F18" i="1" s="1"/>
  <c r="F41" i="1" a="1"/>
  <c r="F41" i="1" s="1"/>
  <c r="F44" i="1" a="1"/>
  <c r="F44" i="1" s="1"/>
  <c r="F32" i="1" a="1"/>
  <c r="F32" i="1" s="1"/>
  <c r="F36" i="1" a="1"/>
  <c r="F36" i="1" s="1"/>
  <c r="F37" i="1" a="1"/>
  <c r="F37" i="1" s="1"/>
  <c r="F38" i="1" a="1"/>
  <c r="F38" i="1" s="1"/>
  <c r="F40" i="1" a="1"/>
  <c r="F40" i="1" s="1"/>
  <c r="F43" i="1" a="1"/>
  <c r="F43" i="1" s="1"/>
  <c r="F24" i="1" a="1"/>
  <c r="F24" i="1" s="1"/>
  <c r="F33" i="1" a="1"/>
  <c r="F33" i="1" s="1"/>
  <c r="F39" i="1" a="1"/>
  <c r="F39" i="1" s="1"/>
  <c r="F42" i="1" a="1"/>
  <c r="F42" i="1" s="1"/>
  <c r="F45" i="1" a="1"/>
  <c r="F45" i="1" s="1"/>
  <c r="F6" i="1"/>
  <c r="G7" i="1"/>
  <c r="G12" i="1" l="1" a="1"/>
  <c r="G12" i="1" s="1"/>
  <c r="G11" i="1" a="1"/>
  <c r="G11" i="1" s="1"/>
  <c r="G16" i="1" a="1"/>
  <c r="G16" i="1" s="1"/>
  <c r="G18" i="1" a="1"/>
  <c r="G18" i="1" s="1"/>
  <c r="G13" i="1" a="1"/>
  <c r="G13" i="1" s="1"/>
  <c r="G15" i="1" a="1"/>
  <c r="G15" i="1" s="1"/>
  <c r="G17" i="1" a="1"/>
  <c r="G17" i="1" s="1"/>
  <c r="G21" i="1" a="1"/>
  <c r="G21" i="1" s="1"/>
  <c r="G24" i="1" a="1"/>
  <c r="G24" i="1" s="1"/>
  <c r="G10" i="1" a="1"/>
  <c r="G10" i="1" s="1"/>
  <c r="G14" i="1" a="1"/>
  <c r="G14" i="1" s="1"/>
  <c r="G25" i="1" a="1"/>
  <c r="G25" i="1" s="1"/>
  <c r="G27" i="1" a="1"/>
  <c r="G27" i="1" s="1"/>
  <c r="G19" i="1" a="1"/>
  <c r="G19" i="1" s="1"/>
  <c r="G32" i="1" a="1"/>
  <c r="G32" i="1" s="1"/>
  <c r="G20" i="1" a="1"/>
  <c r="G20" i="1" s="1"/>
  <c r="G22" i="1" a="1"/>
  <c r="G22" i="1" s="1"/>
  <c r="G23" i="1" a="1"/>
  <c r="G23" i="1" s="1"/>
  <c r="G29" i="1" a="1"/>
  <c r="G29" i="1" s="1"/>
  <c r="G30" i="1" a="1"/>
  <c r="G30" i="1" s="1"/>
  <c r="G33" i="1" a="1"/>
  <c r="G33" i="1" s="1"/>
  <c r="G36" i="1" a="1"/>
  <c r="G36" i="1" s="1"/>
  <c r="G28" i="1" a="1"/>
  <c r="G28" i="1" s="1"/>
  <c r="G31" i="1" a="1"/>
  <c r="G31" i="1" s="1"/>
  <c r="G34" i="1" a="1"/>
  <c r="G34" i="1" s="1"/>
  <c r="G35" i="1" a="1"/>
  <c r="G35" i="1" s="1"/>
  <c r="G39" i="1" a="1"/>
  <c r="G39" i="1" s="1"/>
  <c r="G42" i="1" a="1"/>
  <c r="G42" i="1" s="1"/>
  <c r="G45" i="1" a="1"/>
  <c r="G45" i="1" s="1"/>
  <c r="G26" i="1" a="1"/>
  <c r="G26" i="1" s="1"/>
  <c r="G41" i="1" a="1"/>
  <c r="G41" i="1" s="1"/>
  <c r="G44" i="1" a="1"/>
  <c r="G44" i="1" s="1"/>
  <c r="G37" i="1" a="1"/>
  <c r="G37" i="1" s="1"/>
  <c r="G38" i="1" a="1"/>
  <c r="G38" i="1" s="1"/>
  <c r="G40" i="1" a="1"/>
  <c r="G40" i="1" s="1"/>
  <c r="G43" i="1" a="1"/>
  <c r="G43" i="1" s="1"/>
  <c r="G6" i="1"/>
  <c r="G8" i="1" a="1"/>
  <c r="G8" i="1" s="1"/>
  <c r="H7" i="1"/>
  <c r="H10" i="1" l="1" a="1"/>
  <c r="H10" i="1" s="1"/>
  <c r="H13" i="1" a="1"/>
  <c r="H13" i="1" s="1"/>
  <c r="H14" i="1" a="1"/>
  <c r="H14" i="1" s="1"/>
  <c r="H9" i="1" a="1"/>
  <c r="H9" i="1" s="1"/>
  <c r="H12" i="1" a="1"/>
  <c r="H12" i="1" s="1"/>
  <c r="H11" i="1" a="1"/>
  <c r="H11" i="1" s="1"/>
  <c r="H19" i="1" a="1"/>
  <c r="H19" i="1" s="1"/>
  <c r="H18" i="1" a="1"/>
  <c r="H18" i="1" s="1"/>
  <c r="H20" i="1" a="1"/>
  <c r="H20" i="1" s="1"/>
  <c r="H22" i="1" a="1"/>
  <c r="H22" i="1" s="1"/>
  <c r="H25" i="1" a="1"/>
  <c r="H25" i="1" s="1"/>
  <c r="H17" i="1" a="1"/>
  <c r="H17" i="1" s="1"/>
  <c r="H24" i="1" a="1"/>
  <c r="H24" i="1" s="1"/>
  <c r="H27" i="1" a="1"/>
  <c r="H27" i="1" s="1"/>
  <c r="H15" i="1" a="1"/>
  <c r="H15" i="1" s="1"/>
  <c r="H16" i="1" a="1"/>
  <c r="H16" i="1" s="1"/>
  <c r="H21" i="1" a="1"/>
  <c r="H21" i="1" s="1"/>
  <c r="H26" i="1" a="1"/>
  <c r="H26" i="1" s="1"/>
  <c r="H34" i="1" a="1"/>
  <c r="H34" i="1" s="1"/>
  <c r="H23" i="1" a="1"/>
  <c r="H23" i="1" s="1"/>
  <c r="H29" i="1" a="1"/>
  <c r="H29" i="1" s="1"/>
  <c r="H30" i="1" a="1"/>
  <c r="H30" i="1" s="1"/>
  <c r="H32" i="1" a="1"/>
  <c r="H32" i="1" s="1"/>
  <c r="H33" i="1" a="1"/>
  <c r="H33" i="1" s="1"/>
  <c r="H37" i="1" a="1"/>
  <c r="H37" i="1" s="1"/>
  <c r="H38" i="1" a="1"/>
  <c r="H38" i="1" s="1"/>
  <c r="H40" i="1" a="1"/>
  <c r="H40" i="1" s="1"/>
  <c r="H43" i="1" a="1"/>
  <c r="H43" i="1" s="1"/>
  <c r="H35" i="1" a="1"/>
  <c r="H35" i="1" s="1"/>
  <c r="H39" i="1" a="1"/>
  <c r="H39" i="1" s="1"/>
  <c r="H28" i="1" a="1"/>
  <c r="H28" i="1" s="1"/>
  <c r="H31" i="1" a="1"/>
  <c r="H31" i="1" s="1"/>
  <c r="H42" i="1" a="1"/>
  <c r="H42" i="1" s="1"/>
  <c r="H45" i="1" a="1"/>
  <c r="H45" i="1" s="1"/>
  <c r="H36" i="1" a="1"/>
  <c r="H36" i="1" s="1"/>
  <c r="H41" i="1" a="1"/>
  <c r="H41" i="1" s="1"/>
  <c r="H44" i="1" a="1"/>
  <c r="H44" i="1" s="1"/>
  <c r="H6" i="1"/>
  <c r="I7" i="1"/>
  <c r="I11" i="1" l="1" a="1"/>
  <c r="I11" i="1" s="1"/>
  <c r="I15" i="1" a="1"/>
  <c r="I15" i="1" s="1"/>
  <c r="I10" i="1" a="1"/>
  <c r="I10" i="1" s="1"/>
  <c r="I13" i="1" a="1"/>
  <c r="I13" i="1" s="1"/>
  <c r="I9" i="1" a="1"/>
  <c r="I9" i="1" s="1"/>
  <c r="I19" i="1" a="1"/>
  <c r="I19" i="1" s="1"/>
  <c r="I23" i="1" a="1"/>
  <c r="I23" i="1" s="1"/>
  <c r="I26" i="1" a="1"/>
  <c r="I26" i="1" s="1"/>
  <c r="I30" i="1" a="1"/>
  <c r="I30" i="1" s="1"/>
  <c r="I18" i="1" a="1"/>
  <c r="I18" i="1" s="1"/>
  <c r="I20" i="1" a="1"/>
  <c r="I20" i="1" s="1"/>
  <c r="I21" i="1" a="1"/>
  <c r="I21" i="1" s="1"/>
  <c r="I14" i="1" a="1"/>
  <c r="I14" i="1" s="1"/>
  <c r="I17" i="1" a="1"/>
  <c r="I17" i="1" s="1"/>
  <c r="I24" i="1" a="1"/>
  <c r="I24" i="1" s="1"/>
  <c r="I28" i="1" a="1"/>
  <c r="I28" i="1" s="1"/>
  <c r="I16" i="1" a="1"/>
  <c r="I16" i="1" s="1"/>
  <c r="I31" i="1" a="1"/>
  <c r="I31" i="1" s="1"/>
  <c r="I27" i="1" a="1"/>
  <c r="I27" i="1" s="1"/>
  <c r="I35" i="1" a="1"/>
  <c r="I35" i="1" s="1"/>
  <c r="I12" i="1" a="1"/>
  <c r="I12" i="1" s="1"/>
  <c r="I22" i="1" a="1"/>
  <c r="I22" i="1" s="1"/>
  <c r="I34" i="1" a="1"/>
  <c r="I34" i="1" s="1"/>
  <c r="I29" i="1" a="1"/>
  <c r="I29" i="1" s="1"/>
  <c r="I33" i="1" a="1"/>
  <c r="I33" i="1" s="1"/>
  <c r="I36" i="1" a="1"/>
  <c r="I36" i="1" s="1"/>
  <c r="I41" i="1" a="1"/>
  <c r="I41" i="1" s="1"/>
  <c r="I44" i="1" a="1"/>
  <c r="I44" i="1" s="1"/>
  <c r="I37" i="1" a="1"/>
  <c r="I37" i="1" s="1"/>
  <c r="I38" i="1" a="1"/>
  <c r="I38" i="1" s="1"/>
  <c r="I40" i="1" a="1"/>
  <c r="I40" i="1" s="1"/>
  <c r="I43" i="1" a="1"/>
  <c r="I43" i="1" s="1"/>
  <c r="I25" i="1" a="1"/>
  <c r="I25" i="1" s="1"/>
  <c r="I32" i="1" a="1"/>
  <c r="I32" i="1" s="1"/>
  <c r="I39" i="1" a="1"/>
  <c r="I39" i="1" s="1"/>
  <c r="I42" i="1" a="1"/>
  <c r="I42" i="1" s="1"/>
  <c r="I45" i="1" a="1"/>
  <c r="I45" i="1" s="1"/>
  <c r="I6" i="1"/>
  <c r="J7" i="1"/>
  <c r="J12" i="1" l="1" a="1"/>
  <c r="J12" i="1" s="1"/>
  <c r="J11" i="1" a="1"/>
  <c r="J11" i="1" s="1"/>
  <c r="J15" i="1" a="1"/>
  <c r="J15" i="1" s="1"/>
  <c r="J17" i="1" a="1"/>
  <c r="J17" i="1" s="1"/>
  <c r="J10" i="1" a="1"/>
  <c r="J10" i="1" s="1"/>
  <c r="J13" i="1" a="1"/>
  <c r="J13" i="1" s="1"/>
  <c r="J14" i="1" a="1"/>
  <c r="J14" i="1" s="1"/>
  <c r="J16" i="1" a="1"/>
  <c r="J16" i="1" s="1"/>
  <c r="J21" i="1" a="1"/>
  <c r="J21" i="1" s="1"/>
  <c r="J24" i="1" a="1"/>
  <c r="J24" i="1" s="1"/>
  <c r="J27" i="1" a="1"/>
  <c r="J27" i="1" s="1"/>
  <c r="J28" i="1" a="1"/>
  <c r="J28" i="1" s="1"/>
  <c r="J29" i="1" a="1"/>
  <c r="J29" i="1" s="1"/>
  <c r="J31" i="1" a="1"/>
  <c r="J31" i="1" s="1"/>
  <c r="J23" i="1" a="1"/>
  <c r="J23" i="1" s="1"/>
  <c r="J18" i="1" a="1"/>
  <c r="J18" i="1" s="1"/>
  <c r="J22" i="1" a="1"/>
  <c r="J22" i="1" s="1"/>
  <c r="J26" i="1" a="1"/>
  <c r="J26" i="1" s="1"/>
  <c r="J19" i="1" a="1"/>
  <c r="J19" i="1" s="1"/>
  <c r="J20" i="1" a="1"/>
  <c r="J20" i="1" s="1"/>
  <c r="J25" i="1" a="1"/>
  <c r="J25" i="1" s="1"/>
  <c r="J32" i="1" a="1"/>
  <c r="J32" i="1" s="1"/>
  <c r="J33" i="1" a="1"/>
  <c r="J33" i="1" s="1"/>
  <c r="J36" i="1" a="1"/>
  <c r="J36" i="1" s="1"/>
  <c r="J39" i="1" a="1"/>
  <c r="J39" i="1" s="1"/>
  <c r="J42" i="1" a="1"/>
  <c r="J42" i="1" s="1"/>
  <c r="J45" i="1" a="1"/>
  <c r="J45" i="1" s="1"/>
  <c r="J34" i="1" a="1"/>
  <c r="J34" i="1" s="1"/>
  <c r="J41" i="1" a="1"/>
  <c r="J41" i="1" s="1"/>
  <c r="J44" i="1" a="1"/>
  <c r="J44" i="1" s="1"/>
  <c r="J37" i="1" a="1"/>
  <c r="J37" i="1" s="1"/>
  <c r="J38" i="1" a="1"/>
  <c r="J38" i="1" s="1"/>
  <c r="J43" i="1" a="1"/>
  <c r="J43" i="1" s="1"/>
  <c r="J30" i="1" a="1"/>
  <c r="J30" i="1" s="1"/>
  <c r="J35" i="1" a="1"/>
  <c r="J35" i="1" s="1"/>
  <c r="J40" i="1" a="1"/>
  <c r="J40" i="1" s="1"/>
  <c r="J6" i="1"/>
  <c r="J8" i="1" a="1"/>
  <c r="J8" i="1" s="1"/>
  <c r="K7" i="1"/>
  <c r="K9" i="1" l="1" a="1"/>
  <c r="K9" i="1" s="1"/>
  <c r="K13" i="1" a="1"/>
  <c r="K13" i="1" s="1"/>
  <c r="K14" i="1" a="1"/>
  <c r="K14" i="1" s="1"/>
  <c r="K12" i="1" a="1"/>
  <c r="K12" i="1" s="1"/>
  <c r="K16" i="1" a="1"/>
  <c r="K16" i="1" s="1"/>
  <c r="K11" i="1" a="1"/>
  <c r="K11" i="1" s="1"/>
  <c r="K15" i="1" a="1"/>
  <c r="K15" i="1" s="1"/>
  <c r="K17" i="1" a="1"/>
  <c r="K17" i="1" s="1"/>
  <c r="K18" i="1" a="1"/>
  <c r="K18" i="1" s="1"/>
  <c r="K20" i="1" a="1"/>
  <c r="K20" i="1" s="1"/>
  <c r="K22" i="1" a="1"/>
  <c r="K22" i="1" s="1"/>
  <c r="K25" i="1" a="1"/>
  <c r="K25" i="1" s="1"/>
  <c r="K27" i="1" a="1"/>
  <c r="K27" i="1" s="1"/>
  <c r="K10" i="1" a="1"/>
  <c r="K10" i="1" s="1"/>
  <c r="K23" i="1" a="1"/>
  <c r="K23" i="1" s="1"/>
  <c r="K21" i="1" a="1"/>
  <c r="K21" i="1" s="1"/>
  <c r="K19" i="1" a="1"/>
  <c r="K19" i="1" s="1"/>
  <c r="K28" i="1" a="1"/>
  <c r="K28" i="1" s="1"/>
  <c r="K29" i="1" a="1"/>
  <c r="K29" i="1" s="1"/>
  <c r="K30" i="1" a="1"/>
  <c r="K30" i="1" s="1"/>
  <c r="K34" i="1" a="1"/>
  <c r="K34" i="1" s="1"/>
  <c r="K24" i="1" a="1"/>
  <c r="K24" i="1" s="1"/>
  <c r="K26" i="1" a="1"/>
  <c r="K26" i="1" s="1"/>
  <c r="K31" i="1" a="1"/>
  <c r="K31" i="1" s="1"/>
  <c r="K32" i="1" a="1"/>
  <c r="K32" i="1" s="1"/>
  <c r="K33" i="1" a="1"/>
  <c r="K33" i="1" s="1"/>
  <c r="K35" i="1" a="1"/>
  <c r="K35" i="1" s="1"/>
  <c r="K37" i="1" a="1"/>
  <c r="K37" i="1" s="1"/>
  <c r="K40" i="1" a="1"/>
  <c r="K40" i="1" s="1"/>
  <c r="K43" i="1" a="1"/>
  <c r="K43" i="1" s="1"/>
  <c r="K39" i="1" a="1"/>
  <c r="K39" i="1" s="1"/>
  <c r="K42" i="1" a="1"/>
  <c r="K42" i="1" s="1"/>
  <c r="K45" i="1" a="1"/>
  <c r="K45" i="1" s="1"/>
  <c r="K36" i="1" a="1"/>
  <c r="K36" i="1" s="1"/>
  <c r="K44" i="1" a="1"/>
  <c r="K44" i="1" s="1"/>
  <c r="K38" i="1" a="1"/>
  <c r="K38" i="1" s="1"/>
  <c r="K41" i="1" a="1"/>
  <c r="K41" i="1" s="1"/>
  <c r="K6" i="1"/>
  <c r="K8" i="1" a="1"/>
  <c r="K8" i="1" s="1"/>
  <c r="L7" i="1"/>
  <c r="L6" i="1" l="1"/>
  <c r="L10" i="1" a="1"/>
  <c r="L10" i="1" s="1"/>
  <c r="L11" i="1" a="1"/>
  <c r="L11" i="1" s="1"/>
  <c r="L15" i="1" a="1"/>
  <c r="L15" i="1" s="1"/>
  <c r="L13" i="1" a="1"/>
  <c r="L13" i="1" s="1"/>
  <c r="L14" i="1" a="1"/>
  <c r="L14" i="1" s="1"/>
  <c r="L12" i="1" a="1"/>
  <c r="L12" i="1" s="1"/>
  <c r="L19" i="1" a="1"/>
  <c r="L19" i="1" s="1"/>
  <c r="L17" i="1" a="1"/>
  <c r="L17" i="1" s="1"/>
  <c r="L18" i="1" a="1"/>
  <c r="L18" i="1" s="1"/>
  <c r="L26" i="1" a="1"/>
  <c r="L26" i="1" s="1"/>
  <c r="L30" i="1" a="1"/>
  <c r="L30" i="1" s="1"/>
  <c r="L16" i="1" a="1"/>
  <c r="L16" i="1" s="1"/>
  <c r="L20" i="1" a="1"/>
  <c r="L20" i="1" s="1"/>
  <c r="L25" i="1" a="1"/>
  <c r="L25" i="1" s="1"/>
  <c r="L27" i="1" a="1"/>
  <c r="L27" i="1" s="1"/>
  <c r="L22" i="1" a="1"/>
  <c r="L22" i="1" s="1"/>
  <c r="L29" i="1" a="1"/>
  <c r="L29" i="1" s="1"/>
  <c r="L34" i="1" a="1"/>
  <c r="L34" i="1" s="1"/>
  <c r="L21" i="1" a="1"/>
  <c r="L21" i="1" s="1"/>
  <c r="L24" i="1" a="1"/>
  <c r="L24" i="1" s="1"/>
  <c r="L28" i="1" a="1"/>
  <c r="L28" i="1" s="1"/>
  <c r="L31" i="1" a="1"/>
  <c r="L31" i="1" s="1"/>
  <c r="L32" i="1" a="1"/>
  <c r="L32" i="1" s="1"/>
  <c r="L33" i="1" a="1"/>
  <c r="L33" i="1" s="1"/>
  <c r="L23" i="1" a="1"/>
  <c r="L23" i="1" s="1"/>
  <c r="L41" i="1" a="1"/>
  <c r="L41" i="1" s="1"/>
  <c r="L44" i="1" a="1"/>
  <c r="L44" i="1" s="1"/>
  <c r="L35" i="1" a="1"/>
  <c r="L35" i="1" s="1"/>
  <c r="L37" i="1" a="1"/>
  <c r="L37" i="1" s="1"/>
  <c r="L38" i="1" a="1"/>
  <c r="L38" i="1" s="1"/>
  <c r="L40" i="1" a="1"/>
  <c r="L40" i="1" s="1"/>
  <c r="L43" i="1" a="1"/>
  <c r="L43" i="1" s="1"/>
  <c r="L39" i="1" a="1"/>
  <c r="L39" i="1" s="1"/>
  <c r="L42" i="1" a="1"/>
  <c r="L42" i="1" s="1"/>
  <c r="L45" i="1" a="1"/>
  <c r="L45" i="1" s="1"/>
  <c r="L36" i="1" a="1"/>
  <c r="L36" i="1" s="1"/>
  <c r="M7" i="1"/>
  <c r="M6" i="1" l="1"/>
  <c r="M12" i="1" a="1"/>
  <c r="M12" i="1" s="1"/>
  <c r="M11" i="1" a="1"/>
  <c r="M11" i="1" s="1"/>
  <c r="M17" i="1" a="1"/>
  <c r="M17" i="1" s="1"/>
  <c r="M10" i="1" a="1"/>
  <c r="M10" i="1" s="1"/>
  <c r="M13" i="1" a="1"/>
  <c r="M13" i="1" s="1"/>
  <c r="M14" i="1" a="1"/>
  <c r="M14" i="1" s="1"/>
  <c r="M15" i="1" a="1"/>
  <c r="M15" i="1" s="1"/>
  <c r="M19" i="1" a="1"/>
  <c r="M19" i="1" s="1"/>
  <c r="M27" i="1" a="1"/>
  <c r="M27" i="1" s="1"/>
  <c r="M28" i="1" a="1"/>
  <c r="M28" i="1" s="1"/>
  <c r="M29" i="1" a="1"/>
  <c r="M29" i="1" s="1"/>
  <c r="M31" i="1" a="1"/>
  <c r="M31" i="1" s="1"/>
  <c r="M9" i="1" a="1"/>
  <c r="M9" i="1" s="1"/>
  <c r="M21" i="1" a="1"/>
  <c r="M21" i="1" s="1"/>
  <c r="M22" i="1" a="1"/>
  <c r="M22" i="1" s="1"/>
  <c r="M24" i="1" a="1"/>
  <c r="M24" i="1" s="1"/>
  <c r="M16" i="1" a="1"/>
  <c r="M16" i="1" s="1"/>
  <c r="M20" i="1" a="1"/>
  <c r="M20" i="1" s="1"/>
  <c r="M25" i="1" a="1"/>
  <c r="M25" i="1" s="1"/>
  <c r="M18" i="1" a="1"/>
  <c r="M18" i="1" s="1"/>
  <c r="M23" i="1" a="1"/>
  <c r="M23" i="1" s="1"/>
  <c r="M35" i="1" a="1"/>
  <c r="M35" i="1" s="1"/>
  <c r="M26" i="1" a="1"/>
  <c r="M26" i="1" s="1"/>
  <c r="M30" i="1" a="1"/>
  <c r="M30" i="1" s="1"/>
  <c r="M34" i="1" a="1"/>
  <c r="M34" i="1" s="1"/>
  <c r="M32" i="1" a="1"/>
  <c r="M32" i="1" s="1"/>
  <c r="M36" i="1" a="1"/>
  <c r="M36" i="1" s="1"/>
  <c r="M39" i="1" a="1"/>
  <c r="M39" i="1" s="1"/>
  <c r="M45" i="1" a="1"/>
  <c r="M45" i="1" s="1"/>
  <c r="M33" i="1" a="1"/>
  <c r="M33" i="1" s="1"/>
  <c r="M41" i="1" a="1"/>
  <c r="M41" i="1" s="1"/>
  <c r="M44" i="1" a="1"/>
  <c r="M44" i="1" s="1"/>
  <c r="M37" i="1" a="1"/>
  <c r="M37" i="1" s="1"/>
  <c r="M38" i="1" a="1"/>
  <c r="M38" i="1" s="1"/>
  <c r="M40" i="1" a="1"/>
  <c r="M40" i="1" s="1"/>
  <c r="M42" i="1" a="1"/>
  <c r="M42" i="1" s="1"/>
  <c r="M43" i="1" a="1"/>
  <c r="M43" i="1" s="1"/>
  <c r="N7" i="1"/>
  <c r="N6" i="1" l="1"/>
  <c r="N13" i="1" a="1"/>
  <c r="N13" i="1" s="1"/>
  <c r="N9" i="1" a="1"/>
  <c r="N9" i="1" s="1"/>
  <c r="N12" i="1" a="1"/>
  <c r="N12" i="1" s="1"/>
  <c r="N10" i="1" a="1"/>
  <c r="N10" i="1" s="1"/>
  <c r="N16" i="1" a="1"/>
  <c r="N16" i="1" s="1"/>
  <c r="N18" i="1" a="1"/>
  <c r="N18" i="1" s="1"/>
  <c r="N20" i="1" a="1"/>
  <c r="N20" i="1" s="1"/>
  <c r="N15" i="1" a="1"/>
  <c r="N15" i="1" s="1"/>
  <c r="N19" i="1" a="1"/>
  <c r="N19" i="1" s="1"/>
  <c r="N23" i="1" a="1"/>
  <c r="N23" i="1" s="1"/>
  <c r="N26" i="1" a="1"/>
  <c r="N26" i="1" s="1"/>
  <c r="N21" i="1" a="1"/>
  <c r="N21" i="1" s="1"/>
  <c r="N22" i="1" a="1"/>
  <c r="N22" i="1" s="1"/>
  <c r="N24" i="1" a="1"/>
  <c r="N24" i="1" s="1"/>
  <c r="N28" i="1" a="1"/>
  <c r="N28" i="1" s="1"/>
  <c r="N11" i="1" a="1"/>
  <c r="N11" i="1" s="1"/>
  <c r="N14" i="1" a="1"/>
  <c r="N14" i="1" s="1"/>
  <c r="N17" i="1" a="1"/>
  <c r="N17" i="1" s="1"/>
  <c r="N30" i="1" a="1"/>
  <c r="N30" i="1" s="1"/>
  <c r="N31" i="1" a="1"/>
  <c r="N31" i="1" s="1"/>
  <c r="N33" i="1" a="1"/>
  <c r="N33" i="1" s="1"/>
  <c r="N25" i="1" a="1"/>
  <c r="N25" i="1" s="1"/>
  <c r="N32" i="1" a="1"/>
  <c r="N32" i="1" s="1"/>
  <c r="N36" i="1" a="1"/>
  <c r="N36" i="1" s="1"/>
  <c r="N40" i="1" a="1"/>
  <c r="N40" i="1" s="1"/>
  <c r="N42" i="1" a="1"/>
  <c r="N42" i="1" s="1"/>
  <c r="N43" i="1" a="1"/>
  <c r="N43" i="1" s="1"/>
  <c r="N29" i="1" a="1"/>
  <c r="N29" i="1" s="1"/>
  <c r="N39" i="1" a="1"/>
  <c r="N39" i="1" s="1"/>
  <c r="N45" i="1" a="1"/>
  <c r="N45" i="1" s="1"/>
  <c r="N27" i="1" a="1"/>
  <c r="N27" i="1" s="1"/>
  <c r="N34" i="1" a="1"/>
  <c r="N34" i="1" s="1"/>
  <c r="N35" i="1" a="1"/>
  <c r="N35" i="1" s="1"/>
  <c r="N41" i="1" a="1"/>
  <c r="N41" i="1" s="1"/>
  <c r="N37" i="1" a="1"/>
  <c r="N37" i="1" s="1"/>
  <c r="N38" i="1" a="1"/>
  <c r="N38" i="1" s="1"/>
  <c r="N44" i="1" a="1"/>
  <c r="N44" i="1" s="1"/>
  <c r="O7" i="1"/>
  <c r="O6" i="1" l="1"/>
  <c r="O11" i="1" a="1"/>
  <c r="O11" i="1" s="1"/>
  <c r="O15" i="1" a="1"/>
  <c r="O15" i="1" s="1"/>
  <c r="O10" i="1" a="1"/>
  <c r="O10" i="1" s="1"/>
  <c r="O13" i="1" a="1"/>
  <c r="O13" i="1" s="1"/>
  <c r="O14" i="1" a="1"/>
  <c r="O14" i="1" s="1"/>
  <c r="O9" i="1" a="1"/>
  <c r="O9" i="1" s="1"/>
  <c r="O17" i="1" a="1"/>
  <c r="O17" i="1" s="1"/>
  <c r="O19" i="1" a="1"/>
  <c r="O19" i="1" s="1"/>
  <c r="O12" i="1" a="1"/>
  <c r="O12" i="1" s="1"/>
  <c r="O16" i="1" a="1"/>
  <c r="O16" i="1" s="1"/>
  <c r="O18" i="1" a="1"/>
  <c r="O18" i="1" s="1"/>
  <c r="O23" i="1" a="1"/>
  <c r="O23" i="1" s="1"/>
  <c r="O25" i="1" a="1"/>
  <c r="O25" i="1" s="1"/>
  <c r="O30" i="1" a="1"/>
  <c r="O30" i="1" s="1"/>
  <c r="O26" i="1" a="1"/>
  <c r="O26" i="1" s="1"/>
  <c r="O20" i="1" a="1"/>
  <c r="O20" i="1" s="1"/>
  <c r="O21" i="1" a="1"/>
  <c r="O21" i="1" s="1"/>
  <c r="O27" i="1" a="1"/>
  <c r="O27" i="1" s="1"/>
  <c r="O29" i="1" a="1"/>
  <c r="O29" i="1" s="1"/>
  <c r="O34" i="1" a="1"/>
  <c r="O34" i="1" s="1"/>
  <c r="O22" i="1" a="1"/>
  <c r="O22" i="1" s="1"/>
  <c r="O31" i="1" a="1"/>
  <c r="O31" i="1" s="1"/>
  <c r="O32" i="1" a="1"/>
  <c r="O32" i="1" s="1"/>
  <c r="O33" i="1" a="1"/>
  <c r="O33" i="1" s="1"/>
  <c r="O24" i="1" a="1"/>
  <c r="O24" i="1" s="1"/>
  <c r="O37" i="1" a="1"/>
  <c r="O37" i="1" s="1"/>
  <c r="O38" i="1" a="1"/>
  <c r="O38" i="1" s="1"/>
  <c r="O41" i="1" a="1"/>
  <c r="O41" i="1" s="1"/>
  <c r="O44" i="1" a="1"/>
  <c r="O44" i="1" s="1"/>
  <c r="O36" i="1" a="1"/>
  <c r="O36" i="1" s="1"/>
  <c r="O40" i="1" a="1"/>
  <c r="O40" i="1" s="1"/>
  <c r="O42" i="1" a="1"/>
  <c r="O42" i="1" s="1"/>
  <c r="O43" i="1" a="1"/>
  <c r="O43" i="1" s="1"/>
  <c r="O39" i="1" a="1"/>
  <c r="O39" i="1" s="1"/>
  <c r="O28" i="1" a="1"/>
  <c r="O28" i="1" s="1"/>
  <c r="O35" i="1" a="1"/>
  <c r="O35" i="1" s="1"/>
  <c r="O45" i="1" a="1"/>
  <c r="O45" i="1" s="1"/>
  <c r="P7" i="1"/>
  <c r="P6" i="1" l="1"/>
  <c r="P12" i="1" a="1"/>
  <c r="P12" i="1" s="1"/>
  <c r="P15" i="1" a="1"/>
  <c r="P15" i="1" s="1"/>
  <c r="P10" i="1" a="1"/>
  <c r="P10" i="1" s="1"/>
  <c r="P11" i="1" a="1"/>
  <c r="P11" i="1" s="1"/>
  <c r="P13" i="1" a="1"/>
  <c r="P13" i="1" s="1"/>
  <c r="P17" i="1" a="1"/>
  <c r="P17" i="1" s="1"/>
  <c r="P19" i="1" a="1"/>
  <c r="P19" i="1" s="1"/>
  <c r="P21" i="1" a="1"/>
  <c r="P21" i="1" s="1"/>
  <c r="P24" i="1" a="1"/>
  <c r="P24" i="1" s="1"/>
  <c r="P26" i="1" a="1"/>
  <c r="P26" i="1" s="1"/>
  <c r="P31" i="1" a="1"/>
  <c r="P31" i="1" s="1"/>
  <c r="P18" i="1" a="1"/>
  <c r="P18" i="1" s="1"/>
  <c r="P27" i="1" a="1"/>
  <c r="P27" i="1" s="1"/>
  <c r="P9" i="1" a="1"/>
  <c r="P9" i="1" s="1"/>
  <c r="P16" i="1" a="1"/>
  <c r="P16" i="1" s="1"/>
  <c r="P28" i="1" a="1"/>
  <c r="P28" i="1" s="1"/>
  <c r="P32" i="1" a="1"/>
  <c r="P32" i="1" s="1"/>
  <c r="P23" i="1" a="1"/>
  <c r="P23" i="1" s="1"/>
  <c r="P29" i="1" a="1"/>
  <c r="P29" i="1" s="1"/>
  <c r="P30" i="1" a="1"/>
  <c r="P30" i="1" s="1"/>
  <c r="P22" i="1" a="1"/>
  <c r="P22" i="1" s="1"/>
  <c r="P25" i="1" a="1"/>
  <c r="P25" i="1" s="1"/>
  <c r="P34" i="1" a="1"/>
  <c r="P34" i="1" s="1"/>
  <c r="P35" i="1" a="1"/>
  <c r="P35" i="1" s="1"/>
  <c r="P45" i="1" a="1"/>
  <c r="P45" i="1" s="1"/>
  <c r="P14" i="1" a="1"/>
  <c r="P14" i="1" s="1"/>
  <c r="P37" i="1" a="1"/>
  <c r="P37" i="1" s="1"/>
  <c r="P38" i="1" a="1"/>
  <c r="P38" i="1" s="1"/>
  <c r="P41" i="1" a="1"/>
  <c r="P41" i="1" s="1"/>
  <c r="P44" i="1" a="1"/>
  <c r="P44" i="1" s="1"/>
  <c r="P33" i="1" a="1"/>
  <c r="P33" i="1" s="1"/>
  <c r="P36" i="1" a="1"/>
  <c r="P36" i="1" s="1"/>
  <c r="P40" i="1" a="1"/>
  <c r="P40" i="1" s="1"/>
  <c r="P43" i="1" a="1"/>
  <c r="P43" i="1" s="1"/>
  <c r="P20" i="1" a="1"/>
  <c r="P20" i="1" s="1"/>
  <c r="P39" i="1" a="1"/>
  <c r="P39" i="1" s="1"/>
  <c r="P42" i="1" a="1"/>
  <c r="P42" i="1" s="1"/>
  <c r="Q7" i="1"/>
  <c r="Q6" i="1" l="1"/>
  <c r="Q9" i="1" a="1"/>
  <c r="Q9" i="1" s="1"/>
  <c r="Q13" i="1" a="1"/>
  <c r="Q13" i="1" s="1"/>
  <c r="Q14" i="1" a="1"/>
  <c r="Q14" i="1" s="1"/>
  <c r="Q16" i="1" a="1"/>
  <c r="Q16" i="1" s="1"/>
  <c r="Q17" i="1" a="1"/>
  <c r="Q17" i="1" s="1"/>
  <c r="Q12" i="1" a="1"/>
  <c r="Q12" i="1" s="1"/>
  <c r="Q10" i="1" a="1"/>
  <c r="Q10" i="1" s="1"/>
  <c r="Q22" i="1" a="1"/>
  <c r="Q22" i="1" s="1"/>
  <c r="Q27" i="1" a="1"/>
  <c r="Q27" i="1" s="1"/>
  <c r="Q28" i="1" a="1"/>
  <c r="Q28" i="1" s="1"/>
  <c r="Q29" i="1" a="1"/>
  <c r="Q29" i="1" s="1"/>
  <c r="Q20" i="1" a="1"/>
  <c r="Q20" i="1" s="1"/>
  <c r="Q21" i="1" a="1"/>
  <c r="Q21" i="1" s="1"/>
  <c r="Q24" i="1" a="1"/>
  <c r="Q24" i="1" s="1"/>
  <c r="Q15" i="1" a="1"/>
  <c r="Q15" i="1" s="1"/>
  <c r="Q18" i="1" a="1"/>
  <c r="Q18" i="1" s="1"/>
  <c r="Q25" i="1" a="1"/>
  <c r="Q25" i="1" s="1"/>
  <c r="Q19" i="1" a="1"/>
  <c r="Q19" i="1" s="1"/>
  <c r="Q33" i="1" a="1"/>
  <c r="Q33" i="1" s="1"/>
  <c r="Q11" i="1" a="1"/>
  <c r="Q11" i="1" s="1"/>
  <c r="Q32" i="1" a="1"/>
  <c r="Q32" i="1" s="1"/>
  <c r="Q23" i="1" a="1"/>
  <c r="Q23" i="1" s="1"/>
  <c r="Q30" i="1" a="1"/>
  <c r="Q30" i="1" s="1"/>
  <c r="Q31" i="1" a="1"/>
  <c r="Q31" i="1" s="1"/>
  <c r="Q42" i="1" a="1"/>
  <c r="Q42" i="1" s="1"/>
  <c r="Q35" i="1" a="1"/>
  <c r="Q35" i="1" s="1"/>
  <c r="Q39" i="1" a="1"/>
  <c r="Q39" i="1" s="1"/>
  <c r="Q45" i="1" a="1"/>
  <c r="Q45" i="1" s="1"/>
  <c r="Q37" i="1" a="1"/>
  <c r="Q37" i="1" s="1"/>
  <c r="Q38" i="1" a="1"/>
  <c r="Q38" i="1" s="1"/>
  <c r="Q41" i="1" a="1"/>
  <c r="Q41" i="1" s="1"/>
  <c r="Q44" i="1" a="1"/>
  <c r="Q44" i="1" s="1"/>
  <c r="Q26" i="1" a="1"/>
  <c r="Q26" i="1" s="1"/>
  <c r="Q34" i="1" a="1"/>
  <c r="Q34" i="1" s="1"/>
  <c r="Q36" i="1" a="1"/>
  <c r="Q36" i="1" s="1"/>
  <c r="Q40" i="1" a="1"/>
  <c r="Q40" i="1" s="1"/>
  <c r="Q43" i="1" a="1"/>
  <c r="Q43" i="1" s="1"/>
  <c r="R7" i="1"/>
  <c r="R6" i="1" l="1"/>
  <c r="R10" i="1" a="1"/>
  <c r="R10" i="1" s="1"/>
  <c r="R11" i="1" a="1"/>
  <c r="R11" i="1" s="1"/>
  <c r="R14" i="1" a="1"/>
  <c r="R14" i="1" s="1"/>
  <c r="R15" i="1" a="1"/>
  <c r="R15" i="1" s="1"/>
  <c r="R18" i="1" a="1"/>
  <c r="R18" i="1" s="1"/>
  <c r="R13" i="1" a="1"/>
  <c r="R13" i="1" s="1"/>
  <c r="R25" i="1" a="1"/>
  <c r="R25" i="1" s="1"/>
  <c r="R12" i="1" a="1"/>
  <c r="R12" i="1" s="1"/>
  <c r="R17" i="1" a="1"/>
  <c r="R17" i="1" s="1"/>
  <c r="R23" i="1" a="1"/>
  <c r="R23" i="1" s="1"/>
  <c r="R26" i="1" a="1"/>
  <c r="R26" i="1" s="1"/>
  <c r="R20" i="1" a="1"/>
  <c r="R20" i="1" s="1"/>
  <c r="R21" i="1" a="1"/>
  <c r="R21" i="1" s="1"/>
  <c r="R22" i="1" a="1"/>
  <c r="R22" i="1" s="1"/>
  <c r="R24" i="1" a="1"/>
  <c r="R24" i="1" s="1"/>
  <c r="R27" i="1" a="1"/>
  <c r="R27" i="1" s="1"/>
  <c r="R31" i="1" a="1"/>
  <c r="R31" i="1" s="1"/>
  <c r="R34" i="1" a="1"/>
  <c r="R34" i="1" s="1"/>
  <c r="R16" i="1" a="1"/>
  <c r="R16" i="1" s="1"/>
  <c r="R19" i="1" a="1"/>
  <c r="R19" i="1" s="1"/>
  <c r="R28" i="1" a="1"/>
  <c r="R28" i="1" s="1"/>
  <c r="R33" i="1" a="1"/>
  <c r="R33" i="1" s="1"/>
  <c r="R29" i="1" a="1"/>
  <c r="R29" i="1" s="1"/>
  <c r="R32" i="1" a="1"/>
  <c r="R32" i="1" s="1"/>
  <c r="R36" i="1" a="1"/>
  <c r="R36" i="1" s="1"/>
  <c r="R43" i="1" a="1"/>
  <c r="R43" i="1" s="1"/>
  <c r="R30" i="1" a="1"/>
  <c r="R30" i="1" s="1"/>
  <c r="R40" i="1" a="1"/>
  <c r="R40" i="1" s="1"/>
  <c r="R42" i="1" a="1"/>
  <c r="R42" i="1" s="1"/>
  <c r="R35" i="1" a="1"/>
  <c r="R35" i="1" s="1"/>
  <c r="R39" i="1" a="1"/>
  <c r="R39" i="1" s="1"/>
  <c r="R45" i="1" a="1"/>
  <c r="R45" i="1" s="1"/>
  <c r="R37" i="1" a="1"/>
  <c r="R37" i="1" s="1"/>
  <c r="R38" i="1" a="1"/>
  <c r="R38" i="1" s="1"/>
  <c r="R41" i="1" a="1"/>
  <c r="R41" i="1" s="1"/>
  <c r="R44" i="1" a="1"/>
  <c r="R44" i="1" s="1"/>
  <c r="S7" i="1"/>
  <c r="S6" i="1" l="1"/>
  <c r="S12" i="1" a="1"/>
  <c r="S12" i="1" s="1"/>
  <c r="S10" i="1" a="1"/>
  <c r="S10" i="1" s="1"/>
  <c r="S11" i="1" a="1"/>
  <c r="S11" i="1" s="1"/>
  <c r="S15" i="1" a="1"/>
  <c r="S15" i="1" s="1"/>
  <c r="S16" i="1" a="1"/>
  <c r="S16" i="1" s="1"/>
  <c r="S19" i="1" a="1"/>
  <c r="S19" i="1" s="1"/>
  <c r="S14" i="1" a="1"/>
  <c r="S14" i="1" s="1"/>
  <c r="S18" i="1" a="1"/>
  <c r="S18" i="1" s="1"/>
  <c r="S23" i="1" a="1"/>
  <c r="S23" i="1" s="1"/>
  <c r="S26" i="1" a="1"/>
  <c r="S26" i="1" s="1"/>
  <c r="S30" i="1" a="1"/>
  <c r="S30" i="1" s="1"/>
  <c r="S17" i="1" a="1"/>
  <c r="S17" i="1" s="1"/>
  <c r="S28" i="1" a="1"/>
  <c r="S28" i="1" s="1"/>
  <c r="S13" i="1" a="1"/>
  <c r="S13" i="1" s="1"/>
  <c r="S20" i="1" a="1"/>
  <c r="S20" i="1" s="1"/>
  <c r="S21" i="1" a="1"/>
  <c r="S21" i="1" s="1"/>
  <c r="S29" i="1" a="1"/>
  <c r="S29" i="1" s="1"/>
  <c r="S24" i="1" a="1"/>
  <c r="S24" i="1" s="1"/>
  <c r="S31" i="1" a="1"/>
  <c r="S31" i="1" s="1"/>
  <c r="S34" i="1" a="1"/>
  <c r="S34" i="1" s="1"/>
  <c r="S27" i="1" a="1"/>
  <c r="S27" i="1" s="1"/>
  <c r="S33" i="1" a="1"/>
  <c r="S33" i="1" s="1"/>
  <c r="S25" i="1" a="1"/>
  <c r="S25" i="1" s="1"/>
  <c r="S38" i="1" a="1"/>
  <c r="S38" i="1" s="1"/>
  <c r="S44" i="1" a="1"/>
  <c r="S44" i="1" s="1"/>
  <c r="S22" i="1" a="1"/>
  <c r="S22" i="1" s="1"/>
  <c r="S36" i="1" a="1"/>
  <c r="S36" i="1" s="1"/>
  <c r="S37" i="1" a="1"/>
  <c r="S37" i="1" s="1"/>
  <c r="S41" i="1" a="1"/>
  <c r="S41" i="1" s="1"/>
  <c r="S32" i="1" a="1"/>
  <c r="S32" i="1" s="1"/>
  <c r="S40" i="1" a="1"/>
  <c r="S40" i="1" s="1"/>
  <c r="S42" i="1" a="1"/>
  <c r="S42" i="1" s="1"/>
  <c r="S43" i="1" a="1"/>
  <c r="S43" i="1" s="1"/>
  <c r="S35" i="1" a="1"/>
  <c r="S35" i="1" s="1"/>
  <c r="S39" i="1" a="1"/>
  <c r="S39" i="1" s="1"/>
  <c r="S45" i="1" a="1"/>
  <c r="S45" i="1" s="1"/>
  <c r="T7" i="1"/>
  <c r="T6" i="1" l="1"/>
  <c r="T9" i="1" a="1"/>
  <c r="T9" i="1" s="1"/>
  <c r="T13" i="1" a="1"/>
  <c r="T13" i="1" s="1"/>
  <c r="T14" i="1" a="1"/>
  <c r="T14" i="1" s="1"/>
  <c r="T12" i="1" a="1"/>
  <c r="T12" i="1" s="1"/>
  <c r="T16" i="1" a="1"/>
  <c r="T16" i="1" s="1"/>
  <c r="T10" i="1" a="1"/>
  <c r="T10" i="1" s="1"/>
  <c r="T11" i="1" a="1"/>
  <c r="T11" i="1" s="1"/>
  <c r="T17" i="1" a="1"/>
  <c r="T17" i="1" s="1"/>
  <c r="T15" i="1" a="1"/>
  <c r="T15" i="1" s="1"/>
  <c r="T19" i="1" a="1"/>
  <c r="T19" i="1" s="1"/>
  <c r="T20" i="1" a="1"/>
  <c r="T20" i="1" s="1"/>
  <c r="T24" i="1" a="1"/>
  <c r="T24" i="1" s="1"/>
  <c r="T27" i="1" a="1"/>
  <c r="T27" i="1" s="1"/>
  <c r="T28" i="1" a="1"/>
  <c r="T28" i="1" s="1"/>
  <c r="T29" i="1" a="1"/>
  <c r="T29" i="1" s="1"/>
  <c r="T31" i="1" a="1"/>
  <c r="T31" i="1" s="1"/>
  <c r="T23" i="1" a="1"/>
  <c r="T23" i="1" s="1"/>
  <c r="T26" i="1" a="1"/>
  <c r="T26" i="1" s="1"/>
  <c r="T18" i="1" a="1"/>
  <c r="T18" i="1" s="1"/>
  <c r="T21" i="1" a="1"/>
  <c r="T21" i="1" s="1"/>
  <c r="T22" i="1" a="1"/>
  <c r="T22" i="1" s="1"/>
  <c r="T25" i="1" a="1"/>
  <c r="T25" i="1" s="1"/>
  <c r="T32" i="1" a="1"/>
  <c r="T32" i="1" s="1"/>
  <c r="T30" i="1" a="1"/>
  <c r="T30" i="1" s="1"/>
  <c r="T35" i="1" a="1"/>
  <c r="T35" i="1" s="1"/>
  <c r="T34" i="1" a="1"/>
  <c r="T34" i="1" s="1"/>
  <c r="T39" i="1" a="1"/>
  <c r="T39" i="1" s="1"/>
  <c r="T45" i="1" a="1"/>
  <c r="T45" i="1" s="1"/>
  <c r="T36" i="1" a="1"/>
  <c r="T36" i="1" s="1"/>
  <c r="T37" i="1" a="1"/>
  <c r="T37" i="1" s="1"/>
  <c r="T38" i="1" a="1"/>
  <c r="T38" i="1" s="1"/>
  <c r="T41" i="1" a="1"/>
  <c r="T41" i="1" s="1"/>
  <c r="T44" i="1" a="1"/>
  <c r="T44" i="1" s="1"/>
  <c r="T33" i="1" a="1"/>
  <c r="T33" i="1" s="1"/>
  <c r="T40" i="1" a="1"/>
  <c r="T40" i="1" s="1"/>
  <c r="T43" i="1" a="1"/>
  <c r="T43" i="1" s="1"/>
  <c r="T42" i="1" a="1"/>
  <c r="T42" i="1" s="1"/>
  <c r="U7" i="1"/>
  <c r="U6" i="1" l="1"/>
  <c r="U10" i="1" a="1"/>
  <c r="U10" i="1" s="1"/>
  <c r="U11" i="1" a="1"/>
  <c r="U11" i="1" s="1"/>
  <c r="U15" i="1" a="1"/>
  <c r="U15" i="1" s="1"/>
  <c r="U9" i="1" a="1"/>
  <c r="U9" i="1" s="1"/>
  <c r="U13" i="1" a="1"/>
  <c r="U13" i="1" s="1"/>
  <c r="U14" i="1" a="1"/>
  <c r="U14" i="1" s="1"/>
  <c r="U17" i="1" a="1"/>
  <c r="U17" i="1" s="1"/>
  <c r="U21" i="1" a="1"/>
  <c r="U21" i="1" s="1"/>
  <c r="U16" i="1" a="1"/>
  <c r="U16" i="1" s="1"/>
  <c r="U20" i="1" a="1"/>
  <c r="U20" i="1" s="1"/>
  <c r="U22" i="1" a="1"/>
  <c r="U22" i="1" s="1"/>
  <c r="U25" i="1" a="1"/>
  <c r="U25" i="1" s="1"/>
  <c r="U12" i="1" a="1"/>
  <c r="U12" i="1" s="1"/>
  <c r="U19" i="1" a="1"/>
  <c r="U19" i="1" s="1"/>
  <c r="U23" i="1" a="1"/>
  <c r="U23" i="1" s="1"/>
  <c r="U33" i="1" a="1"/>
  <c r="U33" i="1" s="1"/>
  <c r="U18" i="1" a="1"/>
  <c r="U18" i="1" s="1"/>
  <c r="U26" i="1" a="1"/>
  <c r="U26" i="1" s="1"/>
  <c r="U32" i="1" a="1"/>
  <c r="U32" i="1" s="1"/>
  <c r="U36" i="1" a="1"/>
  <c r="U36" i="1" s="1"/>
  <c r="U24" i="1" a="1"/>
  <c r="U24" i="1" s="1"/>
  <c r="U29" i="1" a="1"/>
  <c r="U29" i="1" s="1"/>
  <c r="U30" i="1" a="1"/>
  <c r="U30" i="1" s="1"/>
  <c r="U28" i="1" a="1"/>
  <c r="U28" i="1" s="1"/>
  <c r="U34" i="1" a="1"/>
  <c r="U34" i="1" s="1"/>
  <c r="U35" i="1" a="1"/>
  <c r="U35" i="1" s="1"/>
  <c r="U40" i="1" a="1"/>
  <c r="U40" i="1" s="1"/>
  <c r="U42" i="1" a="1"/>
  <c r="U42" i="1" s="1"/>
  <c r="U31" i="1" a="1"/>
  <c r="U31" i="1" s="1"/>
  <c r="U43" i="1" a="1"/>
  <c r="U43" i="1" s="1"/>
  <c r="U39" i="1" a="1"/>
  <c r="U39" i="1" s="1"/>
  <c r="U45" i="1" a="1"/>
  <c r="U45" i="1" s="1"/>
  <c r="U27" i="1" a="1"/>
  <c r="U27" i="1" s="1"/>
  <c r="U37" i="1" a="1"/>
  <c r="U37" i="1" s="1"/>
  <c r="U38" i="1" a="1"/>
  <c r="U38" i="1" s="1"/>
  <c r="U41" i="1" a="1"/>
  <c r="U41" i="1" s="1"/>
  <c r="U44" i="1" a="1"/>
  <c r="U44" i="1" s="1"/>
  <c r="V7" i="1"/>
  <c r="V6" i="1" l="1"/>
  <c r="V12" i="1" a="1"/>
  <c r="V12" i="1" s="1"/>
  <c r="V10" i="1" a="1"/>
  <c r="V10" i="1" s="1"/>
  <c r="V15" i="1" a="1"/>
  <c r="V15" i="1" s="1"/>
  <c r="V11" i="1" a="1"/>
  <c r="V11" i="1" s="1"/>
  <c r="V13" i="1" a="1"/>
  <c r="V13" i="1" s="1"/>
  <c r="V16" i="1" a="1"/>
  <c r="V16" i="1" s="1"/>
  <c r="V19" i="1" a="1"/>
  <c r="V19" i="1" s="1"/>
  <c r="V9" i="1" a="1"/>
  <c r="V9" i="1" s="1"/>
  <c r="V18" i="1" a="1"/>
  <c r="V18" i="1" s="1"/>
  <c r="V22" i="1" a="1"/>
  <c r="V22" i="1" s="1"/>
  <c r="V23" i="1" a="1"/>
  <c r="V23" i="1" s="1"/>
  <c r="V25" i="1" a="1"/>
  <c r="V25" i="1" s="1"/>
  <c r="V14" i="1" a="1"/>
  <c r="V14" i="1" s="1"/>
  <c r="V20" i="1" a="1"/>
  <c r="V20" i="1" s="1"/>
  <c r="V21" i="1" a="1"/>
  <c r="V21" i="1" s="1"/>
  <c r="V24" i="1" a="1"/>
  <c r="V24" i="1" s="1"/>
  <c r="V27" i="1" a="1"/>
  <c r="V27" i="1" s="1"/>
  <c r="V17" i="1" a="1"/>
  <c r="V17" i="1" s="1"/>
  <c r="V28" i="1" a="1"/>
  <c r="V28" i="1" s="1"/>
  <c r="V31" i="1" a="1"/>
  <c r="V31" i="1" s="1"/>
  <c r="V34" i="1" a="1"/>
  <c r="V34" i="1" s="1"/>
  <c r="V33" i="1" a="1"/>
  <c r="V33" i="1" s="1"/>
  <c r="V26" i="1" a="1"/>
  <c r="V26" i="1" s="1"/>
  <c r="V37" i="1" a="1"/>
  <c r="V37" i="1" s="1"/>
  <c r="V38" i="1" a="1"/>
  <c r="V38" i="1" s="1"/>
  <c r="V41" i="1" a="1"/>
  <c r="V41" i="1" s="1"/>
  <c r="V35" i="1" a="1"/>
  <c r="V35" i="1" s="1"/>
  <c r="V42" i="1" a="1"/>
  <c r="V42" i="1" s="1"/>
  <c r="V44" i="1" a="1"/>
  <c r="V44" i="1" s="1"/>
  <c r="V30" i="1" a="1"/>
  <c r="V30" i="1" s="1"/>
  <c r="V40" i="1" a="1"/>
  <c r="V40" i="1" s="1"/>
  <c r="V43" i="1" a="1"/>
  <c r="V43" i="1" s="1"/>
  <c r="V29" i="1" a="1"/>
  <c r="V29" i="1" s="1"/>
  <c r="V32" i="1" a="1"/>
  <c r="V32" i="1" s="1"/>
  <c r="V36" i="1" a="1"/>
  <c r="V36" i="1" s="1"/>
  <c r="V39" i="1" a="1"/>
  <c r="V39" i="1" s="1"/>
  <c r="V45" i="1" a="1"/>
  <c r="V45" i="1" s="1"/>
  <c r="W7" i="1"/>
  <c r="W6" i="1" l="1"/>
  <c r="W9" i="1" a="1"/>
  <c r="W9" i="1" s="1"/>
  <c r="W13" i="1" a="1"/>
  <c r="W13" i="1" s="1"/>
  <c r="W16" i="1" a="1"/>
  <c r="W16" i="1" s="1"/>
  <c r="W12" i="1" a="1"/>
  <c r="W12" i="1" s="1"/>
  <c r="W14" i="1" a="1"/>
  <c r="W14" i="1" s="1"/>
  <c r="W11" i="1" a="1"/>
  <c r="W11" i="1" s="1"/>
  <c r="W24" i="1" a="1"/>
  <c r="W24" i="1" s="1"/>
  <c r="W26" i="1" a="1"/>
  <c r="W26" i="1" s="1"/>
  <c r="W29" i="1" a="1"/>
  <c r="W29" i="1" s="1"/>
  <c r="W18" i="1" a="1"/>
  <c r="W18" i="1" s="1"/>
  <c r="W23" i="1" a="1"/>
  <c r="W23" i="1" s="1"/>
  <c r="W25" i="1" a="1"/>
  <c r="W25" i="1" s="1"/>
  <c r="W28" i="1" a="1"/>
  <c r="W28" i="1" s="1"/>
  <c r="W19" i="1" a="1"/>
  <c r="W19" i="1" s="1"/>
  <c r="W20" i="1" a="1"/>
  <c r="W20" i="1" s="1"/>
  <c r="W10" i="1" a="1"/>
  <c r="W10" i="1" s="1"/>
  <c r="W27" i="1" a="1"/>
  <c r="W27" i="1" s="1"/>
  <c r="W30" i="1" a="1"/>
  <c r="W30" i="1" s="1"/>
  <c r="W32" i="1" a="1"/>
  <c r="W32" i="1" s="1"/>
  <c r="W17" i="1" a="1"/>
  <c r="W17" i="1" s="1"/>
  <c r="W21" i="1" a="1"/>
  <c r="W21" i="1" s="1"/>
  <c r="W22" i="1" a="1"/>
  <c r="W22" i="1" s="1"/>
  <c r="W34" i="1" a="1"/>
  <c r="W34" i="1" s="1"/>
  <c r="W15" i="1" a="1"/>
  <c r="W15" i="1" s="1"/>
  <c r="W31" i="1" a="1"/>
  <c r="W31" i="1" s="1"/>
  <c r="W33" i="1" a="1"/>
  <c r="W33" i="1" s="1"/>
  <c r="W36" i="1" a="1"/>
  <c r="W36" i="1" s="1"/>
  <c r="W39" i="1" a="1"/>
  <c r="W39" i="1" s="1"/>
  <c r="W37" i="1" a="1"/>
  <c r="W37" i="1" s="1"/>
  <c r="W38" i="1" a="1"/>
  <c r="W38" i="1" s="1"/>
  <c r="W45" i="1" a="1"/>
  <c r="W45" i="1" s="1"/>
  <c r="W35" i="1" a="1"/>
  <c r="W35" i="1" s="1"/>
  <c r="W41" i="1" a="1"/>
  <c r="W41" i="1" s="1"/>
  <c r="W42" i="1" a="1"/>
  <c r="W42" i="1" s="1"/>
  <c r="W44" i="1" a="1"/>
  <c r="W44" i="1" s="1"/>
  <c r="W40" i="1" a="1"/>
  <c r="W40" i="1" s="1"/>
  <c r="W43" i="1" a="1"/>
  <c r="W43" i="1" s="1"/>
  <c r="X7" i="1"/>
  <c r="X6" i="1" l="1"/>
  <c r="X14" i="1" a="1"/>
  <c r="X14" i="1" s="1"/>
  <c r="X9" i="1" a="1"/>
  <c r="X9" i="1" s="1"/>
  <c r="X11" i="1" a="1"/>
  <c r="X11" i="1" s="1"/>
  <c r="X12" i="1" a="1"/>
  <c r="X12" i="1" s="1"/>
  <c r="X15" i="1" a="1"/>
  <c r="X15" i="1" s="1"/>
  <c r="X17" i="1" a="1"/>
  <c r="X17" i="1" s="1"/>
  <c r="X13" i="1" a="1"/>
  <c r="X13" i="1" s="1"/>
  <c r="X16" i="1" a="1"/>
  <c r="X16" i="1" s="1"/>
  <c r="X27" i="1" a="1"/>
  <c r="X27" i="1" s="1"/>
  <c r="X28" i="1" a="1"/>
  <c r="X28" i="1" s="1"/>
  <c r="X26" i="1" a="1"/>
  <c r="X26" i="1" s="1"/>
  <c r="X18" i="1" a="1"/>
  <c r="X18" i="1" s="1"/>
  <c r="X24" i="1" a="1"/>
  <c r="X24" i="1" s="1"/>
  <c r="X29" i="1" a="1"/>
  <c r="X29" i="1" s="1"/>
  <c r="X33" i="1" a="1"/>
  <c r="X33" i="1" s="1"/>
  <c r="X20" i="1" a="1"/>
  <c r="X20" i="1" s="1"/>
  <c r="X23" i="1" a="1"/>
  <c r="X23" i="1" s="1"/>
  <c r="X25" i="1" a="1"/>
  <c r="X25" i="1" s="1"/>
  <c r="X30" i="1" a="1"/>
  <c r="X30" i="1" s="1"/>
  <c r="X32" i="1" a="1"/>
  <c r="X32" i="1" s="1"/>
  <c r="X35" i="1" a="1"/>
  <c r="X35" i="1" s="1"/>
  <c r="X19" i="1" a="1"/>
  <c r="X19" i="1" s="1"/>
  <c r="X21" i="1" a="1"/>
  <c r="X21" i="1" s="1"/>
  <c r="X22" i="1" a="1"/>
  <c r="X22" i="1" s="1"/>
  <c r="X40" i="1" a="1"/>
  <c r="X40" i="1" s="1"/>
  <c r="X42" i="1" a="1"/>
  <c r="X42" i="1" s="1"/>
  <c r="X43" i="1" a="1"/>
  <c r="X43" i="1" s="1"/>
  <c r="X36" i="1" a="1"/>
  <c r="X36" i="1" s="1"/>
  <c r="X39" i="1" a="1"/>
  <c r="X39" i="1" s="1"/>
  <c r="X31" i="1" a="1"/>
  <c r="X31" i="1" s="1"/>
  <c r="X34" i="1" a="1"/>
  <c r="X34" i="1" s="1"/>
  <c r="X37" i="1" a="1"/>
  <c r="X37" i="1" s="1"/>
  <c r="X45" i="1" a="1"/>
  <c r="X45" i="1" s="1"/>
  <c r="X38" i="1" a="1"/>
  <c r="X38" i="1" s="1"/>
  <c r="X41" i="1" a="1"/>
  <c r="X41" i="1" s="1"/>
  <c r="X44" i="1" a="1"/>
  <c r="X44" i="1" s="1"/>
  <c r="Y7" i="1"/>
  <c r="Y6" i="1" l="1"/>
  <c r="Y10" i="1" a="1"/>
  <c r="Y10" i="1" s="1"/>
  <c r="Y12" i="1" a="1"/>
  <c r="Y12" i="1" s="1"/>
  <c r="Y14" i="1" a="1"/>
  <c r="Y14" i="1" s="1"/>
  <c r="Y11" i="1" a="1"/>
  <c r="Y11" i="1" s="1"/>
  <c r="Y18" i="1" a="1"/>
  <c r="Y18" i="1" s="1"/>
  <c r="Y19" i="1" a="1"/>
  <c r="Y19" i="1" s="1"/>
  <c r="Y15" i="1" a="1"/>
  <c r="Y15" i="1" s="1"/>
  <c r="Y17" i="1" a="1"/>
  <c r="Y17" i="1" s="1"/>
  <c r="Y23" i="1" a="1"/>
  <c r="Y23" i="1" s="1"/>
  <c r="Y25" i="1" a="1"/>
  <c r="Y25" i="1" s="1"/>
  <c r="Y30" i="1" a="1"/>
  <c r="Y30" i="1" s="1"/>
  <c r="Y13" i="1" a="1"/>
  <c r="Y13" i="1" s="1"/>
  <c r="Y20" i="1" a="1"/>
  <c r="Y20" i="1" s="1"/>
  <c r="Y21" i="1" a="1"/>
  <c r="Y21" i="1" s="1"/>
  <c r="Y22" i="1" a="1"/>
  <c r="Y22" i="1" s="1"/>
  <c r="Y24" i="1" a="1"/>
  <c r="Y24" i="1" s="1"/>
  <c r="Y26" i="1" a="1"/>
  <c r="Y26" i="1" s="1"/>
  <c r="Y16" i="1" a="1"/>
  <c r="Y16" i="1" s="1"/>
  <c r="Y31" i="1" a="1"/>
  <c r="Y31" i="1" s="1"/>
  <c r="Y34" i="1" a="1"/>
  <c r="Y34" i="1" s="1"/>
  <c r="Y28" i="1" a="1"/>
  <c r="Y28" i="1" s="1"/>
  <c r="Y29" i="1" a="1"/>
  <c r="Y29" i="1" s="1"/>
  <c r="Y33" i="1" a="1"/>
  <c r="Y33" i="1" s="1"/>
  <c r="Y36" i="1" a="1"/>
  <c r="Y36" i="1" s="1"/>
  <c r="Y27" i="1" a="1"/>
  <c r="Y27" i="1" s="1"/>
  <c r="Y32" i="1" a="1"/>
  <c r="Y32" i="1" s="1"/>
  <c r="Y35" i="1" a="1"/>
  <c r="Y35" i="1" s="1"/>
  <c r="Y38" i="1" a="1"/>
  <c r="Y38" i="1" s="1"/>
  <c r="Y41" i="1" a="1"/>
  <c r="Y41" i="1" s="1"/>
  <c r="Y44" i="1" a="1"/>
  <c r="Y44" i="1" s="1"/>
  <c r="Y40" i="1" a="1"/>
  <c r="Y40" i="1" s="1"/>
  <c r="Y42" i="1" a="1"/>
  <c r="Y42" i="1" s="1"/>
  <c r="Y43" i="1" a="1"/>
  <c r="Y43" i="1" s="1"/>
  <c r="Y37" i="1" a="1"/>
  <c r="Y37" i="1" s="1"/>
  <c r="Y39" i="1" a="1"/>
  <c r="Y39" i="1" s="1"/>
  <c r="Y45" i="1" a="1"/>
  <c r="Y45" i="1" s="1"/>
  <c r="Z7" i="1"/>
  <c r="Z6" i="1" l="1"/>
  <c r="Z13" i="1" a="1"/>
  <c r="Z13" i="1" s="1"/>
  <c r="Z15" i="1" a="1"/>
  <c r="Z15" i="1" s="1"/>
  <c r="Z10" i="1" a="1"/>
  <c r="Z10" i="1" s="1"/>
  <c r="Z12" i="1" a="1"/>
  <c r="Z12" i="1" s="1"/>
  <c r="Z18" i="1" a="1"/>
  <c r="Z18" i="1" s="1"/>
  <c r="Z19" i="1" a="1"/>
  <c r="Z19" i="1" s="1"/>
  <c r="Z20" i="1" a="1"/>
  <c r="Z20" i="1" s="1"/>
  <c r="Z24" i="1" a="1"/>
  <c r="Z24" i="1" s="1"/>
  <c r="Z26" i="1" a="1"/>
  <c r="Z26" i="1" s="1"/>
  <c r="Z11" i="1" a="1"/>
  <c r="Z11" i="1" s="1"/>
  <c r="Z17" i="1" a="1"/>
  <c r="Z17" i="1" s="1"/>
  <c r="Z25" i="1" a="1"/>
  <c r="Z25" i="1" s="1"/>
  <c r="Z21" i="1" a="1"/>
  <c r="Z21" i="1" s="1"/>
  <c r="Z22" i="1" a="1"/>
  <c r="Z22" i="1" s="1"/>
  <c r="Z27" i="1" a="1"/>
  <c r="Z27" i="1" s="1"/>
  <c r="Z9" i="1" a="1"/>
  <c r="Z9" i="1" s="1"/>
  <c r="Z14" i="1" a="1"/>
  <c r="Z14" i="1" s="1"/>
  <c r="Z31" i="1" a="1"/>
  <c r="Z31" i="1" s="1"/>
  <c r="Z34" i="1" a="1"/>
  <c r="Z34" i="1" s="1"/>
  <c r="Z16" i="1" a="1"/>
  <c r="Z16" i="1" s="1"/>
  <c r="Z23" i="1" a="1"/>
  <c r="Z23" i="1" s="1"/>
  <c r="Z28" i="1" a="1"/>
  <c r="Z28" i="1" s="1"/>
  <c r="Z29" i="1" a="1"/>
  <c r="Z29" i="1" s="1"/>
  <c r="Z30" i="1" a="1"/>
  <c r="Z30" i="1" s="1"/>
  <c r="Z33" i="1" a="1"/>
  <c r="Z33" i="1" s="1"/>
  <c r="Z32" i="1" a="1"/>
  <c r="Z32" i="1" s="1"/>
  <c r="Z37" i="1" a="1"/>
  <c r="Z37" i="1" s="1"/>
  <c r="Z39" i="1" a="1"/>
  <c r="Z39" i="1" s="1"/>
  <c r="Z45" i="1" a="1"/>
  <c r="Z45" i="1" s="1"/>
  <c r="Z35" i="1" a="1"/>
  <c r="Z35" i="1" s="1"/>
  <c r="Z38" i="1" a="1"/>
  <c r="Z38" i="1" s="1"/>
  <c r="Z41" i="1" a="1"/>
  <c r="Z41" i="1" s="1"/>
  <c r="Z44" i="1" a="1"/>
  <c r="Z44" i="1" s="1"/>
  <c r="Z42" i="1" a="1"/>
  <c r="Z42" i="1" s="1"/>
  <c r="Z43" i="1" a="1"/>
  <c r="Z43" i="1" s="1"/>
  <c r="Z36" i="1" a="1"/>
  <c r="Z36" i="1" s="1"/>
  <c r="Z40" i="1" a="1"/>
  <c r="Z40" i="1" s="1"/>
  <c r="AA7" i="1"/>
  <c r="AA6" i="1" l="1"/>
  <c r="AA9" i="1" a="1"/>
  <c r="AA9" i="1" s="1"/>
  <c r="AA11" i="1" a="1"/>
  <c r="AA11" i="1" s="1"/>
  <c r="AA14" i="1" a="1"/>
  <c r="AA14" i="1" s="1"/>
  <c r="AA16" i="1" a="1"/>
  <c r="AA16" i="1" s="1"/>
  <c r="AA10" i="1" a="1"/>
  <c r="AA10" i="1" s="1"/>
  <c r="AA21" i="1" a="1"/>
  <c r="AA21" i="1" s="1"/>
  <c r="AA29" i="1" a="1"/>
  <c r="AA29" i="1" s="1"/>
  <c r="AA19" i="1" a="1"/>
  <c r="AA19" i="1" s="1"/>
  <c r="AA23" i="1" a="1"/>
  <c r="AA23" i="1" s="1"/>
  <c r="AA13" i="1" a="1"/>
  <c r="AA13" i="1" s="1"/>
  <c r="AA15" i="1" a="1"/>
  <c r="AA15" i="1" s="1"/>
  <c r="AA17" i="1" a="1"/>
  <c r="AA17" i="1" s="1"/>
  <c r="AA24" i="1" a="1"/>
  <c r="AA24" i="1" s="1"/>
  <c r="AA25" i="1" a="1"/>
  <c r="AA25" i="1" s="1"/>
  <c r="AA12" i="1" a="1"/>
  <c r="AA12" i="1" s="1"/>
  <c r="AA18" i="1" a="1"/>
  <c r="AA18" i="1" s="1"/>
  <c r="AA20" i="1" a="1"/>
  <c r="AA20" i="1" s="1"/>
  <c r="AA26" i="1" a="1"/>
  <c r="AA26" i="1" s="1"/>
  <c r="AA32" i="1" a="1"/>
  <c r="AA32" i="1" s="1"/>
  <c r="AA35" i="1" a="1"/>
  <c r="AA35" i="1" s="1"/>
  <c r="AA31" i="1" a="1"/>
  <c r="AA31" i="1" s="1"/>
  <c r="AA27" i="1" a="1"/>
  <c r="AA27" i="1" s="1"/>
  <c r="AA36" i="1" a="1"/>
  <c r="AA36" i="1" s="1"/>
  <c r="AA40" i="1" a="1"/>
  <c r="AA40" i="1" s="1"/>
  <c r="AA43" i="1" a="1"/>
  <c r="AA43" i="1" s="1"/>
  <c r="AA28" i="1" a="1"/>
  <c r="AA28" i="1" s="1"/>
  <c r="AA33" i="1" a="1"/>
  <c r="AA33" i="1" s="1"/>
  <c r="AA39" i="1" a="1"/>
  <c r="AA39" i="1" s="1"/>
  <c r="AA45" i="1" a="1"/>
  <c r="AA45" i="1" s="1"/>
  <c r="AA22" i="1" a="1"/>
  <c r="AA22" i="1" s="1"/>
  <c r="AA37" i="1" a="1"/>
  <c r="AA37" i="1" s="1"/>
  <c r="AA38" i="1" a="1"/>
  <c r="AA38" i="1" s="1"/>
  <c r="AA44" i="1" a="1"/>
  <c r="AA44" i="1" s="1"/>
  <c r="AA30" i="1" a="1"/>
  <c r="AA30" i="1" s="1"/>
  <c r="AA34" i="1" a="1"/>
  <c r="AA34" i="1" s="1"/>
  <c r="AA41" i="1" a="1"/>
  <c r="AA41" i="1" s="1"/>
  <c r="AA42" i="1" a="1"/>
  <c r="AA42" i="1" s="1"/>
  <c r="AB7" i="1"/>
  <c r="AB6" i="1" l="1"/>
  <c r="AB10" i="1" a="1"/>
  <c r="AB10" i="1" s="1"/>
  <c r="AB12" i="1" a="1"/>
  <c r="AB12" i="1" s="1"/>
  <c r="AB9" i="1" a="1"/>
  <c r="AB9" i="1" s="1"/>
  <c r="AB11" i="1" a="1"/>
  <c r="AB11" i="1" s="1"/>
  <c r="AB13" i="1" a="1"/>
  <c r="AB13" i="1" s="1"/>
  <c r="AB15" i="1" a="1"/>
  <c r="AB15" i="1" s="1"/>
  <c r="AB17" i="1" a="1"/>
  <c r="AB17" i="1" s="1"/>
  <c r="AB16" i="1" a="1"/>
  <c r="AB16" i="1" s="1"/>
  <c r="AB22" i="1" a="1"/>
  <c r="AB22" i="1" s="1"/>
  <c r="AB30" i="1" a="1"/>
  <c r="AB30" i="1" s="1"/>
  <c r="AB20" i="1" a="1"/>
  <c r="AB20" i="1" s="1"/>
  <c r="AB26" i="1" a="1"/>
  <c r="AB26" i="1" s="1"/>
  <c r="AB19" i="1" a="1"/>
  <c r="AB19" i="1" s="1"/>
  <c r="AB23" i="1" a="1"/>
  <c r="AB23" i="1" s="1"/>
  <c r="AB14" i="1" a="1"/>
  <c r="AB14" i="1" s="1"/>
  <c r="AB21" i="1" a="1"/>
  <c r="AB21" i="1" s="1"/>
  <c r="AB27" i="1" a="1"/>
  <c r="AB27" i="1" s="1"/>
  <c r="AB28" i="1" a="1"/>
  <c r="AB28" i="1" s="1"/>
  <c r="AB33" i="1" a="1"/>
  <c r="AB33" i="1" s="1"/>
  <c r="AB24" i="1" a="1"/>
  <c r="AB24" i="1" s="1"/>
  <c r="AB32" i="1" a="1"/>
  <c r="AB32" i="1" s="1"/>
  <c r="AB36" i="1" a="1"/>
  <c r="AB36" i="1" s="1"/>
  <c r="AB18" i="1" a="1"/>
  <c r="AB18" i="1" s="1"/>
  <c r="AB29" i="1" a="1"/>
  <c r="AB29" i="1" s="1"/>
  <c r="AB34" i="1" a="1"/>
  <c r="AB34" i="1" s="1"/>
  <c r="AB38" i="1" a="1"/>
  <c r="AB38" i="1" s="1"/>
  <c r="AB41" i="1" a="1"/>
  <c r="AB41" i="1" s="1"/>
  <c r="AB42" i="1" a="1"/>
  <c r="AB42" i="1" s="1"/>
  <c r="AB44" i="1" a="1"/>
  <c r="AB44" i="1" s="1"/>
  <c r="AB25" i="1" a="1"/>
  <c r="AB25" i="1" s="1"/>
  <c r="AB40" i="1" a="1"/>
  <c r="AB40" i="1" s="1"/>
  <c r="AB43" i="1" a="1"/>
  <c r="AB43" i="1" s="1"/>
  <c r="AB35" i="1" a="1"/>
  <c r="AB35" i="1" s="1"/>
  <c r="AB39" i="1" a="1"/>
  <c r="AB39" i="1" s="1"/>
  <c r="AB45" i="1" a="1"/>
  <c r="AB45" i="1" s="1"/>
  <c r="AB31" i="1" a="1"/>
  <c r="AB31" i="1" s="1"/>
  <c r="AB37" i="1" a="1"/>
  <c r="AB37" i="1" s="1"/>
  <c r="AC7" i="1"/>
  <c r="AC6" i="1" l="1"/>
  <c r="AC13" i="1" a="1"/>
  <c r="AC13" i="1" s="1"/>
  <c r="AC10" i="1" a="1"/>
  <c r="AC10" i="1" s="1"/>
  <c r="AC14" i="1" a="1"/>
  <c r="AC14" i="1" s="1"/>
  <c r="AC18" i="1" a="1"/>
  <c r="AC18" i="1" s="1"/>
  <c r="AC15" i="1" a="1"/>
  <c r="AC15" i="1" s="1"/>
  <c r="AC19" i="1" a="1"/>
  <c r="AC19" i="1" s="1"/>
  <c r="AC20" i="1" a="1"/>
  <c r="AC20" i="1" s="1"/>
  <c r="AC25" i="1" a="1"/>
  <c r="AC25" i="1" s="1"/>
  <c r="AC16" i="1" a="1"/>
  <c r="AC16" i="1" s="1"/>
  <c r="AC22" i="1" a="1"/>
  <c r="AC22" i="1" s="1"/>
  <c r="AC11" i="1" a="1"/>
  <c r="AC11" i="1" s="1"/>
  <c r="AC21" i="1" a="1"/>
  <c r="AC21" i="1" s="1"/>
  <c r="AC26" i="1" a="1"/>
  <c r="AC26" i="1" s="1"/>
  <c r="AC17" i="1" a="1"/>
  <c r="AC17" i="1" s="1"/>
  <c r="AC27" i="1" a="1"/>
  <c r="AC27" i="1" s="1"/>
  <c r="AC28" i="1" a="1"/>
  <c r="AC28" i="1" s="1"/>
  <c r="AC29" i="1" a="1"/>
  <c r="AC29" i="1" s="1"/>
  <c r="AC30" i="1" a="1"/>
  <c r="AC30" i="1" s="1"/>
  <c r="AC31" i="1" a="1"/>
  <c r="AC31" i="1" s="1"/>
  <c r="AC33" i="1" a="1"/>
  <c r="AC33" i="1" s="1"/>
  <c r="AC24" i="1" a="1"/>
  <c r="AC24" i="1" s="1"/>
  <c r="AC32" i="1" a="1"/>
  <c r="AC32" i="1" s="1"/>
  <c r="AC12" i="1" a="1"/>
  <c r="AC12" i="1" s="1"/>
  <c r="AC37" i="1" a="1"/>
  <c r="AC37" i="1" s="1"/>
  <c r="AC39" i="1" a="1"/>
  <c r="AC39" i="1" s="1"/>
  <c r="AC45" i="1" a="1"/>
  <c r="AC45" i="1" s="1"/>
  <c r="AC34" i="1" a="1"/>
  <c r="AC34" i="1" s="1"/>
  <c r="AC36" i="1" a="1"/>
  <c r="AC36" i="1" s="1"/>
  <c r="AC38" i="1" a="1"/>
  <c r="AC38" i="1" s="1"/>
  <c r="AC41" i="1" a="1"/>
  <c r="AC41" i="1" s="1"/>
  <c r="AC42" i="1" a="1"/>
  <c r="AC42" i="1" s="1"/>
  <c r="AC44" i="1" a="1"/>
  <c r="AC44" i="1" s="1"/>
  <c r="AC23" i="1" a="1"/>
  <c r="AC23" i="1" s="1"/>
  <c r="AC40" i="1" a="1"/>
  <c r="AC40" i="1" s="1"/>
  <c r="AC35" i="1" a="1"/>
  <c r="AC35" i="1" s="1"/>
  <c r="AC43" i="1" a="1"/>
  <c r="AC43" i="1" s="1"/>
  <c r="AD7" i="1"/>
  <c r="AD6" i="1" l="1"/>
  <c r="AD14" i="1" a="1"/>
  <c r="AD14" i="1" s="1"/>
  <c r="AD9" i="1" a="1"/>
  <c r="AD9" i="1" s="1"/>
  <c r="AD11" i="1" a="1"/>
  <c r="AD11" i="1" s="1"/>
  <c r="AD16" i="1" a="1"/>
  <c r="AD16" i="1" s="1"/>
  <c r="AD12" i="1" a="1"/>
  <c r="AD12" i="1" s="1"/>
  <c r="AD10" i="1" a="1"/>
  <c r="AD10" i="1" s="1"/>
  <c r="AD13" i="1" a="1"/>
  <c r="AD13" i="1" s="1"/>
  <c r="AD21" i="1" a="1"/>
  <c r="AD21" i="1" s="1"/>
  <c r="AD26" i="1" a="1"/>
  <c r="AD26" i="1" s="1"/>
  <c r="AD27" i="1" a="1"/>
  <c r="AD27" i="1" s="1"/>
  <c r="AD29" i="1" a="1"/>
  <c r="AD29" i="1" s="1"/>
  <c r="AD18" i="1" a="1"/>
  <c r="AD18" i="1" s="1"/>
  <c r="AD24" i="1" a="1"/>
  <c r="AD24" i="1" s="1"/>
  <c r="AD20" i="1" a="1"/>
  <c r="AD20" i="1" s="1"/>
  <c r="AD15" i="1" a="1"/>
  <c r="AD15" i="1" s="1"/>
  <c r="AD23" i="1" a="1"/>
  <c r="AD23" i="1" s="1"/>
  <c r="AD25" i="1" a="1"/>
  <c r="AD25" i="1" s="1"/>
  <c r="AD32" i="1" a="1"/>
  <c r="AD32" i="1" s="1"/>
  <c r="AD22" i="1" a="1"/>
  <c r="AD22" i="1" s="1"/>
  <c r="AD34" i="1" a="1"/>
  <c r="AD34" i="1" s="1"/>
  <c r="AD17" i="1" a="1"/>
  <c r="AD17" i="1" s="1"/>
  <c r="AD28" i="1" a="1"/>
  <c r="AD28" i="1" s="1"/>
  <c r="AD31" i="1" a="1"/>
  <c r="AD31" i="1" s="1"/>
  <c r="AD33" i="1" a="1"/>
  <c r="AD33" i="1" s="1"/>
  <c r="AD30" i="1" a="1"/>
  <c r="AD30" i="1" s="1"/>
  <c r="AD35" i="1" a="1"/>
  <c r="AD35" i="1" s="1"/>
  <c r="AD40" i="1" a="1"/>
  <c r="AD40" i="1" s="1"/>
  <c r="AD43" i="1" a="1"/>
  <c r="AD43" i="1" s="1"/>
  <c r="AD37" i="1" a="1"/>
  <c r="AD37" i="1" s="1"/>
  <c r="AD39" i="1" a="1"/>
  <c r="AD39" i="1" s="1"/>
  <c r="AD45" i="1" a="1"/>
  <c r="AD45" i="1" s="1"/>
  <c r="AD19" i="1" a="1"/>
  <c r="AD19" i="1" s="1"/>
  <c r="AD36" i="1" a="1"/>
  <c r="AD36" i="1" s="1"/>
  <c r="AD38" i="1" a="1"/>
  <c r="AD38" i="1" s="1"/>
  <c r="AD41" i="1" a="1"/>
  <c r="AD41" i="1" s="1"/>
  <c r="AD42" i="1" a="1"/>
  <c r="AD42" i="1" s="1"/>
  <c r="AD44" i="1" a="1"/>
  <c r="AD44" i="1" s="1"/>
  <c r="AE7" i="1"/>
  <c r="AE6" i="1" l="1"/>
  <c r="AE10" i="1" a="1"/>
  <c r="AE10" i="1" s="1"/>
  <c r="AE12" i="1" a="1"/>
  <c r="AE12" i="1" s="1"/>
  <c r="AE14" i="1" a="1"/>
  <c r="AE14" i="1" s="1"/>
  <c r="AE9" i="1" a="1"/>
  <c r="AE9" i="1" s="1"/>
  <c r="AE11" i="1" a="1"/>
  <c r="AE11" i="1" s="1"/>
  <c r="AE17" i="1" a="1"/>
  <c r="AE17" i="1" s="1"/>
  <c r="AE22" i="1" a="1"/>
  <c r="AE22" i="1" s="1"/>
  <c r="AE23" i="1" a="1"/>
  <c r="AE23" i="1" s="1"/>
  <c r="AE28" i="1" a="1"/>
  <c r="AE28" i="1" s="1"/>
  <c r="AE30" i="1" a="1"/>
  <c r="AE30" i="1" s="1"/>
  <c r="AE19" i="1" a="1"/>
  <c r="AE19" i="1" s="1"/>
  <c r="AE25" i="1" a="1"/>
  <c r="AE25" i="1" s="1"/>
  <c r="AE16" i="1" a="1"/>
  <c r="AE16" i="1" s="1"/>
  <c r="AE18" i="1" a="1"/>
  <c r="AE18" i="1" s="1"/>
  <c r="AE24" i="1" a="1"/>
  <c r="AE24" i="1" s="1"/>
  <c r="AE27" i="1" a="1"/>
  <c r="AE27" i="1" s="1"/>
  <c r="AE13" i="1" a="1"/>
  <c r="AE13" i="1" s="1"/>
  <c r="AE20" i="1" a="1"/>
  <c r="AE20" i="1" s="1"/>
  <c r="AE31" i="1" a="1"/>
  <c r="AE31" i="1" s="1"/>
  <c r="AE33" i="1" a="1"/>
  <c r="AE33" i="1" s="1"/>
  <c r="AE21" i="1" a="1"/>
  <c r="AE21" i="1" s="1"/>
  <c r="AE26" i="1" a="1"/>
  <c r="AE26" i="1" s="1"/>
  <c r="AE32" i="1" a="1"/>
  <c r="AE32" i="1" s="1"/>
  <c r="AE35" i="1" a="1"/>
  <c r="AE35" i="1" s="1"/>
  <c r="AE29" i="1" a="1"/>
  <c r="AE29" i="1" s="1"/>
  <c r="AE41" i="1" a="1"/>
  <c r="AE41" i="1" s="1"/>
  <c r="AE44" i="1" a="1"/>
  <c r="AE44" i="1" s="1"/>
  <c r="AE40" i="1" a="1"/>
  <c r="AE40" i="1" s="1"/>
  <c r="AE43" i="1" a="1"/>
  <c r="AE43" i="1" s="1"/>
  <c r="AE15" i="1" a="1"/>
  <c r="AE15" i="1" s="1"/>
  <c r="AE34" i="1" a="1"/>
  <c r="AE34" i="1" s="1"/>
  <c r="AE37" i="1" a="1"/>
  <c r="AE37" i="1" s="1"/>
  <c r="AE39" i="1" a="1"/>
  <c r="AE39" i="1" s="1"/>
  <c r="AE36" i="1" a="1"/>
  <c r="AE36" i="1" s="1"/>
  <c r="AE38" i="1" a="1"/>
  <c r="AE38" i="1" s="1"/>
  <c r="AE42" i="1" a="1"/>
  <c r="AE42" i="1" s="1"/>
  <c r="AE45" i="1" a="1"/>
  <c r="AE45" i="1" s="1"/>
  <c r="AF7" i="1"/>
  <c r="AF6" i="1" l="1"/>
  <c r="AF11" i="1" a="1"/>
  <c r="AF11" i="1" s="1"/>
  <c r="AF13" i="1" a="1"/>
  <c r="AF13" i="1" s="1"/>
  <c r="AF15" i="1" a="1"/>
  <c r="AF15" i="1" s="1"/>
  <c r="AF10" i="1" a="1"/>
  <c r="AF10" i="1" s="1"/>
  <c r="AF9" i="1" a="1"/>
  <c r="AF9" i="1" s="1"/>
  <c r="AF16" i="1" a="1"/>
  <c r="AF16" i="1" s="1"/>
  <c r="AF18" i="1" a="1"/>
  <c r="AF18" i="1" s="1"/>
  <c r="AF12" i="1" a="1"/>
  <c r="AF12" i="1" s="1"/>
  <c r="AF14" i="1" a="1"/>
  <c r="AF14" i="1" s="1"/>
  <c r="AF17" i="1" a="1"/>
  <c r="AF17" i="1" s="1"/>
  <c r="AF20" i="1" a="1"/>
  <c r="AF20" i="1" s="1"/>
  <c r="AF24" i="1" a="1"/>
  <c r="AF24" i="1" s="1"/>
  <c r="AF19" i="1" a="1"/>
  <c r="AF19" i="1" s="1"/>
  <c r="AF23" i="1" a="1"/>
  <c r="AF23" i="1" s="1"/>
  <c r="AF25" i="1" a="1"/>
  <c r="AF25" i="1" s="1"/>
  <c r="AF30" i="1" a="1"/>
  <c r="AF30" i="1" s="1"/>
  <c r="AF31" i="1" a="1"/>
  <c r="AF31" i="1" s="1"/>
  <c r="AF33" i="1" a="1"/>
  <c r="AF33" i="1" s="1"/>
  <c r="AF21" i="1" a="1"/>
  <c r="AF21" i="1" s="1"/>
  <c r="AF22" i="1" a="1"/>
  <c r="AF22" i="1" s="1"/>
  <c r="AF26" i="1" a="1"/>
  <c r="AF26" i="1" s="1"/>
  <c r="AF27" i="1" a="1"/>
  <c r="AF27" i="1" s="1"/>
  <c r="AF32" i="1" a="1"/>
  <c r="AF32" i="1" s="1"/>
  <c r="AF34" i="1" a="1"/>
  <c r="AF34" i="1" s="1"/>
  <c r="AF36" i="1" a="1"/>
  <c r="AF36" i="1" s="1"/>
  <c r="AF45" i="1" a="1"/>
  <c r="AF45" i="1" s="1"/>
  <c r="AF29" i="1" a="1"/>
  <c r="AF29" i="1" s="1"/>
  <c r="AF35" i="1" a="1"/>
  <c r="AF35" i="1" s="1"/>
  <c r="AF38" i="1" a="1"/>
  <c r="AF38" i="1" s="1"/>
  <c r="AF41" i="1" a="1"/>
  <c r="AF41" i="1" s="1"/>
  <c r="AF42" i="1" a="1"/>
  <c r="AF42" i="1" s="1"/>
  <c r="AF44" i="1" a="1"/>
  <c r="AF44" i="1" s="1"/>
  <c r="AF28" i="1" a="1"/>
  <c r="AF28" i="1" s="1"/>
  <c r="AF40" i="1" a="1"/>
  <c r="AF40" i="1" s="1"/>
  <c r="AF43" i="1" a="1"/>
  <c r="AF43" i="1" s="1"/>
  <c r="AF37" i="1" a="1"/>
  <c r="AF37" i="1" s="1"/>
  <c r="AF39" i="1" a="1"/>
  <c r="AF39" i="1" s="1"/>
  <c r="AG7" i="1"/>
  <c r="AG6" i="1" l="1"/>
  <c r="AG9" i="1" a="1"/>
  <c r="AG9" i="1" s="1"/>
  <c r="AG12" i="1" a="1"/>
  <c r="AG12" i="1" s="1"/>
  <c r="AG11" i="1" a="1"/>
  <c r="AG11" i="1" s="1"/>
  <c r="AG15" i="1" a="1"/>
  <c r="AG15" i="1" s="1"/>
  <c r="AG16" i="1" a="1"/>
  <c r="AG16" i="1" s="1"/>
  <c r="AG18" i="1" a="1"/>
  <c r="AG18" i="1" s="1"/>
  <c r="AG21" i="1" a="1"/>
  <c r="AG21" i="1" s="1"/>
  <c r="AG10" i="1" a="1"/>
  <c r="AG10" i="1" s="1"/>
  <c r="AG14" i="1" a="1"/>
  <c r="AG14" i="1" s="1"/>
  <c r="AG17" i="1" a="1"/>
  <c r="AG17" i="1" s="1"/>
  <c r="AG20" i="1" a="1"/>
  <c r="AG20" i="1" s="1"/>
  <c r="AG22" i="1" a="1"/>
  <c r="AG22" i="1" s="1"/>
  <c r="AG26" i="1" a="1"/>
  <c r="AG26" i="1" s="1"/>
  <c r="AG19" i="1" a="1"/>
  <c r="AG19" i="1" s="1"/>
  <c r="AG24" i="1" a="1"/>
  <c r="AG24" i="1" s="1"/>
  <c r="AG28" i="1" a="1"/>
  <c r="AG28" i="1" s="1"/>
  <c r="AG29" i="1" a="1"/>
  <c r="AG29" i="1" s="1"/>
  <c r="AG23" i="1" a="1"/>
  <c r="AG23" i="1" s="1"/>
  <c r="AG25" i="1" a="1"/>
  <c r="AG25" i="1" s="1"/>
  <c r="AG30" i="1" a="1"/>
  <c r="AG30" i="1" s="1"/>
  <c r="AG34" i="1" a="1"/>
  <c r="AG34" i="1" s="1"/>
  <c r="AG13" i="1" a="1"/>
  <c r="AG13" i="1" s="1"/>
  <c r="AG31" i="1" a="1"/>
  <c r="AG31" i="1" s="1"/>
  <c r="AG33" i="1" a="1"/>
  <c r="AG33" i="1" s="1"/>
  <c r="AG27" i="1" a="1"/>
  <c r="AG27" i="1" s="1"/>
  <c r="AG36" i="1" a="1"/>
  <c r="AG36" i="1" s="1"/>
  <c r="AG37" i="1" a="1"/>
  <c r="AG37" i="1" s="1"/>
  <c r="AG39" i="1" a="1"/>
  <c r="AG39" i="1" s="1"/>
  <c r="AG45" i="1" a="1"/>
  <c r="AG45" i="1" s="1"/>
  <c r="AG32" i="1" a="1"/>
  <c r="AG32" i="1" s="1"/>
  <c r="AG38" i="1" a="1"/>
  <c r="AG38" i="1" s="1"/>
  <c r="AG41" i="1" a="1"/>
  <c r="AG41" i="1" s="1"/>
  <c r="AG42" i="1" a="1"/>
  <c r="AG42" i="1" s="1"/>
  <c r="AG44" i="1" a="1"/>
  <c r="AG44" i="1" s="1"/>
  <c r="AG35" i="1" a="1"/>
  <c r="AG35" i="1" s="1"/>
  <c r="AG40" i="1" a="1"/>
  <c r="AG40" i="1" s="1"/>
  <c r="AG43" i="1" a="1"/>
  <c r="AG43" i="1" s="1"/>
  <c r="AH7" i="1"/>
  <c r="AH6" i="1" l="1"/>
  <c r="AH21" i="1" a="1"/>
  <c r="AH21" i="1" s="1"/>
  <c r="AH35" i="1" a="1"/>
  <c r="AH35" i="1" s="1"/>
  <c r="B35" i="1" s="1" a="1"/>
  <c r="B35" i="1" s="1"/>
  <c r="AH43" i="1" a="1"/>
  <c r="AH43" i="1" s="1"/>
  <c r="B43" i="1" s="1" a="1"/>
  <c r="B43" i="1" s="1"/>
  <c r="AH37" i="1" a="1"/>
  <c r="AH37" i="1" s="1"/>
  <c r="B37" i="1" s="1" a="1"/>
  <c r="B37" i="1" s="1"/>
  <c r="AH39" i="1" a="1"/>
  <c r="AH39" i="1" s="1"/>
  <c r="B39" i="1" s="1" a="1"/>
  <c r="B39" i="1" s="1"/>
  <c r="AH45" i="1" a="1"/>
  <c r="AH45" i="1" s="1"/>
  <c r="B45" i="1" s="1" a="1"/>
  <c r="B45" i="1" s="1"/>
  <c r="AH36" i="1" a="1"/>
  <c r="AH36" i="1" s="1"/>
  <c r="B36" i="1" s="1" a="1"/>
  <c r="B36" i="1" s="1"/>
  <c r="AH38" i="1" a="1"/>
  <c r="AH38" i="1" s="1"/>
  <c r="B38" i="1" s="1" a="1"/>
  <c r="B38" i="1" s="1"/>
  <c r="AH41" i="1" a="1"/>
  <c r="AH41" i="1" s="1"/>
  <c r="B41" i="1" s="1" a="1"/>
  <c r="B41" i="1" s="1"/>
  <c r="AH42" i="1" a="1"/>
  <c r="AH42" i="1" s="1"/>
  <c r="B42" i="1" s="1" a="1"/>
  <c r="B42" i="1" s="1"/>
  <c r="AH44" i="1" a="1"/>
  <c r="AH44" i="1" s="1"/>
  <c r="B44" i="1" s="1" a="1"/>
  <c r="B44" i="1" s="1"/>
  <c r="R4" i="8"/>
  <c r="S4" i="8" s="1"/>
  <c r="R5" i="8"/>
  <c r="S5" i="8" s="1"/>
  <c r="R6" i="8"/>
  <c r="S6" i="8" s="1"/>
  <c r="R7" i="8"/>
  <c r="S7" i="8" s="1"/>
  <c r="R8" i="8"/>
  <c r="S8" i="8" s="1"/>
  <c r="R9" i="8"/>
  <c r="S9" i="8" s="1"/>
  <c r="R10" i="8"/>
  <c r="S10" i="8" s="1"/>
  <c r="R11" i="8"/>
  <c r="S11" i="8" s="1"/>
  <c r="R12" i="8"/>
  <c r="S12" i="8" s="1"/>
  <c r="R13" i="8"/>
  <c r="S13" i="8" s="1"/>
  <c r="R14" i="8"/>
  <c r="S14" i="8" s="1"/>
  <c r="R15" i="8"/>
  <c r="S15" i="8" s="1"/>
  <c r="R16" i="8"/>
  <c r="S16" i="8" s="1"/>
  <c r="R17" i="8"/>
  <c r="S17" i="8" s="1"/>
  <c r="R18" i="8"/>
  <c r="S18" i="8" s="1"/>
  <c r="R19" i="8"/>
  <c r="S19" i="8" s="1"/>
  <c r="R20" i="8"/>
  <c r="S20" i="8" s="1"/>
  <c r="R21" i="8"/>
  <c r="S21" i="8" s="1"/>
  <c r="R3" i="8"/>
  <c r="G3" i="8"/>
  <c r="D8" i="1" s="1" a="1"/>
  <c r="D8" i="1" s="1"/>
  <c r="G4" i="8"/>
  <c r="E9" i="1" s="1" a="1"/>
  <c r="E9" i="1" s="1"/>
  <c r="G5" i="8"/>
  <c r="G9" i="1" s="1" a="1"/>
  <c r="G9" i="1" s="1"/>
  <c r="G6" i="8"/>
  <c r="H8" i="1" s="1" a="1"/>
  <c r="H8" i="1" s="1"/>
  <c r="G7" i="8"/>
  <c r="I8" i="1" s="1" a="1"/>
  <c r="I8" i="1" s="1"/>
  <c r="G8" i="8"/>
  <c r="J9" i="1" s="1" a="1"/>
  <c r="J9" i="1" s="1"/>
  <c r="G10" i="8"/>
  <c r="L9" i="1" s="1" a="1"/>
  <c r="L9" i="1" s="1"/>
  <c r="G11" i="8"/>
  <c r="G12" i="8"/>
  <c r="C12" i="8" s="1"/>
  <c r="G13" i="8"/>
  <c r="R9" i="1" s="1" a="1"/>
  <c r="R9" i="1" s="1"/>
  <c r="G14" i="8"/>
  <c r="S9" i="1" s="1" a="1"/>
  <c r="S9" i="1" s="1"/>
  <c r="G15" i="8"/>
  <c r="G16" i="8"/>
  <c r="G17" i="8"/>
  <c r="X10" i="1" s="1" a="1"/>
  <c r="X10" i="1" s="1"/>
  <c r="G18" i="8"/>
  <c r="Y9" i="1" s="1" a="1"/>
  <c r="Y9" i="1" s="1"/>
  <c r="G19" i="8"/>
  <c r="G20" i="8"/>
  <c r="G21" i="8"/>
  <c r="AC9" i="1" s="1" a="1"/>
  <c r="AC9" i="1" s="1"/>
  <c r="B3" i="8"/>
  <c r="E3" i="8"/>
  <c r="L3" i="8"/>
  <c r="P3" i="8"/>
  <c r="B4" i="8"/>
  <c r="E4" i="8"/>
  <c r="G8" i="5" s="1" a="1"/>
  <c r="G8" i="5" s="1"/>
  <c r="L4" i="8"/>
  <c r="M4" i="8" s="1"/>
  <c r="B5" i="8"/>
  <c r="E5" i="8"/>
  <c r="L5" i="8"/>
  <c r="M5" i="8" s="1"/>
  <c r="B6" i="8"/>
  <c r="E6" i="8"/>
  <c r="L6" i="8"/>
  <c r="M6" i="8" s="1"/>
  <c r="B7" i="8"/>
  <c r="E7" i="8"/>
  <c r="L7" i="8"/>
  <c r="M7" i="8" s="1"/>
  <c r="B8" i="8"/>
  <c r="E8" i="8"/>
  <c r="L8" i="8"/>
  <c r="M8" i="8" s="1"/>
  <c r="B9" i="8"/>
  <c r="E9" i="8"/>
  <c r="L9" i="8"/>
  <c r="M9" i="8" s="1"/>
  <c r="B10" i="8"/>
  <c r="E10" i="8"/>
  <c r="G12" i="5" s="1" a="1"/>
  <c r="G12" i="5" s="1"/>
  <c r="L10" i="8"/>
  <c r="M10" i="8" s="1"/>
  <c r="B11" i="8"/>
  <c r="E11" i="8"/>
  <c r="L11" i="8"/>
  <c r="M11" i="8" s="1"/>
  <c r="B12" i="8"/>
  <c r="E12" i="8"/>
  <c r="L12" i="8"/>
  <c r="M12" i="8" s="1"/>
  <c r="B13" i="8"/>
  <c r="E13" i="8"/>
  <c r="L13" i="8"/>
  <c r="M13" i="8" s="1"/>
  <c r="B14" i="8"/>
  <c r="E14" i="8"/>
  <c r="L14" i="8"/>
  <c r="M14" i="8" s="1"/>
  <c r="B15" i="8"/>
  <c r="E15" i="8"/>
  <c r="L15" i="8"/>
  <c r="M15" i="8" s="1"/>
  <c r="B16" i="8"/>
  <c r="E16" i="8"/>
  <c r="L16" i="8"/>
  <c r="M16" i="8" s="1"/>
  <c r="B17" i="8"/>
  <c r="E17" i="8"/>
  <c r="L17" i="8"/>
  <c r="M17" i="8" s="1"/>
  <c r="B18" i="8"/>
  <c r="E18" i="8"/>
  <c r="L18" i="8"/>
  <c r="M18" i="8" s="1"/>
  <c r="B19" i="8"/>
  <c r="E19" i="8"/>
  <c r="L19" i="8"/>
  <c r="M19" i="8" s="1"/>
  <c r="B20" i="8"/>
  <c r="E20" i="8"/>
  <c r="L20" i="8"/>
  <c r="M20" i="8" s="1"/>
  <c r="B21" i="8"/>
  <c r="E21" i="8"/>
  <c r="L21" i="8"/>
  <c r="M21" i="8" s="1"/>
  <c r="Q1" i="8"/>
  <c r="F1" i="8"/>
  <c r="BT20" i="1"/>
  <c r="BS20" i="1"/>
  <c r="BT19" i="1"/>
  <c r="BS19" i="1"/>
  <c r="BT18" i="1"/>
  <c r="BS18" i="1"/>
  <c r="BT17" i="1"/>
  <c r="BS17" i="1"/>
  <c r="BT16" i="1"/>
  <c r="BS16" i="1"/>
  <c r="BT15" i="1"/>
  <c r="BS15" i="1"/>
  <c r="BT14" i="1"/>
  <c r="BS14" i="1"/>
  <c r="BT13" i="1"/>
  <c r="BS13" i="1"/>
  <c r="BT12" i="1"/>
  <c r="BS12" i="1"/>
  <c r="BT11" i="1"/>
  <c r="BS11" i="1"/>
  <c r="BT10" i="1"/>
  <c r="BS10" i="1"/>
  <c r="BT9" i="1"/>
  <c r="BS9" i="1"/>
  <c r="BT8" i="1"/>
  <c r="BS8" i="1"/>
  <c r="S3" i="8" l="1"/>
  <c r="J18" i="5"/>
  <c r="AH26" i="1" a="1"/>
  <c r="AH26" i="1" s="1"/>
  <c r="D10" i="5"/>
  <c r="D11" i="5"/>
  <c r="D12" i="5"/>
  <c r="D13" i="5"/>
  <c r="D18" i="5"/>
  <c r="D14" i="5"/>
  <c r="D15" i="5"/>
  <c r="D17" i="5"/>
  <c r="D16" i="5"/>
  <c r="J14" i="5"/>
  <c r="W14" i="5" s="1"/>
  <c r="J15" i="5"/>
  <c r="W15" i="5" s="1"/>
  <c r="J17" i="5"/>
  <c r="W17" i="5" s="1"/>
  <c r="J16" i="5"/>
  <c r="W16" i="5" s="1"/>
  <c r="G10" i="5" a="1"/>
  <c r="G10" i="5" s="1"/>
  <c r="AH17" i="1" a="1"/>
  <c r="AH17" i="1" s="1"/>
  <c r="AH24" i="1" a="1"/>
  <c r="AH24" i="1" s="1"/>
  <c r="AH40" i="1" a="1"/>
  <c r="AH40" i="1" s="1"/>
  <c r="B40" i="1" s="1" a="1"/>
  <c r="B40" i="1" s="1"/>
  <c r="AH29" i="1" a="1"/>
  <c r="AH29" i="1" s="1"/>
  <c r="AH34" i="1" a="1"/>
  <c r="AH34" i="1" s="1"/>
  <c r="B34" i="1" s="1" a="1"/>
  <c r="B34" i="1" s="1"/>
  <c r="AH28" i="1" a="1"/>
  <c r="AH28" i="1" s="1"/>
  <c r="AH31" i="1" a="1"/>
  <c r="AH31" i="1" s="1"/>
  <c r="AH27" i="1" a="1"/>
  <c r="AH27" i="1" s="1"/>
  <c r="AH22" i="1" a="1"/>
  <c r="AH22" i="1" s="1"/>
  <c r="AH30" i="1" a="1"/>
  <c r="AH30" i="1" s="1"/>
  <c r="AH15" i="1" a="1"/>
  <c r="AH15" i="1" s="1"/>
  <c r="AH25" i="1" a="1"/>
  <c r="AH25" i="1" s="1"/>
  <c r="AH13" i="1" a="1"/>
  <c r="AH13" i="1" s="1"/>
  <c r="AH23" i="1" a="1"/>
  <c r="AH23" i="1" s="1"/>
  <c r="AH11" i="1" a="1"/>
  <c r="AH11" i="1" s="1"/>
  <c r="AH16" i="1" a="1"/>
  <c r="AH16" i="1" s="1"/>
  <c r="AH32" i="1" a="1"/>
  <c r="AH32" i="1" s="1"/>
  <c r="B32" i="1" s="1" a="1"/>
  <c r="B32" i="1" s="1"/>
  <c r="AH14" i="1" a="1"/>
  <c r="AH14" i="1" s="1"/>
  <c r="AH19" i="1" a="1"/>
  <c r="AH19" i="1" s="1"/>
  <c r="AH12" i="1" a="1"/>
  <c r="AH12" i="1" s="1"/>
  <c r="AH20" i="1" a="1"/>
  <c r="AH20" i="1" s="1"/>
  <c r="AH9" i="1" a="1"/>
  <c r="AH9" i="1" s="1"/>
  <c r="AH18" i="1" a="1"/>
  <c r="AH18" i="1" s="1"/>
  <c r="AH10" i="1" a="1"/>
  <c r="AH10" i="1" s="1"/>
  <c r="AH33" i="1" a="1"/>
  <c r="AH33" i="1" s="1"/>
  <c r="B33" i="1" s="1" a="1"/>
  <c r="B33" i="1" s="1"/>
  <c r="G11" i="5" a="1"/>
  <c r="G11" i="5" s="1"/>
  <c r="G9" i="5" a="1"/>
  <c r="G9" i="5" s="1"/>
  <c r="G13" i="5" a="1"/>
  <c r="G13" i="5" s="1"/>
  <c r="D8" i="5"/>
  <c r="D9" i="5"/>
  <c r="C4" i="8"/>
  <c r="C16" i="8"/>
  <c r="F8" i="1" a="1"/>
  <c r="F8" i="1" s="1"/>
  <c r="J8" i="5"/>
  <c r="C8" i="8"/>
  <c r="J12" i="5"/>
  <c r="J13" i="5"/>
  <c r="C19" i="8"/>
  <c r="C15" i="8"/>
  <c r="C11" i="8"/>
  <c r="C7" i="8"/>
  <c r="C18" i="8"/>
  <c r="C14" i="8"/>
  <c r="C10" i="8"/>
  <c r="C6" i="8"/>
  <c r="C21" i="8"/>
  <c r="C17" i="8"/>
  <c r="C13" i="8"/>
  <c r="C9" i="8"/>
  <c r="C5" i="8"/>
  <c r="C20" i="8"/>
  <c r="C3" i="8"/>
  <c r="H9" i="5" a="1"/>
  <c r="H9" i="5" s="1"/>
  <c r="H11" i="5" a="1"/>
  <c r="H11" i="5" s="1"/>
  <c r="H13" i="5" a="1"/>
  <c r="H13" i="5" s="1"/>
  <c r="H10" i="5" a="1"/>
  <c r="H10" i="5" s="1"/>
  <c r="H12" i="5" a="1"/>
  <c r="H12" i="5" s="1"/>
  <c r="H8" i="5" a="1"/>
  <c r="H8" i="5" s="1"/>
  <c r="M3" i="8"/>
  <c r="J9" i="5"/>
  <c r="J11" i="5"/>
  <c r="J10" i="5"/>
  <c r="L1" i="8"/>
  <c r="H6" i="5" l="1"/>
  <c r="T3" i="10" a="1"/>
  <c r="T3" i="10" s="1"/>
  <c r="B19" i="1" a="1"/>
  <c r="B19" i="1" s="1"/>
  <c r="AI19" i="1"/>
  <c r="B17" i="1" a="1"/>
  <c r="B17" i="1" s="1"/>
  <c r="AI17" i="1"/>
  <c r="AJ17" i="1" s="1"/>
  <c r="B20" i="1" a="1"/>
  <c r="B20" i="1" s="1"/>
  <c r="AI20" i="1"/>
  <c r="B18" i="1" a="1"/>
  <c r="B18" i="1" s="1"/>
  <c r="AI18" i="1"/>
  <c r="B16" i="1" a="1"/>
  <c r="B16" i="1" s="1"/>
  <c r="AI16" i="1"/>
  <c r="B27" i="1" a="1"/>
  <c r="B27" i="1" s="1"/>
  <c r="AI27" i="1"/>
  <c r="AJ27" i="1" s="1"/>
  <c r="B22" i="1" a="1"/>
  <c r="B22" i="1" s="1"/>
  <c r="AI22" i="1"/>
  <c r="AJ22" i="1" s="1"/>
  <c r="AI31" i="1"/>
  <c r="B31" i="1" a="1"/>
  <c r="B31" i="1" s="1"/>
  <c r="AI28" i="1"/>
  <c r="B28" i="1" a="1"/>
  <c r="B28" i="1" s="1"/>
  <c r="B29" i="1" a="1"/>
  <c r="B29" i="1" s="1"/>
  <c r="AI29" i="1"/>
  <c r="AJ29" i="1" s="1"/>
  <c r="B30" i="1" a="1"/>
  <c r="B30" i="1" s="1"/>
  <c r="AI30" i="1"/>
  <c r="AJ30" i="1" s="1"/>
  <c r="AI23" i="1"/>
  <c r="B23" i="1" a="1"/>
  <c r="B23" i="1" s="1"/>
  <c r="B26" i="1" a="1"/>
  <c r="B26" i="1" s="1"/>
  <c r="AI26" i="1"/>
  <c r="AJ26" i="1" s="1"/>
  <c r="AI24" i="1"/>
  <c r="B24" i="1" a="1"/>
  <c r="B24" i="1" s="1"/>
  <c r="B25" i="1" a="1"/>
  <c r="B25" i="1" s="1"/>
  <c r="AI25" i="1"/>
  <c r="AJ25" i="1" s="1"/>
  <c r="B21" i="1" a="1"/>
  <c r="B21" i="1" s="1"/>
  <c r="AI21" i="1"/>
  <c r="AJ21" i="1" s="1"/>
  <c r="AI10" i="1"/>
  <c r="AI12" i="1"/>
  <c r="AI9" i="1"/>
  <c r="AI11" i="1"/>
  <c r="AI13" i="1"/>
  <c r="AI14" i="1"/>
  <c r="AI15" i="1"/>
  <c r="B15" i="1" a="1"/>
  <c r="B15" i="1" s="1"/>
  <c r="B14" i="1" a="1"/>
  <c r="B14" i="1" s="1"/>
  <c r="B13" i="1" a="1"/>
  <c r="B13" i="1" s="1"/>
  <c r="B12" i="1" a="1"/>
  <c r="B12" i="1" s="1"/>
  <c r="B11" i="1" a="1"/>
  <c r="B11" i="1" s="1"/>
  <c r="B10" i="1" a="1"/>
  <c r="B10" i="1" s="1"/>
  <c r="B9" i="1" a="1"/>
  <c r="B9" i="1" s="1"/>
  <c r="L8" i="1" a="1"/>
  <c r="L8" i="1" s="1"/>
  <c r="M8" i="1" a="1"/>
  <c r="M8" i="1" s="1"/>
  <c r="N8" i="1" a="1"/>
  <c r="N8" i="1" s="1"/>
  <c r="O8" i="1" a="1"/>
  <c r="O8" i="1" s="1"/>
  <c r="P8" i="1" a="1"/>
  <c r="P8" i="1" s="1"/>
  <c r="Q8" i="1" a="1"/>
  <c r="Q8" i="1" s="1"/>
  <c r="R8" i="1" a="1"/>
  <c r="R8" i="1" s="1"/>
  <c r="S8" i="1" a="1"/>
  <c r="S8" i="1" s="1"/>
  <c r="T8" i="1" a="1"/>
  <c r="T8" i="1" s="1"/>
  <c r="U8" i="1" a="1"/>
  <c r="U8" i="1" s="1"/>
  <c r="V8" i="1" a="1"/>
  <c r="V8" i="1" s="1"/>
  <c r="W8" i="1" a="1"/>
  <c r="W8" i="1" s="1"/>
  <c r="X8" i="1" a="1"/>
  <c r="X8" i="1" s="1"/>
  <c r="Y8" i="1" a="1"/>
  <c r="Y8" i="1" s="1"/>
  <c r="Z8" i="1" a="1"/>
  <c r="Z8" i="1" s="1"/>
  <c r="AA8" i="1" a="1"/>
  <c r="AA8" i="1" s="1"/>
  <c r="AB8" i="1" a="1"/>
  <c r="AB8" i="1" s="1"/>
  <c r="AC8" i="1" a="1"/>
  <c r="AC8" i="1" s="1"/>
  <c r="AD8" i="1" a="1"/>
  <c r="AD8" i="1" s="1"/>
  <c r="AE8" i="1" a="1"/>
  <c r="AE8" i="1" s="1"/>
  <c r="AF8" i="1" a="1"/>
  <c r="AF8" i="1" s="1"/>
  <c r="AG8" i="1" a="1"/>
  <c r="AG8" i="1" s="1"/>
  <c r="AH8" i="1" a="1"/>
  <c r="AH8" i="1" s="1"/>
  <c r="AJ10" i="1" l="1"/>
  <c r="AJ11" i="1"/>
  <c r="AJ16" i="1"/>
  <c r="AJ20" i="1"/>
  <c r="AJ19" i="1"/>
  <c r="AJ12" i="1"/>
  <c r="AJ14" i="1"/>
  <c r="AJ18" i="1"/>
  <c r="AJ24" i="1"/>
  <c r="AJ23" i="1"/>
  <c r="AJ31" i="1"/>
  <c r="AJ13" i="1"/>
  <c r="AJ28" i="1"/>
  <c r="AJ15" i="1"/>
  <c r="AI8" i="1"/>
  <c r="AJ9" i="1"/>
  <c r="AN22" i="1"/>
  <c r="B8" i="1" a="1"/>
  <c r="B8" i="1" s="1"/>
  <c r="AM5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AN7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AN6" i="1"/>
  <c r="AI5" i="1" l="1"/>
  <c r="AJ8" i="1"/>
  <c r="AJ5" i="1" s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8" i="1"/>
  <c r="BO13" i="1" l="1"/>
  <c r="AY13" i="1"/>
  <c r="BN13" i="1"/>
  <c r="AX13" i="1"/>
  <c r="BM13" i="1"/>
  <c r="BD13" i="1"/>
  <c r="BK13" i="1"/>
  <c r="BJ13" i="1"/>
  <c r="BI13" i="1"/>
  <c r="BP13" i="1"/>
  <c r="AZ13" i="1"/>
  <c r="BG13" i="1"/>
  <c r="BF13" i="1"/>
  <c r="BE13" i="1"/>
  <c r="BL13" i="1"/>
  <c r="BC13" i="1"/>
  <c r="BR13" i="1"/>
  <c r="BB13" i="1"/>
  <c r="BQ13" i="1"/>
  <c r="BA13" i="1"/>
  <c r="BH13" i="1"/>
  <c r="AW12" i="1"/>
  <c r="AV12" i="1"/>
  <c r="BP12" i="1"/>
  <c r="AQ12" i="1"/>
  <c r="AX12" i="1"/>
  <c r="BR12" i="1"/>
  <c r="AS12" i="1"/>
  <c r="BQ12" i="1"/>
  <c r="AR12" i="1"/>
  <c r="BI12" i="1"/>
  <c r="AT12" i="1"/>
  <c r="BK12" i="1"/>
  <c r="AO12" i="1"/>
  <c r="BJ12" i="1"/>
  <c r="AN12" i="1"/>
  <c r="BB12" i="1"/>
  <c r="BL12" i="1"/>
  <c r="AP12" i="1"/>
  <c r="BD12" i="1"/>
  <c r="BC12" i="1"/>
  <c r="AU12" i="1"/>
  <c r="BE12" i="1"/>
  <c r="BK8" i="1"/>
  <c r="BC8" i="1"/>
  <c r="AU8" i="1"/>
  <c r="AN8" i="1"/>
  <c r="BJ8" i="1"/>
  <c r="BB8" i="1"/>
  <c r="AT8" i="1"/>
  <c r="BR8" i="1"/>
  <c r="BI8" i="1"/>
  <c r="BA8" i="1"/>
  <c r="AP8" i="1"/>
  <c r="BO8" i="1"/>
  <c r="BH8" i="1"/>
  <c r="AV8" i="1"/>
  <c r="AO8" i="1"/>
  <c r="BP11" i="1"/>
  <c r="BI11" i="1"/>
  <c r="BB11" i="1"/>
  <c r="AU11" i="1"/>
  <c r="AN11" i="1"/>
  <c r="BL11" i="1"/>
  <c r="BE11" i="1"/>
  <c r="AX11" i="1"/>
  <c r="AQ11" i="1"/>
  <c r="BR11" i="1"/>
  <c r="BK11" i="1"/>
  <c r="BD11" i="1"/>
  <c r="AW11" i="1"/>
  <c r="AP11" i="1"/>
  <c r="BQ11" i="1"/>
  <c r="BJ11" i="1"/>
  <c r="BC11" i="1"/>
  <c r="AV11" i="1"/>
  <c r="AO11" i="1"/>
  <c r="BQ10" i="1"/>
  <c r="BJ10" i="1"/>
  <c r="BD10" i="1"/>
  <c r="AW10" i="1"/>
  <c r="AP10" i="1"/>
  <c r="BP10" i="1"/>
  <c r="BI10" i="1"/>
  <c r="BC10" i="1"/>
  <c r="AV10" i="1"/>
  <c r="AO10" i="1"/>
  <c r="BL10" i="1"/>
  <c r="BF10" i="1"/>
  <c r="BB10" i="1"/>
  <c r="AU10" i="1"/>
  <c r="AN10" i="1"/>
  <c r="BR10" i="1"/>
  <c r="BK10" i="1"/>
  <c r="BE10" i="1"/>
  <c r="AX10" i="1"/>
  <c r="AQ10" i="1"/>
  <c r="BK9" i="1"/>
  <c r="BC9" i="1"/>
  <c r="AU9" i="1"/>
  <c r="BR9" i="1"/>
  <c r="BJ9" i="1"/>
  <c r="BB9" i="1"/>
  <c r="AP9" i="1"/>
  <c r="BQ9" i="1"/>
  <c r="BI9" i="1"/>
  <c r="AW9" i="1"/>
  <c r="AO9" i="1"/>
  <c r="BP9" i="1"/>
  <c r="BD9" i="1"/>
  <c r="AV9" i="1"/>
  <c r="AN9" i="1"/>
  <c r="BO20" i="1"/>
  <c r="BK20" i="1"/>
  <c r="BG20" i="1"/>
  <c r="BC20" i="1"/>
  <c r="AY20" i="1"/>
  <c r="AU20" i="1"/>
  <c r="AQ20" i="1"/>
  <c r="BP20" i="1"/>
  <c r="BD20" i="1"/>
  <c r="AR20" i="1"/>
  <c r="BR20" i="1"/>
  <c r="BN20" i="1"/>
  <c r="BJ20" i="1"/>
  <c r="BF20" i="1"/>
  <c r="BB20" i="1"/>
  <c r="AX20" i="1"/>
  <c r="AT20" i="1"/>
  <c r="AP20" i="1"/>
  <c r="BL20" i="1"/>
  <c r="AZ20" i="1"/>
  <c r="AN20" i="1"/>
  <c r="BQ20" i="1"/>
  <c r="BM20" i="1"/>
  <c r="BI20" i="1"/>
  <c r="BE20" i="1"/>
  <c r="BA20" i="1"/>
  <c r="AW20" i="1"/>
  <c r="AS20" i="1"/>
  <c r="AO20" i="1"/>
  <c r="BH20" i="1"/>
  <c r="AV20" i="1"/>
  <c r="BR16" i="1"/>
  <c r="BN16" i="1"/>
  <c r="BJ16" i="1"/>
  <c r="BF16" i="1"/>
  <c r="BB16" i="1"/>
  <c r="BK16" i="1"/>
  <c r="BQ16" i="1"/>
  <c r="BM16" i="1"/>
  <c r="BI16" i="1"/>
  <c r="BE16" i="1"/>
  <c r="BO16" i="1"/>
  <c r="BC16" i="1"/>
  <c r="BP16" i="1"/>
  <c r="BL16" i="1"/>
  <c r="BH16" i="1"/>
  <c r="BD16" i="1"/>
  <c r="BG16" i="1"/>
  <c r="BP19" i="1"/>
  <c r="BL19" i="1"/>
  <c r="BH19" i="1"/>
  <c r="BD19" i="1"/>
  <c r="AZ19" i="1"/>
  <c r="AV19" i="1"/>
  <c r="AR19" i="1"/>
  <c r="AN19" i="1"/>
  <c r="BM19" i="1"/>
  <c r="BA19" i="1"/>
  <c r="AO19" i="1"/>
  <c r="BO19" i="1"/>
  <c r="BK19" i="1"/>
  <c r="BG19" i="1"/>
  <c r="BC19" i="1"/>
  <c r="AY19" i="1"/>
  <c r="AU19" i="1"/>
  <c r="AQ19" i="1"/>
  <c r="BI19" i="1"/>
  <c r="AW19" i="1"/>
  <c r="BR19" i="1"/>
  <c r="BN19" i="1"/>
  <c r="BJ19" i="1"/>
  <c r="BF19" i="1"/>
  <c r="BB19" i="1"/>
  <c r="AX19" i="1"/>
  <c r="AT19" i="1"/>
  <c r="AP19" i="1"/>
  <c r="BQ19" i="1"/>
  <c r="BE19" i="1"/>
  <c r="AS19" i="1"/>
  <c r="BQ15" i="1"/>
  <c r="BJ15" i="1"/>
  <c r="BC15" i="1"/>
  <c r="AY15" i="1"/>
  <c r="AU15" i="1"/>
  <c r="AQ15" i="1"/>
  <c r="BR15" i="1"/>
  <c r="AZ15" i="1"/>
  <c r="AN15" i="1"/>
  <c r="BP15" i="1"/>
  <c r="BI15" i="1"/>
  <c r="BB15" i="1"/>
  <c r="AX15" i="1"/>
  <c r="AT15" i="1"/>
  <c r="AP15" i="1"/>
  <c r="BD15" i="1"/>
  <c r="AV15" i="1"/>
  <c r="BL15" i="1"/>
  <c r="BE15" i="1"/>
  <c r="BA15" i="1"/>
  <c r="AW15" i="1"/>
  <c r="AS15" i="1"/>
  <c r="AO15" i="1"/>
  <c r="BK15" i="1"/>
  <c r="AR15" i="1"/>
  <c r="BQ18" i="1"/>
  <c r="BM18" i="1"/>
  <c r="BI18" i="1"/>
  <c r="BE18" i="1"/>
  <c r="BA18" i="1"/>
  <c r="AW18" i="1"/>
  <c r="AS18" i="1"/>
  <c r="AO18" i="1"/>
  <c r="BF18" i="1"/>
  <c r="AX18" i="1"/>
  <c r="BP18" i="1"/>
  <c r="BL18" i="1"/>
  <c r="BH18" i="1"/>
  <c r="BD18" i="1"/>
  <c r="AZ18" i="1"/>
  <c r="AV18" i="1"/>
  <c r="AR18" i="1"/>
  <c r="AN18" i="1"/>
  <c r="BR18" i="1"/>
  <c r="BN18" i="1"/>
  <c r="BB18" i="1"/>
  <c r="AP18" i="1"/>
  <c r="BO18" i="1"/>
  <c r="BK18" i="1"/>
  <c r="BG18" i="1"/>
  <c r="BC18" i="1"/>
  <c r="AY18" i="1"/>
  <c r="AU18" i="1"/>
  <c r="AQ18" i="1"/>
  <c r="BJ18" i="1"/>
  <c r="AT18" i="1"/>
  <c r="BP14" i="1"/>
  <c r="BL14" i="1"/>
  <c r="BH14" i="1"/>
  <c r="BD14" i="1"/>
  <c r="AZ14" i="1"/>
  <c r="AV14" i="1"/>
  <c r="AR14" i="1"/>
  <c r="AN14" i="1"/>
  <c r="BM14" i="1"/>
  <c r="BE14" i="1"/>
  <c r="AS14" i="1"/>
  <c r="BO14" i="1"/>
  <c r="BK14" i="1"/>
  <c r="BG14" i="1"/>
  <c r="BC14" i="1"/>
  <c r="AY14" i="1"/>
  <c r="AU14" i="1"/>
  <c r="AQ14" i="1"/>
  <c r="BQ14" i="1"/>
  <c r="BA14" i="1"/>
  <c r="AO14" i="1"/>
  <c r="BR14" i="1"/>
  <c r="BN14" i="1"/>
  <c r="BJ14" i="1"/>
  <c r="BF14" i="1"/>
  <c r="BB14" i="1"/>
  <c r="AX14" i="1"/>
  <c r="AT14" i="1"/>
  <c r="AP14" i="1"/>
  <c r="BI14" i="1"/>
  <c r="AW14" i="1"/>
  <c r="BR17" i="1"/>
  <c r="BN17" i="1"/>
  <c r="BJ17" i="1"/>
  <c r="BF17" i="1"/>
  <c r="BB17" i="1"/>
  <c r="AX17" i="1"/>
  <c r="AP17" i="1"/>
  <c r="BG17" i="1"/>
  <c r="AU17" i="1"/>
  <c r="BQ17" i="1"/>
  <c r="BM17" i="1"/>
  <c r="BI17" i="1"/>
  <c r="BE17" i="1"/>
  <c r="BA17" i="1"/>
  <c r="AW17" i="1"/>
  <c r="AN17" i="1"/>
  <c r="BK17" i="1"/>
  <c r="AY17" i="1"/>
  <c r="BP17" i="1"/>
  <c r="BL17" i="1"/>
  <c r="BH17" i="1"/>
  <c r="BD17" i="1"/>
  <c r="AZ17" i="1"/>
  <c r="AV17" i="1"/>
  <c r="BO17" i="1"/>
  <c r="BC17" i="1"/>
  <c r="BM15" i="1"/>
  <c r="BH15" i="1"/>
  <c r="BO15" i="1"/>
  <c r="BG15" i="1"/>
  <c r="BN15" i="1"/>
  <c r="BF15" i="1"/>
  <c r="AR9" i="1"/>
  <c r="BL9" i="1"/>
  <c r="BE9" i="1"/>
  <c r="AQ9" i="1"/>
  <c r="BH9" i="1"/>
  <c r="BM9" i="1"/>
  <c r="AY9" i="1"/>
  <c r="BA9" i="1"/>
  <c r="BG9" i="1"/>
  <c r="AX9" i="1"/>
  <c r="BO9" i="1"/>
  <c r="BF9" i="1"/>
  <c r="AS9" i="1"/>
  <c r="AT9" i="1"/>
  <c r="BN9" i="1"/>
  <c r="AZ9" i="1"/>
  <c r="BO11" i="1"/>
  <c r="BG11" i="1"/>
  <c r="AY11" i="1"/>
  <c r="BN11" i="1"/>
  <c r="BF11" i="1"/>
  <c r="AT11" i="1"/>
  <c r="BM11" i="1"/>
  <c r="BA11" i="1"/>
  <c r="AS11" i="1"/>
  <c r="BH11" i="1"/>
  <c r="AZ11" i="1"/>
  <c r="AR11" i="1"/>
  <c r="BN10" i="1"/>
  <c r="AY10" i="1"/>
  <c r="AR10" i="1"/>
  <c r="AS10" i="1"/>
  <c r="BM10" i="1"/>
  <c r="BO10" i="1"/>
  <c r="BH10" i="1"/>
  <c r="BG10" i="1"/>
  <c r="AT10" i="1"/>
  <c r="AZ10" i="1"/>
  <c r="BA10" i="1"/>
  <c r="AQ8" i="1"/>
  <c r="AR8" i="1"/>
  <c r="AS8" i="1"/>
  <c r="AW8" i="1"/>
  <c r="AX8" i="1"/>
  <c r="AY8" i="1"/>
  <c r="AZ8" i="1"/>
  <c r="BD8" i="1"/>
  <c r="BE8" i="1"/>
  <c r="BF8" i="1"/>
  <c r="BG8" i="1"/>
  <c r="BL8" i="1"/>
  <c r="BM8" i="1"/>
  <c r="BN8" i="1"/>
  <c r="BP8" i="1"/>
  <c r="BQ8" i="1"/>
  <c r="AR17" i="1"/>
  <c r="AQ17" i="1"/>
  <c r="AO17" i="1"/>
  <c r="AT17" i="1"/>
  <c r="AS17" i="1"/>
  <c r="AU13" i="1"/>
  <c r="AQ13" i="1"/>
  <c r="AT13" i="1"/>
  <c r="AO13" i="1"/>
  <c r="AV13" i="1"/>
  <c r="AW13" i="1"/>
  <c r="AS13" i="1"/>
  <c r="AN13" i="1"/>
  <c r="AR13" i="1"/>
  <c r="AP13" i="1"/>
  <c r="BA16" i="1"/>
  <c r="AW16" i="1"/>
  <c r="AS16" i="1"/>
  <c r="AN16" i="1"/>
  <c r="AZ16" i="1"/>
  <c r="AV16" i="1"/>
  <c r="AR16" i="1"/>
  <c r="AP16" i="1"/>
  <c r="AX16" i="1"/>
  <c r="AO16" i="1"/>
  <c r="AY16" i="1"/>
  <c r="AU16" i="1"/>
  <c r="AQ16" i="1"/>
  <c r="AT16" i="1"/>
  <c r="BA12" i="1"/>
  <c r="AY12" i="1"/>
  <c r="BN12" i="1"/>
  <c r="BG12" i="1"/>
  <c r="BM12" i="1"/>
  <c r="BO12" i="1"/>
  <c r="BF12" i="1"/>
  <c r="AZ12" i="1"/>
  <c r="BH12" i="1"/>
  <c r="J362" i="7" l="1"/>
  <c r="G361" i="7"/>
  <c r="G360" i="7"/>
  <c r="G359" i="7"/>
  <c r="G358" i="7"/>
  <c r="G357" i="7"/>
  <c r="G356" i="7"/>
  <c r="G355" i="7"/>
  <c r="G354" i="7"/>
  <c r="G353" i="7"/>
  <c r="E350" i="7"/>
  <c r="E349" i="7"/>
  <c r="E348" i="7"/>
  <c r="E347" i="7"/>
  <c r="E346" i="7"/>
  <c r="E345" i="7"/>
  <c r="G341" i="7"/>
  <c r="D341" i="7"/>
  <c r="C341" i="7"/>
  <c r="A339" i="7"/>
  <c r="J325" i="7"/>
  <c r="G324" i="7"/>
  <c r="G323" i="7"/>
  <c r="G322" i="7"/>
  <c r="G321" i="7"/>
  <c r="G320" i="7"/>
  <c r="G319" i="7"/>
  <c r="G318" i="7"/>
  <c r="G317" i="7"/>
  <c r="G316" i="7"/>
  <c r="E313" i="7"/>
  <c r="E312" i="7"/>
  <c r="E311" i="7"/>
  <c r="E310" i="7"/>
  <c r="E309" i="7"/>
  <c r="E308" i="7"/>
  <c r="G304" i="7"/>
  <c r="D304" i="7"/>
  <c r="C304" i="7"/>
  <c r="B302" i="7"/>
  <c r="J288" i="7"/>
  <c r="G287" i="7"/>
  <c r="G286" i="7"/>
  <c r="G285" i="7"/>
  <c r="G284" i="7"/>
  <c r="G283" i="7"/>
  <c r="G282" i="7"/>
  <c r="G281" i="7"/>
  <c r="G280" i="7"/>
  <c r="G279" i="7"/>
  <c r="E276" i="7"/>
  <c r="E275" i="7"/>
  <c r="E274" i="7"/>
  <c r="E273" i="7"/>
  <c r="E272" i="7"/>
  <c r="E271" i="7"/>
  <c r="G267" i="7"/>
  <c r="D267" i="7"/>
  <c r="C267" i="7"/>
  <c r="B265" i="7"/>
  <c r="J251" i="7"/>
  <c r="G250" i="7"/>
  <c r="G249" i="7"/>
  <c r="G248" i="7"/>
  <c r="G247" i="7"/>
  <c r="G246" i="7"/>
  <c r="G245" i="7"/>
  <c r="G244" i="7"/>
  <c r="G243" i="7"/>
  <c r="G242" i="7"/>
  <c r="E239" i="7"/>
  <c r="E238" i="7"/>
  <c r="E237" i="7"/>
  <c r="E236" i="7"/>
  <c r="E235" i="7"/>
  <c r="E234" i="7"/>
  <c r="G230" i="7"/>
  <c r="D230" i="7"/>
  <c r="C230" i="7"/>
  <c r="B228" i="7"/>
  <c r="J214" i="7"/>
  <c r="G213" i="7"/>
  <c r="G212" i="7"/>
  <c r="G211" i="7"/>
  <c r="G210" i="7"/>
  <c r="G209" i="7"/>
  <c r="G208" i="7"/>
  <c r="G207" i="7"/>
  <c r="F214" i="7" s="1"/>
  <c r="G206" i="7"/>
  <c r="G205" i="7"/>
  <c r="E202" i="7"/>
  <c r="E201" i="7"/>
  <c r="E200" i="7"/>
  <c r="E199" i="7"/>
  <c r="E198" i="7"/>
  <c r="E197" i="7"/>
  <c r="G193" i="7"/>
  <c r="D193" i="7"/>
  <c r="C193" i="7"/>
  <c r="B191" i="7"/>
  <c r="J177" i="7"/>
  <c r="G176" i="7"/>
  <c r="G175" i="7"/>
  <c r="G174" i="7"/>
  <c r="G173" i="7"/>
  <c r="G172" i="7"/>
  <c r="G171" i="7"/>
  <c r="G170" i="7"/>
  <c r="G169" i="7"/>
  <c r="G168" i="7"/>
  <c r="E165" i="7"/>
  <c r="E164" i="7"/>
  <c r="E163" i="7"/>
  <c r="E162" i="7"/>
  <c r="E161" i="7"/>
  <c r="E160" i="7"/>
  <c r="G156" i="7"/>
  <c r="D156" i="7"/>
  <c r="C156" i="7"/>
  <c r="B154" i="7"/>
  <c r="J140" i="7"/>
  <c r="G139" i="7"/>
  <c r="G138" i="7"/>
  <c r="G137" i="7"/>
  <c r="G136" i="7"/>
  <c r="G135" i="7"/>
  <c r="G134" i="7"/>
  <c r="G133" i="7"/>
  <c r="G132" i="7"/>
  <c r="G131" i="7"/>
  <c r="E128" i="7"/>
  <c r="E127" i="7"/>
  <c r="E126" i="7"/>
  <c r="E125" i="7"/>
  <c r="E124" i="7"/>
  <c r="E123" i="7"/>
  <c r="G119" i="7"/>
  <c r="D119" i="7"/>
  <c r="C119" i="7"/>
  <c r="B117" i="7"/>
  <c r="J103" i="7"/>
  <c r="G102" i="7"/>
  <c r="G101" i="7"/>
  <c r="G100" i="7"/>
  <c r="G99" i="7"/>
  <c r="G98" i="7"/>
  <c r="G97" i="7"/>
  <c r="G96" i="7"/>
  <c r="G95" i="7"/>
  <c r="G94" i="7"/>
  <c r="E91" i="7"/>
  <c r="E90" i="7"/>
  <c r="E89" i="7"/>
  <c r="E88" i="7"/>
  <c r="E87" i="7"/>
  <c r="E86" i="7"/>
  <c r="G82" i="7"/>
  <c r="D82" i="7"/>
  <c r="C82" i="7"/>
  <c r="B80" i="7"/>
  <c r="G65" i="7"/>
  <c r="G64" i="7"/>
  <c r="G63" i="7"/>
  <c r="G62" i="7"/>
  <c r="G61" i="7"/>
  <c r="G60" i="7"/>
  <c r="G58" i="7"/>
  <c r="E54" i="7"/>
  <c r="E53" i="7"/>
  <c r="E52" i="7"/>
  <c r="E51" i="7"/>
  <c r="E50" i="7"/>
  <c r="E49" i="7"/>
  <c r="G45" i="7"/>
  <c r="D45" i="7"/>
  <c r="C45" i="7"/>
  <c r="B43" i="7"/>
  <c r="G28" i="7"/>
  <c r="G27" i="7"/>
  <c r="G26" i="7"/>
  <c r="G25" i="7"/>
  <c r="G24" i="7"/>
  <c r="G23" i="7"/>
  <c r="G21" i="7"/>
  <c r="E17" i="7"/>
  <c r="E16" i="7"/>
  <c r="E15" i="7"/>
  <c r="E14" i="7"/>
  <c r="E13" i="7"/>
  <c r="E12" i="7"/>
  <c r="G8" i="7"/>
  <c r="D8" i="7"/>
  <c r="C8" i="7"/>
  <c r="B6" i="7"/>
  <c r="G341" i="6"/>
  <c r="C341" i="6"/>
  <c r="B339" i="6"/>
  <c r="G304" i="6"/>
  <c r="C304" i="6"/>
  <c r="B302" i="6"/>
  <c r="G267" i="6"/>
  <c r="C267" i="6"/>
  <c r="B265" i="6"/>
  <c r="G230" i="6"/>
  <c r="C230" i="6"/>
  <c r="B228" i="6"/>
  <c r="G193" i="6"/>
  <c r="C193" i="6"/>
  <c r="B191" i="6"/>
  <c r="G156" i="6"/>
  <c r="C156" i="6"/>
  <c r="B154" i="6"/>
  <c r="G119" i="6"/>
  <c r="C119" i="6"/>
  <c r="B117" i="6"/>
  <c r="G82" i="6"/>
  <c r="C82" i="6"/>
  <c r="B80" i="6"/>
  <c r="G45" i="6"/>
  <c r="C45" i="6"/>
  <c r="B43" i="6"/>
  <c r="G8" i="6"/>
  <c r="C8" i="6"/>
  <c r="B6" i="6"/>
  <c r="G59" i="7"/>
  <c r="G57" i="7"/>
  <c r="G22" i="7"/>
  <c r="W13" i="5"/>
  <c r="P6" i="5"/>
  <c r="X6" i="5"/>
  <c r="U6" i="5"/>
  <c r="T6" i="5"/>
  <c r="S6" i="5"/>
  <c r="R6" i="5"/>
  <c r="Q6" i="5"/>
  <c r="M6" i="5"/>
  <c r="L6" i="5"/>
  <c r="J6" i="5"/>
  <c r="F103" i="7" l="1"/>
  <c r="F140" i="7"/>
  <c r="F251" i="7"/>
  <c r="G174" i="6" a="1"/>
  <c r="G174" i="6" s="1"/>
  <c r="G320" i="6" a="1"/>
  <c r="G320" i="6" s="1"/>
  <c r="F66" i="7"/>
  <c r="F362" i="7"/>
  <c r="F288" i="7"/>
  <c r="F177" i="7"/>
  <c r="J362" i="6" a="1"/>
  <c r="J362" i="6" s="1"/>
  <c r="E348" i="6" a="1"/>
  <c r="E348" i="6" s="1"/>
  <c r="E349" i="6" a="1"/>
  <c r="E349" i="6" s="1"/>
  <c r="G20" i="7"/>
  <c r="F29" i="7" s="1"/>
  <c r="G356" i="6" a="1"/>
  <c r="G356" i="6" s="1"/>
  <c r="G355" i="6" a="1"/>
  <c r="G355" i="6" s="1"/>
  <c r="J251" i="6" a="1"/>
  <c r="J251" i="6" s="1"/>
  <c r="G357" i="6" a="1"/>
  <c r="G357" i="6" s="1"/>
  <c r="G358" i="6" a="1"/>
  <c r="G358" i="6" s="1"/>
  <c r="G359" i="6" a="1"/>
  <c r="G359" i="6" s="1"/>
  <c r="E347" i="6" a="1"/>
  <c r="E347" i="6" s="1"/>
  <c r="G98" i="6" a="1"/>
  <c r="G98" i="6" s="1"/>
  <c r="D119" i="6" a="1"/>
  <c r="D119" i="6" s="1"/>
  <c r="W12" i="5"/>
  <c r="F325" i="7"/>
  <c r="E311" i="6" a="1"/>
  <c r="E311" i="6" s="1"/>
  <c r="E312" i="6" a="1"/>
  <c r="E312" i="6" s="1"/>
  <c r="G175" i="6" a="1"/>
  <c r="G175" i="6" s="1"/>
  <c r="G321" i="6" a="1"/>
  <c r="G321" i="6" s="1"/>
  <c r="G322" i="6" a="1"/>
  <c r="G322" i="6" s="1"/>
  <c r="G213" i="6" a="1"/>
  <c r="G213" i="6" s="1"/>
  <c r="G96" i="6" a="1"/>
  <c r="G96" i="6" s="1"/>
  <c r="G286" i="6" a="1"/>
  <c r="G286" i="6" s="1"/>
  <c r="E49" i="6" a="1"/>
  <c r="E49" i="6" s="1"/>
  <c r="E345" i="6" a="1"/>
  <c r="E345" i="6" s="1"/>
  <c r="D304" i="6" a="1"/>
  <c r="D304" i="6" s="1"/>
  <c r="G64" i="6" a="1"/>
  <c r="G64" i="6" s="1"/>
  <c r="E346" i="6" a="1"/>
  <c r="E346" i="6" s="1"/>
  <c r="E88" i="6" a="1"/>
  <c r="E88" i="6" s="1"/>
  <c r="G28" i="6" a="1"/>
  <c r="G28" i="6" s="1"/>
  <c r="E199" i="6" a="1"/>
  <c r="E199" i="6" s="1"/>
  <c r="E89" i="6" a="1"/>
  <c r="E89" i="6" s="1"/>
  <c r="E276" i="6" a="1"/>
  <c r="E276" i="6" s="1"/>
  <c r="E200" i="6" a="1"/>
  <c r="E200" i="6" s="1"/>
  <c r="E91" i="6" a="1"/>
  <c r="E91" i="6" s="1"/>
  <c r="G99" i="6" a="1"/>
  <c r="G99" i="6" s="1"/>
  <c r="E202" i="6" a="1"/>
  <c r="E202" i="6" s="1"/>
  <c r="G101" i="6" a="1"/>
  <c r="G101" i="6" s="1"/>
  <c r="E201" i="6" a="1"/>
  <c r="E201" i="6" s="1"/>
  <c r="G209" i="6" a="1"/>
  <c r="G209" i="6" s="1"/>
  <c r="E126" i="6" a="1"/>
  <c r="E126" i="6" s="1"/>
  <c r="G210" i="6" a="1"/>
  <c r="G210" i="6" s="1"/>
  <c r="E53" i="6" a="1"/>
  <c r="E53" i="6" s="1"/>
  <c r="G132" i="6" a="1"/>
  <c r="G132" i="6" s="1"/>
  <c r="G211" i="6" a="1"/>
  <c r="G211" i="6" s="1"/>
  <c r="E54" i="6" a="1"/>
  <c r="E54" i="6" s="1"/>
  <c r="G212" i="6" a="1"/>
  <c r="G212" i="6" s="1"/>
  <c r="G63" i="6" a="1"/>
  <c r="G63" i="6" s="1"/>
  <c r="G249" i="6" a="1"/>
  <c r="G249" i="6" s="1"/>
  <c r="G97" i="6" a="1"/>
  <c r="G97" i="6" s="1"/>
  <c r="E165" i="6" a="1"/>
  <c r="E165" i="6" s="1"/>
  <c r="G281" i="6" a="1"/>
  <c r="G281" i="6" s="1"/>
  <c r="E234" i="6" a="1"/>
  <c r="E234" i="6" s="1"/>
  <c r="G244" i="6" a="1"/>
  <c r="G244" i="6" s="1"/>
  <c r="G287" i="6" a="1"/>
  <c r="G287" i="6" s="1"/>
  <c r="G23" i="6" a="1"/>
  <c r="G23" i="6" s="1"/>
  <c r="D45" i="6" a="1"/>
  <c r="D45" i="6" s="1"/>
  <c r="E90" i="6" a="1"/>
  <c r="E90" i="6" s="1"/>
  <c r="G100" i="6" a="1"/>
  <c r="G100" i="6" s="1"/>
  <c r="G169" i="6" a="1"/>
  <c r="G169" i="6" s="1"/>
  <c r="J177" i="6" a="1"/>
  <c r="J177" i="6" s="1"/>
  <c r="E236" i="6" a="1"/>
  <c r="E236" i="6" s="1"/>
  <c r="G246" i="6" a="1"/>
  <c r="G246" i="6" s="1"/>
  <c r="E313" i="6" a="1"/>
  <c r="E313" i="6" s="1"/>
  <c r="G323" i="6" a="1"/>
  <c r="G323" i="6" s="1"/>
  <c r="E160" i="6" a="1"/>
  <c r="E160" i="6" s="1"/>
  <c r="G170" i="6" a="1"/>
  <c r="G170" i="6" s="1"/>
  <c r="E237" i="6" a="1"/>
  <c r="E237" i="6" s="1"/>
  <c r="G247" i="6" a="1"/>
  <c r="G247" i="6" s="1"/>
  <c r="G316" i="6" a="1"/>
  <c r="G316" i="6" s="1"/>
  <c r="F325" i="6" s="1"/>
  <c r="G324" i="6" a="1"/>
  <c r="G324" i="6" s="1"/>
  <c r="G168" i="6" a="1"/>
  <c r="G168" i="6" s="1"/>
  <c r="G176" i="6" a="1"/>
  <c r="G176" i="6" s="1"/>
  <c r="E235" i="6" a="1"/>
  <c r="E235" i="6" s="1"/>
  <c r="G245" i="6" a="1"/>
  <c r="G245" i="6" s="1"/>
  <c r="D267" i="6" a="1"/>
  <c r="D267" i="6" s="1"/>
  <c r="E12" i="6" a="1"/>
  <c r="E12" i="6" s="1"/>
  <c r="G57" i="6" a="1"/>
  <c r="G57" i="6" s="1"/>
  <c r="G65" i="6" a="1"/>
  <c r="G65" i="6" s="1"/>
  <c r="E124" i="6" a="1"/>
  <c r="E124" i="6" s="1"/>
  <c r="G134" i="6" a="1"/>
  <c r="G134" i="6" s="1"/>
  <c r="D156" i="6" a="1"/>
  <c r="D156" i="6" s="1"/>
  <c r="G21" i="6" a="1"/>
  <c r="G21" i="6" s="1"/>
  <c r="G133" i="6" a="1"/>
  <c r="G133" i="6" s="1"/>
  <c r="G205" i="6" a="1"/>
  <c r="G205" i="6" s="1"/>
  <c r="F214" i="6" s="1"/>
  <c r="G25" i="6" a="1"/>
  <c r="G25" i="6" s="1"/>
  <c r="G94" i="6" a="1"/>
  <c r="G94" i="6" s="1"/>
  <c r="G102" i="6" a="1"/>
  <c r="G102" i="6" s="1"/>
  <c r="E161" i="6" a="1"/>
  <c r="E161" i="6" s="1"/>
  <c r="G171" i="6" a="1"/>
  <c r="G171" i="6" s="1"/>
  <c r="D193" i="6" a="1"/>
  <c r="D193" i="6" s="1"/>
  <c r="E238" i="6" a="1"/>
  <c r="E238" i="6" s="1"/>
  <c r="G248" i="6" a="1"/>
  <c r="G248" i="6" s="1"/>
  <c r="G317" i="6" a="1"/>
  <c r="G317" i="6" s="1"/>
  <c r="J325" i="6" a="1"/>
  <c r="J325" i="6" s="1"/>
  <c r="E50" i="6" a="1"/>
  <c r="E50" i="6" s="1"/>
  <c r="G60" i="6" a="1"/>
  <c r="G60" i="6" s="1"/>
  <c r="D82" i="6" a="1"/>
  <c r="D82" i="6" s="1"/>
  <c r="E127" i="6" a="1"/>
  <c r="E127" i="6" s="1"/>
  <c r="G137" i="6" a="1"/>
  <c r="G137" i="6" s="1"/>
  <c r="G206" i="6" a="1"/>
  <c r="G206" i="6" s="1"/>
  <c r="J214" i="6" a="1"/>
  <c r="J214" i="6" s="1"/>
  <c r="E273" i="6" a="1"/>
  <c r="E273" i="6" s="1"/>
  <c r="G283" i="6" a="1"/>
  <c r="G283" i="6" s="1"/>
  <c r="E350" i="6" a="1"/>
  <c r="E350" i="6" s="1"/>
  <c r="G360" i="6" a="1"/>
  <c r="G360" i="6" s="1"/>
  <c r="E123" i="6" a="1"/>
  <c r="E123" i="6" s="1"/>
  <c r="G59" i="6" a="1"/>
  <c r="G59" i="6" s="1"/>
  <c r="G136" i="6" a="1"/>
  <c r="G136" i="6" s="1"/>
  <c r="G26" i="6" a="1"/>
  <c r="G26" i="6" s="1"/>
  <c r="G95" i="6" a="1"/>
  <c r="G95" i="6" s="1"/>
  <c r="E162" i="6" a="1"/>
  <c r="E162" i="6" s="1"/>
  <c r="G172" i="6" a="1"/>
  <c r="G172" i="6" s="1"/>
  <c r="E239" i="6" a="1"/>
  <c r="E239" i="6" s="1"/>
  <c r="E308" i="6" a="1"/>
  <c r="E308" i="6" s="1"/>
  <c r="G318" i="6" a="1"/>
  <c r="G318" i="6" s="1"/>
  <c r="G282" i="6" a="1"/>
  <c r="G282" i="6" s="1"/>
  <c r="E16" i="6" a="1"/>
  <c r="E16" i="6" s="1"/>
  <c r="E51" i="6" a="1"/>
  <c r="E51" i="6" s="1"/>
  <c r="G61" i="6" a="1"/>
  <c r="G61" i="6" s="1"/>
  <c r="E128" i="6" a="1"/>
  <c r="E128" i="6" s="1"/>
  <c r="G138" i="6" a="1"/>
  <c r="G138" i="6" s="1"/>
  <c r="E197" i="6" a="1"/>
  <c r="E197" i="6" s="1"/>
  <c r="G207" i="6" a="1"/>
  <c r="G207" i="6" s="1"/>
  <c r="E274" i="6" a="1"/>
  <c r="E274" i="6" s="1"/>
  <c r="G284" i="6" a="1"/>
  <c r="G284" i="6" s="1"/>
  <c r="G353" i="6" a="1"/>
  <c r="G353" i="6" s="1"/>
  <c r="F362" i="6" s="1"/>
  <c r="G361" i="6" a="1"/>
  <c r="G361" i="6" s="1"/>
  <c r="G279" i="6" a="1"/>
  <c r="G279" i="6" s="1"/>
  <c r="F288" i="6" s="1"/>
  <c r="G27" i="6" a="1"/>
  <c r="G27" i="6" s="1"/>
  <c r="E86" i="6" a="1"/>
  <c r="E86" i="6" s="1"/>
  <c r="E163" i="6" a="1"/>
  <c r="E163" i="6" s="1"/>
  <c r="G173" i="6" a="1"/>
  <c r="G173" i="6" s="1"/>
  <c r="G242" i="6" a="1"/>
  <c r="G242" i="6" s="1"/>
  <c r="F251" i="6" s="1"/>
  <c r="G250" i="6" a="1"/>
  <c r="G250" i="6" s="1"/>
  <c r="E309" i="6" a="1"/>
  <c r="E309" i="6" s="1"/>
  <c r="G319" i="6" a="1"/>
  <c r="G319" i="6" s="1"/>
  <c r="D341" i="6" a="1"/>
  <c r="D341" i="6" s="1"/>
  <c r="G280" i="6" a="1"/>
  <c r="G280" i="6" s="1"/>
  <c r="J288" i="6" a="1"/>
  <c r="J288" i="6" s="1"/>
  <c r="G58" i="6" a="1"/>
  <c r="G58" i="6" s="1"/>
  <c r="E125" i="6" a="1"/>
  <c r="E125" i="6" s="1"/>
  <c r="G135" i="6" a="1"/>
  <c r="G135" i="6" s="1"/>
  <c r="G24" i="6" a="1"/>
  <c r="G24" i="6" s="1"/>
  <c r="E272" i="6" a="1"/>
  <c r="E272" i="6" s="1"/>
  <c r="E17" i="6" a="1"/>
  <c r="E17" i="6" s="1"/>
  <c r="E52" i="6" a="1"/>
  <c r="E52" i="6" s="1"/>
  <c r="G62" i="6" a="1"/>
  <c r="G62" i="6" s="1"/>
  <c r="G131" i="6" a="1"/>
  <c r="G131" i="6" s="1"/>
  <c r="G139" i="6" a="1"/>
  <c r="G139" i="6" s="1"/>
  <c r="E198" i="6" a="1"/>
  <c r="E198" i="6" s="1"/>
  <c r="G208" i="6" a="1"/>
  <c r="G208" i="6" s="1"/>
  <c r="D230" i="6" a="1"/>
  <c r="D230" i="6" s="1"/>
  <c r="E275" i="6" a="1"/>
  <c r="E275" i="6" s="1"/>
  <c r="G285" i="6" a="1"/>
  <c r="G285" i="6" s="1"/>
  <c r="G354" i="6" a="1"/>
  <c r="G354" i="6" s="1"/>
  <c r="E271" i="6" a="1"/>
  <c r="E271" i="6" s="1"/>
  <c r="E87" i="6" a="1"/>
  <c r="E87" i="6" s="1"/>
  <c r="E164" i="6" a="1"/>
  <c r="E164" i="6" s="1"/>
  <c r="G243" i="6" a="1"/>
  <c r="G243" i="6" s="1"/>
  <c r="E310" i="6" a="1"/>
  <c r="E310" i="6" s="1"/>
  <c r="O6" i="5"/>
  <c r="W10" i="5"/>
  <c r="J103" i="6" s="1" a="1"/>
  <c r="J103" i="6" s="1"/>
  <c r="W11" i="5"/>
  <c r="J140" i="6" s="1" a="1"/>
  <c r="J140" i="6" s="1"/>
  <c r="W9" i="5"/>
  <c r="J66" i="6" s="1" a="1"/>
  <c r="J66" i="6" s="1"/>
  <c r="J29" i="7" l="1"/>
  <c r="F140" i="6"/>
  <c r="F177" i="6"/>
  <c r="F103" i="6"/>
  <c r="F66" i="6"/>
  <c r="J66" i="7"/>
  <c r="E13" i="6" l="1" a="1"/>
  <c r="E13" i="6" s="1"/>
  <c r="D8" i="6" a="1"/>
  <c r="D8" i="6" s="1"/>
  <c r="E14" i="6" l="1" a="1"/>
  <c r="E14" i="6" s="1"/>
  <c r="G20" i="6" a="1"/>
  <c r="G20" i="6" s="1"/>
  <c r="K6" i="5"/>
  <c r="E15" i="6" a="1"/>
  <c r="E15" i="6" s="1"/>
  <c r="N6" i="5" l="1"/>
  <c r="G22" i="6"/>
  <c r="F29" i="6" s="1"/>
  <c r="V6" i="5"/>
  <c r="W4" i="5" s="1"/>
  <c r="W5" i="5" s="1"/>
  <c r="W8" i="5"/>
  <c r="W6" i="5" l="1"/>
  <c r="J29" i="6" a="1"/>
  <c r="J29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<sst xmlns="http://schemas.openxmlformats.org/spreadsheetml/2006/main" count="985" uniqueCount="152">
  <si>
    <t>Invoice No.</t>
    <phoneticPr fontId="21" type="noConversion"/>
  </si>
  <si>
    <t>Total</t>
    <phoneticPr fontId="21" type="noConversion"/>
  </si>
  <si>
    <r>
      <rPr>
        <b/>
        <sz val="26"/>
        <rFont val="細明體"/>
        <family val="3"/>
        <charset val="136"/>
      </rPr>
      <t>請勿隨意加</t>
    </r>
    <r>
      <rPr>
        <b/>
        <sz val="26"/>
        <rFont val="Calibri"/>
        <family val="2"/>
      </rPr>
      <t>/</t>
    </r>
    <r>
      <rPr>
        <b/>
        <sz val="26"/>
        <rFont val="細明體"/>
        <family val="3"/>
        <charset val="136"/>
      </rPr>
      <t>刪行及列會影響糧單公式錯亂</t>
    </r>
    <phoneticPr fontId="21" type="noConversion"/>
  </si>
  <si>
    <t>Income</t>
    <phoneticPr fontId="21" type="noConversion"/>
  </si>
  <si>
    <t>Pay</t>
    <phoneticPr fontId="21" type="noConversion"/>
  </si>
  <si>
    <t>GP</t>
    <phoneticPr fontId="21" type="noConversion"/>
  </si>
  <si>
    <t>Name</t>
    <phoneticPr fontId="21" type="noConversion"/>
  </si>
  <si>
    <t>CQ No.</t>
    <phoneticPr fontId="21" type="noConversion"/>
  </si>
  <si>
    <t>Period</t>
    <phoneticPr fontId="21" type="noConversion"/>
  </si>
  <si>
    <t>Days</t>
    <phoneticPr fontId="21" type="noConversion"/>
  </si>
  <si>
    <t>Reg.Hrs</t>
    <phoneticPr fontId="21" type="noConversion"/>
  </si>
  <si>
    <t>$</t>
    <phoneticPr fontId="21" type="noConversion"/>
  </si>
  <si>
    <r>
      <rPr>
        <b/>
        <sz val="26"/>
        <color theme="1"/>
        <rFont val="微軟正黑體"/>
        <family val="2"/>
        <charset val="136"/>
      </rPr>
      <t>酬</t>
    </r>
    <r>
      <rPr>
        <b/>
        <sz val="26"/>
        <color theme="1"/>
        <rFont val="Calibri"/>
        <family val="2"/>
      </rPr>
      <t xml:space="preserve">  </t>
    </r>
    <r>
      <rPr>
        <b/>
        <sz val="26"/>
        <color theme="1"/>
        <rFont val="微軟正黑體"/>
        <family val="2"/>
        <charset val="136"/>
      </rPr>
      <t>金</t>
    </r>
    <r>
      <rPr>
        <b/>
        <sz val="26"/>
        <color theme="1"/>
        <rFont val="Calibri"/>
        <family val="2"/>
      </rPr>
      <t>@$6000</t>
    </r>
    <phoneticPr fontId="21" type="noConversion"/>
  </si>
  <si>
    <t>Sales Amt</t>
  </si>
  <si>
    <t>Qty</t>
  </si>
  <si>
    <t>Basic Comm</t>
  </si>
  <si>
    <t>Allowance</t>
  </si>
  <si>
    <t>Award</t>
  </si>
  <si>
    <t>Expenses</t>
  </si>
  <si>
    <t>Adjustmant</t>
  </si>
  <si>
    <t>Other</t>
  </si>
  <si>
    <t>MPF</t>
  </si>
  <si>
    <t>Total</t>
  </si>
  <si>
    <t>Input</t>
  </si>
  <si>
    <t>i Wall@</t>
    <phoneticPr fontId="21" type="noConversion"/>
  </si>
  <si>
    <t>SharpSing Limited</t>
    <phoneticPr fontId="21" type="noConversion"/>
  </si>
  <si>
    <t>Room 1609, 16/F., Golden Era Plaza, No. 39 Sai Yee Street, Mongkok, KLN. Tel:35868635 Fax:31889330</t>
    <phoneticPr fontId="21" type="noConversion"/>
  </si>
  <si>
    <t>Name/姓名</t>
    <phoneticPr fontId="21" type="noConversion"/>
  </si>
  <si>
    <t>CQ NO.</t>
    <phoneticPr fontId="21" type="noConversion"/>
  </si>
  <si>
    <t>Job Detail</t>
    <phoneticPr fontId="21" type="noConversion"/>
  </si>
  <si>
    <t>Content</t>
    <phoneticPr fontId="21" type="noConversion"/>
  </si>
  <si>
    <t>Job Categories/工作類別</t>
  </si>
  <si>
    <t>Promoter</t>
  </si>
  <si>
    <t>Location/工作地點</t>
  </si>
  <si>
    <t>Period/工作日子</t>
    <phoneticPr fontId="21" type="noConversion"/>
  </si>
  <si>
    <t>Reg.Day/工作日數</t>
  </si>
  <si>
    <t>Reg.Hour/工作時數</t>
  </si>
  <si>
    <t>HK$/時薪</t>
  </si>
  <si>
    <t>Sales Record/銷售紀錄</t>
  </si>
  <si>
    <t>Salary Detail</t>
    <phoneticPr fontId="21" type="noConversion"/>
  </si>
  <si>
    <t>Sub. Total</t>
    <phoneticPr fontId="21" type="noConversion"/>
  </si>
  <si>
    <t>Basic/酬金</t>
  </si>
  <si>
    <t>Attendance/出勤</t>
    <phoneticPr fontId="21" type="noConversion"/>
  </si>
  <si>
    <t>Commission/佣金</t>
  </si>
  <si>
    <t>Allowance/津貼</t>
    <phoneticPr fontId="21" type="noConversion"/>
  </si>
  <si>
    <t>Award/獎金</t>
    <phoneticPr fontId="21" type="noConversion"/>
  </si>
  <si>
    <t>Expenses/支出</t>
  </si>
  <si>
    <t xml:space="preserve"> </t>
  </si>
  <si>
    <t>Other/其他</t>
    <phoneticPr fontId="21" type="noConversion"/>
  </si>
  <si>
    <t>Adjustment/調整</t>
    <phoneticPr fontId="21" type="noConversion"/>
  </si>
  <si>
    <t>MPF/強積金**</t>
    <phoneticPr fontId="21" type="noConversion"/>
  </si>
  <si>
    <t>**如屬自僱人仕必須自行購買勞工保險及強積金；</t>
  </si>
  <si>
    <t>註 1：如所支付之金額有錯誤，請在兩天內提出；</t>
  </si>
  <si>
    <t>註 2：請自行核對清楚支票上的姓名及金額；</t>
  </si>
  <si>
    <t>Promoter 確認簽名 :</t>
    <phoneticPr fontId="21" type="noConversion"/>
  </si>
  <si>
    <t>I.D. Card No. :</t>
    <phoneticPr fontId="21" type="noConversion"/>
  </si>
  <si>
    <t>i Wall@</t>
  </si>
  <si>
    <t>SharpSing Limited</t>
  </si>
  <si>
    <t>Room 1609, 16/F., Golden Era Plaza, No. 39 Sai Yee Street, Mongkok, KLN. Tel:35868635 Fax:31889330</t>
  </si>
  <si>
    <t>Name/姓名</t>
  </si>
  <si>
    <t>CQ NO.</t>
  </si>
  <si>
    <t>Job Detail</t>
  </si>
  <si>
    <t>Content</t>
  </si>
  <si>
    <t>Period/工作日子</t>
  </si>
  <si>
    <t>Salary Detail</t>
  </si>
  <si>
    <t>Sub. Total</t>
  </si>
  <si>
    <t>Attendance/出勤</t>
  </si>
  <si>
    <t>Allowance/津貼</t>
  </si>
  <si>
    <t>Award/獎金</t>
  </si>
  <si>
    <t>Other/其他</t>
  </si>
  <si>
    <t>Adjustment/調整</t>
  </si>
  <si>
    <t>MPF/強積金**</t>
  </si>
  <si>
    <t>Promoter 確認簽名 :</t>
  </si>
  <si>
    <t>I.D. Card No. :</t>
  </si>
  <si>
    <t>Location</t>
    <phoneticPr fontId="21" type="noConversion"/>
  </si>
  <si>
    <t>Date</t>
    <phoneticPr fontId="21" type="noConversion"/>
  </si>
  <si>
    <t>Nick Name</t>
    <phoneticPr fontId="21" type="noConversion"/>
  </si>
  <si>
    <t>In-Time</t>
    <phoneticPr fontId="21" type="noConversion"/>
  </si>
  <si>
    <t>Out-Time</t>
    <phoneticPr fontId="21" type="noConversion"/>
  </si>
  <si>
    <t xml:space="preserve"> Hours</t>
    <phoneticPr fontId="21" type="noConversion"/>
  </si>
  <si>
    <t>OT Hours</t>
    <phoneticPr fontId="21" type="noConversion"/>
  </si>
  <si>
    <t>Hours Worked</t>
  </si>
  <si>
    <t>Hourly Rate</t>
    <phoneticPr fontId="21" type="noConversion"/>
  </si>
  <si>
    <t>Total Pay</t>
    <phoneticPr fontId="21" type="noConversion"/>
  </si>
  <si>
    <t>Remark</t>
    <phoneticPr fontId="21" type="noConversion"/>
  </si>
  <si>
    <r>
      <t xml:space="preserve">Normal working
</t>
    </r>
    <r>
      <rPr>
        <sz val="12"/>
        <color theme="1"/>
        <rFont val="Microsoft YaHei"/>
        <family val="2"/>
        <charset val="134"/>
      </rPr>
      <t xml:space="preserve"> </t>
    </r>
    <r>
      <rPr>
        <sz val="12"/>
        <color theme="1"/>
        <rFont val="新細明體"/>
        <family val="2"/>
        <charset val="136"/>
        <scheme val="minor"/>
      </rPr>
      <t>hours</t>
    </r>
    <phoneticPr fontId="21" type="noConversion"/>
  </si>
  <si>
    <t>In-Time2</t>
    <phoneticPr fontId="3" type="noConversion"/>
  </si>
  <si>
    <t>Out-Time2</t>
    <phoneticPr fontId="3" type="noConversion"/>
  </si>
  <si>
    <t>ID2</t>
    <phoneticPr fontId="3" type="noConversion"/>
  </si>
  <si>
    <t>ID3</t>
    <phoneticPr fontId="3" type="noConversion"/>
  </si>
  <si>
    <t>ID1</t>
    <phoneticPr fontId="3" type="noConversion"/>
  </si>
  <si>
    <t>Full Name</t>
    <phoneticPr fontId="3" type="noConversion"/>
  </si>
  <si>
    <t>Shop</t>
  </si>
  <si>
    <t>Test</t>
    <phoneticPr fontId="3" type="noConversion"/>
  </si>
  <si>
    <t>No</t>
    <phoneticPr fontId="3" type="noConversion"/>
  </si>
  <si>
    <t>Nick Name</t>
    <phoneticPr fontId="3" type="noConversion"/>
  </si>
  <si>
    <t>Hourr Rate</t>
    <phoneticPr fontId="3" type="noConversion"/>
  </si>
  <si>
    <t>當月location</t>
    <phoneticPr fontId="3" type="noConversion"/>
  </si>
  <si>
    <t>以下自動不用理….</t>
    <phoneticPr fontId="3" type="noConversion"/>
  </si>
  <si>
    <t>以下不用入location…</t>
    <phoneticPr fontId="3" type="noConversion"/>
  </si>
  <si>
    <t>Man Day</t>
    <phoneticPr fontId="3" type="noConversion"/>
  </si>
  <si>
    <t>Hours</t>
    <phoneticPr fontId="3" type="noConversion"/>
  </si>
  <si>
    <t>要入當月1號日期&gt;&gt;&gt;&gt;&gt;</t>
    <phoneticPr fontId="3" type="noConversion"/>
  </si>
  <si>
    <t>以下溢出代表時間表個頁相同location n date,不同人</t>
    <phoneticPr fontId="3" type="noConversion"/>
  </si>
  <si>
    <t>總計</t>
  </si>
  <si>
    <t>計數 - Date</t>
  </si>
  <si>
    <t>Nick Name</t>
  </si>
  <si>
    <t>Location</t>
  </si>
  <si>
    <t>Name</t>
  </si>
  <si>
    <t>保護工作表PW:1234</t>
    <phoneticPr fontId="3" type="noConversion"/>
  </si>
  <si>
    <t>(空白)</t>
  </si>
  <si>
    <t>Foo Tat Luen</t>
  </si>
  <si>
    <t>Edith</t>
  </si>
  <si>
    <t>Carol</t>
  </si>
  <si>
    <t>Yuen Maria Wing Yan</t>
  </si>
  <si>
    <t>Wan Kwok Hei</t>
  </si>
  <si>
    <t>Leung Kam Ching</t>
  </si>
  <si>
    <t>Hei</t>
  </si>
  <si>
    <t>Amy</t>
  </si>
  <si>
    <t>一個月休8日</t>
  </si>
  <si>
    <t>SSPO YOHO</t>
  </si>
  <si>
    <t>KT YOHO</t>
  </si>
  <si>
    <t>Telford plaza Chung Yuen</t>
  </si>
  <si>
    <t>Tai Wai Chung Yuen</t>
  </si>
  <si>
    <t>East Point City</t>
  </si>
  <si>
    <t>Tsuen Wan Chung Yuen</t>
  </si>
  <si>
    <t xml:space="preserve">CWB Yoho </t>
  </si>
  <si>
    <t xml:space="preserve">Month </t>
    <phoneticPr fontId="3" type="noConversion"/>
  </si>
  <si>
    <t>Attendance</t>
    <phoneticPr fontId="3" type="noConversion"/>
  </si>
  <si>
    <t>Attendance</t>
    <phoneticPr fontId="3" type="noConversion"/>
  </si>
  <si>
    <t>Mpf</t>
    <phoneticPr fontId="3" type="noConversion"/>
  </si>
  <si>
    <t>Wan Kwok Hei</t>
    <phoneticPr fontId="3" type="noConversion"/>
  </si>
  <si>
    <t>3</t>
  </si>
  <si>
    <t>欄1</t>
  </si>
  <si>
    <t>Cathay Pacific City</t>
  </si>
  <si>
    <t>有津貼$100</t>
  </si>
  <si>
    <t>Edith</t>
    <phoneticPr fontId="3" type="noConversion"/>
  </si>
  <si>
    <t>Lee Sin Edith</t>
    <phoneticPr fontId="3" type="noConversion"/>
  </si>
  <si>
    <r>
      <t>202</t>
    </r>
    <r>
      <rPr>
        <b/>
        <sz val="11"/>
        <color rgb="FFFF0000"/>
        <rFont val="微軟正黑體"/>
        <family val="1"/>
        <charset val="134"/>
      </rPr>
      <t>6</t>
    </r>
    <r>
      <rPr>
        <b/>
        <sz val="11"/>
        <color rgb="FFFF0000"/>
        <rFont val="新細明體"/>
        <family val="1"/>
        <charset val="136"/>
      </rPr>
      <t xml:space="preserve"> </t>
    </r>
    <r>
      <rPr>
        <b/>
        <sz val="11"/>
        <color rgb="FFFF0000"/>
        <rFont val="Microsoft YaHei"/>
        <family val="1"/>
        <charset val="134"/>
      </rPr>
      <t>June</t>
    </r>
    <phoneticPr fontId="4" type="noConversion"/>
  </si>
  <si>
    <t>June</t>
    <phoneticPr fontId="3" type="noConversion"/>
  </si>
  <si>
    <t>Lee Sin Edith</t>
  </si>
  <si>
    <t>Wai Chai YOHO</t>
  </si>
  <si>
    <t>Roadshow</t>
  </si>
  <si>
    <t>Roadshow</t>
    <phoneticPr fontId="3" type="noConversion"/>
  </si>
  <si>
    <t>Metro City</t>
  </si>
  <si>
    <t>Wai Chai</t>
    <phoneticPr fontId="3" type="noConversion"/>
  </si>
  <si>
    <t>Wai Chai</t>
    <phoneticPr fontId="3" type="noConversion"/>
  </si>
  <si>
    <t>Wan Chai Jingdong</t>
  </si>
  <si>
    <t>Wan Chai Jingdong</t>
    <phoneticPr fontId="3" type="noConversion"/>
  </si>
  <si>
    <t>PI20260607</t>
    <phoneticPr fontId="3" type="noConversion"/>
  </si>
  <si>
    <t>Autopay</t>
  </si>
  <si>
    <t>Autopay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</si>
</sst>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HK$&quot;#,##0.00_);[Red]\(&quot;HK$&quot;#,##0.00\)"/>
    <numFmt numFmtId="44" formatCode="_(&quot;HK$&quot;* #,##0.00_);_(&quot;HK$&quot;* \(#,##0.00\);_(&quot;HK$&quot;* &quot;-&quot;??_);_(@_)"/>
    <numFmt numFmtId="43" formatCode="_(* #,##0.00_);_(* \(#,##0.00\);_(* &quot;-&quot;??_);_(@_)"/>
    <numFmt numFmtId="176" formatCode="_-* #,##0.00_-;\-* #,##0.00_-;_-* &quot;-&quot;??_-;_-@_-"/>
    <numFmt numFmtId="177" formatCode="0_);[Red]\(0\)"/>
    <numFmt numFmtId="178" formatCode="_(* #,##0_);_(* \(#,##0\);_(* &quot;-&quot;??_);_(@_)"/>
    <numFmt numFmtId="179" formatCode="_(* #,##0.0_);_(* \(#,##0.0\);_(* &quot;-&quot;??_);_(@_)"/>
    <numFmt numFmtId="180" formatCode="0.0_);[Red]\(0.0\)"/>
    <numFmt numFmtId="181" formatCode="_-[$$-404]* #,##0_-;\-[$$-404]* #,##0_-;_-[$$-404]* &quot;-&quot;??_-;_-@_-"/>
    <numFmt numFmtId="182" formatCode="_(&quot;HK$&quot;* #,##0_);_(&quot;HK$&quot;* \(#,##0\);_(&quot;HK$&quot;* &quot;-&quot;??_);_(@_)"/>
    <numFmt numFmtId="183" formatCode="dddd"/>
    <numFmt numFmtId="184" formatCode="d"/>
    <numFmt numFmtId="185" formatCode="0.0_ "/>
  </numFmts>
  <fonts count="6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1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2"/>
      <charset val="136"/>
      <scheme val="major"/>
    </font>
    <font>
      <b/>
      <sz val="12"/>
      <color theme="1"/>
      <name val="微軟正黑體"/>
      <family val="2"/>
      <charset val="136"/>
    </font>
    <font>
      <b/>
      <sz val="12"/>
      <name val="微軟正黑體"/>
      <family val="2"/>
      <charset val="136"/>
    </font>
    <font>
      <sz val="11"/>
      <name val="微軟正黑體"/>
      <family val="2"/>
    </font>
    <font>
      <sz val="11"/>
      <color theme="1"/>
      <name val="新細明體"/>
      <family val="2"/>
      <scheme val="minor"/>
    </font>
    <font>
      <sz val="1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11"/>
      <color theme="1"/>
      <name val="微軟正黑體"/>
      <family val="2"/>
      <charset val="134"/>
    </font>
    <font>
      <b/>
      <sz val="11"/>
      <color theme="1"/>
      <name val="Microsoft YaHei"/>
      <family val="2"/>
      <charset val="134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4"/>
    </font>
    <font>
      <sz val="12"/>
      <color theme="1"/>
      <name val="Microsoft YaHei"/>
      <family val="2"/>
      <charset val="134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2"/>
      <name val="Calibri"/>
      <family val="2"/>
    </font>
    <font>
      <sz val="12"/>
      <color theme="1"/>
      <name val="新細明體"/>
      <family val="1"/>
      <charset val="136"/>
      <scheme val="minor"/>
    </font>
    <font>
      <sz val="26"/>
      <name val="Calibri"/>
      <family val="2"/>
    </font>
    <font>
      <sz val="9"/>
      <name val="新細明體"/>
      <family val="1"/>
      <charset val="136"/>
    </font>
    <font>
      <b/>
      <sz val="26"/>
      <name val="Calibri"/>
      <family val="2"/>
    </font>
    <font>
      <sz val="11"/>
      <color indexed="8"/>
      <name val="宋体"/>
      <family val="3"/>
      <charset val="136"/>
    </font>
    <font>
      <b/>
      <sz val="26"/>
      <name val="細明體"/>
      <family val="3"/>
      <charset val="136"/>
    </font>
    <font>
      <b/>
      <sz val="18"/>
      <color theme="1"/>
      <name val="微軟正黑體"/>
      <family val="2"/>
      <charset val="136"/>
    </font>
    <font>
      <sz val="26"/>
      <color theme="1"/>
      <name val="Calibri"/>
      <family val="2"/>
    </font>
    <font>
      <b/>
      <sz val="26"/>
      <color theme="1"/>
      <name val="Calibri"/>
      <family val="2"/>
    </font>
    <font>
      <b/>
      <sz val="26"/>
      <color theme="1"/>
      <name val="Calibri"/>
      <family val="2"/>
      <charset val="136"/>
    </font>
    <font>
      <b/>
      <sz val="26"/>
      <color theme="1"/>
      <name val="微軟正黑體"/>
      <family val="2"/>
      <charset val="136"/>
    </font>
    <font>
      <b/>
      <sz val="24"/>
      <color theme="1"/>
      <name val="Calibri"/>
      <family val="2"/>
    </font>
    <font>
      <sz val="12"/>
      <name val="新細明體"/>
      <family val="1"/>
      <charset val="136"/>
    </font>
    <font>
      <sz val="24"/>
      <name val="Calibri"/>
      <family val="2"/>
    </font>
    <font>
      <sz val="24"/>
      <color rgb="FFFF0000"/>
      <name val="Calibri"/>
      <family val="2"/>
    </font>
    <font>
      <sz val="22"/>
      <name val="微軟正黑體"/>
      <family val="2"/>
      <charset val="136"/>
    </font>
    <font>
      <sz val="7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13"/>
      <color theme="1"/>
      <name val="微軟正黑體"/>
      <family val="2"/>
      <charset val="136"/>
    </font>
    <font>
      <b/>
      <sz val="16"/>
      <name val="微軟正黑體"/>
      <family val="2"/>
      <charset val="136"/>
    </font>
    <font>
      <sz val="13"/>
      <name val="微軟正黑體"/>
      <family val="2"/>
      <charset val="136"/>
    </font>
    <font>
      <sz val="9"/>
      <color theme="1"/>
      <name val="微軟正黑體"/>
      <family val="2"/>
      <charset val="136"/>
    </font>
    <font>
      <sz val="9"/>
      <name val="微軟正黑體"/>
      <family val="2"/>
      <charset val="136"/>
    </font>
    <font>
      <b/>
      <sz val="10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name val="微軟正黑體"/>
      <family val="2"/>
      <charset val="136"/>
    </font>
    <font>
      <sz val="8"/>
      <color theme="1"/>
      <name val="微軟正黑體"/>
      <family val="2"/>
      <charset val="136"/>
    </font>
    <font>
      <sz val="10"/>
      <name val="微軟正黑體"/>
      <family val="2"/>
      <charset val="136"/>
    </font>
    <font>
      <b/>
      <sz val="1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2"/>
      <name val="Microsoft YaHei"/>
      <family val="1"/>
      <charset val="134"/>
    </font>
    <font>
      <b/>
      <sz val="12"/>
      <color theme="1"/>
      <name val="新細明體"/>
      <family val="2"/>
      <charset val="136"/>
      <scheme val="minor"/>
    </font>
    <font>
      <b/>
      <sz val="12"/>
      <name val="Microsoft YaHei"/>
      <family val="1"/>
      <charset val="134"/>
    </font>
    <font>
      <b/>
      <sz val="22"/>
      <color theme="1"/>
      <name val="微軟正黑體"/>
      <family val="2"/>
      <charset val="136"/>
    </font>
    <font>
      <sz val="12"/>
      <color rgb="FFFF0000"/>
      <name val="新細明體"/>
      <family val="2"/>
      <charset val="136"/>
      <scheme val="minor"/>
    </font>
    <font>
      <sz val="11"/>
      <color rgb="FFFF0000"/>
      <name val="新細明體"/>
      <family val="2"/>
      <scheme val="minor"/>
    </font>
    <font>
      <b/>
      <sz val="11"/>
      <name val="Microsoft YaHei"/>
      <family val="2"/>
    </font>
    <font>
      <b/>
      <sz val="11"/>
      <color rgb="FFFF0000"/>
      <name val="新細明體"/>
      <family val="1"/>
      <charset val="136"/>
    </font>
    <font>
      <b/>
      <sz val="16"/>
      <color theme="1"/>
      <name val="Calibri"/>
      <family val="2"/>
    </font>
    <font>
      <b/>
      <sz val="16"/>
      <color theme="1"/>
      <name val="Microsoft YaHei"/>
      <family val="2"/>
      <charset val="134"/>
    </font>
    <font>
      <b/>
      <sz val="11"/>
      <color rgb="FFFF0000"/>
      <name val="微軟正黑體"/>
      <family val="1"/>
      <charset val="134"/>
    </font>
    <font>
      <b/>
      <sz val="11"/>
      <color rgb="FFFF0000"/>
      <name val="Microsoft YaHei"/>
      <family val="1"/>
      <charset val="134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31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3" fillId="0" borderId="0"/>
    <xf numFmtId="0" fontId="8" fillId="0" borderId="0"/>
    <xf numFmtId="0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44" fontId="19" fillId="0" borderId="0" applyFont="0" applyFill="0" applyBorder="0" applyAlignment="0" applyProtection="0">
      <alignment vertical="center"/>
    </xf>
    <xf numFmtId="0" fontId="31" fillId="0" borderId="0">
      <alignment vertical="center"/>
    </xf>
  </cellStyleXfs>
  <cellXfs count="256">
    <xf numFmtId="0" fontId="0" fillId="0" borderId="0" xfId="0">
      <alignment vertical="center"/>
    </xf>
    <xf numFmtId="0" fontId="20" fillId="0" borderId="0" xfId="4" applyFont="1" applyAlignment="1">
      <alignment horizontal="left" vertical="center"/>
    </xf>
    <xf numFmtId="179" fontId="20" fillId="0" borderId="0" xfId="5" applyNumberFormat="1" applyFont="1" applyFill="1" applyBorder="1" applyAlignment="1">
      <alignment horizontal="left" vertical="center"/>
    </xf>
    <xf numFmtId="0" fontId="18" fillId="0" borderId="0" xfId="4" applyFont="1" applyAlignment="1">
      <alignment horizontal="left" vertical="center"/>
    </xf>
    <xf numFmtId="0" fontId="22" fillId="0" borderId="0" xfId="4" applyFont="1" applyAlignment="1">
      <alignment horizontal="left" vertical="center"/>
    </xf>
    <xf numFmtId="0" fontId="22" fillId="0" borderId="0" xfId="4" applyFont="1">
      <alignment vertical="center"/>
    </xf>
    <xf numFmtId="43" fontId="20" fillId="0" borderId="3" xfId="5" applyFont="1" applyFill="1" applyBorder="1" applyAlignment="1">
      <alignment horizontal="left" vertical="center"/>
    </xf>
    <xf numFmtId="180" fontId="20" fillId="0" borderId="4" xfId="5" applyNumberFormat="1" applyFont="1" applyFill="1" applyBorder="1" applyAlignment="1">
      <alignment horizontal="right" vertical="center"/>
    </xf>
    <xf numFmtId="43" fontId="20" fillId="0" borderId="5" xfId="5" applyFont="1" applyFill="1" applyBorder="1" applyAlignment="1">
      <alignment horizontal="left" vertical="center"/>
    </xf>
    <xf numFmtId="180" fontId="20" fillId="0" borderId="6" xfId="5" applyNumberFormat="1" applyFont="1" applyFill="1" applyBorder="1" applyAlignment="1">
      <alignment horizontal="right" vertical="center"/>
    </xf>
    <xf numFmtId="0" fontId="22" fillId="0" borderId="0" xfId="4" applyFont="1" applyAlignment="1">
      <alignment horizontal="center" vertical="center"/>
    </xf>
    <xf numFmtId="0" fontId="25" fillId="0" borderId="0" xfId="4" applyFont="1">
      <alignment vertical="center"/>
    </xf>
    <xf numFmtId="43" fontId="20" fillId="0" borderId="7" xfId="5" applyFont="1" applyFill="1" applyBorder="1" applyAlignment="1">
      <alignment horizontal="left" vertical="center"/>
    </xf>
    <xf numFmtId="180" fontId="20" fillId="0" borderId="8" xfId="5" applyNumberFormat="1" applyFont="1" applyFill="1" applyBorder="1" applyAlignment="1">
      <alignment horizontal="right" vertical="center"/>
    </xf>
    <xf numFmtId="0" fontId="20" fillId="0" borderId="0" xfId="4" quotePrefix="1" applyFont="1" applyAlignment="1">
      <alignment horizontal="left" vertical="center"/>
    </xf>
    <xf numFmtId="177" fontId="20" fillId="0" borderId="0" xfId="4" applyNumberFormat="1" applyFont="1" applyAlignment="1">
      <alignment horizontal="left" vertical="center"/>
    </xf>
    <xf numFmtId="181" fontId="20" fillId="0" borderId="0" xfId="4" applyNumberFormat="1" applyFont="1" applyAlignment="1">
      <alignment horizontal="left" vertical="center"/>
    </xf>
    <xf numFmtId="0" fontId="26" fillId="0" borderId="9" xfId="4" applyFont="1" applyBorder="1" applyAlignment="1">
      <alignment horizontal="left" vertical="center"/>
    </xf>
    <xf numFmtId="0" fontId="27" fillId="0" borderId="9" xfId="4" applyFont="1" applyBorder="1">
      <alignment vertical="center"/>
    </xf>
    <xf numFmtId="0" fontId="27" fillId="0" borderId="9" xfId="4" applyFont="1" applyBorder="1" applyAlignment="1">
      <alignment horizontal="left" vertical="center"/>
    </xf>
    <xf numFmtId="178" fontId="27" fillId="0" borderId="9" xfId="5" applyNumberFormat="1" applyFont="1" applyFill="1" applyBorder="1" applyAlignment="1">
      <alignment horizontal="left" vertical="center"/>
    </xf>
    <xf numFmtId="179" fontId="27" fillId="0" borderId="9" xfId="5" applyNumberFormat="1" applyFont="1" applyFill="1" applyBorder="1" applyAlignment="1">
      <alignment horizontal="left" vertical="center"/>
    </xf>
    <xf numFmtId="0" fontId="28" fillId="0" borderId="9" xfId="4" applyFont="1" applyBorder="1" applyAlignment="1">
      <alignment horizontal="left" vertical="center"/>
    </xf>
    <xf numFmtId="0" fontId="27" fillId="0" borderId="9" xfId="7" applyFont="1" applyFill="1" applyBorder="1" applyAlignment="1">
      <alignment horizontal="left" vertical="center"/>
    </xf>
    <xf numFmtId="0" fontId="27" fillId="7" borderId="9" xfId="4" applyFont="1" applyFill="1" applyBorder="1" applyAlignment="1">
      <alignment horizontal="left" vertical="center"/>
    </xf>
    <xf numFmtId="0" fontId="30" fillId="0" borderId="0" xfId="4" applyFont="1" applyAlignment="1">
      <alignment horizontal="left" vertical="center"/>
    </xf>
    <xf numFmtId="177" fontId="26" fillId="0" borderId="0" xfId="5" applyNumberFormat="1" applyFont="1" applyFill="1" applyBorder="1" applyAlignment="1">
      <alignment horizontal="left" vertical="center"/>
    </xf>
    <xf numFmtId="0" fontId="32" fillId="0" borderId="0" xfId="4" applyFont="1" applyAlignment="1">
      <alignment horizontal="left" vertical="center"/>
    </xf>
    <xf numFmtId="0" fontId="33" fillId="0" borderId="0" xfId="4" applyFont="1" applyAlignment="1">
      <alignment horizontal="left" vertical="center"/>
    </xf>
    <xf numFmtId="0" fontId="33" fillId="3" borderId="0" xfId="4" applyFont="1" applyFill="1" applyAlignment="1">
      <alignment horizontal="left" vertical="center"/>
    </xf>
    <xf numFmtId="178" fontId="18" fillId="0" borderId="0" xfId="5" applyNumberFormat="1" applyFont="1" applyFill="1" applyBorder="1" applyAlignment="1">
      <alignment horizontal="left" vertical="center"/>
    </xf>
    <xf numFmtId="179" fontId="18" fillId="0" borderId="0" xfId="5" applyNumberFormat="1" applyFont="1" applyFill="1" applyBorder="1" applyAlignment="1">
      <alignment horizontal="left" vertical="center"/>
    </xf>
    <xf numFmtId="0" fontId="16" fillId="3" borderId="0" xfId="4" applyFont="1" applyFill="1" applyAlignment="1">
      <alignment horizontal="center" vertical="center"/>
    </xf>
    <xf numFmtId="0" fontId="19" fillId="0" borderId="0" xfId="4">
      <alignment vertical="center"/>
    </xf>
    <xf numFmtId="0" fontId="36" fillId="3" borderId="0" xfId="4" applyFont="1" applyFill="1" applyAlignment="1">
      <alignment horizontal="center" vertical="center"/>
    </xf>
    <xf numFmtId="0" fontId="37" fillId="3" borderId="0" xfId="4" applyFont="1" applyFill="1" applyAlignment="1">
      <alignment horizontal="center" vertical="center"/>
    </xf>
    <xf numFmtId="0" fontId="40" fillId="3" borderId="11" xfId="4" applyFont="1" applyFill="1" applyBorder="1" applyAlignment="1">
      <alignment horizontal="center" vertical="center"/>
    </xf>
    <xf numFmtId="0" fontId="40" fillId="3" borderId="0" xfId="4" applyFont="1" applyFill="1" applyAlignment="1">
      <alignment horizontal="center" vertical="center"/>
    </xf>
    <xf numFmtId="0" fontId="41" fillId="3" borderId="0" xfId="9" applyFont="1" applyFill="1">
      <alignment vertical="center"/>
    </xf>
    <xf numFmtId="0" fontId="41" fillId="3" borderId="9" xfId="9" applyFont="1" applyFill="1" applyBorder="1" applyAlignment="1">
      <alignment horizontal="left" vertical="center"/>
    </xf>
    <xf numFmtId="0" fontId="40" fillId="3" borderId="0" xfId="4" applyFont="1" applyFill="1">
      <alignment vertical="center"/>
    </xf>
    <xf numFmtId="0" fontId="41" fillId="3" borderId="0" xfId="9" applyFont="1" applyFill="1" applyAlignment="1">
      <alignment horizontal="left" vertical="center"/>
    </xf>
    <xf numFmtId="0" fontId="17" fillId="3" borderId="0" xfId="9" applyFont="1" applyFill="1">
      <alignment vertical="center"/>
    </xf>
    <xf numFmtId="0" fontId="16" fillId="3" borderId="0" xfId="4" applyFont="1" applyFill="1">
      <alignment vertical="center"/>
    </xf>
    <xf numFmtId="0" fontId="17" fillId="3" borderId="0" xfId="9" applyFont="1" applyFill="1" applyAlignment="1">
      <alignment horizontal="left" vertical="center"/>
    </xf>
    <xf numFmtId="0" fontId="17" fillId="3" borderId="0" xfId="9" applyFont="1" applyFill="1" applyAlignment="1">
      <alignment horizontal="center" vertical="center"/>
    </xf>
    <xf numFmtId="0" fontId="42" fillId="2" borderId="12" xfId="9" applyFont="1" applyFill="1" applyBorder="1" applyAlignment="1">
      <alignment horizontal="left" vertical="center"/>
    </xf>
    <xf numFmtId="0" fontId="42" fillId="2" borderId="13" xfId="9" applyFont="1" applyFill="1" applyBorder="1" applyAlignment="1">
      <alignment horizontal="left" vertical="center"/>
    </xf>
    <xf numFmtId="0" fontId="42" fillId="2" borderId="13" xfId="9" applyFont="1" applyFill="1" applyBorder="1" applyAlignment="1">
      <alignment horizontal="right" vertical="center"/>
    </xf>
    <xf numFmtId="0" fontId="42" fillId="2" borderId="14" xfId="9" applyFont="1" applyFill="1" applyBorder="1" applyAlignment="1">
      <alignment horizontal="left" vertical="center"/>
    </xf>
    <xf numFmtId="0" fontId="43" fillId="3" borderId="5" xfId="10" applyFont="1" applyFill="1" applyBorder="1">
      <alignment vertical="center"/>
    </xf>
    <xf numFmtId="0" fontId="43" fillId="3" borderId="9" xfId="10" applyFont="1" applyFill="1" applyBorder="1" applyAlignment="1"/>
    <xf numFmtId="0" fontId="44" fillId="3" borderId="0" xfId="9" applyFont="1" applyFill="1" applyAlignment="1"/>
    <xf numFmtId="0" fontId="44" fillId="3" borderId="0" xfId="9" applyFont="1" applyFill="1" applyAlignment="1">
      <alignment horizontal="left" vertical="center"/>
    </xf>
    <xf numFmtId="0" fontId="44" fillId="3" borderId="6" xfId="9" applyFont="1" applyFill="1" applyBorder="1" applyAlignment="1">
      <alignment horizontal="left" vertical="center"/>
    </xf>
    <xf numFmtId="0" fontId="43" fillId="3" borderId="15" xfId="10" applyFont="1" applyFill="1" applyBorder="1">
      <alignment vertical="center"/>
    </xf>
    <xf numFmtId="0" fontId="43" fillId="3" borderId="16" xfId="10" applyFont="1" applyFill="1" applyBorder="1" applyAlignment="1"/>
    <xf numFmtId="0" fontId="44" fillId="3" borderId="17" xfId="9" applyFont="1" applyFill="1" applyBorder="1" applyAlignment="1"/>
    <xf numFmtId="0" fontId="44" fillId="3" borderId="17" xfId="9" applyFont="1" applyFill="1" applyBorder="1" applyAlignment="1">
      <alignment horizontal="left" vertical="center"/>
    </xf>
    <xf numFmtId="0" fontId="44" fillId="3" borderId="18" xfId="9" applyFont="1" applyFill="1" applyBorder="1" applyAlignment="1">
      <alignment horizontal="left" vertical="center"/>
    </xf>
    <xf numFmtId="0" fontId="43" fillId="3" borderId="17" xfId="10" applyFont="1" applyFill="1" applyBorder="1" applyAlignment="1"/>
    <xf numFmtId="16" fontId="44" fillId="3" borderId="17" xfId="9" applyNumberFormat="1" applyFont="1" applyFill="1" applyBorder="1" applyAlignment="1">
      <alignment horizontal="left" vertical="center"/>
    </xf>
    <xf numFmtId="180" fontId="44" fillId="3" borderId="17" xfId="9" applyNumberFormat="1" applyFont="1" applyFill="1" applyBorder="1" applyAlignment="1">
      <alignment horizontal="left" vertical="center"/>
    </xf>
    <xf numFmtId="0" fontId="44" fillId="3" borderId="16" xfId="9" applyFont="1" applyFill="1" applyBorder="1" applyAlignment="1"/>
    <xf numFmtId="0" fontId="44" fillId="3" borderId="19" xfId="9" applyFont="1" applyFill="1" applyBorder="1" applyAlignment="1">
      <alignment horizontal="left" vertical="center"/>
    </xf>
    <xf numFmtId="0" fontId="44" fillId="3" borderId="20" xfId="9" applyFont="1" applyFill="1" applyBorder="1">
      <alignment vertical="center"/>
    </xf>
    <xf numFmtId="0" fontId="43" fillId="3" borderId="21" xfId="10" applyFont="1" applyFill="1" applyBorder="1" applyAlignment="1"/>
    <xf numFmtId="0" fontId="45" fillId="3" borderId="21" xfId="4" applyFont="1" applyFill="1" applyBorder="1" applyAlignment="1">
      <alignment horizontal="right"/>
    </xf>
    <xf numFmtId="44" fontId="45" fillId="3" borderId="21" xfId="4" applyNumberFormat="1" applyFont="1" applyFill="1" applyBorder="1" applyAlignment="1">
      <alignment horizontal="left" vertical="center"/>
    </xf>
    <xf numFmtId="0" fontId="45" fillId="3" borderId="22" xfId="4" applyFont="1" applyFill="1" applyBorder="1" applyAlignment="1">
      <alignment horizontal="left" vertical="center"/>
    </xf>
    <xf numFmtId="0" fontId="17" fillId="3" borderId="0" xfId="9" applyFont="1" applyFill="1" applyAlignment="1">
      <alignment horizontal="center" vertical="center" wrapText="1"/>
    </xf>
    <xf numFmtId="0" fontId="46" fillId="3" borderId="0" xfId="9" applyFont="1" applyFill="1" applyAlignment="1">
      <alignment horizontal="center" vertical="center"/>
    </xf>
    <xf numFmtId="0" fontId="42" fillId="3" borderId="0" xfId="9" applyFont="1" applyFill="1">
      <alignment vertical="center"/>
    </xf>
    <xf numFmtId="0" fontId="42" fillId="2" borderId="12" xfId="9" applyFont="1" applyFill="1" applyBorder="1">
      <alignment vertical="center"/>
    </xf>
    <xf numFmtId="0" fontId="42" fillId="2" borderId="13" xfId="9" applyFont="1" applyFill="1" applyBorder="1">
      <alignment vertical="center"/>
    </xf>
    <xf numFmtId="0" fontId="42" fillId="2" borderId="13" xfId="9" applyFont="1" applyFill="1" applyBorder="1" applyAlignment="1">
      <alignment horizontal="center" vertical="center"/>
    </xf>
    <xf numFmtId="0" fontId="47" fillId="2" borderId="14" xfId="9" applyFont="1" applyFill="1" applyBorder="1" applyAlignment="1">
      <alignment horizontal="center" vertical="center"/>
    </xf>
    <xf numFmtId="0" fontId="43" fillId="3" borderId="0" xfId="10" applyFont="1" applyFill="1">
      <alignment vertical="center"/>
    </xf>
    <xf numFmtId="0" fontId="44" fillId="3" borderId="0" xfId="11" applyFont="1" applyFill="1" applyAlignment="1">
      <alignment horizontal="right" vertical="center"/>
    </xf>
    <xf numFmtId="0" fontId="45" fillId="3" borderId="0" xfId="4" applyFont="1" applyFill="1" applyAlignment="1">
      <alignment horizontal="right" vertical="center"/>
    </xf>
    <xf numFmtId="182" fontId="44" fillId="3" borderId="23" xfId="12" applyNumberFormat="1" applyFont="1" applyFill="1" applyBorder="1">
      <alignment vertical="center"/>
    </xf>
    <xf numFmtId="182" fontId="41" fillId="3" borderId="24" xfId="12" applyNumberFormat="1" applyFont="1" applyFill="1" applyBorder="1" applyAlignment="1">
      <alignment vertical="center"/>
    </xf>
    <xf numFmtId="0" fontId="44" fillId="3" borderId="17" xfId="11" applyFont="1" applyFill="1" applyBorder="1" applyAlignment="1">
      <alignment horizontal="right" vertical="center"/>
    </xf>
    <xf numFmtId="0" fontId="45" fillId="3" borderId="17" xfId="4" applyFont="1" applyFill="1" applyBorder="1" applyAlignment="1">
      <alignment horizontal="right" vertical="center"/>
    </xf>
    <xf numFmtId="182" fontId="44" fillId="3" borderId="16" xfId="12" applyNumberFormat="1" applyFont="1" applyFill="1" applyBorder="1">
      <alignment vertical="center"/>
    </xf>
    <xf numFmtId="182" fontId="41" fillId="3" borderId="19" xfId="12" applyNumberFormat="1" applyFont="1" applyFill="1" applyBorder="1" applyAlignment="1">
      <alignment vertical="center"/>
    </xf>
    <xf numFmtId="182" fontId="44" fillId="3" borderId="17" xfId="9" applyNumberFormat="1" applyFont="1" applyFill="1" applyBorder="1" applyAlignment="1">
      <alignment horizontal="right" vertical="center"/>
    </xf>
    <xf numFmtId="0" fontId="44" fillId="3" borderId="17" xfId="9" applyFont="1" applyFill="1" applyBorder="1" applyAlignment="1">
      <alignment horizontal="right" vertical="center"/>
    </xf>
    <xf numFmtId="0" fontId="43" fillId="3" borderId="25" xfId="10" applyFont="1" applyFill="1" applyBorder="1">
      <alignment vertical="center"/>
    </xf>
    <xf numFmtId="0" fontId="44" fillId="3" borderId="26" xfId="9" applyFont="1" applyFill="1" applyBorder="1" applyAlignment="1">
      <alignment horizontal="right" vertical="center"/>
    </xf>
    <xf numFmtId="0" fontId="45" fillId="3" borderId="26" xfId="4" applyFont="1" applyFill="1" applyBorder="1" applyAlignment="1">
      <alignment horizontal="right" vertical="center"/>
    </xf>
    <xf numFmtId="182" fontId="44" fillId="3" borderId="26" xfId="12" applyNumberFormat="1" applyFont="1" applyFill="1" applyBorder="1">
      <alignment vertical="center"/>
    </xf>
    <xf numFmtId="182" fontId="41" fillId="3" borderId="27" xfId="12" applyNumberFormat="1" applyFont="1" applyFill="1" applyBorder="1" applyAlignment="1">
      <alignment vertical="center"/>
    </xf>
    <xf numFmtId="0" fontId="6" fillId="3" borderId="0" xfId="11" applyFont="1" applyFill="1">
      <alignment vertical="center"/>
    </xf>
    <xf numFmtId="0" fontId="6" fillId="6" borderId="7" xfId="11" applyFont="1" applyFill="1" applyBorder="1">
      <alignment vertical="center"/>
    </xf>
    <xf numFmtId="0" fontId="9" fillId="6" borderId="28" xfId="11" applyFont="1" applyFill="1" applyBorder="1" applyAlignment="1">
      <alignment horizontal="right" vertical="center"/>
    </xf>
    <xf numFmtId="0" fontId="42" fillId="6" borderId="28" xfId="11" applyFont="1" applyFill="1" applyBorder="1" applyAlignment="1">
      <alignment horizontal="right" vertical="center"/>
    </xf>
    <xf numFmtId="182" fontId="42" fillId="6" borderId="28" xfId="12" applyNumberFormat="1" applyFont="1" applyFill="1" applyBorder="1" applyAlignment="1">
      <alignment horizontal="center" vertical="center"/>
    </xf>
    <xf numFmtId="182" fontId="47" fillId="6" borderId="8" xfId="12" applyNumberFormat="1" applyFont="1" applyFill="1" applyBorder="1" applyAlignment="1">
      <alignment horizontal="center" vertical="center"/>
    </xf>
    <xf numFmtId="182" fontId="19" fillId="0" borderId="0" xfId="4" applyNumberFormat="1">
      <alignment vertical="center"/>
    </xf>
    <xf numFmtId="0" fontId="43" fillId="0" borderId="0" xfId="10" applyFont="1">
      <alignment vertical="center"/>
    </xf>
    <xf numFmtId="0" fontId="16" fillId="0" borderId="0" xfId="4" applyFont="1">
      <alignment vertical="center"/>
    </xf>
    <xf numFmtId="0" fontId="46" fillId="3" borderId="0" xfId="9" applyFont="1" applyFill="1">
      <alignment vertical="center"/>
    </xf>
    <xf numFmtId="0" fontId="46" fillId="3" borderId="0" xfId="9" applyFont="1" applyFill="1" applyAlignment="1">
      <alignment horizontal="right" vertical="center"/>
    </xf>
    <xf numFmtId="0" fontId="46" fillId="3" borderId="9" xfId="9" applyFont="1" applyFill="1" applyBorder="1">
      <alignment vertical="center"/>
    </xf>
    <xf numFmtId="0" fontId="16" fillId="3" borderId="9" xfId="4" applyFont="1" applyFill="1" applyBorder="1">
      <alignment vertical="center"/>
    </xf>
    <xf numFmtId="0" fontId="48" fillId="3" borderId="0" xfId="4" applyFont="1" applyFill="1">
      <alignment vertical="center"/>
    </xf>
    <xf numFmtId="0" fontId="17" fillId="3" borderId="9" xfId="9" applyFont="1" applyFill="1" applyBorder="1">
      <alignment vertical="center"/>
    </xf>
    <xf numFmtId="0" fontId="17" fillId="3" borderId="9" xfId="9" applyFont="1" applyFill="1" applyBorder="1" applyAlignment="1">
      <alignment horizontal="center" vertical="center"/>
    </xf>
    <xf numFmtId="49" fontId="44" fillId="3" borderId="17" xfId="9" applyNumberFormat="1" applyFont="1" applyFill="1" applyBorder="1" applyAlignment="1">
      <alignment horizontal="left" vertical="center"/>
    </xf>
    <xf numFmtId="0" fontId="44" fillId="3" borderId="16" xfId="9" applyFont="1" applyFill="1" applyBorder="1" applyAlignment="1">
      <alignment horizontal="left" vertical="center"/>
    </xf>
    <xf numFmtId="182" fontId="44" fillId="3" borderId="23" xfId="12" applyNumberFormat="1" applyFont="1" applyFill="1" applyBorder="1" applyAlignment="1">
      <alignment vertical="center"/>
    </xf>
    <xf numFmtId="182" fontId="44" fillId="3" borderId="16" xfId="12" applyNumberFormat="1" applyFont="1" applyFill="1" applyBorder="1" applyAlignment="1">
      <alignment vertical="center"/>
    </xf>
    <xf numFmtId="182" fontId="44" fillId="3" borderId="26" xfId="12" applyNumberFormat="1" applyFont="1" applyFill="1" applyBorder="1" applyAlignment="1">
      <alignment vertical="center"/>
    </xf>
    <xf numFmtId="17" fontId="44" fillId="3" borderId="17" xfId="9" applyNumberFormat="1" applyFont="1" applyFill="1" applyBorder="1" applyAlignment="1">
      <alignment horizontal="left" vertical="center"/>
    </xf>
    <xf numFmtId="0" fontId="38" fillId="3" borderId="10" xfId="13" applyFont="1" applyFill="1" applyBorder="1" applyAlignment="1">
      <alignment horizontal="center" vertical="center"/>
    </xf>
    <xf numFmtId="0" fontId="39" fillId="3" borderId="0" xfId="13" applyFont="1" applyFill="1" applyAlignment="1">
      <alignment horizontal="center" vertical="center"/>
    </xf>
    <xf numFmtId="0" fontId="41" fillId="3" borderId="0" xfId="13" applyFont="1" applyFill="1">
      <alignment vertical="center"/>
    </xf>
    <xf numFmtId="0" fontId="41" fillId="3" borderId="9" xfId="13" applyFont="1" applyFill="1" applyBorder="1" applyAlignment="1">
      <alignment horizontal="left" vertical="center"/>
    </xf>
    <xf numFmtId="0" fontId="41" fillId="3" borderId="0" xfId="13" applyFont="1" applyFill="1" applyAlignment="1">
      <alignment horizontal="left" vertical="center"/>
    </xf>
    <xf numFmtId="0" fontId="17" fillId="3" borderId="0" xfId="13" applyFont="1" applyFill="1">
      <alignment vertical="center"/>
    </xf>
    <xf numFmtId="0" fontId="17" fillId="3" borderId="0" xfId="13" applyFont="1" applyFill="1" applyAlignment="1">
      <alignment horizontal="left" vertical="center"/>
    </xf>
    <xf numFmtId="0" fontId="17" fillId="3" borderId="0" xfId="13" applyFont="1" applyFill="1" applyAlignment="1">
      <alignment horizontal="center" vertical="center"/>
    </xf>
    <xf numFmtId="0" fontId="42" fillId="2" borderId="12" xfId="13" applyFont="1" applyFill="1" applyBorder="1" applyAlignment="1">
      <alignment horizontal="left" vertical="center"/>
    </xf>
    <xf numFmtId="0" fontId="42" fillId="2" borderId="13" xfId="13" applyFont="1" applyFill="1" applyBorder="1" applyAlignment="1">
      <alignment horizontal="left" vertical="center"/>
    </xf>
    <xf numFmtId="0" fontId="42" fillId="2" borderId="13" xfId="13" applyFont="1" applyFill="1" applyBorder="1" applyAlignment="1">
      <alignment horizontal="right" vertical="center"/>
    </xf>
    <xf numFmtId="0" fontId="42" fillId="2" borderId="14" xfId="13" applyFont="1" applyFill="1" applyBorder="1" applyAlignment="1">
      <alignment horizontal="left" vertical="center"/>
    </xf>
    <xf numFmtId="0" fontId="44" fillId="3" borderId="0" xfId="13" applyFont="1" applyFill="1" applyAlignment="1"/>
    <xf numFmtId="0" fontId="44" fillId="3" borderId="0" xfId="13" applyFont="1" applyFill="1" applyAlignment="1">
      <alignment horizontal="left" vertical="center"/>
    </xf>
    <xf numFmtId="0" fontId="44" fillId="3" borderId="6" xfId="13" applyFont="1" applyFill="1" applyBorder="1" applyAlignment="1">
      <alignment horizontal="left" vertical="center"/>
    </xf>
    <xf numFmtId="0" fontId="44" fillId="3" borderId="17" xfId="13" applyFont="1" applyFill="1" applyBorder="1" applyAlignment="1"/>
    <xf numFmtId="9" fontId="44" fillId="3" borderId="17" xfId="13" applyNumberFormat="1" applyFont="1" applyFill="1" applyBorder="1" applyAlignment="1">
      <alignment horizontal="left" vertical="center"/>
    </xf>
    <xf numFmtId="0" fontId="44" fillId="3" borderId="18" xfId="13" applyFont="1" applyFill="1" applyBorder="1" applyAlignment="1">
      <alignment horizontal="left" vertical="center"/>
    </xf>
    <xf numFmtId="16" fontId="44" fillId="3" borderId="17" xfId="13" applyNumberFormat="1" applyFont="1" applyFill="1" applyBorder="1" applyAlignment="1">
      <alignment horizontal="left" vertical="center"/>
    </xf>
    <xf numFmtId="0" fontId="44" fillId="3" borderId="17" xfId="13" applyFont="1" applyFill="1" applyBorder="1" applyAlignment="1">
      <alignment horizontal="left" vertical="center"/>
    </xf>
    <xf numFmtId="0" fontId="44" fillId="3" borderId="16" xfId="13" applyFont="1" applyFill="1" applyBorder="1" applyAlignment="1"/>
    <xf numFmtId="0" fontId="44" fillId="3" borderId="16" xfId="13" applyFont="1" applyFill="1" applyBorder="1" applyAlignment="1">
      <alignment horizontal="left" vertical="center"/>
    </xf>
    <xf numFmtId="0" fontId="44" fillId="3" borderId="19" xfId="13" applyFont="1" applyFill="1" applyBorder="1" applyAlignment="1">
      <alignment horizontal="left" vertical="center"/>
    </xf>
    <xf numFmtId="0" fontId="44" fillId="3" borderId="20" xfId="13" applyFont="1" applyFill="1" applyBorder="1">
      <alignment vertical="center"/>
    </xf>
    <xf numFmtId="0" fontId="17" fillId="3" borderId="0" xfId="13" applyFont="1" applyFill="1" applyAlignment="1">
      <alignment horizontal="center" vertical="center" wrapText="1"/>
    </xf>
    <xf numFmtId="0" fontId="46" fillId="3" borderId="0" xfId="13" applyFont="1" applyFill="1" applyAlignment="1">
      <alignment horizontal="center" vertical="center"/>
    </xf>
    <xf numFmtId="0" fontId="42" fillId="3" borderId="0" xfId="13" applyFont="1" applyFill="1">
      <alignment vertical="center"/>
    </xf>
    <xf numFmtId="0" fontId="42" fillId="2" borderId="12" xfId="13" applyFont="1" applyFill="1" applyBorder="1">
      <alignment vertical="center"/>
    </xf>
    <xf numFmtId="0" fontId="42" fillId="2" borderId="13" xfId="13" applyFont="1" applyFill="1" applyBorder="1">
      <alignment vertical="center"/>
    </xf>
    <xf numFmtId="0" fontId="42" fillId="2" borderId="13" xfId="13" applyFont="1" applyFill="1" applyBorder="1" applyAlignment="1">
      <alignment horizontal="center" vertical="center"/>
    </xf>
    <xf numFmtId="0" fontId="47" fillId="2" borderId="14" xfId="13" applyFont="1" applyFill="1" applyBorder="1" applyAlignment="1">
      <alignment horizontal="center" vertical="center"/>
    </xf>
    <xf numFmtId="182" fontId="44" fillId="3" borderId="17" xfId="13" applyNumberFormat="1" applyFont="1" applyFill="1" applyBorder="1" applyAlignment="1">
      <alignment horizontal="right" vertical="center"/>
    </xf>
    <xf numFmtId="0" fontId="44" fillId="3" borderId="17" xfId="13" applyFont="1" applyFill="1" applyBorder="1" applyAlignment="1">
      <alignment horizontal="right" vertical="center"/>
    </xf>
    <xf numFmtId="0" fontId="44" fillId="3" borderId="26" xfId="13" applyFont="1" applyFill="1" applyBorder="1" applyAlignment="1">
      <alignment horizontal="right" vertical="center"/>
    </xf>
    <xf numFmtId="182" fontId="17" fillId="3" borderId="0" xfId="13" applyNumberFormat="1" applyFont="1" applyFill="1" applyAlignment="1">
      <alignment horizontal="center" vertical="center"/>
    </xf>
    <xf numFmtId="8" fontId="17" fillId="3" borderId="0" xfId="13" applyNumberFormat="1" applyFont="1" applyFill="1" applyAlignment="1">
      <alignment horizontal="center" vertical="center"/>
    </xf>
    <xf numFmtId="0" fontId="17" fillId="3" borderId="0" xfId="13" applyFont="1" applyFill="1" applyAlignment="1">
      <alignment horizontal="right" vertical="center"/>
    </xf>
    <xf numFmtId="0" fontId="46" fillId="3" borderId="0" xfId="13" applyFont="1" applyFill="1">
      <alignment vertical="center"/>
    </xf>
    <xf numFmtId="0" fontId="46" fillId="3" borderId="0" xfId="13" applyFont="1" applyFill="1" applyAlignment="1">
      <alignment horizontal="right" vertical="center"/>
    </xf>
    <xf numFmtId="0" fontId="46" fillId="3" borderId="9" xfId="13" applyFont="1" applyFill="1" applyBorder="1">
      <alignment vertical="center"/>
    </xf>
    <xf numFmtId="0" fontId="17" fillId="3" borderId="9" xfId="13" applyFont="1" applyFill="1" applyBorder="1">
      <alignment vertical="center"/>
    </xf>
    <xf numFmtId="0" fontId="17" fillId="3" borderId="9" xfId="13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52" fillId="0" borderId="0" xfId="4" applyFont="1" applyAlignment="1">
      <alignment horizontal="left" vertical="center"/>
    </xf>
    <xf numFmtId="0" fontId="52" fillId="8" borderId="0" xfId="4" applyFont="1" applyFill="1" applyAlignment="1">
      <alignment horizontal="left" vertical="center"/>
    </xf>
    <xf numFmtId="0" fontId="0" fillId="6" borderId="0" xfId="0" applyFill="1">
      <alignment vertical="center"/>
    </xf>
    <xf numFmtId="0" fontId="53" fillId="0" borderId="0" xfId="0" applyFont="1">
      <alignment vertical="center"/>
    </xf>
    <xf numFmtId="0" fontId="0" fillId="0" borderId="0" xfId="0" pivotButton="1">
      <alignment vertical="center"/>
    </xf>
    <xf numFmtId="0" fontId="22" fillId="6" borderId="0" xfId="4" applyFont="1" applyFill="1">
      <alignment vertical="center"/>
    </xf>
    <xf numFmtId="0" fontId="22" fillId="6" borderId="0" xfId="4" applyFont="1" applyFill="1" applyAlignment="1">
      <alignment horizontal="right" vertical="center"/>
    </xf>
    <xf numFmtId="0" fontId="53" fillId="0" borderId="0" xfId="0" applyFont="1" applyProtection="1">
      <alignment vertical="center"/>
      <protection locked="0"/>
    </xf>
    <xf numFmtId="14" fontId="0" fillId="6" borderId="0" xfId="0" applyNumberFormat="1" applyFill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14" fontId="0" fillId="0" borderId="0" xfId="0" applyNumberFormat="1" applyProtection="1">
      <alignment vertical="center"/>
      <protection locked="0"/>
    </xf>
    <xf numFmtId="184" fontId="5" fillId="3" borderId="0" xfId="0" applyNumberFormat="1" applyFont="1" applyFill="1" applyAlignment="1" applyProtection="1">
      <alignment horizontal="center" vertical="center"/>
      <protection locked="0"/>
    </xf>
    <xf numFmtId="184" fontId="0" fillId="0" borderId="0" xfId="0" applyNumberForma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54" fillId="0" borderId="1" xfId="0" applyFont="1" applyBorder="1" applyAlignment="1" applyProtection="1">
      <alignment horizontal="center" vertical="center"/>
      <protection locked="0"/>
    </xf>
    <xf numFmtId="183" fontId="5" fillId="3" borderId="0" xfId="0" applyNumberFormat="1" applyFont="1" applyFill="1" applyAlignment="1" applyProtection="1">
      <alignment horizontal="center" vertical="center"/>
      <protection locked="0"/>
    </xf>
    <xf numFmtId="0" fontId="54" fillId="0" borderId="1" xfId="0" applyFont="1" applyBorder="1" applyAlignment="1" applyProtection="1">
      <alignment horizontal="center" vertical="center" wrapText="1"/>
      <protection locked="0"/>
    </xf>
    <xf numFmtId="0" fontId="7" fillId="8" borderId="2" xfId="0" applyFont="1" applyFill="1" applyBorder="1" applyAlignment="1" applyProtection="1">
      <alignment horizontal="left" vertical="center"/>
      <protection locked="0"/>
    </xf>
    <xf numFmtId="12" fontId="9" fillId="0" borderId="0" xfId="1" applyNumberFormat="1" applyFont="1" applyFill="1" applyBorder="1" applyAlignment="1" applyProtection="1">
      <alignment vertical="center" wrapText="1"/>
      <protection locked="0"/>
    </xf>
    <xf numFmtId="0" fontId="10" fillId="8" borderId="2" xfId="0" applyFont="1" applyFill="1" applyBorder="1" applyAlignment="1" applyProtection="1">
      <alignment horizontal="left" vertical="center"/>
      <protection locked="0"/>
    </xf>
    <xf numFmtId="0" fontId="11" fillId="8" borderId="2" xfId="0" applyFont="1" applyFill="1" applyBorder="1" applyAlignment="1" applyProtection="1">
      <alignment horizontal="left" vertical="center"/>
      <protection locked="0"/>
    </xf>
    <xf numFmtId="0" fontId="12" fillId="8" borderId="2" xfId="0" applyFont="1" applyFill="1" applyBorder="1" applyAlignment="1" applyProtection="1">
      <alignment horizontal="left" vertical="center"/>
      <protection locked="0"/>
    </xf>
    <xf numFmtId="0" fontId="0" fillId="0" borderId="0" xfId="0" applyAlignment="1">
      <alignment horizontal="center" vertical="center"/>
    </xf>
    <xf numFmtId="183" fontId="5" fillId="0" borderId="2" xfId="0" applyNumberFormat="1" applyFont="1" applyBorder="1" applyAlignment="1">
      <alignment horizontal="center" vertical="center"/>
    </xf>
    <xf numFmtId="184" fontId="5" fillId="0" borderId="2" xfId="0" applyNumberFormat="1" applyFont="1" applyBorder="1" applyAlignment="1">
      <alignment horizontal="center" vertical="center"/>
    </xf>
    <xf numFmtId="184" fontId="5" fillId="0" borderId="30" xfId="0" applyNumberFormat="1" applyFont="1" applyBorder="1" applyAlignment="1">
      <alignment horizontal="center" vertical="center"/>
    </xf>
    <xf numFmtId="0" fontId="7" fillId="8" borderId="2" xfId="0" applyFont="1" applyFill="1" applyBorder="1" applyAlignment="1">
      <alignment horizontal="left" vertical="center"/>
    </xf>
    <xf numFmtId="12" fontId="9" fillId="0" borderId="2" xfId="1" applyNumberFormat="1" applyFont="1" applyFill="1" applyBorder="1" applyAlignment="1" applyProtection="1">
      <alignment vertical="center" wrapText="1"/>
    </xf>
    <xf numFmtId="12" fontId="9" fillId="0" borderId="0" xfId="1" applyNumberFormat="1" applyFont="1" applyFill="1" applyBorder="1" applyAlignment="1" applyProtection="1">
      <alignment vertical="center" wrapText="1"/>
    </xf>
    <xf numFmtId="12" fontId="0" fillId="0" borderId="0" xfId="0" applyNumberFormat="1" applyAlignment="1">
      <alignment horizontal="center" vertical="center"/>
    </xf>
    <xf numFmtId="0" fontId="50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50" fillId="0" borderId="0" xfId="0" applyFont="1" applyProtection="1">
      <alignment vertical="center"/>
      <protection locked="0"/>
    </xf>
    <xf numFmtId="0" fontId="14" fillId="0" borderId="0" xfId="0" applyFont="1" applyProtection="1">
      <alignment vertical="center"/>
      <protection locked="0"/>
    </xf>
    <xf numFmtId="14" fontId="49" fillId="4" borderId="0" xfId="0" applyNumberFormat="1" applyFont="1" applyFill="1" applyAlignment="1" applyProtection="1">
      <alignment horizontal="center" vertical="center"/>
      <protection locked="0"/>
    </xf>
    <xf numFmtId="0" fontId="51" fillId="0" borderId="0" xfId="0" applyFont="1" applyAlignment="1" applyProtection="1">
      <alignment horizontal="center" vertical="center"/>
      <protection locked="0"/>
    </xf>
    <xf numFmtId="0" fontId="49" fillId="4" borderId="0" xfId="0" applyFont="1" applyFill="1" applyAlignment="1" applyProtection="1">
      <alignment horizontal="left" vertical="center"/>
      <protection locked="0"/>
    </xf>
    <xf numFmtId="0" fontId="51" fillId="0" borderId="0" xfId="0" applyFont="1" applyProtection="1">
      <alignment vertical="center"/>
      <protection locked="0"/>
    </xf>
    <xf numFmtId="0" fontId="49" fillId="4" borderId="0" xfId="0" applyFont="1" applyFill="1" applyProtection="1">
      <alignment vertical="center"/>
      <protection locked="0"/>
    </xf>
    <xf numFmtId="0" fontId="49" fillId="0" borderId="0" xfId="0" applyFo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4" borderId="0" xfId="0" applyFill="1" applyAlignment="1" applyProtection="1">
      <alignment horizontal="center" vertical="center"/>
      <protection locked="0"/>
    </xf>
    <xf numFmtId="0" fontId="0" fillId="8" borderId="2" xfId="0" applyFill="1" applyBorder="1" applyProtection="1">
      <alignment vertical="center"/>
      <protection locked="0"/>
    </xf>
    <xf numFmtId="14" fontId="0" fillId="8" borderId="2" xfId="0" applyNumberFormat="1" applyFill="1" applyBorder="1" applyProtection="1">
      <alignment vertical="center"/>
      <protection locked="0"/>
    </xf>
    <xf numFmtId="14" fontId="0" fillId="0" borderId="2" xfId="0" applyNumberFormat="1" applyBorder="1" applyAlignment="1" applyProtection="1">
      <alignment horizontal="center" vertical="center"/>
      <protection locked="0"/>
    </xf>
    <xf numFmtId="20" fontId="0" fillId="0" borderId="2" xfId="0" applyNumberForma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20" fontId="50" fillId="0" borderId="2" xfId="0" applyNumberFormat="1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6" borderId="0" xfId="0" applyFill="1" applyAlignment="1">
      <alignment horizontal="center" vertical="center"/>
    </xf>
    <xf numFmtId="0" fontId="0" fillId="8" borderId="2" xfId="0" applyFill="1" applyBorder="1">
      <alignment vertical="center"/>
    </xf>
    <xf numFmtId="14" fontId="0" fillId="8" borderId="2" xfId="0" applyNumberFormat="1" applyFill="1" applyBorder="1">
      <alignment vertical="center"/>
    </xf>
    <xf numFmtId="185" fontId="0" fillId="8" borderId="2" xfId="0" applyNumberFormat="1" applyFill="1" applyBorder="1" applyAlignment="1">
      <alignment horizontal="center" vertical="center"/>
    </xf>
    <xf numFmtId="180" fontId="0" fillId="8" borderId="2" xfId="0" applyNumberFormat="1" applyFill="1" applyBorder="1">
      <alignment vertical="center"/>
    </xf>
    <xf numFmtId="0" fontId="0" fillId="8" borderId="2" xfId="0" applyFill="1" applyBorder="1" applyAlignment="1">
      <alignment horizontal="center" vertical="center"/>
    </xf>
    <xf numFmtId="0" fontId="51" fillId="8" borderId="2" xfId="0" applyFont="1" applyFill="1" applyBorder="1" applyAlignment="1">
      <alignment horizontal="center" vertical="center"/>
    </xf>
    <xf numFmtId="0" fontId="50" fillId="8" borderId="2" xfId="0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50" fillId="0" borderId="2" xfId="0" applyFont="1" applyBorder="1" applyAlignment="1" applyProtection="1">
      <alignment horizontal="center" vertical="center"/>
      <protection locked="0"/>
    </xf>
    <xf numFmtId="0" fontId="0" fillId="8" borderId="30" xfId="0" applyFill="1" applyBorder="1">
      <alignment vertical="center"/>
    </xf>
    <xf numFmtId="14" fontId="0" fillId="8" borderId="30" xfId="0" applyNumberFormat="1" applyFill="1" applyBorder="1">
      <alignment vertical="center"/>
    </xf>
    <xf numFmtId="14" fontId="0" fillId="8" borderId="30" xfId="0" applyNumberFormat="1" applyFill="1" applyBorder="1" applyProtection="1">
      <alignment vertical="center"/>
      <protection locked="0"/>
    </xf>
    <xf numFmtId="14" fontId="0" fillId="0" borderId="30" xfId="0" applyNumberFormat="1" applyBorder="1" applyAlignment="1" applyProtection="1">
      <alignment horizontal="center" vertical="center"/>
      <protection locked="0"/>
    </xf>
    <xf numFmtId="0" fontId="50" fillId="8" borderId="30" xfId="0" applyFont="1" applyFill="1" applyBorder="1" applyAlignment="1">
      <alignment horizontal="center" vertical="center"/>
    </xf>
    <xf numFmtId="0" fontId="0" fillId="0" borderId="30" xfId="0" applyBorder="1" applyAlignment="1" applyProtection="1">
      <alignment horizontal="left" vertical="center"/>
      <protection locked="0"/>
    </xf>
    <xf numFmtId="0" fontId="50" fillId="0" borderId="30" xfId="0" applyFont="1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8" borderId="30" xfId="0" applyFill="1" applyBorder="1" applyAlignment="1">
      <alignment horizontal="center" vertical="center"/>
    </xf>
    <xf numFmtId="0" fontId="55" fillId="0" borderId="2" xfId="0" applyFont="1" applyBorder="1" applyAlignment="1" applyProtection="1">
      <alignment horizontal="center" vertical="center"/>
      <protection locked="0"/>
    </xf>
    <xf numFmtId="0" fontId="55" fillId="0" borderId="30" xfId="0" applyFont="1" applyBorder="1" applyAlignment="1" applyProtection="1">
      <alignment horizontal="center" vertical="center"/>
      <protection locked="0"/>
    </xf>
    <xf numFmtId="0" fontId="57" fillId="0" borderId="9" xfId="4" applyFont="1" applyBorder="1" applyAlignment="1">
      <alignment horizontal="left" vertical="center"/>
    </xf>
    <xf numFmtId="0" fontId="52" fillId="6" borderId="0" xfId="4" applyFont="1" applyFill="1" applyAlignment="1">
      <alignment horizontal="left" vertical="center"/>
    </xf>
    <xf numFmtId="0" fontId="32" fillId="6" borderId="0" xfId="4" applyFont="1" applyFill="1" applyAlignment="1">
      <alignment horizontal="left" vertical="center"/>
    </xf>
    <xf numFmtId="0" fontId="58" fillId="0" borderId="9" xfId="4" applyFont="1" applyBorder="1" applyAlignment="1">
      <alignment horizontal="left" vertical="center"/>
    </xf>
    <xf numFmtId="9" fontId="0" fillId="0" borderId="0" xfId="0" applyNumberFormat="1">
      <alignment vertical="center"/>
    </xf>
    <xf numFmtId="0" fontId="14" fillId="0" borderId="2" xfId="0" applyFont="1" applyBorder="1" applyAlignment="1" applyProtection="1">
      <alignment horizontal="left" vertical="center"/>
      <protection locked="0"/>
    </xf>
    <xf numFmtId="14" fontId="14" fillId="0" borderId="2" xfId="0" applyNumberFormat="1" applyFont="1" applyBorder="1" applyAlignment="1" applyProtection="1">
      <alignment horizontal="center" vertical="center"/>
      <protection locked="0"/>
    </xf>
    <xf numFmtId="20" fontId="14" fillId="0" borderId="2" xfId="0" applyNumberFormat="1" applyFont="1" applyBorder="1" applyAlignment="1" applyProtection="1">
      <alignment horizontal="center" vertical="center"/>
      <protection locked="0"/>
    </xf>
    <xf numFmtId="0" fontId="22" fillId="6" borderId="0" xfId="6" applyFont="1" applyFill="1" applyBorder="1" applyAlignment="1">
      <alignment horizontal="center" vertical="center"/>
    </xf>
    <xf numFmtId="182" fontId="17" fillId="3" borderId="0" xfId="9" applyNumberFormat="1" applyFont="1" applyFill="1" applyAlignment="1">
      <alignment horizontal="center" vertical="center"/>
    </xf>
    <xf numFmtId="8" fontId="17" fillId="3" borderId="0" xfId="9" applyNumberFormat="1" applyFont="1" applyFill="1" applyAlignment="1">
      <alignment horizontal="center" vertical="center"/>
    </xf>
    <xf numFmtId="0" fontId="17" fillId="3" borderId="0" xfId="9" applyFont="1" applyFill="1" applyAlignment="1">
      <alignment horizontal="right" vertical="center"/>
    </xf>
    <xf numFmtId="0" fontId="46" fillId="3" borderId="0" xfId="9" applyFont="1" applyFill="1" applyAlignment="1">
      <alignment horizontal="right" vertical="center"/>
    </xf>
    <xf numFmtId="0" fontId="16" fillId="3" borderId="0" xfId="4" applyFont="1" applyFill="1" applyAlignment="1">
      <alignment horizontal="center" vertical="center"/>
    </xf>
    <xf numFmtId="0" fontId="34" fillId="3" borderId="0" xfId="9" applyFont="1" applyFill="1" applyAlignment="1">
      <alignment horizontal="center" vertical="center"/>
    </xf>
    <xf numFmtId="0" fontId="35" fillId="3" borderId="0" xfId="9" applyFont="1" applyFill="1" applyAlignment="1">
      <alignment horizontal="center" vertical="center"/>
    </xf>
    <xf numFmtId="0" fontId="36" fillId="3" borderId="0" xfId="4" applyFont="1" applyFill="1" applyAlignment="1">
      <alignment horizontal="center" vertical="center"/>
    </xf>
    <xf numFmtId="0" fontId="37" fillId="3" borderId="0" xfId="4" applyFont="1" applyFill="1" applyAlignment="1">
      <alignment horizontal="center" vertical="center"/>
    </xf>
    <xf numFmtId="0" fontId="38" fillId="3" borderId="10" xfId="9" applyFont="1" applyFill="1" applyBorder="1" applyAlignment="1">
      <alignment horizontal="center" vertical="center"/>
    </xf>
    <xf numFmtId="0" fontId="39" fillId="3" borderId="0" xfId="9" applyFont="1" applyFill="1" applyAlignment="1">
      <alignment horizontal="center" vertical="center"/>
    </xf>
    <xf numFmtId="0" fontId="40" fillId="3" borderId="11" xfId="4" applyFont="1" applyFill="1" applyBorder="1" applyAlignment="1">
      <alignment horizontal="center" vertical="center"/>
    </xf>
    <xf numFmtId="182" fontId="42" fillId="6" borderId="28" xfId="12" applyNumberFormat="1" applyFont="1" applyFill="1" applyBorder="1" applyAlignment="1">
      <alignment horizontal="center" vertical="center"/>
    </xf>
    <xf numFmtId="0" fontId="42" fillId="2" borderId="13" xfId="9" applyFont="1" applyFill="1" applyBorder="1" applyAlignment="1">
      <alignment horizontal="center" vertical="center"/>
    </xf>
    <xf numFmtId="0" fontId="42" fillId="2" borderId="12" xfId="9" applyFont="1" applyFill="1" applyBorder="1" applyAlignment="1">
      <alignment horizontal="left" vertical="center"/>
    </xf>
    <xf numFmtId="0" fontId="42" fillId="2" borderId="13" xfId="9" applyFont="1" applyFill="1" applyBorder="1" applyAlignment="1">
      <alignment horizontal="left" vertical="center"/>
    </xf>
    <xf numFmtId="182" fontId="17" fillId="3" borderId="29" xfId="9" applyNumberFormat="1" applyFont="1" applyFill="1" applyBorder="1" applyAlignment="1">
      <alignment horizontal="center" vertical="center"/>
    </xf>
  </cellXfs>
  <cellStyles count="14">
    <cellStyle name="20% - 强调文字颜色 1 6 3 2 3 2 2" xfId="6" xr:uid="{9DEEDEC2-B056-4891-95A8-367268EC38C2}"/>
    <cellStyle name="20% - 强调文字颜色 1 6 3 5 2" xfId="7" xr:uid="{31F8E220-1338-485C-8B02-70515CBC5377}"/>
    <cellStyle name="一般" xfId="0" builtinId="0"/>
    <cellStyle name="一般 11 3 2" xfId="10" xr:uid="{F19F67F6-D0FB-4040-AEC2-6B3EA97D0600}"/>
    <cellStyle name="一般 11 5" xfId="8" xr:uid="{20666CA0-235E-4B10-B48F-2B408113C63C}"/>
    <cellStyle name="一般 2" xfId="2" xr:uid="{0CC6C296-2CA6-4B2B-B472-2C53DA863A37}"/>
    <cellStyle name="一般 2 10 2" xfId="13" xr:uid="{38865CD9-9960-4E5D-A119-F92AA61F5D1D}"/>
    <cellStyle name="一般 2 2" xfId="9" xr:uid="{6FA48018-F462-4F24-BCDB-45645329EAAD}"/>
    <cellStyle name="一般 3" xfId="3" xr:uid="{95228AEC-774E-4B47-B2C6-8D705EAC3085}"/>
    <cellStyle name="一般 4" xfId="4" xr:uid="{139857E6-5960-410A-B180-1E6D290922CE}"/>
    <cellStyle name="千分位" xfId="1" builtinId="3"/>
    <cellStyle name="千分位 2" xfId="5" xr:uid="{854EC763-43C8-4B38-B75E-8C391CDBE18E}"/>
    <cellStyle name="貨幣 2" xfId="12" xr:uid="{DB06F885-8625-4C59-AE22-56B9EDFF0B84}"/>
    <cellStyle name="貨幣 2 10 2 2 2" xfId="11" xr:uid="{E86E2730-B171-4393-BD73-8C7409DB8736}"/>
  </cellStyles>
  <dxfs count="114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14996795556505021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 tint="0.14996795556505021"/>
        </patternFill>
      </fill>
    </dxf>
    <dxf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theme="1" tint="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protection locked="0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sz val="11"/>
        <color auto="1"/>
        <name val="Microsoft YaHei"/>
        <family val="1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</font>
      <numFmt numFmtId="0" formatCode="General"/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19" formatCode="d/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9" formatCode="d/m/yyyy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19" formatCode="d/m/yyyy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9" formatCode="d/m/yyyy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solid">
          <fgColor indexed="64"/>
          <bgColor theme="0" tint="-0.34998626667073579"/>
        </patternFill>
      </fill>
      <protection locked="0" hidden="0"/>
    </dxf>
    <dxf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0" tint="-0.34998626667073579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0" tint="-0.34998626667073579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0" tint="-0.34998626667073579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0" tint="-0.34998626667073579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2" name="Picture 5" descr="I%20Wall%20logo">
          <a:extLst>
            <a:ext uri="{FF2B5EF4-FFF2-40B4-BE49-F238E27FC236}">
              <a16:creationId xmlns:a16="http://schemas.microsoft.com/office/drawing/2014/main" id="{F1A91D4E-198A-4F19-A7A9-C894489D2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3" name="Picture 5" descr="I%20Wall%20logo">
          <a:extLst>
            <a:ext uri="{FF2B5EF4-FFF2-40B4-BE49-F238E27FC236}">
              <a16:creationId xmlns:a16="http://schemas.microsoft.com/office/drawing/2014/main" id="{A0EC90A8-32A8-4B15-837F-21E0D7067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4" name="Picture 5" descr="I%20Wall%20logo">
          <a:extLst>
            <a:ext uri="{FF2B5EF4-FFF2-40B4-BE49-F238E27FC236}">
              <a16:creationId xmlns:a16="http://schemas.microsoft.com/office/drawing/2014/main" id="{89D7225B-D451-4305-A6E6-E7FF82720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5" name="Picture 5" descr="I%20Wall%20logo">
          <a:extLst>
            <a:ext uri="{FF2B5EF4-FFF2-40B4-BE49-F238E27FC236}">
              <a16:creationId xmlns:a16="http://schemas.microsoft.com/office/drawing/2014/main" id="{764209D5-515D-4262-9CF8-03ADA0B24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6" name="Picture 5" descr="I%20Wall%20logo">
          <a:extLst>
            <a:ext uri="{FF2B5EF4-FFF2-40B4-BE49-F238E27FC236}">
              <a16:creationId xmlns:a16="http://schemas.microsoft.com/office/drawing/2014/main" id="{7FA4FCED-50D4-4B79-A69F-11813D89D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7" name="Picture 5" descr="I%20Wall%20logo">
          <a:extLst>
            <a:ext uri="{FF2B5EF4-FFF2-40B4-BE49-F238E27FC236}">
              <a16:creationId xmlns:a16="http://schemas.microsoft.com/office/drawing/2014/main" id="{280C7BEB-FE4B-4D06-9A63-B178B7E62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8" name="Picture 5" descr="I%20Wall%20logo">
          <a:extLst>
            <a:ext uri="{FF2B5EF4-FFF2-40B4-BE49-F238E27FC236}">
              <a16:creationId xmlns:a16="http://schemas.microsoft.com/office/drawing/2014/main" id="{6481CBA6-8728-49D4-81D2-074FCBD8A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9" name="Picture 5" descr="I%20Wall%20logo">
          <a:extLst>
            <a:ext uri="{FF2B5EF4-FFF2-40B4-BE49-F238E27FC236}">
              <a16:creationId xmlns:a16="http://schemas.microsoft.com/office/drawing/2014/main" id="{4C2ED027-ACC8-4315-A58B-714C0EE9A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10" name="Picture 5" descr="I%20Wall%20logo">
          <a:extLst>
            <a:ext uri="{FF2B5EF4-FFF2-40B4-BE49-F238E27FC236}">
              <a16:creationId xmlns:a16="http://schemas.microsoft.com/office/drawing/2014/main" id="{0BAD5AFF-F8C5-4528-A7E0-C7EE6339C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11" name="Picture 5" descr="I%20Wall%20logo">
          <a:extLst>
            <a:ext uri="{FF2B5EF4-FFF2-40B4-BE49-F238E27FC236}">
              <a16:creationId xmlns:a16="http://schemas.microsoft.com/office/drawing/2014/main" id="{02F261DB-1A37-48DC-84D0-7EFE06C45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12" name="Picture 5" descr="I%20Wall%20logo">
          <a:extLst>
            <a:ext uri="{FF2B5EF4-FFF2-40B4-BE49-F238E27FC236}">
              <a16:creationId xmlns:a16="http://schemas.microsoft.com/office/drawing/2014/main" id="{835AB119-5D78-45E9-BB7D-3D85556D8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13" name="Picture 5" descr="I%20Wall%20logo">
          <a:extLst>
            <a:ext uri="{FF2B5EF4-FFF2-40B4-BE49-F238E27FC236}">
              <a16:creationId xmlns:a16="http://schemas.microsoft.com/office/drawing/2014/main" id="{A52839D6-E295-4F59-B90E-5D956FD80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14" name="Picture 5" descr="I%20Wall%20logo">
          <a:extLst>
            <a:ext uri="{FF2B5EF4-FFF2-40B4-BE49-F238E27FC236}">
              <a16:creationId xmlns:a16="http://schemas.microsoft.com/office/drawing/2014/main" id="{09F5948A-D948-49C8-A0EA-93E958186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15" name="Picture 5" descr="I%20Wall%20logo">
          <a:extLst>
            <a:ext uri="{FF2B5EF4-FFF2-40B4-BE49-F238E27FC236}">
              <a16:creationId xmlns:a16="http://schemas.microsoft.com/office/drawing/2014/main" id="{4F872CB1-D40A-4527-AD2D-7268E538B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16" name="Picture 5" descr="I%20Wall%20logo">
          <a:extLst>
            <a:ext uri="{FF2B5EF4-FFF2-40B4-BE49-F238E27FC236}">
              <a16:creationId xmlns:a16="http://schemas.microsoft.com/office/drawing/2014/main" id="{22B7DC7C-BF44-40F0-B162-EA51F5B9A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17" name="Picture 5" descr="I%20Wall%20logo">
          <a:extLst>
            <a:ext uri="{FF2B5EF4-FFF2-40B4-BE49-F238E27FC236}">
              <a16:creationId xmlns:a16="http://schemas.microsoft.com/office/drawing/2014/main" id="{CF5CD362-0E37-4206-A27B-4821187F5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18" name="Picture 5" descr="I%20Wall%20logo">
          <a:extLst>
            <a:ext uri="{FF2B5EF4-FFF2-40B4-BE49-F238E27FC236}">
              <a16:creationId xmlns:a16="http://schemas.microsoft.com/office/drawing/2014/main" id="{476823B0-ACFC-4444-AED2-D45202421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19" name="Picture 5" descr="I%20Wall%20logo">
          <a:extLst>
            <a:ext uri="{FF2B5EF4-FFF2-40B4-BE49-F238E27FC236}">
              <a16:creationId xmlns:a16="http://schemas.microsoft.com/office/drawing/2014/main" id="{5B74D5C8-44C4-4945-BA2C-5F63C6473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20" name="Picture 5" descr="I%20Wall%20logo">
          <a:extLst>
            <a:ext uri="{FF2B5EF4-FFF2-40B4-BE49-F238E27FC236}">
              <a16:creationId xmlns:a16="http://schemas.microsoft.com/office/drawing/2014/main" id="{51FF4452-0086-433A-A3D3-F13415A11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21" name="Picture 5" descr="I%20Wall%20logo">
          <a:extLst>
            <a:ext uri="{FF2B5EF4-FFF2-40B4-BE49-F238E27FC236}">
              <a16:creationId xmlns:a16="http://schemas.microsoft.com/office/drawing/2014/main" id="{DDA14955-5F77-409F-AD90-E93CF02C9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22" name="Picture 5" descr="I%20Wall%20logo">
          <a:extLst>
            <a:ext uri="{FF2B5EF4-FFF2-40B4-BE49-F238E27FC236}">
              <a16:creationId xmlns:a16="http://schemas.microsoft.com/office/drawing/2014/main" id="{9B226D61-28CF-43F7-9844-4506C58C5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3" name="Picture 5" descr="I%20Wall%20logo">
          <a:extLst>
            <a:ext uri="{FF2B5EF4-FFF2-40B4-BE49-F238E27FC236}">
              <a16:creationId xmlns:a16="http://schemas.microsoft.com/office/drawing/2014/main" id="{E178FD6C-9809-4E28-A4BB-13B6A12C1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24" name="Picture 5" descr="I%20Wall%20logo">
          <a:extLst>
            <a:ext uri="{FF2B5EF4-FFF2-40B4-BE49-F238E27FC236}">
              <a16:creationId xmlns:a16="http://schemas.microsoft.com/office/drawing/2014/main" id="{9BCBA2AA-277F-43A5-9FF9-F03418A47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25" name="Picture 5" descr="I%20Wall%20logo">
          <a:extLst>
            <a:ext uri="{FF2B5EF4-FFF2-40B4-BE49-F238E27FC236}">
              <a16:creationId xmlns:a16="http://schemas.microsoft.com/office/drawing/2014/main" id="{5E9A8646-38A6-4A69-B096-2438697E4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26" name="Picture 5" descr="I%20Wall%20logo">
          <a:extLst>
            <a:ext uri="{FF2B5EF4-FFF2-40B4-BE49-F238E27FC236}">
              <a16:creationId xmlns:a16="http://schemas.microsoft.com/office/drawing/2014/main" id="{CB67AAEB-72F9-4731-83AF-ECD34EF6A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27" name="Picture 5" descr="I%20Wall%20logo">
          <a:extLst>
            <a:ext uri="{FF2B5EF4-FFF2-40B4-BE49-F238E27FC236}">
              <a16:creationId xmlns:a16="http://schemas.microsoft.com/office/drawing/2014/main" id="{C0C4CBDA-237D-41A8-BB08-E90305FCA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8" name="Picture 5" descr="I%20Wall%20logo">
          <a:extLst>
            <a:ext uri="{FF2B5EF4-FFF2-40B4-BE49-F238E27FC236}">
              <a16:creationId xmlns:a16="http://schemas.microsoft.com/office/drawing/2014/main" id="{BD325598-5D0A-45AB-893B-081951518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29" name="Picture 5" descr="I%20Wall%20logo">
          <a:extLst>
            <a:ext uri="{FF2B5EF4-FFF2-40B4-BE49-F238E27FC236}">
              <a16:creationId xmlns:a16="http://schemas.microsoft.com/office/drawing/2014/main" id="{F03DC0EB-41B0-4324-A096-17762EBEA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30" name="Picture 5" descr="I%20Wall%20logo">
          <a:extLst>
            <a:ext uri="{FF2B5EF4-FFF2-40B4-BE49-F238E27FC236}">
              <a16:creationId xmlns:a16="http://schemas.microsoft.com/office/drawing/2014/main" id="{3C5A02D2-8A3E-4BC6-96EC-D79132C93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31" name="Picture 5" descr="I%20Wall%20logo">
          <a:extLst>
            <a:ext uri="{FF2B5EF4-FFF2-40B4-BE49-F238E27FC236}">
              <a16:creationId xmlns:a16="http://schemas.microsoft.com/office/drawing/2014/main" id="{89059800-FB26-4A03-890C-FBD0B80D0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32" name="Picture 5" descr="I%20Wall%20logo">
          <a:extLst>
            <a:ext uri="{FF2B5EF4-FFF2-40B4-BE49-F238E27FC236}">
              <a16:creationId xmlns:a16="http://schemas.microsoft.com/office/drawing/2014/main" id="{2DBABBC3-A234-46F9-9645-A2A4A73D8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33" name="Picture 5" descr="I%20Wall%20logo">
          <a:extLst>
            <a:ext uri="{FF2B5EF4-FFF2-40B4-BE49-F238E27FC236}">
              <a16:creationId xmlns:a16="http://schemas.microsoft.com/office/drawing/2014/main" id="{EF4271E3-F140-4894-8A71-D5ECCB757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34" name="Picture 5" descr="I%20Wall%20logo">
          <a:extLst>
            <a:ext uri="{FF2B5EF4-FFF2-40B4-BE49-F238E27FC236}">
              <a16:creationId xmlns:a16="http://schemas.microsoft.com/office/drawing/2014/main" id="{1CCA393A-5941-4070-86F0-869EFB18D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35" name="Picture 5" descr="I%20Wall%20logo">
          <a:extLst>
            <a:ext uri="{FF2B5EF4-FFF2-40B4-BE49-F238E27FC236}">
              <a16:creationId xmlns:a16="http://schemas.microsoft.com/office/drawing/2014/main" id="{7BBB75B2-5D2F-4F90-A61B-3485D89E0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36" name="Picture 5" descr="I%20Wall%20logo">
          <a:extLst>
            <a:ext uri="{FF2B5EF4-FFF2-40B4-BE49-F238E27FC236}">
              <a16:creationId xmlns:a16="http://schemas.microsoft.com/office/drawing/2014/main" id="{40476D1E-9BA8-43B3-BCD0-8A3158ACF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37" name="Picture 5" descr="I%20Wall%20logo">
          <a:extLst>
            <a:ext uri="{FF2B5EF4-FFF2-40B4-BE49-F238E27FC236}">
              <a16:creationId xmlns:a16="http://schemas.microsoft.com/office/drawing/2014/main" id="{CD0AB60F-96F8-4CC5-91BF-188F31A50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38" name="Picture 5" descr="I%20Wall%20logo">
          <a:extLst>
            <a:ext uri="{FF2B5EF4-FFF2-40B4-BE49-F238E27FC236}">
              <a16:creationId xmlns:a16="http://schemas.microsoft.com/office/drawing/2014/main" id="{40D63685-1A4A-4079-A017-2A5DD35B0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9" name="Picture 5" descr="I%20Wall%20logo">
          <a:extLst>
            <a:ext uri="{FF2B5EF4-FFF2-40B4-BE49-F238E27FC236}">
              <a16:creationId xmlns:a16="http://schemas.microsoft.com/office/drawing/2014/main" id="{6CFBEB4D-50BD-4A70-A61A-CCEE129DF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40" name="Picture 5" descr="I%20Wall%20logo">
          <a:extLst>
            <a:ext uri="{FF2B5EF4-FFF2-40B4-BE49-F238E27FC236}">
              <a16:creationId xmlns:a16="http://schemas.microsoft.com/office/drawing/2014/main" id="{0E1C76B3-453A-419D-BF72-315548217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41" name="Picture 5" descr="I%20Wall%20logo">
          <a:extLst>
            <a:ext uri="{FF2B5EF4-FFF2-40B4-BE49-F238E27FC236}">
              <a16:creationId xmlns:a16="http://schemas.microsoft.com/office/drawing/2014/main" id="{F2F0BA99-A1A6-4CF8-85A5-9C5C3826F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42" name="Picture 5" descr="I%20Wall%20logo">
          <a:extLst>
            <a:ext uri="{FF2B5EF4-FFF2-40B4-BE49-F238E27FC236}">
              <a16:creationId xmlns:a16="http://schemas.microsoft.com/office/drawing/2014/main" id="{6A973ABA-1524-41A3-9F4A-9ED61B0A3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43" name="Picture 5" descr="I%20Wall%20logo">
          <a:extLst>
            <a:ext uri="{FF2B5EF4-FFF2-40B4-BE49-F238E27FC236}">
              <a16:creationId xmlns:a16="http://schemas.microsoft.com/office/drawing/2014/main" id="{1288AFB1-3AC6-4B20-A5B5-D1FF1390A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44" name="Picture 5" descr="I%20Wall%20logo">
          <a:extLst>
            <a:ext uri="{FF2B5EF4-FFF2-40B4-BE49-F238E27FC236}">
              <a16:creationId xmlns:a16="http://schemas.microsoft.com/office/drawing/2014/main" id="{6F9CB463-30AE-443D-B076-5FE13DF32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45" name="Picture 5" descr="I%20Wall%20logo">
          <a:extLst>
            <a:ext uri="{FF2B5EF4-FFF2-40B4-BE49-F238E27FC236}">
              <a16:creationId xmlns:a16="http://schemas.microsoft.com/office/drawing/2014/main" id="{98EEBB43-5FDA-4B3F-80AB-3C42610D2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46" name="Picture 5" descr="I%20Wall%20logo">
          <a:extLst>
            <a:ext uri="{FF2B5EF4-FFF2-40B4-BE49-F238E27FC236}">
              <a16:creationId xmlns:a16="http://schemas.microsoft.com/office/drawing/2014/main" id="{7D5EE26B-7380-48A5-832D-3EACDE41B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47" name="Picture 5" descr="I%20Wall%20logo">
          <a:extLst>
            <a:ext uri="{FF2B5EF4-FFF2-40B4-BE49-F238E27FC236}">
              <a16:creationId xmlns:a16="http://schemas.microsoft.com/office/drawing/2014/main" id="{8745F795-7BAA-41AF-9DC1-03E450D8C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48" name="Picture 5" descr="I%20Wall%20logo">
          <a:extLst>
            <a:ext uri="{FF2B5EF4-FFF2-40B4-BE49-F238E27FC236}">
              <a16:creationId xmlns:a16="http://schemas.microsoft.com/office/drawing/2014/main" id="{3DE88613-8802-4C38-82C0-9473D6DD7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49" name="Picture 5" descr="I%20Wall%20logo">
          <a:extLst>
            <a:ext uri="{FF2B5EF4-FFF2-40B4-BE49-F238E27FC236}">
              <a16:creationId xmlns:a16="http://schemas.microsoft.com/office/drawing/2014/main" id="{85C21F0E-C02D-48DF-B804-1392BE986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50" name="Picture 5" descr="I%20Wall%20logo">
          <a:extLst>
            <a:ext uri="{FF2B5EF4-FFF2-40B4-BE49-F238E27FC236}">
              <a16:creationId xmlns:a16="http://schemas.microsoft.com/office/drawing/2014/main" id="{74DDD80D-878E-4240-AD19-0626F43AB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51" name="Picture 5" descr="I%20Wall%20logo">
          <a:extLst>
            <a:ext uri="{FF2B5EF4-FFF2-40B4-BE49-F238E27FC236}">
              <a16:creationId xmlns:a16="http://schemas.microsoft.com/office/drawing/2014/main" id="{EA7B7F1B-1E34-4080-AB52-48ECB49D5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52" name="Picture 5" descr="I%20Wall%20logo">
          <a:extLst>
            <a:ext uri="{FF2B5EF4-FFF2-40B4-BE49-F238E27FC236}">
              <a16:creationId xmlns:a16="http://schemas.microsoft.com/office/drawing/2014/main" id="{A3A682F5-9FEB-4228-9F28-BEC2DC19E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53" name="Picture 5" descr="I%20Wall%20logo">
          <a:extLst>
            <a:ext uri="{FF2B5EF4-FFF2-40B4-BE49-F238E27FC236}">
              <a16:creationId xmlns:a16="http://schemas.microsoft.com/office/drawing/2014/main" id="{659D6342-7EF1-40A0-8880-AF6A906CD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54" name="Picture 5" descr="I%20Wall%20logo">
          <a:extLst>
            <a:ext uri="{FF2B5EF4-FFF2-40B4-BE49-F238E27FC236}">
              <a16:creationId xmlns:a16="http://schemas.microsoft.com/office/drawing/2014/main" id="{12A06122-4A78-4D5E-942A-F60E6A5F4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55" name="Picture 5" descr="I%20Wall%20logo">
          <a:extLst>
            <a:ext uri="{FF2B5EF4-FFF2-40B4-BE49-F238E27FC236}">
              <a16:creationId xmlns:a16="http://schemas.microsoft.com/office/drawing/2014/main" id="{53406388-1AE5-4306-A3BB-7D31689E0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56" name="Picture 5" descr="I%20Wall%20logo">
          <a:extLst>
            <a:ext uri="{FF2B5EF4-FFF2-40B4-BE49-F238E27FC236}">
              <a16:creationId xmlns:a16="http://schemas.microsoft.com/office/drawing/2014/main" id="{55FD3DA8-9D42-4872-9378-4E1488230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57" name="Picture 5" descr="I%20Wall%20logo">
          <a:extLst>
            <a:ext uri="{FF2B5EF4-FFF2-40B4-BE49-F238E27FC236}">
              <a16:creationId xmlns:a16="http://schemas.microsoft.com/office/drawing/2014/main" id="{4DA0255D-6962-47D4-BA7A-C22404558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58" name="Picture 5" descr="I%20Wall%20logo">
          <a:extLst>
            <a:ext uri="{FF2B5EF4-FFF2-40B4-BE49-F238E27FC236}">
              <a16:creationId xmlns:a16="http://schemas.microsoft.com/office/drawing/2014/main" id="{5BA49098-8DDA-448E-9471-A27B2035C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59" name="Picture 5" descr="I%20Wall%20logo">
          <a:extLst>
            <a:ext uri="{FF2B5EF4-FFF2-40B4-BE49-F238E27FC236}">
              <a16:creationId xmlns:a16="http://schemas.microsoft.com/office/drawing/2014/main" id="{A48A60A7-27DE-49DA-95DB-FB7294AE6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60" name="Picture 5" descr="I%20Wall%20logo">
          <a:extLst>
            <a:ext uri="{FF2B5EF4-FFF2-40B4-BE49-F238E27FC236}">
              <a16:creationId xmlns:a16="http://schemas.microsoft.com/office/drawing/2014/main" id="{129086FE-11D9-498D-AAF0-5D82E8346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61" name="Picture 5" descr="I%20Wall%20logo">
          <a:extLst>
            <a:ext uri="{FF2B5EF4-FFF2-40B4-BE49-F238E27FC236}">
              <a16:creationId xmlns:a16="http://schemas.microsoft.com/office/drawing/2014/main" id="{74D9D6F8-2939-44E2-B892-FDA2296B0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62" name="Picture 5" descr="I%20Wall%20logo">
          <a:extLst>
            <a:ext uri="{FF2B5EF4-FFF2-40B4-BE49-F238E27FC236}">
              <a16:creationId xmlns:a16="http://schemas.microsoft.com/office/drawing/2014/main" id="{CADDDFDC-A5FA-4587-B6B3-8967C491A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63" name="Picture 5" descr="I%20Wall%20logo">
          <a:extLst>
            <a:ext uri="{FF2B5EF4-FFF2-40B4-BE49-F238E27FC236}">
              <a16:creationId xmlns:a16="http://schemas.microsoft.com/office/drawing/2014/main" id="{4CE677C1-6EAA-49A1-841B-46A8C46A3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64" name="Picture 5" descr="I%20Wall%20logo">
          <a:extLst>
            <a:ext uri="{FF2B5EF4-FFF2-40B4-BE49-F238E27FC236}">
              <a16:creationId xmlns:a16="http://schemas.microsoft.com/office/drawing/2014/main" id="{BEA839D3-409D-461A-89FF-69C0D4F50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65" name="Picture 5" descr="I%20Wall%20logo">
          <a:extLst>
            <a:ext uri="{FF2B5EF4-FFF2-40B4-BE49-F238E27FC236}">
              <a16:creationId xmlns:a16="http://schemas.microsoft.com/office/drawing/2014/main" id="{E4D2EA58-7BED-47D6-8438-42C3E46E4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66" name="Picture 5" descr="I%20Wall%20logo">
          <a:extLst>
            <a:ext uri="{FF2B5EF4-FFF2-40B4-BE49-F238E27FC236}">
              <a16:creationId xmlns:a16="http://schemas.microsoft.com/office/drawing/2014/main" id="{90CA204A-880C-4F9B-A79E-ECBDE2125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67" name="Picture 5" descr="I%20Wall%20logo">
          <a:extLst>
            <a:ext uri="{FF2B5EF4-FFF2-40B4-BE49-F238E27FC236}">
              <a16:creationId xmlns:a16="http://schemas.microsoft.com/office/drawing/2014/main" id="{5C35067B-6BED-4E2B-A37F-CF5FC01A9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44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68" name="Picture 5" descr="I%20Wall%20logo">
          <a:extLst>
            <a:ext uri="{FF2B5EF4-FFF2-40B4-BE49-F238E27FC236}">
              <a16:creationId xmlns:a16="http://schemas.microsoft.com/office/drawing/2014/main" id="{0EFC0AA6-2A99-4A8B-8274-93778D9F1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57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69" name="Picture 5" descr="I%20Wall%20logo">
          <a:extLst>
            <a:ext uri="{FF2B5EF4-FFF2-40B4-BE49-F238E27FC236}">
              <a16:creationId xmlns:a16="http://schemas.microsoft.com/office/drawing/2014/main" id="{FF063094-D9BD-43F2-B0E3-CC3F9D308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03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70" name="Picture 5" descr="I%20Wall%20logo">
          <a:extLst>
            <a:ext uri="{FF2B5EF4-FFF2-40B4-BE49-F238E27FC236}">
              <a16:creationId xmlns:a16="http://schemas.microsoft.com/office/drawing/2014/main" id="{5476A29F-2532-40AA-B8E3-607DF5BA9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71" name="Picture 5" descr="I%20Wall%20logo">
          <a:extLst>
            <a:ext uri="{FF2B5EF4-FFF2-40B4-BE49-F238E27FC236}">
              <a16:creationId xmlns:a16="http://schemas.microsoft.com/office/drawing/2014/main" id="{9AD56352-5F07-4E42-8BD2-D36CBCAB5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72" name="Picture 5" descr="I%20Wall%20logo">
          <a:extLst>
            <a:ext uri="{FF2B5EF4-FFF2-40B4-BE49-F238E27FC236}">
              <a16:creationId xmlns:a16="http://schemas.microsoft.com/office/drawing/2014/main" id="{63C7373A-E210-4E5A-9611-76A05F01D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73" name="Picture 5" descr="I%20Wall%20logo">
          <a:extLst>
            <a:ext uri="{FF2B5EF4-FFF2-40B4-BE49-F238E27FC236}">
              <a16:creationId xmlns:a16="http://schemas.microsoft.com/office/drawing/2014/main" id="{2F0DEF79-0E48-4678-BE70-DC6378408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74" name="Picture 5" descr="I%20Wall%20logo">
          <a:extLst>
            <a:ext uri="{FF2B5EF4-FFF2-40B4-BE49-F238E27FC236}">
              <a16:creationId xmlns:a16="http://schemas.microsoft.com/office/drawing/2014/main" id="{95524CFA-E93E-43EF-8338-C79134234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75" name="Picture 5" descr="I%20Wall%20logo">
          <a:extLst>
            <a:ext uri="{FF2B5EF4-FFF2-40B4-BE49-F238E27FC236}">
              <a16:creationId xmlns:a16="http://schemas.microsoft.com/office/drawing/2014/main" id="{90F3FC6B-A8BA-4A94-97F5-50804E406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76" name="Picture 5" descr="I%20Wall%20logo">
          <a:extLst>
            <a:ext uri="{FF2B5EF4-FFF2-40B4-BE49-F238E27FC236}">
              <a16:creationId xmlns:a16="http://schemas.microsoft.com/office/drawing/2014/main" id="{E94A8E87-2FF7-47F4-B29B-A459FBB6B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181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77" name="Picture 5" descr="I%20Wall%20logo">
          <a:extLst>
            <a:ext uri="{FF2B5EF4-FFF2-40B4-BE49-F238E27FC236}">
              <a16:creationId xmlns:a16="http://schemas.microsoft.com/office/drawing/2014/main" id="{B1D65EDA-2B9B-4481-B598-923D8DF3B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0333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78" name="Picture 5" descr="I%20Wall%20logo">
          <a:extLst>
            <a:ext uri="{FF2B5EF4-FFF2-40B4-BE49-F238E27FC236}">
              <a16:creationId xmlns:a16="http://schemas.microsoft.com/office/drawing/2014/main" id="{483BB28E-51CA-4032-B48A-F21B59A0A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262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79" name="Picture 5" descr="I%20Wall%20logo">
          <a:extLst>
            <a:ext uri="{FF2B5EF4-FFF2-40B4-BE49-F238E27FC236}">
              <a16:creationId xmlns:a16="http://schemas.microsoft.com/office/drawing/2014/main" id="{65A2E23E-B21E-4784-BA70-E7CD3F7B7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492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80" name="Picture 5" descr="I%20Wall%20logo">
          <a:extLst>
            <a:ext uri="{FF2B5EF4-FFF2-40B4-BE49-F238E27FC236}">
              <a16:creationId xmlns:a16="http://schemas.microsoft.com/office/drawing/2014/main" id="{941DC735-4BC5-4026-85D6-24DDED99F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722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81" name="Picture 5" descr="I%20Wall%20logo">
          <a:extLst>
            <a:ext uri="{FF2B5EF4-FFF2-40B4-BE49-F238E27FC236}">
              <a16:creationId xmlns:a16="http://schemas.microsoft.com/office/drawing/2014/main" id="{2883CBC1-0793-45DF-914B-4A8AC1C55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59517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" name="Picture 5" descr="I%20Wall%20logo">
          <a:extLst>
            <a:ext uri="{FF2B5EF4-FFF2-40B4-BE49-F238E27FC236}">
              <a16:creationId xmlns:a16="http://schemas.microsoft.com/office/drawing/2014/main" id="{2D878184-16ED-4260-8637-2B54CB6FB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3" name="Picture 5" descr="I%20Wall%20logo">
          <a:extLst>
            <a:ext uri="{FF2B5EF4-FFF2-40B4-BE49-F238E27FC236}">
              <a16:creationId xmlns:a16="http://schemas.microsoft.com/office/drawing/2014/main" id="{E13F412D-8001-466A-94AC-502492837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4" name="Picture 5" descr="I%20Wall%20logo">
          <a:extLst>
            <a:ext uri="{FF2B5EF4-FFF2-40B4-BE49-F238E27FC236}">
              <a16:creationId xmlns:a16="http://schemas.microsoft.com/office/drawing/2014/main" id="{D8287B9C-5A19-4A2C-9C8F-7159515C6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635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5" name="Picture 5" descr="I%20Wall%20logo">
          <a:extLst>
            <a:ext uri="{FF2B5EF4-FFF2-40B4-BE49-F238E27FC236}">
              <a16:creationId xmlns:a16="http://schemas.microsoft.com/office/drawing/2014/main" id="{811968AC-1435-49D9-A93F-46127D099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6122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6" name="Picture 5" descr="I%20Wall%20logo">
          <a:extLst>
            <a:ext uri="{FF2B5EF4-FFF2-40B4-BE49-F238E27FC236}">
              <a16:creationId xmlns:a16="http://schemas.microsoft.com/office/drawing/2014/main" id="{D19CFB56-30A9-4A69-8DE6-273F672D3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610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7" name="Picture 5" descr="I%20Wall%20logo">
          <a:extLst>
            <a:ext uri="{FF2B5EF4-FFF2-40B4-BE49-F238E27FC236}">
              <a16:creationId xmlns:a16="http://schemas.microsoft.com/office/drawing/2014/main" id="{49A936A8-BD03-4059-8A6E-860340EF0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608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8" name="Picture 5" descr="I%20Wall%20logo">
          <a:extLst>
            <a:ext uri="{FF2B5EF4-FFF2-40B4-BE49-F238E27FC236}">
              <a16:creationId xmlns:a16="http://schemas.microsoft.com/office/drawing/2014/main" id="{02E4ADC7-2BC9-460B-8345-D96AB3F3E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109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9" name="Picture 5" descr="I%20Wall%20logo">
          <a:extLst>
            <a:ext uri="{FF2B5EF4-FFF2-40B4-BE49-F238E27FC236}">
              <a16:creationId xmlns:a16="http://schemas.microsoft.com/office/drawing/2014/main" id="{F64F03DF-D27C-43C0-BC5F-9CF9AD89C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3581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10" name="Picture 5" descr="I%20Wall%20logo">
          <a:extLst>
            <a:ext uri="{FF2B5EF4-FFF2-40B4-BE49-F238E27FC236}">
              <a16:creationId xmlns:a16="http://schemas.microsoft.com/office/drawing/2014/main" id="{7CEC3CC5-C82F-42D3-A7F4-B9CA2803F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6068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11" name="Picture 5" descr="I%20Wall%20logo">
          <a:extLst>
            <a:ext uri="{FF2B5EF4-FFF2-40B4-BE49-F238E27FC236}">
              <a16:creationId xmlns:a16="http://schemas.microsoft.com/office/drawing/2014/main" id="{ADC91AFC-559E-4E7D-A55F-A0D1D9E58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8554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12" name="Picture 5" descr="I%20Wall%20logo">
          <a:extLst>
            <a:ext uri="{FF2B5EF4-FFF2-40B4-BE49-F238E27FC236}">
              <a16:creationId xmlns:a16="http://schemas.microsoft.com/office/drawing/2014/main" id="{6421A1B3-231C-49F4-97E9-2EFD687A2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13" name="Picture 5" descr="I%20Wall%20logo">
          <a:extLst>
            <a:ext uri="{FF2B5EF4-FFF2-40B4-BE49-F238E27FC236}">
              <a16:creationId xmlns:a16="http://schemas.microsoft.com/office/drawing/2014/main" id="{BD5ACCEC-53EB-46ED-90BE-E3832E432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14" name="Picture 5" descr="I%20Wall%20logo">
          <a:extLst>
            <a:ext uri="{FF2B5EF4-FFF2-40B4-BE49-F238E27FC236}">
              <a16:creationId xmlns:a16="http://schemas.microsoft.com/office/drawing/2014/main" id="{31DBFC26-3DA8-45EC-8394-6FD75E5FF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635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15" name="Picture 5" descr="I%20Wall%20logo">
          <a:extLst>
            <a:ext uri="{FF2B5EF4-FFF2-40B4-BE49-F238E27FC236}">
              <a16:creationId xmlns:a16="http://schemas.microsoft.com/office/drawing/2014/main" id="{49C8E6B9-B0D3-4F96-B6F6-6BB3CD303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6122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16" name="Picture 5" descr="I%20Wall%20logo">
          <a:extLst>
            <a:ext uri="{FF2B5EF4-FFF2-40B4-BE49-F238E27FC236}">
              <a16:creationId xmlns:a16="http://schemas.microsoft.com/office/drawing/2014/main" id="{10217FFC-9AAF-4A7D-BC09-CDE98DEBB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610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17" name="Picture 5" descr="I%20Wall%20logo">
          <a:extLst>
            <a:ext uri="{FF2B5EF4-FFF2-40B4-BE49-F238E27FC236}">
              <a16:creationId xmlns:a16="http://schemas.microsoft.com/office/drawing/2014/main" id="{C0DDCDF8-CB58-4D43-9282-E44EB0578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608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18" name="Picture 5" descr="I%20Wall%20logo">
          <a:extLst>
            <a:ext uri="{FF2B5EF4-FFF2-40B4-BE49-F238E27FC236}">
              <a16:creationId xmlns:a16="http://schemas.microsoft.com/office/drawing/2014/main" id="{DBDAB83B-C0EB-4B2A-9770-7916F8EE5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109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19" name="Picture 5" descr="I%20Wall%20logo">
          <a:extLst>
            <a:ext uri="{FF2B5EF4-FFF2-40B4-BE49-F238E27FC236}">
              <a16:creationId xmlns:a16="http://schemas.microsoft.com/office/drawing/2014/main" id="{D10F6601-C4A1-4742-945F-936E4E73C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3581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20" name="Picture 5" descr="I%20Wall%20logo">
          <a:extLst>
            <a:ext uri="{FF2B5EF4-FFF2-40B4-BE49-F238E27FC236}">
              <a16:creationId xmlns:a16="http://schemas.microsoft.com/office/drawing/2014/main" id="{119AEA0C-33A3-445E-9136-51CE742FF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6068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21" name="Picture 5" descr="I%20Wall%20logo">
          <a:extLst>
            <a:ext uri="{FF2B5EF4-FFF2-40B4-BE49-F238E27FC236}">
              <a16:creationId xmlns:a16="http://schemas.microsoft.com/office/drawing/2014/main" id="{AB2AF44C-9BA9-4D2D-BF23-E8B306FFB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8554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22" name="Picture 5" descr="I%20Wall%20logo">
          <a:extLst>
            <a:ext uri="{FF2B5EF4-FFF2-40B4-BE49-F238E27FC236}">
              <a16:creationId xmlns:a16="http://schemas.microsoft.com/office/drawing/2014/main" id="{4EB279EC-36DF-412F-95B1-182B7D204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23" name="Picture 5" descr="I%20Wall%20logo">
          <a:extLst>
            <a:ext uri="{FF2B5EF4-FFF2-40B4-BE49-F238E27FC236}">
              <a16:creationId xmlns:a16="http://schemas.microsoft.com/office/drawing/2014/main" id="{E45877FF-13D7-43B6-B0F2-BCE48F014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149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24" name="Picture 5" descr="I%20Wall%20logo">
          <a:extLst>
            <a:ext uri="{FF2B5EF4-FFF2-40B4-BE49-F238E27FC236}">
              <a16:creationId xmlns:a16="http://schemas.microsoft.com/office/drawing/2014/main" id="{ED7F405B-56C8-4DDF-90F4-3D0E589D5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83635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25" name="Picture 5" descr="I%20Wall%20logo">
          <a:extLst>
            <a:ext uri="{FF2B5EF4-FFF2-40B4-BE49-F238E27FC236}">
              <a16:creationId xmlns:a16="http://schemas.microsoft.com/office/drawing/2014/main" id="{94BA98BC-563F-49CF-A51F-31B5743ED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166122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26" name="Picture 5" descr="I%20Wall%20logo">
          <a:extLst>
            <a:ext uri="{FF2B5EF4-FFF2-40B4-BE49-F238E27FC236}">
              <a16:creationId xmlns:a16="http://schemas.microsoft.com/office/drawing/2014/main" id="{609C82AE-655B-44BD-B334-01D6993A9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661041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27" name="Picture 5" descr="I%20Wall%20logo">
          <a:extLst>
            <a:ext uri="{FF2B5EF4-FFF2-40B4-BE49-F238E27FC236}">
              <a16:creationId xmlns:a16="http://schemas.microsoft.com/office/drawing/2014/main" id="{C3BA6957-5B58-40F0-9FB9-51FB4D197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248608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28" name="Picture 5" descr="I%20Wall%20logo">
          <a:extLst>
            <a:ext uri="{FF2B5EF4-FFF2-40B4-BE49-F238E27FC236}">
              <a16:creationId xmlns:a16="http://schemas.microsoft.com/office/drawing/2014/main" id="{8FF6A0D5-6D2C-4016-958B-5D30BD25A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331095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29" name="Picture 5" descr="I%20Wall%20logo">
          <a:extLst>
            <a:ext uri="{FF2B5EF4-FFF2-40B4-BE49-F238E27FC236}">
              <a16:creationId xmlns:a16="http://schemas.microsoft.com/office/drawing/2014/main" id="{CA421F88-97B6-4074-9BAC-2BE980A94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13581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30" name="Picture 5" descr="I%20Wall%20logo">
          <a:extLst>
            <a:ext uri="{FF2B5EF4-FFF2-40B4-BE49-F238E27FC236}">
              <a16:creationId xmlns:a16="http://schemas.microsoft.com/office/drawing/2014/main" id="{384E9A5B-8B10-4AB4-BC66-D0ABD451F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4960681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31" name="Picture 5" descr="I%20Wall%20logo">
          <a:extLst>
            <a:ext uri="{FF2B5EF4-FFF2-40B4-BE49-F238E27FC236}">
              <a16:creationId xmlns:a16="http://schemas.microsoft.com/office/drawing/2014/main" id="{44ABE7D9-4CB2-4A3A-ADDC-650F699D8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57855463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2" name="Picture 5" descr="I%20Wall%20logo">
          <a:extLst>
            <a:ext uri="{FF2B5EF4-FFF2-40B4-BE49-F238E27FC236}">
              <a16:creationId xmlns:a16="http://schemas.microsoft.com/office/drawing/2014/main" id="{D7D4804D-B763-4441-A9BB-B98EEAC96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3" name="Picture 5" descr="I%20Wall%20logo">
          <a:extLst>
            <a:ext uri="{FF2B5EF4-FFF2-40B4-BE49-F238E27FC236}">
              <a16:creationId xmlns:a16="http://schemas.microsoft.com/office/drawing/2014/main" id="{6835CFFE-4696-4E9A-A7CA-1B3BEF916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4" name="Picture 5" descr="I%20Wall%20logo">
          <a:extLst>
            <a:ext uri="{FF2B5EF4-FFF2-40B4-BE49-F238E27FC236}">
              <a16:creationId xmlns:a16="http://schemas.microsoft.com/office/drawing/2014/main" id="{720B644D-B001-4469-BD98-F3266C6B3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5" name="Picture 5" descr="I%20Wall%20logo">
          <a:extLst>
            <a:ext uri="{FF2B5EF4-FFF2-40B4-BE49-F238E27FC236}">
              <a16:creationId xmlns:a16="http://schemas.microsoft.com/office/drawing/2014/main" id="{10F7DD6D-0778-4875-88BD-ADEC56B35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36" name="Picture 5" descr="I%20Wall%20logo">
          <a:extLst>
            <a:ext uri="{FF2B5EF4-FFF2-40B4-BE49-F238E27FC236}">
              <a16:creationId xmlns:a16="http://schemas.microsoft.com/office/drawing/2014/main" id="{3FBEB625-47E0-4F75-AEE1-92355E9F3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083" y="74343238"/>
          <a:ext cx="572560" cy="7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PHIA" refreshedDate="46205.646406712964" createdVersion="8" refreshedVersion="8" minRefreshableVersion="3" recordCount="1998" xr:uid="{5421BE1D-8080-4F50-B901-78E36725BA0B}">
  <cacheSource type="worksheet">
    <worksheetSource name="表格3_5"/>
  </cacheSource>
  <cacheFields count="20">
    <cacheField name="No" numFmtId="0">
      <sharedItems containsSemiMixedTypes="0" containsString="0" containsNumber="1" containsInteger="1" minValue="1" maxValue="1998"/>
    </cacheField>
    <cacheField name="Test" numFmtId="0">
      <sharedItems/>
    </cacheField>
    <cacheField name="ID1" numFmtId="14">
      <sharedItems/>
    </cacheField>
    <cacheField name="ID2" numFmtId="14">
      <sharedItems containsNonDate="0" containsString="0" containsBlank="1"/>
    </cacheField>
    <cacheField name="ID3" numFmtId="14">
      <sharedItems/>
    </cacheField>
    <cacheField name="Date" numFmtId="14">
      <sharedItems containsNonDate="0" containsDate="1" containsString="0" containsBlank="1" minDate="2026-06-01T00:00:00" maxDate="2026-07-01T00:00:00"/>
    </cacheField>
    <cacheField name="Nick Name" numFmtId="0">
      <sharedItems containsMixedTypes="1" containsNumber="1" containsInteger="1" minValue="0" maxValue="0" count="5">
        <s v="Edith"/>
        <s v="Amy"/>
        <s v="Carol"/>
        <s v="Hei"/>
        <n v="0"/>
      </sharedItems>
    </cacheField>
    <cacheField name="Location" numFmtId="0">
      <sharedItems containsBlank="1" count="60">
        <s v="SSPO YOHO"/>
        <s v="KT YOHO"/>
        <s v="Wai Chai YOHO"/>
        <s v="Telford plaza Chung Yuen"/>
        <s v="Metro City"/>
        <s v="Roadshow"/>
        <s v="CWB Yoho "/>
        <s v="Tsuen Wan Chung Yuen"/>
        <m/>
        <s v="Tai Wai Chung Yuen" u="1"/>
        <s v="East Point City" u="1"/>
        <s v="香港蘇寧988M-TKW" u="1"/>
        <s v="香港蘇寧9838-TM_1" u="1"/>
        <s v="豐澤653-AIR_TC" u="1"/>
        <s v="Citistore(3001)-TW1" u="1"/>
        <s v="香港蘇寧9852-TW2_荃灣廣場" u="1"/>
        <s v="一田百貨YATA-ST1_新城市3期" u="1"/>
        <s v="香港蘇寧9878-YL1_YOHO" u="1"/>
        <s v="豐澤438-KB_德福" u="1"/>
        <s v="Citistore(3004)-YL2" u="1"/>
        <s v="豐澤201-CT_余崇本" u="1"/>
        <s v="豐澤237-FH" u="1"/>
        <s v="Citistore(3102)-TM_1" u="1"/>
        <s v="豐澤220-Taikoo" u="1"/>
        <s v="崇光SGOG - Kai Tak_雙子匯" u="1"/>
        <s v="香港蘇寧9832-MOS" u="1"/>
        <s v="吉之島(08)-TM_1" u="1"/>
        <s v="豐澤628-TM_V-City" u="1"/>
        <s v="一田百貨YATA-TaiPo roadshow" u="1"/>
        <s v="東林 Expo roadshow" u="1"/>
        <s v="豐澤239-ABD" u="1"/>
        <s v="豐澤625-TW2_荃灣廣場" u="1"/>
        <s v="百老匯20-MK1_城市中心" u="1"/>
        <s v="百老匯08-TW1_眾安街" u="1"/>
        <s v="百老匯07-Taikoo" u="1"/>
        <s v="豐澤613-ST1_新城市" u="1"/>
        <s v="友和YOHO-CSW" u="1"/>
        <s v="吉之島(01)-Taikoo_康山店" u="1"/>
        <s v="吉之島(07)-WH_黃埔店" u="1"/>
        <s v="崇光SOGO - CWB_東角" u="1"/>
        <s v="一田有限公司-TM_V-City roadshow" u="1"/>
        <s v="吉之島(09)-TKO_將軍澳店" u="1"/>
        <s v="吉之島(10)-KLN City" u="1"/>
        <s v="吉之島(02)-TW2_灣景店" u="1"/>
        <s v="吉之島(05)-LCK" u="1"/>
        <s v="吉之島(210)-YT" u="1"/>
        <s v="吉之島(04)-TW3_大窩口店" u="1"/>
        <s v="吉之島(06)-KB_MegaBox" u="1"/>
        <s v="豐澤672-MOS" u="1"/>
        <s v="Times Square" u="1"/>
        <s v="ssssss" u="1"/>
        <s v="xxxx" u="1"/>
        <s v="F477" u="1"/>
        <s v="SW Wing On" u="1"/>
        <s v="F487" u="1"/>
        <s v="SW Wing On_1" u="1"/>
        <s v="F487_1" u="1"/>
        <s v="SW Wing On_2" u="1"/>
        <s v="F487_2" u="1"/>
        <s v="F487_3" u="1"/>
      </sharedItems>
    </cacheField>
    <cacheField name="Name" numFmtId="0">
      <sharedItems containsBlank="1" count="55">
        <s v="Lee Sin Edith"/>
        <s v="Leung Kam Ching"/>
        <s v="Yuen Maria Wing Yan"/>
        <s v="Wan Kwok Hei"/>
        <m/>
        <s v="Lee Sin " u="1"/>
        <s v="Grace" u="1"/>
        <s v="Daisy" u="1"/>
        <s v="Jaco" u="1"/>
        <s v="Winnie" u="1"/>
        <s v="Hung" u="1"/>
        <s v="Maggie Yip" u="1"/>
        <s v="Leo" u="1"/>
        <s v="Coco" u="1"/>
        <s v="Kit" u="1"/>
        <s v="Vicky Leung" u="1"/>
        <s v="kitty" u="1"/>
        <s v="HoWaiLing" u="1"/>
        <s v="Kiko" u="1"/>
        <s v="Fong" u="1"/>
        <s v="Kandy" u="1"/>
        <s v="Anita" u="1"/>
        <s v="Lily" u="1"/>
        <s v="Ivy Wong" u="1"/>
        <s v="Gloria" u="1"/>
        <s v="Jessica" u="1"/>
        <s v="Connie" u="1"/>
        <s v="Donnie" u="1"/>
        <s v="Emma" u="1"/>
        <s v="Sau Kwan" u="1"/>
        <s v="Ho" u="1"/>
        <s v="Happy" u="1"/>
        <s v="Amy Or" u="1"/>
        <s v="Terence" u="1"/>
        <s v="Wee" u="1"/>
        <s v="May C" u="1"/>
        <s v="Shirley" u="1"/>
        <s v="Mui Hon" u="1"/>
        <s v="Maggie Ho" u="1"/>
        <s v="Tony" u="1"/>
        <s v="Mandy" u="1"/>
        <s v="Iris" u="1"/>
        <s v="Mui Chan So Mui" u="1"/>
        <s v="Kuen" u="1"/>
        <s v="Cindy" u="1"/>
        <s v="Maggie Li" u="1"/>
        <s v="Me" u="1"/>
        <s v="Foo Tat Luen" u="1"/>
        <s v="Pau May Yuk" u="1"/>
        <s v="Lam Tsz Man" u="1"/>
        <s v="Cheung Yin Ping" u="1"/>
        <s v="Chan Yun Hing" u="1"/>
        <s v="Chan Chan Chan" u="1"/>
        <s v="Ho ho ho" u="1"/>
        <s v="Man Man Man" u="1"/>
      </sharedItems>
    </cacheField>
    <cacheField name="In-Time" numFmtId="0">
      <sharedItems containsNonDate="0" containsDate="1" containsString="0" containsBlank="1" minDate="1899-12-30T10:50:00" maxDate="1899-12-30T12:00:00"/>
    </cacheField>
    <cacheField name="Out-Time" numFmtId="0">
      <sharedItems containsNonDate="0" containsDate="1" containsString="0" containsBlank="1" minDate="1899-12-30T20:00:00" maxDate="1899-12-30T21:30:00"/>
    </cacheField>
    <cacheField name=" Hours" numFmtId="0">
      <sharedItems containsSemiMixedTypes="0" containsString="0" containsNumber="1" minValue="0" maxValue="9.6666666666666679"/>
    </cacheField>
    <cacheField name="OT Hours" numFmtId="0">
      <sharedItems containsSemiMixedTypes="0" containsString="0" containsNumber="1" minValue="-7.9999999999999929" maxValue="1.666666666666675"/>
    </cacheField>
    <cacheField name="In-Time2" numFmtId="0">
      <sharedItems containsNonDate="0" containsDate="1" containsString="0" containsBlank="1" minDate="1899-12-30T12:00:00" maxDate="1899-12-30T12:00:00"/>
    </cacheField>
    <cacheField name="Out-Time2" numFmtId="0">
      <sharedItems containsNonDate="0" containsDate="1" containsString="0" containsBlank="1" minDate="1899-12-30T20:00:00" maxDate="1899-12-30T20:00:00"/>
    </cacheField>
    <cacheField name="Normal working_x000a_ hours" numFmtId="0">
      <sharedItems containsSemiMixedTypes="0" containsString="0" containsNumber="1" minValue="0" maxValue="8"/>
    </cacheField>
    <cacheField name="Hours Worked" numFmtId="0">
      <sharedItems containsString="0" containsBlank="1" containsNumber="1" minValue="7.9999999999999902" maxValue="9.5"/>
    </cacheField>
    <cacheField name="Hourly Rate" numFmtId="0">
      <sharedItems containsSemiMixedTypes="0" containsString="0" containsNumber="1" containsInteger="1" minValue="0" maxValue="0"/>
    </cacheField>
    <cacheField name="Total Pay" numFmtId="0">
      <sharedItems containsSemiMixedTypes="0" containsString="0" containsNumber="1" containsInteger="1" minValue="0" maxValue="0"/>
    </cacheField>
    <cacheField name="Remark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8">
  <r>
    <n v="1"/>
    <s v="Lee Sin EdithSSPO YOHO"/>
    <s v="SSPO YOHO46174Edith"/>
    <m/>
    <s v="1"/>
    <d v="2026-06-01T00:00:00"/>
    <x v="0"/>
    <x v="0"/>
    <x v="0"/>
    <d v="1899-12-30T12:00:00"/>
    <d v="1899-12-30T20:00:00"/>
    <n v="8"/>
    <n v="0"/>
    <d v="1899-12-30T12:00:00"/>
    <d v="1899-12-30T20:00:00"/>
    <n v="8"/>
    <n v="8"/>
    <n v="0"/>
    <n v="0"/>
    <m/>
  </r>
  <r>
    <n v="2"/>
    <s v="Lee Sin EdithKT YOHO"/>
    <s v="KT YOHO46175Edith"/>
    <m/>
    <s v="2"/>
    <d v="2026-06-02T00:00:00"/>
    <x v="0"/>
    <x v="1"/>
    <x v="0"/>
    <d v="1899-12-30T12:00:00"/>
    <d v="1899-12-30T20:00:00"/>
    <n v="8"/>
    <n v="0"/>
    <d v="1899-12-30T12:00:00"/>
    <d v="1899-12-30T20:00:00"/>
    <n v="8"/>
    <n v="8"/>
    <n v="0"/>
    <n v="0"/>
    <m/>
  </r>
  <r>
    <n v="3"/>
    <s v="Lee Sin EdithKT YOHO"/>
    <s v="KT YOHO46177Edith"/>
    <m/>
    <s v="4"/>
    <d v="2026-06-04T00:00:00"/>
    <x v="0"/>
    <x v="1"/>
    <x v="0"/>
    <d v="1899-12-30T12:00:00"/>
    <d v="1899-12-30T20:00:00"/>
    <n v="8"/>
    <n v="0"/>
    <d v="1899-12-30T12:00:00"/>
    <d v="1899-12-30T20:00:00"/>
    <n v="8"/>
    <n v="8"/>
    <n v="0"/>
    <n v="0"/>
    <m/>
  </r>
  <r>
    <n v="4"/>
    <s v="Lee Sin EdithSSPO YOHO"/>
    <s v="SSPO YOHO46178Edith"/>
    <m/>
    <s v="5"/>
    <d v="2026-06-05T00:00:00"/>
    <x v="0"/>
    <x v="0"/>
    <x v="0"/>
    <d v="1899-12-30T12:00:00"/>
    <d v="1899-12-30T20:00:00"/>
    <n v="8"/>
    <n v="0"/>
    <d v="1899-12-30T12:00:00"/>
    <d v="1899-12-30T20:00:00"/>
    <n v="8"/>
    <n v="8"/>
    <n v="0"/>
    <n v="0"/>
    <m/>
  </r>
  <r>
    <n v="5"/>
    <s v="Lee Sin EdithSSPO YOHO"/>
    <s v="SSPO YOHO46179Edith"/>
    <m/>
    <s v="6"/>
    <d v="2026-06-06T00:00:00"/>
    <x v="0"/>
    <x v="0"/>
    <x v="0"/>
    <d v="1899-12-30T12:00:00"/>
    <d v="1899-12-30T20:00:00"/>
    <n v="8"/>
    <n v="0"/>
    <d v="1899-12-30T12:00:00"/>
    <d v="1899-12-30T20:00:00"/>
    <n v="8"/>
    <n v="8"/>
    <n v="0"/>
    <n v="0"/>
    <m/>
  </r>
  <r>
    <n v="6"/>
    <s v="Lee Sin EdithKT YOHO"/>
    <s v="KT YOHO46180Edith"/>
    <m/>
    <s v="7"/>
    <d v="2026-06-07T00:00:00"/>
    <x v="0"/>
    <x v="1"/>
    <x v="0"/>
    <d v="1899-12-30T12:00:00"/>
    <d v="1899-12-30T20:00:00"/>
    <n v="8"/>
    <n v="0"/>
    <d v="1899-12-30T12:00:00"/>
    <d v="1899-12-30T20:00:00"/>
    <n v="8"/>
    <n v="8"/>
    <n v="0"/>
    <n v="0"/>
    <m/>
  </r>
  <r>
    <n v="7"/>
    <s v="Lee Sin EdithKT YOHO"/>
    <s v="KT YOHO46181Edith"/>
    <m/>
    <s v="8"/>
    <d v="2026-06-08T00:00:00"/>
    <x v="0"/>
    <x v="1"/>
    <x v="0"/>
    <d v="1899-12-30T12:00:00"/>
    <d v="1899-12-30T20:00:00"/>
    <n v="8"/>
    <n v="0"/>
    <d v="1899-12-30T12:00:00"/>
    <d v="1899-12-30T20:00:00"/>
    <n v="8"/>
    <n v="8"/>
    <n v="0"/>
    <n v="0"/>
    <m/>
  </r>
  <r>
    <n v="8"/>
    <s v="Lee Sin EdithKT YOHO"/>
    <s v="KT YOHO46182Edith"/>
    <m/>
    <s v="9"/>
    <d v="2026-06-09T00:00:00"/>
    <x v="0"/>
    <x v="1"/>
    <x v="0"/>
    <d v="1899-12-30T12:00:00"/>
    <d v="1899-12-30T20:00:00"/>
    <n v="8"/>
    <n v="0"/>
    <d v="1899-12-30T12:00:00"/>
    <d v="1899-12-30T20:00:00"/>
    <n v="8"/>
    <n v="8"/>
    <n v="0"/>
    <n v="0"/>
    <m/>
  </r>
  <r>
    <n v="9"/>
    <s v="Lee Sin EdithSSPO YOHO"/>
    <s v="SSPO YOHO46184Edith"/>
    <m/>
    <s v="11"/>
    <d v="2026-06-11T00:00:00"/>
    <x v="0"/>
    <x v="0"/>
    <x v="0"/>
    <d v="1899-12-30T12:00:00"/>
    <d v="1899-12-30T20:00:00"/>
    <n v="8"/>
    <n v="0"/>
    <d v="1899-12-30T12:00:00"/>
    <d v="1899-12-30T20:00:00"/>
    <n v="8"/>
    <n v="8"/>
    <n v="0"/>
    <n v="0"/>
    <m/>
  </r>
  <r>
    <n v="10"/>
    <s v="Lee Sin EdithSSPO YOHO"/>
    <s v="SSPO YOHO46185Edith"/>
    <m/>
    <s v="12"/>
    <d v="2026-06-12T00:00:00"/>
    <x v="0"/>
    <x v="0"/>
    <x v="0"/>
    <d v="1899-12-30T12:00:00"/>
    <d v="1899-12-30T20:00:00"/>
    <n v="8"/>
    <n v="0"/>
    <d v="1899-12-30T12:00:00"/>
    <d v="1899-12-30T20:00:00"/>
    <n v="8"/>
    <n v="8"/>
    <n v="0"/>
    <n v="0"/>
    <m/>
  </r>
  <r>
    <n v="11"/>
    <s v="Lee Sin EdithKT YOHO"/>
    <s v="KT YOHO46188Edith"/>
    <m/>
    <s v="15"/>
    <d v="2026-06-15T00:00:00"/>
    <x v="0"/>
    <x v="1"/>
    <x v="0"/>
    <d v="1899-12-30T12:00:00"/>
    <d v="1899-12-30T20:00:00"/>
    <n v="8"/>
    <n v="0"/>
    <d v="1899-12-30T12:00:00"/>
    <d v="1899-12-30T20:00:00"/>
    <n v="8"/>
    <n v="8"/>
    <n v="0"/>
    <n v="0"/>
    <m/>
  </r>
  <r>
    <n v="12"/>
    <s v="Lee Sin EdithKT YOHO"/>
    <s v="KT YOHO46189Edith"/>
    <m/>
    <s v="16"/>
    <d v="2026-06-16T00:00:00"/>
    <x v="0"/>
    <x v="1"/>
    <x v="0"/>
    <d v="1899-12-30T12:00:00"/>
    <d v="1899-12-30T20:00:00"/>
    <n v="8"/>
    <n v="0"/>
    <d v="1899-12-30T12:00:00"/>
    <d v="1899-12-30T20:00:00"/>
    <n v="8"/>
    <n v="8"/>
    <n v="0"/>
    <n v="0"/>
    <m/>
  </r>
  <r>
    <n v="13"/>
    <s v="Lee Sin EdithSSPO YOHO"/>
    <s v="SSPO YOHO46190Edith"/>
    <m/>
    <s v="17"/>
    <d v="2026-06-17T00:00:00"/>
    <x v="0"/>
    <x v="0"/>
    <x v="0"/>
    <d v="1899-12-30T12:00:00"/>
    <d v="1899-12-30T20:00:00"/>
    <n v="8"/>
    <n v="0"/>
    <d v="1899-12-30T12:00:00"/>
    <d v="1899-12-30T20:00:00"/>
    <n v="8"/>
    <n v="8"/>
    <n v="0"/>
    <n v="0"/>
    <m/>
  </r>
  <r>
    <n v="14"/>
    <s v="Lee Sin EdithSSPO YOHO"/>
    <s v="SSPO YOHO46192Edith"/>
    <m/>
    <s v="19"/>
    <d v="2026-06-19T00:00:00"/>
    <x v="0"/>
    <x v="0"/>
    <x v="0"/>
    <d v="1899-12-30T12:00:00"/>
    <d v="1899-12-30T20:00:00"/>
    <n v="8"/>
    <n v="0"/>
    <d v="1899-12-30T12:00:00"/>
    <d v="1899-12-30T20:00:00"/>
    <n v="8"/>
    <n v="8"/>
    <n v="0"/>
    <n v="0"/>
    <m/>
  </r>
  <r>
    <n v="15"/>
    <s v="Lee Sin EdithWai Chai YOHO"/>
    <s v="Wai Chai YOHO46194Edith"/>
    <m/>
    <s v="21"/>
    <d v="2026-06-21T00:00:00"/>
    <x v="0"/>
    <x v="2"/>
    <x v="0"/>
    <d v="1899-12-30T12:00:00"/>
    <d v="1899-12-30T20:00:00"/>
    <n v="8"/>
    <n v="0"/>
    <d v="1899-12-30T12:00:00"/>
    <d v="1899-12-30T20:00:00"/>
    <n v="8"/>
    <n v="8"/>
    <n v="0"/>
    <n v="0"/>
    <m/>
  </r>
  <r>
    <n v="16"/>
    <s v="Lee Sin EdithKT YOHO"/>
    <s v="KT YOHO46195Edith"/>
    <m/>
    <s v="22"/>
    <d v="2026-06-22T00:00:00"/>
    <x v="0"/>
    <x v="1"/>
    <x v="0"/>
    <d v="1899-12-30T12:00:00"/>
    <d v="1899-12-30T20:00:00"/>
    <n v="8"/>
    <n v="0"/>
    <d v="1899-12-30T12:00:00"/>
    <d v="1899-12-30T20:00:00"/>
    <n v="8"/>
    <n v="8"/>
    <n v="0"/>
    <n v="0"/>
    <m/>
  </r>
  <r>
    <n v="17"/>
    <s v="Lee Sin EdithSSPO YOHO"/>
    <s v="SSPO YOHO46196Edith"/>
    <m/>
    <s v="23"/>
    <d v="2026-06-23T00:00:00"/>
    <x v="0"/>
    <x v="0"/>
    <x v="0"/>
    <d v="1899-12-30T12:00:00"/>
    <d v="1899-12-30T20:00:00"/>
    <n v="7.9999999999999929"/>
    <n v="0"/>
    <d v="1899-12-30T12:00:00"/>
    <d v="1899-12-30T20:00:00"/>
    <n v="7.9999999999999929"/>
    <n v="7.9999999999999929"/>
    <n v="0"/>
    <n v="0"/>
    <m/>
  </r>
  <r>
    <n v="18"/>
    <s v="Lee Sin EdithSSPO YOHO"/>
    <s v="SSPO YOHO46198Edith"/>
    <m/>
    <s v="25"/>
    <d v="2026-06-25T00:00:00"/>
    <x v="0"/>
    <x v="0"/>
    <x v="0"/>
    <d v="1899-12-30T12:00:00"/>
    <d v="1899-12-30T20:00:00"/>
    <n v="7.9999999999999929"/>
    <n v="0"/>
    <d v="1899-12-30T12:00:00"/>
    <d v="1899-12-30T20:00:00"/>
    <n v="7.9999999999999929"/>
    <n v="7.9999999999999929"/>
    <n v="0"/>
    <n v="0"/>
    <m/>
  </r>
  <r>
    <n v="19"/>
    <s v="Lee Sin EdithKT YOHO"/>
    <s v="KT YOHO46199Edith"/>
    <m/>
    <s v="26"/>
    <d v="2026-06-26T00:00:00"/>
    <x v="0"/>
    <x v="1"/>
    <x v="0"/>
    <d v="1899-12-30T12:00:00"/>
    <d v="1899-12-30T20:00:00"/>
    <n v="7.9999999999999929"/>
    <n v="0"/>
    <d v="1899-12-30T12:00:00"/>
    <d v="1899-12-30T20:00:00"/>
    <n v="7.9999999999999929"/>
    <n v="7.9999999999999929"/>
    <n v="0"/>
    <n v="0"/>
    <m/>
  </r>
  <r>
    <n v="20"/>
    <s v="Lee Sin EdithSSPO YOHO"/>
    <s v="SSPO YOHO46201Edith"/>
    <m/>
    <s v="28"/>
    <d v="2026-06-28T00:00:00"/>
    <x v="0"/>
    <x v="0"/>
    <x v="0"/>
    <d v="1899-12-30T12:00:00"/>
    <d v="1899-12-30T20:00:00"/>
    <n v="7.9999999999999929"/>
    <n v="0"/>
    <d v="1899-12-30T12:00:00"/>
    <d v="1899-12-30T20:00:00"/>
    <n v="7.9999999999999929"/>
    <n v="7.9999999999999929"/>
    <n v="0"/>
    <n v="0"/>
    <m/>
  </r>
  <r>
    <n v="21"/>
    <s v="Lee Sin EdithSSPO YOHO"/>
    <s v="SSPO YOHO46202Edith"/>
    <m/>
    <s v="29"/>
    <d v="2026-06-29T00:00:00"/>
    <x v="0"/>
    <x v="0"/>
    <x v="0"/>
    <d v="1899-12-30T12:00:00"/>
    <d v="1899-12-30T20:00:00"/>
    <n v="7.9999999999999929"/>
    <n v="0"/>
    <d v="1899-12-30T12:00:00"/>
    <d v="1899-12-30T20:00:00"/>
    <n v="7.9999999999999929"/>
    <n v="7.9999999999999929"/>
    <n v="0"/>
    <n v="0"/>
    <m/>
  </r>
  <r>
    <n v="22"/>
    <s v="Lee Sin EdithKT YOHO"/>
    <s v="KT YOHO46203Edith"/>
    <m/>
    <s v="30"/>
    <d v="2026-06-30T00:00:00"/>
    <x v="0"/>
    <x v="1"/>
    <x v="0"/>
    <d v="1899-12-30T12:00:00"/>
    <d v="1899-12-30T20:00:00"/>
    <n v="7.9999999999999929"/>
    <n v="0"/>
    <d v="1899-12-30T12:00:00"/>
    <d v="1899-12-30T20:00:00"/>
    <n v="7.9999999999999929"/>
    <n v="7.9999999999999929"/>
    <n v="0"/>
    <n v="0"/>
    <m/>
  </r>
  <r>
    <n v="23"/>
    <s v="Leung Kam ChingTelford plaza Chung Yuen"/>
    <s v="Telford plaza Chung Yuen46174Amy"/>
    <m/>
    <s v="1"/>
    <d v="2026-06-01T00:00:00"/>
    <x v="1"/>
    <x v="3"/>
    <x v="1"/>
    <d v="1899-12-30T11:48:00"/>
    <d v="1899-12-30T20:02:00"/>
    <n v="8.2333333333333343"/>
    <n v="0.23333333333334139"/>
    <d v="1899-12-30T12:00:00"/>
    <d v="1899-12-30T20:00:00"/>
    <n v="7.9999999999999929"/>
    <n v="7.9999999999999902"/>
    <n v="0"/>
    <n v="0"/>
    <m/>
  </r>
  <r>
    <n v="24"/>
    <s v="Leung Kam ChingTelford plaza Chung Yuen"/>
    <s v="Telford plaza Chung Yuen46176Amy"/>
    <m/>
    <s v="3"/>
    <d v="2026-06-03T00:00:00"/>
    <x v="1"/>
    <x v="3"/>
    <x v="1"/>
    <d v="1899-12-30T11:50:00"/>
    <d v="1899-12-30T20:00:00"/>
    <n v="8.1666666666666679"/>
    <n v="0.16666666666667496"/>
    <d v="1899-12-30T12:00:00"/>
    <d v="1899-12-30T20:00:00"/>
    <n v="7.9999999999999929"/>
    <n v="7.9999999999999902"/>
    <n v="0"/>
    <n v="0"/>
    <m/>
  </r>
  <r>
    <n v="25"/>
    <s v="Leung Kam ChingMetro City"/>
    <s v="Metro City46177Amy"/>
    <m/>
    <s v="4"/>
    <d v="2026-06-04T00:00:00"/>
    <x v="1"/>
    <x v="4"/>
    <x v="1"/>
    <d v="1899-12-30T11:52:00"/>
    <d v="1899-12-30T20:03:00"/>
    <n v="8.1833333333333336"/>
    <n v="0.18333333333334068"/>
    <d v="1899-12-30T12:00:00"/>
    <d v="1899-12-30T20:00:00"/>
    <n v="7.9999999999999929"/>
    <n v="7.9999999999999902"/>
    <n v="0"/>
    <n v="0"/>
    <m/>
  </r>
  <r>
    <n v="26"/>
    <s v="Leung Kam ChingMetro City"/>
    <s v="Metro City46178Amy"/>
    <m/>
    <s v="5"/>
    <d v="2026-06-05T00:00:00"/>
    <x v="1"/>
    <x v="4"/>
    <x v="1"/>
    <d v="1899-12-30T11:50:00"/>
    <d v="1899-12-30T20:02:00"/>
    <n v="8.1999999999999993"/>
    <n v="0.20000000000000639"/>
    <d v="1899-12-30T12:00:00"/>
    <d v="1899-12-30T20:00:00"/>
    <n v="7.9999999999999929"/>
    <n v="7.9999999999999902"/>
    <n v="0"/>
    <n v="0"/>
    <m/>
  </r>
  <r>
    <n v="27"/>
    <s v="Leung Kam ChingMetro City"/>
    <s v="Metro City46179Amy"/>
    <m/>
    <s v="6"/>
    <d v="2026-06-06T00:00:00"/>
    <x v="1"/>
    <x v="4"/>
    <x v="1"/>
    <d v="1899-12-30T11:52:00"/>
    <d v="1899-12-30T20:03:00"/>
    <n v="8.1833333333333336"/>
    <n v="0.18333333333334068"/>
    <d v="1899-12-30T12:00:00"/>
    <d v="1899-12-30T20:00:00"/>
    <n v="7.9999999999999929"/>
    <n v="7.9999999999999902"/>
    <n v="0"/>
    <n v="0"/>
    <m/>
  </r>
  <r>
    <n v="28"/>
    <s v="Leung Kam ChingTelford plaza Chung Yuen"/>
    <s v="Telford plaza Chung Yuen46180Amy"/>
    <m/>
    <s v="7"/>
    <d v="2026-06-07T00:00:00"/>
    <x v="1"/>
    <x v="3"/>
    <x v="1"/>
    <d v="1899-12-30T11:50:00"/>
    <d v="1899-12-30T20:00:00"/>
    <n v="8.1666666666666679"/>
    <n v="0.16666666666667496"/>
    <d v="1899-12-30T12:00:00"/>
    <d v="1899-12-30T20:00:00"/>
    <n v="7.9999999999999929"/>
    <n v="7.9999999999999902"/>
    <n v="0"/>
    <n v="0"/>
    <m/>
  </r>
  <r>
    <n v="29"/>
    <s v="Leung Kam ChingTelford plaza Chung Yuen"/>
    <s v="Telford plaza Chung Yuen46181Amy"/>
    <m/>
    <s v="8"/>
    <d v="2026-06-08T00:00:00"/>
    <x v="1"/>
    <x v="3"/>
    <x v="1"/>
    <d v="1899-12-30T11:46:00"/>
    <d v="1899-12-30T20:02:00"/>
    <n v="8.2666666666666675"/>
    <n v="0.2666666666666746"/>
    <d v="1899-12-30T12:00:00"/>
    <d v="1899-12-30T20:00:00"/>
    <n v="7.9999999999999929"/>
    <n v="7.9999999999999902"/>
    <n v="0"/>
    <n v="0"/>
    <m/>
  </r>
  <r>
    <n v="30"/>
    <s v="Leung Kam ChingTelford plaza Chung Yuen"/>
    <s v="Telford plaza Chung Yuen46183Amy"/>
    <m/>
    <s v="10"/>
    <d v="2026-06-10T00:00:00"/>
    <x v="1"/>
    <x v="3"/>
    <x v="1"/>
    <d v="1899-12-30T11:52:00"/>
    <d v="1899-12-30T20:00:00"/>
    <n v="8.1333333333333329"/>
    <n v="0.13333333333333997"/>
    <d v="1899-12-30T12:00:00"/>
    <d v="1899-12-30T20:00:00"/>
    <n v="7.9999999999999929"/>
    <n v="7.9999999999999902"/>
    <n v="0"/>
    <n v="0"/>
    <m/>
  </r>
  <r>
    <n v="31"/>
    <s v="Leung Kam ChingMetro City"/>
    <s v="Metro City46184Amy"/>
    <m/>
    <s v="11"/>
    <d v="2026-06-11T00:00:00"/>
    <x v="1"/>
    <x v="4"/>
    <x v="1"/>
    <d v="1899-12-30T10:50:00"/>
    <d v="1899-12-30T20:00:00"/>
    <n v="9.1666666666666679"/>
    <n v="1.166666666666675"/>
    <d v="1899-12-30T12:00:00"/>
    <d v="1899-12-30T20:00:00"/>
    <n v="7.9999999999999929"/>
    <n v="9"/>
    <n v="0"/>
    <n v="0"/>
    <m/>
  </r>
  <r>
    <n v="32"/>
    <s v="Leung Kam ChingRoadshow"/>
    <s v="Roadshow46185Amy"/>
    <m/>
    <s v="12"/>
    <d v="2026-06-12T00:00:00"/>
    <x v="1"/>
    <x v="5"/>
    <x v="1"/>
    <d v="1899-12-30T11:52:00"/>
    <d v="1899-12-30T20:00:00"/>
    <n v="8.1333333333333329"/>
    <n v="0.13333333333333997"/>
    <d v="1899-12-30T12:00:00"/>
    <d v="1899-12-30T20:00:00"/>
    <n v="7.9999999999999929"/>
    <n v="7.9999999999999902"/>
    <n v="0"/>
    <n v="0"/>
    <m/>
  </r>
  <r>
    <n v="33"/>
    <s v="Leung Kam ChingMetro City"/>
    <s v="Metro City46186Amy"/>
    <m/>
    <s v="13"/>
    <d v="2026-06-13T00:00:00"/>
    <x v="1"/>
    <x v="4"/>
    <x v="1"/>
    <d v="1899-12-30T11:50:00"/>
    <d v="1899-12-30T21:30:00"/>
    <n v="9.6666666666666679"/>
    <n v="1.666666666666675"/>
    <d v="1899-12-30T12:00:00"/>
    <d v="1899-12-30T20:00:00"/>
    <n v="7.9999999999999929"/>
    <n v="9.5"/>
    <n v="0"/>
    <n v="0"/>
    <m/>
  </r>
  <r>
    <n v="34"/>
    <s v="Leung Kam ChingMetro City"/>
    <s v="Metro City46187Amy"/>
    <m/>
    <s v="14"/>
    <d v="2026-06-14T00:00:00"/>
    <x v="1"/>
    <x v="4"/>
    <x v="1"/>
    <d v="1899-12-30T11:52:00"/>
    <d v="1899-12-30T20:00:00"/>
    <n v="8.1333333333333258"/>
    <n v="0.13333333333333286"/>
    <d v="1899-12-30T12:00:00"/>
    <d v="1899-12-30T20:00:00"/>
    <n v="7.9999999999999929"/>
    <n v="7.9999999999999902"/>
    <n v="0"/>
    <n v="0"/>
    <m/>
  </r>
  <r>
    <n v="35"/>
    <s v="Leung Kam ChingTelford plaza Chung Yuen"/>
    <s v="Telford plaza Chung Yuen46188Amy"/>
    <m/>
    <s v="15"/>
    <d v="2026-06-15T00:00:00"/>
    <x v="1"/>
    <x v="3"/>
    <x v="1"/>
    <d v="1899-12-30T11:50:00"/>
    <d v="1899-12-30T20:00:00"/>
    <n v="8.166666666666659"/>
    <n v="0.16666666666666607"/>
    <d v="1899-12-30T12:00:00"/>
    <d v="1899-12-30T20:00:00"/>
    <n v="7.9999999999999929"/>
    <n v="7.9999999999999902"/>
    <n v="0"/>
    <n v="0"/>
    <m/>
  </r>
  <r>
    <n v="36"/>
    <s v="Leung Kam ChingTelford plaza Chung Yuen"/>
    <s v="Telford plaza Chung Yuen46190Amy"/>
    <m/>
    <s v="17"/>
    <d v="2026-06-17T00:00:00"/>
    <x v="1"/>
    <x v="3"/>
    <x v="1"/>
    <d v="1899-12-30T11:48:00"/>
    <d v="1899-12-30T20:00:00"/>
    <n v="8.199999999999994"/>
    <n v="0.20000000000000107"/>
    <d v="1899-12-30T12:00:00"/>
    <d v="1899-12-30T20:00:00"/>
    <n v="7.9999999999999929"/>
    <n v="7.9999999999999902"/>
    <n v="0"/>
    <n v="0"/>
    <m/>
  </r>
  <r>
    <n v="37"/>
    <s v="Leung Kam ChingMetro City"/>
    <s v="Metro City46191Amy"/>
    <m/>
    <s v="18"/>
    <d v="2026-06-18T00:00:00"/>
    <x v="1"/>
    <x v="4"/>
    <x v="1"/>
    <d v="1899-12-30T11:50:00"/>
    <d v="1899-12-30T20:00:00"/>
    <n v="8.166666666666659"/>
    <n v="0.16666666666666607"/>
    <d v="1899-12-30T12:00:00"/>
    <d v="1899-12-30T20:00:00"/>
    <n v="7.9999999999999929"/>
    <n v="7.9999999999999902"/>
    <n v="0"/>
    <n v="0"/>
    <m/>
  </r>
  <r>
    <n v="38"/>
    <s v="Leung Kam ChingMetro City"/>
    <s v="Metro City46193Amy"/>
    <m/>
    <s v="20"/>
    <d v="2026-06-20T00:00:00"/>
    <x v="1"/>
    <x v="4"/>
    <x v="1"/>
    <d v="1899-12-30T11:48:00"/>
    <d v="1899-12-30T20:00:00"/>
    <n v="8.199999999999994"/>
    <n v="0.20000000000000107"/>
    <d v="1899-12-30T12:00:00"/>
    <d v="1899-12-30T20:00:00"/>
    <n v="7.9999999999999929"/>
    <n v="7.9999999999999902"/>
    <n v="0"/>
    <n v="0"/>
    <m/>
  </r>
  <r>
    <n v="39"/>
    <s v="Leung Kam ChingTelford plaza Chung Yuen"/>
    <s v="Telford plaza Chung Yuen46194Amy"/>
    <m/>
    <s v="21"/>
    <d v="2026-06-21T00:00:00"/>
    <x v="1"/>
    <x v="3"/>
    <x v="1"/>
    <d v="1899-12-30T11:50:00"/>
    <d v="1899-12-30T20:00:00"/>
    <n v="8.166666666666659"/>
    <n v="0.16666666666666607"/>
    <d v="1899-12-30T12:00:00"/>
    <d v="1899-12-30T20:00:00"/>
    <n v="7.9999999999999929"/>
    <n v="7.9999999999999902"/>
    <n v="0"/>
    <n v="0"/>
    <m/>
  </r>
  <r>
    <n v="40"/>
    <s v="Leung Kam ChingTelford plaza Chung Yuen"/>
    <s v="Telford plaza Chung Yuen46195Amy"/>
    <m/>
    <s v="22"/>
    <d v="2026-06-22T00:00:00"/>
    <x v="1"/>
    <x v="3"/>
    <x v="1"/>
    <d v="1899-12-30T11:52:00"/>
    <d v="1899-12-30T20:00:00"/>
    <n v="8.1333333333333258"/>
    <n v="0.13333333333333286"/>
    <d v="1899-12-30T12:00:00"/>
    <d v="1899-12-30T20:00:00"/>
    <n v="7.9999999999999929"/>
    <n v="7.9999999999999902"/>
    <n v="0"/>
    <n v="0"/>
    <m/>
  </r>
  <r>
    <n v="41"/>
    <s v="Leung Kam ChingMetro City"/>
    <s v="Metro City46198Amy"/>
    <m/>
    <s v="25"/>
    <d v="2026-06-25T00:00:00"/>
    <x v="1"/>
    <x v="4"/>
    <x v="1"/>
    <d v="1899-12-30T11:50:00"/>
    <d v="1899-12-30T20:00:00"/>
    <n v="8.166666666666659"/>
    <n v="0.16666666666666607"/>
    <d v="1899-12-30T12:00:00"/>
    <d v="1899-12-30T20:00:00"/>
    <n v="7.9999999999999929"/>
    <n v="7.9999999999999902"/>
    <n v="0"/>
    <n v="0"/>
    <m/>
  </r>
  <r>
    <n v="42"/>
    <s v="Leung Kam ChingMetro City"/>
    <s v="Metro City46199Amy"/>
    <m/>
    <s v="26"/>
    <d v="2026-06-26T00:00:00"/>
    <x v="1"/>
    <x v="4"/>
    <x v="1"/>
    <d v="1899-12-30T11:52:00"/>
    <d v="1899-12-30T20:00:00"/>
    <n v="8.1333333333333258"/>
    <n v="0.13333333333333286"/>
    <d v="1899-12-30T12:00:00"/>
    <d v="1899-12-30T20:00:00"/>
    <n v="7.9999999999999929"/>
    <n v="7.9999999999999902"/>
    <n v="0"/>
    <n v="0"/>
    <m/>
  </r>
  <r>
    <n v="43"/>
    <s v="Leung Kam ChingMetro City"/>
    <s v="Metro City46200Amy"/>
    <m/>
    <s v="27"/>
    <d v="2026-06-27T00:00:00"/>
    <x v="1"/>
    <x v="4"/>
    <x v="1"/>
    <d v="1899-12-30T11:00:00"/>
    <d v="1899-12-30T20:00:00"/>
    <n v="8.9999999999999929"/>
    <n v="1"/>
    <d v="1899-12-30T12:00:00"/>
    <d v="1899-12-30T20:00:00"/>
    <n v="7.9999999999999929"/>
    <n v="7.9999999999999902"/>
    <n v="0"/>
    <n v="0"/>
    <m/>
  </r>
  <r>
    <n v="44"/>
    <s v="Leung Kam ChingTelford plaza Chung Yuen"/>
    <s v="Telford plaza Chung Yuen46201Amy"/>
    <m/>
    <s v="28"/>
    <d v="2026-06-28T00:00:00"/>
    <x v="1"/>
    <x v="3"/>
    <x v="1"/>
    <d v="1899-12-30T11:48:00"/>
    <d v="1899-12-30T20:00:00"/>
    <n v="8.199999999999994"/>
    <n v="0.20000000000000107"/>
    <d v="1899-12-30T12:00:00"/>
    <d v="1899-12-30T20:00:00"/>
    <n v="7.9999999999999929"/>
    <n v="7.9999999999999902"/>
    <n v="0"/>
    <n v="0"/>
    <m/>
  </r>
  <r>
    <n v="45"/>
    <s v="Leung Kam ChingTelford plaza Chung Yuen"/>
    <s v="Telford plaza Chung Yuen46202Amy"/>
    <m/>
    <s v="29"/>
    <d v="2026-06-29T00:00:00"/>
    <x v="1"/>
    <x v="3"/>
    <x v="1"/>
    <d v="1899-12-30T11:02:00"/>
    <d v="1899-12-30T20:00:00"/>
    <n v="8.9666666666666597"/>
    <n v="0.96666666666666679"/>
    <d v="1899-12-30T12:00:00"/>
    <d v="1899-12-30T20:00:00"/>
    <n v="7.9999999999999929"/>
    <n v="7.9999999999999902"/>
    <n v="0"/>
    <n v="0"/>
    <m/>
  </r>
  <r>
    <n v="46"/>
    <s v="Yuen Maria Wing YanCWB Yoho "/>
    <s v="CWB Yoho 46174Carol"/>
    <m/>
    <s v="1"/>
    <d v="2026-06-01T00:00:00"/>
    <x v="2"/>
    <x v="6"/>
    <x v="2"/>
    <d v="1899-12-30T12:00:00"/>
    <d v="1899-12-30T20:00:00"/>
    <n v="7.9999999999999929"/>
    <n v="0"/>
    <d v="1899-12-30T12:00:00"/>
    <d v="1899-12-30T20:00:00"/>
    <n v="7.9999999999999929"/>
    <n v="7.9999999999999902"/>
    <n v="0"/>
    <n v="0"/>
    <m/>
  </r>
  <r>
    <n v="47"/>
    <s v="Yuen Maria Wing YanTsuen Wan Chung Yuen"/>
    <s v="Tsuen Wan Chung Yuen46175Carol"/>
    <m/>
    <s v="2"/>
    <d v="2026-06-02T00:00:00"/>
    <x v="2"/>
    <x v="7"/>
    <x v="2"/>
    <d v="1899-12-30T12:00:00"/>
    <d v="1899-12-30T20:00:00"/>
    <n v="7.9999999999999929"/>
    <n v="0"/>
    <d v="1899-12-30T12:00:00"/>
    <d v="1899-12-30T20:00:00"/>
    <n v="7.9999999999999929"/>
    <n v="7.9999999999999902"/>
    <n v="0"/>
    <n v="0"/>
    <m/>
  </r>
  <r>
    <n v="48"/>
    <s v="Yuen Maria Wing YanTsuen Wan Chung Yuen"/>
    <s v="Tsuen Wan Chung Yuen46177Carol"/>
    <m/>
    <s v="4"/>
    <d v="2026-06-04T00:00:00"/>
    <x v="2"/>
    <x v="7"/>
    <x v="2"/>
    <d v="1899-12-30T12:00:00"/>
    <d v="1899-12-30T20:00:00"/>
    <n v="7.9999999999999929"/>
    <n v="0"/>
    <d v="1899-12-30T12:00:00"/>
    <d v="1899-12-30T20:00:00"/>
    <n v="7.9999999999999929"/>
    <n v="7.9999999999999902"/>
    <n v="0"/>
    <n v="0"/>
    <m/>
  </r>
  <r>
    <n v="49"/>
    <s v="Yuen Maria Wing YanTsuen Wan Chung Yuen"/>
    <s v="Tsuen Wan Chung Yuen46178Carol"/>
    <m/>
    <s v="5"/>
    <d v="2026-06-05T00:00:00"/>
    <x v="2"/>
    <x v="7"/>
    <x v="2"/>
    <d v="1899-12-30T12:00:00"/>
    <d v="1899-12-30T20:00:00"/>
    <n v="7.9999999999999929"/>
    <n v="0"/>
    <d v="1899-12-30T12:00:00"/>
    <d v="1899-12-30T20:00:00"/>
    <n v="7.9999999999999929"/>
    <n v="7.9999999999999902"/>
    <n v="0"/>
    <n v="0"/>
    <m/>
  </r>
  <r>
    <n v="50"/>
    <s v="Yuen Maria Wing YanCWB Yoho "/>
    <s v="CWB Yoho 46179Carol"/>
    <m/>
    <s v="6"/>
    <d v="2026-06-06T00:00:00"/>
    <x v="2"/>
    <x v="6"/>
    <x v="2"/>
    <d v="1899-12-30T12:00:00"/>
    <d v="1899-12-30T20:00:00"/>
    <n v="7.9999999999999929"/>
    <n v="0"/>
    <d v="1899-12-30T12:00:00"/>
    <d v="1899-12-30T20:00:00"/>
    <n v="7.9999999999999929"/>
    <n v="7.9999999999999902"/>
    <n v="0"/>
    <n v="0"/>
    <m/>
  </r>
  <r>
    <n v="51"/>
    <s v="Yuen Maria Wing YanCWB Yoho "/>
    <s v="CWB Yoho 46181Carol"/>
    <m/>
    <s v="8"/>
    <d v="2026-06-08T00:00:00"/>
    <x v="2"/>
    <x v="6"/>
    <x v="2"/>
    <d v="1899-12-30T12:00:00"/>
    <d v="1899-12-30T20:00:00"/>
    <n v="7.9999999999999929"/>
    <n v="0"/>
    <d v="1899-12-30T12:00:00"/>
    <d v="1899-12-30T20:00:00"/>
    <n v="7.9999999999999929"/>
    <n v="7.9999999999999902"/>
    <n v="0"/>
    <n v="0"/>
    <m/>
  </r>
  <r>
    <n v="52"/>
    <s v="Yuen Maria Wing YanTsuen Wan Chung Yuen"/>
    <s v="Tsuen Wan Chung Yuen46182Carol"/>
    <m/>
    <s v="9"/>
    <d v="2026-06-09T00:00:00"/>
    <x v="2"/>
    <x v="7"/>
    <x v="2"/>
    <d v="1899-12-30T12:00:00"/>
    <d v="1899-12-30T20:00:00"/>
    <n v="7.9999999999999929"/>
    <n v="0"/>
    <d v="1899-12-30T12:00:00"/>
    <d v="1899-12-30T20:00:00"/>
    <n v="7.9999999999999929"/>
    <n v="7.9999999999999902"/>
    <n v="0"/>
    <n v="0"/>
    <m/>
  </r>
  <r>
    <n v="53"/>
    <s v="Yuen Maria Wing YanTsuen Wan Chung Yuen"/>
    <s v="Tsuen Wan Chung Yuen46183Carol"/>
    <m/>
    <s v="10"/>
    <d v="2026-06-10T00:00:00"/>
    <x v="2"/>
    <x v="7"/>
    <x v="2"/>
    <d v="1899-12-30T12:00:00"/>
    <d v="1899-12-30T20:00:00"/>
    <n v="7.9999999999999929"/>
    <n v="0"/>
    <d v="1899-12-30T12:00:00"/>
    <d v="1899-12-30T20:00:00"/>
    <n v="7.9999999999999929"/>
    <n v="7.9999999999999902"/>
    <n v="0"/>
    <n v="0"/>
    <m/>
  </r>
  <r>
    <n v="54"/>
    <s v="Yuen Maria Wing YanTsuen Wan Chung Yuen"/>
    <s v="Tsuen Wan Chung Yuen46184Carol"/>
    <m/>
    <s v="11"/>
    <d v="2026-06-11T00:00:00"/>
    <x v="2"/>
    <x v="7"/>
    <x v="2"/>
    <d v="1899-12-30T12:00:00"/>
    <d v="1899-12-30T20:00:00"/>
    <n v="7.9999999999999929"/>
    <n v="0"/>
    <d v="1899-12-30T12:00:00"/>
    <d v="1899-12-30T20:00:00"/>
    <n v="7.9999999999999929"/>
    <n v="7.9999999999999902"/>
    <n v="0"/>
    <n v="0"/>
    <m/>
  </r>
  <r>
    <n v="55"/>
    <s v="Yuen Maria Wing YanCWB Yoho "/>
    <s v="CWB Yoho 46185Carol"/>
    <m/>
    <s v="12"/>
    <d v="2026-06-12T00:00:00"/>
    <x v="2"/>
    <x v="6"/>
    <x v="2"/>
    <d v="1899-12-30T12:00:00"/>
    <d v="1899-12-30T20:00:00"/>
    <n v="7.9999999999999929"/>
    <n v="0"/>
    <d v="1899-12-30T12:00:00"/>
    <d v="1899-12-30T20:00:00"/>
    <n v="7.9999999999999929"/>
    <n v="7.9999999999999902"/>
    <n v="0"/>
    <n v="0"/>
    <m/>
  </r>
  <r>
    <n v="56"/>
    <s v="Yuen Maria Wing YanCWB Yoho "/>
    <s v="CWB Yoho 46188Carol"/>
    <m/>
    <s v="15"/>
    <d v="2026-06-15T00:00:00"/>
    <x v="2"/>
    <x v="6"/>
    <x v="2"/>
    <d v="1899-12-30T12:00:00"/>
    <d v="1899-12-30T20:00:00"/>
    <n v="7.9999999999999929"/>
    <n v="0"/>
    <d v="1899-12-30T12:00:00"/>
    <d v="1899-12-30T20:00:00"/>
    <n v="7.9999999999999929"/>
    <n v="7.9999999999999902"/>
    <n v="0"/>
    <n v="0"/>
    <m/>
  </r>
  <r>
    <n v="57"/>
    <s v="Yuen Maria Wing YanCWB Yoho "/>
    <s v="CWB Yoho 46189Carol"/>
    <m/>
    <s v="16"/>
    <d v="2026-06-16T00:00:00"/>
    <x v="2"/>
    <x v="6"/>
    <x v="2"/>
    <d v="1899-12-30T12:00:00"/>
    <d v="1899-12-30T20:00:00"/>
    <n v="7.9999999999999929"/>
    <n v="0"/>
    <d v="1899-12-30T12:00:00"/>
    <d v="1899-12-30T20:00:00"/>
    <n v="7.9999999999999929"/>
    <n v="7.9999999999999902"/>
    <n v="0"/>
    <n v="0"/>
    <m/>
  </r>
  <r>
    <n v="58"/>
    <s v="Yuen Maria Wing YanTsuen Wan Chung Yuen"/>
    <s v="Tsuen Wan Chung Yuen46190Carol"/>
    <m/>
    <s v="17"/>
    <d v="2026-06-17T00:00:00"/>
    <x v="2"/>
    <x v="7"/>
    <x v="2"/>
    <d v="1899-12-30T12:00:00"/>
    <d v="1899-12-30T20:00:00"/>
    <n v="7.9999999999999929"/>
    <n v="0"/>
    <d v="1899-12-30T12:00:00"/>
    <d v="1899-12-30T20:00:00"/>
    <n v="7.9999999999999929"/>
    <n v="7.9999999999999902"/>
    <n v="0"/>
    <n v="0"/>
    <m/>
  </r>
  <r>
    <n v="59"/>
    <s v="Yuen Maria Wing YanCWB Yoho "/>
    <s v="CWB Yoho 46193Carol"/>
    <m/>
    <s v="20"/>
    <d v="2026-06-20T00:00:00"/>
    <x v="2"/>
    <x v="6"/>
    <x v="2"/>
    <d v="1899-12-30T12:00:00"/>
    <d v="1899-12-30T20:00:00"/>
    <n v="7.9999999999999929"/>
    <n v="0"/>
    <d v="1899-12-30T12:00:00"/>
    <d v="1899-12-30T20:00:00"/>
    <n v="7.9999999999999929"/>
    <n v="7.9999999999999902"/>
    <n v="0"/>
    <n v="0"/>
    <m/>
  </r>
  <r>
    <n v="60"/>
    <s v="Yuen Maria Wing YanCWB Yoho "/>
    <s v="CWB Yoho 46195Carol"/>
    <m/>
    <s v="22"/>
    <d v="2026-06-22T00:00:00"/>
    <x v="2"/>
    <x v="6"/>
    <x v="2"/>
    <d v="1899-12-30T12:00:00"/>
    <d v="1899-12-30T20:00:00"/>
    <n v="7.9999999999999929"/>
    <n v="0"/>
    <d v="1899-12-30T12:00:00"/>
    <d v="1899-12-30T20:00:00"/>
    <n v="7.9999999999999929"/>
    <n v="7.9999999999999902"/>
    <n v="0"/>
    <n v="0"/>
    <m/>
  </r>
  <r>
    <n v="61"/>
    <s v="Yuen Maria Wing YanTsuen Wan Chung Yuen"/>
    <s v="Tsuen Wan Chung Yuen46196Carol"/>
    <m/>
    <s v="23"/>
    <d v="2026-06-23T00:00:00"/>
    <x v="2"/>
    <x v="7"/>
    <x v="2"/>
    <d v="1899-12-30T12:00:00"/>
    <d v="1899-12-30T20:00:00"/>
    <n v="7.9999999999999929"/>
    <n v="0"/>
    <d v="1899-12-30T12:00:00"/>
    <d v="1899-12-30T20:00:00"/>
    <n v="7.9999999999999929"/>
    <n v="7.9999999999999902"/>
    <n v="0"/>
    <n v="0"/>
    <m/>
  </r>
  <r>
    <n v="62"/>
    <s v="Yuen Maria Wing YanTsuen Wan Chung Yuen"/>
    <s v="Tsuen Wan Chung Yuen46197Carol"/>
    <m/>
    <s v="24"/>
    <d v="2026-06-24T00:00:00"/>
    <x v="2"/>
    <x v="7"/>
    <x v="2"/>
    <d v="1899-12-30T12:00:00"/>
    <d v="1899-12-30T20:00:00"/>
    <n v="7.9999999999999929"/>
    <n v="0"/>
    <d v="1899-12-30T12:00:00"/>
    <d v="1899-12-30T20:00:00"/>
    <n v="7.9999999999999929"/>
    <n v="7.9999999999999902"/>
    <n v="0"/>
    <n v="0"/>
    <m/>
  </r>
  <r>
    <n v="63"/>
    <s v="Yuen Maria Wing YanCWB Yoho "/>
    <s v="CWB Yoho 46199Carol"/>
    <m/>
    <s v="26"/>
    <d v="2026-06-26T00:00:00"/>
    <x v="2"/>
    <x v="6"/>
    <x v="2"/>
    <d v="1899-12-30T12:00:00"/>
    <d v="1899-12-30T20:00:00"/>
    <n v="7.9999999999999929"/>
    <n v="0"/>
    <d v="1899-12-30T12:00:00"/>
    <d v="1899-12-30T20:00:00"/>
    <n v="7.9999999999999929"/>
    <n v="7.9999999999999902"/>
    <n v="0"/>
    <n v="0"/>
    <m/>
  </r>
  <r>
    <n v="64"/>
    <s v="Yuen Maria Wing YanCWB Yoho "/>
    <s v="CWB Yoho 46200Carol"/>
    <m/>
    <s v="27"/>
    <d v="2026-06-27T00:00:00"/>
    <x v="2"/>
    <x v="6"/>
    <x v="2"/>
    <d v="1899-12-30T12:00:00"/>
    <d v="1899-12-30T20:00:00"/>
    <n v="7.9999999999999929"/>
    <n v="0"/>
    <d v="1899-12-30T12:00:00"/>
    <d v="1899-12-30T20:00:00"/>
    <n v="7.9999999999999929"/>
    <n v="7.9999999999999902"/>
    <n v="0"/>
    <n v="0"/>
    <m/>
  </r>
  <r>
    <n v="65"/>
    <s v="Yuen Maria Wing YanCWB Yoho "/>
    <s v="CWB Yoho 46201Carol"/>
    <m/>
    <s v="28"/>
    <d v="2026-06-28T00:00:00"/>
    <x v="2"/>
    <x v="6"/>
    <x v="2"/>
    <d v="1899-12-30T12:00:00"/>
    <d v="1899-12-30T20:00:00"/>
    <n v="7.9999999999999929"/>
    <n v="0"/>
    <d v="1899-12-30T12:00:00"/>
    <d v="1899-12-30T20:00:00"/>
    <n v="7.9999999999999929"/>
    <n v="7.9999999999999902"/>
    <n v="0"/>
    <n v="0"/>
    <m/>
  </r>
  <r>
    <n v="66"/>
    <s v="Yuen Maria Wing YanTsuen Wan Chung Yuen"/>
    <s v="Tsuen Wan Chung Yuen46202Carol"/>
    <m/>
    <s v="29"/>
    <d v="2026-06-29T00:00:00"/>
    <x v="2"/>
    <x v="7"/>
    <x v="2"/>
    <d v="1899-12-30T12:00:00"/>
    <d v="1899-12-30T20:00:00"/>
    <n v="7.9999999999999929"/>
    <n v="0"/>
    <d v="1899-12-30T12:00:00"/>
    <d v="1899-12-30T20:00:00"/>
    <n v="7.9999999999999929"/>
    <n v="7.9999999999999902"/>
    <n v="0"/>
    <n v="0"/>
    <m/>
  </r>
  <r>
    <n v="67"/>
    <s v="Yuen Maria Wing YanCWB Yoho "/>
    <s v="CWB Yoho 46203Carol"/>
    <m/>
    <s v="30"/>
    <d v="2026-06-30T00:00:00"/>
    <x v="2"/>
    <x v="6"/>
    <x v="2"/>
    <d v="1899-12-30T12:00:00"/>
    <d v="1899-12-30T20:00:00"/>
    <n v="7.9999999999999929"/>
    <n v="0"/>
    <d v="1899-12-30T12:00:00"/>
    <d v="1899-12-30T20:00:00"/>
    <n v="7.9999999999999929"/>
    <n v="7.9999999999999902"/>
    <n v="0"/>
    <n v="0"/>
    <m/>
  </r>
  <r>
    <n v="68"/>
    <s v="Wan Kwok Hei"/>
    <s v="Hei"/>
    <m/>
    <s v="0"/>
    <m/>
    <x v="3"/>
    <x v="8"/>
    <x v="3"/>
    <m/>
    <m/>
    <n v="0"/>
    <n v="-7.9999999999999929"/>
    <d v="1899-12-30T12:00:00"/>
    <d v="1899-12-30T20:00:00"/>
    <n v="7.9999999999999929"/>
    <m/>
    <n v="0"/>
    <n v="0"/>
    <m/>
  </r>
  <r>
    <n v="69"/>
    <s v=""/>
    <s v="0"/>
    <m/>
    <s v="0"/>
    <m/>
    <x v="4"/>
    <x v="8"/>
    <x v="4"/>
    <m/>
    <m/>
    <n v="0"/>
    <n v="0"/>
    <m/>
    <m/>
    <n v="0"/>
    <m/>
    <n v="0"/>
    <n v="0"/>
    <m/>
  </r>
  <r>
    <n v="70"/>
    <s v=""/>
    <s v="0"/>
    <m/>
    <s v="0"/>
    <m/>
    <x v="4"/>
    <x v="8"/>
    <x v="4"/>
    <m/>
    <m/>
    <n v="0"/>
    <n v="0"/>
    <m/>
    <m/>
    <n v="0"/>
    <m/>
    <n v="0"/>
    <n v="0"/>
    <m/>
  </r>
  <r>
    <n v="71"/>
    <s v=""/>
    <s v="0"/>
    <m/>
    <s v="0"/>
    <m/>
    <x v="4"/>
    <x v="8"/>
    <x v="4"/>
    <m/>
    <m/>
    <n v="0"/>
    <n v="0"/>
    <m/>
    <m/>
    <n v="0"/>
    <m/>
    <n v="0"/>
    <n v="0"/>
    <m/>
  </r>
  <r>
    <n v="72"/>
    <s v=""/>
    <s v="0"/>
    <m/>
    <s v="0"/>
    <m/>
    <x v="4"/>
    <x v="8"/>
    <x v="4"/>
    <m/>
    <m/>
    <n v="0"/>
    <n v="0"/>
    <m/>
    <m/>
    <n v="0"/>
    <m/>
    <n v="0"/>
    <n v="0"/>
    <m/>
  </r>
  <r>
    <n v="73"/>
    <s v=""/>
    <s v="0"/>
    <m/>
    <s v="0"/>
    <m/>
    <x v="4"/>
    <x v="8"/>
    <x v="4"/>
    <m/>
    <m/>
    <n v="0"/>
    <n v="0"/>
    <m/>
    <m/>
    <n v="0"/>
    <m/>
    <n v="0"/>
    <n v="0"/>
    <m/>
  </r>
  <r>
    <n v="74"/>
    <s v=""/>
    <s v="0"/>
    <m/>
    <s v="0"/>
    <m/>
    <x v="4"/>
    <x v="8"/>
    <x v="4"/>
    <m/>
    <m/>
    <n v="0"/>
    <n v="0"/>
    <m/>
    <m/>
    <n v="0"/>
    <m/>
    <n v="0"/>
    <n v="0"/>
    <m/>
  </r>
  <r>
    <n v="75"/>
    <s v=""/>
    <s v="0"/>
    <m/>
    <s v="0"/>
    <m/>
    <x v="4"/>
    <x v="8"/>
    <x v="4"/>
    <m/>
    <m/>
    <n v="0"/>
    <n v="0"/>
    <m/>
    <m/>
    <n v="0"/>
    <m/>
    <n v="0"/>
    <n v="0"/>
    <m/>
  </r>
  <r>
    <n v="76"/>
    <s v=""/>
    <s v="0"/>
    <m/>
    <s v="0"/>
    <m/>
    <x v="4"/>
    <x v="8"/>
    <x v="4"/>
    <m/>
    <m/>
    <n v="0"/>
    <n v="0"/>
    <m/>
    <m/>
    <n v="0"/>
    <m/>
    <n v="0"/>
    <n v="0"/>
    <m/>
  </r>
  <r>
    <n v="77"/>
    <s v=""/>
    <s v="0"/>
    <m/>
    <s v="0"/>
    <m/>
    <x v="4"/>
    <x v="8"/>
    <x v="4"/>
    <m/>
    <m/>
    <n v="0"/>
    <n v="0"/>
    <m/>
    <m/>
    <n v="0"/>
    <m/>
    <n v="0"/>
    <n v="0"/>
    <m/>
  </r>
  <r>
    <n v="78"/>
    <s v=""/>
    <s v="0"/>
    <m/>
    <s v="0"/>
    <m/>
    <x v="4"/>
    <x v="8"/>
    <x v="4"/>
    <m/>
    <m/>
    <n v="0"/>
    <n v="0"/>
    <m/>
    <m/>
    <n v="0"/>
    <m/>
    <n v="0"/>
    <n v="0"/>
    <m/>
  </r>
  <r>
    <n v="79"/>
    <s v=""/>
    <s v="0"/>
    <m/>
    <s v="0"/>
    <m/>
    <x v="4"/>
    <x v="8"/>
    <x v="4"/>
    <m/>
    <m/>
    <n v="0"/>
    <n v="0"/>
    <m/>
    <m/>
    <n v="0"/>
    <m/>
    <n v="0"/>
    <n v="0"/>
    <m/>
  </r>
  <r>
    <n v="80"/>
    <s v=""/>
    <s v="0"/>
    <m/>
    <s v="0"/>
    <m/>
    <x v="4"/>
    <x v="8"/>
    <x v="4"/>
    <m/>
    <m/>
    <n v="0"/>
    <n v="0"/>
    <m/>
    <m/>
    <n v="0"/>
    <m/>
    <n v="0"/>
    <n v="0"/>
    <m/>
  </r>
  <r>
    <n v="81"/>
    <s v=""/>
    <s v="0"/>
    <m/>
    <s v="0"/>
    <m/>
    <x v="4"/>
    <x v="8"/>
    <x v="4"/>
    <m/>
    <m/>
    <n v="0"/>
    <n v="0"/>
    <m/>
    <m/>
    <n v="0"/>
    <m/>
    <n v="0"/>
    <n v="0"/>
    <m/>
  </r>
  <r>
    <n v="82"/>
    <s v=""/>
    <s v="0"/>
    <m/>
    <s v="0"/>
    <m/>
    <x v="4"/>
    <x v="8"/>
    <x v="4"/>
    <m/>
    <m/>
    <n v="0"/>
    <n v="0"/>
    <m/>
    <m/>
    <n v="0"/>
    <m/>
    <n v="0"/>
    <n v="0"/>
    <m/>
  </r>
  <r>
    <n v="83"/>
    <s v=""/>
    <s v="0"/>
    <m/>
    <s v="0"/>
    <m/>
    <x v="4"/>
    <x v="8"/>
    <x v="4"/>
    <m/>
    <m/>
    <n v="0"/>
    <n v="0"/>
    <m/>
    <m/>
    <n v="0"/>
    <m/>
    <n v="0"/>
    <n v="0"/>
    <m/>
  </r>
  <r>
    <n v="84"/>
    <s v=""/>
    <s v="0"/>
    <m/>
    <s v="0"/>
    <m/>
    <x v="4"/>
    <x v="8"/>
    <x v="4"/>
    <m/>
    <m/>
    <n v="0"/>
    <n v="0"/>
    <m/>
    <m/>
    <n v="0"/>
    <m/>
    <n v="0"/>
    <n v="0"/>
    <m/>
  </r>
  <r>
    <n v="85"/>
    <s v=""/>
    <s v="0"/>
    <m/>
    <s v="0"/>
    <m/>
    <x v="4"/>
    <x v="8"/>
    <x v="4"/>
    <m/>
    <m/>
    <n v="0"/>
    <n v="0"/>
    <m/>
    <m/>
    <n v="0"/>
    <m/>
    <n v="0"/>
    <n v="0"/>
    <m/>
  </r>
  <r>
    <n v="86"/>
    <s v=""/>
    <s v="0"/>
    <m/>
    <s v="0"/>
    <m/>
    <x v="4"/>
    <x v="8"/>
    <x v="4"/>
    <m/>
    <m/>
    <n v="0"/>
    <n v="0"/>
    <m/>
    <m/>
    <n v="0"/>
    <m/>
    <n v="0"/>
    <n v="0"/>
    <m/>
  </r>
  <r>
    <n v="87"/>
    <s v=""/>
    <s v="0"/>
    <m/>
    <s v="0"/>
    <m/>
    <x v="4"/>
    <x v="8"/>
    <x v="4"/>
    <m/>
    <m/>
    <n v="0"/>
    <n v="0"/>
    <m/>
    <m/>
    <n v="0"/>
    <m/>
    <n v="0"/>
    <n v="0"/>
    <m/>
  </r>
  <r>
    <n v="88"/>
    <s v=""/>
    <s v="0"/>
    <m/>
    <s v="0"/>
    <m/>
    <x v="4"/>
    <x v="8"/>
    <x v="4"/>
    <m/>
    <m/>
    <n v="0"/>
    <n v="0"/>
    <m/>
    <m/>
    <n v="0"/>
    <m/>
    <n v="0"/>
    <n v="0"/>
    <m/>
  </r>
  <r>
    <n v="89"/>
    <s v=""/>
    <s v="0"/>
    <m/>
    <s v="0"/>
    <m/>
    <x v="4"/>
    <x v="8"/>
    <x v="4"/>
    <m/>
    <m/>
    <n v="0"/>
    <n v="0"/>
    <m/>
    <m/>
    <n v="0"/>
    <m/>
    <n v="0"/>
    <n v="0"/>
    <m/>
  </r>
  <r>
    <n v="90"/>
    <s v=""/>
    <s v="0"/>
    <m/>
    <s v="0"/>
    <m/>
    <x v="4"/>
    <x v="8"/>
    <x v="4"/>
    <m/>
    <m/>
    <n v="0"/>
    <n v="0"/>
    <m/>
    <m/>
    <n v="0"/>
    <m/>
    <n v="0"/>
    <n v="0"/>
    <m/>
  </r>
  <r>
    <n v="91"/>
    <s v=""/>
    <s v="0"/>
    <m/>
    <s v="0"/>
    <m/>
    <x v="4"/>
    <x v="8"/>
    <x v="4"/>
    <m/>
    <m/>
    <n v="0"/>
    <n v="0"/>
    <m/>
    <m/>
    <n v="0"/>
    <m/>
    <n v="0"/>
    <n v="0"/>
    <m/>
  </r>
  <r>
    <n v="92"/>
    <s v=""/>
    <s v="0"/>
    <m/>
    <s v="0"/>
    <m/>
    <x v="4"/>
    <x v="8"/>
    <x v="4"/>
    <m/>
    <m/>
    <n v="0"/>
    <n v="0"/>
    <m/>
    <m/>
    <n v="0"/>
    <m/>
    <n v="0"/>
    <n v="0"/>
    <m/>
  </r>
  <r>
    <n v="93"/>
    <s v=""/>
    <s v="0"/>
    <m/>
    <s v="0"/>
    <m/>
    <x v="4"/>
    <x v="8"/>
    <x v="4"/>
    <m/>
    <m/>
    <n v="0"/>
    <n v="0"/>
    <m/>
    <m/>
    <n v="0"/>
    <m/>
    <n v="0"/>
    <n v="0"/>
    <m/>
  </r>
  <r>
    <n v="94"/>
    <s v=""/>
    <s v="0"/>
    <m/>
    <s v="0"/>
    <m/>
    <x v="4"/>
    <x v="8"/>
    <x v="4"/>
    <m/>
    <m/>
    <n v="0"/>
    <n v="0"/>
    <m/>
    <m/>
    <n v="0"/>
    <m/>
    <n v="0"/>
    <n v="0"/>
    <m/>
  </r>
  <r>
    <n v="95"/>
    <s v=""/>
    <s v="0"/>
    <m/>
    <s v="0"/>
    <m/>
    <x v="4"/>
    <x v="8"/>
    <x v="4"/>
    <m/>
    <m/>
    <n v="0"/>
    <n v="0"/>
    <m/>
    <m/>
    <n v="0"/>
    <m/>
    <n v="0"/>
    <n v="0"/>
    <m/>
  </r>
  <r>
    <n v="96"/>
    <s v=""/>
    <s v="0"/>
    <m/>
    <s v="0"/>
    <m/>
    <x v="4"/>
    <x v="8"/>
    <x v="4"/>
    <m/>
    <m/>
    <n v="0"/>
    <n v="0"/>
    <m/>
    <m/>
    <n v="0"/>
    <m/>
    <n v="0"/>
    <n v="0"/>
    <m/>
  </r>
  <r>
    <n v="97"/>
    <s v=""/>
    <s v="0"/>
    <m/>
    <s v="0"/>
    <m/>
    <x v="4"/>
    <x v="8"/>
    <x v="4"/>
    <m/>
    <m/>
    <n v="0"/>
    <n v="0"/>
    <m/>
    <m/>
    <n v="0"/>
    <m/>
    <n v="0"/>
    <n v="0"/>
    <m/>
  </r>
  <r>
    <n v="98"/>
    <s v=""/>
    <s v="0"/>
    <m/>
    <s v="0"/>
    <m/>
    <x v="4"/>
    <x v="8"/>
    <x v="4"/>
    <m/>
    <m/>
    <n v="0"/>
    <n v="0"/>
    <m/>
    <m/>
    <n v="0"/>
    <m/>
    <n v="0"/>
    <n v="0"/>
    <m/>
  </r>
  <r>
    <n v="99"/>
    <s v=""/>
    <s v="0"/>
    <m/>
    <s v="0"/>
    <m/>
    <x v="4"/>
    <x v="8"/>
    <x v="4"/>
    <m/>
    <m/>
    <n v="0"/>
    <n v="0"/>
    <m/>
    <m/>
    <n v="0"/>
    <m/>
    <n v="0"/>
    <n v="0"/>
    <m/>
  </r>
  <r>
    <n v="100"/>
    <s v=""/>
    <s v="0"/>
    <m/>
    <s v="0"/>
    <m/>
    <x v="4"/>
    <x v="8"/>
    <x v="4"/>
    <m/>
    <m/>
    <n v="0"/>
    <n v="0"/>
    <m/>
    <m/>
    <n v="0"/>
    <m/>
    <n v="0"/>
    <n v="0"/>
    <m/>
  </r>
  <r>
    <n v="101"/>
    <s v=""/>
    <s v="0"/>
    <m/>
    <s v="0"/>
    <m/>
    <x v="4"/>
    <x v="8"/>
    <x v="4"/>
    <m/>
    <m/>
    <n v="0"/>
    <n v="0"/>
    <m/>
    <m/>
    <n v="0"/>
    <m/>
    <n v="0"/>
    <n v="0"/>
    <m/>
  </r>
  <r>
    <n v="102"/>
    <s v=""/>
    <s v="0"/>
    <m/>
    <s v="0"/>
    <m/>
    <x v="4"/>
    <x v="8"/>
    <x v="4"/>
    <m/>
    <m/>
    <n v="0"/>
    <n v="0"/>
    <m/>
    <m/>
    <n v="0"/>
    <m/>
    <n v="0"/>
    <n v="0"/>
    <m/>
  </r>
  <r>
    <n v="103"/>
    <s v=""/>
    <s v="0"/>
    <m/>
    <s v="0"/>
    <m/>
    <x v="4"/>
    <x v="8"/>
    <x v="4"/>
    <m/>
    <m/>
    <n v="0"/>
    <n v="0"/>
    <m/>
    <m/>
    <n v="0"/>
    <m/>
    <n v="0"/>
    <n v="0"/>
    <m/>
  </r>
  <r>
    <n v="104"/>
    <s v=""/>
    <s v="0"/>
    <m/>
    <s v="0"/>
    <m/>
    <x v="4"/>
    <x v="8"/>
    <x v="4"/>
    <m/>
    <m/>
    <n v="0"/>
    <n v="0"/>
    <m/>
    <m/>
    <n v="0"/>
    <m/>
    <n v="0"/>
    <n v="0"/>
    <m/>
  </r>
  <r>
    <n v="105"/>
    <s v=""/>
    <s v="0"/>
    <m/>
    <s v="0"/>
    <m/>
    <x v="4"/>
    <x v="8"/>
    <x v="4"/>
    <m/>
    <m/>
    <n v="0"/>
    <n v="0"/>
    <m/>
    <m/>
    <n v="0"/>
    <m/>
    <n v="0"/>
    <n v="0"/>
    <m/>
  </r>
  <r>
    <n v="106"/>
    <s v=""/>
    <s v="0"/>
    <m/>
    <s v="0"/>
    <m/>
    <x v="4"/>
    <x v="8"/>
    <x v="4"/>
    <m/>
    <m/>
    <n v="0"/>
    <n v="0"/>
    <m/>
    <m/>
    <n v="0"/>
    <m/>
    <n v="0"/>
    <n v="0"/>
    <m/>
  </r>
  <r>
    <n v="107"/>
    <s v=""/>
    <s v="0"/>
    <m/>
    <s v="0"/>
    <m/>
    <x v="4"/>
    <x v="8"/>
    <x v="4"/>
    <m/>
    <m/>
    <n v="0"/>
    <n v="0"/>
    <m/>
    <m/>
    <n v="0"/>
    <m/>
    <n v="0"/>
    <n v="0"/>
    <m/>
  </r>
  <r>
    <n v="108"/>
    <s v=""/>
    <s v="0"/>
    <m/>
    <s v="0"/>
    <m/>
    <x v="4"/>
    <x v="8"/>
    <x v="4"/>
    <m/>
    <m/>
    <n v="0"/>
    <n v="0"/>
    <m/>
    <m/>
    <n v="0"/>
    <m/>
    <n v="0"/>
    <n v="0"/>
    <m/>
  </r>
  <r>
    <n v="109"/>
    <s v=""/>
    <s v="0"/>
    <m/>
    <s v="0"/>
    <m/>
    <x v="4"/>
    <x v="8"/>
    <x v="4"/>
    <m/>
    <m/>
    <n v="0"/>
    <n v="0"/>
    <m/>
    <m/>
    <n v="0"/>
    <m/>
    <n v="0"/>
    <n v="0"/>
    <m/>
  </r>
  <r>
    <n v="110"/>
    <s v=""/>
    <s v="0"/>
    <m/>
    <s v="0"/>
    <m/>
    <x v="4"/>
    <x v="8"/>
    <x v="4"/>
    <m/>
    <m/>
    <n v="0"/>
    <n v="0"/>
    <m/>
    <m/>
    <n v="0"/>
    <m/>
    <n v="0"/>
    <n v="0"/>
    <m/>
  </r>
  <r>
    <n v="111"/>
    <s v=""/>
    <s v="0"/>
    <m/>
    <s v="0"/>
    <m/>
    <x v="4"/>
    <x v="8"/>
    <x v="4"/>
    <m/>
    <m/>
    <n v="0"/>
    <n v="0"/>
    <m/>
    <m/>
    <n v="0"/>
    <m/>
    <n v="0"/>
    <n v="0"/>
    <m/>
  </r>
  <r>
    <n v="112"/>
    <s v=""/>
    <s v="0"/>
    <m/>
    <s v="0"/>
    <m/>
    <x v="4"/>
    <x v="8"/>
    <x v="4"/>
    <m/>
    <m/>
    <n v="0"/>
    <n v="0"/>
    <m/>
    <m/>
    <n v="0"/>
    <m/>
    <n v="0"/>
    <n v="0"/>
    <m/>
  </r>
  <r>
    <n v="113"/>
    <s v=""/>
    <s v="0"/>
    <m/>
    <s v="0"/>
    <m/>
    <x v="4"/>
    <x v="8"/>
    <x v="4"/>
    <m/>
    <m/>
    <n v="0"/>
    <n v="0"/>
    <m/>
    <m/>
    <n v="0"/>
    <m/>
    <n v="0"/>
    <n v="0"/>
    <m/>
  </r>
  <r>
    <n v="114"/>
    <s v=""/>
    <s v="0"/>
    <m/>
    <s v="0"/>
    <m/>
    <x v="4"/>
    <x v="8"/>
    <x v="4"/>
    <m/>
    <m/>
    <n v="0"/>
    <n v="0"/>
    <m/>
    <m/>
    <n v="0"/>
    <m/>
    <n v="0"/>
    <n v="0"/>
    <m/>
  </r>
  <r>
    <n v="115"/>
    <s v=""/>
    <s v="0"/>
    <m/>
    <s v="0"/>
    <m/>
    <x v="4"/>
    <x v="8"/>
    <x v="4"/>
    <m/>
    <m/>
    <n v="0"/>
    <n v="0"/>
    <m/>
    <m/>
    <n v="0"/>
    <m/>
    <n v="0"/>
    <n v="0"/>
    <m/>
  </r>
  <r>
    <n v="116"/>
    <s v=""/>
    <s v="0"/>
    <m/>
    <s v="0"/>
    <m/>
    <x v="4"/>
    <x v="8"/>
    <x v="4"/>
    <m/>
    <m/>
    <n v="0"/>
    <n v="0"/>
    <m/>
    <m/>
    <n v="0"/>
    <m/>
    <n v="0"/>
    <n v="0"/>
    <m/>
  </r>
  <r>
    <n v="117"/>
    <s v=""/>
    <s v="0"/>
    <m/>
    <s v="0"/>
    <m/>
    <x v="4"/>
    <x v="8"/>
    <x v="4"/>
    <m/>
    <m/>
    <n v="0"/>
    <n v="0"/>
    <m/>
    <m/>
    <n v="0"/>
    <m/>
    <n v="0"/>
    <n v="0"/>
    <m/>
  </r>
  <r>
    <n v="118"/>
    <s v=""/>
    <s v="0"/>
    <m/>
    <s v="0"/>
    <m/>
    <x v="4"/>
    <x v="8"/>
    <x v="4"/>
    <m/>
    <m/>
    <n v="0"/>
    <n v="0"/>
    <m/>
    <m/>
    <n v="0"/>
    <m/>
    <n v="0"/>
    <n v="0"/>
    <m/>
  </r>
  <r>
    <n v="119"/>
    <s v=""/>
    <s v="0"/>
    <m/>
    <s v="0"/>
    <m/>
    <x v="4"/>
    <x v="8"/>
    <x v="4"/>
    <m/>
    <m/>
    <n v="0"/>
    <n v="0"/>
    <m/>
    <m/>
    <n v="0"/>
    <m/>
    <n v="0"/>
    <n v="0"/>
    <m/>
  </r>
  <r>
    <n v="120"/>
    <s v=""/>
    <s v="0"/>
    <m/>
    <s v="0"/>
    <m/>
    <x v="4"/>
    <x v="8"/>
    <x v="4"/>
    <m/>
    <m/>
    <n v="0"/>
    <n v="0"/>
    <m/>
    <m/>
    <n v="0"/>
    <m/>
    <n v="0"/>
    <n v="0"/>
    <m/>
  </r>
  <r>
    <n v="121"/>
    <s v=""/>
    <s v="0"/>
    <m/>
    <s v="0"/>
    <m/>
    <x v="4"/>
    <x v="8"/>
    <x v="4"/>
    <m/>
    <m/>
    <n v="0"/>
    <n v="0"/>
    <m/>
    <m/>
    <n v="0"/>
    <m/>
    <n v="0"/>
    <n v="0"/>
    <m/>
  </r>
  <r>
    <n v="122"/>
    <s v=""/>
    <s v="0"/>
    <m/>
    <s v="0"/>
    <m/>
    <x v="4"/>
    <x v="8"/>
    <x v="4"/>
    <m/>
    <m/>
    <n v="0"/>
    <n v="0"/>
    <m/>
    <m/>
    <n v="0"/>
    <m/>
    <n v="0"/>
    <n v="0"/>
    <m/>
  </r>
  <r>
    <n v="123"/>
    <s v=""/>
    <s v="0"/>
    <m/>
    <s v="0"/>
    <m/>
    <x v="4"/>
    <x v="8"/>
    <x v="4"/>
    <m/>
    <m/>
    <n v="0"/>
    <n v="0"/>
    <m/>
    <m/>
    <n v="0"/>
    <m/>
    <n v="0"/>
    <n v="0"/>
    <m/>
  </r>
  <r>
    <n v="124"/>
    <s v=""/>
    <s v="0"/>
    <m/>
    <s v="0"/>
    <m/>
    <x v="4"/>
    <x v="8"/>
    <x v="4"/>
    <m/>
    <m/>
    <n v="0"/>
    <n v="0"/>
    <m/>
    <m/>
    <n v="0"/>
    <m/>
    <n v="0"/>
    <n v="0"/>
    <m/>
  </r>
  <r>
    <n v="125"/>
    <s v=""/>
    <s v="0"/>
    <m/>
    <s v="0"/>
    <m/>
    <x v="4"/>
    <x v="8"/>
    <x v="4"/>
    <m/>
    <m/>
    <n v="0"/>
    <n v="0"/>
    <m/>
    <m/>
    <n v="0"/>
    <m/>
    <n v="0"/>
    <n v="0"/>
    <m/>
  </r>
  <r>
    <n v="126"/>
    <s v=""/>
    <s v="0"/>
    <m/>
    <s v="0"/>
    <m/>
    <x v="4"/>
    <x v="8"/>
    <x v="4"/>
    <m/>
    <m/>
    <n v="0"/>
    <n v="0"/>
    <m/>
    <m/>
    <n v="0"/>
    <m/>
    <n v="0"/>
    <n v="0"/>
    <m/>
  </r>
  <r>
    <n v="127"/>
    <s v=""/>
    <s v="0"/>
    <m/>
    <s v="0"/>
    <m/>
    <x v="4"/>
    <x v="8"/>
    <x v="4"/>
    <m/>
    <m/>
    <n v="0"/>
    <n v="0"/>
    <m/>
    <m/>
    <n v="0"/>
    <m/>
    <n v="0"/>
    <n v="0"/>
    <m/>
  </r>
  <r>
    <n v="128"/>
    <s v=""/>
    <s v="0"/>
    <m/>
    <s v="0"/>
    <m/>
    <x v="4"/>
    <x v="8"/>
    <x v="4"/>
    <m/>
    <m/>
    <n v="0"/>
    <n v="0"/>
    <m/>
    <m/>
    <n v="0"/>
    <m/>
    <n v="0"/>
    <n v="0"/>
    <m/>
  </r>
  <r>
    <n v="129"/>
    <s v=""/>
    <s v="0"/>
    <m/>
    <s v="0"/>
    <m/>
    <x v="4"/>
    <x v="8"/>
    <x v="4"/>
    <m/>
    <m/>
    <n v="0"/>
    <n v="0"/>
    <m/>
    <m/>
    <n v="0"/>
    <m/>
    <n v="0"/>
    <n v="0"/>
    <m/>
  </r>
  <r>
    <n v="130"/>
    <s v=""/>
    <s v="0"/>
    <m/>
    <s v="0"/>
    <m/>
    <x v="4"/>
    <x v="8"/>
    <x v="4"/>
    <m/>
    <m/>
    <n v="0"/>
    <n v="0"/>
    <m/>
    <m/>
    <n v="0"/>
    <m/>
    <n v="0"/>
    <n v="0"/>
    <m/>
  </r>
  <r>
    <n v="131"/>
    <s v=""/>
    <s v="0"/>
    <m/>
    <s v="0"/>
    <m/>
    <x v="4"/>
    <x v="8"/>
    <x v="4"/>
    <m/>
    <m/>
    <n v="0"/>
    <n v="0"/>
    <m/>
    <m/>
    <n v="0"/>
    <m/>
    <n v="0"/>
    <n v="0"/>
    <m/>
  </r>
  <r>
    <n v="132"/>
    <s v=""/>
    <s v="0"/>
    <m/>
    <s v="0"/>
    <m/>
    <x v="4"/>
    <x v="8"/>
    <x v="4"/>
    <m/>
    <m/>
    <n v="0"/>
    <n v="0"/>
    <m/>
    <m/>
    <n v="0"/>
    <m/>
    <n v="0"/>
    <n v="0"/>
    <m/>
  </r>
  <r>
    <n v="133"/>
    <s v=""/>
    <s v="0"/>
    <m/>
    <s v="0"/>
    <m/>
    <x v="4"/>
    <x v="8"/>
    <x v="4"/>
    <m/>
    <m/>
    <n v="0"/>
    <n v="0"/>
    <m/>
    <m/>
    <n v="0"/>
    <m/>
    <n v="0"/>
    <n v="0"/>
    <m/>
  </r>
  <r>
    <n v="134"/>
    <s v=""/>
    <s v="0"/>
    <m/>
    <s v="0"/>
    <m/>
    <x v="4"/>
    <x v="8"/>
    <x v="4"/>
    <m/>
    <m/>
    <n v="0"/>
    <n v="0"/>
    <m/>
    <m/>
    <n v="0"/>
    <m/>
    <n v="0"/>
    <n v="0"/>
    <m/>
  </r>
  <r>
    <n v="135"/>
    <s v=""/>
    <s v="0"/>
    <m/>
    <s v="0"/>
    <m/>
    <x v="4"/>
    <x v="8"/>
    <x v="4"/>
    <m/>
    <m/>
    <n v="0"/>
    <n v="0"/>
    <m/>
    <m/>
    <n v="0"/>
    <m/>
    <n v="0"/>
    <n v="0"/>
    <m/>
  </r>
  <r>
    <n v="136"/>
    <s v=""/>
    <s v="0"/>
    <m/>
    <s v="0"/>
    <m/>
    <x v="4"/>
    <x v="8"/>
    <x v="4"/>
    <m/>
    <m/>
    <n v="0"/>
    <n v="0"/>
    <m/>
    <m/>
    <n v="0"/>
    <m/>
    <n v="0"/>
    <n v="0"/>
    <m/>
  </r>
  <r>
    <n v="137"/>
    <s v=""/>
    <s v="0"/>
    <m/>
    <s v="0"/>
    <m/>
    <x v="4"/>
    <x v="8"/>
    <x v="4"/>
    <m/>
    <m/>
    <n v="0"/>
    <n v="0"/>
    <m/>
    <m/>
    <n v="0"/>
    <m/>
    <n v="0"/>
    <n v="0"/>
    <m/>
  </r>
  <r>
    <n v="138"/>
    <s v=""/>
    <s v="0"/>
    <m/>
    <s v="0"/>
    <m/>
    <x v="4"/>
    <x v="8"/>
    <x v="4"/>
    <m/>
    <m/>
    <n v="0"/>
    <n v="0"/>
    <m/>
    <m/>
    <n v="0"/>
    <m/>
    <n v="0"/>
    <n v="0"/>
    <m/>
  </r>
  <r>
    <n v="139"/>
    <s v=""/>
    <s v="0"/>
    <m/>
    <s v="0"/>
    <m/>
    <x v="4"/>
    <x v="8"/>
    <x v="4"/>
    <m/>
    <m/>
    <n v="0"/>
    <n v="0"/>
    <m/>
    <m/>
    <n v="0"/>
    <m/>
    <n v="0"/>
    <n v="0"/>
    <m/>
  </r>
  <r>
    <n v="140"/>
    <s v=""/>
    <s v="0"/>
    <m/>
    <s v="0"/>
    <m/>
    <x v="4"/>
    <x v="8"/>
    <x v="4"/>
    <m/>
    <m/>
    <n v="0"/>
    <n v="0"/>
    <m/>
    <m/>
    <n v="0"/>
    <m/>
    <n v="0"/>
    <n v="0"/>
    <m/>
  </r>
  <r>
    <n v="141"/>
    <s v=""/>
    <s v="0"/>
    <m/>
    <s v="0"/>
    <m/>
    <x v="4"/>
    <x v="8"/>
    <x v="4"/>
    <m/>
    <m/>
    <n v="0"/>
    <n v="0"/>
    <m/>
    <m/>
    <n v="0"/>
    <m/>
    <n v="0"/>
    <n v="0"/>
    <m/>
  </r>
  <r>
    <n v="142"/>
    <s v=""/>
    <s v="0"/>
    <m/>
    <s v="0"/>
    <m/>
    <x v="4"/>
    <x v="8"/>
    <x v="4"/>
    <m/>
    <m/>
    <n v="0"/>
    <n v="0"/>
    <m/>
    <m/>
    <n v="0"/>
    <m/>
    <n v="0"/>
    <n v="0"/>
    <m/>
  </r>
  <r>
    <n v="143"/>
    <s v=""/>
    <s v="0"/>
    <m/>
    <s v="0"/>
    <m/>
    <x v="4"/>
    <x v="8"/>
    <x v="4"/>
    <m/>
    <m/>
    <n v="0"/>
    <n v="0"/>
    <m/>
    <m/>
    <n v="0"/>
    <m/>
    <n v="0"/>
    <n v="0"/>
    <m/>
  </r>
  <r>
    <n v="144"/>
    <s v=""/>
    <s v="0"/>
    <m/>
    <s v="0"/>
    <m/>
    <x v="4"/>
    <x v="8"/>
    <x v="4"/>
    <m/>
    <m/>
    <n v="0"/>
    <n v="0"/>
    <m/>
    <m/>
    <n v="0"/>
    <m/>
    <n v="0"/>
    <n v="0"/>
    <m/>
  </r>
  <r>
    <n v="145"/>
    <s v=""/>
    <s v="0"/>
    <m/>
    <s v="0"/>
    <m/>
    <x v="4"/>
    <x v="8"/>
    <x v="4"/>
    <m/>
    <m/>
    <n v="0"/>
    <n v="0"/>
    <m/>
    <m/>
    <n v="0"/>
    <m/>
    <n v="0"/>
    <n v="0"/>
    <m/>
  </r>
  <r>
    <n v="146"/>
    <s v=""/>
    <s v="0"/>
    <m/>
    <s v="0"/>
    <m/>
    <x v="4"/>
    <x v="8"/>
    <x v="4"/>
    <m/>
    <m/>
    <n v="0"/>
    <n v="0"/>
    <m/>
    <m/>
    <n v="0"/>
    <m/>
    <n v="0"/>
    <n v="0"/>
    <m/>
  </r>
  <r>
    <n v="147"/>
    <s v=""/>
    <s v="0"/>
    <m/>
    <s v="0"/>
    <m/>
    <x v="4"/>
    <x v="8"/>
    <x v="4"/>
    <m/>
    <m/>
    <n v="0"/>
    <n v="0"/>
    <m/>
    <m/>
    <n v="0"/>
    <m/>
    <n v="0"/>
    <n v="0"/>
    <m/>
  </r>
  <r>
    <n v="148"/>
    <s v=""/>
    <s v="0"/>
    <m/>
    <s v="0"/>
    <m/>
    <x v="4"/>
    <x v="8"/>
    <x v="4"/>
    <m/>
    <m/>
    <n v="0"/>
    <n v="0"/>
    <m/>
    <m/>
    <n v="0"/>
    <m/>
    <n v="0"/>
    <n v="0"/>
    <m/>
  </r>
  <r>
    <n v="149"/>
    <s v=""/>
    <s v="0"/>
    <m/>
    <s v="0"/>
    <m/>
    <x v="4"/>
    <x v="8"/>
    <x v="4"/>
    <m/>
    <m/>
    <n v="0"/>
    <n v="0"/>
    <m/>
    <m/>
    <n v="0"/>
    <m/>
    <n v="0"/>
    <n v="0"/>
    <m/>
  </r>
  <r>
    <n v="150"/>
    <s v=""/>
    <s v="0"/>
    <m/>
    <s v="0"/>
    <m/>
    <x v="4"/>
    <x v="8"/>
    <x v="4"/>
    <m/>
    <m/>
    <n v="0"/>
    <n v="0"/>
    <m/>
    <m/>
    <n v="0"/>
    <m/>
    <n v="0"/>
    <n v="0"/>
    <m/>
  </r>
  <r>
    <n v="151"/>
    <s v=""/>
    <s v="0"/>
    <m/>
    <s v="0"/>
    <m/>
    <x v="4"/>
    <x v="8"/>
    <x v="4"/>
    <m/>
    <m/>
    <n v="0"/>
    <n v="0"/>
    <m/>
    <m/>
    <n v="0"/>
    <m/>
    <n v="0"/>
    <n v="0"/>
    <m/>
  </r>
  <r>
    <n v="152"/>
    <s v=""/>
    <s v="0"/>
    <m/>
    <s v="0"/>
    <m/>
    <x v="4"/>
    <x v="8"/>
    <x v="4"/>
    <m/>
    <m/>
    <n v="0"/>
    <n v="0"/>
    <m/>
    <m/>
    <n v="0"/>
    <m/>
    <n v="0"/>
    <n v="0"/>
    <m/>
  </r>
  <r>
    <n v="153"/>
    <s v=""/>
    <s v="0"/>
    <m/>
    <s v="0"/>
    <m/>
    <x v="4"/>
    <x v="8"/>
    <x v="4"/>
    <m/>
    <m/>
    <n v="0"/>
    <n v="0"/>
    <m/>
    <m/>
    <n v="0"/>
    <m/>
    <n v="0"/>
    <n v="0"/>
    <m/>
  </r>
  <r>
    <n v="154"/>
    <s v=""/>
    <s v="0"/>
    <m/>
    <s v="0"/>
    <m/>
    <x v="4"/>
    <x v="8"/>
    <x v="4"/>
    <m/>
    <m/>
    <n v="0"/>
    <n v="0"/>
    <m/>
    <m/>
    <n v="0"/>
    <m/>
    <n v="0"/>
    <n v="0"/>
    <m/>
  </r>
  <r>
    <n v="155"/>
    <s v=""/>
    <s v="0"/>
    <m/>
    <s v="0"/>
    <m/>
    <x v="4"/>
    <x v="8"/>
    <x v="4"/>
    <m/>
    <m/>
    <n v="0"/>
    <n v="0"/>
    <m/>
    <m/>
    <n v="0"/>
    <m/>
    <n v="0"/>
    <n v="0"/>
    <m/>
  </r>
  <r>
    <n v="156"/>
    <s v=""/>
    <s v="0"/>
    <m/>
    <s v="0"/>
    <m/>
    <x v="4"/>
    <x v="8"/>
    <x v="4"/>
    <m/>
    <m/>
    <n v="0"/>
    <n v="0"/>
    <m/>
    <m/>
    <n v="0"/>
    <m/>
    <n v="0"/>
    <n v="0"/>
    <m/>
  </r>
  <r>
    <n v="157"/>
    <s v=""/>
    <s v="0"/>
    <m/>
    <s v="0"/>
    <m/>
    <x v="4"/>
    <x v="8"/>
    <x v="4"/>
    <m/>
    <m/>
    <n v="0"/>
    <n v="0"/>
    <m/>
    <m/>
    <n v="0"/>
    <m/>
    <n v="0"/>
    <n v="0"/>
    <m/>
  </r>
  <r>
    <n v="158"/>
    <s v=""/>
    <s v="0"/>
    <m/>
    <s v="0"/>
    <m/>
    <x v="4"/>
    <x v="8"/>
    <x v="4"/>
    <m/>
    <m/>
    <n v="0"/>
    <n v="0"/>
    <m/>
    <m/>
    <n v="0"/>
    <m/>
    <n v="0"/>
    <n v="0"/>
    <m/>
  </r>
  <r>
    <n v="159"/>
    <s v=""/>
    <s v="0"/>
    <m/>
    <s v="0"/>
    <m/>
    <x v="4"/>
    <x v="8"/>
    <x v="4"/>
    <m/>
    <m/>
    <n v="0"/>
    <n v="0"/>
    <m/>
    <m/>
    <n v="0"/>
    <m/>
    <n v="0"/>
    <n v="0"/>
    <m/>
  </r>
  <r>
    <n v="160"/>
    <s v=""/>
    <s v="0"/>
    <m/>
    <s v="0"/>
    <m/>
    <x v="4"/>
    <x v="8"/>
    <x v="4"/>
    <m/>
    <m/>
    <n v="0"/>
    <n v="0"/>
    <m/>
    <m/>
    <n v="0"/>
    <m/>
    <n v="0"/>
    <n v="0"/>
    <m/>
  </r>
  <r>
    <n v="161"/>
    <s v=""/>
    <s v="0"/>
    <m/>
    <s v="0"/>
    <m/>
    <x v="4"/>
    <x v="8"/>
    <x v="4"/>
    <m/>
    <m/>
    <n v="0"/>
    <n v="0"/>
    <m/>
    <m/>
    <n v="0"/>
    <m/>
    <n v="0"/>
    <n v="0"/>
    <m/>
  </r>
  <r>
    <n v="162"/>
    <s v=""/>
    <s v="0"/>
    <m/>
    <s v="0"/>
    <m/>
    <x v="4"/>
    <x v="8"/>
    <x v="4"/>
    <m/>
    <m/>
    <n v="0"/>
    <n v="0"/>
    <m/>
    <m/>
    <n v="0"/>
    <m/>
    <n v="0"/>
    <n v="0"/>
    <m/>
  </r>
  <r>
    <n v="163"/>
    <s v=""/>
    <s v="0"/>
    <m/>
    <s v="0"/>
    <m/>
    <x v="4"/>
    <x v="8"/>
    <x v="4"/>
    <m/>
    <m/>
    <n v="0"/>
    <n v="0"/>
    <m/>
    <m/>
    <n v="0"/>
    <m/>
    <n v="0"/>
    <n v="0"/>
    <m/>
  </r>
  <r>
    <n v="164"/>
    <s v=""/>
    <s v="0"/>
    <m/>
    <s v="0"/>
    <m/>
    <x v="4"/>
    <x v="8"/>
    <x v="4"/>
    <m/>
    <m/>
    <n v="0"/>
    <n v="0"/>
    <m/>
    <m/>
    <n v="0"/>
    <m/>
    <n v="0"/>
    <n v="0"/>
    <m/>
  </r>
  <r>
    <n v="165"/>
    <s v=""/>
    <s v="0"/>
    <m/>
    <s v="0"/>
    <m/>
    <x v="4"/>
    <x v="8"/>
    <x v="4"/>
    <m/>
    <m/>
    <n v="0"/>
    <n v="0"/>
    <m/>
    <m/>
    <n v="0"/>
    <m/>
    <n v="0"/>
    <n v="0"/>
    <m/>
  </r>
  <r>
    <n v="166"/>
    <s v=""/>
    <s v="0"/>
    <m/>
    <s v="0"/>
    <m/>
    <x v="4"/>
    <x v="8"/>
    <x v="4"/>
    <m/>
    <m/>
    <n v="0"/>
    <n v="0"/>
    <m/>
    <m/>
    <n v="0"/>
    <m/>
    <n v="0"/>
    <n v="0"/>
    <m/>
  </r>
  <r>
    <n v="167"/>
    <s v=""/>
    <s v="0"/>
    <m/>
    <s v="0"/>
    <m/>
    <x v="4"/>
    <x v="8"/>
    <x v="4"/>
    <m/>
    <m/>
    <n v="0"/>
    <n v="0"/>
    <m/>
    <m/>
    <n v="0"/>
    <m/>
    <n v="0"/>
    <n v="0"/>
    <m/>
  </r>
  <r>
    <n v="168"/>
    <s v=""/>
    <s v="0"/>
    <m/>
    <s v="0"/>
    <m/>
    <x v="4"/>
    <x v="8"/>
    <x v="4"/>
    <m/>
    <m/>
    <n v="0"/>
    <n v="0"/>
    <m/>
    <m/>
    <n v="0"/>
    <m/>
    <n v="0"/>
    <n v="0"/>
    <m/>
  </r>
  <r>
    <n v="169"/>
    <s v=""/>
    <s v="0"/>
    <m/>
    <s v="0"/>
    <m/>
    <x v="4"/>
    <x v="8"/>
    <x v="4"/>
    <m/>
    <m/>
    <n v="0"/>
    <n v="0"/>
    <m/>
    <m/>
    <n v="0"/>
    <m/>
    <n v="0"/>
    <n v="0"/>
    <m/>
  </r>
  <r>
    <n v="170"/>
    <s v=""/>
    <s v="0"/>
    <m/>
    <s v="0"/>
    <m/>
    <x v="4"/>
    <x v="8"/>
    <x v="4"/>
    <m/>
    <m/>
    <n v="0"/>
    <n v="0"/>
    <m/>
    <m/>
    <n v="0"/>
    <m/>
    <n v="0"/>
    <n v="0"/>
    <m/>
  </r>
  <r>
    <n v="171"/>
    <s v=""/>
    <s v="0"/>
    <m/>
    <s v="0"/>
    <m/>
    <x v="4"/>
    <x v="8"/>
    <x v="4"/>
    <m/>
    <m/>
    <n v="0"/>
    <n v="0"/>
    <m/>
    <m/>
    <n v="0"/>
    <m/>
    <n v="0"/>
    <n v="0"/>
    <m/>
  </r>
  <r>
    <n v="172"/>
    <s v=""/>
    <s v="0"/>
    <m/>
    <s v="0"/>
    <m/>
    <x v="4"/>
    <x v="8"/>
    <x v="4"/>
    <m/>
    <m/>
    <n v="0"/>
    <n v="0"/>
    <m/>
    <m/>
    <n v="0"/>
    <m/>
    <n v="0"/>
    <n v="0"/>
    <m/>
  </r>
  <r>
    <n v="173"/>
    <s v=""/>
    <s v="0"/>
    <m/>
    <s v="0"/>
    <m/>
    <x v="4"/>
    <x v="8"/>
    <x v="4"/>
    <m/>
    <m/>
    <n v="0"/>
    <n v="0"/>
    <m/>
    <m/>
    <n v="0"/>
    <m/>
    <n v="0"/>
    <n v="0"/>
    <m/>
  </r>
  <r>
    <n v="174"/>
    <s v=""/>
    <s v="0"/>
    <m/>
    <s v="0"/>
    <m/>
    <x v="4"/>
    <x v="8"/>
    <x v="4"/>
    <m/>
    <m/>
    <n v="0"/>
    <n v="0"/>
    <m/>
    <m/>
    <n v="0"/>
    <m/>
    <n v="0"/>
    <n v="0"/>
    <m/>
  </r>
  <r>
    <n v="175"/>
    <s v=""/>
    <s v="0"/>
    <m/>
    <s v="0"/>
    <m/>
    <x v="4"/>
    <x v="8"/>
    <x v="4"/>
    <m/>
    <m/>
    <n v="0"/>
    <n v="0"/>
    <m/>
    <m/>
    <n v="0"/>
    <m/>
    <n v="0"/>
    <n v="0"/>
    <m/>
  </r>
  <r>
    <n v="176"/>
    <s v=""/>
    <s v="0"/>
    <m/>
    <s v="0"/>
    <m/>
    <x v="4"/>
    <x v="8"/>
    <x v="4"/>
    <m/>
    <m/>
    <n v="0"/>
    <n v="0"/>
    <m/>
    <m/>
    <n v="0"/>
    <m/>
    <n v="0"/>
    <n v="0"/>
    <m/>
  </r>
  <r>
    <n v="177"/>
    <s v=""/>
    <s v="0"/>
    <m/>
    <s v="0"/>
    <m/>
    <x v="4"/>
    <x v="8"/>
    <x v="4"/>
    <m/>
    <m/>
    <n v="0"/>
    <n v="0"/>
    <m/>
    <m/>
    <n v="0"/>
    <m/>
    <n v="0"/>
    <n v="0"/>
    <m/>
  </r>
  <r>
    <n v="178"/>
    <s v=""/>
    <s v="0"/>
    <m/>
    <s v="0"/>
    <m/>
    <x v="4"/>
    <x v="8"/>
    <x v="4"/>
    <m/>
    <m/>
    <n v="0"/>
    <n v="0"/>
    <m/>
    <m/>
    <n v="0"/>
    <m/>
    <n v="0"/>
    <n v="0"/>
    <m/>
  </r>
  <r>
    <n v="179"/>
    <s v=""/>
    <s v="0"/>
    <m/>
    <s v="0"/>
    <m/>
    <x v="4"/>
    <x v="8"/>
    <x v="4"/>
    <m/>
    <m/>
    <n v="0"/>
    <n v="0"/>
    <m/>
    <m/>
    <n v="0"/>
    <m/>
    <n v="0"/>
    <n v="0"/>
    <m/>
  </r>
  <r>
    <n v="180"/>
    <s v=""/>
    <s v="0"/>
    <m/>
    <s v="0"/>
    <m/>
    <x v="4"/>
    <x v="8"/>
    <x v="4"/>
    <m/>
    <m/>
    <n v="0"/>
    <n v="0"/>
    <m/>
    <m/>
    <n v="0"/>
    <m/>
    <n v="0"/>
    <n v="0"/>
    <m/>
  </r>
  <r>
    <n v="181"/>
    <s v=""/>
    <s v="0"/>
    <m/>
    <s v="0"/>
    <m/>
    <x v="4"/>
    <x v="8"/>
    <x v="4"/>
    <m/>
    <m/>
    <n v="0"/>
    <n v="0"/>
    <m/>
    <m/>
    <n v="0"/>
    <m/>
    <n v="0"/>
    <n v="0"/>
    <m/>
  </r>
  <r>
    <n v="182"/>
    <s v=""/>
    <s v="0"/>
    <m/>
    <s v="0"/>
    <m/>
    <x v="4"/>
    <x v="8"/>
    <x v="4"/>
    <m/>
    <m/>
    <n v="0"/>
    <n v="0"/>
    <m/>
    <m/>
    <n v="0"/>
    <m/>
    <n v="0"/>
    <n v="0"/>
    <m/>
  </r>
  <r>
    <n v="183"/>
    <s v=""/>
    <s v="0"/>
    <m/>
    <s v="0"/>
    <m/>
    <x v="4"/>
    <x v="8"/>
    <x v="4"/>
    <m/>
    <m/>
    <n v="0"/>
    <n v="0"/>
    <m/>
    <m/>
    <n v="0"/>
    <m/>
    <n v="0"/>
    <n v="0"/>
    <m/>
  </r>
  <r>
    <n v="184"/>
    <s v=""/>
    <s v="0"/>
    <m/>
    <s v="0"/>
    <m/>
    <x v="4"/>
    <x v="8"/>
    <x v="4"/>
    <m/>
    <m/>
    <n v="0"/>
    <n v="0"/>
    <m/>
    <m/>
    <n v="0"/>
    <m/>
    <n v="0"/>
    <n v="0"/>
    <m/>
  </r>
  <r>
    <n v="185"/>
    <s v=""/>
    <s v="0"/>
    <m/>
    <s v="0"/>
    <m/>
    <x v="4"/>
    <x v="8"/>
    <x v="4"/>
    <m/>
    <m/>
    <n v="0"/>
    <n v="0"/>
    <m/>
    <m/>
    <n v="0"/>
    <m/>
    <n v="0"/>
    <n v="0"/>
    <m/>
  </r>
  <r>
    <n v="186"/>
    <s v=""/>
    <s v="0"/>
    <m/>
    <s v="0"/>
    <m/>
    <x v="4"/>
    <x v="8"/>
    <x v="4"/>
    <m/>
    <m/>
    <n v="0"/>
    <n v="0"/>
    <m/>
    <m/>
    <n v="0"/>
    <m/>
    <n v="0"/>
    <n v="0"/>
    <m/>
  </r>
  <r>
    <n v="187"/>
    <s v=""/>
    <s v="0"/>
    <m/>
    <s v="0"/>
    <m/>
    <x v="4"/>
    <x v="8"/>
    <x v="4"/>
    <m/>
    <m/>
    <n v="0"/>
    <n v="0"/>
    <m/>
    <m/>
    <n v="0"/>
    <m/>
    <n v="0"/>
    <n v="0"/>
    <m/>
  </r>
  <r>
    <n v="188"/>
    <s v=""/>
    <s v="0"/>
    <m/>
    <s v="0"/>
    <m/>
    <x v="4"/>
    <x v="8"/>
    <x v="4"/>
    <m/>
    <m/>
    <n v="0"/>
    <n v="0"/>
    <m/>
    <m/>
    <n v="0"/>
    <m/>
    <n v="0"/>
    <n v="0"/>
    <m/>
  </r>
  <r>
    <n v="189"/>
    <s v=""/>
    <s v="0"/>
    <m/>
    <s v="0"/>
    <m/>
    <x v="4"/>
    <x v="8"/>
    <x v="4"/>
    <m/>
    <m/>
    <n v="0"/>
    <n v="0"/>
    <m/>
    <m/>
    <n v="0"/>
    <m/>
    <n v="0"/>
    <n v="0"/>
    <m/>
  </r>
  <r>
    <n v="190"/>
    <s v=""/>
    <s v="0"/>
    <m/>
    <s v="0"/>
    <m/>
    <x v="4"/>
    <x v="8"/>
    <x v="4"/>
    <m/>
    <m/>
    <n v="0"/>
    <n v="0"/>
    <m/>
    <m/>
    <n v="0"/>
    <m/>
    <n v="0"/>
    <n v="0"/>
    <m/>
  </r>
  <r>
    <n v="191"/>
    <s v=""/>
    <s v="0"/>
    <m/>
    <s v="0"/>
    <m/>
    <x v="4"/>
    <x v="8"/>
    <x v="4"/>
    <m/>
    <m/>
    <n v="0"/>
    <n v="0"/>
    <m/>
    <m/>
    <n v="0"/>
    <m/>
    <n v="0"/>
    <n v="0"/>
    <m/>
  </r>
  <r>
    <n v="192"/>
    <s v=""/>
    <s v="0"/>
    <m/>
    <s v="0"/>
    <m/>
    <x v="4"/>
    <x v="8"/>
    <x v="4"/>
    <m/>
    <m/>
    <n v="0"/>
    <n v="0"/>
    <m/>
    <m/>
    <n v="0"/>
    <m/>
    <n v="0"/>
    <n v="0"/>
    <m/>
  </r>
  <r>
    <n v="193"/>
    <s v=""/>
    <s v="0"/>
    <m/>
    <s v="0"/>
    <m/>
    <x v="4"/>
    <x v="8"/>
    <x v="4"/>
    <m/>
    <m/>
    <n v="0"/>
    <n v="0"/>
    <m/>
    <m/>
    <n v="0"/>
    <m/>
    <n v="0"/>
    <n v="0"/>
    <m/>
  </r>
  <r>
    <n v="194"/>
    <s v=""/>
    <s v="0"/>
    <m/>
    <s v="0"/>
    <m/>
    <x v="4"/>
    <x v="8"/>
    <x v="4"/>
    <m/>
    <m/>
    <n v="0"/>
    <n v="0"/>
    <m/>
    <m/>
    <n v="0"/>
    <m/>
    <n v="0"/>
    <n v="0"/>
    <m/>
  </r>
  <r>
    <n v="195"/>
    <s v=""/>
    <s v="0"/>
    <m/>
    <s v="0"/>
    <m/>
    <x v="4"/>
    <x v="8"/>
    <x v="4"/>
    <m/>
    <m/>
    <n v="0"/>
    <n v="0"/>
    <m/>
    <m/>
    <n v="0"/>
    <m/>
    <n v="0"/>
    <n v="0"/>
    <m/>
  </r>
  <r>
    <n v="196"/>
    <s v=""/>
    <s v="0"/>
    <m/>
    <s v="0"/>
    <m/>
    <x v="4"/>
    <x v="8"/>
    <x v="4"/>
    <m/>
    <m/>
    <n v="0"/>
    <n v="0"/>
    <m/>
    <m/>
    <n v="0"/>
    <m/>
    <n v="0"/>
    <n v="0"/>
    <m/>
  </r>
  <r>
    <n v="197"/>
    <s v=""/>
    <s v="0"/>
    <m/>
    <s v="0"/>
    <m/>
    <x v="4"/>
    <x v="8"/>
    <x v="4"/>
    <m/>
    <m/>
    <n v="0"/>
    <n v="0"/>
    <m/>
    <m/>
    <n v="0"/>
    <m/>
    <n v="0"/>
    <n v="0"/>
    <m/>
  </r>
  <r>
    <n v="198"/>
    <s v=""/>
    <s v="0"/>
    <m/>
    <s v="0"/>
    <m/>
    <x v="4"/>
    <x v="8"/>
    <x v="4"/>
    <m/>
    <m/>
    <n v="0"/>
    <n v="0"/>
    <m/>
    <m/>
    <n v="0"/>
    <m/>
    <n v="0"/>
    <n v="0"/>
    <m/>
  </r>
  <r>
    <n v="199"/>
    <s v=""/>
    <s v="0"/>
    <m/>
    <s v="0"/>
    <m/>
    <x v="4"/>
    <x v="8"/>
    <x v="4"/>
    <m/>
    <m/>
    <n v="0"/>
    <n v="0"/>
    <m/>
    <m/>
    <n v="0"/>
    <m/>
    <n v="0"/>
    <n v="0"/>
    <m/>
  </r>
  <r>
    <n v="200"/>
    <s v=""/>
    <s v="0"/>
    <m/>
    <s v="0"/>
    <m/>
    <x v="4"/>
    <x v="8"/>
    <x v="4"/>
    <m/>
    <m/>
    <n v="0"/>
    <n v="0"/>
    <m/>
    <m/>
    <n v="0"/>
    <m/>
    <n v="0"/>
    <n v="0"/>
    <m/>
  </r>
  <r>
    <n v="201"/>
    <s v=""/>
    <s v="0"/>
    <m/>
    <s v="0"/>
    <m/>
    <x v="4"/>
    <x v="8"/>
    <x v="4"/>
    <m/>
    <m/>
    <n v="0"/>
    <n v="0"/>
    <m/>
    <m/>
    <n v="0"/>
    <m/>
    <n v="0"/>
    <n v="0"/>
    <m/>
  </r>
  <r>
    <n v="202"/>
    <s v=""/>
    <s v="0"/>
    <m/>
    <s v="0"/>
    <m/>
    <x v="4"/>
    <x v="8"/>
    <x v="4"/>
    <m/>
    <m/>
    <n v="0"/>
    <n v="0"/>
    <m/>
    <m/>
    <n v="0"/>
    <m/>
    <n v="0"/>
    <n v="0"/>
    <m/>
  </r>
  <r>
    <n v="203"/>
    <s v=""/>
    <s v="0"/>
    <m/>
    <s v="0"/>
    <m/>
    <x v="4"/>
    <x v="8"/>
    <x v="4"/>
    <m/>
    <m/>
    <n v="0"/>
    <n v="0"/>
    <m/>
    <m/>
    <n v="0"/>
    <m/>
    <n v="0"/>
    <n v="0"/>
    <m/>
  </r>
  <r>
    <n v="204"/>
    <s v=""/>
    <s v="0"/>
    <m/>
    <s v="0"/>
    <m/>
    <x v="4"/>
    <x v="8"/>
    <x v="4"/>
    <m/>
    <m/>
    <n v="0"/>
    <n v="0"/>
    <m/>
    <m/>
    <n v="0"/>
    <m/>
    <n v="0"/>
    <n v="0"/>
    <m/>
  </r>
  <r>
    <n v="205"/>
    <s v=""/>
    <s v="0"/>
    <m/>
    <s v="0"/>
    <m/>
    <x v="4"/>
    <x v="8"/>
    <x v="4"/>
    <m/>
    <m/>
    <n v="0"/>
    <n v="0"/>
    <m/>
    <m/>
    <n v="0"/>
    <m/>
    <n v="0"/>
    <n v="0"/>
    <m/>
  </r>
  <r>
    <n v="206"/>
    <s v=""/>
    <s v="0"/>
    <m/>
    <s v="0"/>
    <m/>
    <x v="4"/>
    <x v="8"/>
    <x v="4"/>
    <m/>
    <m/>
    <n v="0"/>
    <n v="0"/>
    <m/>
    <m/>
    <n v="0"/>
    <m/>
    <n v="0"/>
    <n v="0"/>
    <m/>
  </r>
  <r>
    <n v="207"/>
    <s v=""/>
    <s v="0"/>
    <m/>
    <s v="0"/>
    <m/>
    <x v="4"/>
    <x v="8"/>
    <x v="4"/>
    <m/>
    <m/>
    <n v="0"/>
    <n v="0"/>
    <m/>
    <m/>
    <n v="0"/>
    <m/>
    <n v="0"/>
    <n v="0"/>
    <m/>
  </r>
  <r>
    <n v="208"/>
    <s v=""/>
    <s v="0"/>
    <m/>
    <s v="0"/>
    <m/>
    <x v="4"/>
    <x v="8"/>
    <x v="4"/>
    <m/>
    <m/>
    <n v="0"/>
    <n v="0"/>
    <m/>
    <m/>
    <n v="0"/>
    <m/>
    <n v="0"/>
    <n v="0"/>
    <m/>
  </r>
  <r>
    <n v="209"/>
    <s v=""/>
    <s v="0"/>
    <m/>
    <s v="0"/>
    <m/>
    <x v="4"/>
    <x v="8"/>
    <x v="4"/>
    <m/>
    <m/>
    <n v="0"/>
    <n v="0"/>
    <m/>
    <m/>
    <n v="0"/>
    <m/>
    <n v="0"/>
    <n v="0"/>
    <m/>
  </r>
  <r>
    <n v="210"/>
    <s v=""/>
    <s v="0"/>
    <m/>
    <s v="0"/>
    <m/>
    <x v="4"/>
    <x v="8"/>
    <x v="4"/>
    <m/>
    <m/>
    <n v="0"/>
    <n v="0"/>
    <m/>
    <m/>
    <n v="0"/>
    <m/>
    <n v="0"/>
    <n v="0"/>
    <m/>
  </r>
  <r>
    <n v="211"/>
    <s v=""/>
    <s v="0"/>
    <m/>
    <s v="0"/>
    <m/>
    <x v="4"/>
    <x v="8"/>
    <x v="4"/>
    <m/>
    <m/>
    <n v="0"/>
    <n v="0"/>
    <m/>
    <m/>
    <n v="0"/>
    <m/>
    <n v="0"/>
    <n v="0"/>
    <m/>
  </r>
  <r>
    <n v="212"/>
    <s v=""/>
    <s v="0"/>
    <m/>
    <s v="0"/>
    <m/>
    <x v="4"/>
    <x v="8"/>
    <x v="4"/>
    <m/>
    <m/>
    <n v="0"/>
    <n v="0"/>
    <m/>
    <m/>
    <n v="0"/>
    <m/>
    <n v="0"/>
    <n v="0"/>
    <m/>
  </r>
  <r>
    <n v="213"/>
    <s v=""/>
    <s v="0"/>
    <m/>
    <s v="0"/>
    <m/>
    <x v="4"/>
    <x v="8"/>
    <x v="4"/>
    <m/>
    <m/>
    <n v="0"/>
    <n v="0"/>
    <m/>
    <m/>
    <n v="0"/>
    <m/>
    <n v="0"/>
    <n v="0"/>
    <m/>
  </r>
  <r>
    <n v="214"/>
    <s v=""/>
    <s v="0"/>
    <m/>
    <s v="0"/>
    <m/>
    <x v="4"/>
    <x v="8"/>
    <x v="4"/>
    <m/>
    <m/>
    <n v="0"/>
    <n v="0"/>
    <m/>
    <m/>
    <n v="0"/>
    <m/>
    <n v="0"/>
    <n v="0"/>
    <m/>
  </r>
  <r>
    <n v="215"/>
    <s v=""/>
    <s v="0"/>
    <m/>
    <s v="0"/>
    <m/>
    <x v="4"/>
    <x v="8"/>
    <x v="4"/>
    <m/>
    <m/>
    <n v="0"/>
    <n v="0"/>
    <m/>
    <m/>
    <n v="0"/>
    <m/>
    <n v="0"/>
    <n v="0"/>
    <m/>
  </r>
  <r>
    <n v="216"/>
    <s v=""/>
    <s v="0"/>
    <m/>
    <s v="0"/>
    <m/>
    <x v="4"/>
    <x v="8"/>
    <x v="4"/>
    <m/>
    <m/>
    <n v="0"/>
    <n v="0"/>
    <m/>
    <m/>
    <n v="0"/>
    <m/>
    <n v="0"/>
    <n v="0"/>
    <m/>
  </r>
  <r>
    <n v="217"/>
    <s v=""/>
    <s v="0"/>
    <m/>
    <s v="0"/>
    <m/>
    <x v="4"/>
    <x v="8"/>
    <x v="4"/>
    <m/>
    <m/>
    <n v="0"/>
    <n v="0"/>
    <m/>
    <m/>
    <n v="0"/>
    <m/>
    <n v="0"/>
    <n v="0"/>
    <m/>
  </r>
  <r>
    <n v="218"/>
    <s v=""/>
    <s v="0"/>
    <m/>
    <s v="0"/>
    <m/>
    <x v="4"/>
    <x v="8"/>
    <x v="4"/>
    <m/>
    <m/>
    <n v="0"/>
    <n v="0"/>
    <m/>
    <m/>
    <n v="0"/>
    <m/>
    <n v="0"/>
    <n v="0"/>
    <m/>
  </r>
  <r>
    <n v="219"/>
    <s v=""/>
    <s v="0"/>
    <m/>
    <s v="0"/>
    <m/>
    <x v="4"/>
    <x v="8"/>
    <x v="4"/>
    <m/>
    <m/>
    <n v="0"/>
    <n v="0"/>
    <m/>
    <m/>
    <n v="0"/>
    <m/>
    <n v="0"/>
    <n v="0"/>
    <m/>
  </r>
  <r>
    <n v="220"/>
    <s v=""/>
    <s v="0"/>
    <m/>
    <s v="0"/>
    <m/>
    <x v="4"/>
    <x v="8"/>
    <x v="4"/>
    <m/>
    <m/>
    <n v="0"/>
    <n v="0"/>
    <m/>
    <m/>
    <n v="0"/>
    <m/>
    <n v="0"/>
    <n v="0"/>
    <m/>
  </r>
  <r>
    <n v="221"/>
    <s v=""/>
    <s v="0"/>
    <m/>
    <s v="0"/>
    <m/>
    <x v="4"/>
    <x v="8"/>
    <x v="4"/>
    <m/>
    <m/>
    <n v="0"/>
    <n v="0"/>
    <m/>
    <m/>
    <n v="0"/>
    <m/>
    <n v="0"/>
    <n v="0"/>
    <m/>
  </r>
  <r>
    <n v="222"/>
    <s v=""/>
    <s v="0"/>
    <m/>
    <s v="0"/>
    <m/>
    <x v="4"/>
    <x v="8"/>
    <x v="4"/>
    <m/>
    <m/>
    <n v="0"/>
    <n v="0"/>
    <m/>
    <m/>
    <n v="0"/>
    <m/>
    <n v="0"/>
    <n v="0"/>
    <m/>
  </r>
  <r>
    <n v="223"/>
    <s v=""/>
    <s v="0"/>
    <m/>
    <s v="0"/>
    <m/>
    <x v="4"/>
    <x v="8"/>
    <x v="4"/>
    <m/>
    <m/>
    <n v="0"/>
    <n v="0"/>
    <m/>
    <m/>
    <n v="0"/>
    <m/>
    <n v="0"/>
    <n v="0"/>
    <m/>
  </r>
  <r>
    <n v="224"/>
    <s v=""/>
    <s v="0"/>
    <m/>
    <s v="0"/>
    <m/>
    <x v="4"/>
    <x v="8"/>
    <x v="4"/>
    <m/>
    <m/>
    <n v="0"/>
    <n v="0"/>
    <m/>
    <m/>
    <n v="0"/>
    <m/>
    <n v="0"/>
    <n v="0"/>
    <m/>
  </r>
  <r>
    <n v="225"/>
    <s v=""/>
    <s v="0"/>
    <m/>
    <s v="0"/>
    <m/>
    <x v="4"/>
    <x v="8"/>
    <x v="4"/>
    <m/>
    <m/>
    <n v="0"/>
    <n v="0"/>
    <m/>
    <m/>
    <n v="0"/>
    <m/>
    <n v="0"/>
    <n v="0"/>
    <m/>
  </r>
  <r>
    <n v="226"/>
    <s v=""/>
    <s v="0"/>
    <m/>
    <s v="0"/>
    <m/>
    <x v="4"/>
    <x v="8"/>
    <x v="4"/>
    <m/>
    <m/>
    <n v="0"/>
    <n v="0"/>
    <m/>
    <m/>
    <n v="0"/>
    <m/>
    <n v="0"/>
    <n v="0"/>
    <m/>
  </r>
  <r>
    <n v="227"/>
    <s v=""/>
    <s v="0"/>
    <m/>
    <s v="0"/>
    <m/>
    <x v="4"/>
    <x v="8"/>
    <x v="4"/>
    <m/>
    <m/>
    <n v="0"/>
    <n v="0"/>
    <m/>
    <m/>
    <n v="0"/>
    <m/>
    <n v="0"/>
    <n v="0"/>
    <m/>
  </r>
  <r>
    <n v="228"/>
    <s v=""/>
    <s v="0"/>
    <m/>
    <s v="0"/>
    <m/>
    <x v="4"/>
    <x v="8"/>
    <x v="4"/>
    <m/>
    <m/>
    <n v="0"/>
    <n v="0"/>
    <m/>
    <m/>
    <n v="0"/>
    <m/>
    <n v="0"/>
    <n v="0"/>
    <m/>
  </r>
  <r>
    <n v="229"/>
    <s v=""/>
    <s v="0"/>
    <m/>
    <s v="0"/>
    <m/>
    <x v="4"/>
    <x v="8"/>
    <x v="4"/>
    <m/>
    <m/>
    <n v="0"/>
    <n v="0"/>
    <m/>
    <m/>
    <n v="0"/>
    <m/>
    <n v="0"/>
    <n v="0"/>
    <m/>
  </r>
  <r>
    <n v="230"/>
    <s v=""/>
    <s v="0"/>
    <m/>
    <s v="0"/>
    <m/>
    <x v="4"/>
    <x v="8"/>
    <x v="4"/>
    <m/>
    <m/>
    <n v="0"/>
    <n v="0"/>
    <m/>
    <m/>
    <n v="0"/>
    <m/>
    <n v="0"/>
    <n v="0"/>
    <m/>
  </r>
  <r>
    <n v="231"/>
    <s v=""/>
    <s v="0"/>
    <m/>
    <s v="0"/>
    <m/>
    <x v="4"/>
    <x v="8"/>
    <x v="4"/>
    <m/>
    <m/>
    <n v="0"/>
    <n v="0"/>
    <m/>
    <m/>
    <n v="0"/>
    <m/>
    <n v="0"/>
    <n v="0"/>
    <m/>
  </r>
  <r>
    <n v="232"/>
    <s v=""/>
    <s v="0"/>
    <m/>
    <s v="0"/>
    <m/>
    <x v="4"/>
    <x v="8"/>
    <x v="4"/>
    <m/>
    <m/>
    <n v="0"/>
    <n v="0"/>
    <m/>
    <m/>
    <n v="0"/>
    <m/>
    <n v="0"/>
    <n v="0"/>
    <m/>
  </r>
  <r>
    <n v="233"/>
    <s v=""/>
    <s v="0"/>
    <m/>
    <s v="0"/>
    <m/>
    <x v="4"/>
    <x v="8"/>
    <x v="4"/>
    <m/>
    <m/>
    <n v="0"/>
    <n v="0"/>
    <m/>
    <m/>
    <n v="0"/>
    <m/>
    <n v="0"/>
    <n v="0"/>
    <m/>
  </r>
  <r>
    <n v="234"/>
    <s v=""/>
    <s v="0"/>
    <m/>
    <s v="0"/>
    <m/>
    <x v="4"/>
    <x v="8"/>
    <x v="4"/>
    <m/>
    <m/>
    <n v="0"/>
    <n v="0"/>
    <m/>
    <m/>
    <n v="0"/>
    <m/>
    <n v="0"/>
    <n v="0"/>
    <m/>
  </r>
  <r>
    <n v="235"/>
    <s v=""/>
    <s v="0"/>
    <m/>
    <s v="0"/>
    <m/>
    <x v="4"/>
    <x v="8"/>
    <x v="4"/>
    <m/>
    <m/>
    <n v="0"/>
    <n v="0"/>
    <m/>
    <m/>
    <n v="0"/>
    <m/>
    <n v="0"/>
    <n v="0"/>
    <m/>
  </r>
  <r>
    <n v="236"/>
    <s v=""/>
    <s v="0"/>
    <m/>
    <s v="0"/>
    <m/>
    <x v="4"/>
    <x v="8"/>
    <x v="4"/>
    <m/>
    <m/>
    <n v="0"/>
    <n v="0"/>
    <m/>
    <m/>
    <n v="0"/>
    <m/>
    <n v="0"/>
    <n v="0"/>
    <m/>
  </r>
  <r>
    <n v="237"/>
    <s v=""/>
    <s v="0"/>
    <m/>
    <s v="0"/>
    <m/>
    <x v="4"/>
    <x v="8"/>
    <x v="4"/>
    <m/>
    <m/>
    <n v="0"/>
    <n v="0"/>
    <m/>
    <m/>
    <n v="0"/>
    <m/>
    <n v="0"/>
    <n v="0"/>
    <m/>
  </r>
  <r>
    <n v="238"/>
    <s v=""/>
    <s v="0"/>
    <m/>
    <s v="0"/>
    <m/>
    <x v="4"/>
    <x v="8"/>
    <x v="4"/>
    <m/>
    <m/>
    <n v="0"/>
    <n v="0"/>
    <m/>
    <m/>
    <n v="0"/>
    <m/>
    <n v="0"/>
    <n v="0"/>
    <m/>
  </r>
  <r>
    <n v="239"/>
    <s v=""/>
    <s v="0"/>
    <m/>
    <s v="0"/>
    <m/>
    <x v="4"/>
    <x v="8"/>
    <x v="4"/>
    <m/>
    <m/>
    <n v="0"/>
    <n v="0"/>
    <m/>
    <m/>
    <n v="0"/>
    <m/>
    <n v="0"/>
    <n v="0"/>
    <m/>
  </r>
  <r>
    <n v="240"/>
    <s v=""/>
    <s v="0"/>
    <m/>
    <s v="0"/>
    <m/>
    <x v="4"/>
    <x v="8"/>
    <x v="4"/>
    <m/>
    <m/>
    <n v="0"/>
    <n v="0"/>
    <m/>
    <m/>
    <n v="0"/>
    <m/>
    <n v="0"/>
    <n v="0"/>
    <m/>
  </r>
  <r>
    <n v="241"/>
    <s v=""/>
    <s v="0"/>
    <m/>
    <s v="0"/>
    <m/>
    <x v="4"/>
    <x v="8"/>
    <x v="4"/>
    <m/>
    <m/>
    <n v="0"/>
    <n v="0"/>
    <m/>
    <m/>
    <n v="0"/>
    <m/>
    <n v="0"/>
    <n v="0"/>
    <m/>
  </r>
  <r>
    <n v="242"/>
    <s v=""/>
    <s v="0"/>
    <m/>
    <s v="0"/>
    <m/>
    <x v="4"/>
    <x v="8"/>
    <x v="4"/>
    <m/>
    <m/>
    <n v="0"/>
    <n v="0"/>
    <m/>
    <m/>
    <n v="0"/>
    <m/>
    <n v="0"/>
    <n v="0"/>
    <m/>
  </r>
  <r>
    <n v="243"/>
    <s v=""/>
    <s v="0"/>
    <m/>
    <s v="0"/>
    <m/>
    <x v="4"/>
    <x v="8"/>
    <x v="4"/>
    <m/>
    <m/>
    <n v="0"/>
    <n v="0"/>
    <m/>
    <m/>
    <n v="0"/>
    <m/>
    <n v="0"/>
    <n v="0"/>
    <m/>
  </r>
  <r>
    <n v="244"/>
    <s v=""/>
    <s v="0"/>
    <m/>
    <s v="0"/>
    <m/>
    <x v="4"/>
    <x v="8"/>
    <x v="4"/>
    <m/>
    <m/>
    <n v="0"/>
    <n v="0"/>
    <m/>
    <m/>
    <n v="0"/>
    <m/>
    <n v="0"/>
    <n v="0"/>
    <m/>
  </r>
  <r>
    <n v="245"/>
    <s v=""/>
    <s v="0"/>
    <m/>
    <s v="0"/>
    <m/>
    <x v="4"/>
    <x v="8"/>
    <x v="4"/>
    <m/>
    <m/>
    <n v="0"/>
    <n v="0"/>
    <m/>
    <m/>
    <n v="0"/>
    <m/>
    <n v="0"/>
    <n v="0"/>
    <m/>
  </r>
  <r>
    <n v="246"/>
    <s v=""/>
    <s v="0"/>
    <m/>
    <s v="0"/>
    <m/>
    <x v="4"/>
    <x v="8"/>
    <x v="4"/>
    <m/>
    <m/>
    <n v="0"/>
    <n v="0"/>
    <m/>
    <m/>
    <n v="0"/>
    <m/>
    <n v="0"/>
    <n v="0"/>
    <m/>
  </r>
  <r>
    <n v="247"/>
    <s v=""/>
    <s v="0"/>
    <m/>
    <s v="0"/>
    <m/>
    <x v="4"/>
    <x v="8"/>
    <x v="4"/>
    <m/>
    <m/>
    <n v="0"/>
    <n v="0"/>
    <m/>
    <m/>
    <n v="0"/>
    <m/>
    <n v="0"/>
    <n v="0"/>
    <m/>
  </r>
  <r>
    <n v="248"/>
    <s v=""/>
    <s v="0"/>
    <m/>
    <s v="0"/>
    <m/>
    <x v="4"/>
    <x v="8"/>
    <x v="4"/>
    <m/>
    <m/>
    <n v="0"/>
    <n v="0"/>
    <m/>
    <m/>
    <n v="0"/>
    <m/>
    <n v="0"/>
    <n v="0"/>
    <m/>
  </r>
  <r>
    <n v="249"/>
    <s v=""/>
    <s v="0"/>
    <m/>
    <s v="0"/>
    <m/>
    <x v="4"/>
    <x v="8"/>
    <x v="4"/>
    <m/>
    <m/>
    <n v="0"/>
    <n v="0"/>
    <m/>
    <m/>
    <n v="0"/>
    <m/>
    <n v="0"/>
    <n v="0"/>
    <m/>
  </r>
  <r>
    <n v="250"/>
    <s v=""/>
    <s v="0"/>
    <m/>
    <s v="0"/>
    <m/>
    <x v="4"/>
    <x v="8"/>
    <x v="4"/>
    <m/>
    <m/>
    <n v="0"/>
    <n v="0"/>
    <m/>
    <m/>
    <n v="0"/>
    <m/>
    <n v="0"/>
    <n v="0"/>
    <m/>
  </r>
  <r>
    <n v="251"/>
    <s v=""/>
    <s v="0"/>
    <m/>
    <s v="0"/>
    <m/>
    <x v="4"/>
    <x v="8"/>
    <x v="4"/>
    <m/>
    <m/>
    <n v="0"/>
    <n v="0"/>
    <m/>
    <m/>
    <n v="0"/>
    <m/>
    <n v="0"/>
    <n v="0"/>
    <m/>
  </r>
  <r>
    <n v="252"/>
    <s v=""/>
    <s v="0"/>
    <m/>
    <s v="0"/>
    <m/>
    <x v="4"/>
    <x v="8"/>
    <x v="4"/>
    <m/>
    <m/>
    <n v="0"/>
    <n v="0"/>
    <m/>
    <m/>
    <n v="0"/>
    <m/>
    <n v="0"/>
    <n v="0"/>
    <m/>
  </r>
  <r>
    <n v="253"/>
    <s v=""/>
    <s v="0"/>
    <m/>
    <s v="0"/>
    <m/>
    <x v="4"/>
    <x v="8"/>
    <x v="4"/>
    <m/>
    <m/>
    <n v="0"/>
    <n v="0"/>
    <m/>
    <m/>
    <n v="0"/>
    <m/>
    <n v="0"/>
    <n v="0"/>
    <m/>
  </r>
  <r>
    <n v="254"/>
    <s v=""/>
    <s v="0"/>
    <m/>
    <s v="0"/>
    <m/>
    <x v="4"/>
    <x v="8"/>
    <x v="4"/>
    <m/>
    <m/>
    <n v="0"/>
    <n v="0"/>
    <m/>
    <m/>
    <n v="0"/>
    <m/>
    <n v="0"/>
    <n v="0"/>
    <m/>
  </r>
  <r>
    <n v="255"/>
    <s v=""/>
    <s v="0"/>
    <m/>
    <s v="0"/>
    <m/>
    <x v="4"/>
    <x v="8"/>
    <x v="4"/>
    <m/>
    <m/>
    <n v="0"/>
    <n v="0"/>
    <m/>
    <m/>
    <n v="0"/>
    <m/>
    <n v="0"/>
    <n v="0"/>
    <m/>
  </r>
  <r>
    <n v="256"/>
    <s v=""/>
    <s v="0"/>
    <m/>
    <s v="0"/>
    <m/>
    <x v="4"/>
    <x v="8"/>
    <x v="4"/>
    <m/>
    <m/>
    <n v="0"/>
    <n v="0"/>
    <m/>
    <m/>
    <n v="0"/>
    <m/>
    <n v="0"/>
    <n v="0"/>
    <m/>
  </r>
  <r>
    <n v="257"/>
    <s v=""/>
    <s v="0"/>
    <m/>
    <s v="0"/>
    <m/>
    <x v="4"/>
    <x v="8"/>
    <x v="4"/>
    <m/>
    <m/>
    <n v="0"/>
    <n v="0"/>
    <m/>
    <m/>
    <n v="0"/>
    <m/>
    <n v="0"/>
    <n v="0"/>
    <m/>
  </r>
  <r>
    <n v="258"/>
    <s v=""/>
    <s v="0"/>
    <m/>
    <s v="0"/>
    <m/>
    <x v="4"/>
    <x v="8"/>
    <x v="4"/>
    <m/>
    <m/>
    <n v="0"/>
    <n v="0"/>
    <m/>
    <m/>
    <n v="0"/>
    <m/>
    <n v="0"/>
    <n v="0"/>
    <m/>
  </r>
  <r>
    <n v="259"/>
    <s v=""/>
    <s v="0"/>
    <m/>
    <s v="0"/>
    <m/>
    <x v="4"/>
    <x v="8"/>
    <x v="4"/>
    <m/>
    <m/>
    <n v="0"/>
    <n v="0"/>
    <m/>
    <m/>
    <n v="0"/>
    <m/>
    <n v="0"/>
    <n v="0"/>
    <m/>
  </r>
  <r>
    <n v="260"/>
    <s v=""/>
    <s v="0"/>
    <m/>
    <s v="0"/>
    <m/>
    <x v="4"/>
    <x v="8"/>
    <x v="4"/>
    <m/>
    <m/>
    <n v="0"/>
    <n v="0"/>
    <m/>
    <m/>
    <n v="0"/>
    <m/>
    <n v="0"/>
    <n v="0"/>
    <m/>
  </r>
  <r>
    <n v="261"/>
    <s v=""/>
    <s v="0"/>
    <m/>
    <s v="0"/>
    <m/>
    <x v="4"/>
    <x v="8"/>
    <x v="4"/>
    <m/>
    <m/>
    <n v="0"/>
    <n v="0"/>
    <m/>
    <m/>
    <n v="0"/>
    <m/>
    <n v="0"/>
    <n v="0"/>
    <m/>
  </r>
  <r>
    <n v="262"/>
    <s v=""/>
    <s v="0"/>
    <m/>
    <s v="0"/>
    <m/>
    <x v="4"/>
    <x v="8"/>
    <x v="4"/>
    <m/>
    <m/>
    <n v="0"/>
    <n v="0"/>
    <m/>
    <m/>
    <n v="0"/>
    <m/>
    <n v="0"/>
    <n v="0"/>
    <m/>
  </r>
  <r>
    <n v="263"/>
    <s v=""/>
    <s v="0"/>
    <m/>
    <s v="0"/>
    <m/>
    <x v="4"/>
    <x v="8"/>
    <x v="4"/>
    <m/>
    <m/>
    <n v="0"/>
    <n v="0"/>
    <m/>
    <m/>
    <n v="0"/>
    <m/>
    <n v="0"/>
    <n v="0"/>
    <m/>
  </r>
  <r>
    <n v="264"/>
    <s v=""/>
    <s v="0"/>
    <m/>
    <s v="0"/>
    <m/>
    <x v="4"/>
    <x v="8"/>
    <x v="4"/>
    <m/>
    <m/>
    <n v="0"/>
    <n v="0"/>
    <m/>
    <m/>
    <n v="0"/>
    <m/>
    <n v="0"/>
    <n v="0"/>
    <m/>
  </r>
  <r>
    <n v="265"/>
    <s v=""/>
    <s v="0"/>
    <m/>
    <s v="0"/>
    <m/>
    <x v="4"/>
    <x v="8"/>
    <x v="4"/>
    <m/>
    <m/>
    <n v="0"/>
    <n v="0"/>
    <m/>
    <m/>
    <n v="0"/>
    <m/>
    <n v="0"/>
    <n v="0"/>
    <m/>
  </r>
  <r>
    <n v="266"/>
    <s v=""/>
    <s v="0"/>
    <m/>
    <s v="0"/>
    <m/>
    <x v="4"/>
    <x v="8"/>
    <x v="4"/>
    <m/>
    <m/>
    <n v="0"/>
    <n v="0"/>
    <m/>
    <m/>
    <n v="0"/>
    <m/>
    <n v="0"/>
    <n v="0"/>
    <m/>
  </r>
  <r>
    <n v="267"/>
    <s v=""/>
    <s v="0"/>
    <m/>
    <s v="0"/>
    <m/>
    <x v="4"/>
    <x v="8"/>
    <x v="4"/>
    <m/>
    <m/>
    <n v="0"/>
    <n v="0"/>
    <m/>
    <m/>
    <n v="0"/>
    <m/>
    <n v="0"/>
    <n v="0"/>
    <m/>
  </r>
  <r>
    <n v="268"/>
    <s v=""/>
    <s v="0"/>
    <m/>
    <s v="0"/>
    <m/>
    <x v="4"/>
    <x v="8"/>
    <x v="4"/>
    <m/>
    <m/>
    <n v="0"/>
    <n v="0"/>
    <m/>
    <m/>
    <n v="0"/>
    <m/>
    <n v="0"/>
    <n v="0"/>
    <m/>
  </r>
  <r>
    <n v="269"/>
    <s v=""/>
    <s v="0"/>
    <m/>
    <s v="0"/>
    <m/>
    <x v="4"/>
    <x v="8"/>
    <x v="4"/>
    <m/>
    <m/>
    <n v="0"/>
    <n v="0"/>
    <m/>
    <m/>
    <n v="0"/>
    <m/>
    <n v="0"/>
    <n v="0"/>
    <m/>
  </r>
  <r>
    <n v="270"/>
    <s v=""/>
    <s v="0"/>
    <m/>
    <s v="0"/>
    <m/>
    <x v="4"/>
    <x v="8"/>
    <x v="4"/>
    <m/>
    <m/>
    <n v="0"/>
    <n v="0"/>
    <m/>
    <m/>
    <n v="0"/>
    <m/>
    <n v="0"/>
    <n v="0"/>
    <m/>
  </r>
  <r>
    <n v="271"/>
    <s v=""/>
    <s v="0"/>
    <m/>
    <s v="0"/>
    <m/>
    <x v="4"/>
    <x v="8"/>
    <x v="4"/>
    <m/>
    <m/>
    <n v="0"/>
    <n v="0"/>
    <m/>
    <m/>
    <n v="0"/>
    <m/>
    <n v="0"/>
    <n v="0"/>
    <m/>
  </r>
  <r>
    <n v="272"/>
    <s v=""/>
    <s v="0"/>
    <m/>
    <s v="0"/>
    <m/>
    <x v="4"/>
    <x v="8"/>
    <x v="4"/>
    <m/>
    <m/>
    <n v="0"/>
    <n v="0"/>
    <m/>
    <m/>
    <n v="0"/>
    <m/>
    <n v="0"/>
    <n v="0"/>
    <m/>
  </r>
  <r>
    <n v="273"/>
    <s v=""/>
    <s v="0"/>
    <m/>
    <s v="0"/>
    <m/>
    <x v="4"/>
    <x v="8"/>
    <x v="4"/>
    <m/>
    <m/>
    <n v="0"/>
    <n v="0"/>
    <m/>
    <m/>
    <n v="0"/>
    <m/>
    <n v="0"/>
    <n v="0"/>
    <m/>
  </r>
  <r>
    <n v="274"/>
    <s v=""/>
    <s v="0"/>
    <m/>
    <s v="0"/>
    <m/>
    <x v="4"/>
    <x v="8"/>
    <x v="4"/>
    <m/>
    <m/>
    <n v="0"/>
    <n v="0"/>
    <m/>
    <m/>
    <n v="0"/>
    <m/>
    <n v="0"/>
    <n v="0"/>
    <m/>
  </r>
  <r>
    <n v="275"/>
    <s v=""/>
    <s v="0"/>
    <m/>
    <s v="0"/>
    <m/>
    <x v="4"/>
    <x v="8"/>
    <x v="4"/>
    <m/>
    <m/>
    <n v="0"/>
    <n v="0"/>
    <m/>
    <m/>
    <n v="0"/>
    <m/>
    <n v="0"/>
    <n v="0"/>
    <m/>
  </r>
  <r>
    <n v="276"/>
    <s v=""/>
    <s v="0"/>
    <m/>
    <s v="0"/>
    <m/>
    <x v="4"/>
    <x v="8"/>
    <x v="4"/>
    <m/>
    <m/>
    <n v="0"/>
    <n v="0"/>
    <m/>
    <m/>
    <n v="0"/>
    <m/>
    <n v="0"/>
    <n v="0"/>
    <m/>
  </r>
  <r>
    <n v="277"/>
    <s v=""/>
    <s v="0"/>
    <m/>
    <s v="0"/>
    <m/>
    <x v="4"/>
    <x v="8"/>
    <x v="4"/>
    <m/>
    <m/>
    <n v="0"/>
    <n v="0"/>
    <m/>
    <m/>
    <n v="0"/>
    <m/>
    <n v="0"/>
    <n v="0"/>
    <m/>
  </r>
  <r>
    <n v="278"/>
    <s v=""/>
    <s v="0"/>
    <m/>
    <s v="0"/>
    <m/>
    <x v="4"/>
    <x v="8"/>
    <x v="4"/>
    <m/>
    <m/>
    <n v="0"/>
    <n v="0"/>
    <m/>
    <m/>
    <n v="0"/>
    <m/>
    <n v="0"/>
    <n v="0"/>
    <m/>
  </r>
  <r>
    <n v="279"/>
    <s v=""/>
    <s v="0"/>
    <m/>
    <s v="0"/>
    <m/>
    <x v="4"/>
    <x v="8"/>
    <x v="4"/>
    <m/>
    <m/>
    <n v="0"/>
    <n v="0"/>
    <m/>
    <m/>
    <n v="0"/>
    <m/>
    <n v="0"/>
    <n v="0"/>
    <m/>
  </r>
  <r>
    <n v="280"/>
    <s v=""/>
    <s v="0"/>
    <m/>
    <s v="0"/>
    <m/>
    <x v="4"/>
    <x v="8"/>
    <x v="4"/>
    <m/>
    <m/>
    <n v="0"/>
    <n v="0"/>
    <m/>
    <m/>
    <n v="0"/>
    <m/>
    <n v="0"/>
    <n v="0"/>
    <m/>
  </r>
  <r>
    <n v="281"/>
    <s v=""/>
    <s v="0"/>
    <m/>
    <s v="0"/>
    <m/>
    <x v="4"/>
    <x v="8"/>
    <x v="4"/>
    <m/>
    <m/>
    <n v="0"/>
    <n v="0"/>
    <m/>
    <m/>
    <n v="0"/>
    <m/>
    <n v="0"/>
    <n v="0"/>
    <m/>
  </r>
  <r>
    <n v="282"/>
    <s v=""/>
    <s v="0"/>
    <m/>
    <s v="0"/>
    <m/>
    <x v="4"/>
    <x v="8"/>
    <x v="4"/>
    <m/>
    <m/>
    <n v="0"/>
    <n v="0"/>
    <m/>
    <m/>
    <n v="0"/>
    <m/>
    <n v="0"/>
    <n v="0"/>
    <m/>
  </r>
  <r>
    <n v="283"/>
    <s v=""/>
    <s v="0"/>
    <m/>
    <s v="0"/>
    <m/>
    <x v="4"/>
    <x v="8"/>
    <x v="4"/>
    <m/>
    <m/>
    <n v="0"/>
    <n v="0"/>
    <m/>
    <m/>
    <n v="0"/>
    <m/>
    <n v="0"/>
    <n v="0"/>
    <m/>
  </r>
  <r>
    <n v="284"/>
    <s v=""/>
    <s v="0"/>
    <m/>
    <s v="0"/>
    <m/>
    <x v="4"/>
    <x v="8"/>
    <x v="4"/>
    <m/>
    <m/>
    <n v="0"/>
    <n v="0"/>
    <m/>
    <m/>
    <n v="0"/>
    <m/>
    <n v="0"/>
    <n v="0"/>
    <m/>
  </r>
  <r>
    <n v="285"/>
    <s v=""/>
    <s v="0"/>
    <m/>
    <s v="0"/>
    <m/>
    <x v="4"/>
    <x v="8"/>
    <x v="4"/>
    <m/>
    <m/>
    <n v="0"/>
    <n v="0"/>
    <m/>
    <m/>
    <n v="0"/>
    <m/>
    <n v="0"/>
    <n v="0"/>
    <m/>
  </r>
  <r>
    <n v="286"/>
    <s v=""/>
    <s v="0"/>
    <m/>
    <s v="0"/>
    <m/>
    <x v="4"/>
    <x v="8"/>
    <x v="4"/>
    <m/>
    <m/>
    <n v="0"/>
    <n v="0"/>
    <m/>
    <m/>
    <n v="0"/>
    <m/>
    <n v="0"/>
    <n v="0"/>
    <m/>
  </r>
  <r>
    <n v="287"/>
    <s v=""/>
    <s v="0"/>
    <m/>
    <s v="0"/>
    <m/>
    <x v="4"/>
    <x v="8"/>
    <x v="4"/>
    <m/>
    <m/>
    <n v="0"/>
    <n v="0"/>
    <m/>
    <m/>
    <n v="0"/>
    <m/>
    <n v="0"/>
    <n v="0"/>
    <m/>
  </r>
  <r>
    <n v="288"/>
    <s v=""/>
    <s v="0"/>
    <m/>
    <s v="0"/>
    <m/>
    <x v="4"/>
    <x v="8"/>
    <x v="4"/>
    <m/>
    <m/>
    <n v="0"/>
    <n v="0"/>
    <m/>
    <m/>
    <n v="0"/>
    <m/>
    <n v="0"/>
    <n v="0"/>
    <m/>
  </r>
  <r>
    <n v="289"/>
    <s v=""/>
    <s v="0"/>
    <m/>
    <s v="0"/>
    <m/>
    <x v="4"/>
    <x v="8"/>
    <x v="4"/>
    <m/>
    <m/>
    <n v="0"/>
    <n v="0"/>
    <m/>
    <m/>
    <n v="0"/>
    <m/>
    <n v="0"/>
    <n v="0"/>
    <m/>
  </r>
  <r>
    <n v="290"/>
    <s v=""/>
    <s v="0"/>
    <m/>
    <s v="0"/>
    <m/>
    <x v="4"/>
    <x v="8"/>
    <x v="4"/>
    <m/>
    <m/>
    <n v="0"/>
    <n v="0"/>
    <m/>
    <m/>
    <n v="0"/>
    <m/>
    <n v="0"/>
    <n v="0"/>
    <m/>
  </r>
  <r>
    <n v="291"/>
    <s v=""/>
    <s v="0"/>
    <m/>
    <s v="0"/>
    <m/>
    <x v="4"/>
    <x v="8"/>
    <x v="4"/>
    <m/>
    <m/>
    <n v="0"/>
    <n v="0"/>
    <m/>
    <m/>
    <n v="0"/>
    <m/>
    <n v="0"/>
    <n v="0"/>
    <m/>
  </r>
  <r>
    <n v="292"/>
    <s v=""/>
    <s v="0"/>
    <m/>
    <s v="0"/>
    <m/>
    <x v="4"/>
    <x v="8"/>
    <x v="4"/>
    <m/>
    <m/>
    <n v="0"/>
    <n v="0"/>
    <m/>
    <m/>
    <n v="0"/>
    <m/>
    <n v="0"/>
    <n v="0"/>
    <m/>
  </r>
  <r>
    <n v="293"/>
    <s v=""/>
    <s v="0"/>
    <m/>
    <s v="0"/>
    <m/>
    <x v="4"/>
    <x v="8"/>
    <x v="4"/>
    <m/>
    <m/>
    <n v="0"/>
    <n v="0"/>
    <m/>
    <m/>
    <n v="0"/>
    <m/>
    <n v="0"/>
    <n v="0"/>
    <m/>
  </r>
  <r>
    <n v="294"/>
    <s v=""/>
    <s v="0"/>
    <m/>
    <s v="0"/>
    <m/>
    <x v="4"/>
    <x v="8"/>
    <x v="4"/>
    <m/>
    <m/>
    <n v="0"/>
    <n v="0"/>
    <m/>
    <m/>
    <n v="0"/>
    <m/>
    <n v="0"/>
    <n v="0"/>
    <m/>
  </r>
  <r>
    <n v="295"/>
    <s v=""/>
    <s v="0"/>
    <m/>
    <s v="0"/>
    <m/>
    <x v="4"/>
    <x v="8"/>
    <x v="4"/>
    <m/>
    <m/>
    <n v="0"/>
    <n v="0"/>
    <m/>
    <m/>
    <n v="0"/>
    <m/>
    <n v="0"/>
    <n v="0"/>
    <m/>
  </r>
  <r>
    <n v="296"/>
    <s v=""/>
    <s v="0"/>
    <m/>
    <s v="0"/>
    <m/>
    <x v="4"/>
    <x v="8"/>
    <x v="4"/>
    <m/>
    <m/>
    <n v="0"/>
    <n v="0"/>
    <m/>
    <m/>
    <n v="0"/>
    <m/>
    <n v="0"/>
    <n v="0"/>
    <m/>
  </r>
  <r>
    <n v="297"/>
    <s v=""/>
    <s v="0"/>
    <m/>
    <s v="0"/>
    <m/>
    <x v="4"/>
    <x v="8"/>
    <x v="4"/>
    <m/>
    <m/>
    <n v="0"/>
    <n v="0"/>
    <m/>
    <m/>
    <n v="0"/>
    <m/>
    <n v="0"/>
    <n v="0"/>
    <m/>
  </r>
  <r>
    <n v="298"/>
    <s v=""/>
    <s v="0"/>
    <m/>
    <s v="0"/>
    <m/>
    <x v="4"/>
    <x v="8"/>
    <x v="4"/>
    <m/>
    <m/>
    <n v="0"/>
    <n v="0"/>
    <m/>
    <m/>
    <n v="0"/>
    <m/>
    <n v="0"/>
    <n v="0"/>
    <m/>
  </r>
  <r>
    <n v="299"/>
    <s v=""/>
    <s v="0"/>
    <m/>
    <s v="0"/>
    <m/>
    <x v="4"/>
    <x v="8"/>
    <x v="4"/>
    <m/>
    <m/>
    <n v="0"/>
    <n v="0"/>
    <m/>
    <m/>
    <n v="0"/>
    <m/>
    <n v="0"/>
    <n v="0"/>
    <m/>
  </r>
  <r>
    <n v="300"/>
    <s v=""/>
    <s v="0"/>
    <m/>
    <s v="0"/>
    <m/>
    <x v="4"/>
    <x v="8"/>
    <x v="4"/>
    <m/>
    <m/>
    <n v="0"/>
    <n v="0"/>
    <m/>
    <m/>
    <n v="0"/>
    <m/>
    <n v="0"/>
    <n v="0"/>
    <m/>
  </r>
  <r>
    <n v="301"/>
    <s v=""/>
    <s v="0"/>
    <m/>
    <s v="0"/>
    <m/>
    <x v="4"/>
    <x v="8"/>
    <x v="4"/>
    <m/>
    <m/>
    <n v="0"/>
    <n v="0"/>
    <m/>
    <m/>
    <n v="0"/>
    <m/>
    <n v="0"/>
    <n v="0"/>
    <m/>
  </r>
  <r>
    <n v="302"/>
    <s v=""/>
    <s v="0"/>
    <m/>
    <s v="0"/>
    <m/>
    <x v="4"/>
    <x v="8"/>
    <x v="4"/>
    <m/>
    <m/>
    <n v="0"/>
    <n v="0"/>
    <m/>
    <m/>
    <n v="0"/>
    <m/>
    <n v="0"/>
    <n v="0"/>
    <m/>
  </r>
  <r>
    <n v="303"/>
    <s v=""/>
    <s v="0"/>
    <m/>
    <s v="0"/>
    <m/>
    <x v="4"/>
    <x v="8"/>
    <x v="4"/>
    <m/>
    <m/>
    <n v="0"/>
    <n v="0"/>
    <m/>
    <m/>
    <n v="0"/>
    <m/>
    <n v="0"/>
    <n v="0"/>
    <m/>
  </r>
  <r>
    <n v="304"/>
    <s v=""/>
    <s v="0"/>
    <m/>
    <s v="0"/>
    <m/>
    <x v="4"/>
    <x v="8"/>
    <x v="4"/>
    <m/>
    <m/>
    <n v="0"/>
    <n v="0"/>
    <m/>
    <m/>
    <n v="0"/>
    <m/>
    <n v="0"/>
    <n v="0"/>
    <m/>
  </r>
  <r>
    <n v="305"/>
    <s v=""/>
    <s v="0"/>
    <m/>
    <s v="0"/>
    <m/>
    <x v="4"/>
    <x v="8"/>
    <x v="4"/>
    <m/>
    <m/>
    <n v="0"/>
    <n v="0"/>
    <m/>
    <m/>
    <n v="0"/>
    <m/>
    <n v="0"/>
    <n v="0"/>
    <m/>
  </r>
  <r>
    <n v="306"/>
    <s v=""/>
    <s v="0"/>
    <m/>
    <s v="0"/>
    <m/>
    <x v="4"/>
    <x v="8"/>
    <x v="4"/>
    <m/>
    <m/>
    <n v="0"/>
    <n v="0"/>
    <m/>
    <m/>
    <n v="0"/>
    <m/>
    <n v="0"/>
    <n v="0"/>
    <m/>
  </r>
  <r>
    <n v="307"/>
    <s v=""/>
    <s v="0"/>
    <m/>
    <s v="0"/>
    <m/>
    <x v="4"/>
    <x v="8"/>
    <x v="4"/>
    <m/>
    <m/>
    <n v="0"/>
    <n v="0"/>
    <m/>
    <m/>
    <n v="0"/>
    <m/>
    <n v="0"/>
    <n v="0"/>
    <m/>
  </r>
  <r>
    <n v="308"/>
    <s v=""/>
    <s v="0"/>
    <m/>
    <s v="0"/>
    <m/>
    <x v="4"/>
    <x v="8"/>
    <x v="4"/>
    <m/>
    <m/>
    <n v="0"/>
    <n v="0"/>
    <m/>
    <m/>
    <n v="0"/>
    <m/>
    <n v="0"/>
    <n v="0"/>
    <m/>
  </r>
  <r>
    <n v="309"/>
    <s v=""/>
    <s v="0"/>
    <m/>
    <s v="0"/>
    <m/>
    <x v="4"/>
    <x v="8"/>
    <x v="4"/>
    <m/>
    <m/>
    <n v="0"/>
    <n v="0"/>
    <m/>
    <m/>
    <n v="0"/>
    <m/>
    <n v="0"/>
    <n v="0"/>
    <m/>
  </r>
  <r>
    <n v="310"/>
    <s v=""/>
    <s v="0"/>
    <m/>
    <s v="0"/>
    <m/>
    <x v="4"/>
    <x v="8"/>
    <x v="4"/>
    <m/>
    <m/>
    <n v="0"/>
    <n v="0"/>
    <m/>
    <m/>
    <n v="0"/>
    <m/>
    <n v="0"/>
    <n v="0"/>
    <m/>
  </r>
  <r>
    <n v="311"/>
    <s v=""/>
    <s v="0"/>
    <m/>
    <s v="0"/>
    <m/>
    <x v="4"/>
    <x v="8"/>
    <x v="4"/>
    <m/>
    <m/>
    <n v="0"/>
    <n v="0"/>
    <m/>
    <m/>
    <n v="0"/>
    <m/>
    <n v="0"/>
    <n v="0"/>
    <m/>
  </r>
  <r>
    <n v="312"/>
    <s v=""/>
    <s v="0"/>
    <m/>
    <s v="0"/>
    <m/>
    <x v="4"/>
    <x v="8"/>
    <x v="4"/>
    <m/>
    <m/>
    <n v="0"/>
    <n v="0"/>
    <m/>
    <m/>
    <n v="0"/>
    <m/>
    <n v="0"/>
    <n v="0"/>
    <m/>
  </r>
  <r>
    <n v="313"/>
    <s v=""/>
    <s v="0"/>
    <m/>
    <s v="0"/>
    <m/>
    <x v="4"/>
    <x v="8"/>
    <x v="4"/>
    <m/>
    <m/>
    <n v="0"/>
    <n v="0"/>
    <m/>
    <m/>
    <n v="0"/>
    <m/>
    <n v="0"/>
    <n v="0"/>
    <m/>
  </r>
  <r>
    <n v="314"/>
    <s v=""/>
    <s v="0"/>
    <m/>
    <s v="0"/>
    <m/>
    <x v="4"/>
    <x v="8"/>
    <x v="4"/>
    <m/>
    <m/>
    <n v="0"/>
    <n v="0"/>
    <m/>
    <m/>
    <n v="0"/>
    <m/>
    <n v="0"/>
    <n v="0"/>
    <m/>
  </r>
  <r>
    <n v="315"/>
    <s v=""/>
    <s v="0"/>
    <m/>
    <s v="0"/>
    <m/>
    <x v="4"/>
    <x v="8"/>
    <x v="4"/>
    <m/>
    <m/>
    <n v="0"/>
    <n v="0"/>
    <m/>
    <m/>
    <n v="0"/>
    <m/>
    <n v="0"/>
    <n v="0"/>
    <m/>
  </r>
  <r>
    <n v="316"/>
    <s v=""/>
    <s v="0"/>
    <m/>
    <s v="0"/>
    <m/>
    <x v="4"/>
    <x v="8"/>
    <x v="4"/>
    <m/>
    <m/>
    <n v="0"/>
    <n v="0"/>
    <m/>
    <m/>
    <n v="0"/>
    <m/>
    <n v="0"/>
    <n v="0"/>
    <m/>
  </r>
  <r>
    <n v="317"/>
    <s v=""/>
    <s v="0"/>
    <m/>
    <s v="0"/>
    <m/>
    <x v="4"/>
    <x v="8"/>
    <x v="4"/>
    <m/>
    <m/>
    <n v="0"/>
    <n v="0"/>
    <m/>
    <m/>
    <n v="0"/>
    <m/>
    <n v="0"/>
    <n v="0"/>
    <m/>
  </r>
  <r>
    <n v="318"/>
    <s v=""/>
    <s v="0"/>
    <m/>
    <s v="0"/>
    <m/>
    <x v="4"/>
    <x v="8"/>
    <x v="4"/>
    <m/>
    <m/>
    <n v="0"/>
    <n v="0"/>
    <m/>
    <m/>
    <n v="0"/>
    <m/>
    <n v="0"/>
    <n v="0"/>
    <m/>
  </r>
  <r>
    <n v="319"/>
    <s v=""/>
    <s v="0"/>
    <m/>
    <s v="0"/>
    <m/>
    <x v="4"/>
    <x v="8"/>
    <x v="4"/>
    <m/>
    <m/>
    <n v="0"/>
    <n v="0"/>
    <m/>
    <m/>
    <n v="0"/>
    <m/>
    <n v="0"/>
    <n v="0"/>
    <m/>
  </r>
  <r>
    <n v="320"/>
    <s v=""/>
    <s v="0"/>
    <m/>
    <s v="0"/>
    <m/>
    <x v="4"/>
    <x v="8"/>
    <x v="4"/>
    <m/>
    <m/>
    <n v="0"/>
    <n v="0"/>
    <m/>
    <m/>
    <n v="0"/>
    <m/>
    <n v="0"/>
    <n v="0"/>
    <m/>
  </r>
  <r>
    <n v="321"/>
    <s v=""/>
    <s v="0"/>
    <m/>
    <s v="0"/>
    <m/>
    <x v="4"/>
    <x v="8"/>
    <x v="4"/>
    <m/>
    <m/>
    <n v="0"/>
    <n v="0"/>
    <m/>
    <m/>
    <n v="0"/>
    <m/>
    <n v="0"/>
    <n v="0"/>
    <m/>
  </r>
  <r>
    <n v="322"/>
    <s v=""/>
    <s v="0"/>
    <m/>
    <s v="0"/>
    <m/>
    <x v="4"/>
    <x v="8"/>
    <x v="4"/>
    <m/>
    <m/>
    <n v="0"/>
    <n v="0"/>
    <m/>
    <m/>
    <n v="0"/>
    <m/>
    <n v="0"/>
    <n v="0"/>
    <m/>
  </r>
  <r>
    <n v="323"/>
    <s v=""/>
    <s v="0"/>
    <m/>
    <s v="0"/>
    <m/>
    <x v="4"/>
    <x v="8"/>
    <x v="4"/>
    <m/>
    <m/>
    <n v="0"/>
    <n v="0"/>
    <m/>
    <m/>
    <n v="0"/>
    <m/>
    <n v="0"/>
    <n v="0"/>
    <m/>
  </r>
  <r>
    <n v="324"/>
    <s v=""/>
    <s v="0"/>
    <m/>
    <s v="0"/>
    <m/>
    <x v="4"/>
    <x v="8"/>
    <x v="4"/>
    <m/>
    <m/>
    <n v="0"/>
    <n v="0"/>
    <m/>
    <m/>
    <n v="0"/>
    <m/>
    <n v="0"/>
    <n v="0"/>
    <m/>
  </r>
  <r>
    <n v="325"/>
    <s v=""/>
    <s v="0"/>
    <m/>
    <s v="0"/>
    <m/>
    <x v="4"/>
    <x v="8"/>
    <x v="4"/>
    <m/>
    <m/>
    <n v="0"/>
    <n v="0"/>
    <m/>
    <m/>
    <n v="0"/>
    <m/>
    <n v="0"/>
    <n v="0"/>
    <m/>
  </r>
  <r>
    <n v="326"/>
    <s v=""/>
    <s v="0"/>
    <m/>
    <s v="0"/>
    <m/>
    <x v="4"/>
    <x v="8"/>
    <x v="4"/>
    <m/>
    <m/>
    <n v="0"/>
    <n v="0"/>
    <m/>
    <m/>
    <n v="0"/>
    <m/>
    <n v="0"/>
    <n v="0"/>
    <m/>
  </r>
  <r>
    <n v="327"/>
    <s v=""/>
    <s v="0"/>
    <m/>
    <s v="0"/>
    <m/>
    <x v="4"/>
    <x v="8"/>
    <x v="4"/>
    <m/>
    <m/>
    <n v="0"/>
    <n v="0"/>
    <m/>
    <m/>
    <n v="0"/>
    <m/>
    <n v="0"/>
    <n v="0"/>
    <m/>
  </r>
  <r>
    <n v="328"/>
    <s v=""/>
    <s v="0"/>
    <m/>
    <s v="0"/>
    <m/>
    <x v="4"/>
    <x v="8"/>
    <x v="4"/>
    <m/>
    <m/>
    <n v="0"/>
    <n v="0"/>
    <m/>
    <m/>
    <n v="0"/>
    <m/>
    <n v="0"/>
    <n v="0"/>
    <m/>
  </r>
  <r>
    <n v="329"/>
    <s v=""/>
    <s v="0"/>
    <m/>
    <s v="0"/>
    <m/>
    <x v="4"/>
    <x v="8"/>
    <x v="4"/>
    <m/>
    <m/>
    <n v="0"/>
    <n v="0"/>
    <m/>
    <m/>
    <n v="0"/>
    <m/>
    <n v="0"/>
    <n v="0"/>
    <m/>
  </r>
  <r>
    <n v="330"/>
    <s v=""/>
    <s v="0"/>
    <m/>
    <s v="0"/>
    <m/>
    <x v="4"/>
    <x v="8"/>
    <x v="4"/>
    <m/>
    <m/>
    <n v="0"/>
    <n v="0"/>
    <m/>
    <m/>
    <n v="0"/>
    <m/>
    <n v="0"/>
    <n v="0"/>
    <m/>
  </r>
  <r>
    <n v="331"/>
    <s v=""/>
    <s v="0"/>
    <m/>
    <s v="0"/>
    <m/>
    <x v="4"/>
    <x v="8"/>
    <x v="4"/>
    <m/>
    <m/>
    <n v="0"/>
    <n v="0"/>
    <m/>
    <m/>
    <n v="0"/>
    <m/>
    <n v="0"/>
    <n v="0"/>
    <m/>
  </r>
  <r>
    <n v="332"/>
    <s v=""/>
    <s v="0"/>
    <m/>
    <s v="0"/>
    <m/>
    <x v="4"/>
    <x v="8"/>
    <x v="4"/>
    <m/>
    <m/>
    <n v="0"/>
    <n v="0"/>
    <m/>
    <m/>
    <n v="0"/>
    <m/>
    <n v="0"/>
    <n v="0"/>
    <m/>
  </r>
  <r>
    <n v="333"/>
    <s v=""/>
    <s v="0"/>
    <m/>
    <s v="0"/>
    <m/>
    <x v="4"/>
    <x v="8"/>
    <x v="4"/>
    <m/>
    <m/>
    <n v="0"/>
    <n v="0"/>
    <m/>
    <m/>
    <n v="0"/>
    <m/>
    <n v="0"/>
    <n v="0"/>
    <m/>
  </r>
  <r>
    <n v="334"/>
    <s v=""/>
    <s v="0"/>
    <m/>
    <s v="0"/>
    <m/>
    <x v="4"/>
    <x v="8"/>
    <x v="4"/>
    <m/>
    <m/>
    <n v="0"/>
    <n v="0"/>
    <m/>
    <m/>
    <n v="0"/>
    <m/>
    <n v="0"/>
    <n v="0"/>
    <m/>
  </r>
  <r>
    <n v="335"/>
    <s v=""/>
    <s v="0"/>
    <m/>
    <s v="0"/>
    <m/>
    <x v="4"/>
    <x v="8"/>
    <x v="4"/>
    <m/>
    <m/>
    <n v="0"/>
    <n v="0"/>
    <m/>
    <m/>
    <n v="0"/>
    <m/>
    <n v="0"/>
    <n v="0"/>
    <m/>
  </r>
  <r>
    <n v="336"/>
    <s v=""/>
    <s v="0"/>
    <m/>
    <s v="0"/>
    <m/>
    <x v="4"/>
    <x v="8"/>
    <x v="4"/>
    <m/>
    <m/>
    <n v="0"/>
    <n v="0"/>
    <m/>
    <m/>
    <n v="0"/>
    <m/>
    <n v="0"/>
    <n v="0"/>
    <m/>
  </r>
  <r>
    <n v="337"/>
    <s v=""/>
    <s v="0"/>
    <m/>
    <s v="0"/>
    <m/>
    <x v="4"/>
    <x v="8"/>
    <x v="4"/>
    <m/>
    <m/>
    <n v="0"/>
    <n v="0"/>
    <m/>
    <m/>
    <n v="0"/>
    <m/>
    <n v="0"/>
    <n v="0"/>
    <m/>
  </r>
  <r>
    <n v="338"/>
    <s v=""/>
    <s v="0"/>
    <m/>
    <s v="0"/>
    <m/>
    <x v="4"/>
    <x v="8"/>
    <x v="4"/>
    <m/>
    <m/>
    <n v="0"/>
    <n v="0"/>
    <m/>
    <m/>
    <n v="0"/>
    <m/>
    <n v="0"/>
    <n v="0"/>
    <m/>
  </r>
  <r>
    <n v="339"/>
    <s v=""/>
    <s v="0"/>
    <m/>
    <s v="0"/>
    <m/>
    <x v="4"/>
    <x v="8"/>
    <x v="4"/>
    <m/>
    <m/>
    <n v="0"/>
    <n v="0"/>
    <m/>
    <m/>
    <n v="0"/>
    <m/>
    <n v="0"/>
    <n v="0"/>
    <m/>
  </r>
  <r>
    <n v="340"/>
    <s v=""/>
    <s v="0"/>
    <m/>
    <s v="0"/>
    <m/>
    <x v="4"/>
    <x v="8"/>
    <x v="4"/>
    <m/>
    <m/>
    <n v="0"/>
    <n v="0"/>
    <m/>
    <m/>
    <n v="0"/>
    <m/>
    <n v="0"/>
    <n v="0"/>
    <m/>
  </r>
  <r>
    <n v="341"/>
    <s v=""/>
    <s v="0"/>
    <m/>
    <s v="0"/>
    <m/>
    <x v="4"/>
    <x v="8"/>
    <x v="4"/>
    <m/>
    <m/>
    <n v="0"/>
    <n v="0"/>
    <m/>
    <m/>
    <n v="0"/>
    <m/>
    <n v="0"/>
    <n v="0"/>
    <m/>
  </r>
  <r>
    <n v="342"/>
    <s v=""/>
    <s v="0"/>
    <m/>
    <s v="0"/>
    <m/>
    <x v="4"/>
    <x v="8"/>
    <x v="4"/>
    <m/>
    <m/>
    <n v="0"/>
    <n v="0"/>
    <m/>
    <m/>
    <n v="0"/>
    <m/>
    <n v="0"/>
    <n v="0"/>
    <m/>
  </r>
  <r>
    <n v="343"/>
    <s v=""/>
    <s v="0"/>
    <m/>
    <s v="0"/>
    <m/>
    <x v="4"/>
    <x v="8"/>
    <x v="4"/>
    <m/>
    <m/>
    <n v="0"/>
    <n v="0"/>
    <m/>
    <m/>
    <n v="0"/>
    <m/>
    <n v="0"/>
    <n v="0"/>
    <m/>
  </r>
  <r>
    <n v="344"/>
    <s v=""/>
    <s v="0"/>
    <m/>
    <s v="0"/>
    <m/>
    <x v="4"/>
    <x v="8"/>
    <x v="4"/>
    <m/>
    <m/>
    <n v="0"/>
    <n v="0"/>
    <m/>
    <m/>
    <n v="0"/>
    <m/>
    <n v="0"/>
    <n v="0"/>
    <m/>
  </r>
  <r>
    <n v="345"/>
    <s v=""/>
    <s v="0"/>
    <m/>
    <s v="0"/>
    <m/>
    <x v="4"/>
    <x v="8"/>
    <x v="4"/>
    <m/>
    <m/>
    <n v="0"/>
    <n v="0"/>
    <m/>
    <m/>
    <n v="0"/>
    <m/>
    <n v="0"/>
    <n v="0"/>
    <m/>
  </r>
  <r>
    <n v="346"/>
    <s v=""/>
    <s v="0"/>
    <m/>
    <s v="0"/>
    <m/>
    <x v="4"/>
    <x v="8"/>
    <x v="4"/>
    <m/>
    <m/>
    <n v="0"/>
    <n v="0"/>
    <m/>
    <m/>
    <n v="0"/>
    <m/>
    <n v="0"/>
    <n v="0"/>
    <m/>
  </r>
  <r>
    <n v="347"/>
    <s v=""/>
    <s v="0"/>
    <m/>
    <s v="0"/>
    <m/>
    <x v="4"/>
    <x v="8"/>
    <x v="4"/>
    <m/>
    <m/>
    <n v="0"/>
    <n v="0"/>
    <m/>
    <m/>
    <n v="0"/>
    <m/>
    <n v="0"/>
    <n v="0"/>
    <m/>
  </r>
  <r>
    <n v="348"/>
    <s v=""/>
    <s v="0"/>
    <m/>
    <s v="0"/>
    <m/>
    <x v="4"/>
    <x v="8"/>
    <x v="4"/>
    <m/>
    <m/>
    <n v="0"/>
    <n v="0"/>
    <m/>
    <m/>
    <n v="0"/>
    <m/>
    <n v="0"/>
    <n v="0"/>
    <m/>
  </r>
  <r>
    <n v="349"/>
    <s v=""/>
    <s v="0"/>
    <m/>
    <s v="0"/>
    <m/>
    <x v="4"/>
    <x v="8"/>
    <x v="4"/>
    <m/>
    <m/>
    <n v="0"/>
    <n v="0"/>
    <m/>
    <m/>
    <n v="0"/>
    <m/>
    <n v="0"/>
    <n v="0"/>
    <m/>
  </r>
  <r>
    <n v="350"/>
    <s v=""/>
    <s v="0"/>
    <m/>
    <s v="0"/>
    <m/>
    <x v="4"/>
    <x v="8"/>
    <x v="4"/>
    <m/>
    <m/>
    <n v="0"/>
    <n v="0"/>
    <m/>
    <m/>
    <n v="0"/>
    <m/>
    <n v="0"/>
    <n v="0"/>
    <m/>
  </r>
  <r>
    <n v="351"/>
    <s v=""/>
    <s v="0"/>
    <m/>
    <s v="0"/>
    <m/>
    <x v="4"/>
    <x v="8"/>
    <x v="4"/>
    <m/>
    <m/>
    <n v="0"/>
    <n v="0"/>
    <m/>
    <m/>
    <n v="0"/>
    <m/>
    <n v="0"/>
    <n v="0"/>
    <m/>
  </r>
  <r>
    <n v="352"/>
    <s v=""/>
    <s v="0"/>
    <m/>
    <s v="0"/>
    <m/>
    <x v="4"/>
    <x v="8"/>
    <x v="4"/>
    <m/>
    <m/>
    <n v="0"/>
    <n v="0"/>
    <m/>
    <m/>
    <n v="0"/>
    <m/>
    <n v="0"/>
    <n v="0"/>
    <m/>
  </r>
  <r>
    <n v="353"/>
    <s v=""/>
    <s v="0"/>
    <m/>
    <s v="0"/>
    <m/>
    <x v="4"/>
    <x v="8"/>
    <x v="4"/>
    <m/>
    <m/>
    <n v="0"/>
    <n v="0"/>
    <m/>
    <m/>
    <n v="0"/>
    <m/>
    <n v="0"/>
    <n v="0"/>
    <m/>
  </r>
  <r>
    <n v="354"/>
    <s v=""/>
    <s v="0"/>
    <m/>
    <s v="0"/>
    <m/>
    <x v="4"/>
    <x v="8"/>
    <x v="4"/>
    <m/>
    <m/>
    <n v="0"/>
    <n v="0"/>
    <m/>
    <m/>
    <n v="0"/>
    <m/>
    <n v="0"/>
    <n v="0"/>
    <m/>
  </r>
  <r>
    <n v="355"/>
    <s v=""/>
    <s v="0"/>
    <m/>
    <s v="0"/>
    <m/>
    <x v="4"/>
    <x v="8"/>
    <x v="4"/>
    <m/>
    <m/>
    <n v="0"/>
    <n v="0"/>
    <m/>
    <m/>
    <n v="0"/>
    <m/>
    <n v="0"/>
    <n v="0"/>
    <m/>
  </r>
  <r>
    <n v="356"/>
    <s v=""/>
    <s v="0"/>
    <m/>
    <s v="0"/>
    <m/>
    <x v="4"/>
    <x v="8"/>
    <x v="4"/>
    <m/>
    <m/>
    <n v="0"/>
    <n v="0"/>
    <m/>
    <m/>
    <n v="0"/>
    <m/>
    <n v="0"/>
    <n v="0"/>
    <m/>
  </r>
  <r>
    <n v="357"/>
    <s v=""/>
    <s v="0"/>
    <m/>
    <s v="0"/>
    <m/>
    <x v="4"/>
    <x v="8"/>
    <x v="4"/>
    <m/>
    <m/>
    <n v="0"/>
    <n v="0"/>
    <m/>
    <m/>
    <n v="0"/>
    <m/>
    <n v="0"/>
    <n v="0"/>
    <m/>
  </r>
  <r>
    <n v="358"/>
    <s v=""/>
    <s v="0"/>
    <m/>
    <s v="0"/>
    <m/>
    <x v="4"/>
    <x v="8"/>
    <x v="4"/>
    <m/>
    <m/>
    <n v="0"/>
    <n v="0"/>
    <m/>
    <m/>
    <n v="0"/>
    <m/>
    <n v="0"/>
    <n v="0"/>
    <m/>
  </r>
  <r>
    <n v="359"/>
    <s v=""/>
    <s v="0"/>
    <m/>
    <s v="0"/>
    <m/>
    <x v="4"/>
    <x v="8"/>
    <x v="4"/>
    <m/>
    <m/>
    <n v="0"/>
    <n v="0"/>
    <m/>
    <m/>
    <n v="0"/>
    <m/>
    <n v="0"/>
    <n v="0"/>
    <m/>
  </r>
  <r>
    <n v="360"/>
    <s v=""/>
    <s v="0"/>
    <m/>
    <s v="0"/>
    <m/>
    <x v="4"/>
    <x v="8"/>
    <x v="4"/>
    <m/>
    <m/>
    <n v="0"/>
    <n v="0"/>
    <m/>
    <m/>
    <n v="0"/>
    <m/>
    <n v="0"/>
    <n v="0"/>
    <m/>
  </r>
  <r>
    <n v="361"/>
    <s v=""/>
    <s v="0"/>
    <m/>
    <s v="0"/>
    <m/>
    <x v="4"/>
    <x v="8"/>
    <x v="4"/>
    <m/>
    <m/>
    <n v="0"/>
    <n v="0"/>
    <m/>
    <m/>
    <n v="0"/>
    <m/>
    <n v="0"/>
    <n v="0"/>
    <m/>
  </r>
  <r>
    <n v="362"/>
    <s v=""/>
    <s v="0"/>
    <m/>
    <s v="0"/>
    <m/>
    <x v="4"/>
    <x v="8"/>
    <x v="4"/>
    <m/>
    <m/>
    <n v="0"/>
    <n v="0"/>
    <m/>
    <m/>
    <n v="0"/>
    <m/>
    <n v="0"/>
    <n v="0"/>
    <m/>
  </r>
  <r>
    <n v="363"/>
    <s v=""/>
    <s v="0"/>
    <m/>
    <s v="0"/>
    <m/>
    <x v="4"/>
    <x v="8"/>
    <x v="4"/>
    <m/>
    <m/>
    <n v="0"/>
    <n v="0"/>
    <m/>
    <m/>
    <n v="0"/>
    <m/>
    <n v="0"/>
    <n v="0"/>
    <m/>
  </r>
  <r>
    <n v="364"/>
    <s v=""/>
    <s v="0"/>
    <m/>
    <s v="0"/>
    <m/>
    <x v="4"/>
    <x v="8"/>
    <x v="4"/>
    <m/>
    <m/>
    <n v="0"/>
    <n v="0"/>
    <m/>
    <m/>
    <n v="0"/>
    <m/>
    <n v="0"/>
    <n v="0"/>
    <m/>
  </r>
  <r>
    <n v="365"/>
    <s v=""/>
    <s v="0"/>
    <m/>
    <s v="0"/>
    <m/>
    <x v="4"/>
    <x v="8"/>
    <x v="4"/>
    <m/>
    <m/>
    <n v="0"/>
    <n v="0"/>
    <m/>
    <m/>
    <n v="0"/>
    <m/>
    <n v="0"/>
    <n v="0"/>
    <m/>
  </r>
  <r>
    <n v="366"/>
    <s v=""/>
    <s v="0"/>
    <m/>
    <s v="0"/>
    <m/>
    <x v="4"/>
    <x v="8"/>
    <x v="4"/>
    <m/>
    <m/>
    <n v="0"/>
    <n v="0"/>
    <m/>
    <m/>
    <n v="0"/>
    <m/>
    <n v="0"/>
    <n v="0"/>
    <m/>
  </r>
  <r>
    <n v="367"/>
    <s v=""/>
    <s v="0"/>
    <m/>
    <s v="0"/>
    <m/>
    <x v="4"/>
    <x v="8"/>
    <x v="4"/>
    <m/>
    <m/>
    <n v="0"/>
    <n v="0"/>
    <m/>
    <m/>
    <n v="0"/>
    <m/>
    <n v="0"/>
    <n v="0"/>
    <m/>
  </r>
  <r>
    <n v="368"/>
    <s v=""/>
    <s v="0"/>
    <m/>
    <s v="0"/>
    <m/>
    <x v="4"/>
    <x v="8"/>
    <x v="4"/>
    <m/>
    <m/>
    <n v="0"/>
    <n v="0"/>
    <m/>
    <m/>
    <n v="0"/>
    <m/>
    <n v="0"/>
    <n v="0"/>
    <m/>
  </r>
  <r>
    <n v="369"/>
    <s v=""/>
    <s v="0"/>
    <m/>
    <s v="0"/>
    <m/>
    <x v="4"/>
    <x v="8"/>
    <x v="4"/>
    <m/>
    <m/>
    <n v="0"/>
    <n v="0"/>
    <m/>
    <m/>
    <n v="0"/>
    <m/>
    <n v="0"/>
    <n v="0"/>
    <m/>
  </r>
  <r>
    <n v="370"/>
    <s v=""/>
    <s v="0"/>
    <m/>
    <s v="0"/>
    <m/>
    <x v="4"/>
    <x v="8"/>
    <x v="4"/>
    <m/>
    <m/>
    <n v="0"/>
    <n v="0"/>
    <m/>
    <m/>
    <n v="0"/>
    <m/>
    <n v="0"/>
    <n v="0"/>
    <m/>
  </r>
  <r>
    <n v="371"/>
    <s v=""/>
    <s v="0"/>
    <m/>
    <s v="0"/>
    <m/>
    <x v="4"/>
    <x v="8"/>
    <x v="4"/>
    <m/>
    <m/>
    <n v="0"/>
    <n v="0"/>
    <m/>
    <m/>
    <n v="0"/>
    <m/>
    <n v="0"/>
    <n v="0"/>
    <m/>
  </r>
  <r>
    <n v="372"/>
    <s v=""/>
    <s v="0"/>
    <m/>
    <s v="0"/>
    <m/>
    <x v="4"/>
    <x v="8"/>
    <x v="4"/>
    <m/>
    <m/>
    <n v="0"/>
    <n v="0"/>
    <m/>
    <m/>
    <n v="0"/>
    <m/>
    <n v="0"/>
    <n v="0"/>
    <m/>
  </r>
  <r>
    <n v="373"/>
    <s v=""/>
    <s v="0"/>
    <m/>
    <s v="0"/>
    <m/>
    <x v="4"/>
    <x v="8"/>
    <x v="4"/>
    <m/>
    <m/>
    <n v="0"/>
    <n v="0"/>
    <m/>
    <m/>
    <n v="0"/>
    <m/>
    <n v="0"/>
    <n v="0"/>
    <m/>
  </r>
  <r>
    <n v="374"/>
    <s v=""/>
    <s v="0"/>
    <m/>
    <s v="0"/>
    <m/>
    <x v="4"/>
    <x v="8"/>
    <x v="4"/>
    <m/>
    <m/>
    <n v="0"/>
    <n v="0"/>
    <m/>
    <m/>
    <n v="0"/>
    <m/>
    <n v="0"/>
    <n v="0"/>
    <m/>
  </r>
  <r>
    <n v="375"/>
    <s v=""/>
    <s v="0"/>
    <m/>
    <s v="0"/>
    <m/>
    <x v="4"/>
    <x v="8"/>
    <x v="4"/>
    <m/>
    <m/>
    <n v="0"/>
    <n v="0"/>
    <m/>
    <m/>
    <n v="0"/>
    <m/>
    <n v="0"/>
    <n v="0"/>
    <m/>
  </r>
  <r>
    <n v="376"/>
    <s v=""/>
    <s v="0"/>
    <m/>
    <s v="0"/>
    <m/>
    <x v="4"/>
    <x v="8"/>
    <x v="4"/>
    <m/>
    <m/>
    <n v="0"/>
    <n v="0"/>
    <m/>
    <m/>
    <n v="0"/>
    <m/>
    <n v="0"/>
    <n v="0"/>
    <m/>
  </r>
  <r>
    <n v="377"/>
    <s v=""/>
    <s v="0"/>
    <m/>
    <s v="0"/>
    <m/>
    <x v="4"/>
    <x v="8"/>
    <x v="4"/>
    <m/>
    <m/>
    <n v="0"/>
    <n v="0"/>
    <m/>
    <m/>
    <n v="0"/>
    <m/>
    <n v="0"/>
    <n v="0"/>
    <m/>
  </r>
  <r>
    <n v="378"/>
    <s v=""/>
    <s v="0"/>
    <m/>
    <s v="0"/>
    <m/>
    <x v="4"/>
    <x v="8"/>
    <x v="4"/>
    <m/>
    <m/>
    <n v="0"/>
    <n v="0"/>
    <m/>
    <m/>
    <n v="0"/>
    <m/>
    <n v="0"/>
    <n v="0"/>
    <m/>
  </r>
  <r>
    <n v="379"/>
    <s v=""/>
    <s v="0"/>
    <m/>
    <s v="0"/>
    <m/>
    <x v="4"/>
    <x v="8"/>
    <x v="4"/>
    <m/>
    <m/>
    <n v="0"/>
    <n v="0"/>
    <m/>
    <m/>
    <n v="0"/>
    <m/>
    <n v="0"/>
    <n v="0"/>
    <m/>
  </r>
  <r>
    <n v="380"/>
    <s v=""/>
    <s v="0"/>
    <m/>
    <s v="0"/>
    <m/>
    <x v="4"/>
    <x v="8"/>
    <x v="4"/>
    <m/>
    <m/>
    <n v="0"/>
    <n v="0"/>
    <m/>
    <m/>
    <n v="0"/>
    <m/>
    <n v="0"/>
    <n v="0"/>
    <m/>
  </r>
  <r>
    <n v="381"/>
    <s v=""/>
    <s v="0"/>
    <m/>
    <s v="0"/>
    <m/>
    <x v="4"/>
    <x v="8"/>
    <x v="4"/>
    <m/>
    <m/>
    <n v="0"/>
    <n v="0"/>
    <m/>
    <m/>
    <n v="0"/>
    <m/>
    <n v="0"/>
    <n v="0"/>
    <m/>
  </r>
  <r>
    <n v="382"/>
    <s v=""/>
    <s v="0"/>
    <m/>
    <s v="0"/>
    <m/>
    <x v="4"/>
    <x v="8"/>
    <x v="4"/>
    <m/>
    <m/>
    <n v="0"/>
    <n v="0"/>
    <m/>
    <m/>
    <n v="0"/>
    <m/>
    <n v="0"/>
    <n v="0"/>
    <m/>
  </r>
  <r>
    <n v="383"/>
    <s v=""/>
    <s v="0"/>
    <m/>
    <s v="0"/>
    <m/>
    <x v="4"/>
    <x v="8"/>
    <x v="4"/>
    <m/>
    <m/>
    <n v="0"/>
    <n v="0"/>
    <m/>
    <m/>
    <n v="0"/>
    <m/>
    <n v="0"/>
    <n v="0"/>
    <m/>
  </r>
  <r>
    <n v="384"/>
    <s v=""/>
    <s v="0"/>
    <m/>
    <s v="0"/>
    <m/>
    <x v="4"/>
    <x v="8"/>
    <x v="4"/>
    <m/>
    <m/>
    <n v="0"/>
    <n v="0"/>
    <m/>
    <m/>
    <n v="0"/>
    <m/>
    <n v="0"/>
    <n v="0"/>
    <m/>
  </r>
  <r>
    <n v="385"/>
    <s v=""/>
    <s v="0"/>
    <m/>
    <s v="0"/>
    <m/>
    <x v="4"/>
    <x v="8"/>
    <x v="4"/>
    <m/>
    <m/>
    <n v="0"/>
    <n v="0"/>
    <m/>
    <m/>
    <n v="0"/>
    <m/>
    <n v="0"/>
    <n v="0"/>
    <m/>
  </r>
  <r>
    <n v="386"/>
    <s v=""/>
    <s v="0"/>
    <m/>
    <s v="0"/>
    <m/>
    <x v="4"/>
    <x v="8"/>
    <x v="4"/>
    <m/>
    <m/>
    <n v="0"/>
    <n v="0"/>
    <m/>
    <m/>
    <n v="0"/>
    <m/>
    <n v="0"/>
    <n v="0"/>
    <m/>
  </r>
  <r>
    <n v="387"/>
    <s v=""/>
    <s v="0"/>
    <m/>
    <s v="0"/>
    <m/>
    <x v="4"/>
    <x v="8"/>
    <x v="4"/>
    <m/>
    <m/>
    <n v="0"/>
    <n v="0"/>
    <m/>
    <m/>
    <n v="0"/>
    <m/>
    <n v="0"/>
    <n v="0"/>
    <m/>
  </r>
  <r>
    <n v="388"/>
    <s v=""/>
    <s v="0"/>
    <m/>
    <s v="0"/>
    <m/>
    <x v="4"/>
    <x v="8"/>
    <x v="4"/>
    <m/>
    <m/>
    <n v="0"/>
    <n v="0"/>
    <m/>
    <m/>
    <n v="0"/>
    <m/>
    <n v="0"/>
    <n v="0"/>
    <m/>
  </r>
  <r>
    <n v="389"/>
    <s v=""/>
    <s v="0"/>
    <m/>
    <s v="0"/>
    <m/>
    <x v="4"/>
    <x v="8"/>
    <x v="4"/>
    <m/>
    <m/>
    <n v="0"/>
    <n v="0"/>
    <m/>
    <m/>
    <n v="0"/>
    <m/>
    <n v="0"/>
    <n v="0"/>
    <m/>
  </r>
  <r>
    <n v="390"/>
    <s v=""/>
    <s v="0"/>
    <m/>
    <s v="0"/>
    <m/>
    <x v="4"/>
    <x v="8"/>
    <x v="4"/>
    <m/>
    <m/>
    <n v="0"/>
    <n v="0"/>
    <m/>
    <m/>
    <n v="0"/>
    <m/>
    <n v="0"/>
    <n v="0"/>
    <m/>
  </r>
  <r>
    <n v="391"/>
    <s v=""/>
    <s v="0"/>
    <m/>
    <s v="0"/>
    <m/>
    <x v="4"/>
    <x v="8"/>
    <x v="4"/>
    <m/>
    <m/>
    <n v="0"/>
    <n v="0"/>
    <m/>
    <m/>
    <n v="0"/>
    <m/>
    <n v="0"/>
    <n v="0"/>
    <m/>
  </r>
  <r>
    <n v="392"/>
    <s v=""/>
    <s v="0"/>
    <m/>
    <s v="0"/>
    <m/>
    <x v="4"/>
    <x v="8"/>
    <x v="4"/>
    <m/>
    <m/>
    <n v="0"/>
    <n v="0"/>
    <m/>
    <m/>
    <n v="0"/>
    <m/>
    <n v="0"/>
    <n v="0"/>
    <m/>
  </r>
  <r>
    <n v="393"/>
    <s v=""/>
    <s v="0"/>
    <m/>
    <s v="0"/>
    <m/>
    <x v="4"/>
    <x v="8"/>
    <x v="4"/>
    <m/>
    <m/>
    <n v="0"/>
    <n v="0"/>
    <m/>
    <m/>
    <n v="0"/>
    <m/>
    <n v="0"/>
    <n v="0"/>
    <m/>
  </r>
  <r>
    <n v="394"/>
    <s v=""/>
    <s v="0"/>
    <m/>
    <s v="0"/>
    <m/>
    <x v="4"/>
    <x v="8"/>
    <x v="4"/>
    <m/>
    <m/>
    <n v="0"/>
    <n v="0"/>
    <m/>
    <m/>
    <n v="0"/>
    <m/>
    <n v="0"/>
    <n v="0"/>
    <m/>
  </r>
  <r>
    <n v="395"/>
    <s v=""/>
    <s v="0"/>
    <m/>
    <s v="0"/>
    <m/>
    <x v="4"/>
    <x v="8"/>
    <x v="4"/>
    <m/>
    <m/>
    <n v="0"/>
    <n v="0"/>
    <m/>
    <m/>
    <n v="0"/>
    <m/>
    <n v="0"/>
    <n v="0"/>
    <m/>
  </r>
  <r>
    <n v="396"/>
    <s v=""/>
    <s v="0"/>
    <m/>
    <s v="0"/>
    <m/>
    <x v="4"/>
    <x v="8"/>
    <x v="4"/>
    <m/>
    <m/>
    <n v="0"/>
    <n v="0"/>
    <m/>
    <m/>
    <n v="0"/>
    <m/>
    <n v="0"/>
    <n v="0"/>
    <m/>
  </r>
  <r>
    <n v="397"/>
    <s v=""/>
    <s v="0"/>
    <m/>
    <s v="0"/>
    <m/>
    <x v="4"/>
    <x v="8"/>
    <x v="4"/>
    <m/>
    <m/>
    <n v="0"/>
    <n v="0"/>
    <m/>
    <m/>
    <n v="0"/>
    <m/>
    <n v="0"/>
    <n v="0"/>
    <m/>
  </r>
  <r>
    <n v="398"/>
    <s v=""/>
    <s v="0"/>
    <m/>
    <s v="0"/>
    <m/>
    <x v="4"/>
    <x v="8"/>
    <x v="4"/>
    <m/>
    <m/>
    <n v="0"/>
    <n v="0"/>
    <m/>
    <m/>
    <n v="0"/>
    <m/>
    <n v="0"/>
    <n v="0"/>
    <m/>
  </r>
  <r>
    <n v="399"/>
    <s v=""/>
    <s v="0"/>
    <m/>
    <s v="0"/>
    <m/>
    <x v="4"/>
    <x v="8"/>
    <x v="4"/>
    <m/>
    <m/>
    <n v="0"/>
    <n v="0"/>
    <m/>
    <m/>
    <n v="0"/>
    <m/>
    <n v="0"/>
    <n v="0"/>
    <m/>
  </r>
  <r>
    <n v="400"/>
    <s v=""/>
    <s v="0"/>
    <m/>
    <s v="0"/>
    <m/>
    <x v="4"/>
    <x v="8"/>
    <x v="4"/>
    <m/>
    <m/>
    <n v="0"/>
    <n v="0"/>
    <m/>
    <m/>
    <n v="0"/>
    <m/>
    <n v="0"/>
    <n v="0"/>
    <m/>
  </r>
  <r>
    <n v="401"/>
    <s v=""/>
    <s v="0"/>
    <m/>
    <s v="0"/>
    <m/>
    <x v="4"/>
    <x v="8"/>
    <x v="4"/>
    <m/>
    <m/>
    <n v="0"/>
    <n v="0"/>
    <m/>
    <m/>
    <n v="0"/>
    <m/>
    <n v="0"/>
    <n v="0"/>
    <m/>
  </r>
  <r>
    <n v="402"/>
    <s v=""/>
    <s v="0"/>
    <m/>
    <s v="0"/>
    <m/>
    <x v="4"/>
    <x v="8"/>
    <x v="4"/>
    <m/>
    <m/>
    <n v="0"/>
    <n v="0"/>
    <m/>
    <m/>
    <n v="0"/>
    <m/>
    <n v="0"/>
    <n v="0"/>
    <m/>
  </r>
  <r>
    <n v="403"/>
    <s v=""/>
    <s v="0"/>
    <m/>
    <s v="0"/>
    <m/>
    <x v="4"/>
    <x v="8"/>
    <x v="4"/>
    <m/>
    <m/>
    <n v="0"/>
    <n v="0"/>
    <m/>
    <m/>
    <n v="0"/>
    <m/>
    <n v="0"/>
    <n v="0"/>
    <m/>
  </r>
  <r>
    <n v="404"/>
    <s v=""/>
    <s v="0"/>
    <m/>
    <s v="0"/>
    <m/>
    <x v="4"/>
    <x v="8"/>
    <x v="4"/>
    <m/>
    <m/>
    <n v="0"/>
    <n v="0"/>
    <m/>
    <m/>
    <n v="0"/>
    <m/>
    <n v="0"/>
    <n v="0"/>
    <m/>
  </r>
  <r>
    <n v="405"/>
    <s v=""/>
    <s v="0"/>
    <m/>
    <s v="0"/>
    <m/>
    <x v="4"/>
    <x v="8"/>
    <x v="4"/>
    <m/>
    <m/>
    <n v="0"/>
    <n v="0"/>
    <m/>
    <m/>
    <n v="0"/>
    <m/>
    <n v="0"/>
    <n v="0"/>
    <m/>
  </r>
  <r>
    <n v="406"/>
    <s v=""/>
    <s v="0"/>
    <m/>
    <s v="0"/>
    <m/>
    <x v="4"/>
    <x v="8"/>
    <x v="4"/>
    <m/>
    <m/>
    <n v="0"/>
    <n v="0"/>
    <m/>
    <m/>
    <n v="0"/>
    <m/>
    <n v="0"/>
    <n v="0"/>
    <m/>
  </r>
  <r>
    <n v="407"/>
    <s v=""/>
    <s v="0"/>
    <m/>
    <s v="0"/>
    <m/>
    <x v="4"/>
    <x v="8"/>
    <x v="4"/>
    <m/>
    <m/>
    <n v="0"/>
    <n v="0"/>
    <m/>
    <m/>
    <n v="0"/>
    <m/>
    <n v="0"/>
    <n v="0"/>
    <m/>
  </r>
  <r>
    <n v="408"/>
    <s v=""/>
    <s v="0"/>
    <m/>
    <s v="0"/>
    <m/>
    <x v="4"/>
    <x v="8"/>
    <x v="4"/>
    <m/>
    <m/>
    <n v="0"/>
    <n v="0"/>
    <m/>
    <m/>
    <n v="0"/>
    <m/>
    <n v="0"/>
    <n v="0"/>
    <m/>
  </r>
  <r>
    <n v="409"/>
    <s v=""/>
    <s v="0"/>
    <m/>
    <s v="0"/>
    <m/>
    <x v="4"/>
    <x v="8"/>
    <x v="4"/>
    <m/>
    <m/>
    <n v="0"/>
    <n v="0"/>
    <m/>
    <m/>
    <n v="0"/>
    <m/>
    <n v="0"/>
    <n v="0"/>
    <m/>
  </r>
  <r>
    <n v="410"/>
    <s v=""/>
    <s v="0"/>
    <m/>
    <s v="0"/>
    <m/>
    <x v="4"/>
    <x v="8"/>
    <x v="4"/>
    <m/>
    <m/>
    <n v="0"/>
    <n v="0"/>
    <m/>
    <m/>
    <n v="0"/>
    <m/>
    <n v="0"/>
    <n v="0"/>
    <m/>
  </r>
  <r>
    <n v="411"/>
    <s v=""/>
    <s v="0"/>
    <m/>
    <s v="0"/>
    <m/>
    <x v="4"/>
    <x v="8"/>
    <x v="4"/>
    <m/>
    <m/>
    <n v="0"/>
    <n v="0"/>
    <m/>
    <m/>
    <n v="0"/>
    <m/>
    <n v="0"/>
    <n v="0"/>
    <m/>
  </r>
  <r>
    <n v="412"/>
    <s v=""/>
    <s v="0"/>
    <m/>
    <s v="0"/>
    <m/>
    <x v="4"/>
    <x v="8"/>
    <x v="4"/>
    <m/>
    <m/>
    <n v="0"/>
    <n v="0"/>
    <m/>
    <m/>
    <n v="0"/>
    <m/>
    <n v="0"/>
    <n v="0"/>
    <m/>
  </r>
  <r>
    <n v="413"/>
    <s v=""/>
    <s v="0"/>
    <m/>
    <s v="0"/>
    <m/>
    <x v="4"/>
    <x v="8"/>
    <x v="4"/>
    <m/>
    <m/>
    <n v="0"/>
    <n v="0"/>
    <m/>
    <m/>
    <n v="0"/>
    <m/>
    <n v="0"/>
    <n v="0"/>
    <m/>
  </r>
  <r>
    <n v="414"/>
    <s v=""/>
    <s v="0"/>
    <m/>
    <s v="0"/>
    <m/>
    <x v="4"/>
    <x v="8"/>
    <x v="4"/>
    <m/>
    <m/>
    <n v="0"/>
    <n v="0"/>
    <m/>
    <m/>
    <n v="0"/>
    <m/>
    <n v="0"/>
    <n v="0"/>
    <m/>
  </r>
  <r>
    <n v="415"/>
    <s v=""/>
    <s v="0"/>
    <m/>
    <s v="0"/>
    <m/>
    <x v="4"/>
    <x v="8"/>
    <x v="4"/>
    <m/>
    <m/>
    <n v="0"/>
    <n v="0"/>
    <m/>
    <m/>
    <n v="0"/>
    <m/>
    <n v="0"/>
    <n v="0"/>
    <m/>
  </r>
  <r>
    <n v="416"/>
    <s v=""/>
    <s v="0"/>
    <m/>
    <s v="0"/>
    <m/>
    <x v="4"/>
    <x v="8"/>
    <x v="4"/>
    <m/>
    <m/>
    <n v="0"/>
    <n v="0"/>
    <m/>
    <m/>
    <n v="0"/>
    <m/>
    <n v="0"/>
    <n v="0"/>
    <m/>
  </r>
  <r>
    <n v="417"/>
    <s v=""/>
    <s v="0"/>
    <m/>
    <s v="0"/>
    <m/>
    <x v="4"/>
    <x v="8"/>
    <x v="4"/>
    <m/>
    <m/>
    <n v="0"/>
    <n v="0"/>
    <m/>
    <m/>
    <n v="0"/>
    <m/>
    <n v="0"/>
    <n v="0"/>
    <m/>
  </r>
  <r>
    <n v="418"/>
    <s v=""/>
    <s v="0"/>
    <m/>
    <s v="0"/>
    <m/>
    <x v="4"/>
    <x v="8"/>
    <x v="4"/>
    <m/>
    <m/>
    <n v="0"/>
    <n v="0"/>
    <m/>
    <m/>
    <n v="0"/>
    <m/>
    <n v="0"/>
    <n v="0"/>
    <m/>
  </r>
  <r>
    <n v="419"/>
    <s v=""/>
    <s v="0"/>
    <m/>
    <s v="0"/>
    <m/>
    <x v="4"/>
    <x v="8"/>
    <x v="4"/>
    <m/>
    <m/>
    <n v="0"/>
    <n v="0"/>
    <m/>
    <m/>
    <n v="0"/>
    <m/>
    <n v="0"/>
    <n v="0"/>
    <m/>
  </r>
  <r>
    <n v="420"/>
    <s v=""/>
    <s v="0"/>
    <m/>
    <s v="0"/>
    <m/>
    <x v="4"/>
    <x v="8"/>
    <x v="4"/>
    <m/>
    <m/>
    <n v="0"/>
    <n v="0"/>
    <m/>
    <m/>
    <n v="0"/>
    <m/>
    <n v="0"/>
    <n v="0"/>
    <m/>
  </r>
  <r>
    <n v="421"/>
    <s v=""/>
    <s v="0"/>
    <m/>
    <s v="0"/>
    <m/>
    <x v="4"/>
    <x v="8"/>
    <x v="4"/>
    <m/>
    <m/>
    <n v="0"/>
    <n v="0"/>
    <m/>
    <m/>
    <n v="0"/>
    <m/>
    <n v="0"/>
    <n v="0"/>
    <m/>
  </r>
  <r>
    <n v="422"/>
    <s v=""/>
    <s v="0"/>
    <m/>
    <s v="0"/>
    <m/>
    <x v="4"/>
    <x v="8"/>
    <x v="4"/>
    <m/>
    <m/>
    <n v="0"/>
    <n v="0"/>
    <m/>
    <m/>
    <n v="0"/>
    <m/>
    <n v="0"/>
    <n v="0"/>
    <m/>
  </r>
  <r>
    <n v="423"/>
    <s v=""/>
    <s v="0"/>
    <m/>
    <s v="0"/>
    <m/>
    <x v="4"/>
    <x v="8"/>
    <x v="4"/>
    <m/>
    <m/>
    <n v="0"/>
    <n v="0"/>
    <m/>
    <m/>
    <n v="0"/>
    <m/>
    <n v="0"/>
    <n v="0"/>
    <m/>
  </r>
  <r>
    <n v="424"/>
    <s v=""/>
    <s v="0"/>
    <m/>
    <s v="0"/>
    <m/>
    <x v="4"/>
    <x v="8"/>
    <x v="4"/>
    <m/>
    <m/>
    <n v="0"/>
    <n v="0"/>
    <m/>
    <m/>
    <n v="0"/>
    <m/>
    <n v="0"/>
    <n v="0"/>
    <m/>
  </r>
  <r>
    <n v="425"/>
    <s v=""/>
    <s v="0"/>
    <m/>
    <s v="0"/>
    <m/>
    <x v="4"/>
    <x v="8"/>
    <x v="4"/>
    <m/>
    <m/>
    <n v="0"/>
    <n v="0"/>
    <m/>
    <m/>
    <n v="0"/>
    <m/>
    <n v="0"/>
    <n v="0"/>
    <m/>
  </r>
  <r>
    <n v="426"/>
    <s v=""/>
    <s v="0"/>
    <m/>
    <s v="0"/>
    <m/>
    <x v="4"/>
    <x v="8"/>
    <x v="4"/>
    <m/>
    <m/>
    <n v="0"/>
    <n v="0"/>
    <m/>
    <m/>
    <n v="0"/>
    <m/>
    <n v="0"/>
    <n v="0"/>
    <m/>
  </r>
  <r>
    <n v="427"/>
    <s v=""/>
    <s v="0"/>
    <m/>
    <s v="0"/>
    <m/>
    <x v="4"/>
    <x v="8"/>
    <x v="4"/>
    <m/>
    <m/>
    <n v="0"/>
    <n v="0"/>
    <m/>
    <m/>
    <n v="0"/>
    <m/>
    <n v="0"/>
    <n v="0"/>
    <m/>
  </r>
  <r>
    <n v="428"/>
    <s v=""/>
    <s v="0"/>
    <m/>
    <s v="0"/>
    <m/>
    <x v="4"/>
    <x v="8"/>
    <x v="4"/>
    <m/>
    <m/>
    <n v="0"/>
    <n v="0"/>
    <m/>
    <m/>
    <n v="0"/>
    <m/>
    <n v="0"/>
    <n v="0"/>
    <m/>
  </r>
  <r>
    <n v="429"/>
    <s v=""/>
    <s v="0"/>
    <m/>
    <s v="0"/>
    <m/>
    <x v="4"/>
    <x v="8"/>
    <x v="4"/>
    <m/>
    <m/>
    <n v="0"/>
    <n v="0"/>
    <m/>
    <m/>
    <n v="0"/>
    <m/>
    <n v="0"/>
    <n v="0"/>
    <m/>
  </r>
  <r>
    <n v="430"/>
    <s v=""/>
    <s v="0"/>
    <m/>
    <s v="0"/>
    <m/>
    <x v="4"/>
    <x v="8"/>
    <x v="4"/>
    <m/>
    <m/>
    <n v="0"/>
    <n v="0"/>
    <m/>
    <m/>
    <n v="0"/>
    <m/>
    <n v="0"/>
    <n v="0"/>
    <m/>
  </r>
  <r>
    <n v="431"/>
    <s v=""/>
    <s v="0"/>
    <m/>
    <s v="0"/>
    <m/>
    <x v="4"/>
    <x v="8"/>
    <x v="4"/>
    <m/>
    <m/>
    <n v="0"/>
    <n v="0"/>
    <m/>
    <m/>
    <n v="0"/>
    <m/>
    <n v="0"/>
    <n v="0"/>
    <m/>
  </r>
  <r>
    <n v="432"/>
    <s v=""/>
    <s v="0"/>
    <m/>
    <s v="0"/>
    <m/>
    <x v="4"/>
    <x v="8"/>
    <x v="4"/>
    <m/>
    <m/>
    <n v="0"/>
    <n v="0"/>
    <m/>
    <m/>
    <n v="0"/>
    <m/>
    <n v="0"/>
    <n v="0"/>
    <m/>
  </r>
  <r>
    <n v="433"/>
    <s v=""/>
    <s v="0"/>
    <m/>
    <s v="0"/>
    <m/>
    <x v="4"/>
    <x v="8"/>
    <x v="4"/>
    <m/>
    <m/>
    <n v="0"/>
    <n v="0"/>
    <m/>
    <m/>
    <n v="0"/>
    <m/>
    <n v="0"/>
    <n v="0"/>
    <m/>
  </r>
  <r>
    <n v="434"/>
    <s v=""/>
    <s v="0"/>
    <m/>
    <s v="0"/>
    <m/>
    <x v="4"/>
    <x v="8"/>
    <x v="4"/>
    <m/>
    <m/>
    <n v="0"/>
    <n v="0"/>
    <m/>
    <m/>
    <n v="0"/>
    <m/>
    <n v="0"/>
    <n v="0"/>
    <m/>
  </r>
  <r>
    <n v="435"/>
    <s v=""/>
    <s v="0"/>
    <m/>
    <s v="0"/>
    <m/>
    <x v="4"/>
    <x v="8"/>
    <x v="4"/>
    <m/>
    <m/>
    <n v="0"/>
    <n v="0"/>
    <m/>
    <m/>
    <n v="0"/>
    <m/>
    <n v="0"/>
    <n v="0"/>
    <m/>
  </r>
  <r>
    <n v="436"/>
    <s v=""/>
    <s v="0"/>
    <m/>
    <s v="0"/>
    <m/>
    <x v="4"/>
    <x v="8"/>
    <x v="4"/>
    <m/>
    <m/>
    <n v="0"/>
    <n v="0"/>
    <m/>
    <m/>
    <n v="0"/>
    <m/>
    <n v="0"/>
    <n v="0"/>
    <m/>
  </r>
  <r>
    <n v="437"/>
    <s v=""/>
    <s v="0"/>
    <m/>
    <s v="0"/>
    <m/>
    <x v="4"/>
    <x v="8"/>
    <x v="4"/>
    <m/>
    <m/>
    <n v="0"/>
    <n v="0"/>
    <m/>
    <m/>
    <n v="0"/>
    <m/>
    <n v="0"/>
    <n v="0"/>
    <m/>
  </r>
  <r>
    <n v="438"/>
    <s v=""/>
    <s v="0"/>
    <m/>
    <s v="0"/>
    <m/>
    <x v="4"/>
    <x v="8"/>
    <x v="4"/>
    <m/>
    <m/>
    <n v="0"/>
    <n v="0"/>
    <m/>
    <m/>
    <n v="0"/>
    <m/>
    <n v="0"/>
    <n v="0"/>
    <m/>
  </r>
  <r>
    <n v="439"/>
    <s v=""/>
    <s v="0"/>
    <m/>
    <s v="0"/>
    <m/>
    <x v="4"/>
    <x v="8"/>
    <x v="4"/>
    <m/>
    <m/>
    <n v="0"/>
    <n v="0"/>
    <m/>
    <m/>
    <n v="0"/>
    <m/>
    <n v="0"/>
    <n v="0"/>
    <m/>
  </r>
  <r>
    <n v="440"/>
    <s v=""/>
    <s v="0"/>
    <m/>
    <s v="0"/>
    <m/>
    <x v="4"/>
    <x v="8"/>
    <x v="4"/>
    <m/>
    <m/>
    <n v="0"/>
    <n v="0"/>
    <m/>
    <m/>
    <n v="0"/>
    <m/>
    <n v="0"/>
    <n v="0"/>
    <m/>
  </r>
  <r>
    <n v="441"/>
    <s v=""/>
    <s v="0"/>
    <m/>
    <s v="0"/>
    <m/>
    <x v="4"/>
    <x v="8"/>
    <x v="4"/>
    <m/>
    <m/>
    <n v="0"/>
    <n v="0"/>
    <m/>
    <m/>
    <n v="0"/>
    <m/>
    <n v="0"/>
    <n v="0"/>
    <m/>
  </r>
  <r>
    <n v="442"/>
    <s v=""/>
    <s v="0"/>
    <m/>
    <s v="0"/>
    <m/>
    <x v="4"/>
    <x v="8"/>
    <x v="4"/>
    <m/>
    <m/>
    <n v="0"/>
    <n v="0"/>
    <m/>
    <m/>
    <n v="0"/>
    <m/>
    <n v="0"/>
    <n v="0"/>
    <m/>
  </r>
  <r>
    <n v="443"/>
    <s v=""/>
    <s v="0"/>
    <m/>
    <s v="0"/>
    <m/>
    <x v="4"/>
    <x v="8"/>
    <x v="4"/>
    <m/>
    <m/>
    <n v="0"/>
    <n v="0"/>
    <m/>
    <m/>
    <n v="0"/>
    <m/>
    <n v="0"/>
    <n v="0"/>
    <m/>
  </r>
  <r>
    <n v="444"/>
    <s v=""/>
    <s v="0"/>
    <m/>
    <s v="0"/>
    <m/>
    <x v="4"/>
    <x v="8"/>
    <x v="4"/>
    <m/>
    <m/>
    <n v="0"/>
    <n v="0"/>
    <m/>
    <m/>
    <n v="0"/>
    <m/>
    <n v="0"/>
    <n v="0"/>
    <m/>
  </r>
  <r>
    <n v="445"/>
    <s v=""/>
    <s v="0"/>
    <m/>
    <s v="0"/>
    <m/>
    <x v="4"/>
    <x v="8"/>
    <x v="4"/>
    <m/>
    <m/>
    <n v="0"/>
    <n v="0"/>
    <m/>
    <m/>
    <n v="0"/>
    <m/>
    <n v="0"/>
    <n v="0"/>
    <m/>
  </r>
  <r>
    <n v="446"/>
    <s v=""/>
    <s v="0"/>
    <m/>
    <s v="0"/>
    <m/>
    <x v="4"/>
    <x v="8"/>
    <x v="4"/>
    <m/>
    <m/>
    <n v="0"/>
    <n v="0"/>
    <m/>
    <m/>
    <n v="0"/>
    <m/>
    <n v="0"/>
    <n v="0"/>
    <m/>
  </r>
  <r>
    <n v="447"/>
    <s v=""/>
    <s v="0"/>
    <m/>
    <s v="0"/>
    <m/>
    <x v="4"/>
    <x v="8"/>
    <x v="4"/>
    <m/>
    <m/>
    <n v="0"/>
    <n v="0"/>
    <m/>
    <m/>
    <n v="0"/>
    <m/>
    <n v="0"/>
    <n v="0"/>
    <m/>
  </r>
  <r>
    <n v="448"/>
    <s v=""/>
    <s v="0"/>
    <m/>
    <s v="0"/>
    <m/>
    <x v="4"/>
    <x v="8"/>
    <x v="4"/>
    <m/>
    <m/>
    <n v="0"/>
    <n v="0"/>
    <m/>
    <m/>
    <n v="0"/>
    <m/>
    <n v="0"/>
    <n v="0"/>
    <m/>
  </r>
  <r>
    <n v="449"/>
    <s v=""/>
    <s v="0"/>
    <m/>
    <s v="0"/>
    <m/>
    <x v="4"/>
    <x v="8"/>
    <x v="4"/>
    <m/>
    <m/>
    <n v="0"/>
    <n v="0"/>
    <m/>
    <m/>
    <n v="0"/>
    <m/>
    <n v="0"/>
    <n v="0"/>
    <m/>
  </r>
  <r>
    <n v="450"/>
    <s v=""/>
    <s v="0"/>
    <m/>
    <s v="0"/>
    <m/>
    <x v="4"/>
    <x v="8"/>
    <x v="4"/>
    <m/>
    <m/>
    <n v="0"/>
    <n v="0"/>
    <m/>
    <m/>
    <n v="0"/>
    <m/>
    <n v="0"/>
    <n v="0"/>
    <m/>
  </r>
  <r>
    <n v="451"/>
    <s v=""/>
    <s v="0"/>
    <m/>
    <s v="0"/>
    <m/>
    <x v="4"/>
    <x v="8"/>
    <x v="4"/>
    <m/>
    <m/>
    <n v="0"/>
    <n v="0"/>
    <m/>
    <m/>
    <n v="0"/>
    <m/>
    <n v="0"/>
    <n v="0"/>
    <m/>
  </r>
  <r>
    <n v="452"/>
    <s v=""/>
    <s v="0"/>
    <m/>
    <s v="0"/>
    <m/>
    <x v="4"/>
    <x v="8"/>
    <x v="4"/>
    <m/>
    <m/>
    <n v="0"/>
    <n v="0"/>
    <m/>
    <m/>
    <n v="0"/>
    <m/>
    <n v="0"/>
    <n v="0"/>
    <m/>
  </r>
  <r>
    <n v="453"/>
    <s v=""/>
    <s v="0"/>
    <m/>
    <s v="0"/>
    <m/>
    <x v="4"/>
    <x v="8"/>
    <x v="4"/>
    <m/>
    <m/>
    <n v="0"/>
    <n v="0"/>
    <m/>
    <m/>
    <n v="0"/>
    <m/>
    <n v="0"/>
    <n v="0"/>
    <m/>
  </r>
  <r>
    <n v="454"/>
    <s v=""/>
    <s v="0"/>
    <m/>
    <s v="0"/>
    <m/>
    <x v="4"/>
    <x v="8"/>
    <x v="4"/>
    <m/>
    <m/>
    <n v="0"/>
    <n v="0"/>
    <m/>
    <m/>
    <n v="0"/>
    <m/>
    <n v="0"/>
    <n v="0"/>
    <m/>
  </r>
  <r>
    <n v="455"/>
    <s v=""/>
    <s v="0"/>
    <m/>
    <s v="0"/>
    <m/>
    <x v="4"/>
    <x v="8"/>
    <x v="4"/>
    <m/>
    <m/>
    <n v="0"/>
    <n v="0"/>
    <m/>
    <m/>
    <n v="0"/>
    <m/>
    <n v="0"/>
    <n v="0"/>
    <m/>
  </r>
  <r>
    <n v="456"/>
    <s v=""/>
    <s v="0"/>
    <m/>
    <s v="0"/>
    <m/>
    <x v="4"/>
    <x v="8"/>
    <x v="4"/>
    <m/>
    <m/>
    <n v="0"/>
    <n v="0"/>
    <m/>
    <m/>
    <n v="0"/>
    <m/>
    <n v="0"/>
    <n v="0"/>
    <m/>
  </r>
  <r>
    <n v="457"/>
    <s v=""/>
    <s v="0"/>
    <m/>
    <s v="0"/>
    <m/>
    <x v="4"/>
    <x v="8"/>
    <x v="4"/>
    <m/>
    <m/>
    <n v="0"/>
    <n v="0"/>
    <m/>
    <m/>
    <n v="0"/>
    <m/>
    <n v="0"/>
    <n v="0"/>
    <m/>
  </r>
  <r>
    <n v="458"/>
    <s v=""/>
    <s v="0"/>
    <m/>
    <s v="0"/>
    <m/>
    <x v="4"/>
    <x v="8"/>
    <x v="4"/>
    <m/>
    <m/>
    <n v="0"/>
    <n v="0"/>
    <m/>
    <m/>
    <n v="0"/>
    <m/>
    <n v="0"/>
    <n v="0"/>
    <m/>
  </r>
  <r>
    <n v="459"/>
    <s v=""/>
    <s v="0"/>
    <m/>
    <s v="0"/>
    <m/>
    <x v="4"/>
    <x v="8"/>
    <x v="4"/>
    <m/>
    <m/>
    <n v="0"/>
    <n v="0"/>
    <m/>
    <m/>
    <n v="0"/>
    <m/>
    <n v="0"/>
    <n v="0"/>
    <m/>
  </r>
  <r>
    <n v="460"/>
    <s v=""/>
    <s v="0"/>
    <m/>
    <s v="0"/>
    <m/>
    <x v="4"/>
    <x v="8"/>
    <x v="4"/>
    <m/>
    <m/>
    <n v="0"/>
    <n v="0"/>
    <m/>
    <m/>
    <n v="0"/>
    <m/>
    <n v="0"/>
    <n v="0"/>
    <m/>
  </r>
  <r>
    <n v="461"/>
    <s v=""/>
    <s v="0"/>
    <m/>
    <s v="0"/>
    <m/>
    <x v="4"/>
    <x v="8"/>
    <x v="4"/>
    <m/>
    <m/>
    <n v="0"/>
    <n v="0"/>
    <m/>
    <m/>
    <n v="0"/>
    <m/>
    <n v="0"/>
    <n v="0"/>
    <m/>
  </r>
  <r>
    <n v="462"/>
    <s v=""/>
    <s v="0"/>
    <m/>
    <s v="0"/>
    <m/>
    <x v="4"/>
    <x v="8"/>
    <x v="4"/>
    <m/>
    <m/>
    <n v="0"/>
    <n v="0"/>
    <m/>
    <m/>
    <n v="0"/>
    <m/>
    <n v="0"/>
    <n v="0"/>
    <m/>
  </r>
  <r>
    <n v="463"/>
    <s v=""/>
    <s v="0"/>
    <m/>
    <s v="0"/>
    <m/>
    <x v="4"/>
    <x v="8"/>
    <x v="4"/>
    <m/>
    <m/>
    <n v="0"/>
    <n v="0"/>
    <m/>
    <m/>
    <n v="0"/>
    <m/>
    <n v="0"/>
    <n v="0"/>
    <m/>
  </r>
  <r>
    <n v="464"/>
    <s v=""/>
    <s v="0"/>
    <m/>
    <s v="0"/>
    <m/>
    <x v="4"/>
    <x v="8"/>
    <x v="4"/>
    <m/>
    <m/>
    <n v="0"/>
    <n v="0"/>
    <m/>
    <m/>
    <n v="0"/>
    <m/>
    <n v="0"/>
    <n v="0"/>
    <m/>
  </r>
  <r>
    <n v="465"/>
    <s v=""/>
    <s v="0"/>
    <m/>
    <s v="0"/>
    <m/>
    <x v="4"/>
    <x v="8"/>
    <x v="4"/>
    <m/>
    <m/>
    <n v="0"/>
    <n v="0"/>
    <m/>
    <m/>
    <n v="0"/>
    <m/>
    <n v="0"/>
    <n v="0"/>
    <m/>
  </r>
  <r>
    <n v="466"/>
    <s v=""/>
    <s v="0"/>
    <m/>
    <s v="0"/>
    <m/>
    <x v="4"/>
    <x v="8"/>
    <x v="4"/>
    <m/>
    <m/>
    <n v="0"/>
    <n v="0"/>
    <m/>
    <m/>
    <n v="0"/>
    <m/>
    <n v="0"/>
    <n v="0"/>
    <m/>
  </r>
  <r>
    <n v="467"/>
    <s v=""/>
    <s v="0"/>
    <m/>
    <s v="0"/>
    <m/>
    <x v="4"/>
    <x v="8"/>
    <x v="4"/>
    <m/>
    <m/>
    <n v="0"/>
    <n v="0"/>
    <m/>
    <m/>
    <n v="0"/>
    <m/>
    <n v="0"/>
    <n v="0"/>
    <m/>
  </r>
  <r>
    <n v="468"/>
    <s v=""/>
    <s v="0"/>
    <m/>
    <s v="0"/>
    <m/>
    <x v="4"/>
    <x v="8"/>
    <x v="4"/>
    <m/>
    <m/>
    <n v="0"/>
    <n v="0"/>
    <m/>
    <m/>
    <n v="0"/>
    <m/>
    <n v="0"/>
    <n v="0"/>
    <m/>
  </r>
  <r>
    <n v="469"/>
    <s v=""/>
    <s v="0"/>
    <m/>
    <s v="0"/>
    <m/>
    <x v="4"/>
    <x v="8"/>
    <x v="4"/>
    <m/>
    <m/>
    <n v="0"/>
    <n v="0"/>
    <m/>
    <m/>
    <n v="0"/>
    <m/>
    <n v="0"/>
    <n v="0"/>
    <m/>
  </r>
  <r>
    <n v="470"/>
    <s v=""/>
    <s v="0"/>
    <m/>
    <s v="0"/>
    <m/>
    <x v="4"/>
    <x v="8"/>
    <x v="4"/>
    <m/>
    <m/>
    <n v="0"/>
    <n v="0"/>
    <m/>
    <m/>
    <n v="0"/>
    <m/>
    <n v="0"/>
    <n v="0"/>
    <m/>
  </r>
  <r>
    <n v="471"/>
    <s v=""/>
    <s v="0"/>
    <m/>
    <s v="0"/>
    <m/>
    <x v="4"/>
    <x v="8"/>
    <x v="4"/>
    <m/>
    <m/>
    <n v="0"/>
    <n v="0"/>
    <m/>
    <m/>
    <n v="0"/>
    <m/>
    <n v="0"/>
    <n v="0"/>
    <m/>
  </r>
  <r>
    <n v="472"/>
    <s v=""/>
    <s v="0"/>
    <m/>
    <s v="0"/>
    <m/>
    <x v="4"/>
    <x v="8"/>
    <x v="4"/>
    <m/>
    <m/>
    <n v="0"/>
    <n v="0"/>
    <m/>
    <m/>
    <n v="0"/>
    <m/>
    <n v="0"/>
    <n v="0"/>
    <m/>
  </r>
  <r>
    <n v="473"/>
    <s v=""/>
    <s v="0"/>
    <m/>
    <s v="0"/>
    <m/>
    <x v="4"/>
    <x v="8"/>
    <x v="4"/>
    <m/>
    <m/>
    <n v="0"/>
    <n v="0"/>
    <m/>
    <m/>
    <n v="0"/>
    <m/>
    <n v="0"/>
    <n v="0"/>
    <m/>
  </r>
  <r>
    <n v="474"/>
    <s v=""/>
    <s v="0"/>
    <m/>
    <s v="0"/>
    <m/>
    <x v="4"/>
    <x v="8"/>
    <x v="4"/>
    <m/>
    <m/>
    <n v="0"/>
    <n v="0"/>
    <m/>
    <m/>
    <n v="0"/>
    <m/>
    <n v="0"/>
    <n v="0"/>
    <m/>
  </r>
  <r>
    <n v="475"/>
    <s v=""/>
    <s v="0"/>
    <m/>
    <s v="0"/>
    <m/>
    <x v="4"/>
    <x v="8"/>
    <x v="4"/>
    <m/>
    <m/>
    <n v="0"/>
    <n v="0"/>
    <m/>
    <m/>
    <n v="0"/>
    <m/>
    <n v="0"/>
    <n v="0"/>
    <m/>
  </r>
  <r>
    <n v="476"/>
    <s v=""/>
    <s v="0"/>
    <m/>
    <s v="0"/>
    <m/>
    <x v="4"/>
    <x v="8"/>
    <x v="4"/>
    <m/>
    <m/>
    <n v="0"/>
    <n v="0"/>
    <m/>
    <m/>
    <n v="0"/>
    <m/>
    <n v="0"/>
    <n v="0"/>
    <m/>
  </r>
  <r>
    <n v="477"/>
    <s v=""/>
    <s v="0"/>
    <m/>
    <s v="0"/>
    <m/>
    <x v="4"/>
    <x v="8"/>
    <x v="4"/>
    <m/>
    <m/>
    <n v="0"/>
    <n v="0"/>
    <m/>
    <m/>
    <n v="0"/>
    <m/>
    <n v="0"/>
    <n v="0"/>
    <m/>
  </r>
  <r>
    <n v="478"/>
    <s v=""/>
    <s v="0"/>
    <m/>
    <s v="0"/>
    <m/>
    <x v="4"/>
    <x v="8"/>
    <x v="4"/>
    <m/>
    <m/>
    <n v="0"/>
    <n v="0"/>
    <m/>
    <m/>
    <n v="0"/>
    <m/>
    <n v="0"/>
    <n v="0"/>
    <m/>
  </r>
  <r>
    <n v="479"/>
    <s v=""/>
    <s v="0"/>
    <m/>
    <s v="0"/>
    <m/>
    <x v="4"/>
    <x v="8"/>
    <x v="4"/>
    <m/>
    <m/>
    <n v="0"/>
    <n v="0"/>
    <m/>
    <m/>
    <n v="0"/>
    <m/>
    <n v="0"/>
    <n v="0"/>
    <m/>
  </r>
  <r>
    <n v="480"/>
    <s v=""/>
    <s v="0"/>
    <m/>
    <s v="0"/>
    <m/>
    <x v="4"/>
    <x v="8"/>
    <x v="4"/>
    <m/>
    <m/>
    <n v="0"/>
    <n v="0"/>
    <m/>
    <m/>
    <n v="0"/>
    <m/>
    <n v="0"/>
    <n v="0"/>
    <m/>
  </r>
  <r>
    <n v="481"/>
    <s v=""/>
    <s v="0"/>
    <m/>
    <s v="0"/>
    <m/>
    <x v="4"/>
    <x v="8"/>
    <x v="4"/>
    <m/>
    <m/>
    <n v="0"/>
    <n v="0"/>
    <m/>
    <m/>
    <n v="0"/>
    <m/>
    <n v="0"/>
    <n v="0"/>
    <m/>
  </r>
  <r>
    <n v="482"/>
    <s v=""/>
    <s v="0"/>
    <m/>
    <s v="0"/>
    <m/>
    <x v="4"/>
    <x v="8"/>
    <x v="4"/>
    <m/>
    <m/>
    <n v="0"/>
    <n v="0"/>
    <m/>
    <m/>
    <n v="0"/>
    <m/>
    <n v="0"/>
    <n v="0"/>
    <m/>
  </r>
  <r>
    <n v="483"/>
    <s v=""/>
    <s v="0"/>
    <m/>
    <s v="0"/>
    <m/>
    <x v="4"/>
    <x v="8"/>
    <x v="4"/>
    <m/>
    <m/>
    <n v="0"/>
    <n v="0"/>
    <m/>
    <m/>
    <n v="0"/>
    <m/>
    <n v="0"/>
    <n v="0"/>
    <m/>
  </r>
  <r>
    <n v="484"/>
    <s v=""/>
    <s v="0"/>
    <m/>
    <s v="0"/>
    <m/>
    <x v="4"/>
    <x v="8"/>
    <x v="4"/>
    <m/>
    <m/>
    <n v="0"/>
    <n v="0"/>
    <m/>
    <m/>
    <n v="0"/>
    <m/>
    <n v="0"/>
    <n v="0"/>
    <m/>
  </r>
  <r>
    <n v="485"/>
    <s v=""/>
    <s v="0"/>
    <m/>
    <s v="0"/>
    <m/>
    <x v="4"/>
    <x v="8"/>
    <x v="4"/>
    <m/>
    <m/>
    <n v="0"/>
    <n v="0"/>
    <m/>
    <m/>
    <n v="0"/>
    <m/>
    <n v="0"/>
    <n v="0"/>
    <m/>
  </r>
  <r>
    <n v="486"/>
    <s v=""/>
    <s v="0"/>
    <m/>
    <s v="0"/>
    <m/>
    <x v="4"/>
    <x v="8"/>
    <x v="4"/>
    <m/>
    <m/>
    <n v="0"/>
    <n v="0"/>
    <m/>
    <m/>
    <n v="0"/>
    <m/>
    <n v="0"/>
    <n v="0"/>
    <m/>
  </r>
  <r>
    <n v="487"/>
    <s v=""/>
    <s v="0"/>
    <m/>
    <s v="0"/>
    <m/>
    <x v="4"/>
    <x v="8"/>
    <x v="4"/>
    <m/>
    <m/>
    <n v="0"/>
    <n v="0"/>
    <m/>
    <m/>
    <n v="0"/>
    <m/>
    <n v="0"/>
    <n v="0"/>
    <m/>
  </r>
  <r>
    <n v="488"/>
    <s v=""/>
    <s v="0"/>
    <m/>
    <s v="0"/>
    <m/>
    <x v="4"/>
    <x v="8"/>
    <x v="4"/>
    <m/>
    <m/>
    <n v="0"/>
    <n v="0"/>
    <m/>
    <m/>
    <n v="0"/>
    <m/>
    <n v="0"/>
    <n v="0"/>
    <m/>
  </r>
  <r>
    <n v="489"/>
    <s v=""/>
    <s v="0"/>
    <m/>
    <s v="0"/>
    <m/>
    <x v="4"/>
    <x v="8"/>
    <x v="4"/>
    <m/>
    <m/>
    <n v="0"/>
    <n v="0"/>
    <m/>
    <m/>
    <n v="0"/>
    <m/>
    <n v="0"/>
    <n v="0"/>
    <m/>
  </r>
  <r>
    <n v="490"/>
    <s v=""/>
    <s v="0"/>
    <m/>
    <s v="0"/>
    <m/>
    <x v="4"/>
    <x v="8"/>
    <x v="4"/>
    <m/>
    <m/>
    <n v="0"/>
    <n v="0"/>
    <m/>
    <m/>
    <n v="0"/>
    <m/>
    <n v="0"/>
    <n v="0"/>
    <m/>
  </r>
  <r>
    <n v="491"/>
    <s v=""/>
    <s v="0"/>
    <m/>
    <s v="0"/>
    <m/>
    <x v="4"/>
    <x v="8"/>
    <x v="4"/>
    <m/>
    <m/>
    <n v="0"/>
    <n v="0"/>
    <m/>
    <m/>
    <n v="0"/>
    <m/>
    <n v="0"/>
    <n v="0"/>
    <m/>
  </r>
  <r>
    <n v="492"/>
    <s v=""/>
    <s v="0"/>
    <m/>
    <s v="0"/>
    <m/>
    <x v="4"/>
    <x v="8"/>
    <x v="4"/>
    <m/>
    <m/>
    <n v="0"/>
    <n v="0"/>
    <m/>
    <m/>
    <n v="0"/>
    <m/>
    <n v="0"/>
    <n v="0"/>
    <m/>
  </r>
  <r>
    <n v="493"/>
    <s v=""/>
    <s v="0"/>
    <m/>
    <s v="0"/>
    <m/>
    <x v="4"/>
    <x v="8"/>
    <x v="4"/>
    <m/>
    <m/>
    <n v="0"/>
    <n v="0"/>
    <m/>
    <m/>
    <n v="0"/>
    <m/>
    <n v="0"/>
    <n v="0"/>
    <m/>
  </r>
  <r>
    <n v="494"/>
    <s v=""/>
    <s v="0"/>
    <m/>
    <s v="0"/>
    <m/>
    <x v="4"/>
    <x v="8"/>
    <x v="4"/>
    <m/>
    <m/>
    <n v="0"/>
    <n v="0"/>
    <m/>
    <m/>
    <n v="0"/>
    <m/>
    <n v="0"/>
    <n v="0"/>
    <m/>
  </r>
  <r>
    <n v="495"/>
    <s v=""/>
    <s v="0"/>
    <m/>
    <s v="0"/>
    <m/>
    <x v="4"/>
    <x v="8"/>
    <x v="4"/>
    <m/>
    <m/>
    <n v="0"/>
    <n v="0"/>
    <m/>
    <m/>
    <n v="0"/>
    <m/>
    <n v="0"/>
    <n v="0"/>
    <m/>
  </r>
  <r>
    <n v="496"/>
    <s v=""/>
    <s v="0"/>
    <m/>
    <s v="0"/>
    <m/>
    <x v="4"/>
    <x v="8"/>
    <x v="4"/>
    <m/>
    <m/>
    <n v="0"/>
    <n v="0"/>
    <m/>
    <m/>
    <n v="0"/>
    <m/>
    <n v="0"/>
    <n v="0"/>
    <m/>
  </r>
  <r>
    <n v="497"/>
    <s v=""/>
    <s v="0"/>
    <m/>
    <s v="0"/>
    <m/>
    <x v="4"/>
    <x v="8"/>
    <x v="4"/>
    <m/>
    <m/>
    <n v="0"/>
    <n v="0"/>
    <m/>
    <m/>
    <n v="0"/>
    <m/>
    <n v="0"/>
    <n v="0"/>
    <m/>
  </r>
  <r>
    <n v="498"/>
    <s v=""/>
    <s v="0"/>
    <m/>
    <s v="0"/>
    <m/>
    <x v="4"/>
    <x v="8"/>
    <x v="4"/>
    <m/>
    <m/>
    <n v="0"/>
    <n v="0"/>
    <m/>
    <m/>
    <n v="0"/>
    <m/>
    <n v="0"/>
    <n v="0"/>
    <m/>
  </r>
  <r>
    <n v="499"/>
    <s v=""/>
    <s v="0"/>
    <m/>
    <s v="0"/>
    <m/>
    <x v="4"/>
    <x v="8"/>
    <x v="4"/>
    <m/>
    <m/>
    <n v="0"/>
    <n v="0"/>
    <m/>
    <m/>
    <n v="0"/>
    <m/>
    <n v="0"/>
    <n v="0"/>
    <m/>
  </r>
  <r>
    <n v="500"/>
    <s v=""/>
    <s v="0"/>
    <m/>
    <s v="0"/>
    <m/>
    <x v="4"/>
    <x v="8"/>
    <x v="4"/>
    <m/>
    <m/>
    <n v="0"/>
    <n v="0"/>
    <m/>
    <m/>
    <n v="0"/>
    <m/>
    <n v="0"/>
    <n v="0"/>
    <m/>
  </r>
  <r>
    <n v="501"/>
    <s v=""/>
    <s v="0"/>
    <m/>
    <s v="0"/>
    <m/>
    <x v="4"/>
    <x v="8"/>
    <x v="4"/>
    <m/>
    <m/>
    <n v="0"/>
    <n v="0"/>
    <m/>
    <m/>
    <n v="0"/>
    <m/>
    <n v="0"/>
    <n v="0"/>
    <m/>
  </r>
  <r>
    <n v="502"/>
    <s v=""/>
    <s v="0"/>
    <m/>
    <s v="0"/>
    <m/>
    <x v="4"/>
    <x v="8"/>
    <x v="4"/>
    <m/>
    <m/>
    <n v="0"/>
    <n v="0"/>
    <m/>
    <m/>
    <n v="0"/>
    <m/>
    <n v="0"/>
    <n v="0"/>
    <m/>
  </r>
  <r>
    <n v="503"/>
    <s v=""/>
    <s v="0"/>
    <m/>
    <s v="0"/>
    <m/>
    <x v="4"/>
    <x v="8"/>
    <x v="4"/>
    <m/>
    <m/>
    <n v="0"/>
    <n v="0"/>
    <m/>
    <m/>
    <n v="0"/>
    <m/>
    <n v="0"/>
    <n v="0"/>
    <m/>
  </r>
  <r>
    <n v="504"/>
    <s v=""/>
    <s v="0"/>
    <m/>
    <s v="0"/>
    <m/>
    <x v="4"/>
    <x v="8"/>
    <x v="4"/>
    <m/>
    <m/>
    <n v="0"/>
    <n v="0"/>
    <m/>
    <m/>
    <n v="0"/>
    <m/>
    <n v="0"/>
    <n v="0"/>
    <m/>
  </r>
  <r>
    <n v="505"/>
    <s v=""/>
    <s v="0"/>
    <m/>
    <s v="0"/>
    <m/>
    <x v="4"/>
    <x v="8"/>
    <x v="4"/>
    <m/>
    <m/>
    <n v="0"/>
    <n v="0"/>
    <m/>
    <m/>
    <n v="0"/>
    <m/>
    <n v="0"/>
    <n v="0"/>
    <m/>
  </r>
  <r>
    <n v="506"/>
    <s v=""/>
    <s v="0"/>
    <m/>
    <s v="0"/>
    <m/>
    <x v="4"/>
    <x v="8"/>
    <x v="4"/>
    <m/>
    <m/>
    <n v="0"/>
    <n v="0"/>
    <m/>
    <m/>
    <n v="0"/>
    <m/>
    <n v="0"/>
    <n v="0"/>
    <m/>
  </r>
  <r>
    <n v="507"/>
    <s v=""/>
    <s v="0"/>
    <m/>
    <s v="0"/>
    <m/>
    <x v="4"/>
    <x v="8"/>
    <x v="4"/>
    <m/>
    <m/>
    <n v="0"/>
    <n v="0"/>
    <m/>
    <m/>
    <n v="0"/>
    <m/>
    <n v="0"/>
    <n v="0"/>
    <m/>
  </r>
  <r>
    <n v="508"/>
    <s v=""/>
    <s v="0"/>
    <m/>
    <s v="0"/>
    <m/>
    <x v="4"/>
    <x v="8"/>
    <x v="4"/>
    <m/>
    <m/>
    <n v="0"/>
    <n v="0"/>
    <m/>
    <m/>
    <n v="0"/>
    <m/>
    <n v="0"/>
    <n v="0"/>
    <m/>
  </r>
  <r>
    <n v="509"/>
    <s v=""/>
    <s v="0"/>
    <m/>
    <s v="0"/>
    <m/>
    <x v="4"/>
    <x v="8"/>
    <x v="4"/>
    <m/>
    <m/>
    <n v="0"/>
    <n v="0"/>
    <m/>
    <m/>
    <n v="0"/>
    <m/>
    <n v="0"/>
    <n v="0"/>
    <m/>
  </r>
  <r>
    <n v="510"/>
    <s v=""/>
    <s v="0"/>
    <m/>
    <s v="0"/>
    <m/>
    <x v="4"/>
    <x v="8"/>
    <x v="4"/>
    <m/>
    <m/>
    <n v="0"/>
    <n v="0"/>
    <m/>
    <m/>
    <n v="0"/>
    <m/>
    <n v="0"/>
    <n v="0"/>
    <m/>
  </r>
  <r>
    <n v="511"/>
    <s v=""/>
    <s v="0"/>
    <m/>
    <s v="0"/>
    <m/>
    <x v="4"/>
    <x v="8"/>
    <x v="4"/>
    <m/>
    <m/>
    <n v="0"/>
    <n v="0"/>
    <m/>
    <m/>
    <n v="0"/>
    <m/>
    <n v="0"/>
    <n v="0"/>
    <m/>
  </r>
  <r>
    <n v="512"/>
    <s v=""/>
    <s v="0"/>
    <m/>
    <s v="0"/>
    <m/>
    <x v="4"/>
    <x v="8"/>
    <x v="4"/>
    <m/>
    <m/>
    <n v="0"/>
    <n v="0"/>
    <m/>
    <m/>
    <n v="0"/>
    <m/>
    <n v="0"/>
    <n v="0"/>
    <m/>
  </r>
  <r>
    <n v="513"/>
    <s v=""/>
    <s v="0"/>
    <m/>
    <s v="0"/>
    <m/>
    <x v="4"/>
    <x v="8"/>
    <x v="4"/>
    <m/>
    <m/>
    <n v="0"/>
    <n v="0"/>
    <m/>
    <m/>
    <n v="0"/>
    <m/>
    <n v="0"/>
    <n v="0"/>
    <m/>
  </r>
  <r>
    <n v="514"/>
    <s v=""/>
    <s v="0"/>
    <m/>
    <s v="0"/>
    <m/>
    <x v="4"/>
    <x v="8"/>
    <x v="4"/>
    <m/>
    <m/>
    <n v="0"/>
    <n v="0"/>
    <m/>
    <m/>
    <n v="0"/>
    <m/>
    <n v="0"/>
    <n v="0"/>
    <m/>
  </r>
  <r>
    <n v="515"/>
    <s v=""/>
    <s v="0"/>
    <m/>
    <s v="0"/>
    <m/>
    <x v="4"/>
    <x v="8"/>
    <x v="4"/>
    <m/>
    <m/>
    <n v="0"/>
    <n v="0"/>
    <m/>
    <m/>
    <n v="0"/>
    <m/>
    <n v="0"/>
    <n v="0"/>
    <m/>
  </r>
  <r>
    <n v="516"/>
    <s v=""/>
    <s v="0"/>
    <m/>
    <s v="0"/>
    <m/>
    <x v="4"/>
    <x v="8"/>
    <x v="4"/>
    <m/>
    <m/>
    <n v="0"/>
    <n v="0"/>
    <m/>
    <m/>
    <n v="0"/>
    <m/>
    <n v="0"/>
    <n v="0"/>
    <m/>
  </r>
  <r>
    <n v="517"/>
    <s v=""/>
    <s v="0"/>
    <m/>
    <s v="0"/>
    <m/>
    <x v="4"/>
    <x v="8"/>
    <x v="4"/>
    <m/>
    <m/>
    <n v="0"/>
    <n v="0"/>
    <m/>
    <m/>
    <n v="0"/>
    <m/>
    <n v="0"/>
    <n v="0"/>
    <m/>
  </r>
  <r>
    <n v="518"/>
    <s v=""/>
    <s v="0"/>
    <m/>
    <s v="0"/>
    <m/>
    <x v="4"/>
    <x v="8"/>
    <x v="4"/>
    <m/>
    <m/>
    <n v="0"/>
    <n v="0"/>
    <m/>
    <m/>
    <n v="0"/>
    <m/>
    <n v="0"/>
    <n v="0"/>
    <m/>
  </r>
  <r>
    <n v="519"/>
    <s v=""/>
    <s v="0"/>
    <m/>
    <s v="0"/>
    <m/>
    <x v="4"/>
    <x v="8"/>
    <x v="4"/>
    <m/>
    <m/>
    <n v="0"/>
    <n v="0"/>
    <m/>
    <m/>
    <n v="0"/>
    <m/>
    <n v="0"/>
    <n v="0"/>
    <m/>
  </r>
  <r>
    <n v="520"/>
    <s v=""/>
    <s v="0"/>
    <m/>
    <s v="0"/>
    <m/>
    <x v="4"/>
    <x v="8"/>
    <x v="4"/>
    <m/>
    <m/>
    <n v="0"/>
    <n v="0"/>
    <m/>
    <m/>
    <n v="0"/>
    <m/>
    <n v="0"/>
    <n v="0"/>
    <m/>
  </r>
  <r>
    <n v="521"/>
    <s v=""/>
    <s v="0"/>
    <m/>
    <s v="0"/>
    <m/>
    <x v="4"/>
    <x v="8"/>
    <x v="4"/>
    <m/>
    <m/>
    <n v="0"/>
    <n v="0"/>
    <m/>
    <m/>
    <n v="0"/>
    <m/>
    <n v="0"/>
    <n v="0"/>
    <m/>
  </r>
  <r>
    <n v="522"/>
    <s v=""/>
    <s v="0"/>
    <m/>
    <s v="0"/>
    <m/>
    <x v="4"/>
    <x v="8"/>
    <x v="4"/>
    <m/>
    <m/>
    <n v="0"/>
    <n v="0"/>
    <m/>
    <m/>
    <n v="0"/>
    <m/>
    <n v="0"/>
    <n v="0"/>
    <m/>
  </r>
  <r>
    <n v="523"/>
    <s v=""/>
    <s v="0"/>
    <m/>
    <s v="0"/>
    <m/>
    <x v="4"/>
    <x v="8"/>
    <x v="4"/>
    <m/>
    <m/>
    <n v="0"/>
    <n v="0"/>
    <m/>
    <m/>
    <n v="0"/>
    <m/>
    <n v="0"/>
    <n v="0"/>
    <m/>
  </r>
  <r>
    <n v="524"/>
    <s v=""/>
    <s v="0"/>
    <m/>
    <s v="0"/>
    <m/>
    <x v="4"/>
    <x v="8"/>
    <x v="4"/>
    <m/>
    <m/>
    <n v="0"/>
    <n v="0"/>
    <m/>
    <m/>
    <n v="0"/>
    <m/>
    <n v="0"/>
    <n v="0"/>
    <m/>
  </r>
  <r>
    <n v="525"/>
    <s v=""/>
    <s v="0"/>
    <m/>
    <s v="0"/>
    <m/>
    <x v="4"/>
    <x v="8"/>
    <x v="4"/>
    <m/>
    <m/>
    <n v="0"/>
    <n v="0"/>
    <m/>
    <m/>
    <n v="0"/>
    <m/>
    <n v="0"/>
    <n v="0"/>
    <m/>
  </r>
  <r>
    <n v="526"/>
    <s v=""/>
    <s v="0"/>
    <m/>
    <s v="0"/>
    <m/>
    <x v="4"/>
    <x v="8"/>
    <x v="4"/>
    <m/>
    <m/>
    <n v="0"/>
    <n v="0"/>
    <m/>
    <m/>
    <n v="0"/>
    <m/>
    <n v="0"/>
    <n v="0"/>
    <m/>
  </r>
  <r>
    <n v="527"/>
    <s v=""/>
    <s v="0"/>
    <m/>
    <s v="0"/>
    <m/>
    <x v="4"/>
    <x v="8"/>
    <x v="4"/>
    <m/>
    <m/>
    <n v="0"/>
    <n v="0"/>
    <m/>
    <m/>
    <n v="0"/>
    <m/>
    <n v="0"/>
    <n v="0"/>
    <m/>
  </r>
  <r>
    <n v="528"/>
    <s v=""/>
    <s v="0"/>
    <m/>
    <s v="0"/>
    <m/>
    <x v="4"/>
    <x v="8"/>
    <x v="4"/>
    <m/>
    <m/>
    <n v="0"/>
    <n v="0"/>
    <m/>
    <m/>
    <n v="0"/>
    <m/>
    <n v="0"/>
    <n v="0"/>
    <m/>
  </r>
  <r>
    <n v="529"/>
    <s v=""/>
    <s v="0"/>
    <m/>
    <s v="0"/>
    <m/>
    <x v="4"/>
    <x v="8"/>
    <x v="4"/>
    <m/>
    <m/>
    <n v="0"/>
    <n v="0"/>
    <m/>
    <m/>
    <n v="0"/>
    <m/>
    <n v="0"/>
    <n v="0"/>
    <m/>
  </r>
  <r>
    <n v="530"/>
    <s v=""/>
    <s v="0"/>
    <m/>
    <s v="0"/>
    <m/>
    <x v="4"/>
    <x v="8"/>
    <x v="4"/>
    <m/>
    <m/>
    <n v="0"/>
    <n v="0"/>
    <m/>
    <m/>
    <n v="0"/>
    <m/>
    <n v="0"/>
    <n v="0"/>
    <m/>
  </r>
  <r>
    <n v="531"/>
    <s v=""/>
    <s v="0"/>
    <m/>
    <s v="0"/>
    <m/>
    <x v="4"/>
    <x v="8"/>
    <x v="4"/>
    <m/>
    <m/>
    <n v="0"/>
    <n v="0"/>
    <m/>
    <m/>
    <n v="0"/>
    <m/>
    <n v="0"/>
    <n v="0"/>
    <m/>
  </r>
  <r>
    <n v="532"/>
    <s v=""/>
    <s v="0"/>
    <m/>
    <s v="0"/>
    <m/>
    <x v="4"/>
    <x v="8"/>
    <x v="4"/>
    <m/>
    <m/>
    <n v="0"/>
    <n v="0"/>
    <m/>
    <m/>
    <n v="0"/>
    <m/>
    <n v="0"/>
    <n v="0"/>
    <m/>
  </r>
  <r>
    <n v="533"/>
    <s v=""/>
    <s v="0"/>
    <m/>
    <s v="0"/>
    <m/>
    <x v="4"/>
    <x v="8"/>
    <x v="4"/>
    <m/>
    <m/>
    <n v="0"/>
    <n v="0"/>
    <m/>
    <m/>
    <n v="0"/>
    <m/>
    <n v="0"/>
    <n v="0"/>
    <m/>
  </r>
  <r>
    <n v="534"/>
    <s v=""/>
    <s v="0"/>
    <m/>
    <s v="0"/>
    <m/>
    <x v="4"/>
    <x v="8"/>
    <x v="4"/>
    <m/>
    <m/>
    <n v="0"/>
    <n v="0"/>
    <m/>
    <m/>
    <n v="0"/>
    <m/>
    <n v="0"/>
    <n v="0"/>
    <m/>
  </r>
  <r>
    <n v="535"/>
    <s v=""/>
    <s v="0"/>
    <m/>
    <s v="0"/>
    <m/>
    <x v="4"/>
    <x v="8"/>
    <x v="4"/>
    <m/>
    <m/>
    <n v="0"/>
    <n v="0"/>
    <m/>
    <m/>
    <n v="0"/>
    <m/>
    <n v="0"/>
    <n v="0"/>
    <m/>
  </r>
  <r>
    <n v="536"/>
    <s v=""/>
    <s v="0"/>
    <m/>
    <s v="0"/>
    <m/>
    <x v="4"/>
    <x v="8"/>
    <x v="4"/>
    <m/>
    <m/>
    <n v="0"/>
    <n v="0"/>
    <m/>
    <m/>
    <n v="0"/>
    <m/>
    <n v="0"/>
    <n v="0"/>
    <m/>
  </r>
  <r>
    <n v="537"/>
    <s v=""/>
    <s v="0"/>
    <m/>
    <s v="0"/>
    <m/>
    <x v="4"/>
    <x v="8"/>
    <x v="4"/>
    <m/>
    <m/>
    <n v="0"/>
    <n v="0"/>
    <m/>
    <m/>
    <n v="0"/>
    <m/>
    <n v="0"/>
    <n v="0"/>
    <m/>
  </r>
  <r>
    <n v="538"/>
    <s v=""/>
    <s v="0"/>
    <m/>
    <s v="0"/>
    <m/>
    <x v="4"/>
    <x v="8"/>
    <x v="4"/>
    <m/>
    <m/>
    <n v="0"/>
    <n v="0"/>
    <m/>
    <m/>
    <n v="0"/>
    <m/>
    <n v="0"/>
    <n v="0"/>
    <m/>
  </r>
  <r>
    <n v="539"/>
    <s v=""/>
    <s v="0"/>
    <m/>
    <s v="0"/>
    <m/>
    <x v="4"/>
    <x v="8"/>
    <x v="4"/>
    <m/>
    <m/>
    <n v="0"/>
    <n v="0"/>
    <m/>
    <m/>
    <n v="0"/>
    <m/>
    <n v="0"/>
    <n v="0"/>
    <m/>
  </r>
  <r>
    <n v="540"/>
    <s v=""/>
    <s v="0"/>
    <m/>
    <s v="0"/>
    <m/>
    <x v="4"/>
    <x v="8"/>
    <x v="4"/>
    <m/>
    <m/>
    <n v="0"/>
    <n v="0"/>
    <m/>
    <m/>
    <n v="0"/>
    <m/>
    <n v="0"/>
    <n v="0"/>
    <m/>
  </r>
  <r>
    <n v="541"/>
    <s v=""/>
    <s v="0"/>
    <m/>
    <s v="0"/>
    <m/>
    <x v="4"/>
    <x v="8"/>
    <x v="4"/>
    <m/>
    <m/>
    <n v="0"/>
    <n v="0"/>
    <m/>
    <m/>
    <n v="0"/>
    <m/>
    <n v="0"/>
    <n v="0"/>
    <m/>
  </r>
  <r>
    <n v="542"/>
    <s v=""/>
    <s v="0"/>
    <m/>
    <s v="0"/>
    <m/>
    <x v="4"/>
    <x v="8"/>
    <x v="4"/>
    <m/>
    <m/>
    <n v="0"/>
    <n v="0"/>
    <m/>
    <m/>
    <n v="0"/>
    <m/>
    <n v="0"/>
    <n v="0"/>
    <m/>
  </r>
  <r>
    <n v="543"/>
    <s v=""/>
    <s v="0"/>
    <m/>
    <s v="0"/>
    <m/>
    <x v="4"/>
    <x v="8"/>
    <x v="4"/>
    <m/>
    <m/>
    <n v="0"/>
    <n v="0"/>
    <m/>
    <m/>
    <n v="0"/>
    <m/>
    <n v="0"/>
    <n v="0"/>
    <m/>
  </r>
  <r>
    <n v="544"/>
    <s v=""/>
    <s v="0"/>
    <m/>
    <s v="0"/>
    <m/>
    <x v="4"/>
    <x v="8"/>
    <x v="4"/>
    <m/>
    <m/>
    <n v="0"/>
    <n v="0"/>
    <m/>
    <m/>
    <n v="0"/>
    <m/>
    <n v="0"/>
    <n v="0"/>
    <m/>
  </r>
  <r>
    <n v="545"/>
    <s v=""/>
    <s v="0"/>
    <m/>
    <s v="0"/>
    <m/>
    <x v="4"/>
    <x v="8"/>
    <x v="4"/>
    <m/>
    <m/>
    <n v="0"/>
    <n v="0"/>
    <m/>
    <m/>
    <n v="0"/>
    <m/>
    <n v="0"/>
    <n v="0"/>
    <m/>
  </r>
  <r>
    <n v="546"/>
    <s v=""/>
    <s v="0"/>
    <m/>
    <s v="0"/>
    <m/>
    <x v="4"/>
    <x v="8"/>
    <x v="4"/>
    <m/>
    <m/>
    <n v="0"/>
    <n v="0"/>
    <m/>
    <m/>
    <n v="0"/>
    <m/>
    <n v="0"/>
    <n v="0"/>
    <m/>
  </r>
  <r>
    <n v="547"/>
    <s v=""/>
    <s v="0"/>
    <m/>
    <s v="0"/>
    <m/>
    <x v="4"/>
    <x v="8"/>
    <x v="4"/>
    <m/>
    <m/>
    <n v="0"/>
    <n v="0"/>
    <m/>
    <m/>
    <n v="0"/>
    <m/>
    <n v="0"/>
    <n v="0"/>
    <m/>
  </r>
  <r>
    <n v="548"/>
    <s v=""/>
    <s v="0"/>
    <m/>
    <s v="0"/>
    <m/>
    <x v="4"/>
    <x v="8"/>
    <x v="4"/>
    <m/>
    <m/>
    <n v="0"/>
    <n v="0"/>
    <m/>
    <m/>
    <n v="0"/>
    <m/>
    <n v="0"/>
    <n v="0"/>
    <m/>
  </r>
  <r>
    <n v="549"/>
    <s v=""/>
    <s v="0"/>
    <m/>
    <s v="0"/>
    <m/>
    <x v="4"/>
    <x v="8"/>
    <x v="4"/>
    <m/>
    <m/>
    <n v="0"/>
    <n v="0"/>
    <m/>
    <m/>
    <n v="0"/>
    <m/>
    <n v="0"/>
    <n v="0"/>
    <m/>
  </r>
  <r>
    <n v="550"/>
    <s v=""/>
    <s v="0"/>
    <m/>
    <s v="0"/>
    <m/>
    <x v="4"/>
    <x v="8"/>
    <x v="4"/>
    <m/>
    <m/>
    <n v="0"/>
    <n v="0"/>
    <m/>
    <m/>
    <n v="0"/>
    <m/>
    <n v="0"/>
    <n v="0"/>
    <m/>
  </r>
  <r>
    <n v="551"/>
    <s v=""/>
    <s v="0"/>
    <m/>
    <s v="0"/>
    <m/>
    <x v="4"/>
    <x v="8"/>
    <x v="4"/>
    <m/>
    <m/>
    <n v="0"/>
    <n v="0"/>
    <m/>
    <m/>
    <n v="0"/>
    <m/>
    <n v="0"/>
    <n v="0"/>
    <m/>
  </r>
  <r>
    <n v="552"/>
    <s v=""/>
    <s v="0"/>
    <m/>
    <s v="0"/>
    <m/>
    <x v="4"/>
    <x v="8"/>
    <x v="4"/>
    <m/>
    <m/>
    <n v="0"/>
    <n v="0"/>
    <m/>
    <m/>
    <n v="0"/>
    <m/>
    <n v="0"/>
    <n v="0"/>
    <m/>
  </r>
  <r>
    <n v="553"/>
    <s v=""/>
    <s v="0"/>
    <m/>
    <s v="0"/>
    <m/>
    <x v="4"/>
    <x v="8"/>
    <x v="4"/>
    <m/>
    <m/>
    <n v="0"/>
    <n v="0"/>
    <m/>
    <m/>
    <n v="0"/>
    <m/>
    <n v="0"/>
    <n v="0"/>
    <m/>
  </r>
  <r>
    <n v="554"/>
    <s v=""/>
    <s v="0"/>
    <m/>
    <s v="0"/>
    <m/>
    <x v="4"/>
    <x v="8"/>
    <x v="4"/>
    <m/>
    <m/>
    <n v="0"/>
    <n v="0"/>
    <m/>
    <m/>
    <n v="0"/>
    <m/>
    <n v="0"/>
    <n v="0"/>
    <m/>
  </r>
  <r>
    <n v="555"/>
    <s v=""/>
    <s v="0"/>
    <m/>
    <s v="0"/>
    <m/>
    <x v="4"/>
    <x v="8"/>
    <x v="4"/>
    <m/>
    <m/>
    <n v="0"/>
    <n v="0"/>
    <m/>
    <m/>
    <n v="0"/>
    <m/>
    <n v="0"/>
    <n v="0"/>
    <m/>
  </r>
  <r>
    <n v="556"/>
    <s v=""/>
    <s v="0"/>
    <m/>
    <s v="0"/>
    <m/>
    <x v="4"/>
    <x v="8"/>
    <x v="4"/>
    <m/>
    <m/>
    <n v="0"/>
    <n v="0"/>
    <m/>
    <m/>
    <n v="0"/>
    <m/>
    <n v="0"/>
    <n v="0"/>
    <m/>
  </r>
  <r>
    <n v="557"/>
    <s v=""/>
    <s v="0"/>
    <m/>
    <s v="0"/>
    <m/>
    <x v="4"/>
    <x v="8"/>
    <x v="4"/>
    <m/>
    <m/>
    <n v="0"/>
    <n v="0"/>
    <m/>
    <m/>
    <n v="0"/>
    <m/>
    <n v="0"/>
    <n v="0"/>
    <m/>
  </r>
  <r>
    <n v="558"/>
    <s v=""/>
    <s v="0"/>
    <m/>
    <s v="0"/>
    <m/>
    <x v="4"/>
    <x v="8"/>
    <x v="4"/>
    <m/>
    <m/>
    <n v="0"/>
    <n v="0"/>
    <m/>
    <m/>
    <n v="0"/>
    <m/>
    <n v="0"/>
    <n v="0"/>
    <m/>
  </r>
  <r>
    <n v="559"/>
    <s v=""/>
    <s v="0"/>
    <m/>
    <s v="0"/>
    <m/>
    <x v="4"/>
    <x v="8"/>
    <x v="4"/>
    <m/>
    <m/>
    <n v="0"/>
    <n v="0"/>
    <m/>
    <m/>
    <n v="0"/>
    <m/>
    <n v="0"/>
    <n v="0"/>
    <m/>
  </r>
  <r>
    <n v="560"/>
    <s v=""/>
    <s v="0"/>
    <m/>
    <s v="0"/>
    <m/>
    <x v="4"/>
    <x v="8"/>
    <x v="4"/>
    <m/>
    <m/>
    <n v="0"/>
    <n v="0"/>
    <m/>
    <m/>
    <n v="0"/>
    <m/>
    <n v="0"/>
    <n v="0"/>
    <m/>
  </r>
  <r>
    <n v="561"/>
    <s v=""/>
    <s v="0"/>
    <m/>
    <s v="0"/>
    <m/>
    <x v="4"/>
    <x v="8"/>
    <x v="4"/>
    <m/>
    <m/>
    <n v="0"/>
    <n v="0"/>
    <m/>
    <m/>
    <n v="0"/>
    <m/>
    <n v="0"/>
    <n v="0"/>
    <m/>
  </r>
  <r>
    <n v="562"/>
    <s v=""/>
    <s v="0"/>
    <m/>
    <s v="0"/>
    <m/>
    <x v="4"/>
    <x v="8"/>
    <x v="4"/>
    <m/>
    <m/>
    <n v="0"/>
    <n v="0"/>
    <m/>
    <m/>
    <n v="0"/>
    <m/>
    <n v="0"/>
    <n v="0"/>
    <m/>
  </r>
  <r>
    <n v="563"/>
    <s v=""/>
    <s v="0"/>
    <m/>
    <s v="0"/>
    <m/>
    <x v="4"/>
    <x v="8"/>
    <x v="4"/>
    <m/>
    <m/>
    <n v="0"/>
    <n v="0"/>
    <m/>
    <m/>
    <n v="0"/>
    <m/>
    <n v="0"/>
    <n v="0"/>
    <m/>
  </r>
  <r>
    <n v="564"/>
    <s v=""/>
    <s v="0"/>
    <m/>
    <s v="0"/>
    <m/>
    <x v="4"/>
    <x v="8"/>
    <x v="4"/>
    <m/>
    <m/>
    <n v="0"/>
    <n v="0"/>
    <m/>
    <m/>
    <n v="0"/>
    <m/>
    <n v="0"/>
    <n v="0"/>
    <m/>
  </r>
  <r>
    <n v="565"/>
    <s v=""/>
    <s v="0"/>
    <m/>
    <s v="0"/>
    <m/>
    <x v="4"/>
    <x v="8"/>
    <x v="4"/>
    <m/>
    <m/>
    <n v="0"/>
    <n v="0"/>
    <m/>
    <m/>
    <n v="0"/>
    <m/>
    <n v="0"/>
    <n v="0"/>
    <m/>
  </r>
  <r>
    <n v="566"/>
    <s v=""/>
    <s v="0"/>
    <m/>
    <s v="0"/>
    <m/>
    <x v="4"/>
    <x v="8"/>
    <x v="4"/>
    <m/>
    <m/>
    <n v="0"/>
    <n v="0"/>
    <m/>
    <m/>
    <n v="0"/>
    <m/>
    <n v="0"/>
    <n v="0"/>
    <m/>
  </r>
  <r>
    <n v="567"/>
    <s v=""/>
    <s v="0"/>
    <m/>
    <s v="0"/>
    <m/>
    <x v="4"/>
    <x v="8"/>
    <x v="4"/>
    <m/>
    <m/>
    <n v="0"/>
    <n v="0"/>
    <m/>
    <m/>
    <n v="0"/>
    <m/>
    <n v="0"/>
    <n v="0"/>
    <m/>
  </r>
  <r>
    <n v="568"/>
    <s v=""/>
    <s v="0"/>
    <m/>
    <s v="0"/>
    <m/>
    <x v="4"/>
    <x v="8"/>
    <x v="4"/>
    <m/>
    <m/>
    <n v="0"/>
    <n v="0"/>
    <m/>
    <m/>
    <n v="0"/>
    <m/>
    <n v="0"/>
    <n v="0"/>
    <m/>
  </r>
  <r>
    <n v="569"/>
    <s v=""/>
    <s v="0"/>
    <m/>
    <s v="0"/>
    <m/>
    <x v="4"/>
    <x v="8"/>
    <x v="4"/>
    <m/>
    <m/>
    <n v="0"/>
    <n v="0"/>
    <m/>
    <m/>
    <n v="0"/>
    <m/>
    <n v="0"/>
    <n v="0"/>
    <m/>
  </r>
  <r>
    <n v="570"/>
    <s v=""/>
    <s v="0"/>
    <m/>
    <s v="0"/>
    <m/>
    <x v="4"/>
    <x v="8"/>
    <x v="4"/>
    <m/>
    <m/>
    <n v="0"/>
    <n v="0"/>
    <m/>
    <m/>
    <n v="0"/>
    <m/>
    <n v="0"/>
    <n v="0"/>
    <m/>
  </r>
  <r>
    <n v="571"/>
    <s v=""/>
    <s v="0"/>
    <m/>
    <s v="0"/>
    <m/>
    <x v="4"/>
    <x v="8"/>
    <x v="4"/>
    <m/>
    <m/>
    <n v="0"/>
    <n v="0"/>
    <m/>
    <m/>
    <n v="0"/>
    <m/>
    <n v="0"/>
    <n v="0"/>
    <m/>
  </r>
  <r>
    <n v="572"/>
    <s v=""/>
    <s v="0"/>
    <m/>
    <s v="0"/>
    <m/>
    <x v="4"/>
    <x v="8"/>
    <x v="4"/>
    <m/>
    <m/>
    <n v="0"/>
    <n v="0"/>
    <m/>
    <m/>
    <n v="0"/>
    <m/>
    <n v="0"/>
    <n v="0"/>
    <m/>
  </r>
  <r>
    <n v="573"/>
    <s v=""/>
    <s v="0"/>
    <m/>
    <s v="0"/>
    <m/>
    <x v="4"/>
    <x v="8"/>
    <x v="4"/>
    <m/>
    <m/>
    <n v="0"/>
    <n v="0"/>
    <m/>
    <m/>
    <n v="0"/>
    <m/>
    <n v="0"/>
    <n v="0"/>
    <m/>
  </r>
  <r>
    <n v="574"/>
    <s v=""/>
    <s v="0"/>
    <m/>
    <s v="0"/>
    <m/>
    <x v="4"/>
    <x v="8"/>
    <x v="4"/>
    <m/>
    <m/>
    <n v="0"/>
    <n v="0"/>
    <m/>
    <m/>
    <n v="0"/>
    <m/>
    <n v="0"/>
    <n v="0"/>
    <m/>
  </r>
  <r>
    <n v="575"/>
    <s v=""/>
    <s v="0"/>
    <m/>
    <s v="0"/>
    <m/>
    <x v="4"/>
    <x v="8"/>
    <x v="4"/>
    <m/>
    <m/>
    <n v="0"/>
    <n v="0"/>
    <m/>
    <m/>
    <n v="0"/>
    <m/>
    <n v="0"/>
    <n v="0"/>
    <m/>
  </r>
  <r>
    <n v="576"/>
    <s v=""/>
    <s v="0"/>
    <m/>
    <s v="0"/>
    <m/>
    <x v="4"/>
    <x v="8"/>
    <x v="4"/>
    <m/>
    <m/>
    <n v="0"/>
    <n v="0"/>
    <m/>
    <m/>
    <n v="0"/>
    <m/>
    <n v="0"/>
    <n v="0"/>
    <m/>
  </r>
  <r>
    <n v="577"/>
    <s v=""/>
    <s v="0"/>
    <m/>
    <s v="0"/>
    <m/>
    <x v="4"/>
    <x v="8"/>
    <x v="4"/>
    <m/>
    <m/>
    <n v="0"/>
    <n v="0"/>
    <m/>
    <m/>
    <n v="0"/>
    <m/>
    <n v="0"/>
    <n v="0"/>
    <m/>
  </r>
  <r>
    <n v="578"/>
    <s v=""/>
    <s v="0"/>
    <m/>
    <s v="0"/>
    <m/>
    <x v="4"/>
    <x v="8"/>
    <x v="4"/>
    <m/>
    <m/>
    <n v="0"/>
    <n v="0"/>
    <m/>
    <m/>
    <n v="0"/>
    <m/>
    <n v="0"/>
    <n v="0"/>
    <m/>
  </r>
  <r>
    <n v="579"/>
    <s v=""/>
    <s v="0"/>
    <m/>
    <s v="0"/>
    <m/>
    <x v="4"/>
    <x v="8"/>
    <x v="4"/>
    <m/>
    <m/>
    <n v="0"/>
    <n v="0"/>
    <m/>
    <m/>
    <n v="0"/>
    <m/>
    <n v="0"/>
    <n v="0"/>
    <m/>
  </r>
  <r>
    <n v="580"/>
    <s v=""/>
    <s v="0"/>
    <m/>
    <s v="0"/>
    <m/>
    <x v="4"/>
    <x v="8"/>
    <x v="4"/>
    <m/>
    <m/>
    <n v="0"/>
    <n v="0"/>
    <m/>
    <m/>
    <n v="0"/>
    <m/>
    <n v="0"/>
    <n v="0"/>
    <m/>
  </r>
  <r>
    <n v="581"/>
    <s v=""/>
    <s v="0"/>
    <m/>
    <s v="0"/>
    <m/>
    <x v="4"/>
    <x v="8"/>
    <x v="4"/>
    <m/>
    <m/>
    <n v="0"/>
    <n v="0"/>
    <m/>
    <m/>
    <n v="0"/>
    <m/>
    <n v="0"/>
    <n v="0"/>
    <m/>
  </r>
  <r>
    <n v="582"/>
    <s v=""/>
    <s v="0"/>
    <m/>
    <s v="0"/>
    <m/>
    <x v="4"/>
    <x v="8"/>
    <x v="4"/>
    <m/>
    <m/>
    <n v="0"/>
    <n v="0"/>
    <m/>
    <m/>
    <n v="0"/>
    <m/>
    <n v="0"/>
    <n v="0"/>
    <m/>
  </r>
  <r>
    <n v="583"/>
    <s v=""/>
    <s v="0"/>
    <m/>
    <s v="0"/>
    <m/>
    <x v="4"/>
    <x v="8"/>
    <x v="4"/>
    <m/>
    <m/>
    <n v="0"/>
    <n v="0"/>
    <m/>
    <m/>
    <n v="0"/>
    <m/>
    <n v="0"/>
    <n v="0"/>
    <m/>
  </r>
  <r>
    <n v="584"/>
    <s v=""/>
    <s v="0"/>
    <m/>
    <s v="0"/>
    <m/>
    <x v="4"/>
    <x v="8"/>
    <x v="4"/>
    <m/>
    <m/>
    <n v="0"/>
    <n v="0"/>
    <m/>
    <m/>
    <n v="0"/>
    <m/>
    <n v="0"/>
    <n v="0"/>
    <m/>
  </r>
  <r>
    <n v="585"/>
    <s v=""/>
    <s v="0"/>
    <m/>
    <s v="0"/>
    <m/>
    <x v="4"/>
    <x v="8"/>
    <x v="4"/>
    <m/>
    <m/>
    <n v="0"/>
    <n v="0"/>
    <m/>
    <m/>
    <n v="0"/>
    <m/>
    <n v="0"/>
    <n v="0"/>
    <m/>
  </r>
  <r>
    <n v="586"/>
    <s v=""/>
    <s v="0"/>
    <m/>
    <s v="0"/>
    <m/>
    <x v="4"/>
    <x v="8"/>
    <x v="4"/>
    <m/>
    <m/>
    <n v="0"/>
    <n v="0"/>
    <m/>
    <m/>
    <n v="0"/>
    <m/>
    <n v="0"/>
    <n v="0"/>
    <m/>
  </r>
  <r>
    <n v="587"/>
    <s v=""/>
    <s v="0"/>
    <m/>
    <s v="0"/>
    <m/>
    <x v="4"/>
    <x v="8"/>
    <x v="4"/>
    <m/>
    <m/>
    <n v="0"/>
    <n v="0"/>
    <m/>
    <m/>
    <n v="0"/>
    <m/>
    <n v="0"/>
    <n v="0"/>
    <m/>
  </r>
  <r>
    <n v="588"/>
    <s v=""/>
    <s v="0"/>
    <m/>
    <s v="0"/>
    <m/>
    <x v="4"/>
    <x v="8"/>
    <x v="4"/>
    <m/>
    <m/>
    <n v="0"/>
    <n v="0"/>
    <m/>
    <m/>
    <n v="0"/>
    <m/>
    <n v="0"/>
    <n v="0"/>
    <m/>
  </r>
  <r>
    <n v="589"/>
    <s v=""/>
    <s v="0"/>
    <m/>
    <s v="0"/>
    <m/>
    <x v="4"/>
    <x v="8"/>
    <x v="4"/>
    <m/>
    <m/>
    <n v="0"/>
    <n v="0"/>
    <m/>
    <m/>
    <n v="0"/>
    <m/>
    <n v="0"/>
    <n v="0"/>
    <m/>
  </r>
  <r>
    <n v="590"/>
    <s v=""/>
    <s v="0"/>
    <m/>
    <s v="0"/>
    <m/>
    <x v="4"/>
    <x v="8"/>
    <x v="4"/>
    <m/>
    <m/>
    <n v="0"/>
    <n v="0"/>
    <m/>
    <m/>
    <n v="0"/>
    <m/>
    <n v="0"/>
    <n v="0"/>
    <m/>
  </r>
  <r>
    <n v="591"/>
    <s v=""/>
    <s v="0"/>
    <m/>
    <s v="0"/>
    <m/>
    <x v="4"/>
    <x v="8"/>
    <x v="4"/>
    <m/>
    <m/>
    <n v="0"/>
    <n v="0"/>
    <m/>
    <m/>
    <n v="0"/>
    <m/>
    <n v="0"/>
    <n v="0"/>
    <m/>
  </r>
  <r>
    <n v="592"/>
    <s v=""/>
    <s v="0"/>
    <m/>
    <s v="0"/>
    <m/>
    <x v="4"/>
    <x v="8"/>
    <x v="4"/>
    <m/>
    <m/>
    <n v="0"/>
    <n v="0"/>
    <m/>
    <m/>
    <n v="0"/>
    <m/>
    <n v="0"/>
    <n v="0"/>
    <m/>
  </r>
  <r>
    <n v="593"/>
    <s v=""/>
    <s v="0"/>
    <m/>
    <s v="0"/>
    <m/>
    <x v="4"/>
    <x v="8"/>
    <x v="4"/>
    <m/>
    <m/>
    <n v="0"/>
    <n v="0"/>
    <m/>
    <m/>
    <n v="0"/>
    <m/>
    <n v="0"/>
    <n v="0"/>
    <m/>
  </r>
  <r>
    <n v="594"/>
    <s v=""/>
    <s v="0"/>
    <m/>
    <s v="0"/>
    <m/>
    <x v="4"/>
    <x v="8"/>
    <x v="4"/>
    <m/>
    <m/>
    <n v="0"/>
    <n v="0"/>
    <m/>
    <m/>
    <n v="0"/>
    <m/>
    <n v="0"/>
    <n v="0"/>
    <m/>
  </r>
  <r>
    <n v="595"/>
    <s v=""/>
    <s v="0"/>
    <m/>
    <s v="0"/>
    <m/>
    <x v="4"/>
    <x v="8"/>
    <x v="4"/>
    <m/>
    <m/>
    <n v="0"/>
    <n v="0"/>
    <m/>
    <m/>
    <n v="0"/>
    <m/>
    <n v="0"/>
    <n v="0"/>
    <m/>
  </r>
  <r>
    <n v="596"/>
    <s v=""/>
    <s v="0"/>
    <m/>
    <s v="0"/>
    <m/>
    <x v="4"/>
    <x v="8"/>
    <x v="4"/>
    <m/>
    <m/>
    <n v="0"/>
    <n v="0"/>
    <m/>
    <m/>
    <n v="0"/>
    <m/>
    <n v="0"/>
    <n v="0"/>
    <m/>
  </r>
  <r>
    <n v="597"/>
    <s v=""/>
    <s v="0"/>
    <m/>
    <s v="0"/>
    <m/>
    <x v="4"/>
    <x v="8"/>
    <x v="4"/>
    <m/>
    <m/>
    <n v="0"/>
    <n v="0"/>
    <m/>
    <m/>
    <n v="0"/>
    <m/>
    <n v="0"/>
    <n v="0"/>
    <m/>
  </r>
  <r>
    <n v="598"/>
    <s v=""/>
    <s v="0"/>
    <m/>
    <s v="0"/>
    <m/>
    <x v="4"/>
    <x v="8"/>
    <x v="4"/>
    <m/>
    <m/>
    <n v="0"/>
    <n v="0"/>
    <m/>
    <m/>
    <n v="0"/>
    <m/>
    <n v="0"/>
    <n v="0"/>
    <m/>
  </r>
  <r>
    <n v="599"/>
    <s v=""/>
    <s v="0"/>
    <m/>
    <s v="0"/>
    <m/>
    <x v="4"/>
    <x v="8"/>
    <x v="4"/>
    <m/>
    <m/>
    <n v="0"/>
    <n v="0"/>
    <m/>
    <m/>
    <n v="0"/>
    <m/>
    <n v="0"/>
    <n v="0"/>
    <m/>
  </r>
  <r>
    <n v="600"/>
    <s v=""/>
    <s v="0"/>
    <m/>
    <s v="0"/>
    <m/>
    <x v="4"/>
    <x v="8"/>
    <x v="4"/>
    <m/>
    <m/>
    <n v="0"/>
    <n v="0"/>
    <m/>
    <m/>
    <n v="0"/>
    <m/>
    <n v="0"/>
    <n v="0"/>
    <m/>
  </r>
  <r>
    <n v="601"/>
    <s v=""/>
    <s v="0"/>
    <m/>
    <s v="0"/>
    <m/>
    <x v="4"/>
    <x v="8"/>
    <x v="4"/>
    <m/>
    <m/>
    <n v="0"/>
    <n v="0"/>
    <m/>
    <m/>
    <n v="0"/>
    <m/>
    <n v="0"/>
    <n v="0"/>
    <m/>
  </r>
  <r>
    <n v="602"/>
    <s v=""/>
    <s v="0"/>
    <m/>
    <s v="0"/>
    <m/>
    <x v="4"/>
    <x v="8"/>
    <x v="4"/>
    <m/>
    <m/>
    <n v="0"/>
    <n v="0"/>
    <m/>
    <m/>
    <n v="0"/>
    <m/>
    <n v="0"/>
    <n v="0"/>
    <m/>
  </r>
  <r>
    <n v="603"/>
    <s v=""/>
    <s v="0"/>
    <m/>
    <s v="0"/>
    <m/>
    <x v="4"/>
    <x v="8"/>
    <x v="4"/>
    <m/>
    <m/>
    <n v="0"/>
    <n v="0"/>
    <m/>
    <m/>
    <n v="0"/>
    <m/>
    <n v="0"/>
    <n v="0"/>
    <m/>
  </r>
  <r>
    <n v="604"/>
    <s v=""/>
    <s v="0"/>
    <m/>
    <s v="0"/>
    <m/>
    <x v="4"/>
    <x v="8"/>
    <x v="4"/>
    <m/>
    <m/>
    <n v="0"/>
    <n v="0"/>
    <m/>
    <m/>
    <n v="0"/>
    <m/>
    <n v="0"/>
    <n v="0"/>
    <m/>
  </r>
  <r>
    <n v="605"/>
    <s v=""/>
    <s v="0"/>
    <m/>
    <s v="0"/>
    <m/>
    <x v="4"/>
    <x v="8"/>
    <x v="4"/>
    <m/>
    <m/>
    <n v="0"/>
    <n v="0"/>
    <m/>
    <m/>
    <n v="0"/>
    <m/>
    <n v="0"/>
    <n v="0"/>
    <m/>
  </r>
  <r>
    <n v="606"/>
    <s v=""/>
    <s v="0"/>
    <m/>
    <s v="0"/>
    <m/>
    <x v="4"/>
    <x v="8"/>
    <x v="4"/>
    <m/>
    <m/>
    <n v="0"/>
    <n v="0"/>
    <m/>
    <m/>
    <n v="0"/>
    <m/>
    <n v="0"/>
    <n v="0"/>
    <m/>
  </r>
  <r>
    <n v="607"/>
    <s v=""/>
    <s v="0"/>
    <m/>
    <s v="0"/>
    <m/>
    <x v="4"/>
    <x v="8"/>
    <x v="4"/>
    <m/>
    <m/>
    <n v="0"/>
    <n v="0"/>
    <m/>
    <m/>
    <n v="0"/>
    <m/>
    <n v="0"/>
    <n v="0"/>
    <m/>
  </r>
  <r>
    <n v="608"/>
    <s v=""/>
    <s v="0"/>
    <m/>
    <s v="0"/>
    <m/>
    <x v="4"/>
    <x v="8"/>
    <x v="4"/>
    <m/>
    <m/>
    <n v="0"/>
    <n v="0"/>
    <m/>
    <m/>
    <n v="0"/>
    <m/>
    <n v="0"/>
    <n v="0"/>
    <m/>
  </r>
  <r>
    <n v="609"/>
    <s v=""/>
    <s v="0"/>
    <m/>
    <s v="0"/>
    <m/>
    <x v="4"/>
    <x v="8"/>
    <x v="4"/>
    <m/>
    <m/>
    <n v="0"/>
    <n v="0"/>
    <m/>
    <m/>
    <n v="0"/>
    <m/>
    <n v="0"/>
    <n v="0"/>
    <m/>
  </r>
  <r>
    <n v="610"/>
    <s v=""/>
    <s v="0"/>
    <m/>
    <s v="0"/>
    <m/>
    <x v="4"/>
    <x v="8"/>
    <x v="4"/>
    <m/>
    <m/>
    <n v="0"/>
    <n v="0"/>
    <m/>
    <m/>
    <n v="0"/>
    <m/>
    <n v="0"/>
    <n v="0"/>
    <m/>
  </r>
  <r>
    <n v="611"/>
    <s v=""/>
    <s v="0"/>
    <m/>
    <s v="0"/>
    <m/>
    <x v="4"/>
    <x v="8"/>
    <x v="4"/>
    <m/>
    <m/>
    <n v="0"/>
    <n v="0"/>
    <m/>
    <m/>
    <n v="0"/>
    <m/>
    <n v="0"/>
    <n v="0"/>
    <m/>
  </r>
  <r>
    <n v="612"/>
    <s v=""/>
    <s v="0"/>
    <m/>
    <s v="0"/>
    <m/>
    <x v="4"/>
    <x v="8"/>
    <x v="4"/>
    <m/>
    <m/>
    <n v="0"/>
    <n v="0"/>
    <m/>
    <m/>
    <n v="0"/>
    <m/>
    <n v="0"/>
    <n v="0"/>
    <m/>
  </r>
  <r>
    <n v="613"/>
    <s v=""/>
    <s v="0"/>
    <m/>
    <s v="0"/>
    <m/>
    <x v="4"/>
    <x v="8"/>
    <x v="4"/>
    <m/>
    <m/>
    <n v="0"/>
    <n v="0"/>
    <m/>
    <m/>
    <n v="0"/>
    <m/>
    <n v="0"/>
    <n v="0"/>
    <m/>
  </r>
  <r>
    <n v="614"/>
    <s v=""/>
    <s v="0"/>
    <m/>
    <s v="0"/>
    <m/>
    <x v="4"/>
    <x v="8"/>
    <x v="4"/>
    <m/>
    <m/>
    <n v="0"/>
    <n v="0"/>
    <m/>
    <m/>
    <n v="0"/>
    <m/>
    <n v="0"/>
    <n v="0"/>
    <m/>
  </r>
  <r>
    <n v="615"/>
    <s v=""/>
    <s v="0"/>
    <m/>
    <s v="0"/>
    <m/>
    <x v="4"/>
    <x v="8"/>
    <x v="4"/>
    <m/>
    <m/>
    <n v="0"/>
    <n v="0"/>
    <m/>
    <m/>
    <n v="0"/>
    <m/>
    <n v="0"/>
    <n v="0"/>
    <m/>
  </r>
  <r>
    <n v="616"/>
    <s v=""/>
    <s v="0"/>
    <m/>
    <s v="0"/>
    <m/>
    <x v="4"/>
    <x v="8"/>
    <x v="4"/>
    <m/>
    <m/>
    <n v="0"/>
    <n v="0"/>
    <m/>
    <m/>
    <n v="0"/>
    <m/>
    <n v="0"/>
    <n v="0"/>
    <m/>
  </r>
  <r>
    <n v="617"/>
    <s v=""/>
    <s v="0"/>
    <m/>
    <s v="0"/>
    <m/>
    <x v="4"/>
    <x v="8"/>
    <x v="4"/>
    <m/>
    <m/>
    <n v="0"/>
    <n v="0"/>
    <m/>
    <m/>
    <n v="0"/>
    <m/>
    <n v="0"/>
    <n v="0"/>
    <m/>
  </r>
  <r>
    <n v="618"/>
    <s v=""/>
    <s v="0"/>
    <m/>
    <s v="0"/>
    <m/>
    <x v="4"/>
    <x v="8"/>
    <x v="4"/>
    <m/>
    <m/>
    <n v="0"/>
    <n v="0"/>
    <m/>
    <m/>
    <n v="0"/>
    <m/>
    <n v="0"/>
    <n v="0"/>
    <m/>
  </r>
  <r>
    <n v="619"/>
    <s v=""/>
    <s v="0"/>
    <m/>
    <s v="0"/>
    <m/>
    <x v="4"/>
    <x v="8"/>
    <x v="4"/>
    <m/>
    <m/>
    <n v="0"/>
    <n v="0"/>
    <m/>
    <m/>
    <n v="0"/>
    <m/>
    <n v="0"/>
    <n v="0"/>
    <m/>
  </r>
  <r>
    <n v="620"/>
    <s v=""/>
    <s v="0"/>
    <m/>
    <s v="0"/>
    <m/>
    <x v="4"/>
    <x v="8"/>
    <x v="4"/>
    <m/>
    <m/>
    <n v="0"/>
    <n v="0"/>
    <m/>
    <m/>
    <n v="0"/>
    <m/>
    <n v="0"/>
    <n v="0"/>
    <m/>
  </r>
  <r>
    <n v="621"/>
    <s v=""/>
    <s v="0"/>
    <m/>
    <s v="0"/>
    <m/>
    <x v="4"/>
    <x v="8"/>
    <x v="4"/>
    <m/>
    <m/>
    <n v="0"/>
    <n v="0"/>
    <m/>
    <m/>
    <n v="0"/>
    <m/>
    <n v="0"/>
    <n v="0"/>
    <m/>
  </r>
  <r>
    <n v="622"/>
    <s v=""/>
    <s v="0"/>
    <m/>
    <s v="0"/>
    <m/>
    <x v="4"/>
    <x v="8"/>
    <x v="4"/>
    <m/>
    <m/>
    <n v="0"/>
    <n v="0"/>
    <m/>
    <m/>
    <n v="0"/>
    <m/>
    <n v="0"/>
    <n v="0"/>
    <m/>
  </r>
  <r>
    <n v="623"/>
    <s v=""/>
    <s v="0"/>
    <m/>
    <s v="0"/>
    <m/>
    <x v="4"/>
    <x v="8"/>
    <x v="4"/>
    <m/>
    <m/>
    <n v="0"/>
    <n v="0"/>
    <m/>
    <m/>
    <n v="0"/>
    <m/>
    <n v="0"/>
    <n v="0"/>
    <m/>
  </r>
  <r>
    <n v="624"/>
    <s v=""/>
    <s v="0"/>
    <m/>
    <s v="0"/>
    <m/>
    <x v="4"/>
    <x v="8"/>
    <x v="4"/>
    <m/>
    <m/>
    <n v="0"/>
    <n v="0"/>
    <m/>
    <m/>
    <n v="0"/>
    <m/>
    <n v="0"/>
    <n v="0"/>
    <m/>
  </r>
  <r>
    <n v="625"/>
    <s v=""/>
    <s v="0"/>
    <m/>
    <s v="0"/>
    <m/>
    <x v="4"/>
    <x v="8"/>
    <x v="4"/>
    <m/>
    <m/>
    <n v="0"/>
    <n v="0"/>
    <m/>
    <m/>
    <n v="0"/>
    <m/>
    <n v="0"/>
    <n v="0"/>
    <m/>
  </r>
  <r>
    <n v="626"/>
    <s v=""/>
    <s v="0"/>
    <m/>
    <s v="0"/>
    <m/>
    <x v="4"/>
    <x v="8"/>
    <x v="4"/>
    <m/>
    <m/>
    <n v="0"/>
    <n v="0"/>
    <m/>
    <m/>
    <n v="0"/>
    <m/>
    <n v="0"/>
    <n v="0"/>
    <m/>
  </r>
  <r>
    <n v="627"/>
    <s v=""/>
    <s v="0"/>
    <m/>
    <s v="0"/>
    <m/>
    <x v="4"/>
    <x v="8"/>
    <x v="4"/>
    <m/>
    <m/>
    <n v="0"/>
    <n v="0"/>
    <m/>
    <m/>
    <n v="0"/>
    <m/>
    <n v="0"/>
    <n v="0"/>
    <m/>
  </r>
  <r>
    <n v="628"/>
    <s v=""/>
    <s v="0"/>
    <m/>
    <s v="0"/>
    <m/>
    <x v="4"/>
    <x v="8"/>
    <x v="4"/>
    <m/>
    <m/>
    <n v="0"/>
    <n v="0"/>
    <m/>
    <m/>
    <n v="0"/>
    <m/>
    <n v="0"/>
    <n v="0"/>
    <m/>
  </r>
  <r>
    <n v="629"/>
    <s v=""/>
    <s v="0"/>
    <m/>
    <s v="0"/>
    <m/>
    <x v="4"/>
    <x v="8"/>
    <x v="4"/>
    <m/>
    <m/>
    <n v="0"/>
    <n v="0"/>
    <m/>
    <m/>
    <n v="0"/>
    <m/>
    <n v="0"/>
    <n v="0"/>
    <m/>
  </r>
  <r>
    <n v="630"/>
    <s v=""/>
    <s v="0"/>
    <m/>
    <s v="0"/>
    <m/>
    <x v="4"/>
    <x v="8"/>
    <x v="4"/>
    <m/>
    <m/>
    <n v="0"/>
    <n v="0"/>
    <m/>
    <m/>
    <n v="0"/>
    <m/>
    <n v="0"/>
    <n v="0"/>
    <m/>
  </r>
  <r>
    <n v="631"/>
    <s v=""/>
    <s v="0"/>
    <m/>
    <s v="0"/>
    <m/>
    <x v="4"/>
    <x v="8"/>
    <x v="4"/>
    <m/>
    <m/>
    <n v="0"/>
    <n v="0"/>
    <m/>
    <m/>
    <n v="0"/>
    <m/>
    <n v="0"/>
    <n v="0"/>
    <m/>
  </r>
  <r>
    <n v="632"/>
    <s v=""/>
    <s v="0"/>
    <m/>
    <s v="0"/>
    <m/>
    <x v="4"/>
    <x v="8"/>
    <x v="4"/>
    <m/>
    <m/>
    <n v="0"/>
    <n v="0"/>
    <m/>
    <m/>
    <n v="0"/>
    <m/>
    <n v="0"/>
    <n v="0"/>
    <m/>
  </r>
  <r>
    <n v="633"/>
    <s v=""/>
    <s v="0"/>
    <m/>
    <s v="0"/>
    <m/>
    <x v="4"/>
    <x v="8"/>
    <x v="4"/>
    <m/>
    <m/>
    <n v="0"/>
    <n v="0"/>
    <m/>
    <m/>
    <n v="0"/>
    <m/>
    <n v="0"/>
    <n v="0"/>
    <m/>
  </r>
  <r>
    <n v="634"/>
    <s v=""/>
    <s v="0"/>
    <m/>
    <s v="0"/>
    <m/>
    <x v="4"/>
    <x v="8"/>
    <x v="4"/>
    <m/>
    <m/>
    <n v="0"/>
    <n v="0"/>
    <m/>
    <m/>
    <n v="0"/>
    <m/>
    <n v="0"/>
    <n v="0"/>
    <m/>
  </r>
  <r>
    <n v="635"/>
    <s v=""/>
    <s v="0"/>
    <m/>
    <s v="0"/>
    <m/>
    <x v="4"/>
    <x v="8"/>
    <x v="4"/>
    <m/>
    <m/>
    <n v="0"/>
    <n v="0"/>
    <m/>
    <m/>
    <n v="0"/>
    <m/>
    <n v="0"/>
    <n v="0"/>
    <m/>
  </r>
  <r>
    <n v="636"/>
    <s v=""/>
    <s v="0"/>
    <m/>
    <s v="0"/>
    <m/>
    <x v="4"/>
    <x v="8"/>
    <x v="4"/>
    <m/>
    <m/>
    <n v="0"/>
    <n v="0"/>
    <m/>
    <m/>
    <n v="0"/>
    <m/>
    <n v="0"/>
    <n v="0"/>
    <m/>
  </r>
  <r>
    <n v="637"/>
    <s v=""/>
    <s v="0"/>
    <m/>
    <s v="0"/>
    <m/>
    <x v="4"/>
    <x v="8"/>
    <x v="4"/>
    <m/>
    <m/>
    <n v="0"/>
    <n v="0"/>
    <m/>
    <m/>
    <n v="0"/>
    <m/>
    <n v="0"/>
    <n v="0"/>
    <m/>
  </r>
  <r>
    <n v="638"/>
    <s v=""/>
    <s v="0"/>
    <m/>
    <s v="0"/>
    <m/>
    <x v="4"/>
    <x v="8"/>
    <x v="4"/>
    <m/>
    <m/>
    <n v="0"/>
    <n v="0"/>
    <m/>
    <m/>
    <n v="0"/>
    <m/>
    <n v="0"/>
    <n v="0"/>
    <m/>
  </r>
  <r>
    <n v="639"/>
    <s v=""/>
    <s v="0"/>
    <m/>
    <s v="0"/>
    <m/>
    <x v="4"/>
    <x v="8"/>
    <x v="4"/>
    <m/>
    <m/>
    <n v="0"/>
    <n v="0"/>
    <m/>
    <m/>
    <n v="0"/>
    <m/>
    <n v="0"/>
    <n v="0"/>
    <m/>
  </r>
  <r>
    <n v="640"/>
    <s v=""/>
    <s v="0"/>
    <m/>
    <s v="0"/>
    <m/>
    <x v="4"/>
    <x v="8"/>
    <x v="4"/>
    <m/>
    <m/>
    <n v="0"/>
    <n v="0"/>
    <m/>
    <m/>
    <n v="0"/>
    <m/>
    <n v="0"/>
    <n v="0"/>
    <m/>
  </r>
  <r>
    <n v="641"/>
    <s v=""/>
    <s v="0"/>
    <m/>
    <s v="0"/>
    <m/>
    <x v="4"/>
    <x v="8"/>
    <x v="4"/>
    <m/>
    <m/>
    <n v="0"/>
    <n v="0"/>
    <m/>
    <m/>
    <n v="0"/>
    <m/>
    <n v="0"/>
    <n v="0"/>
    <m/>
  </r>
  <r>
    <n v="642"/>
    <s v=""/>
    <s v="0"/>
    <m/>
    <s v="0"/>
    <m/>
    <x v="4"/>
    <x v="8"/>
    <x v="4"/>
    <m/>
    <m/>
    <n v="0"/>
    <n v="0"/>
    <m/>
    <m/>
    <n v="0"/>
    <m/>
    <n v="0"/>
    <n v="0"/>
    <m/>
  </r>
  <r>
    <n v="643"/>
    <s v=""/>
    <s v="0"/>
    <m/>
    <s v="0"/>
    <m/>
    <x v="4"/>
    <x v="8"/>
    <x v="4"/>
    <m/>
    <m/>
    <n v="0"/>
    <n v="0"/>
    <m/>
    <m/>
    <n v="0"/>
    <m/>
    <n v="0"/>
    <n v="0"/>
    <m/>
  </r>
  <r>
    <n v="644"/>
    <s v=""/>
    <s v="0"/>
    <m/>
    <s v="0"/>
    <m/>
    <x v="4"/>
    <x v="8"/>
    <x v="4"/>
    <m/>
    <m/>
    <n v="0"/>
    <n v="0"/>
    <m/>
    <m/>
    <n v="0"/>
    <m/>
    <n v="0"/>
    <n v="0"/>
    <m/>
  </r>
  <r>
    <n v="645"/>
    <s v=""/>
    <s v="0"/>
    <m/>
    <s v="0"/>
    <m/>
    <x v="4"/>
    <x v="8"/>
    <x v="4"/>
    <m/>
    <m/>
    <n v="0"/>
    <n v="0"/>
    <m/>
    <m/>
    <n v="0"/>
    <m/>
    <n v="0"/>
    <n v="0"/>
    <m/>
  </r>
  <r>
    <n v="646"/>
    <s v=""/>
    <s v="0"/>
    <m/>
    <s v="0"/>
    <m/>
    <x v="4"/>
    <x v="8"/>
    <x v="4"/>
    <m/>
    <m/>
    <n v="0"/>
    <n v="0"/>
    <m/>
    <m/>
    <n v="0"/>
    <m/>
    <n v="0"/>
    <n v="0"/>
    <m/>
  </r>
  <r>
    <n v="647"/>
    <s v=""/>
    <s v="0"/>
    <m/>
    <s v="0"/>
    <m/>
    <x v="4"/>
    <x v="8"/>
    <x v="4"/>
    <m/>
    <m/>
    <n v="0"/>
    <n v="0"/>
    <m/>
    <m/>
    <n v="0"/>
    <m/>
    <n v="0"/>
    <n v="0"/>
    <m/>
  </r>
  <r>
    <n v="648"/>
    <s v=""/>
    <s v="0"/>
    <m/>
    <s v="0"/>
    <m/>
    <x v="4"/>
    <x v="8"/>
    <x v="4"/>
    <m/>
    <m/>
    <n v="0"/>
    <n v="0"/>
    <m/>
    <m/>
    <n v="0"/>
    <m/>
    <n v="0"/>
    <n v="0"/>
    <m/>
  </r>
  <r>
    <n v="649"/>
    <s v=""/>
    <s v="0"/>
    <m/>
    <s v="0"/>
    <m/>
    <x v="4"/>
    <x v="8"/>
    <x v="4"/>
    <m/>
    <m/>
    <n v="0"/>
    <n v="0"/>
    <m/>
    <m/>
    <n v="0"/>
    <m/>
    <n v="0"/>
    <n v="0"/>
    <m/>
  </r>
  <r>
    <n v="650"/>
    <s v=""/>
    <s v="0"/>
    <m/>
    <s v="0"/>
    <m/>
    <x v="4"/>
    <x v="8"/>
    <x v="4"/>
    <m/>
    <m/>
    <n v="0"/>
    <n v="0"/>
    <m/>
    <m/>
    <n v="0"/>
    <m/>
    <n v="0"/>
    <n v="0"/>
    <m/>
  </r>
  <r>
    <n v="651"/>
    <s v=""/>
    <s v="0"/>
    <m/>
    <s v="0"/>
    <m/>
    <x v="4"/>
    <x v="8"/>
    <x v="4"/>
    <m/>
    <m/>
    <n v="0"/>
    <n v="0"/>
    <m/>
    <m/>
    <n v="0"/>
    <m/>
    <n v="0"/>
    <n v="0"/>
    <m/>
  </r>
  <r>
    <n v="652"/>
    <s v=""/>
    <s v="0"/>
    <m/>
    <s v="0"/>
    <m/>
    <x v="4"/>
    <x v="8"/>
    <x v="4"/>
    <m/>
    <m/>
    <n v="0"/>
    <n v="0"/>
    <m/>
    <m/>
    <n v="0"/>
    <m/>
    <n v="0"/>
    <n v="0"/>
    <m/>
  </r>
  <r>
    <n v="653"/>
    <s v=""/>
    <s v="0"/>
    <m/>
    <s v="0"/>
    <m/>
    <x v="4"/>
    <x v="8"/>
    <x v="4"/>
    <m/>
    <m/>
    <n v="0"/>
    <n v="0"/>
    <m/>
    <m/>
    <n v="0"/>
    <m/>
    <n v="0"/>
    <n v="0"/>
    <m/>
  </r>
  <r>
    <n v="654"/>
    <s v=""/>
    <s v="0"/>
    <m/>
    <s v="0"/>
    <m/>
    <x v="4"/>
    <x v="8"/>
    <x v="4"/>
    <m/>
    <m/>
    <n v="0"/>
    <n v="0"/>
    <m/>
    <m/>
    <n v="0"/>
    <m/>
    <n v="0"/>
    <n v="0"/>
    <m/>
  </r>
  <r>
    <n v="655"/>
    <s v=""/>
    <s v="0"/>
    <m/>
    <s v="0"/>
    <m/>
    <x v="4"/>
    <x v="8"/>
    <x v="4"/>
    <m/>
    <m/>
    <n v="0"/>
    <n v="0"/>
    <m/>
    <m/>
    <n v="0"/>
    <m/>
    <n v="0"/>
    <n v="0"/>
    <m/>
  </r>
  <r>
    <n v="656"/>
    <s v=""/>
    <s v="0"/>
    <m/>
    <s v="0"/>
    <m/>
    <x v="4"/>
    <x v="8"/>
    <x v="4"/>
    <m/>
    <m/>
    <n v="0"/>
    <n v="0"/>
    <m/>
    <m/>
    <n v="0"/>
    <m/>
    <n v="0"/>
    <n v="0"/>
    <m/>
  </r>
  <r>
    <n v="657"/>
    <s v=""/>
    <s v="0"/>
    <m/>
    <s v="0"/>
    <m/>
    <x v="4"/>
    <x v="8"/>
    <x v="4"/>
    <m/>
    <m/>
    <n v="0"/>
    <n v="0"/>
    <m/>
    <m/>
    <n v="0"/>
    <m/>
    <n v="0"/>
    <n v="0"/>
    <m/>
  </r>
  <r>
    <n v="658"/>
    <s v=""/>
    <s v="0"/>
    <m/>
    <s v="0"/>
    <m/>
    <x v="4"/>
    <x v="8"/>
    <x v="4"/>
    <m/>
    <m/>
    <n v="0"/>
    <n v="0"/>
    <m/>
    <m/>
    <n v="0"/>
    <m/>
    <n v="0"/>
    <n v="0"/>
    <m/>
  </r>
  <r>
    <n v="659"/>
    <s v=""/>
    <s v="0"/>
    <m/>
    <s v="0"/>
    <m/>
    <x v="4"/>
    <x v="8"/>
    <x v="4"/>
    <m/>
    <m/>
    <n v="0"/>
    <n v="0"/>
    <m/>
    <m/>
    <n v="0"/>
    <m/>
    <n v="0"/>
    <n v="0"/>
    <m/>
  </r>
  <r>
    <n v="660"/>
    <s v=""/>
    <s v="0"/>
    <m/>
    <s v="0"/>
    <m/>
    <x v="4"/>
    <x v="8"/>
    <x v="4"/>
    <m/>
    <m/>
    <n v="0"/>
    <n v="0"/>
    <m/>
    <m/>
    <n v="0"/>
    <m/>
    <n v="0"/>
    <n v="0"/>
    <m/>
  </r>
  <r>
    <n v="661"/>
    <s v=""/>
    <s v="0"/>
    <m/>
    <s v="0"/>
    <m/>
    <x v="4"/>
    <x v="8"/>
    <x v="4"/>
    <m/>
    <m/>
    <n v="0"/>
    <n v="0"/>
    <m/>
    <m/>
    <n v="0"/>
    <m/>
    <n v="0"/>
    <n v="0"/>
    <m/>
  </r>
  <r>
    <n v="662"/>
    <s v=""/>
    <s v="0"/>
    <m/>
    <s v="0"/>
    <m/>
    <x v="4"/>
    <x v="8"/>
    <x v="4"/>
    <m/>
    <m/>
    <n v="0"/>
    <n v="0"/>
    <m/>
    <m/>
    <n v="0"/>
    <m/>
    <n v="0"/>
    <n v="0"/>
    <m/>
  </r>
  <r>
    <n v="663"/>
    <s v=""/>
    <s v="0"/>
    <m/>
    <s v="0"/>
    <m/>
    <x v="4"/>
    <x v="8"/>
    <x v="4"/>
    <m/>
    <m/>
    <n v="0"/>
    <n v="0"/>
    <m/>
    <m/>
    <n v="0"/>
    <m/>
    <n v="0"/>
    <n v="0"/>
    <m/>
  </r>
  <r>
    <n v="664"/>
    <s v=""/>
    <s v="0"/>
    <m/>
    <s v="0"/>
    <m/>
    <x v="4"/>
    <x v="8"/>
    <x v="4"/>
    <m/>
    <m/>
    <n v="0"/>
    <n v="0"/>
    <m/>
    <m/>
    <n v="0"/>
    <m/>
    <n v="0"/>
    <n v="0"/>
    <m/>
  </r>
  <r>
    <n v="665"/>
    <s v=""/>
    <s v="0"/>
    <m/>
    <s v="0"/>
    <m/>
    <x v="4"/>
    <x v="8"/>
    <x v="4"/>
    <m/>
    <m/>
    <n v="0"/>
    <n v="0"/>
    <m/>
    <m/>
    <n v="0"/>
    <m/>
    <n v="0"/>
    <n v="0"/>
    <m/>
  </r>
  <r>
    <n v="666"/>
    <s v=""/>
    <s v="0"/>
    <m/>
    <s v="0"/>
    <m/>
    <x v="4"/>
    <x v="8"/>
    <x v="4"/>
    <m/>
    <m/>
    <n v="0"/>
    <n v="0"/>
    <m/>
    <m/>
    <n v="0"/>
    <m/>
    <n v="0"/>
    <n v="0"/>
    <m/>
  </r>
  <r>
    <n v="667"/>
    <s v=""/>
    <s v="0"/>
    <m/>
    <s v="0"/>
    <m/>
    <x v="4"/>
    <x v="8"/>
    <x v="4"/>
    <m/>
    <m/>
    <n v="0"/>
    <n v="0"/>
    <m/>
    <m/>
    <n v="0"/>
    <m/>
    <n v="0"/>
    <n v="0"/>
    <m/>
  </r>
  <r>
    <n v="668"/>
    <s v=""/>
    <s v="0"/>
    <m/>
    <s v="0"/>
    <m/>
    <x v="4"/>
    <x v="8"/>
    <x v="4"/>
    <m/>
    <m/>
    <n v="0"/>
    <n v="0"/>
    <m/>
    <m/>
    <n v="0"/>
    <m/>
    <n v="0"/>
    <n v="0"/>
    <m/>
  </r>
  <r>
    <n v="669"/>
    <s v=""/>
    <s v="0"/>
    <m/>
    <s v="0"/>
    <m/>
    <x v="4"/>
    <x v="8"/>
    <x v="4"/>
    <m/>
    <m/>
    <n v="0"/>
    <n v="0"/>
    <m/>
    <m/>
    <n v="0"/>
    <m/>
    <n v="0"/>
    <n v="0"/>
    <m/>
  </r>
  <r>
    <n v="670"/>
    <s v=""/>
    <s v="0"/>
    <m/>
    <s v="0"/>
    <m/>
    <x v="4"/>
    <x v="8"/>
    <x v="4"/>
    <m/>
    <m/>
    <n v="0"/>
    <n v="0"/>
    <m/>
    <m/>
    <n v="0"/>
    <m/>
    <n v="0"/>
    <n v="0"/>
    <m/>
  </r>
  <r>
    <n v="671"/>
    <s v=""/>
    <s v="0"/>
    <m/>
    <s v="0"/>
    <m/>
    <x v="4"/>
    <x v="8"/>
    <x v="4"/>
    <m/>
    <m/>
    <n v="0"/>
    <n v="0"/>
    <m/>
    <m/>
    <n v="0"/>
    <m/>
    <n v="0"/>
    <n v="0"/>
    <m/>
  </r>
  <r>
    <n v="672"/>
    <s v=""/>
    <s v="0"/>
    <m/>
    <s v="0"/>
    <m/>
    <x v="4"/>
    <x v="8"/>
    <x v="4"/>
    <m/>
    <m/>
    <n v="0"/>
    <n v="0"/>
    <m/>
    <m/>
    <n v="0"/>
    <m/>
    <n v="0"/>
    <n v="0"/>
    <m/>
  </r>
  <r>
    <n v="673"/>
    <s v=""/>
    <s v="0"/>
    <m/>
    <s v="0"/>
    <m/>
    <x v="4"/>
    <x v="8"/>
    <x v="4"/>
    <m/>
    <m/>
    <n v="0"/>
    <n v="0"/>
    <m/>
    <m/>
    <n v="0"/>
    <m/>
    <n v="0"/>
    <n v="0"/>
    <m/>
  </r>
  <r>
    <n v="674"/>
    <s v=""/>
    <s v="0"/>
    <m/>
    <s v="0"/>
    <m/>
    <x v="4"/>
    <x v="8"/>
    <x v="4"/>
    <m/>
    <m/>
    <n v="0"/>
    <n v="0"/>
    <m/>
    <m/>
    <n v="0"/>
    <m/>
    <n v="0"/>
    <n v="0"/>
    <m/>
  </r>
  <r>
    <n v="675"/>
    <s v=""/>
    <s v="0"/>
    <m/>
    <s v="0"/>
    <m/>
    <x v="4"/>
    <x v="8"/>
    <x v="4"/>
    <m/>
    <m/>
    <n v="0"/>
    <n v="0"/>
    <m/>
    <m/>
    <n v="0"/>
    <m/>
    <n v="0"/>
    <n v="0"/>
    <m/>
  </r>
  <r>
    <n v="676"/>
    <s v=""/>
    <s v="0"/>
    <m/>
    <s v="0"/>
    <m/>
    <x v="4"/>
    <x v="8"/>
    <x v="4"/>
    <m/>
    <m/>
    <n v="0"/>
    <n v="0"/>
    <m/>
    <m/>
    <n v="0"/>
    <m/>
    <n v="0"/>
    <n v="0"/>
    <m/>
  </r>
  <r>
    <n v="677"/>
    <s v=""/>
    <s v="0"/>
    <m/>
    <s v="0"/>
    <m/>
    <x v="4"/>
    <x v="8"/>
    <x v="4"/>
    <m/>
    <m/>
    <n v="0"/>
    <n v="0"/>
    <m/>
    <m/>
    <n v="0"/>
    <m/>
    <n v="0"/>
    <n v="0"/>
    <m/>
  </r>
  <r>
    <n v="678"/>
    <s v=""/>
    <s v="0"/>
    <m/>
    <s v="0"/>
    <m/>
    <x v="4"/>
    <x v="8"/>
    <x v="4"/>
    <m/>
    <m/>
    <n v="0"/>
    <n v="0"/>
    <m/>
    <m/>
    <n v="0"/>
    <m/>
    <n v="0"/>
    <n v="0"/>
    <m/>
  </r>
  <r>
    <n v="679"/>
    <s v=""/>
    <s v="0"/>
    <m/>
    <s v="0"/>
    <m/>
    <x v="4"/>
    <x v="8"/>
    <x v="4"/>
    <m/>
    <m/>
    <n v="0"/>
    <n v="0"/>
    <m/>
    <m/>
    <n v="0"/>
    <m/>
    <n v="0"/>
    <n v="0"/>
    <m/>
  </r>
  <r>
    <n v="680"/>
    <s v=""/>
    <s v="0"/>
    <m/>
    <s v="0"/>
    <m/>
    <x v="4"/>
    <x v="8"/>
    <x v="4"/>
    <m/>
    <m/>
    <n v="0"/>
    <n v="0"/>
    <m/>
    <m/>
    <n v="0"/>
    <m/>
    <n v="0"/>
    <n v="0"/>
    <m/>
  </r>
  <r>
    <n v="681"/>
    <s v=""/>
    <s v="0"/>
    <m/>
    <s v="0"/>
    <m/>
    <x v="4"/>
    <x v="8"/>
    <x v="4"/>
    <m/>
    <m/>
    <n v="0"/>
    <n v="0"/>
    <m/>
    <m/>
    <n v="0"/>
    <m/>
    <n v="0"/>
    <n v="0"/>
    <m/>
  </r>
  <r>
    <n v="682"/>
    <s v=""/>
    <s v="0"/>
    <m/>
    <s v="0"/>
    <m/>
    <x v="4"/>
    <x v="8"/>
    <x v="4"/>
    <m/>
    <m/>
    <n v="0"/>
    <n v="0"/>
    <m/>
    <m/>
    <n v="0"/>
    <m/>
    <n v="0"/>
    <n v="0"/>
    <m/>
  </r>
  <r>
    <n v="683"/>
    <s v=""/>
    <s v="0"/>
    <m/>
    <s v="0"/>
    <m/>
    <x v="4"/>
    <x v="8"/>
    <x v="4"/>
    <m/>
    <m/>
    <n v="0"/>
    <n v="0"/>
    <m/>
    <m/>
    <n v="0"/>
    <m/>
    <n v="0"/>
    <n v="0"/>
    <m/>
  </r>
  <r>
    <n v="684"/>
    <s v=""/>
    <s v="0"/>
    <m/>
    <s v="0"/>
    <m/>
    <x v="4"/>
    <x v="8"/>
    <x v="4"/>
    <m/>
    <m/>
    <n v="0"/>
    <n v="0"/>
    <m/>
    <m/>
    <n v="0"/>
    <m/>
    <n v="0"/>
    <n v="0"/>
    <m/>
  </r>
  <r>
    <n v="685"/>
    <s v=""/>
    <s v="0"/>
    <m/>
    <s v="0"/>
    <m/>
    <x v="4"/>
    <x v="8"/>
    <x v="4"/>
    <m/>
    <m/>
    <n v="0"/>
    <n v="0"/>
    <m/>
    <m/>
    <n v="0"/>
    <m/>
    <n v="0"/>
    <n v="0"/>
    <m/>
  </r>
  <r>
    <n v="686"/>
    <s v=""/>
    <s v="0"/>
    <m/>
    <s v="0"/>
    <m/>
    <x v="4"/>
    <x v="8"/>
    <x v="4"/>
    <m/>
    <m/>
    <n v="0"/>
    <n v="0"/>
    <m/>
    <m/>
    <n v="0"/>
    <m/>
    <n v="0"/>
    <n v="0"/>
    <m/>
  </r>
  <r>
    <n v="687"/>
    <s v=""/>
    <s v="0"/>
    <m/>
    <s v="0"/>
    <m/>
    <x v="4"/>
    <x v="8"/>
    <x v="4"/>
    <m/>
    <m/>
    <n v="0"/>
    <n v="0"/>
    <m/>
    <m/>
    <n v="0"/>
    <m/>
    <n v="0"/>
    <n v="0"/>
    <m/>
  </r>
  <r>
    <n v="688"/>
    <s v=""/>
    <s v="0"/>
    <m/>
    <s v="0"/>
    <m/>
    <x v="4"/>
    <x v="8"/>
    <x v="4"/>
    <m/>
    <m/>
    <n v="0"/>
    <n v="0"/>
    <m/>
    <m/>
    <n v="0"/>
    <m/>
    <n v="0"/>
    <n v="0"/>
    <m/>
  </r>
  <r>
    <n v="689"/>
    <s v=""/>
    <s v="0"/>
    <m/>
    <s v="0"/>
    <m/>
    <x v="4"/>
    <x v="8"/>
    <x v="4"/>
    <m/>
    <m/>
    <n v="0"/>
    <n v="0"/>
    <m/>
    <m/>
    <n v="0"/>
    <m/>
    <n v="0"/>
    <n v="0"/>
    <m/>
  </r>
  <r>
    <n v="690"/>
    <s v=""/>
    <s v="0"/>
    <m/>
    <s v="0"/>
    <m/>
    <x v="4"/>
    <x v="8"/>
    <x v="4"/>
    <m/>
    <m/>
    <n v="0"/>
    <n v="0"/>
    <m/>
    <m/>
    <n v="0"/>
    <m/>
    <n v="0"/>
    <n v="0"/>
    <m/>
  </r>
  <r>
    <n v="691"/>
    <s v=""/>
    <s v="0"/>
    <m/>
    <s v="0"/>
    <m/>
    <x v="4"/>
    <x v="8"/>
    <x v="4"/>
    <m/>
    <m/>
    <n v="0"/>
    <n v="0"/>
    <m/>
    <m/>
    <n v="0"/>
    <m/>
    <n v="0"/>
    <n v="0"/>
    <m/>
  </r>
  <r>
    <n v="692"/>
    <s v=""/>
    <s v="0"/>
    <m/>
    <s v="0"/>
    <m/>
    <x v="4"/>
    <x v="8"/>
    <x v="4"/>
    <m/>
    <m/>
    <n v="0"/>
    <n v="0"/>
    <m/>
    <m/>
    <n v="0"/>
    <m/>
    <n v="0"/>
    <n v="0"/>
    <m/>
  </r>
  <r>
    <n v="693"/>
    <s v=""/>
    <s v="0"/>
    <m/>
    <s v="0"/>
    <m/>
    <x v="4"/>
    <x v="8"/>
    <x v="4"/>
    <m/>
    <m/>
    <n v="0"/>
    <n v="0"/>
    <m/>
    <m/>
    <n v="0"/>
    <m/>
    <n v="0"/>
    <n v="0"/>
    <m/>
  </r>
  <r>
    <n v="694"/>
    <s v=""/>
    <s v="0"/>
    <m/>
    <s v="0"/>
    <m/>
    <x v="4"/>
    <x v="8"/>
    <x v="4"/>
    <m/>
    <m/>
    <n v="0"/>
    <n v="0"/>
    <m/>
    <m/>
    <n v="0"/>
    <m/>
    <n v="0"/>
    <n v="0"/>
    <m/>
  </r>
  <r>
    <n v="695"/>
    <s v=""/>
    <s v="0"/>
    <m/>
    <s v="0"/>
    <m/>
    <x v="4"/>
    <x v="8"/>
    <x v="4"/>
    <m/>
    <m/>
    <n v="0"/>
    <n v="0"/>
    <m/>
    <m/>
    <n v="0"/>
    <m/>
    <n v="0"/>
    <n v="0"/>
    <m/>
  </r>
  <r>
    <n v="696"/>
    <s v=""/>
    <s v="0"/>
    <m/>
    <s v="0"/>
    <m/>
    <x v="4"/>
    <x v="8"/>
    <x v="4"/>
    <m/>
    <m/>
    <n v="0"/>
    <n v="0"/>
    <m/>
    <m/>
    <n v="0"/>
    <m/>
    <n v="0"/>
    <n v="0"/>
    <m/>
  </r>
  <r>
    <n v="697"/>
    <s v=""/>
    <s v="0"/>
    <m/>
    <s v="0"/>
    <m/>
    <x v="4"/>
    <x v="8"/>
    <x v="4"/>
    <m/>
    <m/>
    <n v="0"/>
    <n v="0"/>
    <m/>
    <m/>
    <n v="0"/>
    <m/>
    <n v="0"/>
    <n v="0"/>
    <m/>
  </r>
  <r>
    <n v="698"/>
    <s v=""/>
    <s v="0"/>
    <m/>
    <s v="0"/>
    <m/>
    <x v="4"/>
    <x v="8"/>
    <x v="4"/>
    <m/>
    <m/>
    <n v="0"/>
    <n v="0"/>
    <m/>
    <m/>
    <n v="0"/>
    <m/>
    <n v="0"/>
    <n v="0"/>
    <m/>
  </r>
  <r>
    <n v="699"/>
    <s v=""/>
    <s v="0"/>
    <m/>
    <s v="0"/>
    <m/>
    <x v="4"/>
    <x v="8"/>
    <x v="4"/>
    <m/>
    <m/>
    <n v="0"/>
    <n v="0"/>
    <m/>
    <m/>
    <n v="0"/>
    <m/>
    <n v="0"/>
    <n v="0"/>
    <m/>
  </r>
  <r>
    <n v="700"/>
    <s v=""/>
    <s v="0"/>
    <m/>
    <s v="0"/>
    <m/>
    <x v="4"/>
    <x v="8"/>
    <x v="4"/>
    <m/>
    <m/>
    <n v="0"/>
    <n v="0"/>
    <m/>
    <m/>
    <n v="0"/>
    <m/>
    <n v="0"/>
    <n v="0"/>
    <m/>
  </r>
  <r>
    <n v="701"/>
    <s v=""/>
    <s v="0"/>
    <m/>
    <s v="0"/>
    <m/>
    <x v="4"/>
    <x v="8"/>
    <x v="4"/>
    <m/>
    <m/>
    <n v="0"/>
    <n v="0"/>
    <m/>
    <m/>
    <n v="0"/>
    <m/>
    <n v="0"/>
    <n v="0"/>
    <m/>
  </r>
  <r>
    <n v="702"/>
    <s v=""/>
    <s v="0"/>
    <m/>
    <s v="0"/>
    <m/>
    <x v="4"/>
    <x v="8"/>
    <x v="4"/>
    <m/>
    <m/>
    <n v="0"/>
    <n v="0"/>
    <m/>
    <m/>
    <n v="0"/>
    <m/>
    <n v="0"/>
    <n v="0"/>
    <m/>
  </r>
  <r>
    <n v="703"/>
    <s v=""/>
    <s v="0"/>
    <m/>
    <s v="0"/>
    <m/>
    <x v="4"/>
    <x v="8"/>
    <x v="4"/>
    <m/>
    <m/>
    <n v="0"/>
    <n v="0"/>
    <m/>
    <m/>
    <n v="0"/>
    <m/>
    <n v="0"/>
    <n v="0"/>
    <m/>
  </r>
  <r>
    <n v="704"/>
    <s v=""/>
    <s v="0"/>
    <m/>
    <s v="0"/>
    <m/>
    <x v="4"/>
    <x v="8"/>
    <x v="4"/>
    <m/>
    <m/>
    <n v="0"/>
    <n v="0"/>
    <m/>
    <m/>
    <n v="0"/>
    <m/>
    <n v="0"/>
    <n v="0"/>
    <m/>
  </r>
  <r>
    <n v="705"/>
    <s v=""/>
    <s v="0"/>
    <m/>
    <s v="0"/>
    <m/>
    <x v="4"/>
    <x v="8"/>
    <x v="4"/>
    <m/>
    <m/>
    <n v="0"/>
    <n v="0"/>
    <m/>
    <m/>
    <n v="0"/>
    <m/>
    <n v="0"/>
    <n v="0"/>
    <m/>
  </r>
  <r>
    <n v="706"/>
    <s v=""/>
    <s v="0"/>
    <m/>
    <s v="0"/>
    <m/>
    <x v="4"/>
    <x v="8"/>
    <x v="4"/>
    <m/>
    <m/>
    <n v="0"/>
    <n v="0"/>
    <m/>
    <m/>
    <n v="0"/>
    <m/>
    <n v="0"/>
    <n v="0"/>
    <m/>
  </r>
  <r>
    <n v="707"/>
    <s v=""/>
    <s v="0"/>
    <m/>
    <s v="0"/>
    <m/>
    <x v="4"/>
    <x v="8"/>
    <x v="4"/>
    <m/>
    <m/>
    <n v="0"/>
    <n v="0"/>
    <m/>
    <m/>
    <n v="0"/>
    <m/>
    <n v="0"/>
    <n v="0"/>
    <m/>
  </r>
  <r>
    <n v="708"/>
    <s v=""/>
    <s v="0"/>
    <m/>
    <s v="0"/>
    <m/>
    <x v="4"/>
    <x v="8"/>
    <x v="4"/>
    <m/>
    <m/>
    <n v="0"/>
    <n v="0"/>
    <m/>
    <m/>
    <n v="0"/>
    <m/>
    <n v="0"/>
    <n v="0"/>
    <m/>
  </r>
  <r>
    <n v="709"/>
    <s v=""/>
    <s v="0"/>
    <m/>
    <s v="0"/>
    <m/>
    <x v="4"/>
    <x v="8"/>
    <x v="4"/>
    <m/>
    <m/>
    <n v="0"/>
    <n v="0"/>
    <m/>
    <m/>
    <n v="0"/>
    <m/>
    <n v="0"/>
    <n v="0"/>
    <m/>
  </r>
  <r>
    <n v="710"/>
    <s v=""/>
    <s v="0"/>
    <m/>
    <s v="0"/>
    <m/>
    <x v="4"/>
    <x v="8"/>
    <x v="4"/>
    <m/>
    <m/>
    <n v="0"/>
    <n v="0"/>
    <m/>
    <m/>
    <n v="0"/>
    <m/>
    <n v="0"/>
    <n v="0"/>
    <m/>
  </r>
  <r>
    <n v="711"/>
    <s v=""/>
    <s v="0"/>
    <m/>
    <s v="0"/>
    <m/>
    <x v="4"/>
    <x v="8"/>
    <x v="4"/>
    <m/>
    <m/>
    <n v="0"/>
    <n v="0"/>
    <m/>
    <m/>
    <n v="0"/>
    <m/>
    <n v="0"/>
    <n v="0"/>
    <m/>
  </r>
  <r>
    <n v="712"/>
    <s v=""/>
    <s v="0"/>
    <m/>
    <s v="0"/>
    <m/>
    <x v="4"/>
    <x v="8"/>
    <x v="4"/>
    <m/>
    <m/>
    <n v="0"/>
    <n v="0"/>
    <m/>
    <m/>
    <n v="0"/>
    <m/>
    <n v="0"/>
    <n v="0"/>
    <m/>
  </r>
  <r>
    <n v="713"/>
    <s v=""/>
    <s v="0"/>
    <m/>
    <s v="0"/>
    <m/>
    <x v="4"/>
    <x v="8"/>
    <x v="4"/>
    <m/>
    <m/>
    <n v="0"/>
    <n v="0"/>
    <m/>
    <m/>
    <n v="0"/>
    <m/>
    <n v="0"/>
    <n v="0"/>
    <m/>
  </r>
  <r>
    <n v="714"/>
    <s v=""/>
    <s v="0"/>
    <m/>
    <s v="0"/>
    <m/>
    <x v="4"/>
    <x v="8"/>
    <x v="4"/>
    <m/>
    <m/>
    <n v="0"/>
    <n v="0"/>
    <m/>
    <m/>
    <n v="0"/>
    <m/>
    <n v="0"/>
    <n v="0"/>
    <m/>
  </r>
  <r>
    <n v="715"/>
    <s v=""/>
    <s v="0"/>
    <m/>
    <s v="0"/>
    <m/>
    <x v="4"/>
    <x v="8"/>
    <x v="4"/>
    <m/>
    <m/>
    <n v="0"/>
    <n v="0"/>
    <m/>
    <m/>
    <n v="0"/>
    <m/>
    <n v="0"/>
    <n v="0"/>
    <m/>
  </r>
  <r>
    <n v="716"/>
    <s v=""/>
    <s v="0"/>
    <m/>
    <s v="0"/>
    <m/>
    <x v="4"/>
    <x v="8"/>
    <x v="4"/>
    <m/>
    <m/>
    <n v="0"/>
    <n v="0"/>
    <m/>
    <m/>
    <n v="0"/>
    <m/>
    <n v="0"/>
    <n v="0"/>
    <m/>
  </r>
  <r>
    <n v="717"/>
    <s v=""/>
    <s v="0"/>
    <m/>
    <s v="0"/>
    <m/>
    <x v="4"/>
    <x v="8"/>
    <x v="4"/>
    <m/>
    <m/>
    <n v="0"/>
    <n v="0"/>
    <m/>
    <m/>
    <n v="0"/>
    <m/>
    <n v="0"/>
    <n v="0"/>
    <m/>
  </r>
  <r>
    <n v="718"/>
    <s v=""/>
    <s v="0"/>
    <m/>
    <s v="0"/>
    <m/>
    <x v="4"/>
    <x v="8"/>
    <x v="4"/>
    <m/>
    <m/>
    <n v="0"/>
    <n v="0"/>
    <m/>
    <m/>
    <n v="0"/>
    <m/>
    <n v="0"/>
    <n v="0"/>
    <m/>
  </r>
  <r>
    <n v="719"/>
    <s v=""/>
    <s v="0"/>
    <m/>
    <s v="0"/>
    <m/>
    <x v="4"/>
    <x v="8"/>
    <x v="4"/>
    <m/>
    <m/>
    <n v="0"/>
    <n v="0"/>
    <m/>
    <m/>
    <n v="0"/>
    <m/>
    <n v="0"/>
    <n v="0"/>
    <m/>
  </r>
  <r>
    <n v="720"/>
    <s v=""/>
    <s v="0"/>
    <m/>
    <s v="0"/>
    <m/>
    <x v="4"/>
    <x v="8"/>
    <x v="4"/>
    <m/>
    <m/>
    <n v="0"/>
    <n v="0"/>
    <m/>
    <m/>
    <n v="0"/>
    <m/>
    <n v="0"/>
    <n v="0"/>
    <m/>
  </r>
  <r>
    <n v="721"/>
    <s v=""/>
    <s v="0"/>
    <m/>
    <s v="0"/>
    <m/>
    <x v="4"/>
    <x v="8"/>
    <x v="4"/>
    <m/>
    <m/>
    <n v="0"/>
    <n v="0"/>
    <m/>
    <m/>
    <n v="0"/>
    <m/>
    <n v="0"/>
    <n v="0"/>
    <m/>
  </r>
  <r>
    <n v="722"/>
    <s v=""/>
    <s v="0"/>
    <m/>
    <s v="0"/>
    <m/>
    <x v="4"/>
    <x v="8"/>
    <x v="4"/>
    <m/>
    <m/>
    <n v="0"/>
    <n v="0"/>
    <m/>
    <m/>
    <n v="0"/>
    <m/>
    <n v="0"/>
    <n v="0"/>
    <m/>
  </r>
  <r>
    <n v="723"/>
    <s v=""/>
    <s v="0"/>
    <m/>
    <s v="0"/>
    <m/>
    <x v="4"/>
    <x v="8"/>
    <x v="4"/>
    <m/>
    <m/>
    <n v="0"/>
    <n v="0"/>
    <m/>
    <m/>
    <n v="0"/>
    <m/>
    <n v="0"/>
    <n v="0"/>
    <m/>
  </r>
  <r>
    <n v="724"/>
    <s v=""/>
    <s v="0"/>
    <m/>
    <s v="0"/>
    <m/>
    <x v="4"/>
    <x v="8"/>
    <x v="4"/>
    <m/>
    <m/>
    <n v="0"/>
    <n v="0"/>
    <m/>
    <m/>
    <n v="0"/>
    <m/>
    <n v="0"/>
    <n v="0"/>
    <m/>
  </r>
  <r>
    <n v="725"/>
    <s v=""/>
    <s v="0"/>
    <m/>
    <s v="0"/>
    <m/>
    <x v="4"/>
    <x v="8"/>
    <x v="4"/>
    <m/>
    <m/>
    <n v="0"/>
    <n v="0"/>
    <m/>
    <m/>
    <n v="0"/>
    <m/>
    <n v="0"/>
    <n v="0"/>
    <m/>
  </r>
  <r>
    <n v="726"/>
    <s v=""/>
    <s v="0"/>
    <m/>
    <s v="0"/>
    <m/>
    <x v="4"/>
    <x v="8"/>
    <x v="4"/>
    <m/>
    <m/>
    <n v="0"/>
    <n v="0"/>
    <m/>
    <m/>
    <n v="0"/>
    <m/>
    <n v="0"/>
    <n v="0"/>
    <m/>
  </r>
  <r>
    <n v="727"/>
    <s v=""/>
    <s v="0"/>
    <m/>
    <s v="0"/>
    <m/>
    <x v="4"/>
    <x v="8"/>
    <x v="4"/>
    <m/>
    <m/>
    <n v="0"/>
    <n v="0"/>
    <m/>
    <m/>
    <n v="0"/>
    <m/>
    <n v="0"/>
    <n v="0"/>
    <m/>
  </r>
  <r>
    <n v="728"/>
    <s v=""/>
    <s v="0"/>
    <m/>
    <s v="0"/>
    <m/>
    <x v="4"/>
    <x v="8"/>
    <x v="4"/>
    <m/>
    <m/>
    <n v="0"/>
    <n v="0"/>
    <m/>
    <m/>
    <n v="0"/>
    <m/>
    <n v="0"/>
    <n v="0"/>
    <m/>
  </r>
  <r>
    <n v="729"/>
    <s v=""/>
    <s v="0"/>
    <m/>
    <s v="0"/>
    <m/>
    <x v="4"/>
    <x v="8"/>
    <x v="4"/>
    <m/>
    <m/>
    <n v="0"/>
    <n v="0"/>
    <m/>
    <m/>
    <n v="0"/>
    <m/>
    <n v="0"/>
    <n v="0"/>
    <m/>
  </r>
  <r>
    <n v="730"/>
    <s v=""/>
    <s v="0"/>
    <m/>
    <s v="0"/>
    <m/>
    <x v="4"/>
    <x v="8"/>
    <x v="4"/>
    <m/>
    <m/>
    <n v="0"/>
    <n v="0"/>
    <m/>
    <m/>
    <n v="0"/>
    <m/>
    <n v="0"/>
    <n v="0"/>
    <m/>
  </r>
  <r>
    <n v="731"/>
    <s v=""/>
    <s v="0"/>
    <m/>
    <s v="0"/>
    <m/>
    <x v="4"/>
    <x v="8"/>
    <x v="4"/>
    <m/>
    <m/>
    <n v="0"/>
    <n v="0"/>
    <m/>
    <m/>
    <n v="0"/>
    <m/>
    <n v="0"/>
    <n v="0"/>
    <m/>
  </r>
  <r>
    <n v="732"/>
    <s v=""/>
    <s v="0"/>
    <m/>
    <s v="0"/>
    <m/>
    <x v="4"/>
    <x v="8"/>
    <x v="4"/>
    <m/>
    <m/>
    <n v="0"/>
    <n v="0"/>
    <m/>
    <m/>
    <n v="0"/>
    <m/>
    <n v="0"/>
    <n v="0"/>
    <m/>
  </r>
  <r>
    <n v="733"/>
    <s v=""/>
    <s v="0"/>
    <m/>
    <s v="0"/>
    <m/>
    <x v="4"/>
    <x v="8"/>
    <x v="4"/>
    <m/>
    <m/>
    <n v="0"/>
    <n v="0"/>
    <m/>
    <m/>
    <n v="0"/>
    <m/>
    <n v="0"/>
    <n v="0"/>
    <m/>
  </r>
  <r>
    <n v="734"/>
    <s v=""/>
    <s v="0"/>
    <m/>
    <s v="0"/>
    <m/>
    <x v="4"/>
    <x v="8"/>
    <x v="4"/>
    <m/>
    <m/>
    <n v="0"/>
    <n v="0"/>
    <m/>
    <m/>
    <n v="0"/>
    <m/>
    <n v="0"/>
    <n v="0"/>
    <m/>
  </r>
  <r>
    <n v="735"/>
    <s v=""/>
    <s v="0"/>
    <m/>
    <s v="0"/>
    <m/>
    <x v="4"/>
    <x v="8"/>
    <x v="4"/>
    <m/>
    <m/>
    <n v="0"/>
    <n v="0"/>
    <m/>
    <m/>
    <n v="0"/>
    <m/>
    <n v="0"/>
    <n v="0"/>
    <m/>
  </r>
  <r>
    <n v="736"/>
    <s v=""/>
    <s v="0"/>
    <m/>
    <s v="0"/>
    <m/>
    <x v="4"/>
    <x v="8"/>
    <x v="4"/>
    <m/>
    <m/>
    <n v="0"/>
    <n v="0"/>
    <m/>
    <m/>
    <n v="0"/>
    <m/>
    <n v="0"/>
    <n v="0"/>
    <m/>
  </r>
  <r>
    <n v="737"/>
    <s v=""/>
    <s v="0"/>
    <m/>
    <s v="0"/>
    <m/>
    <x v="4"/>
    <x v="8"/>
    <x v="4"/>
    <m/>
    <m/>
    <n v="0"/>
    <n v="0"/>
    <m/>
    <m/>
    <n v="0"/>
    <m/>
    <n v="0"/>
    <n v="0"/>
    <m/>
  </r>
  <r>
    <n v="738"/>
    <s v=""/>
    <s v="0"/>
    <m/>
    <s v="0"/>
    <m/>
    <x v="4"/>
    <x v="8"/>
    <x v="4"/>
    <m/>
    <m/>
    <n v="0"/>
    <n v="0"/>
    <m/>
    <m/>
    <n v="0"/>
    <m/>
    <n v="0"/>
    <n v="0"/>
    <m/>
  </r>
  <r>
    <n v="739"/>
    <s v=""/>
    <s v="0"/>
    <m/>
    <s v="0"/>
    <m/>
    <x v="4"/>
    <x v="8"/>
    <x v="4"/>
    <m/>
    <m/>
    <n v="0"/>
    <n v="0"/>
    <m/>
    <m/>
    <n v="0"/>
    <m/>
    <n v="0"/>
    <n v="0"/>
    <m/>
  </r>
  <r>
    <n v="740"/>
    <s v=""/>
    <s v="0"/>
    <m/>
    <s v="0"/>
    <m/>
    <x v="4"/>
    <x v="8"/>
    <x v="4"/>
    <m/>
    <m/>
    <n v="0"/>
    <n v="0"/>
    <m/>
    <m/>
    <n v="0"/>
    <m/>
    <n v="0"/>
    <n v="0"/>
    <m/>
  </r>
  <r>
    <n v="741"/>
    <s v=""/>
    <s v="0"/>
    <m/>
    <s v="0"/>
    <m/>
    <x v="4"/>
    <x v="8"/>
    <x v="4"/>
    <m/>
    <m/>
    <n v="0"/>
    <n v="0"/>
    <m/>
    <m/>
    <n v="0"/>
    <m/>
    <n v="0"/>
    <n v="0"/>
    <m/>
  </r>
  <r>
    <n v="742"/>
    <s v=""/>
    <s v="0"/>
    <m/>
    <s v="0"/>
    <m/>
    <x v="4"/>
    <x v="8"/>
    <x v="4"/>
    <m/>
    <m/>
    <n v="0"/>
    <n v="0"/>
    <m/>
    <m/>
    <n v="0"/>
    <m/>
    <n v="0"/>
    <n v="0"/>
    <m/>
  </r>
  <r>
    <n v="743"/>
    <s v=""/>
    <s v="0"/>
    <m/>
    <s v="0"/>
    <m/>
    <x v="4"/>
    <x v="8"/>
    <x v="4"/>
    <m/>
    <m/>
    <n v="0"/>
    <n v="0"/>
    <m/>
    <m/>
    <n v="0"/>
    <m/>
    <n v="0"/>
    <n v="0"/>
    <m/>
  </r>
  <r>
    <n v="744"/>
    <s v=""/>
    <s v="0"/>
    <m/>
    <s v="0"/>
    <m/>
    <x v="4"/>
    <x v="8"/>
    <x v="4"/>
    <m/>
    <m/>
    <n v="0"/>
    <n v="0"/>
    <m/>
    <m/>
    <n v="0"/>
    <m/>
    <n v="0"/>
    <n v="0"/>
    <m/>
  </r>
  <r>
    <n v="745"/>
    <s v=""/>
    <s v="0"/>
    <m/>
    <s v="0"/>
    <m/>
    <x v="4"/>
    <x v="8"/>
    <x v="4"/>
    <m/>
    <m/>
    <n v="0"/>
    <n v="0"/>
    <m/>
    <m/>
    <n v="0"/>
    <m/>
    <n v="0"/>
    <n v="0"/>
    <m/>
  </r>
  <r>
    <n v="746"/>
    <s v=""/>
    <s v="0"/>
    <m/>
    <s v="0"/>
    <m/>
    <x v="4"/>
    <x v="8"/>
    <x v="4"/>
    <m/>
    <m/>
    <n v="0"/>
    <n v="0"/>
    <m/>
    <m/>
    <n v="0"/>
    <m/>
    <n v="0"/>
    <n v="0"/>
    <m/>
  </r>
  <r>
    <n v="747"/>
    <s v=""/>
    <s v="0"/>
    <m/>
    <s v="0"/>
    <m/>
    <x v="4"/>
    <x v="8"/>
    <x v="4"/>
    <m/>
    <m/>
    <n v="0"/>
    <n v="0"/>
    <m/>
    <m/>
    <n v="0"/>
    <m/>
    <n v="0"/>
    <n v="0"/>
    <m/>
  </r>
  <r>
    <n v="748"/>
    <s v=""/>
    <s v="0"/>
    <m/>
    <s v="0"/>
    <m/>
    <x v="4"/>
    <x v="8"/>
    <x v="4"/>
    <m/>
    <m/>
    <n v="0"/>
    <n v="0"/>
    <m/>
    <m/>
    <n v="0"/>
    <m/>
    <n v="0"/>
    <n v="0"/>
    <m/>
  </r>
  <r>
    <n v="749"/>
    <s v=""/>
    <s v="0"/>
    <m/>
    <s v="0"/>
    <m/>
    <x v="4"/>
    <x v="8"/>
    <x v="4"/>
    <m/>
    <m/>
    <n v="0"/>
    <n v="0"/>
    <m/>
    <m/>
    <n v="0"/>
    <m/>
    <n v="0"/>
    <n v="0"/>
    <m/>
  </r>
  <r>
    <n v="750"/>
    <s v=""/>
    <s v="0"/>
    <m/>
    <s v="0"/>
    <m/>
    <x v="4"/>
    <x v="8"/>
    <x v="4"/>
    <m/>
    <m/>
    <n v="0"/>
    <n v="0"/>
    <m/>
    <m/>
    <n v="0"/>
    <m/>
    <n v="0"/>
    <n v="0"/>
    <m/>
  </r>
  <r>
    <n v="751"/>
    <s v=""/>
    <s v="0"/>
    <m/>
    <s v="0"/>
    <m/>
    <x v="4"/>
    <x v="8"/>
    <x v="4"/>
    <m/>
    <m/>
    <n v="0"/>
    <n v="0"/>
    <m/>
    <m/>
    <n v="0"/>
    <m/>
    <n v="0"/>
    <n v="0"/>
    <m/>
  </r>
  <r>
    <n v="752"/>
    <s v=""/>
    <s v="0"/>
    <m/>
    <s v="0"/>
    <m/>
    <x v="4"/>
    <x v="8"/>
    <x v="4"/>
    <m/>
    <m/>
    <n v="0"/>
    <n v="0"/>
    <m/>
    <m/>
    <n v="0"/>
    <m/>
    <n v="0"/>
    <n v="0"/>
    <m/>
  </r>
  <r>
    <n v="753"/>
    <s v=""/>
    <s v="0"/>
    <m/>
    <s v="0"/>
    <m/>
    <x v="4"/>
    <x v="8"/>
    <x v="4"/>
    <m/>
    <m/>
    <n v="0"/>
    <n v="0"/>
    <m/>
    <m/>
    <n v="0"/>
    <m/>
    <n v="0"/>
    <n v="0"/>
    <m/>
  </r>
  <r>
    <n v="754"/>
    <s v=""/>
    <s v="0"/>
    <m/>
    <s v="0"/>
    <m/>
    <x v="4"/>
    <x v="8"/>
    <x v="4"/>
    <m/>
    <m/>
    <n v="0"/>
    <n v="0"/>
    <m/>
    <m/>
    <n v="0"/>
    <m/>
    <n v="0"/>
    <n v="0"/>
    <m/>
  </r>
  <r>
    <n v="755"/>
    <s v=""/>
    <s v="0"/>
    <m/>
    <s v="0"/>
    <m/>
    <x v="4"/>
    <x v="8"/>
    <x v="4"/>
    <m/>
    <m/>
    <n v="0"/>
    <n v="0"/>
    <m/>
    <m/>
    <n v="0"/>
    <m/>
    <n v="0"/>
    <n v="0"/>
    <m/>
  </r>
  <r>
    <n v="756"/>
    <s v=""/>
    <s v="0"/>
    <m/>
    <s v="0"/>
    <m/>
    <x v="4"/>
    <x v="8"/>
    <x v="4"/>
    <m/>
    <m/>
    <n v="0"/>
    <n v="0"/>
    <m/>
    <m/>
    <n v="0"/>
    <m/>
    <n v="0"/>
    <n v="0"/>
    <m/>
  </r>
  <r>
    <n v="757"/>
    <s v=""/>
    <s v="0"/>
    <m/>
    <s v="0"/>
    <m/>
    <x v="4"/>
    <x v="8"/>
    <x v="4"/>
    <m/>
    <m/>
    <n v="0"/>
    <n v="0"/>
    <m/>
    <m/>
    <n v="0"/>
    <m/>
    <n v="0"/>
    <n v="0"/>
    <m/>
  </r>
  <r>
    <n v="758"/>
    <s v=""/>
    <s v="0"/>
    <m/>
    <s v="0"/>
    <m/>
    <x v="4"/>
    <x v="8"/>
    <x v="4"/>
    <m/>
    <m/>
    <n v="0"/>
    <n v="0"/>
    <m/>
    <m/>
    <n v="0"/>
    <m/>
    <n v="0"/>
    <n v="0"/>
    <m/>
  </r>
  <r>
    <n v="759"/>
    <s v=""/>
    <s v="0"/>
    <m/>
    <s v="0"/>
    <m/>
    <x v="4"/>
    <x v="8"/>
    <x v="4"/>
    <m/>
    <m/>
    <n v="0"/>
    <n v="0"/>
    <m/>
    <m/>
    <n v="0"/>
    <m/>
    <n v="0"/>
    <n v="0"/>
    <m/>
  </r>
  <r>
    <n v="760"/>
    <s v=""/>
    <s v="0"/>
    <m/>
    <s v="0"/>
    <m/>
    <x v="4"/>
    <x v="8"/>
    <x v="4"/>
    <m/>
    <m/>
    <n v="0"/>
    <n v="0"/>
    <m/>
    <m/>
    <n v="0"/>
    <m/>
    <n v="0"/>
    <n v="0"/>
    <m/>
  </r>
  <r>
    <n v="761"/>
    <s v=""/>
    <s v="0"/>
    <m/>
    <s v="0"/>
    <m/>
    <x v="4"/>
    <x v="8"/>
    <x v="4"/>
    <m/>
    <m/>
    <n v="0"/>
    <n v="0"/>
    <m/>
    <m/>
    <n v="0"/>
    <m/>
    <n v="0"/>
    <n v="0"/>
    <m/>
  </r>
  <r>
    <n v="762"/>
    <s v=""/>
    <s v="0"/>
    <m/>
    <s v="0"/>
    <m/>
    <x v="4"/>
    <x v="8"/>
    <x v="4"/>
    <m/>
    <m/>
    <n v="0"/>
    <n v="0"/>
    <m/>
    <m/>
    <n v="0"/>
    <m/>
    <n v="0"/>
    <n v="0"/>
    <m/>
  </r>
  <r>
    <n v="763"/>
    <s v=""/>
    <s v="0"/>
    <m/>
    <s v="0"/>
    <m/>
    <x v="4"/>
    <x v="8"/>
    <x v="4"/>
    <m/>
    <m/>
    <n v="0"/>
    <n v="0"/>
    <m/>
    <m/>
    <n v="0"/>
    <m/>
    <n v="0"/>
    <n v="0"/>
    <m/>
  </r>
  <r>
    <n v="764"/>
    <s v=""/>
    <s v="0"/>
    <m/>
    <s v="0"/>
    <m/>
    <x v="4"/>
    <x v="8"/>
    <x v="4"/>
    <m/>
    <m/>
    <n v="0"/>
    <n v="0"/>
    <m/>
    <m/>
    <n v="0"/>
    <m/>
    <n v="0"/>
    <n v="0"/>
    <m/>
  </r>
  <r>
    <n v="765"/>
    <s v=""/>
    <s v="0"/>
    <m/>
    <s v="0"/>
    <m/>
    <x v="4"/>
    <x v="8"/>
    <x v="4"/>
    <m/>
    <m/>
    <n v="0"/>
    <n v="0"/>
    <m/>
    <m/>
    <n v="0"/>
    <m/>
    <n v="0"/>
    <n v="0"/>
    <m/>
  </r>
  <r>
    <n v="766"/>
    <s v=""/>
    <s v="0"/>
    <m/>
    <s v="0"/>
    <m/>
    <x v="4"/>
    <x v="8"/>
    <x v="4"/>
    <m/>
    <m/>
    <n v="0"/>
    <n v="0"/>
    <m/>
    <m/>
    <n v="0"/>
    <m/>
    <n v="0"/>
    <n v="0"/>
    <m/>
  </r>
  <r>
    <n v="767"/>
    <s v=""/>
    <s v="0"/>
    <m/>
    <s v="0"/>
    <m/>
    <x v="4"/>
    <x v="8"/>
    <x v="4"/>
    <m/>
    <m/>
    <n v="0"/>
    <n v="0"/>
    <m/>
    <m/>
    <n v="0"/>
    <m/>
    <n v="0"/>
    <n v="0"/>
    <m/>
  </r>
  <r>
    <n v="768"/>
    <s v=""/>
    <s v="0"/>
    <m/>
    <s v="0"/>
    <m/>
    <x v="4"/>
    <x v="8"/>
    <x v="4"/>
    <m/>
    <m/>
    <n v="0"/>
    <n v="0"/>
    <m/>
    <m/>
    <n v="0"/>
    <m/>
    <n v="0"/>
    <n v="0"/>
    <m/>
  </r>
  <r>
    <n v="769"/>
    <s v=""/>
    <s v="0"/>
    <m/>
    <s v="0"/>
    <m/>
    <x v="4"/>
    <x v="8"/>
    <x v="4"/>
    <m/>
    <m/>
    <n v="0"/>
    <n v="0"/>
    <m/>
    <m/>
    <n v="0"/>
    <m/>
    <n v="0"/>
    <n v="0"/>
    <m/>
  </r>
  <r>
    <n v="770"/>
    <s v=""/>
    <s v="0"/>
    <m/>
    <s v="0"/>
    <m/>
    <x v="4"/>
    <x v="8"/>
    <x v="4"/>
    <m/>
    <m/>
    <n v="0"/>
    <n v="0"/>
    <m/>
    <m/>
    <n v="0"/>
    <m/>
    <n v="0"/>
    <n v="0"/>
    <m/>
  </r>
  <r>
    <n v="771"/>
    <s v=""/>
    <s v="0"/>
    <m/>
    <s v="0"/>
    <m/>
    <x v="4"/>
    <x v="8"/>
    <x v="4"/>
    <m/>
    <m/>
    <n v="0"/>
    <n v="0"/>
    <m/>
    <m/>
    <n v="0"/>
    <m/>
    <n v="0"/>
    <n v="0"/>
    <m/>
  </r>
  <r>
    <n v="772"/>
    <s v=""/>
    <s v="0"/>
    <m/>
    <s v="0"/>
    <m/>
    <x v="4"/>
    <x v="8"/>
    <x v="4"/>
    <m/>
    <m/>
    <n v="0"/>
    <n v="0"/>
    <m/>
    <m/>
    <n v="0"/>
    <m/>
    <n v="0"/>
    <n v="0"/>
    <m/>
  </r>
  <r>
    <n v="773"/>
    <s v=""/>
    <s v="0"/>
    <m/>
    <s v="0"/>
    <m/>
    <x v="4"/>
    <x v="8"/>
    <x v="4"/>
    <m/>
    <m/>
    <n v="0"/>
    <n v="0"/>
    <m/>
    <m/>
    <n v="0"/>
    <m/>
    <n v="0"/>
    <n v="0"/>
    <m/>
  </r>
  <r>
    <n v="774"/>
    <s v=""/>
    <s v="0"/>
    <m/>
    <s v="0"/>
    <m/>
    <x v="4"/>
    <x v="8"/>
    <x v="4"/>
    <m/>
    <m/>
    <n v="0"/>
    <n v="0"/>
    <m/>
    <m/>
    <n v="0"/>
    <m/>
    <n v="0"/>
    <n v="0"/>
    <m/>
  </r>
  <r>
    <n v="775"/>
    <s v=""/>
    <s v="0"/>
    <m/>
    <s v="0"/>
    <m/>
    <x v="4"/>
    <x v="8"/>
    <x v="4"/>
    <m/>
    <m/>
    <n v="0"/>
    <n v="0"/>
    <m/>
    <m/>
    <n v="0"/>
    <m/>
    <n v="0"/>
    <n v="0"/>
    <m/>
  </r>
  <r>
    <n v="776"/>
    <s v=""/>
    <s v="0"/>
    <m/>
    <s v="0"/>
    <m/>
    <x v="4"/>
    <x v="8"/>
    <x v="4"/>
    <m/>
    <m/>
    <n v="0"/>
    <n v="0"/>
    <m/>
    <m/>
    <n v="0"/>
    <m/>
    <n v="0"/>
    <n v="0"/>
    <m/>
  </r>
  <r>
    <n v="777"/>
    <s v=""/>
    <s v="0"/>
    <m/>
    <s v="0"/>
    <m/>
    <x v="4"/>
    <x v="8"/>
    <x v="4"/>
    <m/>
    <m/>
    <n v="0"/>
    <n v="0"/>
    <m/>
    <m/>
    <n v="0"/>
    <m/>
    <n v="0"/>
    <n v="0"/>
    <m/>
  </r>
  <r>
    <n v="778"/>
    <s v=""/>
    <s v="0"/>
    <m/>
    <s v="0"/>
    <m/>
    <x v="4"/>
    <x v="8"/>
    <x v="4"/>
    <m/>
    <m/>
    <n v="0"/>
    <n v="0"/>
    <m/>
    <m/>
    <n v="0"/>
    <m/>
    <n v="0"/>
    <n v="0"/>
    <m/>
  </r>
  <r>
    <n v="779"/>
    <s v=""/>
    <s v="0"/>
    <m/>
    <s v="0"/>
    <m/>
    <x v="4"/>
    <x v="8"/>
    <x v="4"/>
    <m/>
    <m/>
    <n v="0"/>
    <n v="0"/>
    <m/>
    <m/>
    <n v="0"/>
    <m/>
    <n v="0"/>
    <n v="0"/>
    <m/>
  </r>
  <r>
    <n v="780"/>
    <s v=""/>
    <s v="0"/>
    <m/>
    <s v="0"/>
    <m/>
    <x v="4"/>
    <x v="8"/>
    <x v="4"/>
    <m/>
    <m/>
    <n v="0"/>
    <n v="0"/>
    <m/>
    <m/>
    <n v="0"/>
    <m/>
    <n v="0"/>
    <n v="0"/>
    <m/>
  </r>
  <r>
    <n v="781"/>
    <s v=""/>
    <s v="0"/>
    <m/>
    <s v="0"/>
    <m/>
    <x v="4"/>
    <x v="8"/>
    <x v="4"/>
    <m/>
    <m/>
    <n v="0"/>
    <n v="0"/>
    <m/>
    <m/>
    <n v="0"/>
    <m/>
    <n v="0"/>
    <n v="0"/>
    <m/>
  </r>
  <r>
    <n v="782"/>
    <s v=""/>
    <s v="0"/>
    <m/>
    <s v="0"/>
    <m/>
    <x v="4"/>
    <x v="8"/>
    <x v="4"/>
    <m/>
    <m/>
    <n v="0"/>
    <n v="0"/>
    <m/>
    <m/>
    <n v="0"/>
    <m/>
    <n v="0"/>
    <n v="0"/>
    <m/>
  </r>
  <r>
    <n v="783"/>
    <s v=""/>
    <s v="0"/>
    <m/>
    <s v="0"/>
    <m/>
    <x v="4"/>
    <x v="8"/>
    <x v="4"/>
    <m/>
    <m/>
    <n v="0"/>
    <n v="0"/>
    <m/>
    <m/>
    <n v="0"/>
    <m/>
    <n v="0"/>
    <n v="0"/>
    <m/>
  </r>
  <r>
    <n v="784"/>
    <s v=""/>
    <s v="0"/>
    <m/>
    <s v="0"/>
    <m/>
    <x v="4"/>
    <x v="8"/>
    <x v="4"/>
    <m/>
    <m/>
    <n v="0"/>
    <n v="0"/>
    <m/>
    <m/>
    <n v="0"/>
    <m/>
    <n v="0"/>
    <n v="0"/>
    <m/>
  </r>
  <r>
    <n v="785"/>
    <s v=""/>
    <s v="0"/>
    <m/>
    <s v="0"/>
    <m/>
    <x v="4"/>
    <x v="8"/>
    <x v="4"/>
    <m/>
    <m/>
    <n v="0"/>
    <n v="0"/>
    <m/>
    <m/>
    <n v="0"/>
    <m/>
    <n v="0"/>
    <n v="0"/>
    <m/>
  </r>
  <r>
    <n v="786"/>
    <s v=""/>
    <s v="0"/>
    <m/>
    <s v="0"/>
    <m/>
    <x v="4"/>
    <x v="8"/>
    <x v="4"/>
    <m/>
    <m/>
    <n v="0"/>
    <n v="0"/>
    <m/>
    <m/>
    <n v="0"/>
    <m/>
    <n v="0"/>
    <n v="0"/>
    <m/>
  </r>
  <r>
    <n v="787"/>
    <s v=""/>
    <s v="0"/>
    <m/>
    <s v="0"/>
    <m/>
    <x v="4"/>
    <x v="8"/>
    <x v="4"/>
    <m/>
    <m/>
    <n v="0"/>
    <n v="0"/>
    <m/>
    <m/>
    <n v="0"/>
    <m/>
    <n v="0"/>
    <n v="0"/>
    <m/>
  </r>
  <r>
    <n v="788"/>
    <s v=""/>
    <s v="0"/>
    <m/>
    <s v="0"/>
    <m/>
    <x v="4"/>
    <x v="8"/>
    <x v="4"/>
    <m/>
    <m/>
    <n v="0"/>
    <n v="0"/>
    <m/>
    <m/>
    <n v="0"/>
    <m/>
    <n v="0"/>
    <n v="0"/>
    <m/>
  </r>
  <r>
    <n v="789"/>
    <s v=""/>
    <s v="0"/>
    <m/>
    <s v="0"/>
    <m/>
    <x v="4"/>
    <x v="8"/>
    <x v="4"/>
    <m/>
    <m/>
    <n v="0"/>
    <n v="0"/>
    <m/>
    <m/>
    <n v="0"/>
    <m/>
    <n v="0"/>
    <n v="0"/>
    <m/>
  </r>
  <r>
    <n v="790"/>
    <s v=""/>
    <s v="0"/>
    <m/>
    <s v="0"/>
    <m/>
    <x v="4"/>
    <x v="8"/>
    <x v="4"/>
    <m/>
    <m/>
    <n v="0"/>
    <n v="0"/>
    <m/>
    <m/>
    <n v="0"/>
    <m/>
    <n v="0"/>
    <n v="0"/>
    <m/>
  </r>
  <r>
    <n v="791"/>
    <s v=""/>
    <s v="0"/>
    <m/>
    <s v="0"/>
    <m/>
    <x v="4"/>
    <x v="8"/>
    <x v="4"/>
    <m/>
    <m/>
    <n v="0"/>
    <n v="0"/>
    <m/>
    <m/>
    <n v="0"/>
    <m/>
    <n v="0"/>
    <n v="0"/>
    <m/>
  </r>
  <r>
    <n v="792"/>
    <s v=""/>
    <s v="0"/>
    <m/>
    <s v="0"/>
    <m/>
    <x v="4"/>
    <x v="8"/>
    <x v="4"/>
    <m/>
    <m/>
    <n v="0"/>
    <n v="0"/>
    <m/>
    <m/>
    <n v="0"/>
    <m/>
    <n v="0"/>
    <n v="0"/>
    <m/>
  </r>
  <r>
    <n v="793"/>
    <s v=""/>
    <s v="0"/>
    <m/>
    <s v="0"/>
    <m/>
    <x v="4"/>
    <x v="8"/>
    <x v="4"/>
    <m/>
    <m/>
    <n v="0"/>
    <n v="0"/>
    <m/>
    <m/>
    <n v="0"/>
    <m/>
    <n v="0"/>
    <n v="0"/>
    <m/>
  </r>
  <r>
    <n v="794"/>
    <s v=""/>
    <s v="0"/>
    <m/>
    <s v="0"/>
    <m/>
    <x v="4"/>
    <x v="8"/>
    <x v="4"/>
    <m/>
    <m/>
    <n v="0"/>
    <n v="0"/>
    <m/>
    <m/>
    <n v="0"/>
    <m/>
    <n v="0"/>
    <n v="0"/>
    <m/>
  </r>
  <r>
    <n v="795"/>
    <s v=""/>
    <s v="0"/>
    <m/>
    <s v="0"/>
    <m/>
    <x v="4"/>
    <x v="8"/>
    <x v="4"/>
    <m/>
    <m/>
    <n v="0"/>
    <n v="0"/>
    <m/>
    <m/>
    <n v="0"/>
    <m/>
    <n v="0"/>
    <n v="0"/>
    <m/>
  </r>
  <r>
    <n v="796"/>
    <s v=""/>
    <s v="0"/>
    <m/>
    <s v="0"/>
    <m/>
    <x v="4"/>
    <x v="8"/>
    <x v="4"/>
    <m/>
    <m/>
    <n v="0"/>
    <n v="0"/>
    <m/>
    <m/>
    <n v="0"/>
    <m/>
    <n v="0"/>
    <n v="0"/>
    <m/>
  </r>
  <r>
    <n v="797"/>
    <s v=""/>
    <s v="0"/>
    <m/>
    <s v="0"/>
    <m/>
    <x v="4"/>
    <x v="8"/>
    <x v="4"/>
    <m/>
    <m/>
    <n v="0"/>
    <n v="0"/>
    <m/>
    <m/>
    <n v="0"/>
    <m/>
    <n v="0"/>
    <n v="0"/>
    <m/>
  </r>
  <r>
    <n v="798"/>
    <s v=""/>
    <s v="0"/>
    <m/>
    <s v="0"/>
    <m/>
    <x v="4"/>
    <x v="8"/>
    <x v="4"/>
    <m/>
    <m/>
    <n v="0"/>
    <n v="0"/>
    <m/>
    <m/>
    <n v="0"/>
    <m/>
    <n v="0"/>
    <n v="0"/>
    <m/>
  </r>
  <r>
    <n v="799"/>
    <s v=""/>
    <s v="0"/>
    <m/>
    <s v="0"/>
    <m/>
    <x v="4"/>
    <x v="8"/>
    <x v="4"/>
    <m/>
    <m/>
    <n v="0"/>
    <n v="0"/>
    <m/>
    <m/>
    <n v="0"/>
    <m/>
    <n v="0"/>
    <n v="0"/>
    <m/>
  </r>
  <r>
    <n v="800"/>
    <s v=""/>
    <s v="0"/>
    <m/>
    <s v="0"/>
    <m/>
    <x v="4"/>
    <x v="8"/>
    <x v="4"/>
    <m/>
    <m/>
    <n v="0"/>
    <n v="0"/>
    <m/>
    <m/>
    <n v="0"/>
    <m/>
    <n v="0"/>
    <n v="0"/>
    <m/>
  </r>
  <r>
    <n v="801"/>
    <s v=""/>
    <s v="0"/>
    <m/>
    <s v="0"/>
    <m/>
    <x v="4"/>
    <x v="8"/>
    <x v="4"/>
    <m/>
    <m/>
    <n v="0"/>
    <n v="0"/>
    <m/>
    <m/>
    <n v="0"/>
    <m/>
    <n v="0"/>
    <n v="0"/>
    <m/>
  </r>
  <r>
    <n v="802"/>
    <s v=""/>
    <s v="0"/>
    <m/>
    <s v="0"/>
    <m/>
    <x v="4"/>
    <x v="8"/>
    <x v="4"/>
    <m/>
    <m/>
    <n v="0"/>
    <n v="0"/>
    <m/>
    <m/>
    <n v="0"/>
    <m/>
    <n v="0"/>
    <n v="0"/>
    <m/>
  </r>
  <r>
    <n v="803"/>
    <s v=""/>
    <s v="0"/>
    <m/>
    <s v="0"/>
    <m/>
    <x v="4"/>
    <x v="8"/>
    <x v="4"/>
    <m/>
    <m/>
    <n v="0"/>
    <n v="0"/>
    <m/>
    <m/>
    <n v="0"/>
    <m/>
    <n v="0"/>
    <n v="0"/>
    <m/>
  </r>
  <r>
    <n v="804"/>
    <s v=""/>
    <s v="0"/>
    <m/>
    <s v="0"/>
    <m/>
    <x v="4"/>
    <x v="8"/>
    <x v="4"/>
    <m/>
    <m/>
    <n v="0"/>
    <n v="0"/>
    <m/>
    <m/>
    <n v="0"/>
    <m/>
    <n v="0"/>
    <n v="0"/>
    <m/>
  </r>
  <r>
    <n v="805"/>
    <s v=""/>
    <s v="0"/>
    <m/>
    <s v="0"/>
    <m/>
    <x v="4"/>
    <x v="8"/>
    <x v="4"/>
    <m/>
    <m/>
    <n v="0"/>
    <n v="0"/>
    <m/>
    <m/>
    <n v="0"/>
    <m/>
    <n v="0"/>
    <n v="0"/>
    <m/>
  </r>
  <r>
    <n v="806"/>
    <s v=""/>
    <s v="0"/>
    <m/>
    <s v="0"/>
    <m/>
    <x v="4"/>
    <x v="8"/>
    <x v="4"/>
    <m/>
    <m/>
    <n v="0"/>
    <n v="0"/>
    <m/>
    <m/>
    <n v="0"/>
    <m/>
    <n v="0"/>
    <n v="0"/>
    <m/>
  </r>
  <r>
    <n v="807"/>
    <s v=""/>
    <s v="0"/>
    <m/>
    <s v="0"/>
    <m/>
    <x v="4"/>
    <x v="8"/>
    <x v="4"/>
    <m/>
    <m/>
    <n v="0"/>
    <n v="0"/>
    <m/>
    <m/>
    <n v="0"/>
    <m/>
    <n v="0"/>
    <n v="0"/>
    <m/>
  </r>
  <r>
    <n v="808"/>
    <s v=""/>
    <s v="0"/>
    <m/>
    <s v="0"/>
    <m/>
    <x v="4"/>
    <x v="8"/>
    <x v="4"/>
    <m/>
    <m/>
    <n v="0"/>
    <n v="0"/>
    <m/>
    <m/>
    <n v="0"/>
    <m/>
    <n v="0"/>
    <n v="0"/>
    <m/>
  </r>
  <r>
    <n v="809"/>
    <s v=""/>
    <s v="0"/>
    <m/>
    <s v="0"/>
    <m/>
    <x v="4"/>
    <x v="8"/>
    <x v="4"/>
    <m/>
    <m/>
    <n v="0"/>
    <n v="0"/>
    <m/>
    <m/>
    <n v="0"/>
    <m/>
    <n v="0"/>
    <n v="0"/>
    <m/>
  </r>
  <r>
    <n v="810"/>
    <s v=""/>
    <s v="0"/>
    <m/>
    <s v="0"/>
    <m/>
    <x v="4"/>
    <x v="8"/>
    <x v="4"/>
    <m/>
    <m/>
    <n v="0"/>
    <n v="0"/>
    <m/>
    <m/>
    <n v="0"/>
    <m/>
    <n v="0"/>
    <n v="0"/>
    <m/>
  </r>
  <r>
    <n v="811"/>
    <s v=""/>
    <s v="0"/>
    <m/>
    <s v="0"/>
    <m/>
    <x v="4"/>
    <x v="8"/>
    <x v="4"/>
    <m/>
    <m/>
    <n v="0"/>
    <n v="0"/>
    <m/>
    <m/>
    <n v="0"/>
    <m/>
    <n v="0"/>
    <n v="0"/>
    <m/>
  </r>
  <r>
    <n v="812"/>
    <s v=""/>
    <s v="0"/>
    <m/>
    <s v="0"/>
    <m/>
    <x v="4"/>
    <x v="8"/>
    <x v="4"/>
    <m/>
    <m/>
    <n v="0"/>
    <n v="0"/>
    <m/>
    <m/>
    <n v="0"/>
    <m/>
    <n v="0"/>
    <n v="0"/>
    <m/>
  </r>
  <r>
    <n v="813"/>
    <s v=""/>
    <s v="0"/>
    <m/>
    <s v="0"/>
    <m/>
    <x v="4"/>
    <x v="8"/>
    <x v="4"/>
    <m/>
    <m/>
    <n v="0"/>
    <n v="0"/>
    <m/>
    <m/>
    <n v="0"/>
    <m/>
    <n v="0"/>
    <n v="0"/>
    <m/>
  </r>
  <r>
    <n v="814"/>
    <s v=""/>
    <s v="0"/>
    <m/>
    <s v="0"/>
    <m/>
    <x v="4"/>
    <x v="8"/>
    <x v="4"/>
    <m/>
    <m/>
    <n v="0"/>
    <n v="0"/>
    <m/>
    <m/>
    <n v="0"/>
    <m/>
    <n v="0"/>
    <n v="0"/>
    <m/>
  </r>
  <r>
    <n v="815"/>
    <s v=""/>
    <s v="0"/>
    <m/>
    <s v="0"/>
    <m/>
    <x v="4"/>
    <x v="8"/>
    <x v="4"/>
    <m/>
    <m/>
    <n v="0"/>
    <n v="0"/>
    <m/>
    <m/>
    <n v="0"/>
    <m/>
    <n v="0"/>
    <n v="0"/>
    <m/>
  </r>
  <r>
    <n v="816"/>
    <s v=""/>
    <s v="0"/>
    <m/>
    <s v="0"/>
    <m/>
    <x v="4"/>
    <x v="8"/>
    <x v="4"/>
    <m/>
    <m/>
    <n v="0"/>
    <n v="0"/>
    <m/>
    <m/>
    <n v="0"/>
    <m/>
    <n v="0"/>
    <n v="0"/>
    <m/>
  </r>
  <r>
    <n v="817"/>
    <s v=""/>
    <s v="0"/>
    <m/>
    <s v="0"/>
    <m/>
    <x v="4"/>
    <x v="8"/>
    <x v="4"/>
    <m/>
    <m/>
    <n v="0"/>
    <n v="0"/>
    <m/>
    <m/>
    <n v="0"/>
    <m/>
    <n v="0"/>
    <n v="0"/>
    <m/>
  </r>
  <r>
    <n v="818"/>
    <s v=""/>
    <s v="0"/>
    <m/>
    <s v="0"/>
    <m/>
    <x v="4"/>
    <x v="8"/>
    <x v="4"/>
    <m/>
    <m/>
    <n v="0"/>
    <n v="0"/>
    <m/>
    <m/>
    <n v="0"/>
    <m/>
    <n v="0"/>
    <n v="0"/>
    <m/>
  </r>
  <r>
    <n v="819"/>
    <s v=""/>
    <s v="0"/>
    <m/>
    <s v="0"/>
    <m/>
    <x v="4"/>
    <x v="8"/>
    <x v="4"/>
    <m/>
    <m/>
    <n v="0"/>
    <n v="0"/>
    <m/>
    <m/>
    <n v="0"/>
    <m/>
    <n v="0"/>
    <n v="0"/>
    <m/>
  </r>
  <r>
    <n v="820"/>
    <s v=""/>
    <s v="0"/>
    <m/>
    <s v="0"/>
    <m/>
    <x v="4"/>
    <x v="8"/>
    <x v="4"/>
    <m/>
    <m/>
    <n v="0"/>
    <n v="0"/>
    <m/>
    <m/>
    <n v="0"/>
    <m/>
    <n v="0"/>
    <n v="0"/>
    <m/>
  </r>
  <r>
    <n v="821"/>
    <s v=""/>
    <s v="0"/>
    <m/>
    <s v="0"/>
    <m/>
    <x v="4"/>
    <x v="8"/>
    <x v="4"/>
    <m/>
    <m/>
    <n v="0"/>
    <n v="0"/>
    <m/>
    <m/>
    <n v="0"/>
    <m/>
    <n v="0"/>
    <n v="0"/>
    <m/>
  </r>
  <r>
    <n v="822"/>
    <s v=""/>
    <s v="0"/>
    <m/>
    <s v="0"/>
    <m/>
    <x v="4"/>
    <x v="8"/>
    <x v="4"/>
    <m/>
    <m/>
    <n v="0"/>
    <n v="0"/>
    <m/>
    <m/>
    <n v="0"/>
    <m/>
    <n v="0"/>
    <n v="0"/>
    <m/>
  </r>
  <r>
    <n v="823"/>
    <s v=""/>
    <s v="0"/>
    <m/>
    <s v="0"/>
    <m/>
    <x v="4"/>
    <x v="8"/>
    <x v="4"/>
    <m/>
    <m/>
    <n v="0"/>
    <n v="0"/>
    <m/>
    <m/>
    <n v="0"/>
    <m/>
    <n v="0"/>
    <n v="0"/>
    <m/>
  </r>
  <r>
    <n v="824"/>
    <s v=""/>
    <s v="0"/>
    <m/>
    <s v="0"/>
    <m/>
    <x v="4"/>
    <x v="8"/>
    <x v="4"/>
    <m/>
    <m/>
    <n v="0"/>
    <n v="0"/>
    <m/>
    <m/>
    <n v="0"/>
    <m/>
    <n v="0"/>
    <n v="0"/>
    <m/>
  </r>
  <r>
    <n v="825"/>
    <s v=""/>
    <s v="0"/>
    <m/>
    <s v="0"/>
    <m/>
    <x v="4"/>
    <x v="8"/>
    <x v="4"/>
    <m/>
    <m/>
    <n v="0"/>
    <n v="0"/>
    <m/>
    <m/>
    <n v="0"/>
    <m/>
    <n v="0"/>
    <n v="0"/>
    <m/>
  </r>
  <r>
    <n v="826"/>
    <s v=""/>
    <s v="0"/>
    <m/>
    <s v="0"/>
    <m/>
    <x v="4"/>
    <x v="8"/>
    <x v="4"/>
    <m/>
    <m/>
    <n v="0"/>
    <n v="0"/>
    <m/>
    <m/>
    <n v="0"/>
    <m/>
    <n v="0"/>
    <n v="0"/>
    <m/>
  </r>
  <r>
    <n v="827"/>
    <s v=""/>
    <s v="0"/>
    <m/>
    <s v="0"/>
    <m/>
    <x v="4"/>
    <x v="8"/>
    <x v="4"/>
    <m/>
    <m/>
    <n v="0"/>
    <n v="0"/>
    <m/>
    <m/>
    <n v="0"/>
    <m/>
    <n v="0"/>
    <n v="0"/>
    <m/>
  </r>
  <r>
    <n v="828"/>
    <s v=""/>
    <s v="0"/>
    <m/>
    <s v="0"/>
    <m/>
    <x v="4"/>
    <x v="8"/>
    <x v="4"/>
    <m/>
    <m/>
    <n v="0"/>
    <n v="0"/>
    <m/>
    <m/>
    <n v="0"/>
    <m/>
    <n v="0"/>
    <n v="0"/>
    <m/>
  </r>
  <r>
    <n v="829"/>
    <s v=""/>
    <s v="0"/>
    <m/>
    <s v="0"/>
    <m/>
    <x v="4"/>
    <x v="8"/>
    <x v="4"/>
    <m/>
    <m/>
    <n v="0"/>
    <n v="0"/>
    <m/>
    <m/>
    <n v="0"/>
    <m/>
    <n v="0"/>
    <n v="0"/>
    <m/>
  </r>
  <r>
    <n v="830"/>
    <s v=""/>
    <s v="0"/>
    <m/>
    <s v="0"/>
    <m/>
    <x v="4"/>
    <x v="8"/>
    <x v="4"/>
    <m/>
    <m/>
    <n v="0"/>
    <n v="0"/>
    <m/>
    <m/>
    <n v="0"/>
    <m/>
    <n v="0"/>
    <n v="0"/>
    <m/>
  </r>
  <r>
    <n v="831"/>
    <s v=""/>
    <s v="0"/>
    <m/>
    <s v="0"/>
    <m/>
    <x v="4"/>
    <x v="8"/>
    <x v="4"/>
    <m/>
    <m/>
    <n v="0"/>
    <n v="0"/>
    <m/>
    <m/>
    <n v="0"/>
    <m/>
    <n v="0"/>
    <n v="0"/>
    <m/>
  </r>
  <r>
    <n v="832"/>
    <s v=""/>
    <s v="0"/>
    <m/>
    <s v="0"/>
    <m/>
    <x v="4"/>
    <x v="8"/>
    <x v="4"/>
    <m/>
    <m/>
    <n v="0"/>
    <n v="0"/>
    <m/>
    <m/>
    <n v="0"/>
    <m/>
    <n v="0"/>
    <n v="0"/>
    <m/>
  </r>
  <r>
    <n v="833"/>
    <s v=""/>
    <s v="0"/>
    <m/>
    <s v="0"/>
    <m/>
    <x v="4"/>
    <x v="8"/>
    <x v="4"/>
    <m/>
    <m/>
    <n v="0"/>
    <n v="0"/>
    <m/>
    <m/>
    <n v="0"/>
    <m/>
    <n v="0"/>
    <n v="0"/>
    <m/>
  </r>
  <r>
    <n v="834"/>
    <s v=""/>
    <s v="0"/>
    <m/>
    <s v="0"/>
    <m/>
    <x v="4"/>
    <x v="8"/>
    <x v="4"/>
    <m/>
    <m/>
    <n v="0"/>
    <n v="0"/>
    <m/>
    <m/>
    <n v="0"/>
    <m/>
    <n v="0"/>
    <n v="0"/>
    <m/>
  </r>
  <r>
    <n v="835"/>
    <s v=""/>
    <s v="0"/>
    <m/>
    <s v="0"/>
    <m/>
    <x v="4"/>
    <x v="8"/>
    <x v="4"/>
    <m/>
    <m/>
    <n v="0"/>
    <n v="0"/>
    <m/>
    <m/>
    <n v="0"/>
    <m/>
    <n v="0"/>
    <n v="0"/>
    <m/>
  </r>
  <r>
    <n v="836"/>
    <s v=""/>
    <s v="0"/>
    <m/>
    <s v="0"/>
    <m/>
    <x v="4"/>
    <x v="8"/>
    <x v="4"/>
    <m/>
    <m/>
    <n v="0"/>
    <n v="0"/>
    <m/>
    <m/>
    <n v="0"/>
    <m/>
    <n v="0"/>
    <n v="0"/>
    <m/>
  </r>
  <r>
    <n v="837"/>
    <s v=""/>
    <s v="0"/>
    <m/>
    <s v="0"/>
    <m/>
    <x v="4"/>
    <x v="8"/>
    <x v="4"/>
    <m/>
    <m/>
    <n v="0"/>
    <n v="0"/>
    <m/>
    <m/>
    <n v="0"/>
    <m/>
    <n v="0"/>
    <n v="0"/>
    <m/>
  </r>
  <r>
    <n v="838"/>
    <s v=""/>
    <s v="0"/>
    <m/>
    <s v="0"/>
    <m/>
    <x v="4"/>
    <x v="8"/>
    <x v="4"/>
    <m/>
    <m/>
    <n v="0"/>
    <n v="0"/>
    <m/>
    <m/>
    <n v="0"/>
    <m/>
    <n v="0"/>
    <n v="0"/>
    <m/>
  </r>
  <r>
    <n v="839"/>
    <s v=""/>
    <s v="0"/>
    <m/>
    <s v="0"/>
    <m/>
    <x v="4"/>
    <x v="8"/>
    <x v="4"/>
    <m/>
    <m/>
    <n v="0"/>
    <n v="0"/>
    <m/>
    <m/>
    <n v="0"/>
    <m/>
    <n v="0"/>
    <n v="0"/>
    <m/>
  </r>
  <r>
    <n v="840"/>
    <s v=""/>
    <s v="0"/>
    <m/>
    <s v="0"/>
    <m/>
    <x v="4"/>
    <x v="8"/>
    <x v="4"/>
    <m/>
    <m/>
    <n v="0"/>
    <n v="0"/>
    <m/>
    <m/>
    <n v="0"/>
    <m/>
    <n v="0"/>
    <n v="0"/>
    <m/>
  </r>
  <r>
    <n v="841"/>
    <s v=""/>
    <s v="0"/>
    <m/>
    <s v="0"/>
    <m/>
    <x v="4"/>
    <x v="8"/>
    <x v="4"/>
    <m/>
    <m/>
    <n v="0"/>
    <n v="0"/>
    <m/>
    <m/>
    <n v="0"/>
    <m/>
    <n v="0"/>
    <n v="0"/>
    <m/>
  </r>
  <r>
    <n v="842"/>
    <s v=""/>
    <s v="0"/>
    <m/>
    <s v="0"/>
    <m/>
    <x v="4"/>
    <x v="8"/>
    <x v="4"/>
    <m/>
    <m/>
    <n v="0"/>
    <n v="0"/>
    <m/>
    <m/>
    <n v="0"/>
    <m/>
    <n v="0"/>
    <n v="0"/>
    <m/>
  </r>
  <r>
    <n v="843"/>
    <s v=""/>
    <s v="0"/>
    <m/>
    <s v="0"/>
    <m/>
    <x v="4"/>
    <x v="8"/>
    <x v="4"/>
    <m/>
    <m/>
    <n v="0"/>
    <n v="0"/>
    <m/>
    <m/>
    <n v="0"/>
    <m/>
    <n v="0"/>
    <n v="0"/>
    <m/>
  </r>
  <r>
    <n v="844"/>
    <s v=""/>
    <s v="0"/>
    <m/>
    <s v="0"/>
    <m/>
    <x v="4"/>
    <x v="8"/>
    <x v="4"/>
    <m/>
    <m/>
    <n v="0"/>
    <n v="0"/>
    <m/>
    <m/>
    <n v="0"/>
    <m/>
    <n v="0"/>
    <n v="0"/>
    <m/>
  </r>
  <r>
    <n v="845"/>
    <s v=""/>
    <s v="0"/>
    <m/>
    <s v="0"/>
    <m/>
    <x v="4"/>
    <x v="8"/>
    <x v="4"/>
    <m/>
    <m/>
    <n v="0"/>
    <n v="0"/>
    <m/>
    <m/>
    <n v="0"/>
    <m/>
    <n v="0"/>
    <n v="0"/>
    <m/>
  </r>
  <r>
    <n v="846"/>
    <s v=""/>
    <s v="0"/>
    <m/>
    <s v="0"/>
    <m/>
    <x v="4"/>
    <x v="8"/>
    <x v="4"/>
    <m/>
    <m/>
    <n v="0"/>
    <n v="0"/>
    <m/>
    <m/>
    <n v="0"/>
    <m/>
    <n v="0"/>
    <n v="0"/>
    <m/>
  </r>
  <r>
    <n v="847"/>
    <s v=""/>
    <s v="0"/>
    <m/>
    <s v="0"/>
    <m/>
    <x v="4"/>
    <x v="8"/>
    <x v="4"/>
    <m/>
    <m/>
    <n v="0"/>
    <n v="0"/>
    <m/>
    <m/>
    <n v="0"/>
    <m/>
    <n v="0"/>
    <n v="0"/>
    <m/>
  </r>
  <r>
    <n v="848"/>
    <s v=""/>
    <s v="0"/>
    <m/>
    <s v="0"/>
    <m/>
    <x v="4"/>
    <x v="8"/>
    <x v="4"/>
    <m/>
    <m/>
    <n v="0"/>
    <n v="0"/>
    <m/>
    <m/>
    <n v="0"/>
    <m/>
    <n v="0"/>
    <n v="0"/>
    <m/>
  </r>
  <r>
    <n v="849"/>
    <s v=""/>
    <s v="0"/>
    <m/>
    <s v="0"/>
    <m/>
    <x v="4"/>
    <x v="8"/>
    <x v="4"/>
    <m/>
    <m/>
    <n v="0"/>
    <n v="0"/>
    <m/>
    <m/>
    <n v="0"/>
    <m/>
    <n v="0"/>
    <n v="0"/>
    <m/>
  </r>
  <r>
    <n v="850"/>
    <s v=""/>
    <s v="0"/>
    <m/>
    <s v="0"/>
    <m/>
    <x v="4"/>
    <x v="8"/>
    <x v="4"/>
    <m/>
    <m/>
    <n v="0"/>
    <n v="0"/>
    <m/>
    <m/>
    <n v="0"/>
    <m/>
    <n v="0"/>
    <n v="0"/>
    <m/>
  </r>
  <r>
    <n v="851"/>
    <s v=""/>
    <s v="0"/>
    <m/>
    <s v="0"/>
    <m/>
    <x v="4"/>
    <x v="8"/>
    <x v="4"/>
    <m/>
    <m/>
    <n v="0"/>
    <n v="0"/>
    <m/>
    <m/>
    <n v="0"/>
    <m/>
    <n v="0"/>
    <n v="0"/>
    <m/>
  </r>
  <r>
    <n v="852"/>
    <s v=""/>
    <s v="0"/>
    <m/>
    <s v="0"/>
    <m/>
    <x v="4"/>
    <x v="8"/>
    <x v="4"/>
    <m/>
    <m/>
    <n v="0"/>
    <n v="0"/>
    <m/>
    <m/>
    <n v="0"/>
    <m/>
    <n v="0"/>
    <n v="0"/>
    <m/>
  </r>
  <r>
    <n v="853"/>
    <s v=""/>
    <s v="0"/>
    <m/>
    <s v="0"/>
    <m/>
    <x v="4"/>
    <x v="8"/>
    <x v="4"/>
    <m/>
    <m/>
    <n v="0"/>
    <n v="0"/>
    <m/>
    <m/>
    <n v="0"/>
    <m/>
    <n v="0"/>
    <n v="0"/>
    <m/>
  </r>
  <r>
    <n v="854"/>
    <s v=""/>
    <s v="0"/>
    <m/>
    <s v="0"/>
    <m/>
    <x v="4"/>
    <x v="8"/>
    <x v="4"/>
    <m/>
    <m/>
    <n v="0"/>
    <n v="0"/>
    <m/>
    <m/>
    <n v="0"/>
    <m/>
    <n v="0"/>
    <n v="0"/>
    <m/>
  </r>
  <r>
    <n v="855"/>
    <s v=""/>
    <s v="0"/>
    <m/>
    <s v="0"/>
    <m/>
    <x v="4"/>
    <x v="8"/>
    <x v="4"/>
    <m/>
    <m/>
    <n v="0"/>
    <n v="0"/>
    <m/>
    <m/>
    <n v="0"/>
    <m/>
    <n v="0"/>
    <n v="0"/>
    <m/>
  </r>
  <r>
    <n v="856"/>
    <s v=""/>
    <s v="0"/>
    <m/>
    <s v="0"/>
    <m/>
    <x v="4"/>
    <x v="8"/>
    <x v="4"/>
    <m/>
    <m/>
    <n v="0"/>
    <n v="0"/>
    <m/>
    <m/>
    <n v="0"/>
    <m/>
    <n v="0"/>
    <n v="0"/>
    <m/>
  </r>
  <r>
    <n v="857"/>
    <s v=""/>
    <s v="0"/>
    <m/>
    <s v="0"/>
    <m/>
    <x v="4"/>
    <x v="8"/>
    <x v="4"/>
    <m/>
    <m/>
    <n v="0"/>
    <n v="0"/>
    <m/>
    <m/>
    <n v="0"/>
    <m/>
    <n v="0"/>
    <n v="0"/>
    <m/>
  </r>
  <r>
    <n v="858"/>
    <s v=""/>
    <s v="0"/>
    <m/>
    <s v="0"/>
    <m/>
    <x v="4"/>
    <x v="8"/>
    <x v="4"/>
    <m/>
    <m/>
    <n v="0"/>
    <n v="0"/>
    <m/>
    <m/>
    <n v="0"/>
    <m/>
    <n v="0"/>
    <n v="0"/>
    <m/>
  </r>
  <r>
    <n v="859"/>
    <s v=""/>
    <s v="0"/>
    <m/>
    <s v="0"/>
    <m/>
    <x v="4"/>
    <x v="8"/>
    <x v="4"/>
    <m/>
    <m/>
    <n v="0"/>
    <n v="0"/>
    <m/>
    <m/>
    <n v="0"/>
    <m/>
    <n v="0"/>
    <n v="0"/>
    <m/>
  </r>
  <r>
    <n v="860"/>
    <s v=""/>
    <s v="0"/>
    <m/>
    <s v="0"/>
    <m/>
    <x v="4"/>
    <x v="8"/>
    <x v="4"/>
    <m/>
    <m/>
    <n v="0"/>
    <n v="0"/>
    <m/>
    <m/>
    <n v="0"/>
    <m/>
    <n v="0"/>
    <n v="0"/>
    <m/>
  </r>
  <r>
    <n v="861"/>
    <s v=""/>
    <s v="0"/>
    <m/>
    <s v="0"/>
    <m/>
    <x v="4"/>
    <x v="8"/>
    <x v="4"/>
    <m/>
    <m/>
    <n v="0"/>
    <n v="0"/>
    <m/>
    <m/>
    <n v="0"/>
    <m/>
    <n v="0"/>
    <n v="0"/>
    <m/>
  </r>
  <r>
    <n v="862"/>
    <s v=""/>
    <s v="0"/>
    <m/>
    <s v="0"/>
    <m/>
    <x v="4"/>
    <x v="8"/>
    <x v="4"/>
    <m/>
    <m/>
    <n v="0"/>
    <n v="0"/>
    <m/>
    <m/>
    <n v="0"/>
    <m/>
    <n v="0"/>
    <n v="0"/>
    <m/>
  </r>
  <r>
    <n v="863"/>
    <s v=""/>
    <s v="0"/>
    <m/>
    <s v="0"/>
    <m/>
    <x v="4"/>
    <x v="8"/>
    <x v="4"/>
    <m/>
    <m/>
    <n v="0"/>
    <n v="0"/>
    <m/>
    <m/>
    <n v="0"/>
    <m/>
    <n v="0"/>
    <n v="0"/>
    <m/>
  </r>
  <r>
    <n v="864"/>
    <s v=""/>
    <s v="0"/>
    <m/>
    <s v="0"/>
    <m/>
    <x v="4"/>
    <x v="8"/>
    <x v="4"/>
    <m/>
    <m/>
    <n v="0"/>
    <n v="0"/>
    <m/>
    <m/>
    <n v="0"/>
    <m/>
    <n v="0"/>
    <n v="0"/>
    <m/>
  </r>
  <r>
    <n v="865"/>
    <s v=""/>
    <s v="0"/>
    <m/>
    <s v="0"/>
    <m/>
    <x v="4"/>
    <x v="8"/>
    <x v="4"/>
    <m/>
    <m/>
    <n v="0"/>
    <n v="0"/>
    <m/>
    <m/>
    <n v="0"/>
    <m/>
    <n v="0"/>
    <n v="0"/>
    <m/>
  </r>
  <r>
    <n v="866"/>
    <s v=""/>
    <s v="0"/>
    <m/>
    <s v="0"/>
    <m/>
    <x v="4"/>
    <x v="8"/>
    <x v="4"/>
    <m/>
    <m/>
    <n v="0"/>
    <n v="0"/>
    <m/>
    <m/>
    <n v="0"/>
    <m/>
    <n v="0"/>
    <n v="0"/>
    <m/>
  </r>
  <r>
    <n v="867"/>
    <s v=""/>
    <s v="0"/>
    <m/>
    <s v="0"/>
    <m/>
    <x v="4"/>
    <x v="8"/>
    <x v="4"/>
    <m/>
    <m/>
    <n v="0"/>
    <n v="0"/>
    <m/>
    <m/>
    <n v="0"/>
    <m/>
    <n v="0"/>
    <n v="0"/>
    <m/>
  </r>
  <r>
    <n v="868"/>
    <s v=""/>
    <s v="0"/>
    <m/>
    <s v="0"/>
    <m/>
    <x v="4"/>
    <x v="8"/>
    <x v="4"/>
    <m/>
    <m/>
    <n v="0"/>
    <n v="0"/>
    <m/>
    <m/>
    <n v="0"/>
    <m/>
    <n v="0"/>
    <n v="0"/>
    <m/>
  </r>
  <r>
    <n v="869"/>
    <s v=""/>
    <s v="0"/>
    <m/>
    <s v="0"/>
    <m/>
    <x v="4"/>
    <x v="8"/>
    <x v="4"/>
    <m/>
    <m/>
    <n v="0"/>
    <n v="0"/>
    <m/>
    <m/>
    <n v="0"/>
    <m/>
    <n v="0"/>
    <n v="0"/>
    <m/>
  </r>
  <r>
    <n v="870"/>
    <s v=""/>
    <s v="0"/>
    <m/>
    <s v="0"/>
    <m/>
    <x v="4"/>
    <x v="8"/>
    <x v="4"/>
    <m/>
    <m/>
    <n v="0"/>
    <n v="0"/>
    <m/>
    <m/>
    <n v="0"/>
    <m/>
    <n v="0"/>
    <n v="0"/>
    <m/>
  </r>
  <r>
    <n v="871"/>
    <s v=""/>
    <s v="0"/>
    <m/>
    <s v="0"/>
    <m/>
    <x v="4"/>
    <x v="8"/>
    <x v="4"/>
    <m/>
    <m/>
    <n v="0"/>
    <n v="0"/>
    <m/>
    <m/>
    <n v="0"/>
    <m/>
    <n v="0"/>
    <n v="0"/>
    <m/>
  </r>
  <r>
    <n v="872"/>
    <s v=""/>
    <s v="0"/>
    <m/>
    <s v="0"/>
    <m/>
    <x v="4"/>
    <x v="8"/>
    <x v="4"/>
    <m/>
    <m/>
    <n v="0"/>
    <n v="0"/>
    <m/>
    <m/>
    <n v="0"/>
    <m/>
    <n v="0"/>
    <n v="0"/>
    <m/>
  </r>
  <r>
    <n v="873"/>
    <s v=""/>
    <s v="0"/>
    <m/>
    <s v="0"/>
    <m/>
    <x v="4"/>
    <x v="8"/>
    <x v="4"/>
    <m/>
    <m/>
    <n v="0"/>
    <n v="0"/>
    <m/>
    <m/>
    <n v="0"/>
    <m/>
    <n v="0"/>
    <n v="0"/>
    <m/>
  </r>
  <r>
    <n v="874"/>
    <s v=""/>
    <s v="0"/>
    <m/>
    <s v="0"/>
    <m/>
    <x v="4"/>
    <x v="8"/>
    <x v="4"/>
    <m/>
    <m/>
    <n v="0"/>
    <n v="0"/>
    <m/>
    <m/>
    <n v="0"/>
    <m/>
    <n v="0"/>
    <n v="0"/>
    <m/>
  </r>
  <r>
    <n v="875"/>
    <s v=""/>
    <s v="0"/>
    <m/>
    <s v="0"/>
    <m/>
    <x v="4"/>
    <x v="8"/>
    <x v="4"/>
    <m/>
    <m/>
    <n v="0"/>
    <n v="0"/>
    <m/>
    <m/>
    <n v="0"/>
    <m/>
    <n v="0"/>
    <n v="0"/>
    <m/>
  </r>
  <r>
    <n v="876"/>
    <s v=""/>
    <s v="0"/>
    <m/>
    <s v="0"/>
    <m/>
    <x v="4"/>
    <x v="8"/>
    <x v="4"/>
    <m/>
    <m/>
    <n v="0"/>
    <n v="0"/>
    <m/>
    <m/>
    <n v="0"/>
    <m/>
    <n v="0"/>
    <n v="0"/>
    <m/>
  </r>
  <r>
    <n v="877"/>
    <s v=""/>
    <s v="0"/>
    <m/>
    <s v="0"/>
    <m/>
    <x v="4"/>
    <x v="8"/>
    <x v="4"/>
    <m/>
    <m/>
    <n v="0"/>
    <n v="0"/>
    <m/>
    <m/>
    <n v="0"/>
    <m/>
    <n v="0"/>
    <n v="0"/>
    <m/>
  </r>
  <r>
    <n v="878"/>
    <s v=""/>
    <s v="0"/>
    <m/>
    <s v="0"/>
    <m/>
    <x v="4"/>
    <x v="8"/>
    <x v="4"/>
    <m/>
    <m/>
    <n v="0"/>
    <n v="0"/>
    <m/>
    <m/>
    <n v="0"/>
    <m/>
    <n v="0"/>
    <n v="0"/>
    <m/>
  </r>
  <r>
    <n v="879"/>
    <s v=""/>
    <s v="0"/>
    <m/>
    <s v="0"/>
    <m/>
    <x v="4"/>
    <x v="8"/>
    <x v="4"/>
    <m/>
    <m/>
    <n v="0"/>
    <n v="0"/>
    <m/>
    <m/>
    <n v="0"/>
    <m/>
    <n v="0"/>
    <n v="0"/>
    <m/>
  </r>
  <r>
    <n v="880"/>
    <s v=""/>
    <s v="0"/>
    <m/>
    <s v="0"/>
    <m/>
    <x v="4"/>
    <x v="8"/>
    <x v="4"/>
    <m/>
    <m/>
    <n v="0"/>
    <n v="0"/>
    <m/>
    <m/>
    <n v="0"/>
    <m/>
    <n v="0"/>
    <n v="0"/>
    <m/>
  </r>
  <r>
    <n v="881"/>
    <s v=""/>
    <s v="0"/>
    <m/>
    <s v="0"/>
    <m/>
    <x v="4"/>
    <x v="8"/>
    <x v="4"/>
    <m/>
    <m/>
    <n v="0"/>
    <n v="0"/>
    <m/>
    <m/>
    <n v="0"/>
    <m/>
    <n v="0"/>
    <n v="0"/>
    <m/>
  </r>
  <r>
    <n v="882"/>
    <s v=""/>
    <s v="0"/>
    <m/>
    <s v="0"/>
    <m/>
    <x v="4"/>
    <x v="8"/>
    <x v="4"/>
    <m/>
    <m/>
    <n v="0"/>
    <n v="0"/>
    <m/>
    <m/>
    <n v="0"/>
    <m/>
    <n v="0"/>
    <n v="0"/>
    <m/>
  </r>
  <r>
    <n v="883"/>
    <s v=""/>
    <s v="0"/>
    <m/>
    <s v="0"/>
    <m/>
    <x v="4"/>
    <x v="8"/>
    <x v="4"/>
    <m/>
    <m/>
    <n v="0"/>
    <n v="0"/>
    <m/>
    <m/>
    <n v="0"/>
    <m/>
    <n v="0"/>
    <n v="0"/>
    <m/>
  </r>
  <r>
    <n v="884"/>
    <s v=""/>
    <s v="0"/>
    <m/>
    <s v="0"/>
    <m/>
    <x v="4"/>
    <x v="8"/>
    <x v="4"/>
    <m/>
    <m/>
    <n v="0"/>
    <n v="0"/>
    <m/>
    <m/>
    <n v="0"/>
    <m/>
    <n v="0"/>
    <n v="0"/>
    <m/>
  </r>
  <r>
    <n v="885"/>
    <s v=""/>
    <s v="0"/>
    <m/>
    <s v="0"/>
    <m/>
    <x v="4"/>
    <x v="8"/>
    <x v="4"/>
    <m/>
    <m/>
    <n v="0"/>
    <n v="0"/>
    <m/>
    <m/>
    <n v="0"/>
    <m/>
    <n v="0"/>
    <n v="0"/>
    <m/>
  </r>
  <r>
    <n v="886"/>
    <s v=""/>
    <s v="0"/>
    <m/>
    <s v="0"/>
    <m/>
    <x v="4"/>
    <x v="8"/>
    <x v="4"/>
    <m/>
    <m/>
    <n v="0"/>
    <n v="0"/>
    <m/>
    <m/>
    <n v="0"/>
    <m/>
    <n v="0"/>
    <n v="0"/>
    <m/>
  </r>
  <r>
    <n v="887"/>
    <s v=""/>
    <s v="0"/>
    <m/>
    <s v="0"/>
    <m/>
    <x v="4"/>
    <x v="8"/>
    <x v="4"/>
    <m/>
    <m/>
    <n v="0"/>
    <n v="0"/>
    <m/>
    <m/>
    <n v="0"/>
    <m/>
    <n v="0"/>
    <n v="0"/>
    <m/>
  </r>
  <r>
    <n v="888"/>
    <s v=""/>
    <s v="0"/>
    <m/>
    <s v="0"/>
    <m/>
    <x v="4"/>
    <x v="8"/>
    <x v="4"/>
    <m/>
    <m/>
    <n v="0"/>
    <n v="0"/>
    <m/>
    <m/>
    <n v="0"/>
    <m/>
    <n v="0"/>
    <n v="0"/>
    <m/>
  </r>
  <r>
    <n v="889"/>
    <s v=""/>
    <s v="0"/>
    <m/>
    <s v="0"/>
    <m/>
    <x v="4"/>
    <x v="8"/>
    <x v="4"/>
    <m/>
    <m/>
    <n v="0"/>
    <n v="0"/>
    <m/>
    <m/>
    <n v="0"/>
    <m/>
    <n v="0"/>
    <n v="0"/>
    <m/>
  </r>
  <r>
    <n v="890"/>
    <s v=""/>
    <s v="0"/>
    <m/>
    <s v="0"/>
    <m/>
    <x v="4"/>
    <x v="8"/>
    <x v="4"/>
    <m/>
    <m/>
    <n v="0"/>
    <n v="0"/>
    <m/>
    <m/>
    <n v="0"/>
    <m/>
    <n v="0"/>
    <n v="0"/>
    <m/>
  </r>
  <r>
    <n v="891"/>
    <s v=""/>
    <s v="0"/>
    <m/>
    <s v="0"/>
    <m/>
    <x v="4"/>
    <x v="8"/>
    <x v="4"/>
    <m/>
    <m/>
    <n v="0"/>
    <n v="0"/>
    <m/>
    <m/>
    <n v="0"/>
    <m/>
    <n v="0"/>
    <n v="0"/>
    <m/>
  </r>
  <r>
    <n v="892"/>
    <s v=""/>
    <s v="0"/>
    <m/>
    <s v="0"/>
    <m/>
    <x v="4"/>
    <x v="8"/>
    <x v="4"/>
    <m/>
    <m/>
    <n v="0"/>
    <n v="0"/>
    <m/>
    <m/>
    <n v="0"/>
    <m/>
    <n v="0"/>
    <n v="0"/>
    <m/>
  </r>
  <r>
    <n v="893"/>
    <s v=""/>
    <s v="0"/>
    <m/>
    <s v="0"/>
    <m/>
    <x v="4"/>
    <x v="8"/>
    <x v="4"/>
    <m/>
    <m/>
    <n v="0"/>
    <n v="0"/>
    <m/>
    <m/>
    <n v="0"/>
    <m/>
    <n v="0"/>
    <n v="0"/>
    <m/>
  </r>
  <r>
    <n v="894"/>
    <s v=""/>
    <s v="0"/>
    <m/>
    <s v="0"/>
    <m/>
    <x v="4"/>
    <x v="8"/>
    <x v="4"/>
    <m/>
    <m/>
    <n v="0"/>
    <n v="0"/>
    <m/>
    <m/>
    <n v="0"/>
    <m/>
    <n v="0"/>
    <n v="0"/>
    <m/>
  </r>
  <r>
    <n v="895"/>
    <s v=""/>
    <s v="0"/>
    <m/>
    <s v="0"/>
    <m/>
    <x v="4"/>
    <x v="8"/>
    <x v="4"/>
    <m/>
    <m/>
    <n v="0"/>
    <n v="0"/>
    <m/>
    <m/>
    <n v="0"/>
    <m/>
    <n v="0"/>
    <n v="0"/>
    <m/>
  </r>
  <r>
    <n v="896"/>
    <s v=""/>
    <s v="0"/>
    <m/>
    <s v="0"/>
    <m/>
    <x v="4"/>
    <x v="8"/>
    <x v="4"/>
    <m/>
    <m/>
    <n v="0"/>
    <n v="0"/>
    <m/>
    <m/>
    <n v="0"/>
    <m/>
    <n v="0"/>
    <n v="0"/>
    <m/>
  </r>
  <r>
    <n v="897"/>
    <s v=""/>
    <s v="0"/>
    <m/>
    <s v="0"/>
    <m/>
    <x v="4"/>
    <x v="8"/>
    <x v="4"/>
    <m/>
    <m/>
    <n v="0"/>
    <n v="0"/>
    <m/>
    <m/>
    <n v="0"/>
    <m/>
    <n v="0"/>
    <n v="0"/>
    <m/>
  </r>
  <r>
    <n v="898"/>
    <s v=""/>
    <s v="0"/>
    <m/>
    <s v="0"/>
    <m/>
    <x v="4"/>
    <x v="8"/>
    <x v="4"/>
    <m/>
    <m/>
    <n v="0"/>
    <n v="0"/>
    <m/>
    <m/>
    <n v="0"/>
    <m/>
    <n v="0"/>
    <n v="0"/>
    <m/>
  </r>
  <r>
    <n v="899"/>
    <s v=""/>
    <s v="0"/>
    <m/>
    <s v="0"/>
    <m/>
    <x v="4"/>
    <x v="8"/>
    <x v="4"/>
    <m/>
    <m/>
    <n v="0"/>
    <n v="0"/>
    <m/>
    <m/>
    <n v="0"/>
    <m/>
    <n v="0"/>
    <n v="0"/>
    <m/>
  </r>
  <r>
    <n v="900"/>
    <s v=""/>
    <s v="0"/>
    <m/>
    <s v="0"/>
    <m/>
    <x v="4"/>
    <x v="8"/>
    <x v="4"/>
    <m/>
    <m/>
    <n v="0"/>
    <n v="0"/>
    <m/>
    <m/>
    <n v="0"/>
    <m/>
    <n v="0"/>
    <n v="0"/>
    <m/>
  </r>
  <r>
    <n v="901"/>
    <s v=""/>
    <s v="0"/>
    <m/>
    <s v="0"/>
    <m/>
    <x v="4"/>
    <x v="8"/>
    <x v="4"/>
    <m/>
    <m/>
    <n v="0"/>
    <n v="0"/>
    <m/>
    <m/>
    <n v="0"/>
    <m/>
    <n v="0"/>
    <n v="0"/>
    <m/>
  </r>
  <r>
    <n v="902"/>
    <s v=""/>
    <s v="0"/>
    <m/>
    <s v="0"/>
    <m/>
    <x v="4"/>
    <x v="8"/>
    <x v="4"/>
    <m/>
    <m/>
    <n v="0"/>
    <n v="0"/>
    <m/>
    <m/>
    <n v="0"/>
    <m/>
    <n v="0"/>
    <n v="0"/>
    <m/>
  </r>
  <r>
    <n v="903"/>
    <s v=""/>
    <s v="0"/>
    <m/>
    <s v="0"/>
    <m/>
    <x v="4"/>
    <x v="8"/>
    <x v="4"/>
    <m/>
    <m/>
    <n v="0"/>
    <n v="0"/>
    <m/>
    <m/>
    <n v="0"/>
    <m/>
    <n v="0"/>
    <n v="0"/>
    <m/>
  </r>
  <r>
    <n v="904"/>
    <s v=""/>
    <s v="0"/>
    <m/>
    <s v="0"/>
    <m/>
    <x v="4"/>
    <x v="8"/>
    <x v="4"/>
    <m/>
    <m/>
    <n v="0"/>
    <n v="0"/>
    <m/>
    <m/>
    <n v="0"/>
    <m/>
    <n v="0"/>
    <n v="0"/>
    <m/>
  </r>
  <r>
    <n v="905"/>
    <s v=""/>
    <s v="0"/>
    <m/>
    <s v="0"/>
    <m/>
    <x v="4"/>
    <x v="8"/>
    <x v="4"/>
    <m/>
    <m/>
    <n v="0"/>
    <n v="0"/>
    <m/>
    <m/>
    <n v="0"/>
    <m/>
    <n v="0"/>
    <n v="0"/>
    <m/>
  </r>
  <r>
    <n v="906"/>
    <s v=""/>
    <s v="0"/>
    <m/>
    <s v="0"/>
    <m/>
    <x v="4"/>
    <x v="8"/>
    <x v="4"/>
    <m/>
    <m/>
    <n v="0"/>
    <n v="0"/>
    <m/>
    <m/>
    <n v="0"/>
    <m/>
    <n v="0"/>
    <n v="0"/>
    <m/>
  </r>
  <r>
    <n v="907"/>
    <s v=""/>
    <s v="0"/>
    <m/>
    <s v="0"/>
    <m/>
    <x v="4"/>
    <x v="8"/>
    <x v="4"/>
    <m/>
    <m/>
    <n v="0"/>
    <n v="0"/>
    <m/>
    <m/>
    <n v="0"/>
    <m/>
    <n v="0"/>
    <n v="0"/>
    <m/>
  </r>
  <r>
    <n v="908"/>
    <s v=""/>
    <s v="0"/>
    <m/>
    <s v="0"/>
    <m/>
    <x v="4"/>
    <x v="8"/>
    <x v="4"/>
    <m/>
    <m/>
    <n v="0"/>
    <n v="0"/>
    <m/>
    <m/>
    <n v="0"/>
    <m/>
    <n v="0"/>
    <n v="0"/>
    <m/>
  </r>
  <r>
    <n v="909"/>
    <s v=""/>
    <s v="0"/>
    <m/>
    <s v="0"/>
    <m/>
    <x v="4"/>
    <x v="8"/>
    <x v="4"/>
    <m/>
    <m/>
    <n v="0"/>
    <n v="0"/>
    <m/>
    <m/>
    <n v="0"/>
    <m/>
    <n v="0"/>
    <n v="0"/>
    <m/>
  </r>
  <r>
    <n v="910"/>
    <s v=""/>
    <s v="0"/>
    <m/>
    <s v="0"/>
    <m/>
    <x v="4"/>
    <x v="8"/>
    <x v="4"/>
    <m/>
    <m/>
    <n v="0"/>
    <n v="0"/>
    <m/>
    <m/>
    <n v="0"/>
    <m/>
    <n v="0"/>
    <n v="0"/>
    <m/>
  </r>
  <r>
    <n v="911"/>
    <s v=""/>
    <s v="0"/>
    <m/>
    <s v="0"/>
    <m/>
    <x v="4"/>
    <x v="8"/>
    <x v="4"/>
    <m/>
    <m/>
    <n v="0"/>
    <n v="0"/>
    <m/>
    <m/>
    <n v="0"/>
    <m/>
    <n v="0"/>
    <n v="0"/>
    <m/>
  </r>
  <r>
    <n v="912"/>
    <s v=""/>
    <s v="0"/>
    <m/>
    <s v="0"/>
    <m/>
    <x v="4"/>
    <x v="8"/>
    <x v="4"/>
    <m/>
    <m/>
    <n v="0"/>
    <n v="0"/>
    <m/>
    <m/>
    <n v="0"/>
    <m/>
    <n v="0"/>
    <n v="0"/>
    <m/>
  </r>
  <r>
    <n v="913"/>
    <s v=""/>
    <s v="0"/>
    <m/>
    <s v="0"/>
    <m/>
    <x v="4"/>
    <x v="8"/>
    <x v="4"/>
    <m/>
    <m/>
    <n v="0"/>
    <n v="0"/>
    <m/>
    <m/>
    <n v="0"/>
    <m/>
    <n v="0"/>
    <n v="0"/>
    <m/>
  </r>
  <r>
    <n v="914"/>
    <s v=""/>
    <s v="0"/>
    <m/>
    <s v="0"/>
    <m/>
    <x v="4"/>
    <x v="8"/>
    <x v="4"/>
    <m/>
    <m/>
    <n v="0"/>
    <n v="0"/>
    <m/>
    <m/>
    <n v="0"/>
    <m/>
    <n v="0"/>
    <n v="0"/>
    <m/>
  </r>
  <r>
    <n v="915"/>
    <s v=""/>
    <s v="0"/>
    <m/>
    <s v="0"/>
    <m/>
    <x v="4"/>
    <x v="8"/>
    <x v="4"/>
    <m/>
    <m/>
    <n v="0"/>
    <n v="0"/>
    <m/>
    <m/>
    <n v="0"/>
    <m/>
    <n v="0"/>
    <n v="0"/>
    <m/>
  </r>
  <r>
    <n v="916"/>
    <s v=""/>
    <s v="0"/>
    <m/>
    <s v="0"/>
    <m/>
    <x v="4"/>
    <x v="8"/>
    <x v="4"/>
    <m/>
    <m/>
    <n v="0"/>
    <n v="0"/>
    <m/>
    <m/>
    <n v="0"/>
    <m/>
    <n v="0"/>
    <n v="0"/>
    <m/>
  </r>
  <r>
    <n v="917"/>
    <s v=""/>
    <s v="0"/>
    <m/>
    <s v="0"/>
    <m/>
    <x v="4"/>
    <x v="8"/>
    <x v="4"/>
    <m/>
    <m/>
    <n v="0"/>
    <n v="0"/>
    <m/>
    <m/>
    <n v="0"/>
    <m/>
    <n v="0"/>
    <n v="0"/>
    <m/>
  </r>
  <r>
    <n v="918"/>
    <s v=""/>
    <s v="0"/>
    <m/>
    <s v="0"/>
    <m/>
    <x v="4"/>
    <x v="8"/>
    <x v="4"/>
    <m/>
    <m/>
    <n v="0"/>
    <n v="0"/>
    <m/>
    <m/>
    <n v="0"/>
    <m/>
    <n v="0"/>
    <n v="0"/>
    <m/>
  </r>
  <r>
    <n v="919"/>
    <s v=""/>
    <s v="0"/>
    <m/>
    <s v="0"/>
    <m/>
    <x v="4"/>
    <x v="8"/>
    <x v="4"/>
    <m/>
    <m/>
    <n v="0"/>
    <n v="0"/>
    <m/>
    <m/>
    <n v="0"/>
    <m/>
    <n v="0"/>
    <n v="0"/>
    <m/>
  </r>
  <r>
    <n v="920"/>
    <s v=""/>
    <s v="0"/>
    <m/>
    <s v="0"/>
    <m/>
    <x v="4"/>
    <x v="8"/>
    <x v="4"/>
    <m/>
    <m/>
    <n v="0"/>
    <n v="0"/>
    <m/>
    <m/>
    <n v="0"/>
    <m/>
    <n v="0"/>
    <n v="0"/>
    <m/>
  </r>
  <r>
    <n v="921"/>
    <s v=""/>
    <s v="0"/>
    <m/>
    <s v="0"/>
    <m/>
    <x v="4"/>
    <x v="8"/>
    <x v="4"/>
    <m/>
    <m/>
    <n v="0"/>
    <n v="0"/>
    <m/>
    <m/>
    <n v="0"/>
    <m/>
    <n v="0"/>
    <n v="0"/>
    <m/>
  </r>
  <r>
    <n v="922"/>
    <s v=""/>
    <s v="0"/>
    <m/>
    <s v="0"/>
    <m/>
    <x v="4"/>
    <x v="8"/>
    <x v="4"/>
    <m/>
    <m/>
    <n v="0"/>
    <n v="0"/>
    <m/>
    <m/>
    <n v="0"/>
    <m/>
    <n v="0"/>
    <n v="0"/>
    <m/>
  </r>
  <r>
    <n v="923"/>
    <s v=""/>
    <s v="0"/>
    <m/>
    <s v="0"/>
    <m/>
    <x v="4"/>
    <x v="8"/>
    <x v="4"/>
    <m/>
    <m/>
    <n v="0"/>
    <n v="0"/>
    <m/>
    <m/>
    <n v="0"/>
    <m/>
    <n v="0"/>
    <n v="0"/>
    <m/>
  </r>
  <r>
    <n v="924"/>
    <s v=""/>
    <s v="0"/>
    <m/>
    <s v="0"/>
    <m/>
    <x v="4"/>
    <x v="8"/>
    <x v="4"/>
    <m/>
    <m/>
    <n v="0"/>
    <n v="0"/>
    <m/>
    <m/>
    <n v="0"/>
    <m/>
    <n v="0"/>
    <n v="0"/>
    <m/>
  </r>
  <r>
    <n v="925"/>
    <s v=""/>
    <s v="0"/>
    <m/>
    <s v="0"/>
    <m/>
    <x v="4"/>
    <x v="8"/>
    <x v="4"/>
    <m/>
    <m/>
    <n v="0"/>
    <n v="0"/>
    <m/>
    <m/>
    <n v="0"/>
    <m/>
    <n v="0"/>
    <n v="0"/>
    <m/>
  </r>
  <r>
    <n v="926"/>
    <s v=""/>
    <s v="0"/>
    <m/>
    <s v="0"/>
    <m/>
    <x v="4"/>
    <x v="8"/>
    <x v="4"/>
    <m/>
    <m/>
    <n v="0"/>
    <n v="0"/>
    <m/>
    <m/>
    <n v="0"/>
    <m/>
    <n v="0"/>
    <n v="0"/>
    <m/>
  </r>
  <r>
    <n v="927"/>
    <s v=""/>
    <s v="0"/>
    <m/>
    <s v="0"/>
    <m/>
    <x v="4"/>
    <x v="8"/>
    <x v="4"/>
    <m/>
    <m/>
    <n v="0"/>
    <n v="0"/>
    <m/>
    <m/>
    <n v="0"/>
    <m/>
    <n v="0"/>
    <n v="0"/>
    <m/>
  </r>
  <r>
    <n v="928"/>
    <s v=""/>
    <s v="0"/>
    <m/>
    <s v="0"/>
    <m/>
    <x v="4"/>
    <x v="8"/>
    <x v="4"/>
    <m/>
    <m/>
    <n v="0"/>
    <n v="0"/>
    <m/>
    <m/>
    <n v="0"/>
    <m/>
    <n v="0"/>
    <n v="0"/>
    <m/>
  </r>
  <r>
    <n v="929"/>
    <s v=""/>
    <s v="0"/>
    <m/>
    <s v="0"/>
    <m/>
    <x v="4"/>
    <x v="8"/>
    <x v="4"/>
    <m/>
    <m/>
    <n v="0"/>
    <n v="0"/>
    <m/>
    <m/>
    <n v="0"/>
    <m/>
    <n v="0"/>
    <n v="0"/>
    <m/>
  </r>
  <r>
    <n v="930"/>
    <s v=""/>
    <s v="0"/>
    <m/>
    <s v="0"/>
    <m/>
    <x v="4"/>
    <x v="8"/>
    <x v="4"/>
    <m/>
    <m/>
    <n v="0"/>
    <n v="0"/>
    <m/>
    <m/>
    <n v="0"/>
    <m/>
    <n v="0"/>
    <n v="0"/>
    <m/>
  </r>
  <r>
    <n v="931"/>
    <s v=""/>
    <s v="0"/>
    <m/>
    <s v="0"/>
    <m/>
    <x v="4"/>
    <x v="8"/>
    <x v="4"/>
    <m/>
    <m/>
    <n v="0"/>
    <n v="0"/>
    <m/>
    <m/>
    <n v="0"/>
    <m/>
    <n v="0"/>
    <n v="0"/>
    <m/>
  </r>
  <r>
    <n v="932"/>
    <s v=""/>
    <s v="0"/>
    <m/>
    <s v="0"/>
    <m/>
    <x v="4"/>
    <x v="8"/>
    <x v="4"/>
    <m/>
    <m/>
    <n v="0"/>
    <n v="0"/>
    <m/>
    <m/>
    <n v="0"/>
    <m/>
    <n v="0"/>
    <n v="0"/>
    <m/>
  </r>
  <r>
    <n v="933"/>
    <s v=""/>
    <s v="0"/>
    <m/>
    <s v="0"/>
    <m/>
    <x v="4"/>
    <x v="8"/>
    <x v="4"/>
    <m/>
    <m/>
    <n v="0"/>
    <n v="0"/>
    <m/>
    <m/>
    <n v="0"/>
    <m/>
    <n v="0"/>
    <n v="0"/>
    <m/>
  </r>
  <r>
    <n v="934"/>
    <s v=""/>
    <s v="0"/>
    <m/>
    <s v="0"/>
    <m/>
    <x v="4"/>
    <x v="8"/>
    <x v="4"/>
    <m/>
    <m/>
    <n v="0"/>
    <n v="0"/>
    <m/>
    <m/>
    <n v="0"/>
    <m/>
    <n v="0"/>
    <n v="0"/>
    <m/>
  </r>
  <r>
    <n v="935"/>
    <s v=""/>
    <s v="0"/>
    <m/>
    <s v="0"/>
    <m/>
    <x v="4"/>
    <x v="8"/>
    <x v="4"/>
    <m/>
    <m/>
    <n v="0"/>
    <n v="0"/>
    <m/>
    <m/>
    <n v="0"/>
    <m/>
    <n v="0"/>
    <n v="0"/>
    <m/>
  </r>
  <r>
    <n v="936"/>
    <s v=""/>
    <s v="0"/>
    <m/>
    <s v="0"/>
    <m/>
    <x v="4"/>
    <x v="8"/>
    <x v="4"/>
    <m/>
    <m/>
    <n v="0"/>
    <n v="0"/>
    <m/>
    <m/>
    <n v="0"/>
    <m/>
    <n v="0"/>
    <n v="0"/>
    <m/>
  </r>
  <r>
    <n v="937"/>
    <s v=""/>
    <s v="0"/>
    <m/>
    <s v="0"/>
    <m/>
    <x v="4"/>
    <x v="8"/>
    <x v="4"/>
    <m/>
    <m/>
    <n v="0"/>
    <n v="0"/>
    <m/>
    <m/>
    <n v="0"/>
    <m/>
    <n v="0"/>
    <n v="0"/>
    <m/>
  </r>
  <r>
    <n v="938"/>
    <s v=""/>
    <s v="0"/>
    <m/>
    <s v="0"/>
    <m/>
    <x v="4"/>
    <x v="8"/>
    <x v="4"/>
    <m/>
    <m/>
    <n v="0"/>
    <n v="0"/>
    <m/>
    <m/>
    <n v="0"/>
    <m/>
    <n v="0"/>
    <n v="0"/>
    <m/>
  </r>
  <r>
    <n v="939"/>
    <s v=""/>
    <s v="0"/>
    <m/>
    <s v="0"/>
    <m/>
    <x v="4"/>
    <x v="8"/>
    <x v="4"/>
    <m/>
    <m/>
    <n v="0"/>
    <n v="0"/>
    <m/>
    <m/>
    <n v="0"/>
    <m/>
    <n v="0"/>
    <n v="0"/>
    <m/>
  </r>
  <r>
    <n v="940"/>
    <s v=""/>
    <s v="0"/>
    <m/>
    <s v="0"/>
    <m/>
    <x v="4"/>
    <x v="8"/>
    <x v="4"/>
    <m/>
    <m/>
    <n v="0"/>
    <n v="0"/>
    <m/>
    <m/>
    <n v="0"/>
    <m/>
    <n v="0"/>
    <n v="0"/>
    <m/>
  </r>
  <r>
    <n v="941"/>
    <s v=""/>
    <s v="0"/>
    <m/>
    <s v="0"/>
    <m/>
    <x v="4"/>
    <x v="8"/>
    <x v="4"/>
    <m/>
    <m/>
    <n v="0"/>
    <n v="0"/>
    <m/>
    <m/>
    <n v="0"/>
    <m/>
    <n v="0"/>
    <n v="0"/>
    <m/>
  </r>
  <r>
    <n v="942"/>
    <s v=""/>
    <s v="0"/>
    <m/>
    <s v="0"/>
    <m/>
    <x v="4"/>
    <x v="8"/>
    <x v="4"/>
    <m/>
    <m/>
    <n v="0"/>
    <n v="0"/>
    <m/>
    <m/>
    <n v="0"/>
    <m/>
    <n v="0"/>
    <n v="0"/>
    <m/>
  </r>
  <r>
    <n v="943"/>
    <s v=""/>
    <s v="0"/>
    <m/>
    <s v="0"/>
    <m/>
    <x v="4"/>
    <x v="8"/>
    <x v="4"/>
    <m/>
    <m/>
    <n v="0"/>
    <n v="0"/>
    <m/>
    <m/>
    <n v="0"/>
    <m/>
    <n v="0"/>
    <n v="0"/>
    <m/>
  </r>
  <r>
    <n v="944"/>
    <s v=""/>
    <s v="0"/>
    <m/>
    <s v="0"/>
    <m/>
    <x v="4"/>
    <x v="8"/>
    <x v="4"/>
    <m/>
    <m/>
    <n v="0"/>
    <n v="0"/>
    <m/>
    <m/>
    <n v="0"/>
    <m/>
    <n v="0"/>
    <n v="0"/>
    <m/>
  </r>
  <r>
    <n v="945"/>
    <s v=""/>
    <s v="0"/>
    <m/>
    <s v="0"/>
    <m/>
    <x v="4"/>
    <x v="8"/>
    <x v="4"/>
    <m/>
    <m/>
    <n v="0"/>
    <n v="0"/>
    <m/>
    <m/>
    <n v="0"/>
    <m/>
    <n v="0"/>
    <n v="0"/>
    <m/>
  </r>
  <r>
    <n v="946"/>
    <s v=""/>
    <s v="0"/>
    <m/>
    <s v="0"/>
    <m/>
    <x v="4"/>
    <x v="8"/>
    <x v="4"/>
    <m/>
    <m/>
    <n v="0"/>
    <n v="0"/>
    <m/>
    <m/>
    <n v="0"/>
    <m/>
    <n v="0"/>
    <n v="0"/>
    <m/>
  </r>
  <r>
    <n v="947"/>
    <s v=""/>
    <s v="0"/>
    <m/>
    <s v="0"/>
    <m/>
    <x v="4"/>
    <x v="8"/>
    <x v="4"/>
    <m/>
    <m/>
    <n v="0"/>
    <n v="0"/>
    <m/>
    <m/>
    <n v="0"/>
    <m/>
    <n v="0"/>
    <n v="0"/>
    <m/>
  </r>
  <r>
    <n v="948"/>
    <s v=""/>
    <s v="0"/>
    <m/>
    <s v="0"/>
    <m/>
    <x v="4"/>
    <x v="8"/>
    <x v="4"/>
    <m/>
    <m/>
    <n v="0"/>
    <n v="0"/>
    <m/>
    <m/>
    <n v="0"/>
    <m/>
    <n v="0"/>
    <n v="0"/>
    <m/>
  </r>
  <r>
    <n v="949"/>
    <s v=""/>
    <s v="0"/>
    <m/>
    <s v="0"/>
    <m/>
    <x v="4"/>
    <x v="8"/>
    <x v="4"/>
    <m/>
    <m/>
    <n v="0"/>
    <n v="0"/>
    <m/>
    <m/>
    <n v="0"/>
    <m/>
    <n v="0"/>
    <n v="0"/>
    <m/>
  </r>
  <r>
    <n v="950"/>
    <s v=""/>
    <s v="0"/>
    <m/>
    <s v="0"/>
    <m/>
    <x v="4"/>
    <x v="8"/>
    <x v="4"/>
    <m/>
    <m/>
    <n v="0"/>
    <n v="0"/>
    <m/>
    <m/>
    <n v="0"/>
    <m/>
    <n v="0"/>
    <n v="0"/>
    <m/>
  </r>
  <r>
    <n v="951"/>
    <s v=""/>
    <s v="0"/>
    <m/>
    <s v="0"/>
    <m/>
    <x v="4"/>
    <x v="8"/>
    <x v="4"/>
    <m/>
    <m/>
    <n v="0"/>
    <n v="0"/>
    <m/>
    <m/>
    <n v="0"/>
    <m/>
    <n v="0"/>
    <n v="0"/>
    <m/>
  </r>
  <r>
    <n v="952"/>
    <s v=""/>
    <s v="0"/>
    <m/>
    <s v="0"/>
    <m/>
    <x v="4"/>
    <x v="8"/>
    <x v="4"/>
    <m/>
    <m/>
    <n v="0"/>
    <n v="0"/>
    <m/>
    <m/>
    <n v="0"/>
    <m/>
    <n v="0"/>
    <n v="0"/>
    <m/>
  </r>
  <r>
    <n v="953"/>
    <s v=""/>
    <s v="0"/>
    <m/>
    <s v="0"/>
    <m/>
    <x v="4"/>
    <x v="8"/>
    <x v="4"/>
    <m/>
    <m/>
    <n v="0"/>
    <n v="0"/>
    <m/>
    <m/>
    <n v="0"/>
    <m/>
    <n v="0"/>
    <n v="0"/>
    <m/>
  </r>
  <r>
    <n v="954"/>
    <s v=""/>
    <s v="0"/>
    <m/>
    <s v="0"/>
    <m/>
    <x v="4"/>
    <x v="8"/>
    <x v="4"/>
    <m/>
    <m/>
    <n v="0"/>
    <n v="0"/>
    <m/>
    <m/>
    <n v="0"/>
    <m/>
    <n v="0"/>
    <n v="0"/>
    <m/>
  </r>
  <r>
    <n v="955"/>
    <s v=""/>
    <s v="0"/>
    <m/>
    <s v="0"/>
    <m/>
    <x v="4"/>
    <x v="8"/>
    <x v="4"/>
    <m/>
    <m/>
    <n v="0"/>
    <n v="0"/>
    <m/>
    <m/>
    <n v="0"/>
    <m/>
    <n v="0"/>
    <n v="0"/>
    <m/>
  </r>
  <r>
    <n v="956"/>
    <s v=""/>
    <s v="0"/>
    <m/>
    <s v="0"/>
    <m/>
    <x v="4"/>
    <x v="8"/>
    <x v="4"/>
    <m/>
    <m/>
    <n v="0"/>
    <n v="0"/>
    <m/>
    <m/>
    <n v="0"/>
    <m/>
    <n v="0"/>
    <n v="0"/>
    <m/>
  </r>
  <r>
    <n v="957"/>
    <s v=""/>
    <s v="0"/>
    <m/>
    <s v="0"/>
    <m/>
    <x v="4"/>
    <x v="8"/>
    <x v="4"/>
    <m/>
    <m/>
    <n v="0"/>
    <n v="0"/>
    <m/>
    <m/>
    <n v="0"/>
    <m/>
    <n v="0"/>
    <n v="0"/>
    <m/>
  </r>
  <r>
    <n v="958"/>
    <s v=""/>
    <s v="0"/>
    <m/>
    <s v="0"/>
    <m/>
    <x v="4"/>
    <x v="8"/>
    <x v="4"/>
    <m/>
    <m/>
    <n v="0"/>
    <n v="0"/>
    <m/>
    <m/>
    <n v="0"/>
    <m/>
    <n v="0"/>
    <n v="0"/>
    <m/>
  </r>
  <r>
    <n v="959"/>
    <s v=""/>
    <s v="0"/>
    <m/>
    <s v="0"/>
    <m/>
    <x v="4"/>
    <x v="8"/>
    <x v="4"/>
    <m/>
    <m/>
    <n v="0"/>
    <n v="0"/>
    <m/>
    <m/>
    <n v="0"/>
    <m/>
    <n v="0"/>
    <n v="0"/>
    <m/>
  </r>
  <r>
    <n v="960"/>
    <s v=""/>
    <s v="0"/>
    <m/>
    <s v="0"/>
    <m/>
    <x v="4"/>
    <x v="8"/>
    <x v="4"/>
    <m/>
    <m/>
    <n v="0"/>
    <n v="0"/>
    <m/>
    <m/>
    <n v="0"/>
    <m/>
    <n v="0"/>
    <n v="0"/>
    <m/>
  </r>
  <r>
    <n v="961"/>
    <s v=""/>
    <s v="0"/>
    <m/>
    <s v="0"/>
    <m/>
    <x v="4"/>
    <x v="8"/>
    <x v="4"/>
    <m/>
    <m/>
    <n v="0"/>
    <n v="0"/>
    <m/>
    <m/>
    <n v="0"/>
    <m/>
    <n v="0"/>
    <n v="0"/>
    <m/>
  </r>
  <r>
    <n v="962"/>
    <s v=""/>
    <s v="0"/>
    <m/>
    <s v="0"/>
    <m/>
    <x v="4"/>
    <x v="8"/>
    <x v="4"/>
    <m/>
    <m/>
    <n v="0"/>
    <n v="0"/>
    <m/>
    <m/>
    <n v="0"/>
    <m/>
    <n v="0"/>
    <n v="0"/>
    <m/>
  </r>
  <r>
    <n v="963"/>
    <s v=""/>
    <s v="0"/>
    <m/>
    <s v="0"/>
    <m/>
    <x v="4"/>
    <x v="8"/>
    <x v="4"/>
    <m/>
    <m/>
    <n v="0"/>
    <n v="0"/>
    <m/>
    <m/>
    <n v="0"/>
    <m/>
    <n v="0"/>
    <n v="0"/>
    <m/>
  </r>
  <r>
    <n v="964"/>
    <s v=""/>
    <s v="0"/>
    <m/>
    <s v="0"/>
    <m/>
    <x v="4"/>
    <x v="8"/>
    <x v="4"/>
    <m/>
    <m/>
    <n v="0"/>
    <n v="0"/>
    <m/>
    <m/>
    <n v="0"/>
    <m/>
    <n v="0"/>
    <n v="0"/>
    <m/>
  </r>
  <r>
    <n v="965"/>
    <s v=""/>
    <s v="0"/>
    <m/>
    <s v="0"/>
    <m/>
    <x v="4"/>
    <x v="8"/>
    <x v="4"/>
    <m/>
    <m/>
    <n v="0"/>
    <n v="0"/>
    <m/>
    <m/>
    <n v="0"/>
    <m/>
    <n v="0"/>
    <n v="0"/>
    <m/>
  </r>
  <r>
    <n v="966"/>
    <s v=""/>
    <s v="0"/>
    <m/>
    <s v="0"/>
    <m/>
    <x v="4"/>
    <x v="8"/>
    <x v="4"/>
    <m/>
    <m/>
    <n v="0"/>
    <n v="0"/>
    <m/>
    <m/>
    <n v="0"/>
    <m/>
    <n v="0"/>
    <n v="0"/>
    <m/>
  </r>
  <r>
    <n v="967"/>
    <s v=""/>
    <s v="0"/>
    <m/>
    <s v="0"/>
    <m/>
    <x v="4"/>
    <x v="8"/>
    <x v="4"/>
    <m/>
    <m/>
    <n v="0"/>
    <n v="0"/>
    <m/>
    <m/>
    <n v="0"/>
    <m/>
    <n v="0"/>
    <n v="0"/>
    <m/>
  </r>
  <r>
    <n v="968"/>
    <s v=""/>
    <s v="0"/>
    <m/>
    <s v="0"/>
    <m/>
    <x v="4"/>
    <x v="8"/>
    <x v="4"/>
    <m/>
    <m/>
    <n v="0"/>
    <n v="0"/>
    <m/>
    <m/>
    <n v="0"/>
    <m/>
    <n v="0"/>
    <n v="0"/>
    <m/>
  </r>
  <r>
    <n v="969"/>
    <s v=""/>
    <s v="0"/>
    <m/>
    <s v="0"/>
    <m/>
    <x v="4"/>
    <x v="8"/>
    <x v="4"/>
    <m/>
    <m/>
    <n v="0"/>
    <n v="0"/>
    <m/>
    <m/>
    <n v="0"/>
    <m/>
    <n v="0"/>
    <n v="0"/>
    <m/>
  </r>
  <r>
    <n v="970"/>
    <s v=""/>
    <s v="0"/>
    <m/>
    <s v="0"/>
    <m/>
    <x v="4"/>
    <x v="8"/>
    <x v="4"/>
    <m/>
    <m/>
    <n v="0"/>
    <n v="0"/>
    <m/>
    <m/>
    <n v="0"/>
    <m/>
    <n v="0"/>
    <n v="0"/>
    <m/>
  </r>
  <r>
    <n v="971"/>
    <s v=""/>
    <s v="0"/>
    <m/>
    <s v="0"/>
    <m/>
    <x v="4"/>
    <x v="8"/>
    <x v="4"/>
    <m/>
    <m/>
    <n v="0"/>
    <n v="0"/>
    <m/>
    <m/>
    <n v="0"/>
    <m/>
    <n v="0"/>
    <n v="0"/>
    <m/>
  </r>
  <r>
    <n v="972"/>
    <s v=""/>
    <s v="0"/>
    <m/>
    <s v="0"/>
    <m/>
    <x v="4"/>
    <x v="8"/>
    <x v="4"/>
    <m/>
    <m/>
    <n v="0"/>
    <n v="0"/>
    <m/>
    <m/>
    <n v="0"/>
    <m/>
    <n v="0"/>
    <n v="0"/>
    <m/>
  </r>
  <r>
    <n v="973"/>
    <s v=""/>
    <s v="0"/>
    <m/>
    <s v="0"/>
    <m/>
    <x v="4"/>
    <x v="8"/>
    <x v="4"/>
    <m/>
    <m/>
    <n v="0"/>
    <n v="0"/>
    <m/>
    <m/>
    <n v="0"/>
    <m/>
    <n v="0"/>
    <n v="0"/>
    <m/>
  </r>
  <r>
    <n v="974"/>
    <s v=""/>
    <s v="0"/>
    <m/>
    <s v="0"/>
    <m/>
    <x v="4"/>
    <x v="8"/>
    <x v="4"/>
    <m/>
    <m/>
    <n v="0"/>
    <n v="0"/>
    <m/>
    <m/>
    <n v="0"/>
    <m/>
    <n v="0"/>
    <n v="0"/>
    <m/>
  </r>
  <r>
    <n v="975"/>
    <s v=""/>
    <s v="0"/>
    <m/>
    <s v="0"/>
    <m/>
    <x v="4"/>
    <x v="8"/>
    <x v="4"/>
    <m/>
    <m/>
    <n v="0"/>
    <n v="0"/>
    <m/>
    <m/>
    <n v="0"/>
    <m/>
    <n v="0"/>
    <n v="0"/>
    <m/>
  </r>
  <r>
    <n v="976"/>
    <s v=""/>
    <s v="0"/>
    <m/>
    <s v="0"/>
    <m/>
    <x v="4"/>
    <x v="8"/>
    <x v="4"/>
    <m/>
    <m/>
    <n v="0"/>
    <n v="0"/>
    <m/>
    <m/>
    <n v="0"/>
    <m/>
    <n v="0"/>
    <n v="0"/>
    <m/>
  </r>
  <r>
    <n v="977"/>
    <s v=""/>
    <s v="0"/>
    <m/>
    <s v="0"/>
    <m/>
    <x v="4"/>
    <x v="8"/>
    <x v="4"/>
    <m/>
    <m/>
    <n v="0"/>
    <n v="0"/>
    <m/>
    <m/>
    <n v="0"/>
    <m/>
    <n v="0"/>
    <n v="0"/>
    <m/>
  </r>
  <r>
    <n v="978"/>
    <s v=""/>
    <s v="0"/>
    <m/>
    <s v="0"/>
    <m/>
    <x v="4"/>
    <x v="8"/>
    <x v="4"/>
    <m/>
    <m/>
    <n v="0"/>
    <n v="0"/>
    <m/>
    <m/>
    <n v="0"/>
    <m/>
    <n v="0"/>
    <n v="0"/>
    <m/>
  </r>
  <r>
    <n v="979"/>
    <s v=""/>
    <s v="0"/>
    <m/>
    <s v="0"/>
    <m/>
    <x v="4"/>
    <x v="8"/>
    <x v="4"/>
    <m/>
    <m/>
    <n v="0"/>
    <n v="0"/>
    <m/>
    <m/>
    <n v="0"/>
    <m/>
    <n v="0"/>
    <n v="0"/>
    <m/>
  </r>
  <r>
    <n v="980"/>
    <s v=""/>
    <s v="0"/>
    <m/>
    <s v="0"/>
    <m/>
    <x v="4"/>
    <x v="8"/>
    <x v="4"/>
    <m/>
    <m/>
    <n v="0"/>
    <n v="0"/>
    <m/>
    <m/>
    <n v="0"/>
    <m/>
    <n v="0"/>
    <n v="0"/>
    <m/>
  </r>
  <r>
    <n v="981"/>
    <s v=""/>
    <s v="0"/>
    <m/>
    <s v="0"/>
    <m/>
    <x v="4"/>
    <x v="8"/>
    <x v="4"/>
    <m/>
    <m/>
    <n v="0"/>
    <n v="0"/>
    <m/>
    <m/>
    <n v="0"/>
    <m/>
    <n v="0"/>
    <n v="0"/>
    <m/>
  </r>
  <r>
    <n v="982"/>
    <s v=""/>
    <s v="0"/>
    <m/>
    <s v="0"/>
    <m/>
    <x v="4"/>
    <x v="8"/>
    <x v="4"/>
    <m/>
    <m/>
    <n v="0"/>
    <n v="0"/>
    <m/>
    <m/>
    <n v="0"/>
    <m/>
    <n v="0"/>
    <n v="0"/>
    <m/>
  </r>
  <r>
    <n v="983"/>
    <s v=""/>
    <s v="0"/>
    <m/>
    <s v="0"/>
    <m/>
    <x v="4"/>
    <x v="8"/>
    <x v="4"/>
    <m/>
    <m/>
    <n v="0"/>
    <n v="0"/>
    <m/>
    <m/>
    <n v="0"/>
    <m/>
    <n v="0"/>
    <n v="0"/>
    <m/>
  </r>
  <r>
    <n v="984"/>
    <s v=""/>
    <s v="0"/>
    <m/>
    <s v="0"/>
    <m/>
    <x v="4"/>
    <x v="8"/>
    <x v="4"/>
    <m/>
    <m/>
    <n v="0"/>
    <n v="0"/>
    <m/>
    <m/>
    <n v="0"/>
    <m/>
    <n v="0"/>
    <n v="0"/>
    <m/>
  </r>
  <r>
    <n v="985"/>
    <s v=""/>
    <s v="0"/>
    <m/>
    <s v="0"/>
    <m/>
    <x v="4"/>
    <x v="8"/>
    <x v="4"/>
    <m/>
    <m/>
    <n v="0"/>
    <n v="0"/>
    <m/>
    <m/>
    <n v="0"/>
    <m/>
    <n v="0"/>
    <n v="0"/>
    <m/>
  </r>
  <r>
    <n v="986"/>
    <s v=""/>
    <s v="0"/>
    <m/>
    <s v="0"/>
    <m/>
    <x v="4"/>
    <x v="8"/>
    <x v="4"/>
    <m/>
    <m/>
    <n v="0"/>
    <n v="0"/>
    <m/>
    <m/>
    <n v="0"/>
    <m/>
    <n v="0"/>
    <n v="0"/>
    <m/>
  </r>
  <r>
    <n v="987"/>
    <s v=""/>
    <s v="0"/>
    <m/>
    <s v="0"/>
    <m/>
    <x v="4"/>
    <x v="8"/>
    <x v="4"/>
    <m/>
    <m/>
    <n v="0"/>
    <n v="0"/>
    <m/>
    <m/>
    <n v="0"/>
    <m/>
    <n v="0"/>
    <n v="0"/>
    <m/>
  </r>
  <r>
    <n v="988"/>
    <s v=""/>
    <s v="0"/>
    <m/>
    <s v="0"/>
    <m/>
    <x v="4"/>
    <x v="8"/>
    <x v="4"/>
    <m/>
    <m/>
    <n v="0"/>
    <n v="0"/>
    <m/>
    <m/>
    <n v="0"/>
    <m/>
    <n v="0"/>
    <n v="0"/>
    <m/>
  </r>
  <r>
    <n v="989"/>
    <s v=""/>
    <s v="0"/>
    <m/>
    <s v="0"/>
    <m/>
    <x v="4"/>
    <x v="8"/>
    <x v="4"/>
    <m/>
    <m/>
    <n v="0"/>
    <n v="0"/>
    <m/>
    <m/>
    <n v="0"/>
    <m/>
    <n v="0"/>
    <n v="0"/>
    <m/>
  </r>
  <r>
    <n v="990"/>
    <s v=""/>
    <s v="0"/>
    <m/>
    <s v="0"/>
    <m/>
    <x v="4"/>
    <x v="8"/>
    <x v="4"/>
    <m/>
    <m/>
    <n v="0"/>
    <n v="0"/>
    <m/>
    <m/>
    <n v="0"/>
    <m/>
    <n v="0"/>
    <n v="0"/>
    <m/>
  </r>
  <r>
    <n v="991"/>
    <s v=""/>
    <s v="0"/>
    <m/>
    <s v="0"/>
    <m/>
    <x v="4"/>
    <x v="8"/>
    <x v="4"/>
    <m/>
    <m/>
    <n v="0"/>
    <n v="0"/>
    <m/>
    <m/>
    <n v="0"/>
    <m/>
    <n v="0"/>
    <n v="0"/>
    <m/>
  </r>
  <r>
    <n v="992"/>
    <s v=""/>
    <s v="0"/>
    <m/>
    <s v="0"/>
    <m/>
    <x v="4"/>
    <x v="8"/>
    <x v="4"/>
    <m/>
    <m/>
    <n v="0"/>
    <n v="0"/>
    <m/>
    <m/>
    <n v="0"/>
    <m/>
    <n v="0"/>
    <n v="0"/>
    <m/>
  </r>
  <r>
    <n v="993"/>
    <s v=""/>
    <s v="0"/>
    <m/>
    <s v="0"/>
    <m/>
    <x v="4"/>
    <x v="8"/>
    <x v="4"/>
    <m/>
    <m/>
    <n v="0"/>
    <n v="0"/>
    <m/>
    <m/>
    <n v="0"/>
    <m/>
    <n v="0"/>
    <n v="0"/>
    <m/>
  </r>
  <r>
    <n v="994"/>
    <s v=""/>
    <s v="0"/>
    <m/>
    <s v="0"/>
    <m/>
    <x v="4"/>
    <x v="8"/>
    <x v="4"/>
    <m/>
    <m/>
    <n v="0"/>
    <n v="0"/>
    <m/>
    <m/>
    <n v="0"/>
    <m/>
    <n v="0"/>
    <n v="0"/>
    <m/>
  </r>
  <r>
    <n v="995"/>
    <s v=""/>
    <s v="0"/>
    <m/>
    <s v="0"/>
    <m/>
    <x v="4"/>
    <x v="8"/>
    <x v="4"/>
    <m/>
    <m/>
    <n v="0"/>
    <n v="0"/>
    <m/>
    <m/>
    <n v="0"/>
    <m/>
    <n v="0"/>
    <n v="0"/>
    <m/>
  </r>
  <r>
    <n v="996"/>
    <s v=""/>
    <s v="0"/>
    <m/>
    <s v="0"/>
    <m/>
    <x v="4"/>
    <x v="8"/>
    <x v="4"/>
    <m/>
    <m/>
    <n v="0"/>
    <n v="0"/>
    <m/>
    <m/>
    <n v="0"/>
    <m/>
    <n v="0"/>
    <n v="0"/>
    <m/>
  </r>
  <r>
    <n v="997"/>
    <s v=""/>
    <s v="0"/>
    <m/>
    <s v="0"/>
    <m/>
    <x v="4"/>
    <x v="8"/>
    <x v="4"/>
    <m/>
    <m/>
    <n v="0"/>
    <n v="0"/>
    <m/>
    <m/>
    <n v="0"/>
    <m/>
    <n v="0"/>
    <n v="0"/>
    <m/>
  </r>
  <r>
    <n v="998"/>
    <s v=""/>
    <s v="0"/>
    <m/>
    <s v="0"/>
    <m/>
    <x v="4"/>
    <x v="8"/>
    <x v="4"/>
    <m/>
    <m/>
    <n v="0"/>
    <n v="0"/>
    <m/>
    <m/>
    <n v="0"/>
    <m/>
    <n v="0"/>
    <n v="0"/>
    <m/>
  </r>
  <r>
    <n v="999"/>
    <s v=""/>
    <s v="0"/>
    <m/>
    <s v="0"/>
    <m/>
    <x v="4"/>
    <x v="8"/>
    <x v="4"/>
    <m/>
    <m/>
    <n v="0"/>
    <n v="0"/>
    <m/>
    <m/>
    <n v="0"/>
    <m/>
    <n v="0"/>
    <n v="0"/>
    <m/>
  </r>
  <r>
    <n v="1000"/>
    <s v=""/>
    <s v="0"/>
    <m/>
    <s v="0"/>
    <m/>
    <x v="4"/>
    <x v="8"/>
    <x v="4"/>
    <m/>
    <m/>
    <n v="0"/>
    <n v="0"/>
    <m/>
    <m/>
    <n v="0"/>
    <m/>
    <n v="0"/>
    <n v="0"/>
    <m/>
  </r>
  <r>
    <n v="1001"/>
    <s v=""/>
    <s v="0"/>
    <m/>
    <s v="0"/>
    <m/>
    <x v="4"/>
    <x v="8"/>
    <x v="4"/>
    <m/>
    <m/>
    <n v="0"/>
    <n v="0"/>
    <m/>
    <m/>
    <n v="0"/>
    <m/>
    <n v="0"/>
    <n v="0"/>
    <m/>
  </r>
  <r>
    <n v="1002"/>
    <s v=""/>
    <s v="0"/>
    <m/>
    <s v="0"/>
    <m/>
    <x v="4"/>
    <x v="8"/>
    <x v="4"/>
    <m/>
    <m/>
    <n v="0"/>
    <n v="0"/>
    <m/>
    <m/>
    <n v="0"/>
    <m/>
    <n v="0"/>
    <n v="0"/>
    <m/>
  </r>
  <r>
    <n v="1003"/>
    <s v=""/>
    <s v="0"/>
    <m/>
    <s v="0"/>
    <m/>
    <x v="4"/>
    <x v="8"/>
    <x v="4"/>
    <m/>
    <m/>
    <n v="0"/>
    <n v="0"/>
    <m/>
    <m/>
    <n v="0"/>
    <m/>
    <n v="0"/>
    <n v="0"/>
    <m/>
  </r>
  <r>
    <n v="1004"/>
    <s v=""/>
    <s v="0"/>
    <m/>
    <s v="0"/>
    <m/>
    <x v="4"/>
    <x v="8"/>
    <x v="4"/>
    <m/>
    <m/>
    <n v="0"/>
    <n v="0"/>
    <m/>
    <m/>
    <n v="0"/>
    <m/>
    <n v="0"/>
    <n v="0"/>
    <m/>
  </r>
  <r>
    <n v="1005"/>
    <s v=""/>
    <s v="0"/>
    <m/>
    <s v="0"/>
    <m/>
    <x v="4"/>
    <x v="8"/>
    <x v="4"/>
    <m/>
    <m/>
    <n v="0"/>
    <n v="0"/>
    <m/>
    <m/>
    <n v="0"/>
    <m/>
    <n v="0"/>
    <n v="0"/>
    <m/>
  </r>
  <r>
    <n v="1006"/>
    <s v=""/>
    <s v="0"/>
    <m/>
    <s v="0"/>
    <m/>
    <x v="4"/>
    <x v="8"/>
    <x v="4"/>
    <m/>
    <m/>
    <n v="0"/>
    <n v="0"/>
    <m/>
    <m/>
    <n v="0"/>
    <m/>
    <n v="0"/>
    <n v="0"/>
    <m/>
  </r>
  <r>
    <n v="1007"/>
    <s v=""/>
    <s v="0"/>
    <m/>
    <s v="0"/>
    <m/>
    <x v="4"/>
    <x v="8"/>
    <x v="4"/>
    <m/>
    <m/>
    <n v="0"/>
    <n v="0"/>
    <m/>
    <m/>
    <n v="0"/>
    <m/>
    <n v="0"/>
    <n v="0"/>
    <m/>
  </r>
  <r>
    <n v="1008"/>
    <s v=""/>
    <s v="0"/>
    <m/>
    <s v="0"/>
    <m/>
    <x v="4"/>
    <x v="8"/>
    <x v="4"/>
    <m/>
    <m/>
    <n v="0"/>
    <n v="0"/>
    <m/>
    <m/>
    <n v="0"/>
    <m/>
    <n v="0"/>
    <n v="0"/>
    <m/>
  </r>
  <r>
    <n v="1009"/>
    <s v=""/>
    <s v="0"/>
    <m/>
    <s v="0"/>
    <m/>
    <x v="4"/>
    <x v="8"/>
    <x v="4"/>
    <m/>
    <m/>
    <n v="0"/>
    <n v="0"/>
    <m/>
    <m/>
    <n v="0"/>
    <m/>
    <n v="0"/>
    <n v="0"/>
    <m/>
  </r>
  <r>
    <n v="1010"/>
    <s v=""/>
    <s v="0"/>
    <m/>
    <s v="0"/>
    <m/>
    <x v="4"/>
    <x v="8"/>
    <x v="4"/>
    <m/>
    <m/>
    <n v="0"/>
    <n v="0"/>
    <m/>
    <m/>
    <n v="0"/>
    <m/>
    <n v="0"/>
    <n v="0"/>
    <m/>
  </r>
  <r>
    <n v="1011"/>
    <s v=""/>
    <s v="0"/>
    <m/>
    <s v="0"/>
    <m/>
    <x v="4"/>
    <x v="8"/>
    <x v="4"/>
    <m/>
    <m/>
    <n v="0"/>
    <n v="0"/>
    <m/>
    <m/>
    <n v="0"/>
    <m/>
    <n v="0"/>
    <n v="0"/>
    <m/>
  </r>
  <r>
    <n v="1012"/>
    <s v=""/>
    <s v="0"/>
    <m/>
    <s v="0"/>
    <m/>
    <x v="4"/>
    <x v="8"/>
    <x v="4"/>
    <m/>
    <m/>
    <n v="0"/>
    <n v="0"/>
    <m/>
    <m/>
    <n v="0"/>
    <m/>
    <n v="0"/>
    <n v="0"/>
    <m/>
  </r>
  <r>
    <n v="1013"/>
    <s v=""/>
    <s v="0"/>
    <m/>
    <s v="0"/>
    <m/>
    <x v="4"/>
    <x v="8"/>
    <x v="4"/>
    <m/>
    <m/>
    <n v="0"/>
    <n v="0"/>
    <m/>
    <m/>
    <n v="0"/>
    <m/>
    <n v="0"/>
    <n v="0"/>
    <m/>
  </r>
  <r>
    <n v="1014"/>
    <s v=""/>
    <s v="0"/>
    <m/>
    <s v="0"/>
    <m/>
    <x v="4"/>
    <x v="8"/>
    <x v="4"/>
    <m/>
    <m/>
    <n v="0"/>
    <n v="0"/>
    <m/>
    <m/>
    <n v="0"/>
    <m/>
    <n v="0"/>
    <n v="0"/>
    <m/>
  </r>
  <r>
    <n v="1015"/>
    <s v=""/>
    <s v="0"/>
    <m/>
    <s v="0"/>
    <m/>
    <x v="4"/>
    <x v="8"/>
    <x v="4"/>
    <m/>
    <m/>
    <n v="0"/>
    <n v="0"/>
    <m/>
    <m/>
    <n v="0"/>
    <m/>
    <n v="0"/>
    <n v="0"/>
    <m/>
  </r>
  <r>
    <n v="1016"/>
    <s v=""/>
    <s v="0"/>
    <m/>
    <s v="0"/>
    <m/>
    <x v="4"/>
    <x v="8"/>
    <x v="4"/>
    <m/>
    <m/>
    <n v="0"/>
    <n v="0"/>
    <m/>
    <m/>
    <n v="0"/>
    <m/>
    <n v="0"/>
    <n v="0"/>
    <m/>
  </r>
  <r>
    <n v="1017"/>
    <s v=""/>
    <s v="0"/>
    <m/>
    <s v="0"/>
    <m/>
    <x v="4"/>
    <x v="8"/>
    <x v="4"/>
    <m/>
    <m/>
    <n v="0"/>
    <n v="0"/>
    <m/>
    <m/>
    <n v="0"/>
    <m/>
    <n v="0"/>
    <n v="0"/>
    <m/>
  </r>
  <r>
    <n v="1018"/>
    <s v=""/>
    <s v="0"/>
    <m/>
    <s v="0"/>
    <m/>
    <x v="4"/>
    <x v="8"/>
    <x v="4"/>
    <m/>
    <m/>
    <n v="0"/>
    <n v="0"/>
    <m/>
    <m/>
    <n v="0"/>
    <m/>
    <n v="0"/>
    <n v="0"/>
    <m/>
  </r>
  <r>
    <n v="1019"/>
    <s v=""/>
    <s v="0"/>
    <m/>
    <s v="0"/>
    <m/>
    <x v="4"/>
    <x v="8"/>
    <x v="4"/>
    <m/>
    <m/>
    <n v="0"/>
    <n v="0"/>
    <m/>
    <m/>
    <n v="0"/>
    <m/>
    <n v="0"/>
    <n v="0"/>
    <m/>
  </r>
  <r>
    <n v="1020"/>
    <s v=""/>
    <s v="0"/>
    <m/>
    <s v="0"/>
    <m/>
    <x v="4"/>
    <x v="8"/>
    <x v="4"/>
    <m/>
    <m/>
    <n v="0"/>
    <n v="0"/>
    <m/>
    <m/>
    <n v="0"/>
    <m/>
    <n v="0"/>
    <n v="0"/>
    <m/>
  </r>
  <r>
    <n v="1021"/>
    <s v=""/>
    <s v="0"/>
    <m/>
    <s v="0"/>
    <m/>
    <x v="4"/>
    <x v="8"/>
    <x v="4"/>
    <m/>
    <m/>
    <n v="0"/>
    <n v="0"/>
    <m/>
    <m/>
    <n v="0"/>
    <m/>
    <n v="0"/>
    <n v="0"/>
    <m/>
  </r>
  <r>
    <n v="1022"/>
    <s v=""/>
    <s v="0"/>
    <m/>
    <s v="0"/>
    <m/>
    <x v="4"/>
    <x v="8"/>
    <x v="4"/>
    <m/>
    <m/>
    <n v="0"/>
    <n v="0"/>
    <m/>
    <m/>
    <n v="0"/>
    <m/>
    <n v="0"/>
    <n v="0"/>
    <m/>
  </r>
  <r>
    <n v="1023"/>
    <s v=""/>
    <s v="0"/>
    <m/>
    <s v="0"/>
    <m/>
    <x v="4"/>
    <x v="8"/>
    <x v="4"/>
    <m/>
    <m/>
    <n v="0"/>
    <n v="0"/>
    <m/>
    <m/>
    <n v="0"/>
    <m/>
    <n v="0"/>
    <n v="0"/>
    <m/>
  </r>
  <r>
    <n v="1024"/>
    <s v=""/>
    <s v="0"/>
    <m/>
    <s v="0"/>
    <m/>
    <x v="4"/>
    <x v="8"/>
    <x v="4"/>
    <m/>
    <m/>
    <n v="0"/>
    <n v="0"/>
    <m/>
    <m/>
    <n v="0"/>
    <m/>
    <n v="0"/>
    <n v="0"/>
    <m/>
  </r>
  <r>
    <n v="1025"/>
    <s v=""/>
    <s v="0"/>
    <m/>
    <s v="0"/>
    <m/>
    <x v="4"/>
    <x v="8"/>
    <x v="4"/>
    <m/>
    <m/>
    <n v="0"/>
    <n v="0"/>
    <m/>
    <m/>
    <n v="0"/>
    <m/>
    <n v="0"/>
    <n v="0"/>
    <m/>
  </r>
  <r>
    <n v="1026"/>
    <s v=""/>
    <s v="0"/>
    <m/>
    <s v="0"/>
    <m/>
    <x v="4"/>
    <x v="8"/>
    <x v="4"/>
    <m/>
    <m/>
    <n v="0"/>
    <n v="0"/>
    <m/>
    <m/>
    <n v="0"/>
    <m/>
    <n v="0"/>
    <n v="0"/>
    <m/>
  </r>
  <r>
    <n v="1027"/>
    <s v=""/>
    <s v="0"/>
    <m/>
    <s v="0"/>
    <m/>
    <x v="4"/>
    <x v="8"/>
    <x v="4"/>
    <m/>
    <m/>
    <n v="0"/>
    <n v="0"/>
    <m/>
    <m/>
    <n v="0"/>
    <m/>
    <n v="0"/>
    <n v="0"/>
    <m/>
  </r>
  <r>
    <n v="1028"/>
    <s v=""/>
    <s v="0"/>
    <m/>
    <s v="0"/>
    <m/>
    <x v="4"/>
    <x v="8"/>
    <x v="4"/>
    <m/>
    <m/>
    <n v="0"/>
    <n v="0"/>
    <m/>
    <m/>
    <n v="0"/>
    <m/>
    <n v="0"/>
    <n v="0"/>
    <m/>
  </r>
  <r>
    <n v="1029"/>
    <s v=""/>
    <s v="0"/>
    <m/>
    <s v="0"/>
    <m/>
    <x v="4"/>
    <x v="8"/>
    <x v="4"/>
    <m/>
    <m/>
    <n v="0"/>
    <n v="0"/>
    <m/>
    <m/>
    <n v="0"/>
    <m/>
    <n v="0"/>
    <n v="0"/>
    <m/>
  </r>
  <r>
    <n v="1030"/>
    <s v=""/>
    <s v="0"/>
    <m/>
    <s v="0"/>
    <m/>
    <x v="4"/>
    <x v="8"/>
    <x v="4"/>
    <m/>
    <m/>
    <n v="0"/>
    <n v="0"/>
    <m/>
    <m/>
    <n v="0"/>
    <m/>
    <n v="0"/>
    <n v="0"/>
    <m/>
  </r>
  <r>
    <n v="1031"/>
    <s v=""/>
    <s v="0"/>
    <m/>
    <s v="0"/>
    <m/>
    <x v="4"/>
    <x v="8"/>
    <x v="4"/>
    <m/>
    <m/>
    <n v="0"/>
    <n v="0"/>
    <m/>
    <m/>
    <n v="0"/>
    <m/>
    <n v="0"/>
    <n v="0"/>
    <m/>
  </r>
  <r>
    <n v="1032"/>
    <s v=""/>
    <s v="0"/>
    <m/>
    <s v="0"/>
    <m/>
    <x v="4"/>
    <x v="8"/>
    <x v="4"/>
    <m/>
    <m/>
    <n v="0"/>
    <n v="0"/>
    <m/>
    <m/>
    <n v="0"/>
    <m/>
    <n v="0"/>
    <n v="0"/>
    <m/>
  </r>
  <r>
    <n v="1033"/>
    <s v=""/>
    <s v="0"/>
    <m/>
    <s v="0"/>
    <m/>
    <x v="4"/>
    <x v="8"/>
    <x v="4"/>
    <m/>
    <m/>
    <n v="0"/>
    <n v="0"/>
    <m/>
    <m/>
    <n v="0"/>
    <m/>
    <n v="0"/>
    <n v="0"/>
    <m/>
  </r>
  <r>
    <n v="1034"/>
    <s v=""/>
    <s v="0"/>
    <m/>
    <s v="0"/>
    <m/>
    <x v="4"/>
    <x v="8"/>
    <x v="4"/>
    <m/>
    <m/>
    <n v="0"/>
    <n v="0"/>
    <m/>
    <m/>
    <n v="0"/>
    <m/>
    <n v="0"/>
    <n v="0"/>
    <m/>
  </r>
  <r>
    <n v="1035"/>
    <s v=""/>
    <s v="0"/>
    <m/>
    <s v="0"/>
    <m/>
    <x v="4"/>
    <x v="8"/>
    <x v="4"/>
    <m/>
    <m/>
    <n v="0"/>
    <n v="0"/>
    <m/>
    <m/>
    <n v="0"/>
    <m/>
    <n v="0"/>
    <n v="0"/>
    <m/>
  </r>
  <r>
    <n v="1036"/>
    <s v=""/>
    <s v="0"/>
    <m/>
    <s v="0"/>
    <m/>
    <x v="4"/>
    <x v="8"/>
    <x v="4"/>
    <m/>
    <m/>
    <n v="0"/>
    <n v="0"/>
    <m/>
    <m/>
    <n v="0"/>
    <m/>
    <n v="0"/>
    <n v="0"/>
    <m/>
  </r>
  <r>
    <n v="1037"/>
    <s v=""/>
    <s v="0"/>
    <m/>
    <s v="0"/>
    <m/>
    <x v="4"/>
    <x v="8"/>
    <x v="4"/>
    <m/>
    <m/>
    <n v="0"/>
    <n v="0"/>
    <m/>
    <m/>
    <n v="0"/>
    <m/>
    <n v="0"/>
    <n v="0"/>
    <m/>
  </r>
  <r>
    <n v="1038"/>
    <s v=""/>
    <s v="0"/>
    <m/>
    <s v="0"/>
    <m/>
    <x v="4"/>
    <x v="8"/>
    <x v="4"/>
    <m/>
    <m/>
    <n v="0"/>
    <n v="0"/>
    <m/>
    <m/>
    <n v="0"/>
    <m/>
    <n v="0"/>
    <n v="0"/>
    <m/>
  </r>
  <r>
    <n v="1039"/>
    <s v=""/>
    <s v="0"/>
    <m/>
    <s v="0"/>
    <m/>
    <x v="4"/>
    <x v="8"/>
    <x v="4"/>
    <m/>
    <m/>
    <n v="0"/>
    <n v="0"/>
    <m/>
    <m/>
    <n v="0"/>
    <m/>
    <n v="0"/>
    <n v="0"/>
    <m/>
  </r>
  <r>
    <n v="1040"/>
    <s v=""/>
    <s v="0"/>
    <m/>
    <s v="0"/>
    <m/>
    <x v="4"/>
    <x v="8"/>
    <x v="4"/>
    <m/>
    <m/>
    <n v="0"/>
    <n v="0"/>
    <m/>
    <m/>
    <n v="0"/>
    <m/>
    <n v="0"/>
    <n v="0"/>
    <m/>
  </r>
  <r>
    <n v="1041"/>
    <s v=""/>
    <s v="0"/>
    <m/>
    <s v="0"/>
    <m/>
    <x v="4"/>
    <x v="8"/>
    <x v="4"/>
    <m/>
    <m/>
    <n v="0"/>
    <n v="0"/>
    <m/>
    <m/>
    <n v="0"/>
    <m/>
    <n v="0"/>
    <n v="0"/>
    <m/>
  </r>
  <r>
    <n v="1042"/>
    <s v=""/>
    <s v="0"/>
    <m/>
    <s v="0"/>
    <m/>
    <x v="4"/>
    <x v="8"/>
    <x v="4"/>
    <m/>
    <m/>
    <n v="0"/>
    <n v="0"/>
    <m/>
    <m/>
    <n v="0"/>
    <m/>
    <n v="0"/>
    <n v="0"/>
    <m/>
  </r>
  <r>
    <n v="1043"/>
    <s v=""/>
    <s v="0"/>
    <m/>
    <s v="0"/>
    <m/>
    <x v="4"/>
    <x v="8"/>
    <x v="4"/>
    <m/>
    <m/>
    <n v="0"/>
    <n v="0"/>
    <m/>
    <m/>
    <n v="0"/>
    <m/>
    <n v="0"/>
    <n v="0"/>
    <m/>
  </r>
  <r>
    <n v="1044"/>
    <s v=""/>
    <s v="0"/>
    <m/>
    <s v="0"/>
    <m/>
    <x v="4"/>
    <x v="8"/>
    <x v="4"/>
    <m/>
    <m/>
    <n v="0"/>
    <n v="0"/>
    <m/>
    <m/>
    <n v="0"/>
    <m/>
    <n v="0"/>
    <n v="0"/>
    <m/>
  </r>
  <r>
    <n v="1045"/>
    <s v=""/>
    <s v="0"/>
    <m/>
    <s v="0"/>
    <m/>
    <x v="4"/>
    <x v="8"/>
    <x v="4"/>
    <m/>
    <m/>
    <n v="0"/>
    <n v="0"/>
    <m/>
    <m/>
    <n v="0"/>
    <m/>
    <n v="0"/>
    <n v="0"/>
    <m/>
  </r>
  <r>
    <n v="1046"/>
    <s v=""/>
    <s v="0"/>
    <m/>
    <s v="0"/>
    <m/>
    <x v="4"/>
    <x v="8"/>
    <x v="4"/>
    <m/>
    <m/>
    <n v="0"/>
    <n v="0"/>
    <m/>
    <m/>
    <n v="0"/>
    <m/>
    <n v="0"/>
    <n v="0"/>
    <m/>
  </r>
  <r>
    <n v="1047"/>
    <s v=""/>
    <s v="0"/>
    <m/>
    <s v="0"/>
    <m/>
    <x v="4"/>
    <x v="8"/>
    <x v="4"/>
    <m/>
    <m/>
    <n v="0"/>
    <n v="0"/>
    <m/>
    <m/>
    <n v="0"/>
    <m/>
    <n v="0"/>
    <n v="0"/>
    <m/>
  </r>
  <r>
    <n v="1048"/>
    <s v=""/>
    <s v="0"/>
    <m/>
    <s v="0"/>
    <m/>
    <x v="4"/>
    <x v="8"/>
    <x v="4"/>
    <m/>
    <m/>
    <n v="0"/>
    <n v="0"/>
    <m/>
    <m/>
    <n v="0"/>
    <m/>
    <n v="0"/>
    <n v="0"/>
    <m/>
  </r>
  <r>
    <n v="1049"/>
    <s v=""/>
    <s v="0"/>
    <m/>
    <s v="0"/>
    <m/>
    <x v="4"/>
    <x v="8"/>
    <x v="4"/>
    <m/>
    <m/>
    <n v="0"/>
    <n v="0"/>
    <m/>
    <m/>
    <n v="0"/>
    <m/>
    <n v="0"/>
    <n v="0"/>
    <m/>
  </r>
  <r>
    <n v="1050"/>
    <s v=""/>
    <s v="0"/>
    <m/>
    <s v="0"/>
    <m/>
    <x v="4"/>
    <x v="8"/>
    <x v="4"/>
    <m/>
    <m/>
    <n v="0"/>
    <n v="0"/>
    <m/>
    <m/>
    <n v="0"/>
    <m/>
    <n v="0"/>
    <n v="0"/>
    <m/>
  </r>
  <r>
    <n v="1051"/>
    <s v=""/>
    <s v="0"/>
    <m/>
    <s v="0"/>
    <m/>
    <x v="4"/>
    <x v="8"/>
    <x v="4"/>
    <m/>
    <m/>
    <n v="0"/>
    <n v="0"/>
    <m/>
    <m/>
    <n v="0"/>
    <m/>
    <n v="0"/>
    <n v="0"/>
    <m/>
  </r>
  <r>
    <n v="1052"/>
    <s v=""/>
    <s v="0"/>
    <m/>
    <s v="0"/>
    <m/>
    <x v="4"/>
    <x v="8"/>
    <x v="4"/>
    <m/>
    <m/>
    <n v="0"/>
    <n v="0"/>
    <m/>
    <m/>
    <n v="0"/>
    <m/>
    <n v="0"/>
    <n v="0"/>
    <m/>
  </r>
  <r>
    <n v="1053"/>
    <s v=""/>
    <s v="0"/>
    <m/>
    <s v="0"/>
    <m/>
    <x v="4"/>
    <x v="8"/>
    <x v="4"/>
    <m/>
    <m/>
    <n v="0"/>
    <n v="0"/>
    <m/>
    <m/>
    <n v="0"/>
    <m/>
    <n v="0"/>
    <n v="0"/>
    <m/>
  </r>
  <r>
    <n v="1054"/>
    <s v=""/>
    <s v="0"/>
    <m/>
    <s v="0"/>
    <m/>
    <x v="4"/>
    <x v="8"/>
    <x v="4"/>
    <m/>
    <m/>
    <n v="0"/>
    <n v="0"/>
    <m/>
    <m/>
    <n v="0"/>
    <m/>
    <n v="0"/>
    <n v="0"/>
    <m/>
  </r>
  <r>
    <n v="1055"/>
    <s v=""/>
    <s v="0"/>
    <m/>
    <s v="0"/>
    <m/>
    <x v="4"/>
    <x v="8"/>
    <x v="4"/>
    <m/>
    <m/>
    <n v="0"/>
    <n v="0"/>
    <m/>
    <m/>
    <n v="0"/>
    <m/>
    <n v="0"/>
    <n v="0"/>
    <m/>
  </r>
  <r>
    <n v="1056"/>
    <s v=""/>
    <s v="0"/>
    <m/>
    <s v="0"/>
    <m/>
    <x v="4"/>
    <x v="8"/>
    <x v="4"/>
    <m/>
    <m/>
    <n v="0"/>
    <n v="0"/>
    <m/>
    <m/>
    <n v="0"/>
    <m/>
    <n v="0"/>
    <n v="0"/>
    <m/>
  </r>
  <r>
    <n v="1057"/>
    <s v=""/>
    <s v="0"/>
    <m/>
    <s v="0"/>
    <m/>
    <x v="4"/>
    <x v="8"/>
    <x v="4"/>
    <m/>
    <m/>
    <n v="0"/>
    <n v="0"/>
    <m/>
    <m/>
    <n v="0"/>
    <m/>
    <n v="0"/>
    <n v="0"/>
    <m/>
  </r>
  <r>
    <n v="1058"/>
    <s v=""/>
    <s v="0"/>
    <m/>
    <s v="0"/>
    <m/>
    <x v="4"/>
    <x v="8"/>
    <x v="4"/>
    <m/>
    <m/>
    <n v="0"/>
    <n v="0"/>
    <m/>
    <m/>
    <n v="0"/>
    <m/>
    <n v="0"/>
    <n v="0"/>
    <m/>
  </r>
  <r>
    <n v="1059"/>
    <s v=""/>
    <s v="0"/>
    <m/>
    <s v="0"/>
    <m/>
    <x v="4"/>
    <x v="8"/>
    <x v="4"/>
    <m/>
    <m/>
    <n v="0"/>
    <n v="0"/>
    <m/>
    <m/>
    <n v="0"/>
    <m/>
    <n v="0"/>
    <n v="0"/>
    <m/>
  </r>
  <r>
    <n v="1060"/>
    <s v=""/>
    <s v="0"/>
    <m/>
    <s v="0"/>
    <m/>
    <x v="4"/>
    <x v="8"/>
    <x v="4"/>
    <m/>
    <m/>
    <n v="0"/>
    <n v="0"/>
    <m/>
    <m/>
    <n v="0"/>
    <m/>
    <n v="0"/>
    <n v="0"/>
    <m/>
  </r>
  <r>
    <n v="1061"/>
    <s v=""/>
    <s v="0"/>
    <m/>
    <s v="0"/>
    <m/>
    <x v="4"/>
    <x v="8"/>
    <x v="4"/>
    <m/>
    <m/>
    <n v="0"/>
    <n v="0"/>
    <m/>
    <m/>
    <n v="0"/>
    <m/>
    <n v="0"/>
    <n v="0"/>
    <m/>
  </r>
  <r>
    <n v="1062"/>
    <s v=""/>
    <s v="0"/>
    <m/>
    <s v="0"/>
    <m/>
    <x v="4"/>
    <x v="8"/>
    <x v="4"/>
    <m/>
    <m/>
    <n v="0"/>
    <n v="0"/>
    <m/>
    <m/>
    <n v="0"/>
    <m/>
    <n v="0"/>
    <n v="0"/>
    <m/>
  </r>
  <r>
    <n v="1063"/>
    <s v=""/>
    <s v="0"/>
    <m/>
    <s v="0"/>
    <m/>
    <x v="4"/>
    <x v="8"/>
    <x v="4"/>
    <m/>
    <m/>
    <n v="0"/>
    <n v="0"/>
    <m/>
    <m/>
    <n v="0"/>
    <m/>
    <n v="0"/>
    <n v="0"/>
    <m/>
  </r>
  <r>
    <n v="1064"/>
    <s v=""/>
    <s v="0"/>
    <m/>
    <s v="0"/>
    <m/>
    <x v="4"/>
    <x v="8"/>
    <x v="4"/>
    <m/>
    <m/>
    <n v="0"/>
    <n v="0"/>
    <m/>
    <m/>
    <n v="0"/>
    <m/>
    <n v="0"/>
    <n v="0"/>
    <m/>
  </r>
  <r>
    <n v="1065"/>
    <s v=""/>
    <s v="0"/>
    <m/>
    <s v="0"/>
    <m/>
    <x v="4"/>
    <x v="8"/>
    <x v="4"/>
    <m/>
    <m/>
    <n v="0"/>
    <n v="0"/>
    <m/>
    <m/>
    <n v="0"/>
    <m/>
    <n v="0"/>
    <n v="0"/>
    <m/>
  </r>
  <r>
    <n v="1066"/>
    <s v=""/>
    <s v="0"/>
    <m/>
    <s v="0"/>
    <m/>
    <x v="4"/>
    <x v="8"/>
    <x v="4"/>
    <m/>
    <m/>
    <n v="0"/>
    <n v="0"/>
    <m/>
    <m/>
    <n v="0"/>
    <m/>
    <n v="0"/>
    <n v="0"/>
    <m/>
  </r>
  <r>
    <n v="1067"/>
    <s v=""/>
    <s v="0"/>
    <m/>
    <s v="0"/>
    <m/>
    <x v="4"/>
    <x v="8"/>
    <x v="4"/>
    <m/>
    <m/>
    <n v="0"/>
    <n v="0"/>
    <m/>
    <m/>
    <n v="0"/>
    <m/>
    <n v="0"/>
    <n v="0"/>
    <m/>
  </r>
  <r>
    <n v="1068"/>
    <s v=""/>
    <s v="0"/>
    <m/>
    <s v="0"/>
    <m/>
    <x v="4"/>
    <x v="8"/>
    <x v="4"/>
    <m/>
    <m/>
    <n v="0"/>
    <n v="0"/>
    <m/>
    <m/>
    <n v="0"/>
    <m/>
    <n v="0"/>
    <n v="0"/>
    <m/>
  </r>
  <r>
    <n v="1069"/>
    <s v=""/>
    <s v="0"/>
    <m/>
    <s v="0"/>
    <m/>
    <x v="4"/>
    <x v="8"/>
    <x v="4"/>
    <m/>
    <m/>
    <n v="0"/>
    <n v="0"/>
    <m/>
    <m/>
    <n v="0"/>
    <m/>
    <n v="0"/>
    <n v="0"/>
    <m/>
  </r>
  <r>
    <n v="1070"/>
    <s v=""/>
    <s v="0"/>
    <m/>
    <s v="0"/>
    <m/>
    <x v="4"/>
    <x v="8"/>
    <x v="4"/>
    <m/>
    <m/>
    <n v="0"/>
    <n v="0"/>
    <m/>
    <m/>
    <n v="0"/>
    <m/>
    <n v="0"/>
    <n v="0"/>
    <m/>
  </r>
  <r>
    <n v="1071"/>
    <s v=""/>
    <s v="0"/>
    <m/>
    <s v="0"/>
    <m/>
    <x v="4"/>
    <x v="8"/>
    <x v="4"/>
    <m/>
    <m/>
    <n v="0"/>
    <n v="0"/>
    <m/>
    <m/>
    <n v="0"/>
    <m/>
    <n v="0"/>
    <n v="0"/>
    <m/>
  </r>
  <r>
    <n v="1072"/>
    <s v=""/>
    <s v="0"/>
    <m/>
    <s v="0"/>
    <m/>
    <x v="4"/>
    <x v="8"/>
    <x v="4"/>
    <m/>
    <m/>
    <n v="0"/>
    <n v="0"/>
    <m/>
    <m/>
    <n v="0"/>
    <m/>
    <n v="0"/>
    <n v="0"/>
    <m/>
  </r>
  <r>
    <n v="1073"/>
    <s v=""/>
    <s v="0"/>
    <m/>
    <s v="0"/>
    <m/>
    <x v="4"/>
    <x v="8"/>
    <x v="4"/>
    <m/>
    <m/>
    <n v="0"/>
    <n v="0"/>
    <m/>
    <m/>
    <n v="0"/>
    <m/>
    <n v="0"/>
    <n v="0"/>
    <m/>
  </r>
  <r>
    <n v="1074"/>
    <s v=""/>
    <s v="0"/>
    <m/>
    <s v="0"/>
    <m/>
    <x v="4"/>
    <x v="8"/>
    <x v="4"/>
    <m/>
    <m/>
    <n v="0"/>
    <n v="0"/>
    <m/>
    <m/>
    <n v="0"/>
    <m/>
    <n v="0"/>
    <n v="0"/>
    <m/>
  </r>
  <r>
    <n v="1075"/>
    <s v=""/>
    <s v="0"/>
    <m/>
    <s v="0"/>
    <m/>
    <x v="4"/>
    <x v="8"/>
    <x v="4"/>
    <m/>
    <m/>
    <n v="0"/>
    <n v="0"/>
    <m/>
    <m/>
    <n v="0"/>
    <m/>
    <n v="0"/>
    <n v="0"/>
    <m/>
  </r>
  <r>
    <n v="1076"/>
    <s v=""/>
    <s v="0"/>
    <m/>
    <s v="0"/>
    <m/>
    <x v="4"/>
    <x v="8"/>
    <x v="4"/>
    <m/>
    <m/>
    <n v="0"/>
    <n v="0"/>
    <m/>
    <m/>
    <n v="0"/>
    <m/>
    <n v="0"/>
    <n v="0"/>
    <m/>
  </r>
  <r>
    <n v="1077"/>
    <s v=""/>
    <s v="0"/>
    <m/>
    <s v="0"/>
    <m/>
    <x v="4"/>
    <x v="8"/>
    <x v="4"/>
    <m/>
    <m/>
    <n v="0"/>
    <n v="0"/>
    <m/>
    <m/>
    <n v="0"/>
    <m/>
    <n v="0"/>
    <n v="0"/>
    <m/>
  </r>
  <r>
    <n v="1078"/>
    <s v=""/>
    <s v="0"/>
    <m/>
    <s v="0"/>
    <m/>
    <x v="4"/>
    <x v="8"/>
    <x v="4"/>
    <m/>
    <m/>
    <n v="0"/>
    <n v="0"/>
    <m/>
    <m/>
    <n v="0"/>
    <m/>
    <n v="0"/>
    <n v="0"/>
    <m/>
  </r>
  <r>
    <n v="1079"/>
    <s v=""/>
    <s v="0"/>
    <m/>
    <s v="0"/>
    <m/>
    <x v="4"/>
    <x v="8"/>
    <x v="4"/>
    <m/>
    <m/>
    <n v="0"/>
    <n v="0"/>
    <m/>
    <m/>
    <n v="0"/>
    <m/>
    <n v="0"/>
    <n v="0"/>
    <m/>
  </r>
  <r>
    <n v="1080"/>
    <s v=""/>
    <s v="0"/>
    <m/>
    <s v="0"/>
    <m/>
    <x v="4"/>
    <x v="8"/>
    <x v="4"/>
    <m/>
    <m/>
    <n v="0"/>
    <n v="0"/>
    <m/>
    <m/>
    <n v="0"/>
    <m/>
    <n v="0"/>
    <n v="0"/>
    <m/>
  </r>
  <r>
    <n v="1081"/>
    <s v=""/>
    <s v="0"/>
    <m/>
    <s v="0"/>
    <m/>
    <x v="4"/>
    <x v="8"/>
    <x v="4"/>
    <m/>
    <m/>
    <n v="0"/>
    <n v="0"/>
    <m/>
    <m/>
    <n v="0"/>
    <m/>
    <n v="0"/>
    <n v="0"/>
    <m/>
  </r>
  <r>
    <n v="1082"/>
    <s v=""/>
    <s v="0"/>
    <m/>
    <s v="0"/>
    <m/>
    <x v="4"/>
    <x v="8"/>
    <x v="4"/>
    <m/>
    <m/>
    <n v="0"/>
    <n v="0"/>
    <m/>
    <m/>
    <n v="0"/>
    <m/>
    <n v="0"/>
    <n v="0"/>
    <m/>
  </r>
  <r>
    <n v="1083"/>
    <s v=""/>
    <s v="0"/>
    <m/>
    <s v="0"/>
    <m/>
    <x v="4"/>
    <x v="8"/>
    <x v="4"/>
    <m/>
    <m/>
    <n v="0"/>
    <n v="0"/>
    <m/>
    <m/>
    <n v="0"/>
    <m/>
    <n v="0"/>
    <n v="0"/>
    <m/>
  </r>
  <r>
    <n v="1084"/>
    <s v=""/>
    <s v="0"/>
    <m/>
    <s v="0"/>
    <m/>
    <x v="4"/>
    <x v="8"/>
    <x v="4"/>
    <m/>
    <m/>
    <n v="0"/>
    <n v="0"/>
    <m/>
    <m/>
    <n v="0"/>
    <m/>
    <n v="0"/>
    <n v="0"/>
    <m/>
  </r>
  <r>
    <n v="1085"/>
    <s v=""/>
    <s v="0"/>
    <m/>
    <s v="0"/>
    <m/>
    <x v="4"/>
    <x v="8"/>
    <x v="4"/>
    <m/>
    <m/>
    <n v="0"/>
    <n v="0"/>
    <m/>
    <m/>
    <n v="0"/>
    <m/>
    <n v="0"/>
    <n v="0"/>
    <m/>
  </r>
  <r>
    <n v="1086"/>
    <s v=""/>
    <s v="0"/>
    <m/>
    <s v="0"/>
    <m/>
    <x v="4"/>
    <x v="8"/>
    <x v="4"/>
    <m/>
    <m/>
    <n v="0"/>
    <n v="0"/>
    <m/>
    <m/>
    <n v="0"/>
    <m/>
    <n v="0"/>
    <n v="0"/>
    <m/>
  </r>
  <r>
    <n v="1087"/>
    <s v=""/>
    <s v="0"/>
    <m/>
    <s v="0"/>
    <m/>
    <x v="4"/>
    <x v="8"/>
    <x v="4"/>
    <m/>
    <m/>
    <n v="0"/>
    <n v="0"/>
    <m/>
    <m/>
    <n v="0"/>
    <m/>
    <n v="0"/>
    <n v="0"/>
    <m/>
  </r>
  <r>
    <n v="1088"/>
    <s v=""/>
    <s v="0"/>
    <m/>
    <s v="0"/>
    <m/>
    <x v="4"/>
    <x v="8"/>
    <x v="4"/>
    <m/>
    <m/>
    <n v="0"/>
    <n v="0"/>
    <m/>
    <m/>
    <n v="0"/>
    <m/>
    <n v="0"/>
    <n v="0"/>
    <m/>
  </r>
  <r>
    <n v="1089"/>
    <s v=""/>
    <s v="0"/>
    <m/>
    <s v="0"/>
    <m/>
    <x v="4"/>
    <x v="8"/>
    <x v="4"/>
    <m/>
    <m/>
    <n v="0"/>
    <n v="0"/>
    <m/>
    <m/>
    <n v="0"/>
    <m/>
    <n v="0"/>
    <n v="0"/>
    <m/>
  </r>
  <r>
    <n v="1090"/>
    <s v=""/>
    <s v="0"/>
    <m/>
    <s v="0"/>
    <m/>
    <x v="4"/>
    <x v="8"/>
    <x v="4"/>
    <m/>
    <m/>
    <n v="0"/>
    <n v="0"/>
    <m/>
    <m/>
    <n v="0"/>
    <m/>
    <n v="0"/>
    <n v="0"/>
    <m/>
  </r>
  <r>
    <n v="1091"/>
    <s v=""/>
    <s v="0"/>
    <m/>
    <s v="0"/>
    <m/>
    <x v="4"/>
    <x v="8"/>
    <x v="4"/>
    <m/>
    <m/>
    <n v="0"/>
    <n v="0"/>
    <m/>
    <m/>
    <n v="0"/>
    <m/>
    <n v="0"/>
    <n v="0"/>
    <m/>
  </r>
  <r>
    <n v="1092"/>
    <s v=""/>
    <s v="0"/>
    <m/>
    <s v="0"/>
    <m/>
    <x v="4"/>
    <x v="8"/>
    <x v="4"/>
    <m/>
    <m/>
    <n v="0"/>
    <n v="0"/>
    <m/>
    <m/>
    <n v="0"/>
    <m/>
    <n v="0"/>
    <n v="0"/>
    <m/>
  </r>
  <r>
    <n v="1093"/>
    <s v=""/>
    <s v="0"/>
    <m/>
    <s v="0"/>
    <m/>
    <x v="4"/>
    <x v="8"/>
    <x v="4"/>
    <m/>
    <m/>
    <n v="0"/>
    <n v="0"/>
    <m/>
    <m/>
    <n v="0"/>
    <m/>
    <n v="0"/>
    <n v="0"/>
    <m/>
  </r>
  <r>
    <n v="1094"/>
    <s v=""/>
    <s v="0"/>
    <m/>
    <s v="0"/>
    <m/>
    <x v="4"/>
    <x v="8"/>
    <x v="4"/>
    <m/>
    <m/>
    <n v="0"/>
    <n v="0"/>
    <m/>
    <m/>
    <n v="0"/>
    <m/>
    <n v="0"/>
    <n v="0"/>
    <m/>
  </r>
  <r>
    <n v="1095"/>
    <s v=""/>
    <s v="0"/>
    <m/>
    <s v="0"/>
    <m/>
    <x v="4"/>
    <x v="8"/>
    <x v="4"/>
    <m/>
    <m/>
    <n v="0"/>
    <n v="0"/>
    <m/>
    <m/>
    <n v="0"/>
    <m/>
    <n v="0"/>
    <n v="0"/>
    <m/>
  </r>
  <r>
    <n v="1096"/>
    <s v=""/>
    <s v="0"/>
    <m/>
    <s v="0"/>
    <m/>
    <x v="4"/>
    <x v="8"/>
    <x v="4"/>
    <m/>
    <m/>
    <n v="0"/>
    <n v="0"/>
    <m/>
    <m/>
    <n v="0"/>
    <m/>
    <n v="0"/>
    <n v="0"/>
    <m/>
  </r>
  <r>
    <n v="1097"/>
    <s v=""/>
    <s v="0"/>
    <m/>
    <s v="0"/>
    <m/>
    <x v="4"/>
    <x v="8"/>
    <x v="4"/>
    <m/>
    <m/>
    <n v="0"/>
    <n v="0"/>
    <m/>
    <m/>
    <n v="0"/>
    <m/>
    <n v="0"/>
    <n v="0"/>
    <m/>
  </r>
  <r>
    <n v="1098"/>
    <s v=""/>
    <s v="0"/>
    <m/>
    <s v="0"/>
    <m/>
    <x v="4"/>
    <x v="8"/>
    <x v="4"/>
    <m/>
    <m/>
    <n v="0"/>
    <n v="0"/>
    <m/>
    <m/>
    <n v="0"/>
    <m/>
    <n v="0"/>
    <n v="0"/>
    <m/>
  </r>
  <r>
    <n v="1099"/>
    <s v=""/>
    <s v="0"/>
    <m/>
    <s v="0"/>
    <m/>
    <x v="4"/>
    <x v="8"/>
    <x v="4"/>
    <m/>
    <m/>
    <n v="0"/>
    <n v="0"/>
    <m/>
    <m/>
    <n v="0"/>
    <m/>
    <n v="0"/>
    <n v="0"/>
    <m/>
  </r>
  <r>
    <n v="1100"/>
    <s v=""/>
    <s v="0"/>
    <m/>
    <s v="0"/>
    <m/>
    <x v="4"/>
    <x v="8"/>
    <x v="4"/>
    <m/>
    <m/>
    <n v="0"/>
    <n v="0"/>
    <m/>
    <m/>
    <n v="0"/>
    <m/>
    <n v="0"/>
    <n v="0"/>
    <m/>
  </r>
  <r>
    <n v="1101"/>
    <s v=""/>
    <s v="0"/>
    <m/>
    <s v="0"/>
    <m/>
    <x v="4"/>
    <x v="8"/>
    <x v="4"/>
    <m/>
    <m/>
    <n v="0"/>
    <n v="0"/>
    <m/>
    <m/>
    <n v="0"/>
    <m/>
    <n v="0"/>
    <n v="0"/>
    <m/>
  </r>
  <r>
    <n v="1102"/>
    <s v=""/>
    <s v="0"/>
    <m/>
    <s v="0"/>
    <m/>
    <x v="4"/>
    <x v="8"/>
    <x v="4"/>
    <m/>
    <m/>
    <n v="0"/>
    <n v="0"/>
    <m/>
    <m/>
    <n v="0"/>
    <m/>
    <n v="0"/>
    <n v="0"/>
    <m/>
  </r>
  <r>
    <n v="1103"/>
    <s v=""/>
    <s v="0"/>
    <m/>
    <s v="0"/>
    <m/>
    <x v="4"/>
    <x v="8"/>
    <x v="4"/>
    <m/>
    <m/>
    <n v="0"/>
    <n v="0"/>
    <m/>
    <m/>
    <n v="0"/>
    <m/>
    <n v="0"/>
    <n v="0"/>
    <m/>
  </r>
  <r>
    <n v="1104"/>
    <s v=""/>
    <s v="0"/>
    <m/>
    <s v="0"/>
    <m/>
    <x v="4"/>
    <x v="8"/>
    <x v="4"/>
    <m/>
    <m/>
    <n v="0"/>
    <n v="0"/>
    <m/>
    <m/>
    <n v="0"/>
    <m/>
    <n v="0"/>
    <n v="0"/>
    <m/>
  </r>
  <r>
    <n v="1105"/>
    <s v=""/>
    <s v="0"/>
    <m/>
    <s v="0"/>
    <m/>
    <x v="4"/>
    <x v="8"/>
    <x v="4"/>
    <m/>
    <m/>
    <n v="0"/>
    <n v="0"/>
    <m/>
    <m/>
    <n v="0"/>
    <m/>
    <n v="0"/>
    <n v="0"/>
    <m/>
  </r>
  <r>
    <n v="1106"/>
    <s v=""/>
    <s v="0"/>
    <m/>
    <s v="0"/>
    <m/>
    <x v="4"/>
    <x v="8"/>
    <x v="4"/>
    <m/>
    <m/>
    <n v="0"/>
    <n v="0"/>
    <m/>
    <m/>
    <n v="0"/>
    <m/>
    <n v="0"/>
    <n v="0"/>
    <m/>
  </r>
  <r>
    <n v="1107"/>
    <s v=""/>
    <s v="0"/>
    <m/>
    <s v="0"/>
    <m/>
    <x v="4"/>
    <x v="8"/>
    <x v="4"/>
    <m/>
    <m/>
    <n v="0"/>
    <n v="0"/>
    <m/>
    <m/>
    <n v="0"/>
    <m/>
    <n v="0"/>
    <n v="0"/>
    <m/>
  </r>
  <r>
    <n v="1108"/>
    <s v=""/>
    <s v="0"/>
    <m/>
    <s v="0"/>
    <m/>
    <x v="4"/>
    <x v="8"/>
    <x v="4"/>
    <m/>
    <m/>
    <n v="0"/>
    <n v="0"/>
    <m/>
    <m/>
    <n v="0"/>
    <m/>
    <n v="0"/>
    <n v="0"/>
    <m/>
  </r>
  <r>
    <n v="1109"/>
    <s v=""/>
    <s v="0"/>
    <m/>
    <s v="0"/>
    <m/>
    <x v="4"/>
    <x v="8"/>
    <x v="4"/>
    <m/>
    <m/>
    <n v="0"/>
    <n v="0"/>
    <m/>
    <m/>
    <n v="0"/>
    <m/>
    <n v="0"/>
    <n v="0"/>
    <m/>
  </r>
  <r>
    <n v="1110"/>
    <s v=""/>
    <s v="0"/>
    <m/>
    <s v="0"/>
    <m/>
    <x v="4"/>
    <x v="8"/>
    <x v="4"/>
    <m/>
    <m/>
    <n v="0"/>
    <n v="0"/>
    <m/>
    <m/>
    <n v="0"/>
    <m/>
    <n v="0"/>
    <n v="0"/>
    <m/>
  </r>
  <r>
    <n v="1111"/>
    <s v=""/>
    <s v="0"/>
    <m/>
    <s v="0"/>
    <m/>
    <x v="4"/>
    <x v="8"/>
    <x v="4"/>
    <m/>
    <m/>
    <n v="0"/>
    <n v="0"/>
    <m/>
    <m/>
    <n v="0"/>
    <m/>
    <n v="0"/>
    <n v="0"/>
    <m/>
  </r>
  <r>
    <n v="1112"/>
    <s v=""/>
    <s v="0"/>
    <m/>
    <s v="0"/>
    <m/>
    <x v="4"/>
    <x v="8"/>
    <x v="4"/>
    <m/>
    <m/>
    <n v="0"/>
    <n v="0"/>
    <m/>
    <m/>
    <n v="0"/>
    <m/>
    <n v="0"/>
    <n v="0"/>
    <m/>
  </r>
  <r>
    <n v="1113"/>
    <s v=""/>
    <s v="0"/>
    <m/>
    <s v="0"/>
    <m/>
    <x v="4"/>
    <x v="8"/>
    <x v="4"/>
    <m/>
    <m/>
    <n v="0"/>
    <n v="0"/>
    <m/>
    <m/>
    <n v="0"/>
    <m/>
    <n v="0"/>
    <n v="0"/>
    <m/>
  </r>
  <r>
    <n v="1114"/>
    <s v=""/>
    <s v="0"/>
    <m/>
    <s v="0"/>
    <m/>
    <x v="4"/>
    <x v="8"/>
    <x v="4"/>
    <m/>
    <m/>
    <n v="0"/>
    <n v="0"/>
    <m/>
    <m/>
    <n v="0"/>
    <m/>
    <n v="0"/>
    <n v="0"/>
    <m/>
  </r>
  <r>
    <n v="1115"/>
    <s v=""/>
    <s v="0"/>
    <m/>
    <s v="0"/>
    <m/>
    <x v="4"/>
    <x v="8"/>
    <x v="4"/>
    <m/>
    <m/>
    <n v="0"/>
    <n v="0"/>
    <m/>
    <m/>
    <n v="0"/>
    <m/>
    <n v="0"/>
    <n v="0"/>
    <m/>
  </r>
  <r>
    <n v="1116"/>
    <s v=""/>
    <s v="0"/>
    <m/>
    <s v="0"/>
    <m/>
    <x v="4"/>
    <x v="8"/>
    <x v="4"/>
    <m/>
    <m/>
    <n v="0"/>
    <n v="0"/>
    <m/>
    <m/>
    <n v="0"/>
    <m/>
    <n v="0"/>
    <n v="0"/>
    <m/>
  </r>
  <r>
    <n v="1117"/>
    <s v=""/>
    <s v="0"/>
    <m/>
    <s v="0"/>
    <m/>
    <x v="4"/>
    <x v="8"/>
    <x v="4"/>
    <m/>
    <m/>
    <n v="0"/>
    <n v="0"/>
    <m/>
    <m/>
    <n v="0"/>
    <m/>
    <n v="0"/>
    <n v="0"/>
    <m/>
  </r>
  <r>
    <n v="1118"/>
    <s v=""/>
    <s v="0"/>
    <m/>
    <s v="0"/>
    <m/>
    <x v="4"/>
    <x v="8"/>
    <x v="4"/>
    <m/>
    <m/>
    <n v="0"/>
    <n v="0"/>
    <m/>
    <m/>
    <n v="0"/>
    <m/>
    <n v="0"/>
    <n v="0"/>
    <m/>
  </r>
  <r>
    <n v="1119"/>
    <s v=""/>
    <s v="0"/>
    <m/>
    <s v="0"/>
    <m/>
    <x v="4"/>
    <x v="8"/>
    <x v="4"/>
    <m/>
    <m/>
    <n v="0"/>
    <n v="0"/>
    <m/>
    <m/>
    <n v="0"/>
    <m/>
    <n v="0"/>
    <n v="0"/>
    <m/>
  </r>
  <r>
    <n v="1120"/>
    <s v=""/>
    <s v="0"/>
    <m/>
    <s v="0"/>
    <m/>
    <x v="4"/>
    <x v="8"/>
    <x v="4"/>
    <m/>
    <m/>
    <n v="0"/>
    <n v="0"/>
    <m/>
    <m/>
    <n v="0"/>
    <m/>
    <n v="0"/>
    <n v="0"/>
    <m/>
  </r>
  <r>
    <n v="1121"/>
    <s v=""/>
    <s v="0"/>
    <m/>
    <s v="0"/>
    <m/>
    <x v="4"/>
    <x v="8"/>
    <x v="4"/>
    <m/>
    <m/>
    <n v="0"/>
    <n v="0"/>
    <m/>
    <m/>
    <n v="0"/>
    <m/>
    <n v="0"/>
    <n v="0"/>
    <m/>
  </r>
  <r>
    <n v="1122"/>
    <s v=""/>
    <s v="0"/>
    <m/>
    <s v="0"/>
    <m/>
    <x v="4"/>
    <x v="8"/>
    <x v="4"/>
    <m/>
    <m/>
    <n v="0"/>
    <n v="0"/>
    <m/>
    <m/>
    <n v="0"/>
    <m/>
    <n v="0"/>
    <n v="0"/>
    <m/>
  </r>
  <r>
    <n v="1123"/>
    <s v=""/>
    <s v="0"/>
    <m/>
    <s v="0"/>
    <m/>
    <x v="4"/>
    <x v="8"/>
    <x v="4"/>
    <m/>
    <m/>
    <n v="0"/>
    <n v="0"/>
    <m/>
    <m/>
    <n v="0"/>
    <m/>
    <n v="0"/>
    <n v="0"/>
    <m/>
  </r>
  <r>
    <n v="1124"/>
    <s v=""/>
    <s v="0"/>
    <m/>
    <s v="0"/>
    <m/>
    <x v="4"/>
    <x v="8"/>
    <x v="4"/>
    <m/>
    <m/>
    <n v="0"/>
    <n v="0"/>
    <m/>
    <m/>
    <n v="0"/>
    <m/>
    <n v="0"/>
    <n v="0"/>
    <m/>
  </r>
  <r>
    <n v="1125"/>
    <s v=""/>
    <s v="0"/>
    <m/>
    <s v="0"/>
    <m/>
    <x v="4"/>
    <x v="8"/>
    <x v="4"/>
    <m/>
    <m/>
    <n v="0"/>
    <n v="0"/>
    <m/>
    <m/>
    <n v="0"/>
    <m/>
    <n v="0"/>
    <n v="0"/>
    <m/>
  </r>
  <r>
    <n v="1126"/>
    <s v=""/>
    <s v="0"/>
    <m/>
    <s v="0"/>
    <m/>
    <x v="4"/>
    <x v="8"/>
    <x v="4"/>
    <m/>
    <m/>
    <n v="0"/>
    <n v="0"/>
    <m/>
    <m/>
    <n v="0"/>
    <m/>
    <n v="0"/>
    <n v="0"/>
    <m/>
  </r>
  <r>
    <n v="1127"/>
    <s v=""/>
    <s v="0"/>
    <m/>
    <s v="0"/>
    <m/>
    <x v="4"/>
    <x v="8"/>
    <x v="4"/>
    <m/>
    <m/>
    <n v="0"/>
    <n v="0"/>
    <m/>
    <m/>
    <n v="0"/>
    <m/>
    <n v="0"/>
    <n v="0"/>
    <m/>
  </r>
  <r>
    <n v="1128"/>
    <s v=""/>
    <s v="0"/>
    <m/>
    <s v="0"/>
    <m/>
    <x v="4"/>
    <x v="8"/>
    <x v="4"/>
    <m/>
    <m/>
    <n v="0"/>
    <n v="0"/>
    <m/>
    <m/>
    <n v="0"/>
    <m/>
    <n v="0"/>
    <n v="0"/>
    <m/>
  </r>
  <r>
    <n v="1129"/>
    <s v=""/>
    <s v="0"/>
    <m/>
    <s v="0"/>
    <m/>
    <x v="4"/>
    <x v="8"/>
    <x v="4"/>
    <m/>
    <m/>
    <n v="0"/>
    <n v="0"/>
    <m/>
    <m/>
    <n v="0"/>
    <m/>
    <n v="0"/>
    <n v="0"/>
    <m/>
  </r>
  <r>
    <n v="1130"/>
    <s v=""/>
    <s v="0"/>
    <m/>
    <s v="0"/>
    <m/>
    <x v="4"/>
    <x v="8"/>
    <x v="4"/>
    <m/>
    <m/>
    <n v="0"/>
    <n v="0"/>
    <m/>
    <m/>
    <n v="0"/>
    <m/>
    <n v="0"/>
    <n v="0"/>
    <m/>
  </r>
  <r>
    <n v="1131"/>
    <s v=""/>
    <s v="0"/>
    <m/>
    <s v="0"/>
    <m/>
    <x v="4"/>
    <x v="8"/>
    <x v="4"/>
    <m/>
    <m/>
    <n v="0"/>
    <n v="0"/>
    <m/>
    <m/>
    <n v="0"/>
    <m/>
    <n v="0"/>
    <n v="0"/>
    <m/>
  </r>
  <r>
    <n v="1132"/>
    <s v=""/>
    <s v="0"/>
    <m/>
    <s v="0"/>
    <m/>
    <x v="4"/>
    <x v="8"/>
    <x v="4"/>
    <m/>
    <m/>
    <n v="0"/>
    <n v="0"/>
    <m/>
    <m/>
    <n v="0"/>
    <m/>
    <n v="0"/>
    <n v="0"/>
    <m/>
  </r>
  <r>
    <n v="1133"/>
    <s v=""/>
    <s v="0"/>
    <m/>
    <s v="0"/>
    <m/>
    <x v="4"/>
    <x v="8"/>
    <x v="4"/>
    <m/>
    <m/>
    <n v="0"/>
    <n v="0"/>
    <m/>
    <m/>
    <n v="0"/>
    <m/>
    <n v="0"/>
    <n v="0"/>
    <m/>
  </r>
  <r>
    <n v="1134"/>
    <s v=""/>
    <s v="0"/>
    <m/>
    <s v="0"/>
    <m/>
    <x v="4"/>
    <x v="8"/>
    <x v="4"/>
    <m/>
    <m/>
    <n v="0"/>
    <n v="0"/>
    <m/>
    <m/>
    <n v="0"/>
    <m/>
    <n v="0"/>
    <n v="0"/>
    <m/>
  </r>
  <r>
    <n v="1135"/>
    <s v=""/>
    <s v="0"/>
    <m/>
    <s v="0"/>
    <m/>
    <x v="4"/>
    <x v="8"/>
    <x v="4"/>
    <m/>
    <m/>
    <n v="0"/>
    <n v="0"/>
    <m/>
    <m/>
    <n v="0"/>
    <m/>
    <n v="0"/>
    <n v="0"/>
    <m/>
  </r>
  <r>
    <n v="1136"/>
    <s v=""/>
    <s v="0"/>
    <m/>
    <s v="0"/>
    <m/>
    <x v="4"/>
    <x v="8"/>
    <x v="4"/>
    <m/>
    <m/>
    <n v="0"/>
    <n v="0"/>
    <m/>
    <m/>
    <n v="0"/>
    <m/>
    <n v="0"/>
    <n v="0"/>
    <m/>
  </r>
  <r>
    <n v="1137"/>
    <s v=""/>
    <s v="0"/>
    <m/>
    <s v="0"/>
    <m/>
    <x v="4"/>
    <x v="8"/>
    <x v="4"/>
    <m/>
    <m/>
    <n v="0"/>
    <n v="0"/>
    <m/>
    <m/>
    <n v="0"/>
    <m/>
    <n v="0"/>
    <n v="0"/>
    <m/>
  </r>
  <r>
    <n v="1138"/>
    <s v=""/>
    <s v="0"/>
    <m/>
    <s v="0"/>
    <m/>
    <x v="4"/>
    <x v="8"/>
    <x v="4"/>
    <m/>
    <m/>
    <n v="0"/>
    <n v="0"/>
    <m/>
    <m/>
    <n v="0"/>
    <m/>
    <n v="0"/>
    <n v="0"/>
    <m/>
  </r>
  <r>
    <n v="1139"/>
    <s v=""/>
    <s v="0"/>
    <m/>
    <s v="0"/>
    <m/>
    <x v="4"/>
    <x v="8"/>
    <x v="4"/>
    <m/>
    <m/>
    <n v="0"/>
    <n v="0"/>
    <m/>
    <m/>
    <n v="0"/>
    <m/>
    <n v="0"/>
    <n v="0"/>
    <m/>
  </r>
  <r>
    <n v="1140"/>
    <s v=""/>
    <s v="0"/>
    <m/>
    <s v="0"/>
    <m/>
    <x v="4"/>
    <x v="8"/>
    <x v="4"/>
    <m/>
    <m/>
    <n v="0"/>
    <n v="0"/>
    <m/>
    <m/>
    <n v="0"/>
    <m/>
    <n v="0"/>
    <n v="0"/>
    <m/>
  </r>
  <r>
    <n v="1141"/>
    <s v=""/>
    <s v="0"/>
    <m/>
    <s v="0"/>
    <m/>
    <x v="4"/>
    <x v="8"/>
    <x v="4"/>
    <m/>
    <m/>
    <n v="0"/>
    <n v="0"/>
    <m/>
    <m/>
    <n v="0"/>
    <m/>
    <n v="0"/>
    <n v="0"/>
    <m/>
  </r>
  <r>
    <n v="1142"/>
    <s v=""/>
    <s v="0"/>
    <m/>
    <s v="0"/>
    <m/>
    <x v="4"/>
    <x v="8"/>
    <x v="4"/>
    <m/>
    <m/>
    <n v="0"/>
    <n v="0"/>
    <m/>
    <m/>
    <n v="0"/>
    <m/>
    <n v="0"/>
    <n v="0"/>
    <m/>
  </r>
  <r>
    <n v="1143"/>
    <s v=""/>
    <s v="0"/>
    <m/>
    <s v="0"/>
    <m/>
    <x v="4"/>
    <x v="8"/>
    <x v="4"/>
    <m/>
    <m/>
    <n v="0"/>
    <n v="0"/>
    <m/>
    <m/>
    <n v="0"/>
    <m/>
    <n v="0"/>
    <n v="0"/>
    <m/>
  </r>
  <r>
    <n v="1144"/>
    <s v=""/>
    <s v="0"/>
    <m/>
    <s v="0"/>
    <m/>
    <x v="4"/>
    <x v="8"/>
    <x v="4"/>
    <m/>
    <m/>
    <n v="0"/>
    <n v="0"/>
    <m/>
    <m/>
    <n v="0"/>
    <m/>
    <n v="0"/>
    <n v="0"/>
    <m/>
  </r>
  <r>
    <n v="1145"/>
    <s v=""/>
    <s v="0"/>
    <m/>
    <s v="0"/>
    <m/>
    <x v="4"/>
    <x v="8"/>
    <x v="4"/>
    <m/>
    <m/>
    <n v="0"/>
    <n v="0"/>
    <m/>
    <m/>
    <n v="0"/>
    <m/>
    <n v="0"/>
    <n v="0"/>
    <m/>
  </r>
  <r>
    <n v="1146"/>
    <s v=""/>
    <s v="0"/>
    <m/>
    <s v="0"/>
    <m/>
    <x v="4"/>
    <x v="8"/>
    <x v="4"/>
    <m/>
    <m/>
    <n v="0"/>
    <n v="0"/>
    <m/>
    <m/>
    <n v="0"/>
    <m/>
    <n v="0"/>
    <n v="0"/>
    <m/>
  </r>
  <r>
    <n v="1147"/>
    <s v=""/>
    <s v="0"/>
    <m/>
    <s v="0"/>
    <m/>
    <x v="4"/>
    <x v="8"/>
    <x v="4"/>
    <m/>
    <m/>
    <n v="0"/>
    <n v="0"/>
    <m/>
    <m/>
    <n v="0"/>
    <m/>
    <n v="0"/>
    <n v="0"/>
    <m/>
  </r>
  <r>
    <n v="1148"/>
    <s v=""/>
    <s v="0"/>
    <m/>
    <s v="0"/>
    <m/>
    <x v="4"/>
    <x v="8"/>
    <x v="4"/>
    <m/>
    <m/>
    <n v="0"/>
    <n v="0"/>
    <m/>
    <m/>
    <n v="0"/>
    <m/>
    <n v="0"/>
    <n v="0"/>
    <m/>
  </r>
  <r>
    <n v="1149"/>
    <s v=""/>
    <s v="0"/>
    <m/>
    <s v="0"/>
    <m/>
    <x v="4"/>
    <x v="8"/>
    <x v="4"/>
    <m/>
    <m/>
    <n v="0"/>
    <n v="0"/>
    <m/>
    <m/>
    <n v="0"/>
    <m/>
    <n v="0"/>
    <n v="0"/>
    <m/>
  </r>
  <r>
    <n v="1150"/>
    <s v=""/>
    <s v="0"/>
    <m/>
    <s v="0"/>
    <m/>
    <x v="4"/>
    <x v="8"/>
    <x v="4"/>
    <m/>
    <m/>
    <n v="0"/>
    <n v="0"/>
    <m/>
    <m/>
    <n v="0"/>
    <m/>
    <n v="0"/>
    <n v="0"/>
    <m/>
  </r>
  <r>
    <n v="1151"/>
    <s v=""/>
    <s v="0"/>
    <m/>
    <s v="0"/>
    <m/>
    <x v="4"/>
    <x v="8"/>
    <x v="4"/>
    <m/>
    <m/>
    <n v="0"/>
    <n v="0"/>
    <m/>
    <m/>
    <n v="0"/>
    <m/>
    <n v="0"/>
    <n v="0"/>
    <m/>
  </r>
  <r>
    <n v="1152"/>
    <s v=""/>
    <s v="0"/>
    <m/>
    <s v="0"/>
    <m/>
    <x v="4"/>
    <x v="8"/>
    <x v="4"/>
    <m/>
    <m/>
    <n v="0"/>
    <n v="0"/>
    <m/>
    <m/>
    <n v="0"/>
    <m/>
    <n v="0"/>
    <n v="0"/>
    <m/>
  </r>
  <r>
    <n v="1153"/>
    <s v=""/>
    <s v="0"/>
    <m/>
    <s v="0"/>
    <m/>
    <x v="4"/>
    <x v="8"/>
    <x v="4"/>
    <m/>
    <m/>
    <n v="0"/>
    <n v="0"/>
    <m/>
    <m/>
    <n v="0"/>
    <m/>
    <n v="0"/>
    <n v="0"/>
    <m/>
  </r>
  <r>
    <n v="1154"/>
    <s v=""/>
    <s v="0"/>
    <m/>
    <s v="0"/>
    <m/>
    <x v="4"/>
    <x v="8"/>
    <x v="4"/>
    <m/>
    <m/>
    <n v="0"/>
    <n v="0"/>
    <m/>
    <m/>
    <n v="0"/>
    <m/>
    <n v="0"/>
    <n v="0"/>
    <m/>
  </r>
  <r>
    <n v="1155"/>
    <s v=""/>
    <s v="0"/>
    <m/>
    <s v="0"/>
    <m/>
    <x v="4"/>
    <x v="8"/>
    <x v="4"/>
    <m/>
    <m/>
    <n v="0"/>
    <n v="0"/>
    <m/>
    <m/>
    <n v="0"/>
    <m/>
    <n v="0"/>
    <n v="0"/>
    <m/>
  </r>
  <r>
    <n v="1156"/>
    <s v=""/>
    <s v="0"/>
    <m/>
    <s v="0"/>
    <m/>
    <x v="4"/>
    <x v="8"/>
    <x v="4"/>
    <m/>
    <m/>
    <n v="0"/>
    <n v="0"/>
    <m/>
    <m/>
    <n v="0"/>
    <m/>
    <n v="0"/>
    <n v="0"/>
    <m/>
  </r>
  <r>
    <n v="1157"/>
    <s v=""/>
    <s v="0"/>
    <m/>
    <s v="0"/>
    <m/>
    <x v="4"/>
    <x v="8"/>
    <x v="4"/>
    <m/>
    <m/>
    <n v="0"/>
    <n v="0"/>
    <m/>
    <m/>
    <n v="0"/>
    <m/>
    <n v="0"/>
    <n v="0"/>
    <m/>
  </r>
  <r>
    <n v="1158"/>
    <s v=""/>
    <s v="0"/>
    <m/>
    <s v="0"/>
    <m/>
    <x v="4"/>
    <x v="8"/>
    <x v="4"/>
    <m/>
    <m/>
    <n v="0"/>
    <n v="0"/>
    <m/>
    <m/>
    <n v="0"/>
    <m/>
    <n v="0"/>
    <n v="0"/>
    <m/>
  </r>
  <r>
    <n v="1159"/>
    <s v=""/>
    <s v="0"/>
    <m/>
    <s v="0"/>
    <m/>
    <x v="4"/>
    <x v="8"/>
    <x v="4"/>
    <m/>
    <m/>
    <n v="0"/>
    <n v="0"/>
    <m/>
    <m/>
    <n v="0"/>
    <m/>
    <n v="0"/>
    <n v="0"/>
    <m/>
  </r>
  <r>
    <n v="1160"/>
    <s v=""/>
    <s v="0"/>
    <m/>
    <s v="0"/>
    <m/>
    <x v="4"/>
    <x v="8"/>
    <x v="4"/>
    <m/>
    <m/>
    <n v="0"/>
    <n v="0"/>
    <m/>
    <m/>
    <n v="0"/>
    <m/>
    <n v="0"/>
    <n v="0"/>
    <m/>
  </r>
  <r>
    <n v="1161"/>
    <s v=""/>
    <s v="0"/>
    <m/>
    <s v="0"/>
    <m/>
    <x v="4"/>
    <x v="8"/>
    <x v="4"/>
    <m/>
    <m/>
    <n v="0"/>
    <n v="0"/>
    <m/>
    <m/>
    <n v="0"/>
    <m/>
    <n v="0"/>
    <n v="0"/>
    <m/>
  </r>
  <r>
    <n v="1162"/>
    <s v=""/>
    <s v="0"/>
    <m/>
    <s v="0"/>
    <m/>
    <x v="4"/>
    <x v="8"/>
    <x v="4"/>
    <m/>
    <m/>
    <n v="0"/>
    <n v="0"/>
    <m/>
    <m/>
    <n v="0"/>
    <m/>
    <n v="0"/>
    <n v="0"/>
    <m/>
  </r>
  <r>
    <n v="1163"/>
    <s v=""/>
    <s v="0"/>
    <m/>
    <s v="0"/>
    <m/>
    <x v="4"/>
    <x v="8"/>
    <x v="4"/>
    <m/>
    <m/>
    <n v="0"/>
    <n v="0"/>
    <m/>
    <m/>
    <n v="0"/>
    <m/>
    <n v="0"/>
    <n v="0"/>
    <m/>
  </r>
  <r>
    <n v="1164"/>
    <s v=""/>
    <s v="0"/>
    <m/>
    <s v="0"/>
    <m/>
    <x v="4"/>
    <x v="8"/>
    <x v="4"/>
    <m/>
    <m/>
    <n v="0"/>
    <n v="0"/>
    <m/>
    <m/>
    <n v="0"/>
    <m/>
    <n v="0"/>
    <n v="0"/>
    <m/>
  </r>
  <r>
    <n v="1165"/>
    <s v=""/>
    <s v="0"/>
    <m/>
    <s v="0"/>
    <m/>
    <x v="4"/>
    <x v="8"/>
    <x v="4"/>
    <m/>
    <m/>
    <n v="0"/>
    <n v="0"/>
    <m/>
    <m/>
    <n v="0"/>
    <m/>
    <n v="0"/>
    <n v="0"/>
    <m/>
  </r>
  <r>
    <n v="1166"/>
    <s v=""/>
    <s v="0"/>
    <m/>
    <s v="0"/>
    <m/>
    <x v="4"/>
    <x v="8"/>
    <x v="4"/>
    <m/>
    <m/>
    <n v="0"/>
    <n v="0"/>
    <m/>
    <m/>
    <n v="0"/>
    <m/>
    <n v="0"/>
    <n v="0"/>
    <m/>
  </r>
  <r>
    <n v="1167"/>
    <s v=""/>
    <s v="0"/>
    <m/>
    <s v="0"/>
    <m/>
    <x v="4"/>
    <x v="8"/>
    <x v="4"/>
    <m/>
    <m/>
    <n v="0"/>
    <n v="0"/>
    <m/>
    <m/>
    <n v="0"/>
    <m/>
    <n v="0"/>
    <n v="0"/>
    <m/>
  </r>
  <r>
    <n v="1168"/>
    <s v=""/>
    <s v="0"/>
    <m/>
    <s v="0"/>
    <m/>
    <x v="4"/>
    <x v="8"/>
    <x v="4"/>
    <m/>
    <m/>
    <n v="0"/>
    <n v="0"/>
    <m/>
    <m/>
    <n v="0"/>
    <m/>
    <n v="0"/>
    <n v="0"/>
    <m/>
  </r>
  <r>
    <n v="1169"/>
    <s v=""/>
    <s v="0"/>
    <m/>
    <s v="0"/>
    <m/>
    <x v="4"/>
    <x v="8"/>
    <x v="4"/>
    <m/>
    <m/>
    <n v="0"/>
    <n v="0"/>
    <m/>
    <m/>
    <n v="0"/>
    <m/>
    <n v="0"/>
    <n v="0"/>
    <m/>
  </r>
  <r>
    <n v="1170"/>
    <s v=""/>
    <s v="0"/>
    <m/>
    <s v="0"/>
    <m/>
    <x v="4"/>
    <x v="8"/>
    <x v="4"/>
    <m/>
    <m/>
    <n v="0"/>
    <n v="0"/>
    <m/>
    <m/>
    <n v="0"/>
    <m/>
    <n v="0"/>
    <n v="0"/>
    <m/>
  </r>
  <r>
    <n v="1171"/>
    <s v=""/>
    <s v="0"/>
    <m/>
    <s v="0"/>
    <m/>
    <x v="4"/>
    <x v="8"/>
    <x v="4"/>
    <m/>
    <m/>
    <n v="0"/>
    <n v="0"/>
    <m/>
    <m/>
    <n v="0"/>
    <m/>
    <n v="0"/>
    <n v="0"/>
    <m/>
  </r>
  <r>
    <n v="1172"/>
    <s v=""/>
    <s v="0"/>
    <m/>
    <s v="0"/>
    <m/>
    <x v="4"/>
    <x v="8"/>
    <x v="4"/>
    <m/>
    <m/>
    <n v="0"/>
    <n v="0"/>
    <m/>
    <m/>
    <n v="0"/>
    <m/>
    <n v="0"/>
    <n v="0"/>
    <m/>
  </r>
  <r>
    <n v="1173"/>
    <s v=""/>
    <s v="0"/>
    <m/>
    <s v="0"/>
    <m/>
    <x v="4"/>
    <x v="8"/>
    <x v="4"/>
    <m/>
    <m/>
    <n v="0"/>
    <n v="0"/>
    <m/>
    <m/>
    <n v="0"/>
    <m/>
    <n v="0"/>
    <n v="0"/>
    <m/>
  </r>
  <r>
    <n v="1174"/>
    <s v=""/>
    <s v="0"/>
    <m/>
    <s v="0"/>
    <m/>
    <x v="4"/>
    <x v="8"/>
    <x v="4"/>
    <m/>
    <m/>
    <n v="0"/>
    <n v="0"/>
    <m/>
    <m/>
    <n v="0"/>
    <m/>
    <n v="0"/>
    <n v="0"/>
    <m/>
  </r>
  <r>
    <n v="1175"/>
    <s v=""/>
    <s v="0"/>
    <m/>
    <s v="0"/>
    <m/>
    <x v="4"/>
    <x v="8"/>
    <x v="4"/>
    <m/>
    <m/>
    <n v="0"/>
    <n v="0"/>
    <m/>
    <m/>
    <n v="0"/>
    <m/>
    <n v="0"/>
    <n v="0"/>
    <m/>
  </r>
  <r>
    <n v="1176"/>
    <s v=""/>
    <s v="0"/>
    <m/>
    <s v="0"/>
    <m/>
    <x v="4"/>
    <x v="8"/>
    <x v="4"/>
    <m/>
    <m/>
    <n v="0"/>
    <n v="0"/>
    <m/>
    <m/>
    <n v="0"/>
    <m/>
    <n v="0"/>
    <n v="0"/>
    <m/>
  </r>
  <r>
    <n v="1177"/>
    <s v=""/>
    <s v="0"/>
    <m/>
    <s v="0"/>
    <m/>
    <x v="4"/>
    <x v="8"/>
    <x v="4"/>
    <m/>
    <m/>
    <n v="0"/>
    <n v="0"/>
    <m/>
    <m/>
    <n v="0"/>
    <m/>
    <n v="0"/>
    <n v="0"/>
    <m/>
  </r>
  <r>
    <n v="1178"/>
    <s v=""/>
    <s v="0"/>
    <m/>
    <s v="0"/>
    <m/>
    <x v="4"/>
    <x v="8"/>
    <x v="4"/>
    <m/>
    <m/>
    <n v="0"/>
    <n v="0"/>
    <m/>
    <m/>
    <n v="0"/>
    <m/>
    <n v="0"/>
    <n v="0"/>
    <m/>
  </r>
  <r>
    <n v="1179"/>
    <s v=""/>
    <s v="0"/>
    <m/>
    <s v="0"/>
    <m/>
    <x v="4"/>
    <x v="8"/>
    <x v="4"/>
    <m/>
    <m/>
    <n v="0"/>
    <n v="0"/>
    <m/>
    <m/>
    <n v="0"/>
    <m/>
    <n v="0"/>
    <n v="0"/>
    <m/>
  </r>
  <r>
    <n v="1180"/>
    <s v=""/>
    <s v="0"/>
    <m/>
    <s v="0"/>
    <m/>
    <x v="4"/>
    <x v="8"/>
    <x v="4"/>
    <m/>
    <m/>
    <n v="0"/>
    <n v="0"/>
    <m/>
    <m/>
    <n v="0"/>
    <m/>
    <n v="0"/>
    <n v="0"/>
    <m/>
  </r>
  <r>
    <n v="1181"/>
    <s v=""/>
    <s v="0"/>
    <m/>
    <s v="0"/>
    <m/>
    <x v="4"/>
    <x v="8"/>
    <x v="4"/>
    <m/>
    <m/>
    <n v="0"/>
    <n v="0"/>
    <m/>
    <m/>
    <n v="0"/>
    <m/>
    <n v="0"/>
    <n v="0"/>
    <m/>
  </r>
  <r>
    <n v="1182"/>
    <s v=""/>
    <s v="0"/>
    <m/>
    <s v="0"/>
    <m/>
    <x v="4"/>
    <x v="8"/>
    <x v="4"/>
    <m/>
    <m/>
    <n v="0"/>
    <n v="0"/>
    <m/>
    <m/>
    <n v="0"/>
    <m/>
    <n v="0"/>
    <n v="0"/>
    <m/>
  </r>
  <r>
    <n v="1183"/>
    <s v=""/>
    <s v="0"/>
    <m/>
    <s v="0"/>
    <m/>
    <x v="4"/>
    <x v="8"/>
    <x v="4"/>
    <m/>
    <m/>
    <n v="0"/>
    <n v="0"/>
    <m/>
    <m/>
    <n v="0"/>
    <m/>
    <n v="0"/>
    <n v="0"/>
    <m/>
  </r>
  <r>
    <n v="1184"/>
    <s v=""/>
    <s v="0"/>
    <m/>
    <s v="0"/>
    <m/>
    <x v="4"/>
    <x v="8"/>
    <x v="4"/>
    <m/>
    <m/>
    <n v="0"/>
    <n v="0"/>
    <m/>
    <m/>
    <n v="0"/>
    <m/>
    <n v="0"/>
    <n v="0"/>
    <m/>
  </r>
  <r>
    <n v="1185"/>
    <s v=""/>
    <s v="0"/>
    <m/>
    <s v="0"/>
    <m/>
    <x v="4"/>
    <x v="8"/>
    <x v="4"/>
    <m/>
    <m/>
    <n v="0"/>
    <n v="0"/>
    <m/>
    <m/>
    <n v="0"/>
    <m/>
    <n v="0"/>
    <n v="0"/>
    <m/>
  </r>
  <r>
    <n v="1186"/>
    <s v=""/>
    <s v="0"/>
    <m/>
    <s v="0"/>
    <m/>
    <x v="4"/>
    <x v="8"/>
    <x v="4"/>
    <m/>
    <m/>
    <n v="0"/>
    <n v="0"/>
    <m/>
    <m/>
    <n v="0"/>
    <m/>
    <n v="0"/>
    <n v="0"/>
    <m/>
  </r>
  <r>
    <n v="1187"/>
    <s v=""/>
    <s v="0"/>
    <m/>
    <s v="0"/>
    <m/>
    <x v="4"/>
    <x v="8"/>
    <x v="4"/>
    <m/>
    <m/>
    <n v="0"/>
    <n v="0"/>
    <m/>
    <m/>
    <n v="0"/>
    <m/>
    <n v="0"/>
    <n v="0"/>
    <m/>
  </r>
  <r>
    <n v="1188"/>
    <s v=""/>
    <s v="0"/>
    <m/>
    <s v="0"/>
    <m/>
    <x v="4"/>
    <x v="8"/>
    <x v="4"/>
    <m/>
    <m/>
    <n v="0"/>
    <n v="0"/>
    <m/>
    <m/>
    <n v="0"/>
    <m/>
    <n v="0"/>
    <n v="0"/>
    <m/>
  </r>
  <r>
    <n v="1189"/>
    <s v=""/>
    <s v="0"/>
    <m/>
    <s v="0"/>
    <m/>
    <x v="4"/>
    <x v="8"/>
    <x v="4"/>
    <m/>
    <m/>
    <n v="0"/>
    <n v="0"/>
    <m/>
    <m/>
    <n v="0"/>
    <m/>
    <n v="0"/>
    <n v="0"/>
    <m/>
  </r>
  <r>
    <n v="1190"/>
    <s v=""/>
    <s v="0"/>
    <m/>
    <s v="0"/>
    <m/>
    <x v="4"/>
    <x v="8"/>
    <x v="4"/>
    <m/>
    <m/>
    <n v="0"/>
    <n v="0"/>
    <m/>
    <m/>
    <n v="0"/>
    <m/>
    <n v="0"/>
    <n v="0"/>
    <m/>
  </r>
  <r>
    <n v="1191"/>
    <s v=""/>
    <s v="0"/>
    <m/>
    <s v="0"/>
    <m/>
    <x v="4"/>
    <x v="8"/>
    <x v="4"/>
    <m/>
    <m/>
    <n v="0"/>
    <n v="0"/>
    <m/>
    <m/>
    <n v="0"/>
    <m/>
    <n v="0"/>
    <n v="0"/>
    <m/>
  </r>
  <r>
    <n v="1192"/>
    <s v=""/>
    <s v="0"/>
    <m/>
    <s v="0"/>
    <m/>
    <x v="4"/>
    <x v="8"/>
    <x v="4"/>
    <m/>
    <m/>
    <n v="0"/>
    <n v="0"/>
    <m/>
    <m/>
    <n v="0"/>
    <m/>
    <n v="0"/>
    <n v="0"/>
    <m/>
  </r>
  <r>
    <n v="1193"/>
    <s v=""/>
    <s v="0"/>
    <m/>
    <s v="0"/>
    <m/>
    <x v="4"/>
    <x v="8"/>
    <x v="4"/>
    <m/>
    <m/>
    <n v="0"/>
    <n v="0"/>
    <m/>
    <m/>
    <n v="0"/>
    <m/>
    <n v="0"/>
    <n v="0"/>
    <m/>
  </r>
  <r>
    <n v="1194"/>
    <s v=""/>
    <s v="0"/>
    <m/>
    <s v="0"/>
    <m/>
    <x v="4"/>
    <x v="8"/>
    <x v="4"/>
    <m/>
    <m/>
    <n v="0"/>
    <n v="0"/>
    <m/>
    <m/>
    <n v="0"/>
    <m/>
    <n v="0"/>
    <n v="0"/>
    <m/>
  </r>
  <r>
    <n v="1195"/>
    <s v=""/>
    <s v="0"/>
    <m/>
    <s v="0"/>
    <m/>
    <x v="4"/>
    <x v="8"/>
    <x v="4"/>
    <m/>
    <m/>
    <n v="0"/>
    <n v="0"/>
    <m/>
    <m/>
    <n v="0"/>
    <m/>
    <n v="0"/>
    <n v="0"/>
    <m/>
  </r>
  <r>
    <n v="1196"/>
    <s v=""/>
    <s v="0"/>
    <m/>
    <s v="0"/>
    <m/>
    <x v="4"/>
    <x v="8"/>
    <x v="4"/>
    <m/>
    <m/>
    <n v="0"/>
    <n v="0"/>
    <m/>
    <m/>
    <n v="0"/>
    <m/>
    <n v="0"/>
    <n v="0"/>
    <m/>
  </r>
  <r>
    <n v="1197"/>
    <s v=""/>
    <s v="0"/>
    <m/>
    <s v="0"/>
    <m/>
    <x v="4"/>
    <x v="8"/>
    <x v="4"/>
    <m/>
    <m/>
    <n v="0"/>
    <n v="0"/>
    <m/>
    <m/>
    <n v="0"/>
    <m/>
    <n v="0"/>
    <n v="0"/>
    <m/>
  </r>
  <r>
    <n v="1198"/>
    <s v=""/>
    <s v="0"/>
    <m/>
    <s v="0"/>
    <m/>
    <x v="4"/>
    <x v="8"/>
    <x v="4"/>
    <m/>
    <m/>
    <n v="0"/>
    <n v="0"/>
    <m/>
    <m/>
    <n v="0"/>
    <m/>
    <n v="0"/>
    <n v="0"/>
    <m/>
  </r>
  <r>
    <n v="1199"/>
    <s v=""/>
    <s v="0"/>
    <m/>
    <s v="0"/>
    <m/>
    <x v="4"/>
    <x v="8"/>
    <x v="4"/>
    <m/>
    <m/>
    <n v="0"/>
    <n v="0"/>
    <m/>
    <m/>
    <n v="0"/>
    <m/>
    <n v="0"/>
    <n v="0"/>
    <m/>
  </r>
  <r>
    <n v="1200"/>
    <s v=""/>
    <s v="0"/>
    <m/>
    <s v="0"/>
    <m/>
    <x v="4"/>
    <x v="8"/>
    <x v="4"/>
    <m/>
    <m/>
    <n v="0"/>
    <n v="0"/>
    <m/>
    <m/>
    <n v="0"/>
    <m/>
    <n v="0"/>
    <n v="0"/>
    <m/>
  </r>
  <r>
    <n v="1201"/>
    <s v=""/>
    <s v="0"/>
    <m/>
    <s v="0"/>
    <m/>
    <x v="4"/>
    <x v="8"/>
    <x v="4"/>
    <m/>
    <m/>
    <n v="0"/>
    <n v="0"/>
    <m/>
    <m/>
    <n v="0"/>
    <m/>
    <n v="0"/>
    <n v="0"/>
    <m/>
  </r>
  <r>
    <n v="1202"/>
    <s v=""/>
    <s v="0"/>
    <m/>
    <s v="0"/>
    <m/>
    <x v="4"/>
    <x v="8"/>
    <x v="4"/>
    <m/>
    <m/>
    <n v="0"/>
    <n v="0"/>
    <m/>
    <m/>
    <n v="0"/>
    <m/>
    <n v="0"/>
    <n v="0"/>
    <m/>
  </r>
  <r>
    <n v="1203"/>
    <s v=""/>
    <s v="0"/>
    <m/>
    <s v="0"/>
    <m/>
    <x v="4"/>
    <x v="8"/>
    <x v="4"/>
    <m/>
    <m/>
    <n v="0"/>
    <n v="0"/>
    <m/>
    <m/>
    <n v="0"/>
    <m/>
    <n v="0"/>
    <n v="0"/>
    <m/>
  </r>
  <r>
    <n v="1204"/>
    <s v=""/>
    <s v="0"/>
    <m/>
    <s v="0"/>
    <m/>
    <x v="4"/>
    <x v="8"/>
    <x v="4"/>
    <m/>
    <m/>
    <n v="0"/>
    <n v="0"/>
    <m/>
    <m/>
    <n v="0"/>
    <m/>
    <n v="0"/>
    <n v="0"/>
    <m/>
  </r>
  <r>
    <n v="1205"/>
    <s v=""/>
    <s v="0"/>
    <m/>
    <s v="0"/>
    <m/>
    <x v="4"/>
    <x v="8"/>
    <x v="4"/>
    <m/>
    <m/>
    <n v="0"/>
    <n v="0"/>
    <m/>
    <m/>
    <n v="0"/>
    <m/>
    <n v="0"/>
    <n v="0"/>
    <m/>
  </r>
  <r>
    <n v="1206"/>
    <s v=""/>
    <s v="0"/>
    <m/>
    <s v="0"/>
    <m/>
    <x v="4"/>
    <x v="8"/>
    <x v="4"/>
    <m/>
    <m/>
    <n v="0"/>
    <n v="0"/>
    <m/>
    <m/>
    <n v="0"/>
    <m/>
    <n v="0"/>
    <n v="0"/>
    <m/>
  </r>
  <r>
    <n v="1207"/>
    <s v=""/>
    <s v="0"/>
    <m/>
    <s v="0"/>
    <m/>
    <x v="4"/>
    <x v="8"/>
    <x v="4"/>
    <m/>
    <m/>
    <n v="0"/>
    <n v="0"/>
    <m/>
    <m/>
    <n v="0"/>
    <m/>
    <n v="0"/>
    <n v="0"/>
    <m/>
  </r>
  <r>
    <n v="1208"/>
    <s v=""/>
    <s v="0"/>
    <m/>
    <s v="0"/>
    <m/>
    <x v="4"/>
    <x v="8"/>
    <x v="4"/>
    <m/>
    <m/>
    <n v="0"/>
    <n v="0"/>
    <m/>
    <m/>
    <n v="0"/>
    <m/>
    <n v="0"/>
    <n v="0"/>
    <m/>
  </r>
  <r>
    <n v="1209"/>
    <s v=""/>
    <s v="0"/>
    <m/>
    <s v="0"/>
    <m/>
    <x v="4"/>
    <x v="8"/>
    <x v="4"/>
    <m/>
    <m/>
    <n v="0"/>
    <n v="0"/>
    <m/>
    <m/>
    <n v="0"/>
    <m/>
    <n v="0"/>
    <n v="0"/>
    <m/>
  </r>
  <r>
    <n v="1210"/>
    <s v=""/>
    <s v="0"/>
    <m/>
    <s v="0"/>
    <m/>
    <x v="4"/>
    <x v="8"/>
    <x v="4"/>
    <m/>
    <m/>
    <n v="0"/>
    <n v="0"/>
    <m/>
    <m/>
    <n v="0"/>
    <m/>
    <n v="0"/>
    <n v="0"/>
    <m/>
  </r>
  <r>
    <n v="1211"/>
    <s v=""/>
    <s v="0"/>
    <m/>
    <s v="0"/>
    <m/>
    <x v="4"/>
    <x v="8"/>
    <x v="4"/>
    <m/>
    <m/>
    <n v="0"/>
    <n v="0"/>
    <m/>
    <m/>
    <n v="0"/>
    <m/>
    <n v="0"/>
    <n v="0"/>
    <m/>
  </r>
  <r>
    <n v="1212"/>
    <s v=""/>
    <s v="0"/>
    <m/>
    <s v="0"/>
    <m/>
    <x v="4"/>
    <x v="8"/>
    <x v="4"/>
    <m/>
    <m/>
    <n v="0"/>
    <n v="0"/>
    <m/>
    <m/>
    <n v="0"/>
    <m/>
    <n v="0"/>
    <n v="0"/>
    <m/>
  </r>
  <r>
    <n v="1213"/>
    <s v=""/>
    <s v="0"/>
    <m/>
    <s v="0"/>
    <m/>
    <x v="4"/>
    <x v="8"/>
    <x v="4"/>
    <m/>
    <m/>
    <n v="0"/>
    <n v="0"/>
    <m/>
    <m/>
    <n v="0"/>
    <m/>
    <n v="0"/>
    <n v="0"/>
    <m/>
  </r>
  <r>
    <n v="1214"/>
    <s v=""/>
    <s v="0"/>
    <m/>
    <s v="0"/>
    <m/>
    <x v="4"/>
    <x v="8"/>
    <x v="4"/>
    <m/>
    <m/>
    <n v="0"/>
    <n v="0"/>
    <m/>
    <m/>
    <n v="0"/>
    <m/>
    <n v="0"/>
    <n v="0"/>
    <m/>
  </r>
  <r>
    <n v="1215"/>
    <s v=""/>
    <s v="0"/>
    <m/>
    <s v="0"/>
    <m/>
    <x v="4"/>
    <x v="8"/>
    <x v="4"/>
    <m/>
    <m/>
    <n v="0"/>
    <n v="0"/>
    <m/>
    <m/>
    <n v="0"/>
    <m/>
    <n v="0"/>
    <n v="0"/>
    <m/>
  </r>
  <r>
    <n v="1216"/>
    <s v=""/>
    <s v="0"/>
    <m/>
    <s v="0"/>
    <m/>
    <x v="4"/>
    <x v="8"/>
    <x v="4"/>
    <m/>
    <m/>
    <n v="0"/>
    <n v="0"/>
    <m/>
    <m/>
    <n v="0"/>
    <m/>
    <n v="0"/>
    <n v="0"/>
    <m/>
  </r>
  <r>
    <n v="1217"/>
    <s v=""/>
    <s v="0"/>
    <m/>
    <s v="0"/>
    <m/>
    <x v="4"/>
    <x v="8"/>
    <x v="4"/>
    <m/>
    <m/>
    <n v="0"/>
    <n v="0"/>
    <m/>
    <m/>
    <n v="0"/>
    <m/>
    <n v="0"/>
    <n v="0"/>
    <m/>
  </r>
  <r>
    <n v="1218"/>
    <s v=""/>
    <s v="0"/>
    <m/>
    <s v="0"/>
    <m/>
    <x v="4"/>
    <x v="8"/>
    <x v="4"/>
    <m/>
    <m/>
    <n v="0"/>
    <n v="0"/>
    <m/>
    <m/>
    <n v="0"/>
    <m/>
    <n v="0"/>
    <n v="0"/>
    <m/>
  </r>
  <r>
    <n v="1219"/>
    <s v=""/>
    <s v="0"/>
    <m/>
    <s v="0"/>
    <m/>
    <x v="4"/>
    <x v="8"/>
    <x v="4"/>
    <m/>
    <m/>
    <n v="0"/>
    <n v="0"/>
    <m/>
    <m/>
    <n v="0"/>
    <m/>
    <n v="0"/>
    <n v="0"/>
    <m/>
  </r>
  <r>
    <n v="1220"/>
    <s v=""/>
    <s v="0"/>
    <m/>
    <s v="0"/>
    <m/>
    <x v="4"/>
    <x v="8"/>
    <x v="4"/>
    <m/>
    <m/>
    <n v="0"/>
    <n v="0"/>
    <m/>
    <m/>
    <n v="0"/>
    <m/>
    <n v="0"/>
    <n v="0"/>
    <m/>
  </r>
  <r>
    <n v="1221"/>
    <s v=""/>
    <s v="0"/>
    <m/>
    <s v="0"/>
    <m/>
    <x v="4"/>
    <x v="8"/>
    <x v="4"/>
    <m/>
    <m/>
    <n v="0"/>
    <n v="0"/>
    <m/>
    <m/>
    <n v="0"/>
    <m/>
    <n v="0"/>
    <n v="0"/>
    <m/>
  </r>
  <r>
    <n v="1222"/>
    <s v=""/>
    <s v="0"/>
    <m/>
    <s v="0"/>
    <m/>
    <x v="4"/>
    <x v="8"/>
    <x v="4"/>
    <m/>
    <m/>
    <n v="0"/>
    <n v="0"/>
    <m/>
    <m/>
    <n v="0"/>
    <m/>
    <n v="0"/>
    <n v="0"/>
    <m/>
  </r>
  <r>
    <n v="1223"/>
    <s v=""/>
    <s v="0"/>
    <m/>
    <s v="0"/>
    <m/>
    <x v="4"/>
    <x v="8"/>
    <x v="4"/>
    <m/>
    <m/>
    <n v="0"/>
    <n v="0"/>
    <m/>
    <m/>
    <n v="0"/>
    <m/>
    <n v="0"/>
    <n v="0"/>
    <m/>
  </r>
  <r>
    <n v="1224"/>
    <s v=""/>
    <s v="0"/>
    <m/>
    <s v="0"/>
    <m/>
    <x v="4"/>
    <x v="8"/>
    <x v="4"/>
    <m/>
    <m/>
    <n v="0"/>
    <n v="0"/>
    <m/>
    <m/>
    <n v="0"/>
    <m/>
    <n v="0"/>
    <n v="0"/>
    <m/>
  </r>
  <r>
    <n v="1225"/>
    <s v=""/>
    <s v="0"/>
    <m/>
    <s v="0"/>
    <m/>
    <x v="4"/>
    <x v="8"/>
    <x v="4"/>
    <m/>
    <m/>
    <n v="0"/>
    <n v="0"/>
    <m/>
    <m/>
    <n v="0"/>
    <m/>
    <n v="0"/>
    <n v="0"/>
    <m/>
  </r>
  <r>
    <n v="1226"/>
    <s v=""/>
    <s v="0"/>
    <m/>
    <s v="0"/>
    <m/>
    <x v="4"/>
    <x v="8"/>
    <x v="4"/>
    <m/>
    <m/>
    <n v="0"/>
    <n v="0"/>
    <m/>
    <m/>
    <n v="0"/>
    <m/>
    <n v="0"/>
    <n v="0"/>
    <m/>
  </r>
  <r>
    <n v="1227"/>
    <s v=""/>
    <s v="0"/>
    <m/>
    <s v="0"/>
    <m/>
    <x v="4"/>
    <x v="8"/>
    <x v="4"/>
    <m/>
    <m/>
    <n v="0"/>
    <n v="0"/>
    <m/>
    <m/>
    <n v="0"/>
    <m/>
    <n v="0"/>
    <n v="0"/>
    <m/>
  </r>
  <r>
    <n v="1228"/>
    <s v=""/>
    <s v="0"/>
    <m/>
    <s v="0"/>
    <m/>
    <x v="4"/>
    <x v="8"/>
    <x v="4"/>
    <m/>
    <m/>
    <n v="0"/>
    <n v="0"/>
    <m/>
    <m/>
    <n v="0"/>
    <m/>
    <n v="0"/>
    <n v="0"/>
    <m/>
  </r>
  <r>
    <n v="1229"/>
    <s v=""/>
    <s v="0"/>
    <m/>
    <s v="0"/>
    <m/>
    <x v="4"/>
    <x v="8"/>
    <x v="4"/>
    <m/>
    <m/>
    <n v="0"/>
    <n v="0"/>
    <m/>
    <m/>
    <n v="0"/>
    <m/>
    <n v="0"/>
    <n v="0"/>
    <m/>
  </r>
  <r>
    <n v="1230"/>
    <s v=""/>
    <s v="0"/>
    <m/>
    <s v="0"/>
    <m/>
    <x v="4"/>
    <x v="8"/>
    <x v="4"/>
    <m/>
    <m/>
    <n v="0"/>
    <n v="0"/>
    <m/>
    <m/>
    <n v="0"/>
    <m/>
    <n v="0"/>
    <n v="0"/>
    <m/>
  </r>
  <r>
    <n v="1231"/>
    <s v=""/>
    <s v="0"/>
    <m/>
    <s v="0"/>
    <m/>
    <x v="4"/>
    <x v="8"/>
    <x v="4"/>
    <m/>
    <m/>
    <n v="0"/>
    <n v="0"/>
    <m/>
    <m/>
    <n v="0"/>
    <m/>
    <n v="0"/>
    <n v="0"/>
    <m/>
  </r>
  <r>
    <n v="1232"/>
    <s v=""/>
    <s v="0"/>
    <m/>
    <s v="0"/>
    <m/>
    <x v="4"/>
    <x v="8"/>
    <x v="4"/>
    <m/>
    <m/>
    <n v="0"/>
    <n v="0"/>
    <m/>
    <m/>
    <n v="0"/>
    <m/>
    <n v="0"/>
    <n v="0"/>
    <m/>
  </r>
  <r>
    <n v="1233"/>
    <s v=""/>
    <s v="0"/>
    <m/>
    <s v="0"/>
    <m/>
    <x v="4"/>
    <x v="8"/>
    <x v="4"/>
    <m/>
    <m/>
    <n v="0"/>
    <n v="0"/>
    <m/>
    <m/>
    <n v="0"/>
    <m/>
    <n v="0"/>
    <n v="0"/>
    <m/>
  </r>
  <r>
    <n v="1234"/>
    <s v=""/>
    <s v="0"/>
    <m/>
    <s v="0"/>
    <m/>
    <x v="4"/>
    <x v="8"/>
    <x v="4"/>
    <m/>
    <m/>
    <n v="0"/>
    <n v="0"/>
    <m/>
    <m/>
    <n v="0"/>
    <m/>
    <n v="0"/>
    <n v="0"/>
    <m/>
  </r>
  <r>
    <n v="1235"/>
    <s v=""/>
    <s v="0"/>
    <m/>
    <s v="0"/>
    <m/>
    <x v="4"/>
    <x v="8"/>
    <x v="4"/>
    <m/>
    <m/>
    <n v="0"/>
    <n v="0"/>
    <m/>
    <m/>
    <n v="0"/>
    <m/>
    <n v="0"/>
    <n v="0"/>
    <m/>
  </r>
  <r>
    <n v="1236"/>
    <s v=""/>
    <s v="0"/>
    <m/>
    <s v="0"/>
    <m/>
    <x v="4"/>
    <x v="8"/>
    <x v="4"/>
    <m/>
    <m/>
    <n v="0"/>
    <n v="0"/>
    <m/>
    <m/>
    <n v="0"/>
    <m/>
    <n v="0"/>
    <n v="0"/>
    <m/>
  </r>
  <r>
    <n v="1237"/>
    <s v=""/>
    <s v="0"/>
    <m/>
    <s v="0"/>
    <m/>
    <x v="4"/>
    <x v="8"/>
    <x v="4"/>
    <m/>
    <m/>
    <n v="0"/>
    <n v="0"/>
    <m/>
    <m/>
    <n v="0"/>
    <m/>
    <n v="0"/>
    <n v="0"/>
    <m/>
  </r>
  <r>
    <n v="1238"/>
    <s v=""/>
    <s v="0"/>
    <m/>
    <s v="0"/>
    <m/>
    <x v="4"/>
    <x v="8"/>
    <x v="4"/>
    <m/>
    <m/>
    <n v="0"/>
    <n v="0"/>
    <m/>
    <m/>
    <n v="0"/>
    <m/>
    <n v="0"/>
    <n v="0"/>
    <m/>
  </r>
  <r>
    <n v="1239"/>
    <s v=""/>
    <s v="0"/>
    <m/>
    <s v="0"/>
    <m/>
    <x v="4"/>
    <x v="8"/>
    <x v="4"/>
    <m/>
    <m/>
    <n v="0"/>
    <n v="0"/>
    <m/>
    <m/>
    <n v="0"/>
    <m/>
    <n v="0"/>
    <n v="0"/>
    <m/>
  </r>
  <r>
    <n v="1240"/>
    <s v=""/>
    <s v="0"/>
    <m/>
    <s v="0"/>
    <m/>
    <x v="4"/>
    <x v="8"/>
    <x v="4"/>
    <m/>
    <m/>
    <n v="0"/>
    <n v="0"/>
    <m/>
    <m/>
    <n v="0"/>
    <m/>
    <n v="0"/>
    <n v="0"/>
    <m/>
  </r>
  <r>
    <n v="1241"/>
    <s v=""/>
    <s v="0"/>
    <m/>
    <s v="0"/>
    <m/>
    <x v="4"/>
    <x v="8"/>
    <x v="4"/>
    <m/>
    <m/>
    <n v="0"/>
    <n v="0"/>
    <m/>
    <m/>
    <n v="0"/>
    <m/>
    <n v="0"/>
    <n v="0"/>
    <m/>
  </r>
  <r>
    <n v="1242"/>
    <s v=""/>
    <s v="0"/>
    <m/>
    <s v="0"/>
    <m/>
    <x v="4"/>
    <x v="8"/>
    <x v="4"/>
    <m/>
    <m/>
    <n v="0"/>
    <n v="0"/>
    <m/>
    <m/>
    <n v="0"/>
    <m/>
    <n v="0"/>
    <n v="0"/>
    <m/>
  </r>
  <r>
    <n v="1243"/>
    <s v=""/>
    <s v="0"/>
    <m/>
    <s v="0"/>
    <m/>
    <x v="4"/>
    <x v="8"/>
    <x v="4"/>
    <m/>
    <m/>
    <n v="0"/>
    <n v="0"/>
    <m/>
    <m/>
    <n v="0"/>
    <m/>
    <n v="0"/>
    <n v="0"/>
    <m/>
  </r>
  <r>
    <n v="1244"/>
    <s v=""/>
    <s v="0"/>
    <m/>
    <s v="0"/>
    <m/>
    <x v="4"/>
    <x v="8"/>
    <x v="4"/>
    <m/>
    <m/>
    <n v="0"/>
    <n v="0"/>
    <m/>
    <m/>
    <n v="0"/>
    <m/>
    <n v="0"/>
    <n v="0"/>
    <m/>
  </r>
  <r>
    <n v="1245"/>
    <s v=""/>
    <s v="0"/>
    <m/>
    <s v="0"/>
    <m/>
    <x v="4"/>
    <x v="8"/>
    <x v="4"/>
    <m/>
    <m/>
    <n v="0"/>
    <n v="0"/>
    <m/>
    <m/>
    <n v="0"/>
    <m/>
    <n v="0"/>
    <n v="0"/>
    <m/>
  </r>
  <r>
    <n v="1246"/>
    <s v=""/>
    <s v="0"/>
    <m/>
    <s v="0"/>
    <m/>
    <x v="4"/>
    <x v="8"/>
    <x v="4"/>
    <m/>
    <m/>
    <n v="0"/>
    <n v="0"/>
    <m/>
    <m/>
    <n v="0"/>
    <m/>
    <n v="0"/>
    <n v="0"/>
    <m/>
  </r>
  <r>
    <n v="1247"/>
    <s v=""/>
    <s v="0"/>
    <m/>
    <s v="0"/>
    <m/>
    <x v="4"/>
    <x v="8"/>
    <x v="4"/>
    <m/>
    <m/>
    <n v="0"/>
    <n v="0"/>
    <m/>
    <m/>
    <n v="0"/>
    <m/>
    <n v="0"/>
    <n v="0"/>
    <m/>
  </r>
  <r>
    <n v="1248"/>
    <s v=""/>
    <s v="0"/>
    <m/>
    <s v="0"/>
    <m/>
    <x v="4"/>
    <x v="8"/>
    <x v="4"/>
    <m/>
    <m/>
    <n v="0"/>
    <n v="0"/>
    <m/>
    <m/>
    <n v="0"/>
    <m/>
    <n v="0"/>
    <n v="0"/>
    <m/>
  </r>
  <r>
    <n v="1249"/>
    <s v=""/>
    <s v="0"/>
    <m/>
    <s v="0"/>
    <m/>
    <x v="4"/>
    <x v="8"/>
    <x v="4"/>
    <m/>
    <m/>
    <n v="0"/>
    <n v="0"/>
    <m/>
    <m/>
    <n v="0"/>
    <m/>
    <n v="0"/>
    <n v="0"/>
    <m/>
  </r>
  <r>
    <n v="1250"/>
    <s v=""/>
    <s v="0"/>
    <m/>
    <s v="0"/>
    <m/>
    <x v="4"/>
    <x v="8"/>
    <x v="4"/>
    <m/>
    <m/>
    <n v="0"/>
    <n v="0"/>
    <m/>
    <m/>
    <n v="0"/>
    <m/>
    <n v="0"/>
    <n v="0"/>
    <m/>
  </r>
  <r>
    <n v="1251"/>
    <s v=""/>
    <s v="0"/>
    <m/>
    <s v="0"/>
    <m/>
    <x v="4"/>
    <x v="8"/>
    <x v="4"/>
    <m/>
    <m/>
    <n v="0"/>
    <n v="0"/>
    <m/>
    <m/>
    <n v="0"/>
    <m/>
    <n v="0"/>
    <n v="0"/>
    <m/>
  </r>
  <r>
    <n v="1252"/>
    <s v=""/>
    <s v="0"/>
    <m/>
    <s v="0"/>
    <m/>
    <x v="4"/>
    <x v="8"/>
    <x v="4"/>
    <m/>
    <m/>
    <n v="0"/>
    <n v="0"/>
    <m/>
    <m/>
    <n v="0"/>
    <m/>
    <n v="0"/>
    <n v="0"/>
    <m/>
  </r>
  <r>
    <n v="1253"/>
    <s v=""/>
    <s v="0"/>
    <m/>
    <s v="0"/>
    <m/>
    <x v="4"/>
    <x v="8"/>
    <x v="4"/>
    <m/>
    <m/>
    <n v="0"/>
    <n v="0"/>
    <m/>
    <m/>
    <n v="0"/>
    <m/>
    <n v="0"/>
    <n v="0"/>
    <m/>
  </r>
  <r>
    <n v="1254"/>
    <s v=""/>
    <s v="0"/>
    <m/>
    <s v="0"/>
    <m/>
    <x v="4"/>
    <x v="8"/>
    <x v="4"/>
    <m/>
    <m/>
    <n v="0"/>
    <n v="0"/>
    <m/>
    <m/>
    <n v="0"/>
    <m/>
    <n v="0"/>
    <n v="0"/>
    <m/>
  </r>
  <r>
    <n v="1255"/>
    <s v=""/>
    <s v="0"/>
    <m/>
    <s v="0"/>
    <m/>
    <x v="4"/>
    <x v="8"/>
    <x v="4"/>
    <m/>
    <m/>
    <n v="0"/>
    <n v="0"/>
    <m/>
    <m/>
    <n v="0"/>
    <m/>
    <n v="0"/>
    <n v="0"/>
    <m/>
  </r>
  <r>
    <n v="1256"/>
    <s v=""/>
    <s v="0"/>
    <m/>
    <s v="0"/>
    <m/>
    <x v="4"/>
    <x v="8"/>
    <x v="4"/>
    <m/>
    <m/>
    <n v="0"/>
    <n v="0"/>
    <m/>
    <m/>
    <n v="0"/>
    <m/>
    <n v="0"/>
    <n v="0"/>
    <m/>
  </r>
  <r>
    <n v="1257"/>
    <s v=""/>
    <s v="0"/>
    <m/>
    <s v="0"/>
    <m/>
    <x v="4"/>
    <x v="8"/>
    <x v="4"/>
    <m/>
    <m/>
    <n v="0"/>
    <n v="0"/>
    <m/>
    <m/>
    <n v="0"/>
    <m/>
    <n v="0"/>
    <n v="0"/>
    <m/>
  </r>
  <r>
    <n v="1258"/>
    <s v=""/>
    <s v="0"/>
    <m/>
    <s v="0"/>
    <m/>
    <x v="4"/>
    <x v="8"/>
    <x v="4"/>
    <m/>
    <m/>
    <n v="0"/>
    <n v="0"/>
    <m/>
    <m/>
    <n v="0"/>
    <m/>
    <n v="0"/>
    <n v="0"/>
    <m/>
  </r>
  <r>
    <n v="1259"/>
    <s v=""/>
    <s v="0"/>
    <m/>
    <s v="0"/>
    <m/>
    <x v="4"/>
    <x v="8"/>
    <x v="4"/>
    <m/>
    <m/>
    <n v="0"/>
    <n v="0"/>
    <m/>
    <m/>
    <n v="0"/>
    <m/>
    <n v="0"/>
    <n v="0"/>
    <m/>
  </r>
  <r>
    <n v="1260"/>
    <s v=""/>
    <s v="0"/>
    <m/>
    <s v="0"/>
    <m/>
    <x v="4"/>
    <x v="8"/>
    <x v="4"/>
    <m/>
    <m/>
    <n v="0"/>
    <n v="0"/>
    <m/>
    <m/>
    <n v="0"/>
    <m/>
    <n v="0"/>
    <n v="0"/>
    <m/>
  </r>
  <r>
    <n v="1261"/>
    <s v=""/>
    <s v="0"/>
    <m/>
    <s v="0"/>
    <m/>
    <x v="4"/>
    <x v="8"/>
    <x v="4"/>
    <m/>
    <m/>
    <n v="0"/>
    <n v="0"/>
    <m/>
    <m/>
    <n v="0"/>
    <m/>
    <n v="0"/>
    <n v="0"/>
    <m/>
  </r>
  <r>
    <n v="1262"/>
    <s v=""/>
    <s v="0"/>
    <m/>
    <s v="0"/>
    <m/>
    <x v="4"/>
    <x v="8"/>
    <x v="4"/>
    <m/>
    <m/>
    <n v="0"/>
    <n v="0"/>
    <m/>
    <m/>
    <n v="0"/>
    <m/>
    <n v="0"/>
    <n v="0"/>
    <m/>
  </r>
  <r>
    <n v="1263"/>
    <s v=""/>
    <s v="0"/>
    <m/>
    <s v="0"/>
    <m/>
    <x v="4"/>
    <x v="8"/>
    <x v="4"/>
    <m/>
    <m/>
    <n v="0"/>
    <n v="0"/>
    <m/>
    <m/>
    <n v="0"/>
    <m/>
    <n v="0"/>
    <n v="0"/>
    <m/>
  </r>
  <r>
    <n v="1264"/>
    <s v=""/>
    <s v="0"/>
    <m/>
    <s v="0"/>
    <m/>
    <x v="4"/>
    <x v="8"/>
    <x v="4"/>
    <m/>
    <m/>
    <n v="0"/>
    <n v="0"/>
    <m/>
    <m/>
    <n v="0"/>
    <m/>
    <n v="0"/>
    <n v="0"/>
    <m/>
  </r>
  <r>
    <n v="1265"/>
    <s v=""/>
    <s v="0"/>
    <m/>
    <s v="0"/>
    <m/>
    <x v="4"/>
    <x v="8"/>
    <x v="4"/>
    <m/>
    <m/>
    <n v="0"/>
    <n v="0"/>
    <m/>
    <m/>
    <n v="0"/>
    <m/>
    <n v="0"/>
    <n v="0"/>
    <m/>
  </r>
  <r>
    <n v="1266"/>
    <s v=""/>
    <s v="0"/>
    <m/>
    <s v="0"/>
    <m/>
    <x v="4"/>
    <x v="8"/>
    <x v="4"/>
    <m/>
    <m/>
    <n v="0"/>
    <n v="0"/>
    <m/>
    <m/>
    <n v="0"/>
    <m/>
    <n v="0"/>
    <n v="0"/>
    <m/>
  </r>
  <r>
    <n v="1267"/>
    <s v=""/>
    <s v="0"/>
    <m/>
    <s v="0"/>
    <m/>
    <x v="4"/>
    <x v="8"/>
    <x v="4"/>
    <m/>
    <m/>
    <n v="0"/>
    <n v="0"/>
    <m/>
    <m/>
    <n v="0"/>
    <m/>
    <n v="0"/>
    <n v="0"/>
    <m/>
  </r>
  <r>
    <n v="1268"/>
    <s v=""/>
    <s v="0"/>
    <m/>
    <s v="0"/>
    <m/>
    <x v="4"/>
    <x v="8"/>
    <x v="4"/>
    <m/>
    <m/>
    <n v="0"/>
    <n v="0"/>
    <m/>
    <m/>
    <n v="0"/>
    <m/>
    <n v="0"/>
    <n v="0"/>
    <m/>
  </r>
  <r>
    <n v="1269"/>
    <s v=""/>
    <s v="0"/>
    <m/>
    <s v="0"/>
    <m/>
    <x v="4"/>
    <x v="8"/>
    <x v="4"/>
    <m/>
    <m/>
    <n v="0"/>
    <n v="0"/>
    <m/>
    <m/>
    <n v="0"/>
    <m/>
    <n v="0"/>
    <n v="0"/>
    <m/>
  </r>
  <r>
    <n v="1270"/>
    <s v=""/>
    <s v="0"/>
    <m/>
    <s v="0"/>
    <m/>
    <x v="4"/>
    <x v="8"/>
    <x v="4"/>
    <m/>
    <m/>
    <n v="0"/>
    <n v="0"/>
    <m/>
    <m/>
    <n v="0"/>
    <m/>
    <n v="0"/>
    <n v="0"/>
    <m/>
  </r>
  <r>
    <n v="1271"/>
    <s v=""/>
    <s v="0"/>
    <m/>
    <s v="0"/>
    <m/>
    <x v="4"/>
    <x v="8"/>
    <x v="4"/>
    <m/>
    <m/>
    <n v="0"/>
    <n v="0"/>
    <m/>
    <m/>
    <n v="0"/>
    <m/>
    <n v="0"/>
    <n v="0"/>
    <m/>
  </r>
  <r>
    <n v="1272"/>
    <s v=""/>
    <s v="0"/>
    <m/>
    <s v="0"/>
    <m/>
    <x v="4"/>
    <x v="8"/>
    <x v="4"/>
    <m/>
    <m/>
    <n v="0"/>
    <n v="0"/>
    <m/>
    <m/>
    <n v="0"/>
    <m/>
    <n v="0"/>
    <n v="0"/>
    <m/>
  </r>
  <r>
    <n v="1273"/>
    <s v=""/>
    <s v="0"/>
    <m/>
    <s v="0"/>
    <m/>
    <x v="4"/>
    <x v="8"/>
    <x v="4"/>
    <m/>
    <m/>
    <n v="0"/>
    <n v="0"/>
    <m/>
    <m/>
    <n v="0"/>
    <m/>
    <n v="0"/>
    <n v="0"/>
    <m/>
  </r>
  <r>
    <n v="1274"/>
    <s v=""/>
    <s v="0"/>
    <m/>
    <s v="0"/>
    <m/>
    <x v="4"/>
    <x v="8"/>
    <x v="4"/>
    <m/>
    <m/>
    <n v="0"/>
    <n v="0"/>
    <m/>
    <m/>
    <n v="0"/>
    <m/>
    <n v="0"/>
    <n v="0"/>
    <m/>
  </r>
  <r>
    <n v="1275"/>
    <s v=""/>
    <s v="0"/>
    <m/>
    <s v="0"/>
    <m/>
    <x v="4"/>
    <x v="8"/>
    <x v="4"/>
    <m/>
    <m/>
    <n v="0"/>
    <n v="0"/>
    <m/>
    <m/>
    <n v="0"/>
    <m/>
    <n v="0"/>
    <n v="0"/>
    <m/>
  </r>
  <r>
    <n v="1276"/>
    <s v=""/>
    <s v="0"/>
    <m/>
    <s v="0"/>
    <m/>
    <x v="4"/>
    <x v="8"/>
    <x v="4"/>
    <m/>
    <m/>
    <n v="0"/>
    <n v="0"/>
    <m/>
    <m/>
    <n v="0"/>
    <m/>
    <n v="0"/>
    <n v="0"/>
    <m/>
  </r>
  <r>
    <n v="1277"/>
    <s v=""/>
    <s v="0"/>
    <m/>
    <s v="0"/>
    <m/>
    <x v="4"/>
    <x v="8"/>
    <x v="4"/>
    <m/>
    <m/>
    <n v="0"/>
    <n v="0"/>
    <m/>
    <m/>
    <n v="0"/>
    <m/>
    <n v="0"/>
    <n v="0"/>
    <m/>
  </r>
  <r>
    <n v="1278"/>
    <s v=""/>
    <s v="0"/>
    <m/>
    <s v="0"/>
    <m/>
    <x v="4"/>
    <x v="8"/>
    <x v="4"/>
    <m/>
    <m/>
    <n v="0"/>
    <n v="0"/>
    <m/>
    <m/>
    <n v="0"/>
    <m/>
    <n v="0"/>
    <n v="0"/>
    <m/>
  </r>
  <r>
    <n v="1279"/>
    <s v=""/>
    <s v="0"/>
    <m/>
    <s v="0"/>
    <m/>
    <x v="4"/>
    <x v="8"/>
    <x v="4"/>
    <m/>
    <m/>
    <n v="0"/>
    <n v="0"/>
    <m/>
    <m/>
    <n v="0"/>
    <m/>
    <n v="0"/>
    <n v="0"/>
    <m/>
  </r>
  <r>
    <n v="1280"/>
    <s v=""/>
    <s v="0"/>
    <m/>
    <s v="0"/>
    <m/>
    <x v="4"/>
    <x v="8"/>
    <x v="4"/>
    <m/>
    <m/>
    <n v="0"/>
    <n v="0"/>
    <m/>
    <m/>
    <n v="0"/>
    <m/>
    <n v="0"/>
    <n v="0"/>
    <m/>
  </r>
  <r>
    <n v="1281"/>
    <s v=""/>
    <s v="0"/>
    <m/>
    <s v="0"/>
    <m/>
    <x v="4"/>
    <x v="8"/>
    <x v="4"/>
    <m/>
    <m/>
    <n v="0"/>
    <n v="0"/>
    <m/>
    <m/>
    <n v="0"/>
    <m/>
    <n v="0"/>
    <n v="0"/>
    <m/>
  </r>
  <r>
    <n v="1282"/>
    <s v=""/>
    <s v="0"/>
    <m/>
    <s v="0"/>
    <m/>
    <x v="4"/>
    <x v="8"/>
    <x v="4"/>
    <m/>
    <m/>
    <n v="0"/>
    <n v="0"/>
    <m/>
    <m/>
    <n v="0"/>
    <m/>
    <n v="0"/>
    <n v="0"/>
    <m/>
  </r>
  <r>
    <n v="1283"/>
    <s v=""/>
    <s v="0"/>
    <m/>
    <s v="0"/>
    <m/>
    <x v="4"/>
    <x v="8"/>
    <x v="4"/>
    <m/>
    <m/>
    <n v="0"/>
    <n v="0"/>
    <m/>
    <m/>
    <n v="0"/>
    <m/>
    <n v="0"/>
    <n v="0"/>
    <m/>
  </r>
  <r>
    <n v="1284"/>
    <s v=""/>
    <s v="0"/>
    <m/>
    <s v="0"/>
    <m/>
    <x v="4"/>
    <x v="8"/>
    <x v="4"/>
    <m/>
    <m/>
    <n v="0"/>
    <n v="0"/>
    <m/>
    <m/>
    <n v="0"/>
    <m/>
    <n v="0"/>
    <n v="0"/>
    <m/>
  </r>
  <r>
    <n v="1285"/>
    <s v=""/>
    <s v="0"/>
    <m/>
    <s v="0"/>
    <m/>
    <x v="4"/>
    <x v="8"/>
    <x v="4"/>
    <m/>
    <m/>
    <n v="0"/>
    <n v="0"/>
    <m/>
    <m/>
    <n v="0"/>
    <m/>
    <n v="0"/>
    <n v="0"/>
    <m/>
  </r>
  <r>
    <n v="1286"/>
    <s v=""/>
    <s v="0"/>
    <m/>
    <s v="0"/>
    <m/>
    <x v="4"/>
    <x v="8"/>
    <x v="4"/>
    <m/>
    <m/>
    <n v="0"/>
    <n v="0"/>
    <m/>
    <m/>
    <n v="0"/>
    <m/>
    <n v="0"/>
    <n v="0"/>
    <m/>
  </r>
  <r>
    <n v="1287"/>
    <s v=""/>
    <s v="0"/>
    <m/>
    <s v="0"/>
    <m/>
    <x v="4"/>
    <x v="8"/>
    <x v="4"/>
    <m/>
    <m/>
    <n v="0"/>
    <n v="0"/>
    <m/>
    <m/>
    <n v="0"/>
    <m/>
    <n v="0"/>
    <n v="0"/>
    <m/>
  </r>
  <r>
    <n v="1288"/>
    <s v=""/>
    <s v="0"/>
    <m/>
    <s v="0"/>
    <m/>
    <x v="4"/>
    <x v="8"/>
    <x v="4"/>
    <m/>
    <m/>
    <n v="0"/>
    <n v="0"/>
    <m/>
    <m/>
    <n v="0"/>
    <m/>
    <n v="0"/>
    <n v="0"/>
    <m/>
  </r>
  <r>
    <n v="1289"/>
    <s v=""/>
    <s v="0"/>
    <m/>
    <s v="0"/>
    <m/>
    <x v="4"/>
    <x v="8"/>
    <x v="4"/>
    <m/>
    <m/>
    <n v="0"/>
    <n v="0"/>
    <m/>
    <m/>
    <n v="0"/>
    <m/>
    <n v="0"/>
    <n v="0"/>
    <m/>
  </r>
  <r>
    <n v="1290"/>
    <s v=""/>
    <s v="0"/>
    <m/>
    <s v="0"/>
    <m/>
    <x v="4"/>
    <x v="8"/>
    <x v="4"/>
    <m/>
    <m/>
    <n v="0"/>
    <n v="0"/>
    <m/>
    <m/>
    <n v="0"/>
    <m/>
    <n v="0"/>
    <n v="0"/>
    <m/>
  </r>
  <r>
    <n v="1291"/>
    <s v=""/>
    <s v="0"/>
    <m/>
    <s v="0"/>
    <m/>
    <x v="4"/>
    <x v="8"/>
    <x v="4"/>
    <m/>
    <m/>
    <n v="0"/>
    <n v="0"/>
    <m/>
    <m/>
    <n v="0"/>
    <m/>
    <n v="0"/>
    <n v="0"/>
    <m/>
  </r>
  <r>
    <n v="1292"/>
    <s v=""/>
    <s v="0"/>
    <m/>
    <s v="0"/>
    <m/>
    <x v="4"/>
    <x v="8"/>
    <x v="4"/>
    <m/>
    <m/>
    <n v="0"/>
    <n v="0"/>
    <m/>
    <m/>
    <n v="0"/>
    <m/>
    <n v="0"/>
    <n v="0"/>
    <m/>
  </r>
  <r>
    <n v="1293"/>
    <s v=""/>
    <s v="0"/>
    <m/>
    <s v="0"/>
    <m/>
    <x v="4"/>
    <x v="8"/>
    <x v="4"/>
    <m/>
    <m/>
    <n v="0"/>
    <n v="0"/>
    <m/>
    <m/>
    <n v="0"/>
    <m/>
    <n v="0"/>
    <n v="0"/>
    <m/>
  </r>
  <r>
    <n v="1294"/>
    <s v=""/>
    <s v="0"/>
    <m/>
    <s v="0"/>
    <m/>
    <x v="4"/>
    <x v="8"/>
    <x v="4"/>
    <m/>
    <m/>
    <n v="0"/>
    <n v="0"/>
    <m/>
    <m/>
    <n v="0"/>
    <m/>
    <n v="0"/>
    <n v="0"/>
    <m/>
  </r>
  <r>
    <n v="1295"/>
    <s v=""/>
    <s v="0"/>
    <m/>
    <s v="0"/>
    <m/>
    <x v="4"/>
    <x v="8"/>
    <x v="4"/>
    <m/>
    <m/>
    <n v="0"/>
    <n v="0"/>
    <m/>
    <m/>
    <n v="0"/>
    <m/>
    <n v="0"/>
    <n v="0"/>
    <m/>
  </r>
  <r>
    <n v="1296"/>
    <s v=""/>
    <s v="0"/>
    <m/>
    <s v="0"/>
    <m/>
    <x v="4"/>
    <x v="8"/>
    <x v="4"/>
    <m/>
    <m/>
    <n v="0"/>
    <n v="0"/>
    <m/>
    <m/>
    <n v="0"/>
    <m/>
    <n v="0"/>
    <n v="0"/>
    <m/>
  </r>
  <r>
    <n v="1297"/>
    <s v=""/>
    <s v="0"/>
    <m/>
    <s v="0"/>
    <m/>
    <x v="4"/>
    <x v="8"/>
    <x v="4"/>
    <m/>
    <m/>
    <n v="0"/>
    <n v="0"/>
    <m/>
    <m/>
    <n v="0"/>
    <m/>
    <n v="0"/>
    <n v="0"/>
    <m/>
  </r>
  <r>
    <n v="1298"/>
    <s v=""/>
    <s v="0"/>
    <m/>
    <s v="0"/>
    <m/>
    <x v="4"/>
    <x v="8"/>
    <x v="4"/>
    <m/>
    <m/>
    <n v="0"/>
    <n v="0"/>
    <m/>
    <m/>
    <n v="0"/>
    <m/>
    <n v="0"/>
    <n v="0"/>
    <m/>
  </r>
  <r>
    <n v="1299"/>
    <s v=""/>
    <s v="0"/>
    <m/>
    <s v="0"/>
    <m/>
    <x v="4"/>
    <x v="8"/>
    <x v="4"/>
    <m/>
    <m/>
    <n v="0"/>
    <n v="0"/>
    <m/>
    <m/>
    <n v="0"/>
    <m/>
    <n v="0"/>
    <n v="0"/>
    <m/>
  </r>
  <r>
    <n v="1300"/>
    <s v=""/>
    <s v="0"/>
    <m/>
    <s v="0"/>
    <m/>
    <x v="4"/>
    <x v="8"/>
    <x v="4"/>
    <m/>
    <m/>
    <n v="0"/>
    <n v="0"/>
    <m/>
    <m/>
    <n v="0"/>
    <m/>
    <n v="0"/>
    <n v="0"/>
    <m/>
  </r>
  <r>
    <n v="1301"/>
    <s v=""/>
    <s v="0"/>
    <m/>
    <s v="0"/>
    <m/>
    <x v="4"/>
    <x v="8"/>
    <x v="4"/>
    <m/>
    <m/>
    <n v="0"/>
    <n v="0"/>
    <m/>
    <m/>
    <n v="0"/>
    <m/>
    <n v="0"/>
    <n v="0"/>
    <m/>
  </r>
  <r>
    <n v="1302"/>
    <s v=""/>
    <s v="0"/>
    <m/>
    <s v="0"/>
    <m/>
    <x v="4"/>
    <x v="8"/>
    <x v="4"/>
    <m/>
    <m/>
    <n v="0"/>
    <n v="0"/>
    <m/>
    <m/>
    <n v="0"/>
    <m/>
    <n v="0"/>
    <n v="0"/>
    <m/>
  </r>
  <r>
    <n v="1303"/>
    <s v=""/>
    <s v="0"/>
    <m/>
    <s v="0"/>
    <m/>
    <x v="4"/>
    <x v="8"/>
    <x v="4"/>
    <m/>
    <m/>
    <n v="0"/>
    <n v="0"/>
    <m/>
    <m/>
    <n v="0"/>
    <m/>
    <n v="0"/>
    <n v="0"/>
    <m/>
  </r>
  <r>
    <n v="1304"/>
    <s v=""/>
    <s v="0"/>
    <m/>
    <s v="0"/>
    <m/>
    <x v="4"/>
    <x v="8"/>
    <x v="4"/>
    <m/>
    <m/>
    <n v="0"/>
    <n v="0"/>
    <m/>
    <m/>
    <n v="0"/>
    <m/>
    <n v="0"/>
    <n v="0"/>
    <m/>
  </r>
  <r>
    <n v="1305"/>
    <s v=""/>
    <s v="0"/>
    <m/>
    <s v="0"/>
    <m/>
    <x v="4"/>
    <x v="8"/>
    <x v="4"/>
    <m/>
    <m/>
    <n v="0"/>
    <n v="0"/>
    <m/>
    <m/>
    <n v="0"/>
    <m/>
    <n v="0"/>
    <n v="0"/>
    <m/>
  </r>
  <r>
    <n v="1306"/>
    <s v=""/>
    <s v="0"/>
    <m/>
    <s v="0"/>
    <m/>
    <x v="4"/>
    <x v="8"/>
    <x v="4"/>
    <m/>
    <m/>
    <n v="0"/>
    <n v="0"/>
    <m/>
    <m/>
    <n v="0"/>
    <m/>
    <n v="0"/>
    <n v="0"/>
    <m/>
  </r>
  <r>
    <n v="1307"/>
    <s v=""/>
    <s v="0"/>
    <m/>
    <s v="0"/>
    <m/>
    <x v="4"/>
    <x v="8"/>
    <x v="4"/>
    <m/>
    <m/>
    <n v="0"/>
    <n v="0"/>
    <m/>
    <m/>
    <n v="0"/>
    <m/>
    <n v="0"/>
    <n v="0"/>
    <m/>
  </r>
  <r>
    <n v="1308"/>
    <s v=""/>
    <s v="0"/>
    <m/>
    <s v="0"/>
    <m/>
    <x v="4"/>
    <x v="8"/>
    <x v="4"/>
    <m/>
    <m/>
    <n v="0"/>
    <n v="0"/>
    <m/>
    <m/>
    <n v="0"/>
    <m/>
    <n v="0"/>
    <n v="0"/>
    <m/>
  </r>
  <r>
    <n v="1309"/>
    <s v=""/>
    <s v="0"/>
    <m/>
    <s v="0"/>
    <m/>
    <x v="4"/>
    <x v="8"/>
    <x v="4"/>
    <m/>
    <m/>
    <n v="0"/>
    <n v="0"/>
    <m/>
    <m/>
    <n v="0"/>
    <m/>
    <n v="0"/>
    <n v="0"/>
    <m/>
  </r>
  <r>
    <n v="1310"/>
    <s v=""/>
    <s v="0"/>
    <m/>
    <s v="0"/>
    <m/>
    <x v="4"/>
    <x v="8"/>
    <x v="4"/>
    <m/>
    <m/>
    <n v="0"/>
    <n v="0"/>
    <m/>
    <m/>
    <n v="0"/>
    <m/>
    <n v="0"/>
    <n v="0"/>
    <m/>
  </r>
  <r>
    <n v="1311"/>
    <s v=""/>
    <s v="0"/>
    <m/>
    <s v="0"/>
    <m/>
    <x v="4"/>
    <x v="8"/>
    <x v="4"/>
    <m/>
    <m/>
    <n v="0"/>
    <n v="0"/>
    <m/>
    <m/>
    <n v="0"/>
    <m/>
    <n v="0"/>
    <n v="0"/>
    <m/>
  </r>
  <r>
    <n v="1312"/>
    <s v=""/>
    <s v="0"/>
    <m/>
    <s v="0"/>
    <m/>
    <x v="4"/>
    <x v="8"/>
    <x v="4"/>
    <m/>
    <m/>
    <n v="0"/>
    <n v="0"/>
    <m/>
    <m/>
    <n v="0"/>
    <m/>
    <n v="0"/>
    <n v="0"/>
    <m/>
  </r>
  <r>
    <n v="1313"/>
    <s v=""/>
    <s v="0"/>
    <m/>
    <s v="0"/>
    <m/>
    <x v="4"/>
    <x v="8"/>
    <x v="4"/>
    <m/>
    <m/>
    <n v="0"/>
    <n v="0"/>
    <m/>
    <m/>
    <n v="0"/>
    <m/>
    <n v="0"/>
    <n v="0"/>
    <m/>
  </r>
  <r>
    <n v="1314"/>
    <s v=""/>
    <s v="0"/>
    <m/>
    <s v="0"/>
    <m/>
    <x v="4"/>
    <x v="8"/>
    <x v="4"/>
    <m/>
    <m/>
    <n v="0"/>
    <n v="0"/>
    <m/>
    <m/>
    <n v="0"/>
    <m/>
    <n v="0"/>
    <n v="0"/>
    <m/>
  </r>
  <r>
    <n v="1315"/>
    <s v=""/>
    <s v="0"/>
    <m/>
    <s v="0"/>
    <m/>
    <x v="4"/>
    <x v="8"/>
    <x v="4"/>
    <m/>
    <m/>
    <n v="0"/>
    <n v="0"/>
    <m/>
    <m/>
    <n v="0"/>
    <m/>
    <n v="0"/>
    <n v="0"/>
    <m/>
  </r>
  <r>
    <n v="1316"/>
    <s v=""/>
    <s v="0"/>
    <m/>
    <s v="0"/>
    <m/>
    <x v="4"/>
    <x v="8"/>
    <x v="4"/>
    <m/>
    <m/>
    <n v="0"/>
    <n v="0"/>
    <m/>
    <m/>
    <n v="0"/>
    <m/>
    <n v="0"/>
    <n v="0"/>
    <m/>
  </r>
  <r>
    <n v="1317"/>
    <s v=""/>
    <s v="0"/>
    <m/>
    <s v="0"/>
    <m/>
    <x v="4"/>
    <x v="8"/>
    <x v="4"/>
    <m/>
    <m/>
    <n v="0"/>
    <n v="0"/>
    <m/>
    <m/>
    <n v="0"/>
    <m/>
    <n v="0"/>
    <n v="0"/>
    <m/>
  </r>
  <r>
    <n v="1318"/>
    <s v=""/>
    <s v="0"/>
    <m/>
    <s v="0"/>
    <m/>
    <x v="4"/>
    <x v="8"/>
    <x v="4"/>
    <m/>
    <m/>
    <n v="0"/>
    <n v="0"/>
    <m/>
    <m/>
    <n v="0"/>
    <m/>
    <n v="0"/>
    <n v="0"/>
    <m/>
  </r>
  <r>
    <n v="1319"/>
    <s v=""/>
    <s v="0"/>
    <m/>
    <s v="0"/>
    <m/>
    <x v="4"/>
    <x v="8"/>
    <x v="4"/>
    <m/>
    <m/>
    <n v="0"/>
    <n v="0"/>
    <m/>
    <m/>
    <n v="0"/>
    <m/>
    <n v="0"/>
    <n v="0"/>
    <m/>
  </r>
  <r>
    <n v="1320"/>
    <s v=""/>
    <s v="0"/>
    <m/>
    <s v="0"/>
    <m/>
    <x v="4"/>
    <x v="8"/>
    <x v="4"/>
    <m/>
    <m/>
    <n v="0"/>
    <n v="0"/>
    <m/>
    <m/>
    <n v="0"/>
    <m/>
    <n v="0"/>
    <n v="0"/>
    <m/>
  </r>
  <r>
    <n v="1321"/>
    <s v=""/>
    <s v="0"/>
    <m/>
    <s v="0"/>
    <m/>
    <x v="4"/>
    <x v="8"/>
    <x v="4"/>
    <m/>
    <m/>
    <n v="0"/>
    <n v="0"/>
    <m/>
    <m/>
    <n v="0"/>
    <m/>
    <n v="0"/>
    <n v="0"/>
    <m/>
  </r>
  <r>
    <n v="1322"/>
    <s v=""/>
    <s v="0"/>
    <m/>
    <s v="0"/>
    <m/>
    <x v="4"/>
    <x v="8"/>
    <x v="4"/>
    <m/>
    <m/>
    <n v="0"/>
    <n v="0"/>
    <m/>
    <m/>
    <n v="0"/>
    <m/>
    <n v="0"/>
    <n v="0"/>
    <m/>
  </r>
  <r>
    <n v="1323"/>
    <s v=""/>
    <s v="0"/>
    <m/>
    <s v="0"/>
    <m/>
    <x v="4"/>
    <x v="8"/>
    <x v="4"/>
    <m/>
    <m/>
    <n v="0"/>
    <n v="0"/>
    <m/>
    <m/>
    <n v="0"/>
    <m/>
    <n v="0"/>
    <n v="0"/>
    <m/>
  </r>
  <r>
    <n v="1324"/>
    <s v=""/>
    <s v="0"/>
    <m/>
    <s v="0"/>
    <m/>
    <x v="4"/>
    <x v="8"/>
    <x v="4"/>
    <m/>
    <m/>
    <n v="0"/>
    <n v="0"/>
    <m/>
    <m/>
    <n v="0"/>
    <m/>
    <n v="0"/>
    <n v="0"/>
    <m/>
  </r>
  <r>
    <n v="1325"/>
    <s v=""/>
    <s v="0"/>
    <m/>
    <s v="0"/>
    <m/>
    <x v="4"/>
    <x v="8"/>
    <x v="4"/>
    <m/>
    <m/>
    <n v="0"/>
    <n v="0"/>
    <m/>
    <m/>
    <n v="0"/>
    <m/>
    <n v="0"/>
    <n v="0"/>
    <m/>
  </r>
  <r>
    <n v="1326"/>
    <s v=""/>
    <s v="0"/>
    <m/>
    <s v="0"/>
    <m/>
    <x v="4"/>
    <x v="8"/>
    <x v="4"/>
    <m/>
    <m/>
    <n v="0"/>
    <n v="0"/>
    <m/>
    <m/>
    <n v="0"/>
    <m/>
    <n v="0"/>
    <n v="0"/>
    <m/>
  </r>
  <r>
    <n v="1327"/>
    <s v=""/>
    <s v="0"/>
    <m/>
    <s v="0"/>
    <m/>
    <x v="4"/>
    <x v="8"/>
    <x v="4"/>
    <m/>
    <m/>
    <n v="0"/>
    <n v="0"/>
    <m/>
    <m/>
    <n v="0"/>
    <m/>
    <n v="0"/>
    <n v="0"/>
    <m/>
  </r>
  <r>
    <n v="1328"/>
    <s v=""/>
    <s v="0"/>
    <m/>
    <s v="0"/>
    <m/>
    <x v="4"/>
    <x v="8"/>
    <x v="4"/>
    <m/>
    <m/>
    <n v="0"/>
    <n v="0"/>
    <m/>
    <m/>
    <n v="0"/>
    <m/>
    <n v="0"/>
    <n v="0"/>
    <m/>
  </r>
  <r>
    <n v="1329"/>
    <s v=""/>
    <s v="0"/>
    <m/>
    <s v="0"/>
    <m/>
    <x v="4"/>
    <x v="8"/>
    <x v="4"/>
    <m/>
    <m/>
    <n v="0"/>
    <n v="0"/>
    <m/>
    <m/>
    <n v="0"/>
    <m/>
    <n v="0"/>
    <n v="0"/>
    <m/>
  </r>
  <r>
    <n v="1330"/>
    <s v=""/>
    <s v="0"/>
    <m/>
    <s v="0"/>
    <m/>
    <x v="4"/>
    <x v="8"/>
    <x v="4"/>
    <m/>
    <m/>
    <n v="0"/>
    <n v="0"/>
    <m/>
    <m/>
    <n v="0"/>
    <m/>
    <n v="0"/>
    <n v="0"/>
    <m/>
  </r>
  <r>
    <n v="1331"/>
    <s v=""/>
    <s v="0"/>
    <m/>
    <s v="0"/>
    <m/>
    <x v="4"/>
    <x v="8"/>
    <x v="4"/>
    <m/>
    <m/>
    <n v="0"/>
    <n v="0"/>
    <m/>
    <m/>
    <n v="0"/>
    <m/>
    <n v="0"/>
    <n v="0"/>
    <m/>
  </r>
  <r>
    <n v="1332"/>
    <s v=""/>
    <s v="0"/>
    <m/>
    <s v="0"/>
    <m/>
    <x v="4"/>
    <x v="8"/>
    <x v="4"/>
    <m/>
    <m/>
    <n v="0"/>
    <n v="0"/>
    <m/>
    <m/>
    <n v="0"/>
    <m/>
    <n v="0"/>
    <n v="0"/>
    <m/>
  </r>
  <r>
    <n v="1333"/>
    <s v=""/>
    <s v="0"/>
    <m/>
    <s v="0"/>
    <m/>
    <x v="4"/>
    <x v="8"/>
    <x v="4"/>
    <m/>
    <m/>
    <n v="0"/>
    <n v="0"/>
    <m/>
    <m/>
    <n v="0"/>
    <m/>
    <n v="0"/>
    <n v="0"/>
    <m/>
  </r>
  <r>
    <n v="1334"/>
    <s v=""/>
    <s v="0"/>
    <m/>
    <s v="0"/>
    <m/>
    <x v="4"/>
    <x v="8"/>
    <x v="4"/>
    <m/>
    <m/>
    <n v="0"/>
    <n v="0"/>
    <m/>
    <m/>
    <n v="0"/>
    <m/>
    <n v="0"/>
    <n v="0"/>
    <m/>
  </r>
  <r>
    <n v="1335"/>
    <s v=""/>
    <s v="0"/>
    <m/>
    <s v="0"/>
    <m/>
    <x v="4"/>
    <x v="8"/>
    <x v="4"/>
    <m/>
    <m/>
    <n v="0"/>
    <n v="0"/>
    <m/>
    <m/>
    <n v="0"/>
    <m/>
    <n v="0"/>
    <n v="0"/>
    <m/>
  </r>
  <r>
    <n v="1336"/>
    <s v=""/>
    <s v="0"/>
    <m/>
    <s v="0"/>
    <m/>
    <x v="4"/>
    <x v="8"/>
    <x v="4"/>
    <m/>
    <m/>
    <n v="0"/>
    <n v="0"/>
    <m/>
    <m/>
    <n v="0"/>
    <m/>
    <n v="0"/>
    <n v="0"/>
    <m/>
  </r>
  <r>
    <n v="1337"/>
    <s v=""/>
    <s v="0"/>
    <m/>
    <s v="0"/>
    <m/>
    <x v="4"/>
    <x v="8"/>
    <x v="4"/>
    <m/>
    <m/>
    <n v="0"/>
    <n v="0"/>
    <m/>
    <m/>
    <n v="0"/>
    <m/>
    <n v="0"/>
    <n v="0"/>
    <m/>
  </r>
  <r>
    <n v="1338"/>
    <s v=""/>
    <s v="0"/>
    <m/>
    <s v="0"/>
    <m/>
    <x v="4"/>
    <x v="8"/>
    <x v="4"/>
    <m/>
    <m/>
    <n v="0"/>
    <n v="0"/>
    <m/>
    <m/>
    <n v="0"/>
    <m/>
    <n v="0"/>
    <n v="0"/>
    <m/>
  </r>
  <r>
    <n v="1339"/>
    <s v=""/>
    <s v="0"/>
    <m/>
    <s v="0"/>
    <m/>
    <x v="4"/>
    <x v="8"/>
    <x v="4"/>
    <m/>
    <m/>
    <n v="0"/>
    <n v="0"/>
    <m/>
    <m/>
    <n v="0"/>
    <m/>
    <n v="0"/>
    <n v="0"/>
    <m/>
  </r>
  <r>
    <n v="1340"/>
    <s v=""/>
    <s v="0"/>
    <m/>
    <s v="0"/>
    <m/>
    <x v="4"/>
    <x v="8"/>
    <x v="4"/>
    <m/>
    <m/>
    <n v="0"/>
    <n v="0"/>
    <m/>
    <m/>
    <n v="0"/>
    <m/>
    <n v="0"/>
    <n v="0"/>
    <m/>
  </r>
  <r>
    <n v="1341"/>
    <s v=""/>
    <s v="0"/>
    <m/>
    <s v="0"/>
    <m/>
    <x v="4"/>
    <x v="8"/>
    <x v="4"/>
    <m/>
    <m/>
    <n v="0"/>
    <n v="0"/>
    <m/>
    <m/>
    <n v="0"/>
    <m/>
    <n v="0"/>
    <n v="0"/>
    <m/>
  </r>
  <r>
    <n v="1342"/>
    <s v=""/>
    <s v="0"/>
    <m/>
    <s v="0"/>
    <m/>
    <x v="4"/>
    <x v="8"/>
    <x v="4"/>
    <m/>
    <m/>
    <n v="0"/>
    <n v="0"/>
    <m/>
    <m/>
    <n v="0"/>
    <m/>
    <n v="0"/>
    <n v="0"/>
    <m/>
  </r>
  <r>
    <n v="1343"/>
    <s v=""/>
    <s v="0"/>
    <m/>
    <s v="0"/>
    <m/>
    <x v="4"/>
    <x v="8"/>
    <x v="4"/>
    <m/>
    <m/>
    <n v="0"/>
    <n v="0"/>
    <m/>
    <m/>
    <n v="0"/>
    <m/>
    <n v="0"/>
    <n v="0"/>
    <m/>
  </r>
  <r>
    <n v="1344"/>
    <s v=""/>
    <s v="0"/>
    <m/>
    <s v="0"/>
    <m/>
    <x v="4"/>
    <x v="8"/>
    <x v="4"/>
    <m/>
    <m/>
    <n v="0"/>
    <n v="0"/>
    <m/>
    <m/>
    <n v="0"/>
    <m/>
    <n v="0"/>
    <n v="0"/>
    <m/>
  </r>
  <r>
    <n v="1345"/>
    <s v=""/>
    <s v="0"/>
    <m/>
    <s v="0"/>
    <m/>
    <x v="4"/>
    <x v="8"/>
    <x v="4"/>
    <m/>
    <m/>
    <n v="0"/>
    <n v="0"/>
    <m/>
    <m/>
    <n v="0"/>
    <m/>
    <n v="0"/>
    <n v="0"/>
    <m/>
  </r>
  <r>
    <n v="1346"/>
    <s v=""/>
    <s v="0"/>
    <m/>
    <s v="0"/>
    <m/>
    <x v="4"/>
    <x v="8"/>
    <x v="4"/>
    <m/>
    <m/>
    <n v="0"/>
    <n v="0"/>
    <m/>
    <m/>
    <n v="0"/>
    <m/>
    <n v="0"/>
    <n v="0"/>
    <m/>
  </r>
  <r>
    <n v="1347"/>
    <s v=""/>
    <s v="0"/>
    <m/>
    <s v="0"/>
    <m/>
    <x v="4"/>
    <x v="8"/>
    <x v="4"/>
    <m/>
    <m/>
    <n v="0"/>
    <n v="0"/>
    <m/>
    <m/>
    <n v="0"/>
    <m/>
    <n v="0"/>
    <n v="0"/>
    <m/>
  </r>
  <r>
    <n v="1348"/>
    <s v=""/>
    <s v="0"/>
    <m/>
    <s v="0"/>
    <m/>
    <x v="4"/>
    <x v="8"/>
    <x v="4"/>
    <m/>
    <m/>
    <n v="0"/>
    <n v="0"/>
    <m/>
    <m/>
    <n v="0"/>
    <m/>
    <n v="0"/>
    <n v="0"/>
    <m/>
  </r>
  <r>
    <n v="1349"/>
    <s v=""/>
    <s v="0"/>
    <m/>
    <s v="0"/>
    <m/>
    <x v="4"/>
    <x v="8"/>
    <x v="4"/>
    <m/>
    <m/>
    <n v="0"/>
    <n v="0"/>
    <m/>
    <m/>
    <n v="0"/>
    <m/>
    <n v="0"/>
    <n v="0"/>
    <m/>
  </r>
  <r>
    <n v="1350"/>
    <s v=""/>
    <s v="0"/>
    <m/>
    <s v="0"/>
    <m/>
    <x v="4"/>
    <x v="8"/>
    <x v="4"/>
    <m/>
    <m/>
    <n v="0"/>
    <n v="0"/>
    <m/>
    <m/>
    <n v="0"/>
    <m/>
    <n v="0"/>
    <n v="0"/>
    <m/>
  </r>
  <r>
    <n v="1351"/>
    <s v=""/>
    <s v="0"/>
    <m/>
    <s v="0"/>
    <m/>
    <x v="4"/>
    <x v="8"/>
    <x v="4"/>
    <m/>
    <m/>
    <n v="0"/>
    <n v="0"/>
    <m/>
    <m/>
    <n v="0"/>
    <m/>
    <n v="0"/>
    <n v="0"/>
    <m/>
  </r>
  <r>
    <n v="1352"/>
    <s v=""/>
    <s v="0"/>
    <m/>
    <s v="0"/>
    <m/>
    <x v="4"/>
    <x v="8"/>
    <x v="4"/>
    <m/>
    <m/>
    <n v="0"/>
    <n v="0"/>
    <m/>
    <m/>
    <n v="0"/>
    <m/>
    <n v="0"/>
    <n v="0"/>
    <m/>
  </r>
  <r>
    <n v="1353"/>
    <s v=""/>
    <s v="0"/>
    <m/>
    <s v="0"/>
    <m/>
    <x v="4"/>
    <x v="8"/>
    <x v="4"/>
    <m/>
    <m/>
    <n v="0"/>
    <n v="0"/>
    <m/>
    <m/>
    <n v="0"/>
    <m/>
    <n v="0"/>
    <n v="0"/>
    <m/>
  </r>
  <r>
    <n v="1354"/>
    <s v=""/>
    <s v="0"/>
    <m/>
    <s v="0"/>
    <m/>
    <x v="4"/>
    <x v="8"/>
    <x v="4"/>
    <m/>
    <m/>
    <n v="0"/>
    <n v="0"/>
    <m/>
    <m/>
    <n v="0"/>
    <m/>
    <n v="0"/>
    <n v="0"/>
    <m/>
  </r>
  <r>
    <n v="1355"/>
    <s v=""/>
    <s v="0"/>
    <m/>
    <s v="0"/>
    <m/>
    <x v="4"/>
    <x v="8"/>
    <x v="4"/>
    <m/>
    <m/>
    <n v="0"/>
    <n v="0"/>
    <m/>
    <m/>
    <n v="0"/>
    <m/>
    <n v="0"/>
    <n v="0"/>
    <m/>
  </r>
  <r>
    <n v="1356"/>
    <s v=""/>
    <s v="0"/>
    <m/>
    <s v="0"/>
    <m/>
    <x v="4"/>
    <x v="8"/>
    <x v="4"/>
    <m/>
    <m/>
    <n v="0"/>
    <n v="0"/>
    <m/>
    <m/>
    <n v="0"/>
    <m/>
    <n v="0"/>
    <n v="0"/>
    <m/>
  </r>
  <r>
    <n v="1357"/>
    <s v=""/>
    <s v="0"/>
    <m/>
    <s v="0"/>
    <m/>
    <x v="4"/>
    <x v="8"/>
    <x v="4"/>
    <m/>
    <m/>
    <n v="0"/>
    <n v="0"/>
    <m/>
    <m/>
    <n v="0"/>
    <m/>
    <n v="0"/>
    <n v="0"/>
    <m/>
  </r>
  <r>
    <n v="1358"/>
    <s v=""/>
    <s v="0"/>
    <m/>
    <s v="0"/>
    <m/>
    <x v="4"/>
    <x v="8"/>
    <x v="4"/>
    <m/>
    <m/>
    <n v="0"/>
    <n v="0"/>
    <m/>
    <m/>
    <n v="0"/>
    <m/>
    <n v="0"/>
    <n v="0"/>
    <m/>
  </r>
  <r>
    <n v="1359"/>
    <s v=""/>
    <s v="0"/>
    <m/>
    <s v="0"/>
    <m/>
    <x v="4"/>
    <x v="8"/>
    <x v="4"/>
    <m/>
    <m/>
    <n v="0"/>
    <n v="0"/>
    <m/>
    <m/>
    <n v="0"/>
    <m/>
    <n v="0"/>
    <n v="0"/>
    <m/>
  </r>
  <r>
    <n v="1360"/>
    <s v=""/>
    <s v="0"/>
    <m/>
    <s v="0"/>
    <m/>
    <x v="4"/>
    <x v="8"/>
    <x v="4"/>
    <m/>
    <m/>
    <n v="0"/>
    <n v="0"/>
    <m/>
    <m/>
    <n v="0"/>
    <m/>
    <n v="0"/>
    <n v="0"/>
    <m/>
  </r>
  <r>
    <n v="1361"/>
    <s v=""/>
    <s v="0"/>
    <m/>
    <s v="0"/>
    <m/>
    <x v="4"/>
    <x v="8"/>
    <x v="4"/>
    <m/>
    <m/>
    <n v="0"/>
    <n v="0"/>
    <m/>
    <m/>
    <n v="0"/>
    <m/>
    <n v="0"/>
    <n v="0"/>
    <m/>
  </r>
  <r>
    <n v="1362"/>
    <s v=""/>
    <s v="0"/>
    <m/>
    <s v="0"/>
    <m/>
    <x v="4"/>
    <x v="8"/>
    <x v="4"/>
    <m/>
    <m/>
    <n v="0"/>
    <n v="0"/>
    <m/>
    <m/>
    <n v="0"/>
    <m/>
    <n v="0"/>
    <n v="0"/>
    <m/>
  </r>
  <r>
    <n v="1363"/>
    <s v=""/>
    <s v="0"/>
    <m/>
    <s v="0"/>
    <m/>
    <x v="4"/>
    <x v="8"/>
    <x v="4"/>
    <m/>
    <m/>
    <n v="0"/>
    <n v="0"/>
    <m/>
    <m/>
    <n v="0"/>
    <m/>
    <n v="0"/>
    <n v="0"/>
    <m/>
  </r>
  <r>
    <n v="1364"/>
    <s v=""/>
    <s v="0"/>
    <m/>
    <s v="0"/>
    <m/>
    <x v="4"/>
    <x v="8"/>
    <x v="4"/>
    <m/>
    <m/>
    <n v="0"/>
    <n v="0"/>
    <m/>
    <m/>
    <n v="0"/>
    <m/>
    <n v="0"/>
    <n v="0"/>
    <m/>
  </r>
  <r>
    <n v="1365"/>
    <s v=""/>
    <s v="0"/>
    <m/>
    <s v="0"/>
    <m/>
    <x v="4"/>
    <x v="8"/>
    <x v="4"/>
    <m/>
    <m/>
    <n v="0"/>
    <n v="0"/>
    <m/>
    <m/>
    <n v="0"/>
    <m/>
    <n v="0"/>
    <n v="0"/>
    <m/>
  </r>
  <r>
    <n v="1366"/>
    <s v=""/>
    <s v="0"/>
    <m/>
    <s v="0"/>
    <m/>
    <x v="4"/>
    <x v="8"/>
    <x v="4"/>
    <m/>
    <m/>
    <n v="0"/>
    <n v="0"/>
    <m/>
    <m/>
    <n v="0"/>
    <m/>
    <n v="0"/>
    <n v="0"/>
    <m/>
  </r>
  <r>
    <n v="1367"/>
    <s v=""/>
    <s v="0"/>
    <m/>
    <s v="0"/>
    <m/>
    <x v="4"/>
    <x v="8"/>
    <x v="4"/>
    <m/>
    <m/>
    <n v="0"/>
    <n v="0"/>
    <m/>
    <m/>
    <n v="0"/>
    <m/>
    <n v="0"/>
    <n v="0"/>
    <m/>
  </r>
  <r>
    <n v="1368"/>
    <s v=""/>
    <s v="0"/>
    <m/>
    <s v="0"/>
    <m/>
    <x v="4"/>
    <x v="8"/>
    <x v="4"/>
    <m/>
    <m/>
    <n v="0"/>
    <n v="0"/>
    <m/>
    <m/>
    <n v="0"/>
    <m/>
    <n v="0"/>
    <n v="0"/>
    <m/>
  </r>
  <r>
    <n v="1369"/>
    <s v=""/>
    <s v="0"/>
    <m/>
    <s v="0"/>
    <m/>
    <x v="4"/>
    <x v="8"/>
    <x v="4"/>
    <m/>
    <m/>
    <n v="0"/>
    <n v="0"/>
    <m/>
    <m/>
    <n v="0"/>
    <m/>
    <n v="0"/>
    <n v="0"/>
    <m/>
  </r>
  <r>
    <n v="1370"/>
    <s v=""/>
    <s v="0"/>
    <m/>
    <s v="0"/>
    <m/>
    <x v="4"/>
    <x v="8"/>
    <x v="4"/>
    <m/>
    <m/>
    <n v="0"/>
    <n v="0"/>
    <m/>
    <m/>
    <n v="0"/>
    <m/>
    <n v="0"/>
    <n v="0"/>
    <m/>
  </r>
  <r>
    <n v="1371"/>
    <s v=""/>
    <s v="0"/>
    <m/>
    <s v="0"/>
    <m/>
    <x v="4"/>
    <x v="8"/>
    <x v="4"/>
    <m/>
    <m/>
    <n v="0"/>
    <n v="0"/>
    <m/>
    <m/>
    <n v="0"/>
    <m/>
    <n v="0"/>
    <n v="0"/>
    <m/>
  </r>
  <r>
    <n v="1372"/>
    <s v=""/>
    <s v="0"/>
    <m/>
    <s v="0"/>
    <m/>
    <x v="4"/>
    <x v="8"/>
    <x v="4"/>
    <m/>
    <m/>
    <n v="0"/>
    <n v="0"/>
    <m/>
    <m/>
    <n v="0"/>
    <m/>
    <n v="0"/>
    <n v="0"/>
    <m/>
  </r>
  <r>
    <n v="1373"/>
    <s v=""/>
    <s v="0"/>
    <m/>
    <s v="0"/>
    <m/>
    <x v="4"/>
    <x v="8"/>
    <x v="4"/>
    <m/>
    <m/>
    <n v="0"/>
    <n v="0"/>
    <m/>
    <m/>
    <n v="0"/>
    <m/>
    <n v="0"/>
    <n v="0"/>
    <m/>
  </r>
  <r>
    <n v="1374"/>
    <s v=""/>
    <s v="0"/>
    <m/>
    <s v="0"/>
    <m/>
    <x v="4"/>
    <x v="8"/>
    <x v="4"/>
    <m/>
    <m/>
    <n v="0"/>
    <n v="0"/>
    <m/>
    <m/>
    <n v="0"/>
    <m/>
    <n v="0"/>
    <n v="0"/>
    <m/>
  </r>
  <r>
    <n v="1375"/>
    <s v=""/>
    <s v="0"/>
    <m/>
    <s v="0"/>
    <m/>
    <x v="4"/>
    <x v="8"/>
    <x v="4"/>
    <m/>
    <m/>
    <n v="0"/>
    <n v="0"/>
    <m/>
    <m/>
    <n v="0"/>
    <m/>
    <n v="0"/>
    <n v="0"/>
    <m/>
  </r>
  <r>
    <n v="1376"/>
    <s v=""/>
    <s v="0"/>
    <m/>
    <s v="0"/>
    <m/>
    <x v="4"/>
    <x v="8"/>
    <x v="4"/>
    <m/>
    <m/>
    <n v="0"/>
    <n v="0"/>
    <m/>
    <m/>
    <n v="0"/>
    <m/>
    <n v="0"/>
    <n v="0"/>
    <m/>
  </r>
  <r>
    <n v="1377"/>
    <s v=""/>
    <s v="0"/>
    <m/>
    <s v="0"/>
    <m/>
    <x v="4"/>
    <x v="8"/>
    <x v="4"/>
    <m/>
    <m/>
    <n v="0"/>
    <n v="0"/>
    <m/>
    <m/>
    <n v="0"/>
    <m/>
    <n v="0"/>
    <n v="0"/>
    <m/>
  </r>
  <r>
    <n v="1378"/>
    <s v=""/>
    <s v="0"/>
    <m/>
    <s v="0"/>
    <m/>
    <x v="4"/>
    <x v="8"/>
    <x v="4"/>
    <m/>
    <m/>
    <n v="0"/>
    <n v="0"/>
    <m/>
    <m/>
    <n v="0"/>
    <m/>
    <n v="0"/>
    <n v="0"/>
    <m/>
  </r>
  <r>
    <n v="1379"/>
    <s v=""/>
    <s v="0"/>
    <m/>
    <s v="0"/>
    <m/>
    <x v="4"/>
    <x v="8"/>
    <x v="4"/>
    <m/>
    <m/>
    <n v="0"/>
    <n v="0"/>
    <m/>
    <m/>
    <n v="0"/>
    <m/>
    <n v="0"/>
    <n v="0"/>
    <m/>
  </r>
  <r>
    <n v="1380"/>
    <s v=""/>
    <s v="0"/>
    <m/>
    <s v="0"/>
    <m/>
    <x v="4"/>
    <x v="8"/>
    <x v="4"/>
    <m/>
    <m/>
    <n v="0"/>
    <n v="0"/>
    <m/>
    <m/>
    <n v="0"/>
    <m/>
    <n v="0"/>
    <n v="0"/>
    <m/>
  </r>
  <r>
    <n v="1381"/>
    <s v=""/>
    <s v="0"/>
    <m/>
    <s v="0"/>
    <m/>
    <x v="4"/>
    <x v="8"/>
    <x v="4"/>
    <m/>
    <m/>
    <n v="0"/>
    <n v="0"/>
    <m/>
    <m/>
    <n v="0"/>
    <m/>
    <n v="0"/>
    <n v="0"/>
    <m/>
  </r>
  <r>
    <n v="1382"/>
    <s v=""/>
    <s v="0"/>
    <m/>
    <s v="0"/>
    <m/>
    <x v="4"/>
    <x v="8"/>
    <x v="4"/>
    <m/>
    <m/>
    <n v="0"/>
    <n v="0"/>
    <m/>
    <m/>
    <n v="0"/>
    <m/>
    <n v="0"/>
    <n v="0"/>
    <m/>
  </r>
  <r>
    <n v="1383"/>
    <s v=""/>
    <s v="0"/>
    <m/>
    <s v="0"/>
    <m/>
    <x v="4"/>
    <x v="8"/>
    <x v="4"/>
    <m/>
    <m/>
    <n v="0"/>
    <n v="0"/>
    <m/>
    <m/>
    <n v="0"/>
    <m/>
    <n v="0"/>
    <n v="0"/>
    <m/>
  </r>
  <r>
    <n v="1384"/>
    <s v=""/>
    <s v="0"/>
    <m/>
    <s v="0"/>
    <m/>
    <x v="4"/>
    <x v="8"/>
    <x v="4"/>
    <m/>
    <m/>
    <n v="0"/>
    <n v="0"/>
    <m/>
    <m/>
    <n v="0"/>
    <m/>
    <n v="0"/>
    <n v="0"/>
    <m/>
  </r>
  <r>
    <n v="1385"/>
    <s v=""/>
    <s v="0"/>
    <m/>
    <s v="0"/>
    <m/>
    <x v="4"/>
    <x v="8"/>
    <x v="4"/>
    <m/>
    <m/>
    <n v="0"/>
    <n v="0"/>
    <m/>
    <m/>
    <n v="0"/>
    <m/>
    <n v="0"/>
    <n v="0"/>
    <m/>
  </r>
  <r>
    <n v="1386"/>
    <s v=""/>
    <s v="0"/>
    <m/>
    <s v="0"/>
    <m/>
    <x v="4"/>
    <x v="8"/>
    <x v="4"/>
    <m/>
    <m/>
    <n v="0"/>
    <n v="0"/>
    <m/>
    <m/>
    <n v="0"/>
    <m/>
    <n v="0"/>
    <n v="0"/>
    <m/>
  </r>
  <r>
    <n v="1387"/>
    <s v=""/>
    <s v="0"/>
    <m/>
    <s v="0"/>
    <m/>
    <x v="4"/>
    <x v="8"/>
    <x v="4"/>
    <m/>
    <m/>
    <n v="0"/>
    <n v="0"/>
    <m/>
    <m/>
    <n v="0"/>
    <m/>
    <n v="0"/>
    <n v="0"/>
    <m/>
  </r>
  <r>
    <n v="1388"/>
    <s v=""/>
    <s v="0"/>
    <m/>
    <s v="0"/>
    <m/>
    <x v="4"/>
    <x v="8"/>
    <x v="4"/>
    <m/>
    <m/>
    <n v="0"/>
    <n v="0"/>
    <m/>
    <m/>
    <n v="0"/>
    <m/>
    <n v="0"/>
    <n v="0"/>
    <m/>
  </r>
  <r>
    <n v="1389"/>
    <s v=""/>
    <s v="0"/>
    <m/>
    <s v="0"/>
    <m/>
    <x v="4"/>
    <x v="8"/>
    <x v="4"/>
    <m/>
    <m/>
    <n v="0"/>
    <n v="0"/>
    <m/>
    <m/>
    <n v="0"/>
    <m/>
    <n v="0"/>
    <n v="0"/>
    <m/>
  </r>
  <r>
    <n v="1390"/>
    <s v=""/>
    <s v="0"/>
    <m/>
    <s v="0"/>
    <m/>
    <x v="4"/>
    <x v="8"/>
    <x v="4"/>
    <m/>
    <m/>
    <n v="0"/>
    <n v="0"/>
    <m/>
    <m/>
    <n v="0"/>
    <m/>
    <n v="0"/>
    <n v="0"/>
    <m/>
  </r>
  <r>
    <n v="1391"/>
    <s v=""/>
    <s v="0"/>
    <m/>
    <s v="0"/>
    <m/>
    <x v="4"/>
    <x v="8"/>
    <x v="4"/>
    <m/>
    <m/>
    <n v="0"/>
    <n v="0"/>
    <m/>
    <m/>
    <n v="0"/>
    <m/>
    <n v="0"/>
    <n v="0"/>
    <m/>
  </r>
  <r>
    <n v="1392"/>
    <s v=""/>
    <s v="0"/>
    <m/>
    <s v="0"/>
    <m/>
    <x v="4"/>
    <x v="8"/>
    <x v="4"/>
    <m/>
    <m/>
    <n v="0"/>
    <n v="0"/>
    <m/>
    <m/>
    <n v="0"/>
    <m/>
    <n v="0"/>
    <n v="0"/>
    <m/>
  </r>
  <r>
    <n v="1393"/>
    <s v=""/>
    <s v="0"/>
    <m/>
    <s v="0"/>
    <m/>
    <x v="4"/>
    <x v="8"/>
    <x v="4"/>
    <m/>
    <m/>
    <n v="0"/>
    <n v="0"/>
    <m/>
    <m/>
    <n v="0"/>
    <m/>
    <n v="0"/>
    <n v="0"/>
    <m/>
  </r>
  <r>
    <n v="1394"/>
    <s v=""/>
    <s v="0"/>
    <m/>
    <s v="0"/>
    <m/>
    <x v="4"/>
    <x v="8"/>
    <x v="4"/>
    <m/>
    <m/>
    <n v="0"/>
    <n v="0"/>
    <m/>
    <m/>
    <n v="0"/>
    <m/>
    <n v="0"/>
    <n v="0"/>
    <m/>
  </r>
  <r>
    <n v="1395"/>
    <s v=""/>
    <s v="0"/>
    <m/>
    <s v="0"/>
    <m/>
    <x v="4"/>
    <x v="8"/>
    <x v="4"/>
    <m/>
    <m/>
    <n v="0"/>
    <n v="0"/>
    <m/>
    <m/>
    <n v="0"/>
    <m/>
    <n v="0"/>
    <n v="0"/>
    <m/>
  </r>
  <r>
    <n v="1396"/>
    <s v=""/>
    <s v="0"/>
    <m/>
    <s v="0"/>
    <m/>
    <x v="4"/>
    <x v="8"/>
    <x v="4"/>
    <m/>
    <m/>
    <n v="0"/>
    <n v="0"/>
    <m/>
    <m/>
    <n v="0"/>
    <m/>
    <n v="0"/>
    <n v="0"/>
    <m/>
  </r>
  <r>
    <n v="1397"/>
    <s v=""/>
    <s v="0"/>
    <m/>
    <s v="0"/>
    <m/>
    <x v="4"/>
    <x v="8"/>
    <x v="4"/>
    <m/>
    <m/>
    <n v="0"/>
    <n v="0"/>
    <m/>
    <m/>
    <n v="0"/>
    <m/>
    <n v="0"/>
    <n v="0"/>
    <m/>
  </r>
  <r>
    <n v="1398"/>
    <s v=""/>
    <s v="0"/>
    <m/>
    <s v="0"/>
    <m/>
    <x v="4"/>
    <x v="8"/>
    <x v="4"/>
    <m/>
    <m/>
    <n v="0"/>
    <n v="0"/>
    <m/>
    <m/>
    <n v="0"/>
    <m/>
    <n v="0"/>
    <n v="0"/>
    <m/>
  </r>
  <r>
    <n v="1399"/>
    <s v=""/>
    <s v="0"/>
    <m/>
    <s v="0"/>
    <m/>
    <x v="4"/>
    <x v="8"/>
    <x v="4"/>
    <m/>
    <m/>
    <n v="0"/>
    <n v="0"/>
    <m/>
    <m/>
    <n v="0"/>
    <m/>
    <n v="0"/>
    <n v="0"/>
    <m/>
  </r>
  <r>
    <n v="1400"/>
    <s v=""/>
    <s v="0"/>
    <m/>
    <s v="0"/>
    <m/>
    <x v="4"/>
    <x v="8"/>
    <x v="4"/>
    <m/>
    <m/>
    <n v="0"/>
    <n v="0"/>
    <m/>
    <m/>
    <n v="0"/>
    <m/>
    <n v="0"/>
    <n v="0"/>
    <m/>
  </r>
  <r>
    <n v="1401"/>
    <s v=""/>
    <s v="0"/>
    <m/>
    <s v="0"/>
    <m/>
    <x v="4"/>
    <x v="8"/>
    <x v="4"/>
    <m/>
    <m/>
    <n v="0"/>
    <n v="0"/>
    <m/>
    <m/>
    <n v="0"/>
    <m/>
    <n v="0"/>
    <n v="0"/>
    <m/>
  </r>
  <r>
    <n v="1402"/>
    <s v=""/>
    <s v="0"/>
    <m/>
    <s v="0"/>
    <m/>
    <x v="4"/>
    <x v="8"/>
    <x v="4"/>
    <m/>
    <m/>
    <n v="0"/>
    <n v="0"/>
    <m/>
    <m/>
    <n v="0"/>
    <m/>
    <n v="0"/>
    <n v="0"/>
    <m/>
  </r>
  <r>
    <n v="1403"/>
    <s v=""/>
    <s v="0"/>
    <m/>
    <s v="0"/>
    <m/>
    <x v="4"/>
    <x v="8"/>
    <x v="4"/>
    <m/>
    <m/>
    <n v="0"/>
    <n v="0"/>
    <m/>
    <m/>
    <n v="0"/>
    <m/>
    <n v="0"/>
    <n v="0"/>
    <m/>
  </r>
  <r>
    <n v="1404"/>
    <s v=""/>
    <s v="0"/>
    <m/>
    <s v="0"/>
    <m/>
    <x v="4"/>
    <x v="8"/>
    <x v="4"/>
    <m/>
    <m/>
    <n v="0"/>
    <n v="0"/>
    <m/>
    <m/>
    <n v="0"/>
    <m/>
    <n v="0"/>
    <n v="0"/>
    <m/>
  </r>
  <r>
    <n v="1405"/>
    <s v=""/>
    <s v="0"/>
    <m/>
    <s v="0"/>
    <m/>
    <x v="4"/>
    <x v="8"/>
    <x v="4"/>
    <m/>
    <m/>
    <n v="0"/>
    <n v="0"/>
    <m/>
    <m/>
    <n v="0"/>
    <m/>
    <n v="0"/>
    <n v="0"/>
    <m/>
  </r>
  <r>
    <n v="1406"/>
    <s v=""/>
    <s v="0"/>
    <m/>
    <s v="0"/>
    <m/>
    <x v="4"/>
    <x v="8"/>
    <x v="4"/>
    <m/>
    <m/>
    <n v="0"/>
    <n v="0"/>
    <m/>
    <m/>
    <n v="0"/>
    <m/>
    <n v="0"/>
    <n v="0"/>
    <m/>
  </r>
  <r>
    <n v="1407"/>
    <s v=""/>
    <s v="0"/>
    <m/>
    <s v="0"/>
    <m/>
    <x v="4"/>
    <x v="8"/>
    <x v="4"/>
    <m/>
    <m/>
    <n v="0"/>
    <n v="0"/>
    <m/>
    <m/>
    <n v="0"/>
    <m/>
    <n v="0"/>
    <n v="0"/>
    <m/>
  </r>
  <r>
    <n v="1408"/>
    <s v=""/>
    <s v="0"/>
    <m/>
    <s v="0"/>
    <m/>
    <x v="4"/>
    <x v="8"/>
    <x v="4"/>
    <m/>
    <m/>
    <n v="0"/>
    <n v="0"/>
    <m/>
    <m/>
    <n v="0"/>
    <m/>
    <n v="0"/>
    <n v="0"/>
    <m/>
  </r>
  <r>
    <n v="1409"/>
    <s v=""/>
    <s v="0"/>
    <m/>
    <s v="0"/>
    <m/>
    <x v="4"/>
    <x v="8"/>
    <x v="4"/>
    <m/>
    <m/>
    <n v="0"/>
    <n v="0"/>
    <m/>
    <m/>
    <n v="0"/>
    <m/>
    <n v="0"/>
    <n v="0"/>
    <m/>
  </r>
  <r>
    <n v="1410"/>
    <s v=""/>
    <s v="0"/>
    <m/>
    <s v="0"/>
    <m/>
    <x v="4"/>
    <x v="8"/>
    <x v="4"/>
    <m/>
    <m/>
    <n v="0"/>
    <n v="0"/>
    <m/>
    <m/>
    <n v="0"/>
    <m/>
    <n v="0"/>
    <n v="0"/>
    <m/>
  </r>
  <r>
    <n v="1411"/>
    <s v=""/>
    <s v="0"/>
    <m/>
    <s v="0"/>
    <m/>
    <x v="4"/>
    <x v="8"/>
    <x v="4"/>
    <m/>
    <m/>
    <n v="0"/>
    <n v="0"/>
    <m/>
    <m/>
    <n v="0"/>
    <m/>
    <n v="0"/>
    <n v="0"/>
    <m/>
  </r>
  <r>
    <n v="1412"/>
    <s v=""/>
    <s v="0"/>
    <m/>
    <s v="0"/>
    <m/>
    <x v="4"/>
    <x v="8"/>
    <x v="4"/>
    <m/>
    <m/>
    <n v="0"/>
    <n v="0"/>
    <m/>
    <m/>
    <n v="0"/>
    <m/>
    <n v="0"/>
    <n v="0"/>
    <m/>
  </r>
  <r>
    <n v="1413"/>
    <s v=""/>
    <s v="0"/>
    <m/>
    <s v="0"/>
    <m/>
    <x v="4"/>
    <x v="8"/>
    <x v="4"/>
    <m/>
    <m/>
    <n v="0"/>
    <n v="0"/>
    <m/>
    <m/>
    <n v="0"/>
    <m/>
    <n v="0"/>
    <n v="0"/>
    <m/>
  </r>
  <r>
    <n v="1414"/>
    <s v=""/>
    <s v="0"/>
    <m/>
    <s v="0"/>
    <m/>
    <x v="4"/>
    <x v="8"/>
    <x v="4"/>
    <m/>
    <m/>
    <n v="0"/>
    <n v="0"/>
    <m/>
    <m/>
    <n v="0"/>
    <m/>
    <n v="0"/>
    <n v="0"/>
    <m/>
  </r>
  <r>
    <n v="1415"/>
    <s v=""/>
    <s v="0"/>
    <m/>
    <s v="0"/>
    <m/>
    <x v="4"/>
    <x v="8"/>
    <x v="4"/>
    <m/>
    <m/>
    <n v="0"/>
    <n v="0"/>
    <m/>
    <m/>
    <n v="0"/>
    <m/>
    <n v="0"/>
    <n v="0"/>
    <m/>
  </r>
  <r>
    <n v="1416"/>
    <s v=""/>
    <s v="0"/>
    <m/>
    <s v="0"/>
    <m/>
    <x v="4"/>
    <x v="8"/>
    <x v="4"/>
    <m/>
    <m/>
    <n v="0"/>
    <n v="0"/>
    <m/>
    <m/>
    <n v="0"/>
    <m/>
    <n v="0"/>
    <n v="0"/>
    <m/>
  </r>
  <r>
    <n v="1417"/>
    <s v=""/>
    <s v="0"/>
    <m/>
    <s v="0"/>
    <m/>
    <x v="4"/>
    <x v="8"/>
    <x v="4"/>
    <m/>
    <m/>
    <n v="0"/>
    <n v="0"/>
    <m/>
    <m/>
    <n v="0"/>
    <m/>
    <n v="0"/>
    <n v="0"/>
    <m/>
  </r>
  <r>
    <n v="1418"/>
    <s v=""/>
    <s v="0"/>
    <m/>
    <s v="0"/>
    <m/>
    <x v="4"/>
    <x v="8"/>
    <x v="4"/>
    <m/>
    <m/>
    <n v="0"/>
    <n v="0"/>
    <m/>
    <m/>
    <n v="0"/>
    <m/>
    <n v="0"/>
    <n v="0"/>
    <m/>
  </r>
  <r>
    <n v="1419"/>
    <s v=""/>
    <s v="0"/>
    <m/>
    <s v="0"/>
    <m/>
    <x v="4"/>
    <x v="8"/>
    <x v="4"/>
    <m/>
    <m/>
    <n v="0"/>
    <n v="0"/>
    <m/>
    <m/>
    <n v="0"/>
    <m/>
    <n v="0"/>
    <n v="0"/>
    <m/>
  </r>
  <r>
    <n v="1420"/>
    <s v=""/>
    <s v="0"/>
    <m/>
    <s v="0"/>
    <m/>
    <x v="4"/>
    <x v="8"/>
    <x v="4"/>
    <m/>
    <m/>
    <n v="0"/>
    <n v="0"/>
    <m/>
    <m/>
    <n v="0"/>
    <m/>
    <n v="0"/>
    <n v="0"/>
    <m/>
  </r>
  <r>
    <n v="1421"/>
    <s v=""/>
    <s v="0"/>
    <m/>
    <s v="0"/>
    <m/>
    <x v="4"/>
    <x v="8"/>
    <x v="4"/>
    <m/>
    <m/>
    <n v="0"/>
    <n v="0"/>
    <m/>
    <m/>
    <n v="0"/>
    <m/>
    <n v="0"/>
    <n v="0"/>
    <m/>
  </r>
  <r>
    <n v="1422"/>
    <s v=""/>
    <s v="0"/>
    <m/>
    <s v="0"/>
    <m/>
    <x v="4"/>
    <x v="8"/>
    <x v="4"/>
    <m/>
    <m/>
    <n v="0"/>
    <n v="0"/>
    <m/>
    <m/>
    <n v="0"/>
    <m/>
    <n v="0"/>
    <n v="0"/>
    <m/>
  </r>
  <r>
    <n v="1423"/>
    <s v=""/>
    <s v="0"/>
    <m/>
    <s v="0"/>
    <m/>
    <x v="4"/>
    <x v="8"/>
    <x v="4"/>
    <m/>
    <m/>
    <n v="0"/>
    <n v="0"/>
    <m/>
    <m/>
    <n v="0"/>
    <m/>
    <n v="0"/>
    <n v="0"/>
    <m/>
  </r>
  <r>
    <n v="1424"/>
    <s v=""/>
    <s v="0"/>
    <m/>
    <s v="0"/>
    <m/>
    <x v="4"/>
    <x v="8"/>
    <x v="4"/>
    <m/>
    <m/>
    <n v="0"/>
    <n v="0"/>
    <m/>
    <m/>
    <n v="0"/>
    <m/>
    <n v="0"/>
    <n v="0"/>
    <m/>
  </r>
  <r>
    <n v="1425"/>
    <s v=""/>
    <s v="0"/>
    <m/>
    <s v="0"/>
    <m/>
    <x v="4"/>
    <x v="8"/>
    <x v="4"/>
    <m/>
    <m/>
    <n v="0"/>
    <n v="0"/>
    <m/>
    <m/>
    <n v="0"/>
    <m/>
    <n v="0"/>
    <n v="0"/>
    <m/>
  </r>
  <r>
    <n v="1426"/>
    <s v=""/>
    <s v="0"/>
    <m/>
    <s v="0"/>
    <m/>
    <x v="4"/>
    <x v="8"/>
    <x v="4"/>
    <m/>
    <m/>
    <n v="0"/>
    <n v="0"/>
    <m/>
    <m/>
    <n v="0"/>
    <m/>
    <n v="0"/>
    <n v="0"/>
    <m/>
  </r>
  <r>
    <n v="1427"/>
    <s v=""/>
    <s v="0"/>
    <m/>
    <s v="0"/>
    <m/>
    <x v="4"/>
    <x v="8"/>
    <x v="4"/>
    <m/>
    <m/>
    <n v="0"/>
    <n v="0"/>
    <m/>
    <m/>
    <n v="0"/>
    <m/>
    <n v="0"/>
    <n v="0"/>
    <m/>
  </r>
  <r>
    <n v="1428"/>
    <s v=""/>
    <s v="0"/>
    <m/>
    <s v="0"/>
    <m/>
    <x v="4"/>
    <x v="8"/>
    <x v="4"/>
    <m/>
    <m/>
    <n v="0"/>
    <n v="0"/>
    <m/>
    <m/>
    <n v="0"/>
    <m/>
    <n v="0"/>
    <n v="0"/>
    <m/>
  </r>
  <r>
    <n v="1429"/>
    <s v=""/>
    <s v="0"/>
    <m/>
    <s v="0"/>
    <m/>
    <x v="4"/>
    <x v="8"/>
    <x v="4"/>
    <m/>
    <m/>
    <n v="0"/>
    <n v="0"/>
    <m/>
    <m/>
    <n v="0"/>
    <m/>
    <n v="0"/>
    <n v="0"/>
    <m/>
  </r>
  <r>
    <n v="1430"/>
    <s v=""/>
    <s v="0"/>
    <m/>
    <s v="0"/>
    <m/>
    <x v="4"/>
    <x v="8"/>
    <x v="4"/>
    <m/>
    <m/>
    <n v="0"/>
    <n v="0"/>
    <m/>
    <m/>
    <n v="0"/>
    <m/>
    <n v="0"/>
    <n v="0"/>
    <m/>
  </r>
  <r>
    <n v="1431"/>
    <s v=""/>
    <s v="0"/>
    <m/>
    <s v="0"/>
    <m/>
    <x v="4"/>
    <x v="8"/>
    <x v="4"/>
    <m/>
    <m/>
    <n v="0"/>
    <n v="0"/>
    <m/>
    <m/>
    <n v="0"/>
    <m/>
    <n v="0"/>
    <n v="0"/>
    <m/>
  </r>
  <r>
    <n v="1432"/>
    <s v=""/>
    <s v="0"/>
    <m/>
    <s v="0"/>
    <m/>
    <x v="4"/>
    <x v="8"/>
    <x v="4"/>
    <m/>
    <m/>
    <n v="0"/>
    <n v="0"/>
    <m/>
    <m/>
    <n v="0"/>
    <m/>
    <n v="0"/>
    <n v="0"/>
    <m/>
  </r>
  <r>
    <n v="1433"/>
    <s v=""/>
    <s v="0"/>
    <m/>
    <s v="0"/>
    <m/>
    <x v="4"/>
    <x v="8"/>
    <x v="4"/>
    <m/>
    <m/>
    <n v="0"/>
    <n v="0"/>
    <m/>
    <m/>
    <n v="0"/>
    <m/>
    <n v="0"/>
    <n v="0"/>
    <m/>
  </r>
  <r>
    <n v="1434"/>
    <s v=""/>
    <s v="0"/>
    <m/>
    <s v="0"/>
    <m/>
    <x v="4"/>
    <x v="8"/>
    <x v="4"/>
    <m/>
    <m/>
    <n v="0"/>
    <n v="0"/>
    <m/>
    <m/>
    <n v="0"/>
    <m/>
    <n v="0"/>
    <n v="0"/>
    <m/>
  </r>
  <r>
    <n v="1435"/>
    <s v=""/>
    <s v="0"/>
    <m/>
    <s v="0"/>
    <m/>
    <x v="4"/>
    <x v="8"/>
    <x v="4"/>
    <m/>
    <m/>
    <n v="0"/>
    <n v="0"/>
    <m/>
    <m/>
    <n v="0"/>
    <m/>
    <n v="0"/>
    <n v="0"/>
    <m/>
  </r>
  <r>
    <n v="1436"/>
    <s v=""/>
    <s v="0"/>
    <m/>
    <s v="0"/>
    <m/>
    <x v="4"/>
    <x v="8"/>
    <x v="4"/>
    <m/>
    <m/>
    <n v="0"/>
    <n v="0"/>
    <m/>
    <m/>
    <n v="0"/>
    <m/>
    <n v="0"/>
    <n v="0"/>
    <m/>
  </r>
  <r>
    <n v="1437"/>
    <s v=""/>
    <s v="0"/>
    <m/>
    <s v="0"/>
    <m/>
    <x v="4"/>
    <x v="8"/>
    <x v="4"/>
    <m/>
    <m/>
    <n v="0"/>
    <n v="0"/>
    <m/>
    <m/>
    <n v="0"/>
    <m/>
    <n v="0"/>
    <n v="0"/>
    <m/>
  </r>
  <r>
    <n v="1438"/>
    <s v=""/>
    <s v="0"/>
    <m/>
    <s v="0"/>
    <m/>
    <x v="4"/>
    <x v="8"/>
    <x v="4"/>
    <m/>
    <m/>
    <n v="0"/>
    <n v="0"/>
    <m/>
    <m/>
    <n v="0"/>
    <m/>
    <n v="0"/>
    <n v="0"/>
    <m/>
  </r>
  <r>
    <n v="1439"/>
    <s v=""/>
    <s v="0"/>
    <m/>
    <s v="0"/>
    <m/>
    <x v="4"/>
    <x v="8"/>
    <x v="4"/>
    <m/>
    <m/>
    <n v="0"/>
    <n v="0"/>
    <m/>
    <m/>
    <n v="0"/>
    <m/>
    <n v="0"/>
    <n v="0"/>
    <m/>
  </r>
  <r>
    <n v="1440"/>
    <s v=""/>
    <s v="0"/>
    <m/>
    <s v="0"/>
    <m/>
    <x v="4"/>
    <x v="8"/>
    <x v="4"/>
    <m/>
    <m/>
    <n v="0"/>
    <n v="0"/>
    <m/>
    <m/>
    <n v="0"/>
    <m/>
    <n v="0"/>
    <n v="0"/>
    <m/>
  </r>
  <r>
    <n v="1441"/>
    <s v=""/>
    <s v="0"/>
    <m/>
    <s v="0"/>
    <m/>
    <x v="4"/>
    <x v="8"/>
    <x v="4"/>
    <m/>
    <m/>
    <n v="0"/>
    <n v="0"/>
    <m/>
    <m/>
    <n v="0"/>
    <m/>
    <n v="0"/>
    <n v="0"/>
    <m/>
  </r>
  <r>
    <n v="1442"/>
    <s v=""/>
    <s v="0"/>
    <m/>
    <s v="0"/>
    <m/>
    <x v="4"/>
    <x v="8"/>
    <x v="4"/>
    <m/>
    <m/>
    <n v="0"/>
    <n v="0"/>
    <m/>
    <m/>
    <n v="0"/>
    <m/>
    <n v="0"/>
    <n v="0"/>
    <m/>
  </r>
  <r>
    <n v="1443"/>
    <s v=""/>
    <s v="0"/>
    <m/>
    <s v="0"/>
    <m/>
    <x v="4"/>
    <x v="8"/>
    <x v="4"/>
    <m/>
    <m/>
    <n v="0"/>
    <n v="0"/>
    <m/>
    <m/>
    <n v="0"/>
    <m/>
    <n v="0"/>
    <n v="0"/>
    <m/>
  </r>
  <r>
    <n v="1444"/>
    <s v=""/>
    <s v="0"/>
    <m/>
    <s v="0"/>
    <m/>
    <x v="4"/>
    <x v="8"/>
    <x v="4"/>
    <m/>
    <m/>
    <n v="0"/>
    <n v="0"/>
    <m/>
    <m/>
    <n v="0"/>
    <m/>
    <n v="0"/>
    <n v="0"/>
    <m/>
  </r>
  <r>
    <n v="1445"/>
    <s v=""/>
    <s v="0"/>
    <m/>
    <s v="0"/>
    <m/>
    <x v="4"/>
    <x v="8"/>
    <x v="4"/>
    <m/>
    <m/>
    <n v="0"/>
    <n v="0"/>
    <m/>
    <m/>
    <n v="0"/>
    <m/>
    <n v="0"/>
    <n v="0"/>
    <m/>
  </r>
  <r>
    <n v="1446"/>
    <s v=""/>
    <s v="0"/>
    <m/>
    <s v="0"/>
    <m/>
    <x v="4"/>
    <x v="8"/>
    <x v="4"/>
    <m/>
    <m/>
    <n v="0"/>
    <n v="0"/>
    <m/>
    <m/>
    <n v="0"/>
    <m/>
    <n v="0"/>
    <n v="0"/>
    <m/>
  </r>
  <r>
    <n v="1447"/>
    <s v=""/>
    <s v="0"/>
    <m/>
    <s v="0"/>
    <m/>
    <x v="4"/>
    <x v="8"/>
    <x v="4"/>
    <m/>
    <m/>
    <n v="0"/>
    <n v="0"/>
    <m/>
    <m/>
    <n v="0"/>
    <m/>
    <n v="0"/>
    <n v="0"/>
    <m/>
  </r>
  <r>
    <n v="1448"/>
    <s v=""/>
    <s v="0"/>
    <m/>
    <s v="0"/>
    <m/>
    <x v="4"/>
    <x v="8"/>
    <x v="4"/>
    <m/>
    <m/>
    <n v="0"/>
    <n v="0"/>
    <m/>
    <m/>
    <n v="0"/>
    <m/>
    <n v="0"/>
    <n v="0"/>
    <m/>
  </r>
  <r>
    <n v="1449"/>
    <s v=""/>
    <s v="0"/>
    <m/>
    <s v="0"/>
    <m/>
    <x v="4"/>
    <x v="8"/>
    <x v="4"/>
    <m/>
    <m/>
    <n v="0"/>
    <n v="0"/>
    <m/>
    <m/>
    <n v="0"/>
    <m/>
    <n v="0"/>
    <n v="0"/>
    <m/>
  </r>
  <r>
    <n v="1450"/>
    <s v=""/>
    <s v="0"/>
    <m/>
    <s v="0"/>
    <m/>
    <x v="4"/>
    <x v="8"/>
    <x v="4"/>
    <m/>
    <m/>
    <n v="0"/>
    <n v="0"/>
    <m/>
    <m/>
    <n v="0"/>
    <m/>
    <n v="0"/>
    <n v="0"/>
    <m/>
  </r>
  <r>
    <n v="1451"/>
    <s v=""/>
    <s v="0"/>
    <m/>
    <s v="0"/>
    <m/>
    <x v="4"/>
    <x v="8"/>
    <x v="4"/>
    <m/>
    <m/>
    <n v="0"/>
    <n v="0"/>
    <m/>
    <m/>
    <n v="0"/>
    <m/>
    <n v="0"/>
    <n v="0"/>
    <m/>
  </r>
  <r>
    <n v="1452"/>
    <s v=""/>
    <s v="0"/>
    <m/>
    <s v="0"/>
    <m/>
    <x v="4"/>
    <x v="8"/>
    <x v="4"/>
    <m/>
    <m/>
    <n v="0"/>
    <n v="0"/>
    <m/>
    <m/>
    <n v="0"/>
    <m/>
    <n v="0"/>
    <n v="0"/>
    <m/>
  </r>
  <r>
    <n v="1453"/>
    <s v=""/>
    <s v="0"/>
    <m/>
    <s v="0"/>
    <m/>
    <x v="4"/>
    <x v="8"/>
    <x v="4"/>
    <m/>
    <m/>
    <n v="0"/>
    <n v="0"/>
    <m/>
    <m/>
    <n v="0"/>
    <m/>
    <n v="0"/>
    <n v="0"/>
    <m/>
  </r>
  <r>
    <n v="1454"/>
    <s v=""/>
    <s v="0"/>
    <m/>
    <s v="0"/>
    <m/>
    <x v="4"/>
    <x v="8"/>
    <x v="4"/>
    <m/>
    <m/>
    <n v="0"/>
    <n v="0"/>
    <m/>
    <m/>
    <n v="0"/>
    <m/>
    <n v="0"/>
    <n v="0"/>
    <m/>
  </r>
  <r>
    <n v="1455"/>
    <s v=""/>
    <s v="0"/>
    <m/>
    <s v="0"/>
    <m/>
    <x v="4"/>
    <x v="8"/>
    <x v="4"/>
    <m/>
    <m/>
    <n v="0"/>
    <n v="0"/>
    <m/>
    <m/>
    <n v="0"/>
    <m/>
    <n v="0"/>
    <n v="0"/>
    <m/>
  </r>
  <r>
    <n v="1456"/>
    <s v=""/>
    <s v="0"/>
    <m/>
    <s v="0"/>
    <m/>
    <x v="4"/>
    <x v="8"/>
    <x v="4"/>
    <m/>
    <m/>
    <n v="0"/>
    <n v="0"/>
    <m/>
    <m/>
    <n v="0"/>
    <m/>
    <n v="0"/>
    <n v="0"/>
    <m/>
  </r>
  <r>
    <n v="1457"/>
    <s v=""/>
    <s v="0"/>
    <m/>
    <s v="0"/>
    <m/>
    <x v="4"/>
    <x v="8"/>
    <x v="4"/>
    <m/>
    <m/>
    <n v="0"/>
    <n v="0"/>
    <m/>
    <m/>
    <n v="0"/>
    <m/>
    <n v="0"/>
    <n v="0"/>
    <m/>
  </r>
  <r>
    <n v="1458"/>
    <s v=""/>
    <s v="0"/>
    <m/>
    <s v="0"/>
    <m/>
    <x v="4"/>
    <x v="8"/>
    <x v="4"/>
    <m/>
    <m/>
    <n v="0"/>
    <n v="0"/>
    <m/>
    <m/>
    <n v="0"/>
    <m/>
    <n v="0"/>
    <n v="0"/>
    <m/>
  </r>
  <r>
    <n v="1459"/>
    <s v=""/>
    <s v="0"/>
    <m/>
    <s v="0"/>
    <m/>
    <x v="4"/>
    <x v="8"/>
    <x v="4"/>
    <m/>
    <m/>
    <n v="0"/>
    <n v="0"/>
    <m/>
    <m/>
    <n v="0"/>
    <m/>
    <n v="0"/>
    <n v="0"/>
    <m/>
  </r>
  <r>
    <n v="1460"/>
    <s v=""/>
    <s v="0"/>
    <m/>
    <s v="0"/>
    <m/>
    <x v="4"/>
    <x v="8"/>
    <x v="4"/>
    <m/>
    <m/>
    <n v="0"/>
    <n v="0"/>
    <m/>
    <m/>
    <n v="0"/>
    <m/>
    <n v="0"/>
    <n v="0"/>
    <m/>
  </r>
  <r>
    <n v="1461"/>
    <s v=""/>
    <s v="0"/>
    <m/>
    <s v="0"/>
    <m/>
    <x v="4"/>
    <x v="8"/>
    <x v="4"/>
    <m/>
    <m/>
    <n v="0"/>
    <n v="0"/>
    <m/>
    <m/>
    <n v="0"/>
    <m/>
    <n v="0"/>
    <n v="0"/>
    <m/>
  </r>
  <r>
    <n v="1462"/>
    <s v=""/>
    <s v="0"/>
    <m/>
    <s v="0"/>
    <m/>
    <x v="4"/>
    <x v="8"/>
    <x v="4"/>
    <m/>
    <m/>
    <n v="0"/>
    <n v="0"/>
    <m/>
    <m/>
    <n v="0"/>
    <m/>
    <n v="0"/>
    <n v="0"/>
    <m/>
  </r>
  <r>
    <n v="1463"/>
    <s v=""/>
    <s v="0"/>
    <m/>
    <s v="0"/>
    <m/>
    <x v="4"/>
    <x v="8"/>
    <x v="4"/>
    <m/>
    <m/>
    <n v="0"/>
    <n v="0"/>
    <m/>
    <m/>
    <n v="0"/>
    <m/>
    <n v="0"/>
    <n v="0"/>
    <m/>
  </r>
  <r>
    <n v="1464"/>
    <s v=""/>
    <s v="0"/>
    <m/>
    <s v="0"/>
    <m/>
    <x v="4"/>
    <x v="8"/>
    <x v="4"/>
    <m/>
    <m/>
    <n v="0"/>
    <n v="0"/>
    <m/>
    <m/>
    <n v="0"/>
    <m/>
    <n v="0"/>
    <n v="0"/>
    <m/>
  </r>
  <r>
    <n v="1465"/>
    <s v=""/>
    <s v="0"/>
    <m/>
    <s v="0"/>
    <m/>
    <x v="4"/>
    <x v="8"/>
    <x v="4"/>
    <m/>
    <m/>
    <n v="0"/>
    <n v="0"/>
    <m/>
    <m/>
    <n v="0"/>
    <m/>
    <n v="0"/>
    <n v="0"/>
    <m/>
  </r>
  <r>
    <n v="1466"/>
    <s v=""/>
    <s v="0"/>
    <m/>
    <s v="0"/>
    <m/>
    <x v="4"/>
    <x v="8"/>
    <x v="4"/>
    <m/>
    <m/>
    <n v="0"/>
    <n v="0"/>
    <m/>
    <m/>
    <n v="0"/>
    <m/>
    <n v="0"/>
    <n v="0"/>
    <m/>
  </r>
  <r>
    <n v="1467"/>
    <s v=""/>
    <s v="0"/>
    <m/>
    <s v="0"/>
    <m/>
    <x v="4"/>
    <x v="8"/>
    <x v="4"/>
    <m/>
    <m/>
    <n v="0"/>
    <n v="0"/>
    <m/>
    <m/>
    <n v="0"/>
    <m/>
    <n v="0"/>
    <n v="0"/>
    <m/>
  </r>
  <r>
    <n v="1468"/>
    <s v=""/>
    <s v="0"/>
    <m/>
    <s v="0"/>
    <m/>
    <x v="4"/>
    <x v="8"/>
    <x v="4"/>
    <m/>
    <m/>
    <n v="0"/>
    <n v="0"/>
    <m/>
    <m/>
    <n v="0"/>
    <m/>
    <n v="0"/>
    <n v="0"/>
    <m/>
  </r>
  <r>
    <n v="1469"/>
    <s v=""/>
    <s v="0"/>
    <m/>
    <s v="0"/>
    <m/>
    <x v="4"/>
    <x v="8"/>
    <x v="4"/>
    <m/>
    <m/>
    <n v="0"/>
    <n v="0"/>
    <m/>
    <m/>
    <n v="0"/>
    <m/>
    <n v="0"/>
    <n v="0"/>
    <m/>
  </r>
  <r>
    <n v="1470"/>
    <s v=""/>
    <s v="0"/>
    <m/>
    <s v="0"/>
    <m/>
    <x v="4"/>
    <x v="8"/>
    <x v="4"/>
    <m/>
    <m/>
    <n v="0"/>
    <n v="0"/>
    <m/>
    <m/>
    <n v="0"/>
    <m/>
    <n v="0"/>
    <n v="0"/>
    <m/>
  </r>
  <r>
    <n v="1471"/>
    <s v=""/>
    <s v="0"/>
    <m/>
    <s v="0"/>
    <m/>
    <x v="4"/>
    <x v="8"/>
    <x v="4"/>
    <m/>
    <m/>
    <n v="0"/>
    <n v="0"/>
    <m/>
    <m/>
    <n v="0"/>
    <m/>
    <n v="0"/>
    <n v="0"/>
    <m/>
  </r>
  <r>
    <n v="1472"/>
    <s v=""/>
    <s v="0"/>
    <m/>
    <s v="0"/>
    <m/>
    <x v="4"/>
    <x v="8"/>
    <x v="4"/>
    <m/>
    <m/>
    <n v="0"/>
    <n v="0"/>
    <m/>
    <m/>
    <n v="0"/>
    <m/>
    <n v="0"/>
    <n v="0"/>
    <m/>
  </r>
  <r>
    <n v="1473"/>
    <s v=""/>
    <s v="0"/>
    <m/>
    <s v="0"/>
    <m/>
    <x v="4"/>
    <x v="8"/>
    <x v="4"/>
    <m/>
    <m/>
    <n v="0"/>
    <n v="0"/>
    <m/>
    <m/>
    <n v="0"/>
    <m/>
    <n v="0"/>
    <n v="0"/>
    <m/>
  </r>
  <r>
    <n v="1474"/>
    <s v=""/>
    <s v="0"/>
    <m/>
    <s v="0"/>
    <m/>
    <x v="4"/>
    <x v="8"/>
    <x v="4"/>
    <m/>
    <m/>
    <n v="0"/>
    <n v="0"/>
    <m/>
    <m/>
    <n v="0"/>
    <m/>
    <n v="0"/>
    <n v="0"/>
    <m/>
  </r>
  <r>
    <n v="1475"/>
    <s v=""/>
    <s v="0"/>
    <m/>
    <s v="0"/>
    <m/>
    <x v="4"/>
    <x v="8"/>
    <x v="4"/>
    <m/>
    <m/>
    <n v="0"/>
    <n v="0"/>
    <m/>
    <m/>
    <n v="0"/>
    <m/>
    <n v="0"/>
    <n v="0"/>
    <m/>
  </r>
  <r>
    <n v="1476"/>
    <s v=""/>
    <s v="0"/>
    <m/>
    <s v="0"/>
    <m/>
    <x v="4"/>
    <x v="8"/>
    <x v="4"/>
    <m/>
    <m/>
    <n v="0"/>
    <n v="0"/>
    <m/>
    <m/>
    <n v="0"/>
    <m/>
    <n v="0"/>
    <n v="0"/>
    <m/>
  </r>
  <r>
    <n v="1477"/>
    <s v=""/>
    <s v="0"/>
    <m/>
    <s v="0"/>
    <m/>
    <x v="4"/>
    <x v="8"/>
    <x v="4"/>
    <m/>
    <m/>
    <n v="0"/>
    <n v="0"/>
    <m/>
    <m/>
    <n v="0"/>
    <m/>
    <n v="0"/>
    <n v="0"/>
    <m/>
  </r>
  <r>
    <n v="1478"/>
    <s v=""/>
    <s v="0"/>
    <m/>
    <s v="0"/>
    <m/>
    <x v="4"/>
    <x v="8"/>
    <x v="4"/>
    <m/>
    <m/>
    <n v="0"/>
    <n v="0"/>
    <m/>
    <m/>
    <n v="0"/>
    <m/>
    <n v="0"/>
    <n v="0"/>
    <m/>
  </r>
  <r>
    <n v="1479"/>
    <s v=""/>
    <s v="0"/>
    <m/>
    <s v="0"/>
    <m/>
    <x v="4"/>
    <x v="8"/>
    <x v="4"/>
    <m/>
    <m/>
    <n v="0"/>
    <n v="0"/>
    <m/>
    <m/>
    <n v="0"/>
    <m/>
    <n v="0"/>
    <n v="0"/>
    <m/>
  </r>
  <r>
    <n v="1480"/>
    <s v=""/>
    <s v="0"/>
    <m/>
    <s v="0"/>
    <m/>
    <x v="4"/>
    <x v="8"/>
    <x v="4"/>
    <m/>
    <m/>
    <n v="0"/>
    <n v="0"/>
    <m/>
    <m/>
    <n v="0"/>
    <m/>
    <n v="0"/>
    <n v="0"/>
    <m/>
  </r>
  <r>
    <n v="1481"/>
    <s v=""/>
    <s v="0"/>
    <m/>
    <s v="0"/>
    <m/>
    <x v="4"/>
    <x v="8"/>
    <x v="4"/>
    <m/>
    <m/>
    <n v="0"/>
    <n v="0"/>
    <m/>
    <m/>
    <n v="0"/>
    <m/>
    <n v="0"/>
    <n v="0"/>
    <m/>
  </r>
  <r>
    <n v="1482"/>
    <s v=""/>
    <s v="0"/>
    <m/>
    <s v="0"/>
    <m/>
    <x v="4"/>
    <x v="8"/>
    <x v="4"/>
    <m/>
    <m/>
    <n v="0"/>
    <n v="0"/>
    <m/>
    <m/>
    <n v="0"/>
    <m/>
    <n v="0"/>
    <n v="0"/>
    <m/>
  </r>
  <r>
    <n v="1483"/>
    <s v=""/>
    <s v="0"/>
    <m/>
    <s v="0"/>
    <m/>
    <x v="4"/>
    <x v="8"/>
    <x v="4"/>
    <m/>
    <m/>
    <n v="0"/>
    <n v="0"/>
    <m/>
    <m/>
    <n v="0"/>
    <m/>
    <n v="0"/>
    <n v="0"/>
    <m/>
  </r>
  <r>
    <n v="1484"/>
    <s v=""/>
    <s v="0"/>
    <m/>
    <s v="0"/>
    <m/>
    <x v="4"/>
    <x v="8"/>
    <x v="4"/>
    <m/>
    <m/>
    <n v="0"/>
    <n v="0"/>
    <m/>
    <m/>
    <n v="0"/>
    <m/>
    <n v="0"/>
    <n v="0"/>
    <m/>
  </r>
  <r>
    <n v="1485"/>
    <s v=""/>
    <s v="0"/>
    <m/>
    <s v="0"/>
    <m/>
    <x v="4"/>
    <x v="8"/>
    <x v="4"/>
    <m/>
    <m/>
    <n v="0"/>
    <n v="0"/>
    <m/>
    <m/>
    <n v="0"/>
    <m/>
    <n v="0"/>
    <n v="0"/>
    <m/>
  </r>
  <r>
    <n v="1486"/>
    <s v=""/>
    <s v="0"/>
    <m/>
    <s v="0"/>
    <m/>
    <x v="4"/>
    <x v="8"/>
    <x v="4"/>
    <m/>
    <m/>
    <n v="0"/>
    <n v="0"/>
    <m/>
    <m/>
    <n v="0"/>
    <m/>
    <n v="0"/>
    <n v="0"/>
    <m/>
  </r>
  <r>
    <n v="1487"/>
    <s v=""/>
    <s v="0"/>
    <m/>
    <s v="0"/>
    <m/>
    <x v="4"/>
    <x v="8"/>
    <x v="4"/>
    <m/>
    <m/>
    <n v="0"/>
    <n v="0"/>
    <m/>
    <m/>
    <n v="0"/>
    <m/>
    <n v="0"/>
    <n v="0"/>
    <m/>
  </r>
  <r>
    <n v="1488"/>
    <s v=""/>
    <s v="0"/>
    <m/>
    <s v="0"/>
    <m/>
    <x v="4"/>
    <x v="8"/>
    <x v="4"/>
    <m/>
    <m/>
    <n v="0"/>
    <n v="0"/>
    <m/>
    <m/>
    <n v="0"/>
    <m/>
    <n v="0"/>
    <n v="0"/>
    <m/>
  </r>
  <r>
    <n v="1489"/>
    <s v=""/>
    <s v="0"/>
    <m/>
    <s v="0"/>
    <m/>
    <x v="4"/>
    <x v="8"/>
    <x v="4"/>
    <m/>
    <m/>
    <n v="0"/>
    <n v="0"/>
    <m/>
    <m/>
    <n v="0"/>
    <m/>
    <n v="0"/>
    <n v="0"/>
    <m/>
  </r>
  <r>
    <n v="1490"/>
    <s v=""/>
    <s v="0"/>
    <m/>
    <s v="0"/>
    <m/>
    <x v="4"/>
    <x v="8"/>
    <x v="4"/>
    <m/>
    <m/>
    <n v="0"/>
    <n v="0"/>
    <m/>
    <m/>
    <n v="0"/>
    <m/>
    <n v="0"/>
    <n v="0"/>
    <m/>
  </r>
  <r>
    <n v="1491"/>
    <s v=""/>
    <s v="0"/>
    <m/>
    <s v="0"/>
    <m/>
    <x v="4"/>
    <x v="8"/>
    <x v="4"/>
    <m/>
    <m/>
    <n v="0"/>
    <n v="0"/>
    <m/>
    <m/>
    <n v="0"/>
    <m/>
    <n v="0"/>
    <n v="0"/>
    <m/>
  </r>
  <r>
    <n v="1492"/>
    <s v=""/>
    <s v="0"/>
    <m/>
    <s v="0"/>
    <m/>
    <x v="4"/>
    <x v="8"/>
    <x v="4"/>
    <m/>
    <m/>
    <n v="0"/>
    <n v="0"/>
    <m/>
    <m/>
    <n v="0"/>
    <m/>
    <n v="0"/>
    <n v="0"/>
    <m/>
  </r>
  <r>
    <n v="1493"/>
    <s v=""/>
    <s v="0"/>
    <m/>
    <s v="0"/>
    <m/>
    <x v="4"/>
    <x v="8"/>
    <x v="4"/>
    <m/>
    <m/>
    <n v="0"/>
    <n v="0"/>
    <m/>
    <m/>
    <n v="0"/>
    <m/>
    <n v="0"/>
    <n v="0"/>
    <m/>
  </r>
  <r>
    <n v="1494"/>
    <s v=""/>
    <s v="0"/>
    <m/>
    <s v="0"/>
    <m/>
    <x v="4"/>
    <x v="8"/>
    <x v="4"/>
    <m/>
    <m/>
    <n v="0"/>
    <n v="0"/>
    <m/>
    <m/>
    <n v="0"/>
    <m/>
    <n v="0"/>
    <n v="0"/>
    <m/>
  </r>
  <r>
    <n v="1495"/>
    <s v=""/>
    <s v="0"/>
    <m/>
    <s v="0"/>
    <m/>
    <x v="4"/>
    <x v="8"/>
    <x v="4"/>
    <m/>
    <m/>
    <n v="0"/>
    <n v="0"/>
    <m/>
    <m/>
    <n v="0"/>
    <m/>
    <n v="0"/>
    <n v="0"/>
    <m/>
  </r>
  <r>
    <n v="1496"/>
    <s v=""/>
    <s v="0"/>
    <m/>
    <s v="0"/>
    <m/>
    <x v="4"/>
    <x v="8"/>
    <x v="4"/>
    <m/>
    <m/>
    <n v="0"/>
    <n v="0"/>
    <m/>
    <m/>
    <n v="0"/>
    <m/>
    <n v="0"/>
    <n v="0"/>
    <m/>
  </r>
  <r>
    <n v="1497"/>
    <s v=""/>
    <s v="0"/>
    <m/>
    <s v="0"/>
    <m/>
    <x v="4"/>
    <x v="8"/>
    <x v="4"/>
    <m/>
    <m/>
    <n v="0"/>
    <n v="0"/>
    <m/>
    <m/>
    <n v="0"/>
    <m/>
    <n v="0"/>
    <n v="0"/>
    <m/>
  </r>
  <r>
    <n v="1498"/>
    <s v=""/>
    <s v="0"/>
    <m/>
    <s v="0"/>
    <m/>
    <x v="4"/>
    <x v="8"/>
    <x v="4"/>
    <m/>
    <m/>
    <n v="0"/>
    <n v="0"/>
    <m/>
    <m/>
    <n v="0"/>
    <m/>
    <n v="0"/>
    <n v="0"/>
    <m/>
  </r>
  <r>
    <n v="1499"/>
    <s v=""/>
    <s v="0"/>
    <m/>
    <s v="0"/>
    <m/>
    <x v="4"/>
    <x v="8"/>
    <x v="4"/>
    <m/>
    <m/>
    <n v="0"/>
    <n v="0"/>
    <m/>
    <m/>
    <n v="0"/>
    <m/>
    <n v="0"/>
    <n v="0"/>
    <m/>
  </r>
  <r>
    <n v="1500"/>
    <s v=""/>
    <s v="0"/>
    <m/>
    <s v="0"/>
    <m/>
    <x v="4"/>
    <x v="8"/>
    <x v="4"/>
    <m/>
    <m/>
    <n v="0"/>
    <n v="0"/>
    <m/>
    <m/>
    <n v="0"/>
    <m/>
    <n v="0"/>
    <n v="0"/>
    <m/>
  </r>
  <r>
    <n v="1501"/>
    <s v=""/>
    <s v="0"/>
    <m/>
    <s v="0"/>
    <m/>
    <x v="4"/>
    <x v="8"/>
    <x v="4"/>
    <m/>
    <m/>
    <n v="0"/>
    <n v="0"/>
    <m/>
    <m/>
    <n v="0"/>
    <m/>
    <n v="0"/>
    <n v="0"/>
    <m/>
  </r>
  <r>
    <n v="1502"/>
    <s v=""/>
    <s v="0"/>
    <m/>
    <s v="0"/>
    <m/>
    <x v="4"/>
    <x v="8"/>
    <x v="4"/>
    <m/>
    <m/>
    <n v="0"/>
    <n v="0"/>
    <m/>
    <m/>
    <n v="0"/>
    <m/>
    <n v="0"/>
    <n v="0"/>
    <m/>
  </r>
  <r>
    <n v="1503"/>
    <s v=""/>
    <s v="0"/>
    <m/>
    <s v="0"/>
    <m/>
    <x v="4"/>
    <x v="8"/>
    <x v="4"/>
    <m/>
    <m/>
    <n v="0"/>
    <n v="0"/>
    <m/>
    <m/>
    <n v="0"/>
    <m/>
    <n v="0"/>
    <n v="0"/>
    <m/>
  </r>
  <r>
    <n v="1504"/>
    <s v=""/>
    <s v="0"/>
    <m/>
    <s v="0"/>
    <m/>
    <x v="4"/>
    <x v="8"/>
    <x v="4"/>
    <m/>
    <m/>
    <n v="0"/>
    <n v="0"/>
    <m/>
    <m/>
    <n v="0"/>
    <m/>
    <n v="0"/>
    <n v="0"/>
    <m/>
  </r>
  <r>
    <n v="1505"/>
    <s v=""/>
    <s v="0"/>
    <m/>
    <s v="0"/>
    <m/>
    <x v="4"/>
    <x v="8"/>
    <x v="4"/>
    <m/>
    <m/>
    <n v="0"/>
    <n v="0"/>
    <m/>
    <m/>
    <n v="0"/>
    <m/>
    <n v="0"/>
    <n v="0"/>
    <m/>
  </r>
  <r>
    <n v="1506"/>
    <s v=""/>
    <s v="0"/>
    <m/>
    <s v="0"/>
    <m/>
    <x v="4"/>
    <x v="8"/>
    <x v="4"/>
    <m/>
    <m/>
    <n v="0"/>
    <n v="0"/>
    <m/>
    <m/>
    <n v="0"/>
    <m/>
    <n v="0"/>
    <n v="0"/>
    <m/>
  </r>
  <r>
    <n v="1507"/>
    <s v=""/>
    <s v="0"/>
    <m/>
    <s v="0"/>
    <m/>
    <x v="4"/>
    <x v="8"/>
    <x v="4"/>
    <m/>
    <m/>
    <n v="0"/>
    <n v="0"/>
    <m/>
    <m/>
    <n v="0"/>
    <m/>
    <n v="0"/>
    <n v="0"/>
    <m/>
  </r>
  <r>
    <n v="1508"/>
    <s v=""/>
    <s v="0"/>
    <m/>
    <s v="0"/>
    <m/>
    <x v="4"/>
    <x v="8"/>
    <x v="4"/>
    <m/>
    <m/>
    <n v="0"/>
    <n v="0"/>
    <m/>
    <m/>
    <n v="0"/>
    <m/>
    <n v="0"/>
    <n v="0"/>
    <m/>
  </r>
  <r>
    <n v="1509"/>
    <s v=""/>
    <s v="0"/>
    <m/>
    <s v="0"/>
    <m/>
    <x v="4"/>
    <x v="8"/>
    <x v="4"/>
    <m/>
    <m/>
    <n v="0"/>
    <n v="0"/>
    <m/>
    <m/>
    <n v="0"/>
    <m/>
    <n v="0"/>
    <n v="0"/>
    <m/>
  </r>
  <r>
    <n v="1510"/>
    <s v=""/>
    <s v="0"/>
    <m/>
    <s v="0"/>
    <m/>
    <x v="4"/>
    <x v="8"/>
    <x v="4"/>
    <m/>
    <m/>
    <n v="0"/>
    <n v="0"/>
    <m/>
    <m/>
    <n v="0"/>
    <m/>
    <n v="0"/>
    <n v="0"/>
    <m/>
  </r>
  <r>
    <n v="1511"/>
    <s v=""/>
    <s v="0"/>
    <m/>
    <s v="0"/>
    <m/>
    <x v="4"/>
    <x v="8"/>
    <x v="4"/>
    <m/>
    <m/>
    <n v="0"/>
    <n v="0"/>
    <m/>
    <m/>
    <n v="0"/>
    <m/>
    <n v="0"/>
    <n v="0"/>
    <m/>
  </r>
  <r>
    <n v="1512"/>
    <s v=""/>
    <s v="0"/>
    <m/>
    <s v="0"/>
    <m/>
    <x v="4"/>
    <x v="8"/>
    <x v="4"/>
    <m/>
    <m/>
    <n v="0"/>
    <n v="0"/>
    <m/>
    <m/>
    <n v="0"/>
    <m/>
    <n v="0"/>
    <n v="0"/>
    <m/>
  </r>
  <r>
    <n v="1513"/>
    <s v=""/>
    <s v="0"/>
    <m/>
    <s v="0"/>
    <m/>
    <x v="4"/>
    <x v="8"/>
    <x v="4"/>
    <m/>
    <m/>
    <n v="0"/>
    <n v="0"/>
    <m/>
    <m/>
    <n v="0"/>
    <m/>
    <n v="0"/>
    <n v="0"/>
    <m/>
  </r>
  <r>
    <n v="1514"/>
    <s v=""/>
    <s v="0"/>
    <m/>
    <s v="0"/>
    <m/>
    <x v="4"/>
    <x v="8"/>
    <x v="4"/>
    <m/>
    <m/>
    <n v="0"/>
    <n v="0"/>
    <m/>
    <m/>
    <n v="0"/>
    <m/>
    <n v="0"/>
    <n v="0"/>
    <m/>
  </r>
  <r>
    <n v="1515"/>
    <s v=""/>
    <s v="0"/>
    <m/>
    <s v="0"/>
    <m/>
    <x v="4"/>
    <x v="8"/>
    <x v="4"/>
    <m/>
    <m/>
    <n v="0"/>
    <n v="0"/>
    <m/>
    <m/>
    <n v="0"/>
    <m/>
    <n v="0"/>
    <n v="0"/>
    <m/>
  </r>
  <r>
    <n v="1516"/>
    <s v=""/>
    <s v="0"/>
    <m/>
    <s v="0"/>
    <m/>
    <x v="4"/>
    <x v="8"/>
    <x v="4"/>
    <m/>
    <m/>
    <n v="0"/>
    <n v="0"/>
    <m/>
    <m/>
    <n v="0"/>
    <m/>
    <n v="0"/>
    <n v="0"/>
    <m/>
  </r>
  <r>
    <n v="1517"/>
    <s v=""/>
    <s v="0"/>
    <m/>
    <s v="0"/>
    <m/>
    <x v="4"/>
    <x v="8"/>
    <x v="4"/>
    <m/>
    <m/>
    <n v="0"/>
    <n v="0"/>
    <m/>
    <m/>
    <n v="0"/>
    <m/>
    <n v="0"/>
    <n v="0"/>
    <m/>
  </r>
  <r>
    <n v="1518"/>
    <s v=""/>
    <s v="0"/>
    <m/>
    <s v="0"/>
    <m/>
    <x v="4"/>
    <x v="8"/>
    <x v="4"/>
    <m/>
    <m/>
    <n v="0"/>
    <n v="0"/>
    <m/>
    <m/>
    <n v="0"/>
    <m/>
    <n v="0"/>
    <n v="0"/>
    <m/>
  </r>
  <r>
    <n v="1519"/>
    <s v=""/>
    <s v="0"/>
    <m/>
    <s v="0"/>
    <m/>
    <x v="4"/>
    <x v="8"/>
    <x v="4"/>
    <m/>
    <m/>
    <n v="0"/>
    <n v="0"/>
    <m/>
    <m/>
    <n v="0"/>
    <m/>
    <n v="0"/>
    <n v="0"/>
    <m/>
  </r>
  <r>
    <n v="1520"/>
    <s v=""/>
    <s v="0"/>
    <m/>
    <s v="0"/>
    <m/>
    <x v="4"/>
    <x v="8"/>
    <x v="4"/>
    <m/>
    <m/>
    <n v="0"/>
    <n v="0"/>
    <m/>
    <m/>
    <n v="0"/>
    <m/>
    <n v="0"/>
    <n v="0"/>
    <m/>
  </r>
  <r>
    <n v="1521"/>
    <s v=""/>
    <s v="0"/>
    <m/>
    <s v="0"/>
    <m/>
    <x v="4"/>
    <x v="8"/>
    <x v="4"/>
    <m/>
    <m/>
    <n v="0"/>
    <n v="0"/>
    <m/>
    <m/>
    <n v="0"/>
    <m/>
    <n v="0"/>
    <n v="0"/>
    <m/>
  </r>
  <r>
    <n v="1522"/>
    <s v=""/>
    <s v="0"/>
    <m/>
    <s v="0"/>
    <m/>
    <x v="4"/>
    <x v="8"/>
    <x v="4"/>
    <m/>
    <m/>
    <n v="0"/>
    <n v="0"/>
    <m/>
    <m/>
    <n v="0"/>
    <m/>
    <n v="0"/>
    <n v="0"/>
    <m/>
  </r>
  <r>
    <n v="1523"/>
    <s v=""/>
    <s v="0"/>
    <m/>
    <s v="0"/>
    <m/>
    <x v="4"/>
    <x v="8"/>
    <x v="4"/>
    <m/>
    <m/>
    <n v="0"/>
    <n v="0"/>
    <m/>
    <m/>
    <n v="0"/>
    <m/>
    <n v="0"/>
    <n v="0"/>
    <m/>
  </r>
  <r>
    <n v="1524"/>
    <s v=""/>
    <s v="0"/>
    <m/>
    <s v="0"/>
    <m/>
    <x v="4"/>
    <x v="8"/>
    <x v="4"/>
    <m/>
    <m/>
    <n v="0"/>
    <n v="0"/>
    <m/>
    <m/>
    <n v="0"/>
    <m/>
    <n v="0"/>
    <n v="0"/>
    <m/>
  </r>
  <r>
    <n v="1525"/>
    <s v=""/>
    <s v="0"/>
    <m/>
    <s v="0"/>
    <m/>
    <x v="4"/>
    <x v="8"/>
    <x v="4"/>
    <m/>
    <m/>
    <n v="0"/>
    <n v="0"/>
    <m/>
    <m/>
    <n v="0"/>
    <m/>
    <n v="0"/>
    <n v="0"/>
    <m/>
  </r>
  <r>
    <n v="1526"/>
    <s v=""/>
    <s v="0"/>
    <m/>
    <s v="0"/>
    <m/>
    <x v="4"/>
    <x v="8"/>
    <x v="4"/>
    <m/>
    <m/>
    <n v="0"/>
    <n v="0"/>
    <m/>
    <m/>
    <n v="0"/>
    <m/>
    <n v="0"/>
    <n v="0"/>
    <m/>
  </r>
  <r>
    <n v="1527"/>
    <s v=""/>
    <s v="0"/>
    <m/>
    <s v="0"/>
    <m/>
    <x v="4"/>
    <x v="8"/>
    <x v="4"/>
    <m/>
    <m/>
    <n v="0"/>
    <n v="0"/>
    <m/>
    <m/>
    <n v="0"/>
    <m/>
    <n v="0"/>
    <n v="0"/>
    <m/>
  </r>
  <r>
    <n v="1528"/>
    <s v=""/>
    <s v="0"/>
    <m/>
    <s v="0"/>
    <m/>
    <x v="4"/>
    <x v="8"/>
    <x v="4"/>
    <m/>
    <m/>
    <n v="0"/>
    <n v="0"/>
    <m/>
    <m/>
    <n v="0"/>
    <m/>
    <n v="0"/>
    <n v="0"/>
    <m/>
  </r>
  <r>
    <n v="1529"/>
    <s v=""/>
    <s v="0"/>
    <m/>
    <s v="0"/>
    <m/>
    <x v="4"/>
    <x v="8"/>
    <x v="4"/>
    <m/>
    <m/>
    <n v="0"/>
    <n v="0"/>
    <m/>
    <m/>
    <n v="0"/>
    <m/>
    <n v="0"/>
    <n v="0"/>
    <m/>
  </r>
  <r>
    <n v="1530"/>
    <s v=""/>
    <s v="0"/>
    <m/>
    <s v="0"/>
    <m/>
    <x v="4"/>
    <x v="8"/>
    <x v="4"/>
    <m/>
    <m/>
    <n v="0"/>
    <n v="0"/>
    <m/>
    <m/>
    <n v="0"/>
    <m/>
    <n v="0"/>
    <n v="0"/>
    <m/>
  </r>
  <r>
    <n v="1531"/>
    <s v=""/>
    <s v="0"/>
    <m/>
    <s v="0"/>
    <m/>
    <x v="4"/>
    <x v="8"/>
    <x v="4"/>
    <m/>
    <m/>
    <n v="0"/>
    <n v="0"/>
    <m/>
    <m/>
    <n v="0"/>
    <m/>
    <n v="0"/>
    <n v="0"/>
    <m/>
  </r>
  <r>
    <n v="1532"/>
    <s v=""/>
    <s v="0"/>
    <m/>
    <s v="0"/>
    <m/>
    <x v="4"/>
    <x v="8"/>
    <x v="4"/>
    <m/>
    <m/>
    <n v="0"/>
    <n v="0"/>
    <m/>
    <m/>
    <n v="0"/>
    <m/>
    <n v="0"/>
    <n v="0"/>
    <m/>
  </r>
  <r>
    <n v="1533"/>
    <s v=""/>
    <s v="0"/>
    <m/>
    <s v="0"/>
    <m/>
    <x v="4"/>
    <x v="8"/>
    <x v="4"/>
    <m/>
    <m/>
    <n v="0"/>
    <n v="0"/>
    <m/>
    <m/>
    <n v="0"/>
    <m/>
    <n v="0"/>
    <n v="0"/>
    <m/>
  </r>
  <r>
    <n v="1534"/>
    <s v=""/>
    <s v="0"/>
    <m/>
    <s v="0"/>
    <m/>
    <x v="4"/>
    <x v="8"/>
    <x v="4"/>
    <m/>
    <m/>
    <n v="0"/>
    <n v="0"/>
    <m/>
    <m/>
    <n v="0"/>
    <m/>
    <n v="0"/>
    <n v="0"/>
    <m/>
  </r>
  <r>
    <n v="1535"/>
    <s v=""/>
    <s v="0"/>
    <m/>
    <s v="0"/>
    <m/>
    <x v="4"/>
    <x v="8"/>
    <x v="4"/>
    <m/>
    <m/>
    <n v="0"/>
    <n v="0"/>
    <m/>
    <m/>
    <n v="0"/>
    <m/>
    <n v="0"/>
    <n v="0"/>
    <m/>
  </r>
  <r>
    <n v="1536"/>
    <s v=""/>
    <s v="0"/>
    <m/>
    <s v="0"/>
    <m/>
    <x v="4"/>
    <x v="8"/>
    <x v="4"/>
    <m/>
    <m/>
    <n v="0"/>
    <n v="0"/>
    <m/>
    <m/>
    <n v="0"/>
    <m/>
    <n v="0"/>
    <n v="0"/>
    <m/>
  </r>
  <r>
    <n v="1537"/>
    <s v=""/>
    <s v="0"/>
    <m/>
    <s v="0"/>
    <m/>
    <x v="4"/>
    <x v="8"/>
    <x v="4"/>
    <m/>
    <m/>
    <n v="0"/>
    <n v="0"/>
    <m/>
    <m/>
    <n v="0"/>
    <m/>
    <n v="0"/>
    <n v="0"/>
    <m/>
  </r>
  <r>
    <n v="1538"/>
    <s v=""/>
    <s v="0"/>
    <m/>
    <s v="0"/>
    <m/>
    <x v="4"/>
    <x v="8"/>
    <x v="4"/>
    <m/>
    <m/>
    <n v="0"/>
    <n v="0"/>
    <m/>
    <m/>
    <n v="0"/>
    <m/>
    <n v="0"/>
    <n v="0"/>
    <m/>
  </r>
  <r>
    <n v="1539"/>
    <s v=""/>
    <s v="0"/>
    <m/>
    <s v="0"/>
    <m/>
    <x v="4"/>
    <x v="8"/>
    <x v="4"/>
    <m/>
    <m/>
    <n v="0"/>
    <n v="0"/>
    <m/>
    <m/>
    <n v="0"/>
    <m/>
    <n v="0"/>
    <n v="0"/>
    <m/>
  </r>
  <r>
    <n v="1540"/>
    <s v=""/>
    <s v="0"/>
    <m/>
    <s v="0"/>
    <m/>
    <x v="4"/>
    <x v="8"/>
    <x v="4"/>
    <m/>
    <m/>
    <n v="0"/>
    <n v="0"/>
    <m/>
    <m/>
    <n v="0"/>
    <m/>
    <n v="0"/>
    <n v="0"/>
    <m/>
  </r>
  <r>
    <n v="1541"/>
    <s v=""/>
    <s v="0"/>
    <m/>
    <s v="0"/>
    <m/>
    <x v="4"/>
    <x v="8"/>
    <x v="4"/>
    <m/>
    <m/>
    <n v="0"/>
    <n v="0"/>
    <m/>
    <m/>
    <n v="0"/>
    <m/>
    <n v="0"/>
    <n v="0"/>
    <m/>
  </r>
  <r>
    <n v="1542"/>
    <s v=""/>
    <s v="0"/>
    <m/>
    <s v="0"/>
    <m/>
    <x v="4"/>
    <x v="8"/>
    <x v="4"/>
    <m/>
    <m/>
    <n v="0"/>
    <n v="0"/>
    <m/>
    <m/>
    <n v="0"/>
    <m/>
    <n v="0"/>
    <n v="0"/>
    <m/>
  </r>
  <r>
    <n v="1543"/>
    <s v=""/>
    <s v="0"/>
    <m/>
    <s v="0"/>
    <m/>
    <x v="4"/>
    <x v="8"/>
    <x v="4"/>
    <m/>
    <m/>
    <n v="0"/>
    <n v="0"/>
    <m/>
    <m/>
    <n v="0"/>
    <m/>
    <n v="0"/>
    <n v="0"/>
    <m/>
  </r>
  <r>
    <n v="1544"/>
    <s v=""/>
    <s v="0"/>
    <m/>
    <s v="0"/>
    <m/>
    <x v="4"/>
    <x v="8"/>
    <x v="4"/>
    <m/>
    <m/>
    <n v="0"/>
    <n v="0"/>
    <m/>
    <m/>
    <n v="0"/>
    <m/>
    <n v="0"/>
    <n v="0"/>
    <m/>
  </r>
  <r>
    <n v="1545"/>
    <s v=""/>
    <s v="0"/>
    <m/>
    <s v="0"/>
    <m/>
    <x v="4"/>
    <x v="8"/>
    <x v="4"/>
    <m/>
    <m/>
    <n v="0"/>
    <n v="0"/>
    <m/>
    <m/>
    <n v="0"/>
    <m/>
    <n v="0"/>
    <n v="0"/>
    <m/>
  </r>
  <r>
    <n v="1546"/>
    <s v=""/>
    <s v="0"/>
    <m/>
    <s v="0"/>
    <m/>
    <x v="4"/>
    <x v="8"/>
    <x v="4"/>
    <m/>
    <m/>
    <n v="0"/>
    <n v="0"/>
    <m/>
    <m/>
    <n v="0"/>
    <m/>
    <n v="0"/>
    <n v="0"/>
    <m/>
  </r>
  <r>
    <n v="1547"/>
    <s v=""/>
    <s v="0"/>
    <m/>
    <s v="0"/>
    <m/>
    <x v="4"/>
    <x v="8"/>
    <x v="4"/>
    <m/>
    <m/>
    <n v="0"/>
    <n v="0"/>
    <m/>
    <m/>
    <n v="0"/>
    <m/>
    <n v="0"/>
    <n v="0"/>
    <m/>
  </r>
  <r>
    <n v="1548"/>
    <s v=""/>
    <s v="0"/>
    <m/>
    <s v="0"/>
    <m/>
    <x v="4"/>
    <x v="8"/>
    <x v="4"/>
    <m/>
    <m/>
    <n v="0"/>
    <n v="0"/>
    <m/>
    <m/>
    <n v="0"/>
    <m/>
    <n v="0"/>
    <n v="0"/>
    <m/>
  </r>
  <r>
    <n v="1549"/>
    <s v=""/>
    <s v="0"/>
    <m/>
    <s v="0"/>
    <m/>
    <x v="4"/>
    <x v="8"/>
    <x v="4"/>
    <m/>
    <m/>
    <n v="0"/>
    <n v="0"/>
    <m/>
    <m/>
    <n v="0"/>
    <m/>
    <n v="0"/>
    <n v="0"/>
    <m/>
  </r>
  <r>
    <n v="1550"/>
    <s v=""/>
    <s v="0"/>
    <m/>
    <s v="0"/>
    <m/>
    <x v="4"/>
    <x v="8"/>
    <x v="4"/>
    <m/>
    <m/>
    <n v="0"/>
    <n v="0"/>
    <m/>
    <m/>
    <n v="0"/>
    <m/>
    <n v="0"/>
    <n v="0"/>
    <m/>
  </r>
  <r>
    <n v="1551"/>
    <s v=""/>
    <s v="0"/>
    <m/>
    <s v="0"/>
    <m/>
    <x v="4"/>
    <x v="8"/>
    <x v="4"/>
    <m/>
    <m/>
    <n v="0"/>
    <n v="0"/>
    <m/>
    <m/>
    <n v="0"/>
    <m/>
    <n v="0"/>
    <n v="0"/>
    <m/>
  </r>
  <r>
    <n v="1552"/>
    <s v=""/>
    <s v="0"/>
    <m/>
    <s v="0"/>
    <m/>
    <x v="4"/>
    <x v="8"/>
    <x v="4"/>
    <m/>
    <m/>
    <n v="0"/>
    <n v="0"/>
    <m/>
    <m/>
    <n v="0"/>
    <m/>
    <n v="0"/>
    <n v="0"/>
    <m/>
  </r>
  <r>
    <n v="1553"/>
    <s v=""/>
    <s v="0"/>
    <m/>
    <s v="0"/>
    <m/>
    <x v="4"/>
    <x v="8"/>
    <x v="4"/>
    <m/>
    <m/>
    <n v="0"/>
    <n v="0"/>
    <m/>
    <m/>
    <n v="0"/>
    <m/>
    <n v="0"/>
    <n v="0"/>
    <m/>
  </r>
  <r>
    <n v="1554"/>
    <s v=""/>
    <s v="0"/>
    <m/>
    <s v="0"/>
    <m/>
    <x v="4"/>
    <x v="8"/>
    <x v="4"/>
    <m/>
    <m/>
    <n v="0"/>
    <n v="0"/>
    <m/>
    <m/>
    <n v="0"/>
    <m/>
    <n v="0"/>
    <n v="0"/>
    <m/>
  </r>
  <r>
    <n v="1555"/>
    <s v=""/>
    <s v="0"/>
    <m/>
    <s v="0"/>
    <m/>
    <x v="4"/>
    <x v="8"/>
    <x v="4"/>
    <m/>
    <m/>
    <n v="0"/>
    <n v="0"/>
    <m/>
    <m/>
    <n v="0"/>
    <m/>
    <n v="0"/>
    <n v="0"/>
    <m/>
  </r>
  <r>
    <n v="1556"/>
    <s v=""/>
    <s v="0"/>
    <m/>
    <s v="0"/>
    <m/>
    <x v="4"/>
    <x v="8"/>
    <x v="4"/>
    <m/>
    <m/>
    <n v="0"/>
    <n v="0"/>
    <m/>
    <m/>
    <n v="0"/>
    <m/>
    <n v="0"/>
    <n v="0"/>
    <m/>
  </r>
  <r>
    <n v="1557"/>
    <s v=""/>
    <s v="0"/>
    <m/>
    <s v="0"/>
    <m/>
    <x v="4"/>
    <x v="8"/>
    <x v="4"/>
    <m/>
    <m/>
    <n v="0"/>
    <n v="0"/>
    <m/>
    <m/>
    <n v="0"/>
    <m/>
    <n v="0"/>
    <n v="0"/>
    <m/>
  </r>
  <r>
    <n v="1558"/>
    <s v=""/>
    <s v="0"/>
    <m/>
    <s v="0"/>
    <m/>
    <x v="4"/>
    <x v="8"/>
    <x v="4"/>
    <m/>
    <m/>
    <n v="0"/>
    <n v="0"/>
    <m/>
    <m/>
    <n v="0"/>
    <m/>
    <n v="0"/>
    <n v="0"/>
    <m/>
  </r>
  <r>
    <n v="1559"/>
    <s v=""/>
    <s v="0"/>
    <m/>
    <s v="0"/>
    <m/>
    <x v="4"/>
    <x v="8"/>
    <x v="4"/>
    <m/>
    <m/>
    <n v="0"/>
    <n v="0"/>
    <m/>
    <m/>
    <n v="0"/>
    <m/>
    <n v="0"/>
    <n v="0"/>
    <m/>
  </r>
  <r>
    <n v="1560"/>
    <s v=""/>
    <s v="0"/>
    <m/>
    <s v="0"/>
    <m/>
    <x v="4"/>
    <x v="8"/>
    <x v="4"/>
    <m/>
    <m/>
    <n v="0"/>
    <n v="0"/>
    <m/>
    <m/>
    <n v="0"/>
    <m/>
    <n v="0"/>
    <n v="0"/>
    <m/>
  </r>
  <r>
    <n v="1561"/>
    <s v=""/>
    <s v="0"/>
    <m/>
    <s v="0"/>
    <m/>
    <x v="4"/>
    <x v="8"/>
    <x v="4"/>
    <m/>
    <m/>
    <n v="0"/>
    <n v="0"/>
    <m/>
    <m/>
    <n v="0"/>
    <m/>
    <n v="0"/>
    <n v="0"/>
    <m/>
  </r>
  <r>
    <n v="1562"/>
    <s v=""/>
    <s v="0"/>
    <m/>
    <s v="0"/>
    <m/>
    <x v="4"/>
    <x v="8"/>
    <x v="4"/>
    <m/>
    <m/>
    <n v="0"/>
    <n v="0"/>
    <m/>
    <m/>
    <n v="0"/>
    <m/>
    <n v="0"/>
    <n v="0"/>
    <m/>
  </r>
  <r>
    <n v="1563"/>
    <s v=""/>
    <s v="0"/>
    <m/>
    <s v="0"/>
    <m/>
    <x v="4"/>
    <x v="8"/>
    <x v="4"/>
    <m/>
    <m/>
    <n v="0"/>
    <n v="0"/>
    <m/>
    <m/>
    <n v="0"/>
    <m/>
    <n v="0"/>
    <n v="0"/>
    <m/>
  </r>
  <r>
    <n v="1564"/>
    <s v=""/>
    <s v="0"/>
    <m/>
    <s v="0"/>
    <m/>
    <x v="4"/>
    <x v="8"/>
    <x v="4"/>
    <m/>
    <m/>
    <n v="0"/>
    <n v="0"/>
    <m/>
    <m/>
    <n v="0"/>
    <m/>
    <n v="0"/>
    <n v="0"/>
    <m/>
  </r>
  <r>
    <n v="1565"/>
    <s v=""/>
    <s v="0"/>
    <m/>
    <s v="0"/>
    <m/>
    <x v="4"/>
    <x v="8"/>
    <x v="4"/>
    <m/>
    <m/>
    <n v="0"/>
    <n v="0"/>
    <m/>
    <m/>
    <n v="0"/>
    <m/>
    <n v="0"/>
    <n v="0"/>
    <m/>
  </r>
  <r>
    <n v="1566"/>
    <s v=""/>
    <s v="0"/>
    <m/>
    <s v="0"/>
    <m/>
    <x v="4"/>
    <x v="8"/>
    <x v="4"/>
    <m/>
    <m/>
    <n v="0"/>
    <n v="0"/>
    <m/>
    <m/>
    <n v="0"/>
    <m/>
    <n v="0"/>
    <n v="0"/>
    <m/>
  </r>
  <r>
    <n v="1567"/>
    <s v=""/>
    <s v="0"/>
    <m/>
    <s v="0"/>
    <m/>
    <x v="4"/>
    <x v="8"/>
    <x v="4"/>
    <m/>
    <m/>
    <n v="0"/>
    <n v="0"/>
    <m/>
    <m/>
    <n v="0"/>
    <m/>
    <n v="0"/>
    <n v="0"/>
    <m/>
  </r>
  <r>
    <n v="1568"/>
    <s v=""/>
    <s v="0"/>
    <m/>
    <s v="0"/>
    <m/>
    <x v="4"/>
    <x v="8"/>
    <x v="4"/>
    <m/>
    <m/>
    <n v="0"/>
    <n v="0"/>
    <m/>
    <m/>
    <n v="0"/>
    <m/>
    <n v="0"/>
    <n v="0"/>
    <m/>
  </r>
  <r>
    <n v="1569"/>
    <s v=""/>
    <s v="0"/>
    <m/>
    <s v="0"/>
    <m/>
    <x v="4"/>
    <x v="8"/>
    <x v="4"/>
    <m/>
    <m/>
    <n v="0"/>
    <n v="0"/>
    <m/>
    <m/>
    <n v="0"/>
    <m/>
    <n v="0"/>
    <n v="0"/>
    <m/>
  </r>
  <r>
    <n v="1570"/>
    <s v=""/>
    <s v="0"/>
    <m/>
    <s v="0"/>
    <m/>
    <x v="4"/>
    <x v="8"/>
    <x v="4"/>
    <m/>
    <m/>
    <n v="0"/>
    <n v="0"/>
    <m/>
    <m/>
    <n v="0"/>
    <m/>
    <n v="0"/>
    <n v="0"/>
    <m/>
  </r>
  <r>
    <n v="1571"/>
    <s v=""/>
    <s v="0"/>
    <m/>
    <s v="0"/>
    <m/>
    <x v="4"/>
    <x v="8"/>
    <x v="4"/>
    <m/>
    <m/>
    <n v="0"/>
    <n v="0"/>
    <m/>
    <m/>
    <n v="0"/>
    <m/>
    <n v="0"/>
    <n v="0"/>
    <m/>
  </r>
  <r>
    <n v="1572"/>
    <s v=""/>
    <s v="0"/>
    <m/>
    <s v="0"/>
    <m/>
    <x v="4"/>
    <x v="8"/>
    <x v="4"/>
    <m/>
    <m/>
    <n v="0"/>
    <n v="0"/>
    <m/>
    <m/>
    <n v="0"/>
    <m/>
    <n v="0"/>
    <n v="0"/>
    <m/>
  </r>
  <r>
    <n v="1573"/>
    <s v=""/>
    <s v="0"/>
    <m/>
    <s v="0"/>
    <m/>
    <x v="4"/>
    <x v="8"/>
    <x v="4"/>
    <m/>
    <m/>
    <n v="0"/>
    <n v="0"/>
    <m/>
    <m/>
    <n v="0"/>
    <m/>
    <n v="0"/>
    <n v="0"/>
    <m/>
  </r>
  <r>
    <n v="1574"/>
    <s v=""/>
    <s v="0"/>
    <m/>
    <s v="0"/>
    <m/>
    <x v="4"/>
    <x v="8"/>
    <x v="4"/>
    <m/>
    <m/>
    <n v="0"/>
    <n v="0"/>
    <m/>
    <m/>
    <n v="0"/>
    <m/>
    <n v="0"/>
    <n v="0"/>
    <m/>
  </r>
  <r>
    <n v="1575"/>
    <s v=""/>
    <s v="0"/>
    <m/>
    <s v="0"/>
    <m/>
    <x v="4"/>
    <x v="8"/>
    <x v="4"/>
    <m/>
    <m/>
    <n v="0"/>
    <n v="0"/>
    <m/>
    <m/>
    <n v="0"/>
    <m/>
    <n v="0"/>
    <n v="0"/>
    <m/>
  </r>
  <r>
    <n v="1576"/>
    <s v=""/>
    <s v="0"/>
    <m/>
    <s v="0"/>
    <m/>
    <x v="4"/>
    <x v="8"/>
    <x v="4"/>
    <m/>
    <m/>
    <n v="0"/>
    <n v="0"/>
    <m/>
    <m/>
    <n v="0"/>
    <m/>
    <n v="0"/>
    <n v="0"/>
    <m/>
  </r>
  <r>
    <n v="1577"/>
    <s v=""/>
    <s v="0"/>
    <m/>
    <s v="0"/>
    <m/>
    <x v="4"/>
    <x v="8"/>
    <x v="4"/>
    <m/>
    <m/>
    <n v="0"/>
    <n v="0"/>
    <m/>
    <m/>
    <n v="0"/>
    <m/>
    <n v="0"/>
    <n v="0"/>
    <m/>
  </r>
  <r>
    <n v="1578"/>
    <s v=""/>
    <s v="0"/>
    <m/>
    <s v="0"/>
    <m/>
    <x v="4"/>
    <x v="8"/>
    <x v="4"/>
    <m/>
    <m/>
    <n v="0"/>
    <n v="0"/>
    <m/>
    <m/>
    <n v="0"/>
    <m/>
    <n v="0"/>
    <n v="0"/>
    <m/>
  </r>
  <r>
    <n v="1579"/>
    <s v=""/>
    <s v="0"/>
    <m/>
    <s v="0"/>
    <m/>
    <x v="4"/>
    <x v="8"/>
    <x v="4"/>
    <m/>
    <m/>
    <n v="0"/>
    <n v="0"/>
    <m/>
    <m/>
    <n v="0"/>
    <m/>
    <n v="0"/>
    <n v="0"/>
    <m/>
  </r>
  <r>
    <n v="1580"/>
    <s v=""/>
    <s v="0"/>
    <m/>
    <s v="0"/>
    <m/>
    <x v="4"/>
    <x v="8"/>
    <x v="4"/>
    <m/>
    <m/>
    <n v="0"/>
    <n v="0"/>
    <m/>
    <m/>
    <n v="0"/>
    <m/>
    <n v="0"/>
    <n v="0"/>
    <m/>
  </r>
  <r>
    <n v="1581"/>
    <s v=""/>
    <s v="0"/>
    <m/>
    <s v="0"/>
    <m/>
    <x v="4"/>
    <x v="8"/>
    <x v="4"/>
    <m/>
    <m/>
    <n v="0"/>
    <n v="0"/>
    <m/>
    <m/>
    <n v="0"/>
    <m/>
    <n v="0"/>
    <n v="0"/>
    <m/>
  </r>
  <r>
    <n v="1582"/>
    <s v=""/>
    <s v="0"/>
    <m/>
    <s v="0"/>
    <m/>
    <x v="4"/>
    <x v="8"/>
    <x v="4"/>
    <m/>
    <m/>
    <n v="0"/>
    <n v="0"/>
    <m/>
    <m/>
    <n v="0"/>
    <m/>
    <n v="0"/>
    <n v="0"/>
    <m/>
  </r>
  <r>
    <n v="1583"/>
    <s v=""/>
    <s v="0"/>
    <m/>
    <s v="0"/>
    <m/>
    <x v="4"/>
    <x v="8"/>
    <x v="4"/>
    <m/>
    <m/>
    <n v="0"/>
    <n v="0"/>
    <m/>
    <m/>
    <n v="0"/>
    <m/>
    <n v="0"/>
    <n v="0"/>
    <m/>
  </r>
  <r>
    <n v="1584"/>
    <s v=""/>
    <s v="0"/>
    <m/>
    <s v="0"/>
    <m/>
    <x v="4"/>
    <x v="8"/>
    <x v="4"/>
    <m/>
    <m/>
    <n v="0"/>
    <n v="0"/>
    <m/>
    <m/>
    <n v="0"/>
    <m/>
    <n v="0"/>
    <n v="0"/>
    <m/>
  </r>
  <r>
    <n v="1585"/>
    <s v=""/>
    <s v="0"/>
    <m/>
    <s v="0"/>
    <m/>
    <x v="4"/>
    <x v="8"/>
    <x v="4"/>
    <m/>
    <m/>
    <n v="0"/>
    <n v="0"/>
    <m/>
    <m/>
    <n v="0"/>
    <m/>
    <n v="0"/>
    <n v="0"/>
    <m/>
  </r>
  <r>
    <n v="1586"/>
    <s v=""/>
    <s v="0"/>
    <m/>
    <s v="0"/>
    <m/>
    <x v="4"/>
    <x v="8"/>
    <x v="4"/>
    <m/>
    <m/>
    <n v="0"/>
    <n v="0"/>
    <m/>
    <m/>
    <n v="0"/>
    <m/>
    <n v="0"/>
    <n v="0"/>
    <m/>
  </r>
  <r>
    <n v="1587"/>
    <s v=""/>
    <s v="0"/>
    <m/>
    <s v="0"/>
    <m/>
    <x v="4"/>
    <x v="8"/>
    <x v="4"/>
    <m/>
    <m/>
    <n v="0"/>
    <n v="0"/>
    <m/>
    <m/>
    <n v="0"/>
    <m/>
    <n v="0"/>
    <n v="0"/>
    <m/>
  </r>
  <r>
    <n v="1588"/>
    <s v=""/>
    <s v="0"/>
    <m/>
    <s v="0"/>
    <m/>
    <x v="4"/>
    <x v="8"/>
    <x v="4"/>
    <m/>
    <m/>
    <n v="0"/>
    <n v="0"/>
    <m/>
    <m/>
    <n v="0"/>
    <m/>
    <n v="0"/>
    <n v="0"/>
    <m/>
  </r>
  <r>
    <n v="1589"/>
    <s v=""/>
    <s v="0"/>
    <m/>
    <s v="0"/>
    <m/>
    <x v="4"/>
    <x v="8"/>
    <x v="4"/>
    <m/>
    <m/>
    <n v="0"/>
    <n v="0"/>
    <m/>
    <m/>
    <n v="0"/>
    <m/>
    <n v="0"/>
    <n v="0"/>
    <m/>
  </r>
  <r>
    <n v="1590"/>
    <s v=""/>
    <s v="0"/>
    <m/>
    <s v="0"/>
    <m/>
    <x v="4"/>
    <x v="8"/>
    <x v="4"/>
    <m/>
    <m/>
    <n v="0"/>
    <n v="0"/>
    <m/>
    <m/>
    <n v="0"/>
    <m/>
    <n v="0"/>
    <n v="0"/>
    <m/>
  </r>
  <r>
    <n v="1591"/>
    <s v=""/>
    <s v="0"/>
    <m/>
    <s v="0"/>
    <m/>
    <x v="4"/>
    <x v="8"/>
    <x v="4"/>
    <m/>
    <m/>
    <n v="0"/>
    <n v="0"/>
    <m/>
    <m/>
    <n v="0"/>
    <m/>
    <n v="0"/>
    <n v="0"/>
    <m/>
  </r>
  <r>
    <n v="1592"/>
    <s v=""/>
    <s v="0"/>
    <m/>
    <s v="0"/>
    <m/>
    <x v="4"/>
    <x v="8"/>
    <x v="4"/>
    <m/>
    <m/>
    <n v="0"/>
    <n v="0"/>
    <m/>
    <m/>
    <n v="0"/>
    <m/>
    <n v="0"/>
    <n v="0"/>
    <m/>
  </r>
  <r>
    <n v="1593"/>
    <s v=""/>
    <s v="0"/>
    <m/>
    <s v="0"/>
    <m/>
    <x v="4"/>
    <x v="8"/>
    <x v="4"/>
    <m/>
    <m/>
    <n v="0"/>
    <n v="0"/>
    <m/>
    <m/>
    <n v="0"/>
    <m/>
    <n v="0"/>
    <n v="0"/>
    <m/>
  </r>
  <r>
    <n v="1594"/>
    <s v=""/>
    <s v="0"/>
    <m/>
    <s v="0"/>
    <m/>
    <x v="4"/>
    <x v="8"/>
    <x v="4"/>
    <m/>
    <m/>
    <n v="0"/>
    <n v="0"/>
    <m/>
    <m/>
    <n v="0"/>
    <m/>
    <n v="0"/>
    <n v="0"/>
    <m/>
  </r>
  <r>
    <n v="1595"/>
    <s v=""/>
    <s v="0"/>
    <m/>
    <s v="0"/>
    <m/>
    <x v="4"/>
    <x v="8"/>
    <x v="4"/>
    <m/>
    <m/>
    <n v="0"/>
    <n v="0"/>
    <m/>
    <m/>
    <n v="0"/>
    <m/>
    <n v="0"/>
    <n v="0"/>
    <m/>
  </r>
  <r>
    <n v="1596"/>
    <s v=""/>
    <s v="0"/>
    <m/>
    <s v="0"/>
    <m/>
    <x v="4"/>
    <x v="8"/>
    <x v="4"/>
    <m/>
    <m/>
    <n v="0"/>
    <n v="0"/>
    <m/>
    <m/>
    <n v="0"/>
    <m/>
    <n v="0"/>
    <n v="0"/>
    <m/>
  </r>
  <r>
    <n v="1597"/>
    <s v=""/>
    <s v="0"/>
    <m/>
    <s v="0"/>
    <m/>
    <x v="4"/>
    <x v="8"/>
    <x v="4"/>
    <m/>
    <m/>
    <n v="0"/>
    <n v="0"/>
    <m/>
    <m/>
    <n v="0"/>
    <m/>
    <n v="0"/>
    <n v="0"/>
    <m/>
  </r>
  <r>
    <n v="1598"/>
    <s v=""/>
    <s v="0"/>
    <m/>
    <s v="0"/>
    <m/>
    <x v="4"/>
    <x v="8"/>
    <x v="4"/>
    <m/>
    <m/>
    <n v="0"/>
    <n v="0"/>
    <m/>
    <m/>
    <n v="0"/>
    <m/>
    <n v="0"/>
    <n v="0"/>
    <m/>
  </r>
  <r>
    <n v="1599"/>
    <s v=""/>
    <s v="0"/>
    <m/>
    <s v="0"/>
    <m/>
    <x v="4"/>
    <x v="8"/>
    <x v="4"/>
    <m/>
    <m/>
    <n v="0"/>
    <n v="0"/>
    <m/>
    <m/>
    <n v="0"/>
    <m/>
    <n v="0"/>
    <n v="0"/>
    <m/>
  </r>
  <r>
    <n v="1600"/>
    <s v=""/>
    <s v="0"/>
    <m/>
    <s v="0"/>
    <m/>
    <x v="4"/>
    <x v="8"/>
    <x v="4"/>
    <m/>
    <m/>
    <n v="0"/>
    <n v="0"/>
    <m/>
    <m/>
    <n v="0"/>
    <m/>
    <n v="0"/>
    <n v="0"/>
    <m/>
  </r>
  <r>
    <n v="1601"/>
    <s v=""/>
    <s v="0"/>
    <m/>
    <s v="0"/>
    <m/>
    <x v="4"/>
    <x v="8"/>
    <x v="4"/>
    <m/>
    <m/>
    <n v="0"/>
    <n v="0"/>
    <m/>
    <m/>
    <n v="0"/>
    <m/>
    <n v="0"/>
    <n v="0"/>
    <m/>
  </r>
  <r>
    <n v="1602"/>
    <s v=""/>
    <s v="0"/>
    <m/>
    <s v="0"/>
    <m/>
    <x v="4"/>
    <x v="8"/>
    <x v="4"/>
    <m/>
    <m/>
    <n v="0"/>
    <n v="0"/>
    <m/>
    <m/>
    <n v="0"/>
    <m/>
    <n v="0"/>
    <n v="0"/>
    <m/>
  </r>
  <r>
    <n v="1603"/>
    <s v=""/>
    <s v="0"/>
    <m/>
    <s v="0"/>
    <m/>
    <x v="4"/>
    <x v="8"/>
    <x v="4"/>
    <m/>
    <m/>
    <n v="0"/>
    <n v="0"/>
    <m/>
    <m/>
    <n v="0"/>
    <m/>
    <n v="0"/>
    <n v="0"/>
    <m/>
  </r>
  <r>
    <n v="1604"/>
    <s v=""/>
    <s v="0"/>
    <m/>
    <s v="0"/>
    <m/>
    <x v="4"/>
    <x v="8"/>
    <x v="4"/>
    <m/>
    <m/>
    <n v="0"/>
    <n v="0"/>
    <m/>
    <m/>
    <n v="0"/>
    <m/>
    <n v="0"/>
    <n v="0"/>
    <m/>
  </r>
  <r>
    <n v="1605"/>
    <s v=""/>
    <s v="0"/>
    <m/>
    <s v="0"/>
    <m/>
    <x v="4"/>
    <x v="8"/>
    <x v="4"/>
    <m/>
    <m/>
    <n v="0"/>
    <n v="0"/>
    <m/>
    <m/>
    <n v="0"/>
    <m/>
    <n v="0"/>
    <n v="0"/>
    <m/>
  </r>
  <r>
    <n v="1606"/>
    <s v=""/>
    <s v="0"/>
    <m/>
    <s v="0"/>
    <m/>
    <x v="4"/>
    <x v="8"/>
    <x v="4"/>
    <m/>
    <m/>
    <n v="0"/>
    <n v="0"/>
    <m/>
    <m/>
    <n v="0"/>
    <m/>
    <n v="0"/>
    <n v="0"/>
    <m/>
  </r>
  <r>
    <n v="1607"/>
    <s v=""/>
    <s v="0"/>
    <m/>
    <s v="0"/>
    <m/>
    <x v="4"/>
    <x v="8"/>
    <x v="4"/>
    <m/>
    <m/>
    <n v="0"/>
    <n v="0"/>
    <m/>
    <m/>
    <n v="0"/>
    <m/>
    <n v="0"/>
    <n v="0"/>
    <m/>
  </r>
  <r>
    <n v="1608"/>
    <s v=""/>
    <s v="0"/>
    <m/>
    <s v="0"/>
    <m/>
    <x v="4"/>
    <x v="8"/>
    <x v="4"/>
    <m/>
    <m/>
    <n v="0"/>
    <n v="0"/>
    <m/>
    <m/>
    <n v="0"/>
    <m/>
    <n v="0"/>
    <n v="0"/>
    <m/>
  </r>
  <r>
    <n v="1609"/>
    <s v=""/>
    <s v="0"/>
    <m/>
    <s v="0"/>
    <m/>
    <x v="4"/>
    <x v="8"/>
    <x v="4"/>
    <m/>
    <m/>
    <n v="0"/>
    <n v="0"/>
    <m/>
    <m/>
    <n v="0"/>
    <m/>
    <n v="0"/>
    <n v="0"/>
    <m/>
  </r>
  <r>
    <n v="1610"/>
    <s v=""/>
    <s v="0"/>
    <m/>
    <s v="0"/>
    <m/>
    <x v="4"/>
    <x v="8"/>
    <x v="4"/>
    <m/>
    <m/>
    <n v="0"/>
    <n v="0"/>
    <m/>
    <m/>
    <n v="0"/>
    <m/>
    <n v="0"/>
    <n v="0"/>
    <m/>
  </r>
  <r>
    <n v="1611"/>
    <s v=""/>
    <s v="0"/>
    <m/>
    <s v="0"/>
    <m/>
    <x v="4"/>
    <x v="8"/>
    <x v="4"/>
    <m/>
    <m/>
    <n v="0"/>
    <n v="0"/>
    <m/>
    <m/>
    <n v="0"/>
    <m/>
    <n v="0"/>
    <n v="0"/>
    <m/>
  </r>
  <r>
    <n v="1612"/>
    <s v=""/>
    <s v="0"/>
    <m/>
    <s v="0"/>
    <m/>
    <x v="4"/>
    <x v="8"/>
    <x v="4"/>
    <m/>
    <m/>
    <n v="0"/>
    <n v="0"/>
    <m/>
    <m/>
    <n v="0"/>
    <m/>
    <n v="0"/>
    <n v="0"/>
    <m/>
  </r>
  <r>
    <n v="1613"/>
    <s v=""/>
    <s v="0"/>
    <m/>
    <s v="0"/>
    <m/>
    <x v="4"/>
    <x v="8"/>
    <x v="4"/>
    <m/>
    <m/>
    <n v="0"/>
    <n v="0"/>
    <m/>
    <m/>
    <n v="0"/>
    <m/>
    <n v="0"/>
    <n v="0"/>
    <m/>
  </r>
  <r>
    <n v="1614"/>
    <s v=""/>
    <s v="0"/>
    <m/>
    <s v="0"/>
    <m/>
    <x v="4"/>
    <x v="8"/>
    <x v="4"/>
    <m/>
    <m/>
    <n v="0"/>
    <n v="0"/>
    <m/>
    <m/>
    <n v="0"/>
    <m/>
    <n v="0"/>
    <n v="0"/>
    <m/>
  </r>
  <r>
    <n v="1615"/>
    <s v=""/>
    <s v="0"/>
    <m/>
    <s v="0"/>
    <m/>
    <x v="4"/>
    <x v="8"/>
    <x v="4"/>
    <m/>
    <m/>
    <n v="0"/>
    <n v="0"/>
    <m/>
    <m/>
    <n v="0"/>
    <m/>
    <n v="0"/>
    <n v="0"/>
    <m/>
  </r>
  <r>
    <n v="1616"/>
    <s v=""/>
    <s v="0"/>
    <m/>
    <s v="0"/>
    <m/>
    <x v="4"/>
    <x v="8"/>
    <x v="4"/>
    <m/>
    <m/>
    <n v="0"/>
    <n v="0"/>
    <m/>
    <m/>
    <n v="0"/>
    <m/>
    <n v="0"/>
    <n v="0"/>
    <m/>
  </r>
  <r>
    <n v="1617"/>
    <s v=""/>
    <s v="0"/>
    <m/>
    <s v="0"/>
    <m/>
    <x v="4"/>
    <x v="8"/>
    <x v="4"/>
    <m/>
    <m/>
    <n v="0"/>
    <n v="0"/>
    <m/>
    <m/>
    <n v="0"/>
    <m/>
    <n v="0"/>
    <n v="0"/>
    <m/>
  </r>
  <r>
    <n v="1618"/>
    <s v=""/>
    <s v="0"/>
    <m/>
    <s v="0"/>
    <m/>
    <x v="4"/>
    <x v="8"/>
    <x v="4"/>
    <m/>
    <m/>
    <n v="0"/>
    <n v="0"/>
    <m/>
    <m/>
    <n v="0"/>
    <m/>
    <n v="0"/>
    <n v="0"/>
    <m/>
  </r>
  <r>
    <n v="1619"/>
    <s v=""/>
    <s v="0"/>
    <m/>
    <s v="0"/>
    <m/>
    <x v="4"/>
    <x v="8"/>
    <x v="4"/>
    <m/>
    <m/>
    <n v="0"/>
    <n v="0"/>
    <m/>
    <m/>
    <n v="0"/>
    <m/>
    <n v="0"/>
    <n v="0"/>
    <m/>
  </r>
  <r>
    <n v="1620"/>
    <s v=""/>
    <s v="0"/>
    <m/>
    <s v="0"/>
    <m/>
    <x v="4"/>
    <x v="8"/>
    <x v="4"/>
    <m/>
    <m/>
    <n v="0"/>
    <n v="0"/>
    <m/>
    <m/>
    <n v="0"/>
    <m/>
    <n v="0"/>
    <n v="0"/>
    <m/>
  </r>
  <r>
    <n v="1621"/>
    <s v=""/>
    <s v="0"/>
    <m/>
    <s v="0"/>
    <m/>
    <x v="4"/>
    <x v="8"/>
    <x v="4"/>
    <m/>
    <m/>
    <n v="0"/>
    <n v="0"/>
    <m/>
    <m/>
    <n v="0"/>
    <m/>
    <n v="0"/>
    <n v="0"/>
    <m/>
  </r>
  <r>
    <n v="1622"/>
    <s v=""/>
    <s v="0"/>
    <m/>
    <s v="0"/>
    <m/>
    <x v="4"/>
    <x v="8"/>
    <x v="4"/>
    <m/>
    <m/>
    <n v="0"/>
    <n v="0"/>
    <m/>
    <m/>
    <n v="0"/>
    <m/>
    <n v="0"/>
    <n v="0"/>
    <m/>
  </r>
  <r>
    <n v="1623"/>
    <s v=""/>
    <s v="0"/>
    <m/>
    <s v="0"/>
    <m/>
    <x v="4"/>
    <x v="8"/>
    <x v="4"/>
    <m/>
    <m/>
    <n v="0"/>
    <n v="0"/>
    <m/>
    <m/>
    <n v="0"/>
    <m/>
    <n v="0"/>
    <n v="0"/>
    <m/>
  </r>
  <r>
    <n v="1624"/>
    <s v=""/>
    <s v="0"/>
    <m/>
    <s v="0"/>
    <m/>
    <x v="4"/>
    <x v="8"/>
    <x v="4"/>
    <m/>
    <m/>
    <n v="0"/>
    <n v="0"/>
    <m/>
    <m/>
    <n v="0"/>
    <m/>
    <n v="0"/>
    <n v="0"/>
    <m/>
  </r>
  <r>
    <n v="1625"/>
    <s v=""/>
    <s v="0"/>
    <m/>
    <s v="0"/>
    <m/>
    <x v="4"/>
    <x v="8"/>
    <x v="4"/>
    <m/>
    <m/>
    <n v="0"/>
    <n v="0"/>
    <m/>
    <m/>
    <n v="0"/>
    <m/>
    <n v="0"/>
    <n v="0"/>
    <m/>
  </r>
  <r>
    <n v="1626"/>
    <s v=""/>
    <s v="0"/>
    <m/>
    <s v="0"/>
    <m/>
    <x v="4"/>
    <x v="8"/>
    <x v="4"/>
    <m/>
    <m/>
    <n v="0"/>
    <n v="0"/>
    <m/>
    <m/>
    <n v="0"/>
    <m/>
    <n v="0"/>
    <n v="0"/>
    <m/>
  </r>
  <r>
    <n v="1627"/>
    <s v=""/>
    <s v="0"/>
    <m/>
    <s v="0"/>
    <m/>
    <x v="4"/>
    <x v="8"/>
    <x v="4"/>
    <m/>
    <m/>
    <n v="0"/>
    <n v="0"/>
    <m/>
    <m/>
    <n v="0"/>
    <m/>
    <n v="0"/>
    <n v="0"/>
    <m/>
  </r>
  <r>
    <n v="1628"/>
    <s v=""/>
    <s v="0"/>
    <m/>
    <s v="0"/>
    <m/>
    <x v="4"/>
    <x v="8"/>
    <x v="4"/>
    <m/>
    <m/>
    <n v="0"/>
    <n v="0"/>
    <m/>
    <m/>
    <n v="0"/>
    <m/>
    <n v="0"/>
    <n v="0"/>
    <m/>
  </r>
  <r>
    <n v="1629"/>
    <s v=""/>
    <s v="0"/>
    <m/>
    <s v="0"/>
    <m/>
    <x v="4"/>
    <x v="8"/>
    <x v="4"/>
    <m/>
    <m/>
    <n v="0"/>
    <n v="0"/>
    <m/>
    <m/>
    <n v="0"/>
    <m/>
    <n v="0"/>
    <n v="0"/>
    <m/>
  </r>
  <r>
    <n v="1630"/>
    <s v=""/>
    <s v="0"/>
    <m/>
    <s v="0"/>
    <m/>
    <x v="4"/>
    <x v="8"/>
    <x v="4"/>
    <m/>
    <m/>
    <n v="0"/>
    <n v="0"/>
    <m/>
    <m/>
    <n v="0"/>
    <m/>
    <n v="0"/>
    <n v="0"/>
    <m/>
  </r>
  <r>
    <n v="1631"/>
    <s v=""/>
    <s v="0"/>
    <m/>
    <s v="0"/>
    <m/>
    <x v="4"/>
    <x v="8"/>
    <x v="4"/>
    <m/>
    <m/>
    <n v="0"/>
    <n v="0"/>
    <m/>
    <m/>
    <n v="0"/>
    <m/>
    <n v="0"/>
    <n v="0"/>
    <m/>
  </r>
  <r>
    <n v="1632"/>
    <s v=""/>
    <s v="0"/>
    <m/>
    <s v="0"/>
    <m/>
    <x v="4"/>
    <x v="8"/>
    <x v="4"/>
    <m/>
    <m/>
    <n v="0"/>
    <n v="0"/>
    <m/>
    <m/>
    <n v="0"/>
    <m/>
    <n v="0"/>
    <n v="0"/>
    <m/>
  </r>
  <r>
    <n v="1633"/>
    <s v=""/>
    <s v="0"/>
    <m/>
    <s v="0"/>
    <m/>
    <x v="4"/>
    <x v="8"/>
    <x v="4"/>
    <m/>
    <m/>
    <n v="0"/>
    <n v="0"/>
    <m/>
    <m/>
    <n v="0"/>
    <m/>
    <n v="0"/>
    <n v="0"/>
    <m/>
  </r>
  <r>
    <n v="1634"/>
    <s v=""/>
    <s v="0"/>
    <m/>
    <s v="0"/>
    <m/>
    <x v="4"/>
    <x v="8"/>
    <x v="4"/>
    <m/>
    <m/>
    <n v="0"/>
    <n v="0"/>
    <m/>
    <m/>
    <n v="0"/>
    <m/>
    <n v="0"/>
    <n v="0"/>
    <m/>
  </r>
  <r>
    <n v="1635"/>
    <s v=""/>
    <s v="0"/>
    <m/>
    <s v="0"/>
    <m/>
    <x v="4"/>
    <x v="8"/>
    <x v="4"/>
    <m/>
    <m/>
    <n v="0"/>
    <n v="0"/>
    <m/>
    <m/>
    <n v="0"/>
    <m/>
    <n v="0"/>
    <n v="0"/>
    <m/>
  </r>
  <r>
    <n v="1636"/>
    <s v=""/>
    <s v="0"/>
    <m/>
    <s v="0"/>
    <m/>
    <x v="4"/>
    <x v="8"/>
    <x v="4"/>
    <m/>
    <m/>
    <n v="0"/>
    <n v="0"/>
    <m/>
    <m/>
    <n v="0"/>
    <m/>
    <n v="0"/>
    <n v="0"/>
    <m/>
  </r>
  <r>
    <n v="1637"/>
    <s v=""/>
    <s v="0"/>
    <m/>
    <s v="0"/>
    <m/>
    <x v="4"/>
    <x v="8"/>
    <x v="4"/>
    <m/>
    <m/>
    <n v="0"/>
    <n v="0"/>
    <m/>
    <m/>
    <n v="0"/>
    <m/>
    <n v="0"/>
    <n v="0"/>
    <m/>
  </r>
  <r>
    <n v="1638"/>
    <s v=""/>
    <s v="0"/>
    <m/>
    <s v="0"/>
    <m/>
    <x v="4"/>
    <x v="8"/>
    <x v="4"/>
    <m/>
    <m/>
    <n v="0"/>
    <n v="0"/>
    <m/>
    <m/>
    <n v="0"/>
    <m/>
    <n v="0"/>
    <n v="0"/>
    <m/>
  </r>
  <r>
    <n v="1639"/>
    <s v=""/>
    <s v="0"/>
    <m/>
    <s v="0"/>
    <m/>
    <x v="4"/>
    <x v="8"/>
    <x v="4"/>
    <m/>
    <m/>
    <n v="0"/>
    <n v="0"/>
    <m/>
    <m/>
    <n v="0"/>
    <m/>
    <n v="0"/>
    <n v="0"/>
    <m/>
  </r>
  <r>
    <n v="1640"/>
    <s v=""/>
    <s v="0"/>
    <m/>
    <s v="0"/>
    <m/>
    <x v="4"/>
    <x v="8"/>
    <x v="4"/>
    <m/>
    <m/>
    <n v="0"/>
    <n v="0"/>
    <m/>
    <m/>
    <n v="0"/>
    <m/>
    <n v="0"/>
    <n v="0"/>
    <m/>
  </r>
  <r>
    <n v="1641"/>
    <s v=""/>
    <s v="0"/>
    <m/>
    <s v="0"/>
    <m/>
    <x v="4"/>
    <x v="8"/>
    <x v="4"/>
    <m/>
    <m/>
    <n v="0"/>
    <n v="0"/>
    <m/>
    <m/>
    <n v="0"/>
    <m/>
    <n v="0"/>
    <n v="0"/>
    <m/>
  </r>
  <r>
    <n v="1642"/>
    <s v=""/>
    <s v="0"/>
    <m/>
    <s v="0"/>
    <m/>
    <x v="4"/>
    <x v="8"/>
    <x v="4"/>
    <m/>
    <m/>
    <n v="0"/>
    <n v="0"/>
    <m/>
    <m/>
    <n v="0"/>
    <m/>
    <n v="0"/>
    <n v="0"/>
    <m/>
  </r>
  <r>
    <n v="1643"/>
    <s v=""/>
    <s v="0"/>
    <m/>
    <s v="0"/>
    <m/>
    <x v="4"/>
    <x v="8"/>
    <x v="4"/>
    <m/>
    <m/>
    <n v="0"/>
    <n v="0"/>
    <m/>
    <m/>
    <n v="0"/>
    <m/>
    <n v="0"/>
    <n v="0"/>
    <m/>
  </r>
  <r>
    <n v="1644"/>
    <s v=""/>
    <s v="0"/>
    <m/>
    <s v="0"/>
    <m/>
    <x v="4"/>
    <x v="8"/>
    <x v="4"/>
    <m/>
    <m/>
    <n v="0"/>
    <n v="0"/>
    <m/>
    <m/>
    <n v="0"/>
    <m/>
    <n v="0"/>
    <n v="0"/>
    <m/>
  </r>
  <r>
    <n v="1645"/>
    <s v=""/>
    <s v="0"/>
    <m/>
    <s v="0"/>
    <m/>
    <x v="4"/>
    <x v="8"/>
    <x v="4"/>
    <m/>
    <m/>
    <n v="0"/>
    <n v="0"/>
    <m/>
    <m/>
    <n v="0"/>
    <m/>
    <n v="0"/>
    <n v="0"/>
    <m/>
  </r>
  <r>
    <n v="1646"/>
    <s v=""/>
    <s v="0"/>
    <m/>
    <s v="0"/>
    <m/>
    <x v="4"/>
    <x v="8"/>
    <x v="4"/>
    <m/>
    <m/>
    <n v="0"/>
    <n v="0"/>
    <m/>
    <m/>
    <n v="0"/>
    <m/>
    <n v="0"/>
    <n v="0"/>
    <m/>
  </r>
  <r>
    <n v="1647"/>
    <s v=""/>
    <s v="0"/>
    <m/>
    <s v="0"/>
    <m/>
    <x v="4"/>
    <x v="8"/>
    <x v="4"/>
    <m/>
    <m/>
    <n v="0"/>
    <n v="0"/>
    <m/>
    <m/>
    <n v="0"/>
    <m/>
    <n v="0"/>
    <n v="0"/>
    <m/>
  </r>
  <r>
    <n v="1648"/>
    <s v=""/>
    <s v="0"/>
    <m/>
    <s v="0"/>
    <m/>
    <x v="4"/>
    <x v="8"/>
    <x v="4"/>
    <m/>
    <m/>
    <n v="0"/>
    <n v="0"/>
    <m/>
    <m/>
    <n v="0"/>
    <m/>
    <n v="0"/>
    <n v="0"/>
    <m/>
  </r>
  <r>
    <n v="1649"/>
    <s v=""/>
    <s v="0"/>
    <m/>
    <s v="0"/>
    <m/>
    <x v="4"/>
    <x v="8"/>
    <x v="4"/>
    <m/>
    <m/>
    <n v="0"/>
    <n v="0"/>
    <m/>
    <m/>
    <n v="0"/>
    <m/>
    <n v="0"/>
    <n v="0"/>
    <m/>
  </r>
  <r>
    <n v="1650"/>
    <s v=""/>
    <s v="0"/>
    <m/>
    <s v="0"/>
    <m/>
    <x v="4"/>
    <x v="8"/>
    <x v="4"/>
    <m/>
    <m/>
    <n v="0"/>
    <n v="0"/>
    <m/>
    <m/>
    <n v="0"/>
    <m/>
    <n v="0"/>
    <n v="0"/>
    <m/>
  </r>
  <r>
    <n v="1651"/>
    <s v=""/>
    <s v="0"/>
    <m/>
    <s v="0"/>
    <m/>
    <x v="4"/>
    <x v="8"/>
    <x v="4"/>
    <m/>
    <m/>
    <n v="0"/>
    <n v="0"/>
    <m/>
    <m/>
    <n v="0"/>
    <m/>
    <n v="0"/>
    <n v="0"/>
    <m/>
  </r>
  <r>
    <n v="1652"/>
    <s v=""/>
    <s v="0"/>
    <m/>
    <s v="0"/>
    <m/>
    <x v="4"/>
    <x v="8"/>
    <x v="4"/>
    <m/>
    <m/>
    <n v="0"/>
    <n v="0"/>
    <m/>
    <m/>
    <n v="0"/>
    <m/>
    <n v="0"/>
    <n v="0"/>
    <m/>
  </r>
  <r>
    <n v="1653"/>
    <s v=""/>
    <s v="0"/>
    <m/>
    <s v="0"/>
    <m/>
    <x v="4"/>
    <x v="8"/>
    <x v="4"/>
    <m/>
    <m/>
    <n v="0"/>
    <n v="0"/>
    <m/>
    <m/>
    <n v="0"/>
    <m/>
    <n v="0"/>
    <n v="0"/>
    <m/>
  </r>
  <r>
    <n v="1654"/>
    <s v=""/>
    <s v="0"/>
    <m/>
    <s v="0"/>
    <m/>
    <x v="4"/>
    <x v="8"/>
    <x v="4"/>
    <m/>
    <m/>
    <n v="0"/>
    <n v="0"/>
    <m/>
    <m/>
    <n v="0"/>
    <m/>
    <n v="0"/>
    <n v="0"/>
    <m/>
  </r>
  <r>
    <n v="1655"/>
    <s v=""/>
    <s v="0"/>
    <m/>
    <s v="0"/>
    <m/>
    <x v="4"/>
    <x v="8"/>
    <x v="4"/>
    <m/>
    <m/>
    <n v="0"/>
    <n v="0"/>
    <m/>
    <m/>
    <n v="0"/>
    <m/>
    <n v="0"/>
    <n v="0"/>
    <m/>
  </r>
  <r>
    <n v="1656"/>
    <s v=""/>
    <s v="0"/>
    <m/>
    <s v="0"/>
    <m/>
    <x v="4"/>
    <x v="8"/>
    <x v="4"/>
    <m/>
    <m/>
    <n v="0"/>
    <n v="0"/>
    <m/>
    <m/>
    <n v="0"/>
    <m/>
    <n v="0"/>
    <n v="0"/>
    <m/>
  </r>
  <r>
    <n v="1657"/>
    <s v=""/>
    <s v="0"/>
    <m/>
    <s v="0"/>
    <m/>
    <x v="4"/>
    <x v="8"/>
    <x v="4"/>
    <m/>
    <m/>
    <n v="0"/>
    <n v="0"/>
    <m/>
    <m/>
    <n v="0"/>
    <m/>
    <n v="0"/>
    <n v="0"/>
    <m/>
  </r>
  <r>
    <n v="1658"/>
    <s v=""/>
    <s v="0"/>
    <m/>
    <s v="0"/>
    <m/>
    <x v="4"/>
    <x v="8"/>
    <x v="4"/>
    <m/>
    <m/>
    <n v="0"/>
    <n v="0"/>
    <m/>
    <m/>
    <n v="0"/>
    <m/>
    <n v="0"/>
    <n v="0"/>
    <m/>
  </r>
  <r>
    <n v="1659"/>
    <s v=""/>
    <s v="0"/>
    <m/>
    <s v="0"/>
    <m/>
    <x v="4"/>
    <x v="8"/>
    <x v="4"/>
    <m/>
    <m/>
    <n v="0"/>
    <n v="0"/>
    <m/>
    <m/>
    <n v="0"/>
    <m/>
    <n v="0"/>
    <n v="0"/>
    <m/>
  </r>
  <r>
    <n v="1660"/>
    <s v=""/>
    <s v="0"/>
    <m/>
    <s v="0"/>
    <m/>
    <x v="4"/>
    <x v="8"/>
    <x v="4"/>
    <m/>
    <m/>
    <n v="0"/>
    <n v="0"/>
    <m/>
    <m/>
    <n v="0"/>
    <m/>
    <n v="0"/>
    <n v="0"/>
    <m/>
  </r>
  <r>
    <n v="1661"/>
    <s v=""/>
    <s v="0"/>
    <m/>
    <s v="0"/>
    <m/>
    <x v="4"/>
    <x v="8"/>
    <x v="4"/>
    <m/>
    <m/>
    <n v="0"/>
    <n v="0"/>
    <m/>
    <m/>
    <n v="0"/>
    <m/>
    <n v="0"/>
    <n v="0"/>
    <m/>
  </r>
  <r>
    <n v="1662"/>
    <s v=""/>
    <s v="0"/>
    <m/>
    <s v="0"/>
    <m/>
    <x v="4"/>
    <x v="8"/>
    <x v="4"/>
    <m/>
    <m/>
    <n v="0"/>
    <n v="0"/>
    <m/>
    <m/>
    <n v="0"/>
    <m/>
    <n v="0"/>
    <n v="0"/>
    <m/>
  </r>
  <r>
    <n v="1663"/>
    <s v=""/>
    <s v="0"/>
    <m/>
    <s v="0"/>
    <m/>
    <x v="4"/>
    <x v="8"/>
    <x v="4"/>
    <m/>
    <m/>
    <n v="0"/>
    <n v="0"/>
    <m/>
    <m/>
    <n v="0"/>
    <m/>
    <n v="0"/>
    <n v="0"/>
    <m/>
  </r>
  <r>
    <n v="1664"/>
    <s v=""/>
    <s v="0"/>
    <m/>
    <s v="0"/>
    <m/>
    <x v="4"/>
    <x v="8"/>
    <x v="4"/>
    <m/>
    <m/>
    <n v="0"/>
    <n v="0"/>
    <m/>
    <m/>
    <n v="0"/>
    <m/>
    <n v="0"/>
    <n v="0"/>
    <m/>
  </r>
  <r>
    <n v="1665"/>
    <s v=""/>
    <s v="0"/>
    <m/>
    <s v="0"/>
    <m/>
    <x v="4"/>
    <x v="8"/>
    <x v="4"/>
    <m/>
    <m/>
    <n v="0"/>
    <n v="0"/>
    <m/>
    <m/>
    <n v="0"/>
    <m/>
    <n v="0"/>
    <n v="0"/>
    <m/>
  </r>
  <r>
    <n v="1666"/>
    <s v=""/>
    <s v="0"/>
    <m/>
    <s v="0"/>
    <m/>
    <x v="4"/>
    <x v="8"/>
    <x v="4"/>
    <m/>
    <m/>
    <n v="0"/>
    <n v="0"/>
    <m/>
    <m/>
    <n v="0"/>
    <m/>
    <n v="0"/>
    <n v="0"/>
    <m/>
  </r>
  <r>
    <n v="1667"/>
    <s v=""/>
    <s v="0"/>
    <m/>
    <s v="0"/>
    <m/>
    <x v="4"/>
    <x v="8"/>
    <x v="4"/>
    <m/>
    <m/>
    <n v="0"/>
    <n v="0"/>
    <m/>
    <m/>
    <n v="0"/>
    <m/>
    <n v="0"/>
    <n v="0"/>
    <m/>
  </r>
  <r>
    <n v="1668"/>
    <s v=""/>
    <s v="0"/>
    <m/>
    <s v="0"/>
    <m/>
    <x v="4"/>
    <x v="8"/>
    <x v="4"/>
    <m/>
    <m/>
    <n v="0"/>
    <n v="0"/>
    <m/>
    <m/>
    <n v="0"/>
    <m/>
    <n v="0"/>
    <n v="0"/>
    <m/>
  </r>
  <r>
    <n v="1669"/>
    <s v=""/>
    <s v="0"/>
    <m/>
    <s v="0"/>
    <m/>
    <x v="4"/>
    <x v="8"/>
    <x v="4"/>
    <m/>
    <m/>
    <n v="0"/>
    <n v="0"/>
    <m/>
    <m/>
    <n v="0"/>
    <m/>
    <n v="0"/>
    <n v="0"/>
    <m/>
  </r>
  <r>
    <n v="1670"/>
    <s v=""/>
    <s v="0"/>
    <m/>
    <s v="0"/>
    <m/>
    <x v="4"/>
    <x v="8"/>
    <x v="4"/>
    <m/>
    <m/>
    <n v="0"/>
    <n v="0"/>
    <m/>
    <m/>
    <n v="0"/>
    <m/>
    <n v="0"/>
    <n v="0"/>
    <m/>
  </r>
  <r>
    <n v="1671"/>
    <s v=""/>
    <s v="0"/>
    <m/>
    <s v="0"/>
    <m/>
    <x v="4"/>
    <x v="8"/>
    <x v="4"/>
    <m/>
    <m/>
    <n v="0"/>
    <n v="0"/>
    <m/>
    <m/>
    <n v="0"/>
    <m/>
    <n v="0"/>
    <n v="0"/>
    <m/>
  </r>
  <r>
    <n v="1672"/>
    <s v=""/>
    <s v="0"/>
    <m/>
    <s v="0"/>
    <m/>
    <x v="4"/>
    <x v="8"/>
    <x v="4"/>
    <m/>
    <m/>
    <n v="0"/>
    <n v="0"/>
    <m/>
    <m/>
    <n v="0"/>
    <m/>
    <n v="0"/>
    <n v="0"/>
    <m/>
  </r>
  <r>
    <n v="1673"/>
    <s v=""/>
    <s v="0"/>
    <m/>
    <s v="0"/>
    <m/>
    <x v="4"/>
    <x v="8"/>
    <x v="4"/>
    <m/>
    <m/>
    <n v="0"/>
    <n v="0"/>
    <m/>
    <m/>
    <n v="0"/>
    <m/>
    <n v="0"/>
    <n v="0"/>
    <m/>
  </r>
  <r>
    <n v="1674"/>
    <s v=""/>
    <s v="0"/>
    <m/>
    <s v="0"/>
    <m/>
    <x v="4"/>
    <x v="8"/>
    <x v="4"/>
    <m/>
    <m/>
    <n v="0"/>
    <n v="0"/>
    <m/>
    <m/>
    <n v="0"/>
    <m/>
    <n v="0"/>
    <n v="0"/>
    <m/>
  </r>
  <r>
    <n v="1675"/>
    <s v=""/>
    <s v="0"/>
    <m/>
    <s v="0"/>
    <m/>
    <x v="4"/>
    <x v="8"/>
    <x v="4"/>
    <m/>
    <m/>
    <n v="0"/>
    <n v="0"/>
    <m/>
    <m/>
    <n v="0"/>
    <m/>
    <n v="0"/>
    <n v="0"/>
    <m/>
  </r>
  <r>
    <n v="1676"/>
    <s v=""/>
    <s v="0"/>
    <m/>
    <s v="0"/>
    <m/>
    <x v="4"/>
    <x v="8"/>
    <x v="4"/>
    <m/>
    <m/>
    <n v="0"/>
    <n v="0"/>
    <m/>
    <m/>
    <n v="0"/>
    <m/>
    <n v="0"/>
    <n v="0"/>
    <m/>
  </r>
  <r>
    <n v="1677"/>
    <s v=""/>
    <s v="0"/>
    <m/>
    <s v="0"/>
    <m/>
    <x v="4"/>
    <x v="8"/>
    <x v="4"/>
    <m/>
    <m/>
    <n v="0"/>
    <n v="0"/>
    <m/>
    <m/>
    <n v="0"/>
    <m/>
    <n v="0"/>
    <n v="0"/>
    <m/>
  </r>
  <r>
    <n v="1678"/>
    <s v=""/>
    <s v="0"/>
    <m/>
    <s v="0"/>
    <m/>
    <x v="4"/>
    <x v="8"/>
    <x v="4"/>
    <m/>
    <m/>
    <n v="0"/>
    <n v="0"/>
    <m/>
    <m/>
    <n v="0"/>
    <m/>
    <n v="0"/>
    <n v="0"/>
    <m/>
  </r>
  <r>
    <n v="1679"/>
    <s v=""/>
    <s v="0"/>
    <m/>
    <s v="0"/>
    <m/>
    <x v="4"/>
    <x v="8"/>
    <x v="4"/>
    <m/>
    <m/>
    <n v="0"/>
    <n v="0"/>
    <m/>
    <m/>
    <n v="0"/>
    <m/>
    <n v="0"/>
    <n v="0"/>
    <m/>
  </r>
  <r>
    <n v="1680"/>
    <s v=""/>
    <s v="0"/>
    <m/>
    <s v="0"/>
    <m/>
    <x v="4"/>
    <x v="8"/>
    <x v="4"/>
    <m/>
    <m/>
    <n v="0"/>
    <n v="0"/>
    <m/>
    <m/>
    <n v="0"/>
    <m/>
    <n v="0"/>
    <n v="0"/>
    <m/>
  </r>
  <r>
    <n v="1681"/>
    <s v=""/>
    <s v="0"/>
    <m/>
    <s v="0"/>
    <m/>
    <x v="4"/>
    <x v="8"/>
    <x v="4"/>
    <m/>
    <m/>
    <n v="0"/>
    <n v="0"/>
    <m/>
    <m/>
    <n v="0"/>
    <m/>
    <n v="0"/>
    <n v="0"/>
    <m/>
  </r>
  <r>
    <n v="1682"/>
    <s v=""/>
    <s v="0"/>
    <m/>
    <s v="0"/>
    <m/>
    <x v="4"/>
    <x v="8"/>
    <x v="4"/>
    <m/>
    <m/>
    <n v="0"/>
    <n v="0"/>
    <m/>
    <m/>
    <n v="0"/>
    <m/>
    <n v="0"/>
    <n v="0"/>
    <m/>
  </r>
  <r>
    <n v="1683"/>
    <s v=""/>
    <s v="0"/>
    <m/>
    <s v="0"/>
    <m/>
    <x v="4"/>
    <x v="8"/>
    <x v="4"/>
    <m/>
    <m/>
    <n v="0"/>
    <n v="0"/>
    <m/>
    <m/>
    <n v="0"/>
    <m/>
    <n v="0"/>
    <n v="0"/>
    <m/>
  </r>
  <r>
    <n v="1684"/>
    <s v=""/>
    <s v="0"/>
    <m/>
    <s v="0"/>
    <m/>
    <x v="4"/>
    <x v="8"/>
    <x v="4"/>
    <m/>
    <m/>
    <n v="0"/>
    <n v="0"/>
    <m/>
    <m/>
    <n v="0"/>
    <m/>
    <n v="0"/>
    <n v="0"/>
    <m/>
  </r>
  <r>
    <n v="1685"/>
    <s v=""/>
    <s v="0"/>
    <m/>
    <s v="0"/>
    <m/>
    <x v="4"/>
    <x v="8"/>
    <x v="4"/>
    <m/>
    <m/>
    <n v="0"/>
    <n v="0"/>
    <m/>
    <m/>
    <n v="0"/>
    <m/>
    <n v="0"/>
    <n v="0"/>
    <m/>
  </r>
  <r>
    <n v="1686"/>
    <s v=""/>
    <s v="0"/>
    <m/>
    <s v="0"/>
    <m/>
    <x v="4"/>
    <x v="8"/>
    <x v="4"/>
    <m/>
    <m/>
    <n v="0"/>
    <n v="0"/>
    <m/>
    <m/>
    <n v="0"/>
    <m/>
    <n v="0"/>
    <n v="0"/>
    <m/>
  </r>
  <r>
    <n v="1687"/>
    <s v=""/>
    <s v="0"/>
    <m/>
    <s v="0"/>
    <m/>
    <x v="4"/>
    <x v="8"/>
    <x v="4"/>
    <m/>
    <m/>
    <n v="0"/>
    <n v="0"/>
    <m/>
    <m/>
    <n v="0"/>
    <m/>
    <n v="0"/>
    <n v="0"/>
    <m/>
  </r>
  <r>
    <n v="1688"/>
    <s v=""/>
    <s v="0"/>
    <m/>
    <s v="0"/>
    <m/>
    <x v="4"/>
    <x v="8"/>
    <x v="4"/>
    <m/>
    <m/>
    <n v="0"/>
    <n v="0"/>
    <m/>
    <m/>
    <n v="0"/>
    <m/>
    <n v="0"/>
    <n v="0"/>
    <m/>
  </r>
  <r>
    <n v="1689"/>
    <s v=""/>
    <s v="0"/>
    <m/>
    <s v="0"/>
    <m/>
    <x v="4"/>
    <x v="8"/>
    <x v="4"/>
    <m/>
    <m/>
    <n v="0"/>
    <n v="0"/>
    <m/>
    <m/>
    <n v="0"/>
    <m/>
    <n v="0"/>
    <n v="0"/>
    <m/>
  </r>
  <r>
    <n v="1690"/>
    <s v=""/>
    <s v="0"/>
    <m/>
    <s v="0"/>
    <m/>
    <x v="4"/>
    <x v="8"/>
    <x v="4"/>
    <m/>
    <m/>
    <n v="0"/>
    <n v="0"/>
    <m/>
    <m/>
    <n v="0"/>
    <m/>
    <n v="0"/>
    <n v="0"/>
    <m/>
  </r>
  <r>
    <n v="1691"/>
    <s v=""/>
    <s v="0"/>
    <m/>
    <s v="0"/>
    <m/>
    <x v="4"/>
    <x v="8"/>
    <x v="4"/>
    <m/>
    <m/>
    <n v="0"/>
    <n v="0"/>
    <m/>
    <m/>
    <n v="0"/>
    <m/>
    <n v="0"/>
    <n v="0"/>
    <m/>
  </r>
  <r>
    <n v="1692"/>
    <s v=""/>
    <s v="0"/>
    <m/>
    <s v="0"/>
    <m/>
    <x v="4"/>
    <x v="8"/>
    <x v="4"/>
    <m/>
    <m/>
    <n v="0"/>
    <n v="0"/>
    <m/>
    <m/>
    <n v="0"/>
    <m/>
    <n v="0"/>
    <n v="0"/>
    <m/>
  </r>
  <r>
    <n v="1693"/>
    <s v=""/>
    <s v="0"/>
    <m/>
    <s v="0"/>
    <m/>
    <x v="4"/>
    <x v="8"/>
    <x v="4"/>
    <m/>
    <m/>
    <n v="0"/>
    <n v="0"/>
    <m/>
    <m/>
    <n v="0"/>
    <m/>
    <n v="0"/>
    <n v="0"/>
    <m/>
  </r>
  <r>
    <n v="1694"/>
    <s v=""/>
    <s v="0"/>
    <m/>
    <s v="0"/>
    <m/>
    <x v="4"/>
    <x v="8"/>
    <x v="4"/>
    <m/>
    <m/>
    <n v="0"/>
    <n v="0"/>
    <m/>
    <m/>
    <n v="0"/>
    <m/>
    <n v="0"/>
    <n v="0"/>
    <m/>
  </r>
  <r>
    <n v="1695"/>
    <s v=""/>
    <s v="0"/>
    <m/>
    <s v="0"/>
    <m/>
    <x v="4"/>
    <x v="8"/>
    <x v="4"/>
    <m/>
    <m/>
    <n v="0"/>
    <n v="0"/>
    <m/>
    <m/>
    <n v="0"/>
    <m/>
    <n v="0"/>
    <n v="0"/>
    <m/>
  </r>
  <r>
    <n v="1696"/>
    <s v=""/>
    <s v="0"/>
    <m/>
    <s v="0"/>
    <m/>
    <x v="4"/>
    <x v="8"/>
    <x v="4"/>
    <m/>
    <m/>
    <n v="0"/>
    <n v="0"/>
    <m/>
    <m/>
    <n v="0"/>
    <m/>
    <n v="0"/>
    <n v="0"/>
    <m/>
  </r>
  <r>
    <n v="1697"/>
    <s v=""/>
    <s v="0"/>
    <m/>
    <s v="0"/>
    <m/>
    <x v="4"/>
    <x v="8"/>
    <x v="4"/>
    <m/>
    <m/>
    <n v="0"/>
    <n v="0"/>
    <m/>
    <m/>
    <n v="0"/>
    <m/>
    <n v="0"/>
    <n v="0"/>
    <m/>
  </r>
  <r>
    <n v="1698"/>
    <s v=""/>
    <s v="0"/>
    <m/>
    <s v="0"/>
    <m/>
    <x v="4"/>
    <x v="8"/>
    <x v="4"/>
    <m/>
    <m/>
    <n v="0"/>
    <n v="0"/>
    <m/>
    <m/>
    <n v="0"/>
    <m/>
    <n v="0"/>
    <n v="0"/>
    <m/>
  </r>
  <r>
    <n v="1699"/>
    <s v=""/>
    <s v="0"/>
    <m/>
    <s v="0"/>
    <m/>
    <x v="4"/>
    <x v="8"/>
    <x v="4"/>
    <m/>
    <m/>
    <n v="0"/>
    <n v="0"/>
    <m/>
    <m/>
    <n v="0"/>
    <m/>
    <n v="0"/>
    <n v="0"/>
    <m/>
  </r>
  <r>
    <n v="1700"/>
    <s v=""/>
    <s v="0"/>
    <m/>
    <s v="0"/>
    <m/>
    <x v="4"/>
    <x v="8"/>
    <x v="4"/>
    <m/>
    <m/>
    <n v="0"/>
    <n v="0"/>
    <m/>
    <m/>
    <n v="0"/>
    <m/>
    <n v="0"/>
    <n v="0"/>
    <m/>
  </r>
  <r>
    <n v="1701"/>
    <s v=""/>
    <s v="0"/>
    <m/>
    <s v="0"/>
    <m/>
    <x v="4"/>
    <x v="8"/>
    <x v="4"/>
    <m/>
    <m/>
    <n v="0"/>
    <n v="0"/>
    <m/>
    <m/>
    <n v="0"/>
    <m/>
    <n v="0"/>
    <n v="0"/>
    <m/>
  </r>
  <r>
    <n v="1702"/>
    <s v=""/>
    <s v="0"/>
    <m/>
    <s v="0"/>
    <m/>
    <x v="4"/>
    <x v="8"/>
    <x v="4"/>
    <m/>
    <m/>
    <n v="0"/>
    <n v="0"/>
    <m/>
    <m/>
    <n v="0"/>
    <m/>
    <n v="0"/>
    <n v="0"/>
    <m/>
  </r>
  <r>
    <n v="1703"/>
    <s v=""/>
    <s v="0"/>
    <m/>
    <s v="0"/>
    <m/>
    <x v="4"/>
    <x v="8"/>
    <x v="4"/>
    <m/>
    <m/>
    <n v="0"/>
    <n v="0"/>
    <m/>
    <m/>
    <n v="0"/>
    <m/>
    <n v="0"/>
    <n v="0"/>
    <m/>
  </r>
  <r>
    <n v="1704"/>
    <s v=""/>
    <s v="0"/>
    <m/>
    <s v="0"/>
    <m/>
    <x v="4"/>
    <x v="8"/>
    <x v="4"/>
    <m/>
    <m/>
    <n v="0"/>
    <n v="0"/>
    <m/>
    <m/>
    <n v="0"/>
    <m/>
    <n v="0"/>
    <n v="0"/>
    <m/>
  </r>
  <r>
    <n v="1705"/>
    <s v=""/>
    <s v="0"/>
    <m/>
    <s v="0"/>
    <m/>
    <x v="4"/>
    <x v="8"/>
    <x v="4"/>
    <m/>
    <m/>
    <n v="0"/>
    <n v="0"/>
    <m/>
    <m/>
    <n v="0"/>
    <m/>
    <n v="0"/>
    <n v="0"/>
    <m/>
  </r>
  <r>
    <n v="1706"/>
    <s v=""/>
    <s v="0"/>
    <m/>
    <s v="0"/>
    <m/>
    <x v="4"/>
    <x v="8"/>
    <x v="4"/>
    <m/>
    <m/>
    <n v="0"/>
    <n v="0"/>
    <m/>
    <m/>
    <n v="0"/>
    <m/>
    <n v="0"/>
    <n v="0"/>
    <m/>
  </r>
  <r>
    <n v="1707"/>
    <s v=""/>
    <s v="0"/>
    <m/>
    <s v="0"/>
    <m/>
    <x v="4"/>
    <x v="8"/>
    <x v="4"/>
    <m/>
    <m/>
    <n v="0"/>
    <n v="0"/>
    <m/>
    <m/>
    <n v="0"/>
    <m/>
    <n v="0"/>
    <n v="0"/>
    <m/>
  </r>
  <r>
    <n v="1708"/>
    <s v=""/>
    <s v="0"/>
    <m/>
    <s v="0"/>
    <m/>
    <x v="4"/>
    <x v="8"/>
    <x v="4"/>
    <m/>
    <m/>
    <n v="0"/>
    <n v="0"/>
    <m/>
    <m/>
    <n v="0"/>
    <m/>
    <n v="0"/>
    <n v="0"/>
    <m/>
  </r>
  <r>
    <n v="1709"/>
    <s v=""/>
    <s v="0"/>
    <m/>
    <s v="0"/>
    <m/>
    <x v="4"/>
    <x v="8"/>
    <x v="4"/>
    <m/>
    <m/>
    <n v="0"/>
    <n v="0"/>
    <m/>
    <m/>
    <n v="0"/>
    <m/>
    <n v="0"/>
    <n v="0"/>
    <m/>
  </r>
  <r>
    <n v="1710"/>
    <s v=""/>
    <s v="0"/>
    <m/>
    <s v="0"/>
    <m/>
    <x v="4"/>
    <x v="8"/>
    <x v="4"/>
    <m/>
    <m/>
    <n v="0"/>
    <n v="0"/>
    <m/>
    <m/>
    <n v="0"/>
    <m/>
    <n v="0"/>
    <n v="0"/>
    <m/>
  </r>
  <r>
    <n v="1711"/>
    <s v=""/>
    <s v="0"/>
    <m/>
    <s v="0"/>
    <m/>
    <x v="4"/>
    <x v="8"/>
    <x v="4"/>
    <m/>
    <m/>
    <n v="0"/>
    <n v="0"/>
    <m/>
    <m/>
    <n v="0"/>
    <m/>
    <n v="0"/>
    <n v="0"/>
    <m/>
  </r>
  <r>
    <n v="1712"/>
    <s v=""/>
    <s v="0"/>
    <m/>
    <s v="0"/>
    <m/>
    <x v="4"/>
    <x v="8"/>
    <x v="4"/>
    <m/>
    <m/>
    <n v="0"/>
    <n v="0"/>
    <m/>
    <m/>
    <n v="0"/>
    <m/>
    <n v="0"/>
    <n v="0"/>
    <m/>
  </r>
  <r>
    <n v="1713"/>
    <s v=""/>
    <s v="0"/>
    <m/>
    <s v="0"/>
    <m/>
    <x v="4"/>
    <x v="8"/>
    <x v="4"/>
    <m/>
    <m/>
    <n v="0"/>
    <n v="0"/>
    <m/>
    <m/>
    <n v="0"/>
    <m/>
    <n v="0"/>
    <n v="0"/>
    <m/>
  </r>
  <r>
    <n v="1714"/>
    <s v=""/>
    <s v="0"/>
    <m/>
    <s v="0"/>
    <m/>
    <x v="4"/>
    <x v="8"/>
    <x v="4"/>
    <m/>
    <m/>
    <n v="0"/>
    <n v="0"/>
    <m/>
    <m/>
    <n v="0"/>
    <m/>
    <n v="0"/>
    <n v="0"/>
    <m/>
  </r>
  <r>
    <n v="1715"/>
    <s v=""/>
    <s v="0"/>
    <m/>
    <s v="0"/>
    <m/>
    <x v="4"/>
    <x v="8"/>
    <x v="4"/>
    <m/>
    <m/>
    <n v="0"/>
    <n v="0"/>
    <m/>
    <m/>
    <n v="0"/>
    <m/>
    <n v="0"/>
    <n v="0"/>
    <m/>
  </r>
  <r>
    <n v="1716"/>
    <s v=""/>
    <s v="0"/>
    <m/>
    <s v="0"/>
    <m/>
    <x v="4"/>
    <x v="8"/>
    <x v="4"/>
    <m/>
    <m/>
    <n v="0"/>
    <n v="0"/>
    <m/>
    <m/>
    <n v="0"/>
    <m/>
    <n v="0"/>
    <n v="0"/>
    <m/>
  </r>
  <r>
    <n v="1717"/>
    <s v=""/>
    <s v="0"/>
    <m/>
    <s v="0"/>
    <m/>
    <x v="4"/>
    <x v="8"/>
    <x v="4"/>
    <m/>
    <m/>
    <n v="0"/>
    <n v="0"/>
    <m/>
    <m/>
    <n v="0"/>
    <m/>
    <n v="0"/>
    <n v="0"/>
    <m/>
  </r>
  <r>
    <n v="1718"/>
    <s v=""/>
    <s v="0"/>
    <m/>
    <s v="0"/>
    <m/>
    <x v="4"/>
    <x v="8"/>
    <x v="4"/>
    <m/>
    <m/>
    <n v="0"/>
    <n v="0"/>
    <m/>
    <m/>
    <n v="0"/>
    <m/>
    <n v="0"/>
    <n v="0"/>
    <m/>
  </r>
  <r>
    <n v="1719"/>
    <s v=""/>
    <s v="0"/>
    <m/>
    <s v="0"/>
    <m/>
    <x v="4"/>
    <x v="8"/>
    <x v="4"/>
    <m/>
    <m/>
    <n v="0"/>
    <n v="0"/>
    <m/>
    <m/>
    <n v="0"/>
    <m/>
    <n v="0"/>
    <n v="0"/>
    <m/>
  </r>
  <r>
    <n v="1720"/>
    <s v=""/>
    <s v="0"/>
    <m/>
    <s v="0"/>
    <m/>
    <x v="4"/>
    <x v="8"/>
    <x v="4"/>
    <m/>
    <m/>
    <n v="0"/>
    <n v="0"/>
    <m/>
    <m/>
    <n v="0"/>
    <m/>
    <n v="0"/>
    <n v="0"/>
    <m/>
  </r>
  <r>
    <n v="1721"/>
    <s v=""/>
    <s v="0"/>
    <m/>
    <s v="0"/>
    <m/>
    <x v="4"/>
    <x v="8"/>
    <x v="4"/>
    <m/>
    <m/>
    <n v="0"/>
    <n v="0"/>
    <m/>
    <m/>
    <n v="0"/>
    <m/>
    <n v="0"/>
    <n v="0"/>
    <m/>
  </r>
  <r>
    <n v="1722"/>
    <s v=""/>
    <s v="0"/>
    <m/>
    <s v="0"/>
    <m/>
    <x v="4"/>
    <x v="8"/>
    <x v="4"/>
    <m/>
    <m/>
    <n v="0"/>
    <n v="0"/>
    <m/>
    <m/>
    <n v="0"/>
    <m/>
    <n v="0"/>
    <n v="0"/>
    <m/>
  </r>
  <r>
    <n v="1723"/>
    <s v=""/>
    <s v="0"/>
    <m/>
    <s v="0"/>
    <m/>
    <x v="4"/>
    <x v="8"/>
    <x v="4"/>
    <m/>
    <m/>
    <n v="0"/>
    <n v="0"/>
    <m/>
    <m/>
    <n v="0"/>
    <m/>
    <n v="0"/>
    <n v="0"/>
    <m/>
  </r>
  <r>
    <n v="1724"/>
    <s v=""/>
    <s v="0"/>
    <m/>
    <s v="0"/>
    <m/>
    <x v="4"/>
    <x v="8"/>
    <x v="4"/>
    <m/>
    <m/>
    <n v="0"/>
    <n v="0"/>
    <m/>
    <m/>
    <n v="0"/>
    <m/>
    <n v="0"/>
    <n v="0"/>
    <m/>
  </r>
  <r>
    <n v="1725"/>
    <s v=""/>
    <s v="0"/>
    <m/>
    <s v="0"/>
    <m/>
    <x v="4"/>
    <x v="8"/>
    <x v="4"/>
    <m/>
    <m/>
    <n v="0"/>
    <n v="0"/>
    <m/>
    <m/>
    <n v="0"/>
    <m/>
    <n v="0"/>
    <n v="0"/>
    <m/>
  </r>
  <r>
    <n v="1726"/>
    <s v=""/>
    <s v="0"/>
    <m/>
    <s v="0"/>
    <m/>
    <x v="4"/>
    <x v="8"/>
    <x v="4"/>
    <m/>
    <m/>
    <n v="0"/>
    <n v="0"/>
    <m/>
    <m/>
    <n v="0"/>
    <m/>
    <n v="0"/>
    <n v="0"/>
    <m/>
  </r>
  <r>
    <n v="1727"/>
    <s v=""/>
    <s v="0"/>
    <m/>
    <s v="0"/>
    <m/>
    <x v="4"/>
    <x v="8"/>
    <x v="4"/>
    <m/>
    <m/>
    <n v="0"/>
    <n v="0"/>
    <m/>
    <m/>
    <n v="0"/>
    <m/>
    <n v="0"/>
    <n v="0"/>
    <m/>
  </r>
  <r>
    <n v="1728"/>
    <s v=""/>
    <s v="0"/>
    <m/>
    <s v="0"/>
    <m/>
    <x v="4"/>
    <x v="8"/>
    <x v="4"/>
    <m/>
    <m/>
    <n v="0"/>
    <n v="0"/>
    <m/>
    <m/>
    <n v="0"/>
    <m/>
    <n v="0"/>
    <n v="0"/>
    <m/>
  </r>
  <r>
    <n v="1729"/>
    <s v=""/>
    <s v="0"/>
    <m/>
    <s v="0"/>
    <m/>
    <x v="4"/>
    <x v="8"/>
    <x v="4"/>
    <m/>
    <m/>
    <n v="0"/>
    <n v="0"/>
    <m/>
    <m/>
    <n v="0"/>
    <m/>
    <n v="0"/>
    <n v="0"/>
    <m/>
  </r>
  <r>
    <n v="1730"/>
    <s v=""/>
    <s v="0"/>
    <m/>
    <s v="0"/>
    <m/>
    <x v="4"/>
    <x v="8"/>
    <x v="4"/>
    <m/>
    <m/>
    <n v="0"/>
    <n v="0"/>
    <m/>
    <m/>
    <n v="0"/>
    <m/>
    <n v="0"/>
    <n v="0"/>
    <m/>
  </r>
  <r>
    <n v="1731"/>
    <s v=""/>
    <s v="0"/>
    <m/>
    <s v="0"/>
    <m/>
    <x v="4"/>
    <x v="8"/>
    <x v="4"/>
    <m/>
    <m/>
    <n v="0"/>
    <n v="0"/>
    <m/>
    <m/>
    <n v="0"/>
    <m/>
    <n v="0"/>
    <n v="0"/>
    <m/>
  </r>
  <r>
    <n v="1732"/>
    <s v=""/>
    <s v="0"/>
    <m/>
    <s v="0"/>
    <m/>
    <x v="4"/>
    <x v="8"/>
    <x v="4"/>
    <m/>
    <m/>
    <n v="0"/>
    <n v="0"/>
    <m/>
    <m/>
    <n v="0"/>
    <m/>
    <n v="0"/>
    <n v="0"/>
    <m/>
  </r>
  <r>
    <n v="1733"/>
    <s v=""/>
    <s v="0"/>
    <m/>
    <s v="0"/>
    <m/>
    <x v="4"/>
    <x v="8"/>
    <x v="4"/>
    <m/>
    <m/>
    <n v="0"/>
    <n v="0"/>
    <m/>
    <m/>
    <n v="0"/>
    <m/>
    <n v="0"/>
    <n v="0"/>
    <m/>
  </r>
  <r>
    <n v="1734"/>
    <s v=""/>
    <s v="0"/>
    <m/>
    <s v="0"/>
    <m/>
    <x v="4"/>
    <x v="8"/>
    <x v="4"/>
    <m/>
    <m/>
    <n v="0"/>
    <n v="0"/>
    <m/>
    <m/>
    <n v="0"/>
    <m/>
    <n v="0"/>
    <n v="0"/>
    <m/>
  </r>
  <r>
    <n v="1735"/>
    <s v=""/>
    <s v="0"/>
    <m/>
    <s v="0"/>
    <m/>
    <x v="4"/>
    <x v="8"/>
    <x v="4"/>
    <m/>
    <m/>
    <n v="0"/>
    <n v="0"/>
    <m/>
    <m/>
    <n v="0"/>
    <m/>
    <n v="0"/>
    <n v="0"/>
    <m/>
  </r>
  <r>
    <n v="1736"/>
    <s v=""/>
    <s v="0"/>
    <m/>
    <s v="0"/>
    <m/>
    <x v="4"/>
    <x v="8"/>
    <x v="4"/>
    <m/>
    <m/>
    <n v="0"/>
    <n v="0"/>
    <m/>
    <m/>
    <n v="0"/>
    <m/>
    <n v="0"/>
    <n v="0"/>
    <m/>
  </r>
  <r>
    <n v="1737"/>
    <s v=""/>
    <s v="0"/>
    <m/>
    <s v="0"/>
    <m/>
    <x v="4"/>
    <x v="8"/>
    <x v="4"/>
    <m/>
    <m/>
    <n v="0"/>
    <n v="0"/>
    <m/>
    <m/>
    <n v="0"/>
    <m/>
    <n v="0"/>
    <n v="0"/>
    <m/>
  </r>
  <r>
    <n v="1738"/>
    <s v=""/>
    <s v="0"/>
    <m/>
    <s v="0"/>
    <m/>
    <x v="4"/>
    <x v="8"/>
    <x v="4"/>
    <m/>
    <m/>
    <n v="0"/>
    <n v="0"/>
    <m/>
    <m/>
    <n v="0"/>
    <m/>
    <n v="0"/>
    <n v="0"/>
    <m/>
  </r>
  <r>
    <n v="1739"/>
    <s v=""/>
    <s v="0"/>
    <m/>
    <s v="0"/>
    <m/>
    <x v="4"/>
    <x v="8"/>
    <x v="4"/>
    <m/>
    <m/>
    <n v="0"/>
    <n v="0"/>
    <m/>
    <m/>
    <n v="0"/>
    <m/>
    <n v="0"/>
    <n v="0"/>
    <m/>
  </r>
  <r>
    <n v="1740"/>
    <s v=""/>
    <s v="0"/>
    <m/>
    <s v="0"/>
    <m/>
    <x v="4"/>
    <x v="8"/>
    <x v="4"/>
    <m/>
    <m/>
    <n v="0"/>
    <n v="0"/>
    <m/>
    <m/>
    <n v="0"/>
    <m/>
    <n v="0"/>
    <n v="0"/>
    <m/>
  </r>
  <r>
    <n v="1741"/>
    <s v=""/>
    <s v="0"/>
    <m/>
    <s v="0"/>
    <m/>
    <x v="4"/>
    <x v="8"/>
    <x v="4"/>
    <m/>
    <m/>
    <n v="0"/>
    <n v="0"/>
    <m/>
    <m/>
    <n v="0"/>
    <m/>
    <n v="0"/>
    <n v="0"/>
    <m/>
  </r>
  <r>
    <n v="1742"/>
    <s v=""/>
    <s v="0"/>
    <m/>
    <s v="0"/>
    <m/>
    <x v="4"/>
    <x v="8"/>
    <x v="4"/>
    <m/>
    <m/>
    <n v="0"/>
    <n v="0"/>
    <m/>
    <m/>
    <n v="0"/>
    <m/>
    <n v="0"/>
    <n v="0"/>
    <m/>
  </r>
  <r>
    <n v="1743"/>
    <s v=""/>
    <s v="0"/>
    <m/>
    <s v="0"/>
    <m/>
    <x v="4"/>
    <x v="8"/>
    <x v="4"/>
    <m/>
    <m/>
    <n v="0"/>
    <n v="0"/>
    <m/>
    <m/>
    <n v="0"/>
    <m/>
    <n v="0"/>
    <n v="0"/>
    <m/>
  </r>
  <r>
    <n v="1744"/>
    <s v=""/>
    <s v="0"/>
    <m/>
    <s v="0"/>
    <m/>
    <x v="4"/>
    <x v="8"/>
    <x v="4"/>
    <m/>
    <m/>
    <n v="0"/>
    <n v="0"/>
    <m/>
    <m/>
    <n v="0"/>
    <m/>
    <n v="0"/>
    <n v="0"/>
    <m/>
  </r>
  <r>
    <n v="1745"/>
    <s v=""/>
    <s v="0"/>
    <m/>
    <s v="0"/>
    <m/>
    <x v="4"/>
    <x v="8"/>
    <x v="4"/>
    <m/>
    <m/>
    <n v="0"/>
    <n v="0"/>
    <m/>
    <m/>
    <n v="0"/>
    <m/>
    <n v="0"/>
    <n v="0"/>
    <m/>
  </r>
  <r>
    <n v="1746"/>
    <s v=""/>
    <s v="0"/>
    <m/>
    <s v="0"/>
    <m/>
    <x v="4"/>
    <x v="8"/>
    <x v="4"/>
    <m/>
    <m/>
    <n v="0"/>
    <n v="0"/>
    <m/>
    <m/>
    <n v="0"/>
    <m/>
    <n v="0"/>
    <n v="0"/>
    <m/>
  </r>
  <r>
    <n v="1747"/>
    <s v=""/>
    <s v="0"/>
    <m/>
    <s v="0"/>
    <m/>
    <x v="4"/>
    <x v="8"/>
    <x v="4"/>
    <m/>
    <m/>
    <n v="0"/>
    <n v="0"/>
    <m/>
    <m/>
    <n v="0"/>
    <m/>
    <n v="0"/>
    <n v="0"/>
    <m/>
  </r>
  <r>
    <n v="1748"/>
    <s v=""/>
    <s v="0"/>
    <m/>
    <s v="0"/>
    <m/>
    <x v="4"/>
    <x v="8"/>
    <x v="4"/>
    <m/>
    <m/>
    <n v="0"/>
    <n v="0"/>
    <m/>
    <m/>
    <n v="0"/>
    <m/>
    <n v="0"/>
    <n v="0"/>
    <m/>
  </r>
  <r>
    <n v="1749"/>
    <s v=""/>
    <s v="0"/>
    <m/>
    <s v="0"/>
    <m/>
    <x v="4"/>
    <x v="8"/>
    <x v="4"/>
    <m/>
    <m/>
    <n v="0"/>
    <n v="0"/>
    <m/>
    <m/>
    <n v="0"/>
    <m/>
    <n v="0"/>
    <n v="0"/>
    <m/>
  </r>
  <r>
    <n v="1750"/>
    <s v=""/>
    <s v="0"/>
    <m/>
    <s v="0"/>
    <m/>
    <x v="4"/>
    <x v="8"/>
    <x v="4"/>
    <m/>
    <m/>
    <n v="0"/>
    <n v="0"/>
    <m/>
    <m/>
    <n v="0"/>
    <m/>
    <n v="0"/>
    <n v="0"/>
    <m/>
  </r>
  <r>
    <n v="1751"/>
    <s v=""/>
    <s v="0"/>
    <m/>
    <s v="0"/>
    <m/>
    <x v="4"/>
    <x v="8"/>
    <x v="4"/>
    <m/>
    <m/>
    <n v="0"/>
    <n v="0"/>
    <m/>
    <m/>
    <n v="0"/>
    <m/>
    <n v="0"/>
    <n v="0"/>
    <m/>
  </r>
  <r>
    <n v="1752"/>
    <s v=""/>
    <s v="0"/>
    <m/>
    <s v="0"/>
    <m/>
    <x v="4"/>
    <x v="8"/>
    <x v="4"/>
    <m/>
    <m/>
    <n v="0"/>
    <n v="0"/>
    <m/>
    <m/>
    <n v="0"/>
    <m/>
    <n v="0"/>
    <n v="0"/>
    <m/>
  </r>
  <r>
    <n v="1753"/>
    <s v=""/>
    <s v="0"/>
    <m/>
    <s v="0"/>
    <m/>
    <x v="4"/>
    <x v="8"/>
    <x v="4"/>
    <m/>
    <m/>
    <n v="0"/>
    <n v="0"/>
    <m/>
    <m/>
    <n v="0"/>
    <m/>
    <n v="0"/>
    <n v="0"/>
    <m/>
  </r>
  <r>
    <n v="1754"/>
    <s v=""/>
    <s v="0"/>
    <m/>
    <s v="0"/>
    <m/>
    <x v="4"/>
    <x v="8"/>
    <x v="4"/>
    <m/>
    <m/>
    <n v="0"/>
    <n v="0"/>
    <m/>
    <m/>
    <n v="0"/>
    <m/>
    <n v="0"/>
    <n v="0"/>
    <m/>
  </r>
  <r>
    <n v="1755"/>
    <s v=""/>
    <s v="0"/>
    <m/>
    <s v="0"/>
    <m/>
    <x v="4"/>
    <x v="8"/>
    <x v="4"/>
    <m/>
    <m/>
    <n v="0"/>
    <n v="0"/>
    <m/>
    <m/>
    <n v="0"/>
    <m/>
    <n v="0"/>
    <n v="0"/>
    <m/>
  </r>
  <r>
    <n v="1756"/>
    <s v=""/>
    <s v="0"/>
    <m/>
    <s v="0"/>
    <m/>
    <x v="4"/>
    <x v="8"/>
    <x v="4"/>
    <m/>
    <m/>
    <n v="0"/>
    <n v="0"/>
    <m/>
    <m/>
    <n v="0"/>
    <m/>
    <n v="0"/>
    <n v="0"/>
    <m/>
  </r>
  <r>
    <n v="1757"/>
    <s v=""/>
    <s v="0"/>
    <m/>
    <s v="0"/>
    <m/>
    <x v="4"/>
    <x v="8"/>
    <x v="4"/>
    <m/>
    <m/>
    <n v="0"/>
    <n v="0"/>
    <m/>
    <m/>
    <n v="0"/>
    <m/>
    <n v="0"/>
    <n v="0"/>
    <m/>
  </r>
  <r>
    <n v="1758"/>
    <s v=""/>
    <s v="0"/>
    <m/>
    <s v="0"/>
    <m/>
    <x v="4"/>
    <x v="8"/>
    <x v="4"/>
    <m/>
    <m/>
    <n v="0"/>
    <n v="0"/>
    <m/>
    <m/>
    <n v="0"/>
    <m/>
    <n v="0"/>
    <n v="0"/>
    <m/>
  </r>
  <r>
    <n v="1759"/>
    <s v=""/>
    <s v="0"/>
    <m/>
    <s v="0"/>
    <m/>
    <x v="4"/>
    <x v="8"/>
    <x v="4"/>
    <m/>
    <m/>
    <n v="0"/>
    <n v="0"/>
    <m/>
    <m/>
    <n v="0"/>
    <m/>
    <n v="0"/>
    <n v="0"/>
    <m/>
  </r>
  <r>
    <n v="1760"/>
    <s v=""/>
    <s v="0"/>
    <m/>
    <s v="0"/>
    <m/>
    <x v="4"/>
    <x v="8"/>
    <x v="4"/>
    <m/>
    <m/>
    <n v="0"/>
    <n v="0"/>
    <m/>
    <m/>
    <n v="0"/>
    <m/>
    <n v="0"/>
    <n v="0"/>
    <m/>
  </r>
  <r>
    <n v="1761"/>
    <s v=""/>
    <s v="0"/>
    <m/>
    <s v="0"/>
    <m/>
    <x v="4"/>
    <x v="8"/>
    <x v="4"/>
    <m/>
    <m/>
    <n v="0"/>
    <n v="0"/>
    <m/>
    <m/>
    <n v="0"/>
    <m/>
    <n v="0"/>
    <n v="0"/>
    <m/>
  </r>
  <r>
    <n v="1762"/>
    <s v=""/>
    <s v="0"/>
    <m/>
    <s v="0"/>
    <m/>
    <x v="4"/>
    <x v="8"/>
    <x v="4"/>
    <m/>
    <m/>
    <n v="0"/>
    <n v="0"/>
    <m/>
    <m/>
    <n v="0"/>
    <m/>
    <n v="0"/>
    <n v="0"/>
    <m/>
  </r>
  <r>
    <n v="1763"/>
    <s v=""/>
    <s v="0"/>
    <m/>
    <s v="0"/>
    <m/>
    <x v="4"/>
    <x v="8"/>
    <x v="4"/>
    <m/>
    <m/>
    <n v="0"/>
    <n v="0"/>
    <m/>
    <m/>
    <n v="0"/>
    <m/>
    <n v="0"/>
    <n v="0"/>
    <m/>
  </r>
  <r>
    <n v="1764"/>
    <s v=""/>
    <s v="0"/>
    <m/>
    <s v="0"/>
    <m/>
    <x v="4"/>
    <x v="8"/>
    <x v="4"/>
    <m/>
    <m/>
    <n v="0"/>
    <n v="0"/>
    <m/>
    <m/>
    <n v="0"/>
    <m/>
    <n v="0"/>
    <n v="0"/>
    <m/>
  </r>
  <r>
    <n v="1765"/>
    <s v=""/>
    <s v="0"/>
    <m/>
    <s v="0"/>
    <m/>
    <x v="4"/>
    <x v="8"/>
    <x v="4"/>
    <m/>
    <m/>
    <n v="0"/>
    <n v="0"/>
    <m/>
    <m/>
    <n v="0"/>
    <m/>
    <n v="0"/>
    <n v="0"/>
    <m/>
  </r>
  <r>
    <n v="1766"/>
    <s v=""/>
    <s v="0"/>
    <m/>
    <s v="0"/>
    <m/>
    <x v="4"/>
    <x v="8"/>
    <x v="4"/>
    <m/>
    <m/>
    <n v="0"/>
    <n v="0"/>
    <m/>
    <m/>
    <n v="0"/>
    <m/>
    <n v="0"/>
    <n v="0"/>
    <m/>
  </r>
  <r>
    <n v="1767"/>
    <s v=""/>
    <s v="0"/>
    <m/>
    <s v="0"/>
    <m/>
    <x v="4"/>
    <x v="8"/>
    <x v="4"/>
    <m/>
    <m/>
    <n v="0"/>
    <n v="0"/>
    <m/>
    <m/>
    <n v="0"/>
    <m/>
    <n v="0"/>
    <n v="0"/>
    <m/>
  </r>
  <r>
    <n v="1768"/>
    <s v=""/>
    <s v="0"/>
    <m/>
    <s v="0"/>
    <m/>
    <x v="4"/>
    <x v="8"/>
    <x v="4"/>
    <m/>
    <m/>
    <n v="0"/>
    <n v="0"/>
    <m/>
    <m/>
    <n v="0"/>
    <m/>
    <n v="0"/>
    <n v="0"/>
    <m/>
  </r>
  <r>
    <n v="1769"/>
    <s v=""/>
    <s v="0"/>
    <m/>
    <s v="0"/>
    <m/>
    <x v="4"/>
    <x v="8"/>
    <x v="4"/>
    <m/>
    <m/>
    <n v="0"/>
    <n v="0"/>
    <m/>
    <m/>
    <n v="0"/>
    <m/>
    <n v="0"/>
    <n v="0"/>
    <m/>
  </r>
  <r>
    <n v="1770"/>
    <s v=""/>
    <s v="0"/>
    <m/>
    <s v="0"/>
    <m/>
    <x v="4"/>
    <x v="8"/>
    <x v="4"/>
    <m/>
    <m/>
    <n v="0"/>
    <n v="0"/>
    <m/>
    <m/>
    <n v="0"/>
    <m/>
    <n v="0"/>
    <n v="0"/>
    <m/>
  </r>
  <r>
    <n v="1771"/>
    <s v=""/>
    <s v="0"/>
    <m/>
    <s v="0"/>
    <m/>
    <x v="4"/>
    <x v="8"/>
    <x v="4"/>
    <m/>
    <m/>
    <n v="0"/>
    <n v="0"/>
    <m/>
    <m/>
    <n v="0"/>
    <m/>
    <n v="0"/>
    <n v="0"/>
    <m/>
  </r>
  <r>
    <n v="1772"/>
    <s v=""/>
    <s v="0"/>
    <m/>
    <s v="0"/>
    <m/>
    <x v="4"/>
    <x v="8"/>
    <x v="4"/>
    <m/>
    <m/>
    <n v="0"/>
    <n v="0"/>
    <m/>
    <m/>
    <n v="0"/>
    <m/>
    <n v="0"/>
    <n v="0"/>
    <m/>
  </r>
  <r>
    <n v="1773"/>
    <s v=""/>
    <s v="0"/>
    <m/>
    <s v="0"/>
    <m/>
    <x v="4"/>
    <x v="8"/>
    <x v="4"/>
    <m/>
    <m/>
    <n v="0"/>
    <n v="0"/>
    <m/>
    <m/>
    <n v="0"/>
    <m/>
    <n v="0"/>
    <n v="0"/>
    <m/>
  </r>
  <r>
    <n v="1774"/>
    <s v=""/>
    <s v="0"/>
    <m/>
    <s v="0"/>
    <m/>
    <x v="4"/>
    <x v="8"/>
    <x v="4"/>
    <m/>
    <m/>
    <n v="0"/>
    <n v="0"/>
    <m/>
    <m/>
    <n v="0"/>
    <m/>
    <n v="0"/>
    <n v="0"/>
    <m/>
  </r>
  <r>
    <n v="1775"/>
    <s v=""/>
    <s v="0"/>
    <m/>
    <s v="0"/>
    <m/>
    <x v="4"/>
    <x v="8"/>
    <x v="4"/>
    <m/>
    <m/>
    <n v="0"/>
    <n v="0"/>
    <m/>
    <m/>
    <n v="0"/>
    <m/>
    <n v="0"/>
    <n v="0"/>
    <m/>
  </r>
  <r>
    <n v="1776"/>
    <s v=""/>
    <s v="0"/>
    <m/>
    <s v="0"/>
    <m/>
    <x v="4"/>
    <x v="8"/>
    <x v="4"/>
    <m/>
    <m/>
    <n v="0"/>
    <n v="0"/>
    <m/>
    <m/>
    <n v="0"/>
    <m/>
    <n v="0"/>
    <n v="0"/>
    <m/>
  </r>
  <r>
    <n v="1777"/>
    <s v=""/>
    <s v="0"/>
    <m/>
    <s v="0"/>
    <m/>
    <x v="4"/>
    <x v="8"/>
    <x v="4"/>
    <m/>
    <m/>
    <n v="0"/>
    <n v="0"/>
    <m/>
    <m/>
    <n v="0"/>
    <m/>
    <n v="0"/>
    <n v="0"/>
    <m/>
  </r>
  <r>
    <n v="1778"/>
    <s v=""/>
    <s v="0"/>
    <m/>
    <s v="0"/>
    <m/>
    <x v="4"/>
    <x v="8"/>
    <x v="4"/>
    <m/>
    <m/>
    <n v="0"/>
    <n v="0"/>
    <m/>
    <m/>
    <n v="0"/>
    <m/>
    <n v="0"/>
    <n v="0"/>
    <m/>
  </r>
  <r>
    <n v="1779"/>
    <s v=""/>
    <s v="0"/>
    <m/>
    <s v="0"/>
    <m/>
    <x v="4"/>
    <x v="8"/>
    <x v="4"/>
    <m/>
    <m/>
    <n v="0"/>
    <n v="0"/>
    <m/>
    <m/>
    <n v="0"/>
    <m/>
    <n v="0"/>
    <n v="0"/>
    <m/>
  </r>
  <r>
    <n v="1780"/>
    <s v=""/>
    <s v="0"/>
    <m/>
    <s v="0"/>
    <m/>
    <x v="4"/>
    <x v="8"/>
    <x v="4"/>
    <m/>
    <m/>
    <n v="0"/>
    <n v="0"/>
    <m/>
    <m/>
    <n v="0"/>
    <m/>
    <n v="0"/>
    <n v="0"/>
    <m/>
  </r>
  <r>
    <n v="1781"/>
    <s v=""/>
    <s v="0"/>
    <m/>
    <s v="0"/>
    <m/>
    <x v="4"/>
    <x v="8"/>
    <x v="4"/>
    <m/>
    <m/>
    <n v="0"/>
    <n v="0"/>
    <m/>
    <m/>
    <n v="0"/>
    <m/>
    <n v="0"/>
    <n v="0"/>
    <m/>
  </r>
  <r>
    <n v="1782"/>
    <s v=""/>
    <s v="0"/>
    <m/>
    <s v="0"/>
    <m/>
    <x v="4"/>
    <x v="8"/>
    <x v="4"/>
    <m/>
    <m/>
    <n v="0"/>
    <n v="0"/>
    <m/>
    <m/>
    <n v="0"/>
    <m/>
    <n v="0"/>
    <n v="0"/>
    <m/>
  </r>
  <r>
    <n v="1783"/>
    <s v=""/>
    <s v="0"/>
    <m/>
    <s v="0"/>
    <m/>
    <x v="4"/>
    <x v="8"/>
    <x v="4"/>
    <m/>
    <m/>
    <n v="0"/>
    <n v="0"/>
    <m/>
    <m/>
    <n v="0"/>
    <m/>
    <n v="0"/>
    <n v="0"/>
    <m/>
  </r>
  <r>
    <n v="1784"/>
    <s v=""/>
    <s v="0"/>
    <m/>
    <s v="0"/>
    <m/>
    <x v="4"/>
    <x v="8"/>
    <x v="4"/>
    <m/>
    <m/>
    <n v="0"/>
    <n v="0"/>
    <m/>
    <m/>
    <n v="0"/>
    <m/>
    <n v="0"/>
    <n v="0"/>
    <m/>
  </r>
  <r>
    <n v="1785"/>
    <s v=""/>
    <s v="0"/>
    <m/>
    <s v="0"/>
    <m/>
    <x v="4"/>
    <x v="8"/>
    <x v="4"/>
    <m/>
    <m/>
    <n v="0"/>
    <n v="0"/>
    <m/>
    <m/>
    <n v="0"/>
    <m/>
    <n v="0"/>
    <n v="0"/>
    <m/>
  </r>
  <r>
    <n v="1786"/>
    <s v=""/>
    <s v="0"/>
    <m/>
    <s v="0"/>
    <m/>
    <x v="4"/>
    <x v="8"/>
    <x v="4"/>
    <m/>
    <m/>
    <n v="0"/>
    <n v="0"/>
    <m/>
    <m/>
    <n v="0"/>
    <m/>
    <n v="0"/>
    <n v="0"/>
    <m/>
  </r>
  <r>
    <n v="1787"/>
    <s v=""/>
    <s v="0"/>
    <m/>
    <s v="0"/>
    <m/>
    <x v="4"/>
    <x v="8"/>
    <x v="4"/>
    <m/>
    <m/>
    <n v="0"/>
    <n v="0"/>
    <m/>
    <m/>
    <n v="0"/>
    <m/>
    <n v="0"/>
    <n v="0"/>
    <m/>
  </r>
  <r>
    <n v="1788"/>
    <s v=""/>
    <s v="0"/>
    <m/>
    <s v="0"/>
    <m/>
    <x v="4"/>
    <x v="8"/>
    <x v="4"/>
    <m/>
    <m/>
    <n v="0"/>
    <n v="0"/>
    <m/>
    <m/>
    <n v="0"/>
    <m/>
    <n v="0"/>
    <n v="0"/>
    <m/>
  </r>
  <r>
    <n v="1789"/>
    <s v=""/>
    <s v="0"/>
    <m/>
    <s v="0"/>
    <m/>
    <x v="4"/>
    <x v="8"/>
    <x v="4"/>
    <m/>
    <m/>
    <n v="0"/>
    <n v="0"/>
    <m/>
    <m/>
    <n v="0"/>
    <m/>
    <n v="0"/>
    <n v="0"/>
    <m/>
  </r>
  <r>
    <n v="1790"/>
    <s v=""/>
    <s v="0"/>
    <m/>
    <s v="0"/>
    <m/>
    <x v="4"/>
    <x v="8"/>
    <x v="4"/>
    <m/>
    <m/>
    <n v="0"/>
    <n v="0"/>
    <m/>
    <m/>
    <n v="0"/>
    <m/>
    <n v="0"/>
    <n v="0"/>
    <m/>
  </r>
  <r>
    <n v="1791"/>
    <s v=""/>
    <s v="0"/>
    <m/>
    <s v="0"/>
    <m/>
    <x v="4"/>
    <x v="8"/>
    <x v="4"/>
    <m/>
    <m/>
    <n v="0"/>
    <n v="0"/>
    <m/>
    <m/>
    <n v="0"/>
    <m/>
    <n v="0"/>
    <n v="0"/>
    <m/>
  </r>
  <r>
    <n v="1792"/>
    <s v=""/>
    <s v="0"/>
    <m/>
    <s v="0"/>
    <m/>
    <x v="4"/>
    <x v="8"/>
    <x v="4"/>
    <m/>
    <m/>
    <n v="0"/>
    <n v="0"/>
    <m/>
    <m/>
    <n v="0"/>
    <m/>
    <n v="0"/>
    <n v="0"/>
    <m/>
  </r>
  <r>
    <n v="1793"/>
    <s v=""/>
    <s v="0"/>
    <m/>
    <s v="0"/>
    <m/>
    <x v="4"/>
    <x v="8"/>
    <x v="4"/>
    <m/>
    <m/>
    <n v="0"/>
    <n v="0"/>
    <m/>
    <m/>
    <n v="0"/>
    <m/>
    <n v="0"/>
    <n v="0"/>
    <m/>
  </r>
  <r>
    <n v="1794"/>
    <s v=""/>
    <s v="0"/>
    <m/>
    <s v="0"/>
    <m/>
    <x v="4"/>
    <x v="8"/>
    <x v="4"/>
    <m/>
    <m/>
    <n v="0"/>
    <n v="0"/>
    <m/>
    <m/>
    <n v="0"/>
    <m/>
    <n v="0"/>
    <n v="0"/>
    <m/>
  </r>
  <r>
    <n v="1795"/>
    <s v=""/>
    <s v="0"/>
    <m/>
    <s v="0"/>
    <m/>
    <x v="4"/>
    <x v="8"/>
    <x v="4"/>
    <m/>
    <m/>
    <n v="0"/>
    <n v="0"/>
    <m/>
    <m/>
    <n v="0"/>
    <m/>
    <n v="0"/>
    <n v="0"/>
    <m/>
  </r>
  <r>
    <n v="1796"/>
    <s v=""/>
    <s v="0"/>
    <m/>
    <s v="0"/>
    <m/>
    <x v="4"/>
    <x v="8"/>
    <x v="4"/>
    <m/>
    <m/>
    <n v="0"/>
    <n v="0"/>
    <m/>
    <m/>
    <n v="0"/>
    <m/>
    <n v="0"/>
    <n v="0"/>
    <m/>
  </r>
  <r>
    <n v="1797"/>
    <s v=""/>
    <s v="0"/>
    <m/>
    <s v="0"/>
    <m/>
    <x v="4"/>
    <x v="8"/>
    <x v="4"/>
    <m/>
    <m/>
    <n v="0"/>
    <n v="0"/>
    <m/>
    <m/>
    <n v="0"/>
    <m/>
    <n v="0"/>
    <n v="0"/>
    <m/>
  </r>
  <r>
    <n v="1798"/>
    <s v=""/>
    <s v="0"/>
    <m/>
    <s v="0"/>
    <m/>
    <x v="4"/>
    <x v="8"/>
    <x v="4"/>
    <m/>
    <m/>
    <n v="0"/>
    <n v="0"/>
    <m/>
    <m/>
    <n v="0"/>
    <m/>
    <n v="0"/>
    <n v="0"/>
    <m/>
  </r>
  <r>
    <n v="1799"/>
    <s v=""/>
    <s v="0"/>
    <m/>
    <s v="0"/>
    <m/>
    <x v="4"/>
    <x v="8"/>
    <x v="4"/>
    <m/>
    <m/>
    <n v="0"/>
    <n v="0"/>
    <m/>
    <m/>
    <n v="0"/>
    <m/>
    <n v="0"/>
    <n v="0"/>
    <m/>
  </r>
  <r>
    <n v="1800"/>
    <s v=""/>
    <s v="0"/>
    <m/>
    <s v="0"/>
    <m/>
    <x v="4"/>
    <x v="8"/>
    <x v="4"/>
    <m/>
    <m/>
    <n v="0"/>
    <n v="0"/>
    <m/>
    <m/>
    <n v="0"/>
    <m/>
    <n v="0"/>
    <n v="0"/>
    <m/>
  </r>
  <r>
    <n v="1801"/>
    <s v=""/>
    <s v="0"/>
    <m/>
    <s v="0"/>
    <m/>
    <x v="4"/>
    <x v="8"/>
    <x v="4"/>
    <m/>
    <m/>
    <n v="0"/>
    <n v="0"/>
    <m/>
    <m/>
    <n v="0"/>
    <m/>
    <n v="0"/>
    <n v="0"/>
    <m/>
  </r>
  <r>
    <n v="1802"/>
    <s v=""/>
    <s v="0"/>
    <m/>
    <s v="0"/>
    <m/>
    <x v="4"/>
    <x v="8"/>
    <x v="4"/>
    <m/>
    <m/>
    <n v="0"/>
    <n v="0"/>
    <m/>
    <m/>
    <n v="0"/>
    <m/>
    <n v="0"/>
    <n v="0"/>
    <m/>
  </r>
  <r>
    <n v="1803"/>
    <s v=""/>
    <s v="0"/>
    <m/>
    <s v="0"/>
    <m/>
    <x v="4"/>
    <x v="8"/>
    <x v="4"/>
    <m/>
    <m/>
    <n v="0"/>
    <n v="0"/>
    <m/>
    <m/>
    <n v="0"/>
    <m/>
    <n v="0"/>
    <n v="0"/>
    <m/>
  </r>
  <r>
    <n v="1804"/>
    <s v=""/>
    <s v="0"/>
    <m/>
    <s v="0"/>
    <m/>
    <x v="4"/>
    <x v="8"/>
    <x v="4"/>
    <m/>
    <m/>
    <n v="0"/>
    <n v="0"/>
    <m/>
    <m/>
    <n v="0"/>
    <m/>
    <n v="0"/>
    <n v="0"/>
    <m/>
  </r>
  <r>
    <n v="1805"/>
    <s v=""/>
    <s v="0"/>
    <m/>
    <s v="0"/>
    <m/>
    <x v="4"/>
    <x v="8"/>
    <x v="4"/>
    <m/>
    <m/>
    <n v="0"/>
    <n v="0"/>
    <m/>
    <m/>
    <n v="0"/>
    <m/>
    <n v="0"/>
    <n v="0"/>
    <m/>
  </r>
  <r>
    <n v="1806"/>
    <s v=""/>
    <s v="0"/>
    <m/>
    <s v="0"/>
    <m/>
    <x v="4"/>
    <x v="8"/>
    <x v="4"/>
    <m/>
    <m/>
    <n v="0"/>
    <n v="0"/>
    <m/>
    <m/>
    <n v="0"/>
    <m/>
    <n v="0"/>
    <n v="0"/>
    <m/>
  </r>
  <r>
    <n v="1807"/>
    <s v=""/>
    <s v="0"/>
    <m/>
    <s v="0"/>
    <m/>
    <x v="4"/>
    <x v="8"/>
    <x v="4"/>
    <m/>
    <m/>
    <n v="0"/>
    <n v="0"/>
    <m/>
    <m/>
    <n v="0"/>
    <m/>
    <n v="0"/>
    <n v="0"/>
    <m/>
  </r>
  <r>
    <n v="1808"/>
    <s v=""/>
    <s v="0"/>
    <m/>
    <s v="0"/>
    <m/>
    <x v="4"/>
    <x v="8"/>
    <x v="4"/>
    <m/>
    <m/>
    <n v="0"/>
    <n v="0"/>
    <m/>
    <m/>
    <n v="0"/>
    <m/>
    <n v="0"/>
    <n v="0"/>
    <m/>
  </r>
  <r>
    <n v="1809"/>
    <s v=""/>
    <s v="0"/>
    <m/>
    <s v="0"/>
    <m/>
    <x v="4"/>
    <x v="8"/>
    <x v="4"/>
    <m/>
    <m/>
    <n v="0"/>
    <n v="0"/>
    <m/>
    <m/>
    <n v="0"/>
    <m/>
    <n v="0"/>
    <n v="0"/>
    <m/>
  </r>
  <r>
    <n v="1810"/>
    <s v=""/>
    <s v="0"/>
    <m/>
    <s v="0"/>
    <m/>
    <x v="4"/>
    <x v="8"/>
    <x v="4"/>
    <m/>
    <m/>
    <n v="0"/>
    <n v="0"/>
    <m/>
    <m/>
    <n v="0"/>
    <m/>
    <n v="0"/>
    <n v="0"/>
    <m/>
  </r>
  <r>
    <n v="1811"/>
    <s v=""/>
    <s v="0"/>
    <m/>
    <s v="0"/>
    <m/>
    <x v="4"/>
    <x v="8"/>
    <x v="4"/>
    <m/>
    <m/>
    <n v="0"/>
    <n v="0"/>
    <m/>
    <m/>
    <n v="0"/>
    <m/>
    <n v="0"/>
    <n v="0"/>
    <m/>
  </r>
  <r>
    <n v="1812"/>
    <s v=""/>
    <s v="0"/>
    <m/>
    <s v="0"/>
    <m/>
    <x v="4"/>
    <x v="8"/>
    <x v="4"/>
    <m/>
    <m/>
    <n v="0"/>
    <n v="0"/>
    <m/>
    <m/>
    <n v="0"/>
    <m/>
    <n v="0"/>
    <n v="0"/>
    <m/>
  </r>
  <r>
    <n v="1813"/>
    <s v=""/>
    <s v="0"/>
    <m/>
    <s v="0"/>
    <m/>
    <x v="4"/>
    <x v="8"/>
    <x v="4"/>
    <m/>
    <m/>
    <n v="0"/>
    <n v="0"/>
    <m/>
    <m/>
    <n v="0"/>
    <m/>
    <n v="0"/>
    <n v="0"/>
    <m/>
  </r>
  <r>
    <n v="1814"/>
    <s v=""/>
    <s v="0"/>
    <m/>
    <s v="0"/>
    <m/>
    <x v="4"/>
    <x v="8"/>
    <x v="4"/>
    <m/>
    <m/>
    <n v="0"/>
    <n v="0"/>
    <m/>
    <m/>
    <n v="0"/>
    <m/>
    <n v="0"/>
    <n v="0"/>
    <m/>
  </r>
  <r>
    <n v="1815"/>
    <s v=""/>
    <s v="0"/>
    <m/>
    <s v="0"/>
    <m/>
    <x v="4"/>
    <x v="8"/>
    <x v="4"/>
    <m/>
    <m/>
    <n v="0"/>
    <n v="0"/>
    <m/>
    <m/>
    <n v="0"/>
    <m/>
    <n v="0"/>
    <n v="0"/>
    <m/>
  </r>
  <r>
    <n v="1816"/>
    <s v=""/>
    <s v="0"/>
    <m/>
    <s v="0"/>
    <m/>
    <x v="4"/>
    <x v="8"/>
    <x v="4"/>
    <m/>
    <m/>
    <n v="0"/>
    <n v="0"/>
    <m/>
    <m/>
    <n v="0"/>
    <m/>
    <n v="0"/>
    <n v="0"/>
    <m/>
  </r>
  <r>
    <n v="1817"/>
    <s v=""/>
    <s v="0"/>
    <m/>
    <s v="0"/>
    <m/>
    <x v="4"/>
    <x v="8"/>
    <x v="4"/>
    <m/>
    <m/>
    <n v="0"/>
    <n v="0"/>
    <m/>
    <m/>
    <n v="0"/>
    <m/>
    <n v="0"/>
    <n v="0"/>
    <m/>
  </r>
  <r>
    <n v="1818"/>
    <s v=""/>
    <s v="0"/>
    <m/>
    <s v="0"/>
    <m/>
    <x v="4"/>
    <x v="8"/>
    <x v="4"/>
    <m/>
    <m/>
    <n v="0"/>
    <n v="0"/>
    <m/>
    <m/>
    <n v="0"/>
    <m/>
    <n v="0"/>
    <n v="0"/>
    <m/>
  </r>
  <r>
    <n v="1819"/>
    <s v=""/>
    <s v="0"/>
    <m/>
    <s v="0"/>
    <m/>
    <x v="4"/>
    <x v="8"/>
    <x v="4"/>
    <m/>
    <m/>
    <n v="0"/>
    <n v="0"/>
    <m/>
    <m/>
    <n v="0"/>
    <m/>
    <n v="0"/>
    <n v="0"/>
    <m/>
  </r>
  <r>
    <n v="1820"/>
    <s v=""/>
    <s v="0"/>
    <m/>
    <s v="0"/>
    <m/>
    <x v="4"/>
    <x v="8"/>
    <x v="4"/>
    <m/>
    <m/>
    <n v="0"/>
    <n v="0"/>
    <m/>
    <m/>
    <n v="0"/>
    <m/>
    <n v="0"/>
    <n v="0"/>
    <m/>
  </r>
  <r>
    <n v="1821"/>
    <s v=""/>
    <s v="0"/>
    <m/>
    <s v="0"/>
    <m/>
    <x v="4"/>
    <x v="8"/>
    <x v="4"/>
    <m/>
    <m/>
    <n v="0"/>
    <n v="0"/>
    <m/>
    <m/>
    <n v="0"/>
    <m/>
    <n v="0"/>
    <n v="0"/>
    <m/>
  </r>
  <r>
    <n v="1822"/>
    <s v=""/>
    <s v="0"/>
    <m/>
    <s v="0"/>
    <m/>
    <x v="4"/>
    <x v="8"/>
    <x v="4"/>
    <m/>
    <m/>
    <n v="0"/>
    <n v="0"/>
    <m/>
    <m/>
    <n v="0"/>
    <m/>
    <n v="0"/>
    <n v="0"/>
    <m/>
  </r>
  <r>
    <n v="1823"/>
    <s v=""/>
    <s v="0"/>
    <m/>
    <s v="0"/>
    <m/>
    <x v="4"/>
    <x v="8"/>
    <x v="4"/>
    <m/>
    <m/>
    <n v="0"/>
    <n v="0"/>
    <m/>
    <m/>
    <n v="0"/>
    <m/>
    <n v="0"/>
    <n v="0"/>
    <m/>
  </r>
  <r>
    <n v="1824"/>
    <s v=""/>
    <s v="0"/>
    <m/>
    <s v="0"/>
    <m/>
    <x v="4"/>
    <x v="8"/>
    <x v="4"/>
    <m/>
    <m/>
    <n v="0"/>
    <n v="0"/>
    <m/>
    <m/>
    <n v="0"/>
    <m/>
    <n v="0"/>
    <n v="0"/>
    <m/>
  </r>
  <r>
    <n v="1825"/>
    <s v=""/>
    <s v="0"/>
    <m/>
    <s v="0"/>
    <m/>
    <x v="4"/>
    <x v="8"/>
    <x v="4"/>
    <m/>
    <m/>
    <n v="0"/>
    <n v="0"/>
    <m/>
    <m/>
    <n v="0"/>
    <m/>
    <n v="0"/>
    <n v="0"/>
    <m/>
  </r>
  <r>
    <n v="1826"/>
    <s v=""/>
    <s v="0"/>
    <m/>
    <s v="0"/>
    <m/>
    <x v="4"/>
    <x v="8"/>
    <x v="4"/>
    <m/>
    <m/>
    <n v="0"/>
    <n v="0"/>
    <m/>
    <m/>
    <n v="0"/>
    <m/>
    <n v="0"/>
    <n v="0"/>
    <m/>
  </r>
  <r>
    <n v="1827"/>
    <s v=""/>
    <s v="0"/>
    <m/>
    <s v="0"/>
    <m/>
    <x v="4"/>
    <x v="8"/>
    <x v="4"/>
    <m/>
    <m/>
    <n v="0"/>
    <n v="0"/>
    <m/>
    <m/>
    <n v="0"/>
    <m/>
    <n v="0"/>
    <n v="0"/>
    <m/>
  </r>
  <r>
    <n v="1828"/>
    <s v=""/>
    <s v="0"/>
    <m/>
    <s v="0"/>
    <m/>
    <x v="4"/>
    <x v="8"/>
    <x v="4"/>
    <m/>
    <m/>
    <n v="0"/>
    <n v="0"/>
    <m/>
    <m/>
    <n v="0"/>
    <m/>
    <n v="0"/>
    <n v="0"/>
    <m/>
  </r>
  <r>
    <n v="1829"/>
    <s v=""/>
    <s v="0"/>
    <m/>
    <s v="0"/>
    <m/>
    <x v="4"/>
    <x v="8"/>
    <x v="4"/>
    <m/>
    <m/>
    <n v="0"/>
    <n v="0"/>
    <m/>
    <m/>
    <n v="0"/>
    <m/>
    <n v="0"/>
    <n v="0"/>
    <m/>
  </r>
  <r>
    <n v="1830"/>
    <s v=""/>
    <s v="0"/>
    <m/>
    <s v="0"/>
    <m/>
    <x v="4"/>
    <x v="8"/>
    <x v="4"/>
    <m/>
    <m/>
    <n v="0"/>
    <n v="0"/>
    <m/>
    <m/>
    <n v="0"/>
    <m/>
    <n v="0"/>
    <n v="0"/>
    <m/>
  </r>
  <r>
    <n v="1831"/>
    <s v=""/>
    <s v="0"/>
    <m/>
    <s v="0"/>
    <m/>
    <x v="4"/>
    <x v="8"/>
    <x v="4"/>
    <m/>
    <m/>
    <n v="0"/>
    <n v="0"/>
    <m/>
    <m/>
    <n v="0"/>
    <m/>
    <n v="0"/>
    <n v="0"/>
    <m/>
  </r>
  <r>
    <n v="1832"/>
    <s v=""/>
    <s v="0"/>
    <m/>
    <s v="0"/>
    <m/>
    <x v="4"/>
    <x v="8"/>
    <x v="4"/>
    <m/>
    <m/>
    <n v="0"/>
    <n v="0"/>
    <m/>
    <m/>
    <n v="0"/>
    <m/>
    <n v="0"/>
    <n v="0"/>
    <m/>
  </r>
  <r>
    <n v="1833"/>
    <s v=""/>
    <s v="0"/>
    <m/>
    <s v="0"/>
    <m/>
    <x v="4"/>
    <x v="8"/>
    <x v="4"/>
    <m/>
    <m/>
    <n v="0"/>
    <n v="0"/>
    <m/>
    <m/>
    <n v="0"/>
    <m/>
    <n v="0"/>
    <n v="0"/>
    <m/>
  </r>
  <r>
    <n v="1834"/>
    <s v=""/>
    <s v="0"/>
    <m/>
    <s v="0"/>
    <m/>
    <x v="4"/>
    <x v="8"/>
    <x v="4"/>
    <m/>
    <m/>
    <n v="0"/>
    <n v="0"/>
    <m/>
    <m/>
    <n v="0"/>
    <m/>
    <n v="0"/>
    <n v="0"/>
    <m/>
  </r>
  <r>
    <n v="1835"/>
    <s v=""/>
    <s v="0"/>
    <m/>
    <s v="0"/>
    <m/>
    <x v="4"/>
    <x v="8"/>
    <x v="4"/>
    <m/>
    <m/>
    <n v="0"/>
    <n v="0"/>
    <m/>
    <m/>
    <n v="0"/>
    <m/>
    <n v="0"/>
    <n v="0"/>
    <m/>
  </r>
  <r>
    <n v="1836"/>
    <s v=""/>
    <s v="0"/>
    <m/>
    <s v="0"/>
    <m/>
    <x v="4"/>
    <x v="8"/>
    <x v="4"/>
    <m/>
    <m/>
    <n v="0"/>
    <n v="0"/>
    <m/>
    <m/>
    <n v="0"/>
    <m/>
    <n v="0"/>
    <n v="0"/>
    <m/>
  </r>
  <r>
    <n v="1837"/>
    <s v=""/>
    <s v="0"/>
    <m/>
    <s v="0"/>
    <m/>
    <x v="4"/>
    <x v="8"/>
    <x v="4"/>
    <m/>
    <m/>
    <n v="0"/>
    <n v="0"/>
    <m/>
    <m/>
    <n v="0"/>
    <m/>
    <n v="0"/>
    <n v="0"/>
    <m/>
  </r>
  <r>
    <n v="1838"/>
    <s v=""/>
    <s v="0"/>
    <m/>
    <s v="0"/>
    <m/>
    <x v="4"/>
    <x v="8"/>
    <x v="4"/>
    <m/>
    <m/>
    <n v="0"/>
    <n v="0"/>
    <m/>
    <m/>
    <n v="0"/>
    <m/>
    <n v="0"/>
    <n v="0"/>
    <m/>
  </r>
  <r>
    <n v="1839"/>
    <s v=""/>
    <s v="0"/>
    <m/>
    <s v="0"/>
    <m/>
    <x v="4"/>
    <x v="8"/>
    <x v="4"/>
    <m/>
    <m/>
    <n v="0"/>
    <n v="0"/>
    <m/>
    <m/>
    <n v="0"/>
    <m/>
    <n v="0"/>
    <n v="0"/>
    <m/>
  </r>
  <r>
    <n v="1840"/>
    <s v=""/>
    <s v="0"/>
    <m/>
    <s v="0"/>
    <m/>
    <x v="4"/>
    <x v="8"/>
    <x v="4"/>
    <m/>
    <m/>
    <n v="0"/>
    <n v="0"/>
    <m/>
    <m/>
    <n v="0"/>
    <m/>
    <n v="0"/>
    <n v="0"/>
    <m/>
  </r>
  <r>
    <n v="1841"/>
    <s v=""/>
    <s v="0"/>
    <m/>
    <s v="0"/>
    <m/>
    <x v="4"/>
    <x v="8"/>
    <x v="4"/>
    <m/>
    <m/>
    <n v="0"/>
    <n v="0"/>
    <m/>
    <m/>
    <n v="0"/>
    <m/>
    <n v="0"/>
    <n v="0"/>
    <m/>
  </r>
  <r>
    <n v="1842"/>
    <s v=""/>
    <s v="0"/>
    <m/>
    <s v="0"/>
    <m/>
    <x v="4"/>
    <x v="8"/>
    <x v="4"/>
    <m/>
    <m/>
    <n v="0"/>
    <n v="0"/>
    <m/>
    <m/>
    <n v="0"/>
    <m/>
    <n v="0"/>
    <n v="0"/>
    <m/>
  </r>
  <r>
    <n v="1843"/>
    <s v=""/>
    <s v="0"/>
    <m/>
    <s v="0"/>
    <m/>
    <x v="4"/>
    <x v="8"/>
    <x v="4"/>
    <m/>
    <m/>
    <n v="0"/>
    <n v="0"/>
    <m/>
    <m/>
    <n v="0"/>
    <m/>
    <n v="0"/>
    <n v="0"/>
    <m/>
  </r>
  <r>
    <n v="1844"/>
    <s v=""/>
    <s v="0"/>
    <m/>
    <s v="0"/>
    <m/>
    <x v="4"/>
    <x v="8"/>
    <x v="4"/>
    <m/>
    <m/>
    <n v="0"/>
    <n v="0"/>
    <m/>
    <m/>
    <n v="0"/>
    <m/>
    <n v="0"/>
    <n v="0"/>
    <m/>
  </r>
  <r>
    <n v="1845"/>
    <s v=""/>
    <s v="0"/>
    <m/>
    <s v="0"/>
    <m/>
    <x v="4"/>
    <x v="8"/>
    <x v="4"/>
    <m/>
    <m/>
    <n v="0"/>
    <n v="0"/>
    <m/>
    <m/>
    <n v="0"/>
    <m/>
    <n v="0"/>
    <n v="0"/>
    <m/>
  </r>
  <r>
    <n v="1846"/>
    <s v=""/>
    <s v="0"/>
    <m/>
    <s v="0"/>
    <m/>
    <x v="4"/>
    <x v="8"/>
    <x v="4"/>
    <m/>
    <m/>
    <n v="0"/>
    <n v="0"/>
    <m/>
    <m/>
    <n v="0"/>
    <m/>
    <n v="0"/>
    <n v="0"/>
    <m/>
  </r>
  <r>
    <n v="1847"/>
    <s v=""/>
    <s v="0"/>
    <m/>
    <s v="0"/>
    <m/>
    <x v="4"/>
    <x v="8"/>
    <x v="4"/>
    <m/>
    <m/>
    <n v="0"/>
    <n v="0"/>
    <m/>
    <m/>
    <n v="0"/>
    <m/>
    <n v="0"/>
    <n v="0"/>
    <m/>
  </r>
  <r>
    <n v="1848"/>
    <s v=""/>
    <s v="0"/>
    <m/>
    <s v="0"/>
    <m/>
    <x v="4"/>
    <x v="8"/>
    <x v="4"/>
    <m/>
    <m/>
    <n v="0"/>
    <n v="0"/>
    <m/>
    <m/>
    <n v="0"/>
    <m/>
    <n v="0"/>
    <n v="0"/>
    <m/>
  </r>
  <r>
    <n v="1849"/>
    <s v=""/>
    <s v="0"/>
    <m/>
    <s v="0"/>
    <m/>
    <x v="4"/>
    <x v="8"/>
    <x v="4"/>
    <m/>
    <m/>
    <n v="0"/>
    <n v="0"/>
    <m/>
    <m/>
    <n v="0"/>
    <m/>
    <n v="0"/>
    <n v="0"/>
    <m/>
  </r>
  <r>
    <n v="1850"/>
    <s v=""/>
    <s v="0"/>
    <m/>
    <s v="0"/>
    <m/>
    <x v="4"/>
    <x v="8"/>
    <x v="4"/>
    <m/>
    <m/>
    <n v="0"/>
    <n v="0"/>
    <m/>
    <m/>
    <n v="0"/>
    <m/>
    <n v="0"/>
    <n v="0"/>
    <m/>
  </r>
  <r>
    <n v="1851"/>
    <s v=""/>
    <s v="0"/>
    <m/>
    <s v="0"/>
    <m/>
    <x v="4"/>
    <x v="8"/>
    <x v="4"/>
    <m/>
    <m/>
    <n v="0"/>
    <n v="0"/>
    <m/>
    <m/>
    <n v="0"/>
    <m/>
    <n v="0"/>
    <n v="0"/>
    <m/>
  </r>
  <r>
    <n v="1852"/>
    <s v=""/>
    <s v="0"/>
    <m/>
    <s v="0"/>
    <m/>
    <x v="4"/>
    <x v="8"/>
    <x v="4"/>
    <m/>
    <m/>
    <n v="0"/>
    <n v="0"/>
    <m/>
    <m/>
    <n v="0"/>
    <m/>
    <n v="0"/>
    <n v="0"/>
    <m/>
  </r>
  <r>
    <n v="1853"/>
    <s v=""/>
    <s v="0"/>
    <m/>
    <s v="0"/>
    <m/>
    <x v="4"/>
    <x v="8"/>
    <x v="4"/>
    <m/>
    <m/>
    <n v="0"/>
    <n v="0"/>
    <m/>
    <m/>
    <n v="0"/>
    <m/>
    <n v="0"/>
    <n v="0"/>
    <m/>
  </r>
  <r>
    <n v="1854"/>
    <s v=""/>
    <s v="0"/>
    <m/>
    <s v="0"/>
    <m/>
    <x v="4"/>
    <x v="8"/>
    <x v="4"/>
    <m/>
    <m/>
    <n v="0"/>
    <n v="0"/>
    <m/>
    <m/>
    <n v="0"/>
    <m/>
    <n v="0"/>
    <n v="0"/>
    <m/>
  </r>
  <r>
    <n v="1855"/>
    <s v=""/>
    <s v="0"/>
    <m/>
    <s v="0"/>
    <m/>
    <x v="4"/>
    <x v="8"/>
    <x v="4"/>
    <m/>
    <m/>
    <n v="0"/>
    <n v="0"/>
    <m/>
    <m/>
    <n v="0"/>
    <m/>
    <n v="0"/>
    <n v="0"/>
    <m/>
  </r>
  <r>
    <n v="1856"/>
    <s v=""/>
    <s v="0"/>
    <m/>
    <s v="0"/>
    <m/>
    <x v="4"/>
    <x v="8"/>
    <x v="4"/>
    <m/>
    <m/>
    <n v="0"/>
    <n v="0"/>
    <m/>
    <m/>
    <n v="0"/>
    <m/>
    <n v="0"/>
    <n v="0"/>
    <m/>
  </r>
  <r>
    <n v="1857"/>
    <s v=""/>
    <s v="0"/>
    <m/>
    <s v="0"/>
    <m/>
    <x v="4"/>
    <x v="8"/>
    <x v="4"/>
    <m/>
    <m/>
    <n v="0"/>
    <n v="0"/>
    <m/>
    <m/>
    <n v="0"/>
    <m/>
    <n v="0"/>
    <n v="0"/>
    <m/>
  </r>
  <r>
    <n v="1858"/>
    <s v=""/>
    <s v="0"/>
    <m/>
    <s v="0"/>
    <m/>
    <x v="4"/>
    <x v="8"/>
    <x v="4"/>
    <m/>
    <m/>
    <n v="0"/>
    <n v="0"/>
    <m/>
    <m/>
    <n v="0"/>
    <m/>
    <n v="0"/>
    <n v="0"/>
    <m/>
  </r>
  <r>
    <n v="1859"/>
    <s v=""/>
    <s v="0"/>
    <m/>
    <s v="0"/>
    <m/>
    <x v="4"/>
    <x v="8"/>
    <x v="4"/>
    <m/>
    <m/>
    <n v="0"/>
    <n v="0"/>
    <m/>
    <m/>
    <n v="0"/>
    <m/>
    <n v="0"/>
    <n v="0"/>
    <m/>
  </r>
  <r>
    <n v="1860"/>
    <s v=""/>
    <s v="0"/>
    <m/>
    <s v="0"/>
    <m/>
    <x v="4"/>
    <x v="8"/>
    <x v="4"/>
    <m/>
    <m/>
    <n v="0"/>
    <n v="0"/>
    <m/>
    <m/>
    <n v="0"/>
    <m/>
    <n v="0"/>
    <n v="0"/>
    <m/>
  </r>
  <r>
    <n v="1861"/>
    <s v=""/>
    <s v="0"/>
    <m/>
    <s v="0"/>
    <m/>
    <x v="4"/>
    <x v="8"/>
    <x v="4"/>
    <m/>
    <m/>
    <n v="0"/>
    <n v="0"/>
    <m/>
    <m/>
    <n v="0"/>
    <m/>
    <n v="0"/>
    <n v="0"/>
    <m/>
  </r>
  <r>
    <n v="1862"/>
    <s v=""/>
    <s v="0"/>
    <m/>
    <s v="0"/>
    <m/>
    <x v="4"/>
    <x v="8"/>
    <x v="4"/>
    <m/>
    <m/>
    <n v="0"/>
    <n v="0"/>
    <m/>
    <m/>
    <n v="0"/>
    <m/>
    <n v="0"/>
    <n v="0"/>
    <m/>
  </r>
  <r>
    <n v="1863"/>
    <s v=""/>
    <s v="0"/>
    <m/>
    <s v="0"/>
    <m/>
    <x v="4"/>
    <x v="8"/>
    <x v="4"/>
    <m/>
    <m/>
    <n v="0"/>
    <n v="0"/>
    <m/>
    <m/>
    <n v="0"/>
    <m/>
    <n v="0"/>
    <n v="0"/>
    <m/>
  </r>
  <r>
    <n v="1864"/>
    <s v=""/>
    <s v="0"/>
    <m/>
    <s v="0"/>
    <m/>
    <x v="4"/>
    <x v="8"/>
    <x v="4"/>
    <m/>
    <m/>
    <n v="0"/>
    <n v="0"/>
    <m/>
    <m/>
    <n v="0"/>
    <m/>
    <n v="0"/>
    <n v="0"/>
    <m/>
  </r>
  <r>
    <n v="1865"/>
    <s v=""/>
    <s v="0"/>
    <m/>
    <s v="0"/>
    <m/>
    <x v="4"/>
    <x v="8"/>
    <x v="4"/>
    <m/>
    <m/>
    <n v="0"/>
    <n v="0"/>
    <m/>
    <m/>
    <n v="0"/>
    <m/>
    <n v="0"/>
    <n v="0"/>
    <m/>
  </r>
  <r>
    <n v="1866"/>
    <s v=""/>
    <s v="0"/>
    <m/>
    <s v="0"/>
    <m/>
    <x v="4"/>
    <x v="8"/>
    <x v="4"/>
    <m/>
    <m/>
    <n v="0"/>
    <n v="0"/>
    <m/>
    <m/>
    <n v="0"/>
    <m/>
    <n v="0"/>
    <n v="0"/>
    <m/>
  </r>
  <r>
    <n v="1867"/>
    <s v=""/>
    <s v="0"/>
    <m/>
    <s v="0"/>
    <m/>
    <x v="4"/>
    <x v="8"/>
    <x v="4"/>
    <m/>
    <m/>
    <n v="0"/>
    <n v="0"/>
    <m/>
    <m/>
    <n v="0"/>
    <m/>
    <n v="0"/>
    <n v="0"/>
    <m/>
  </r>
  <r>
    <n v="1868"/>
    <s v=""/>
    <s v="0"/>
    <m/>
    <s v="0"/>
    <m/>
    <x v="4"/>
    <x v="8"/>
    <x v="4"/>
    <m/>
    <m/>
    <n v="0"/>
    <n v="0"/>
    <m/>
    <m/>
    <n v="0"/>
    <m/>
    <n v="0"/>
    <n v="0"/>
    <m/>
  </r>
  <r>
    <n v="1869"/>
    <s v=""/>
    <s v="0"/>
    <m/>
    <s v="0"/>
    <m/>
    <x v="4"/>
    <x v="8"/>
    <x v="4"/>
    <m/>
    <m/>
    <n v="0"/>
    <n v="0"/>
    <m/>
    <m/>
    <n v="0"/>
    <m/>
    <n v="0"/>
    <n v="0"/>
    <m/>
  </r>
  <r>
    <n v="1870"/>
    <s v=""/>
    <s v="0"/>
    <m/>
    <s v="0"/>
    <m/>
    <x v="4"/>
    <x v="8"/>
    <x v="4"/>
    <m/>
    <m/>
    <n v="0"/>
    <n v="0"/>
    <m/>
    <m/>
    <n v="0"/>
    <m/>
    <n v="0"/>
    <n v="0"/>
    <m/>
  </r>
  <r>
    <n v="1871"/>
    <s v=""/>
    <s v="0"/>
    <m/>
    <s v="0"/>
    <m/>
    <x v="4"/>
    <x v="8"/>
    <x v="4"/>
    <m/>
    <m/>
    <n v="0"/>
    <n v="0"/>
    <m/>
    <m/>
    <n v="0"/>
    <m/>
    <n v="0"/>
    <n v="0"/>
    <m/>
  </r>
  <r>
    <n v="1872"/>
    <s v=""/>
    <s v="0"/>
    <m/>
    <s v="0"/>
    <m/>
    <x v="4"/>
    <x v="8"/>
    <x v="4"/>
    <m/>
    <m/>
    <n v="0"/>
    <n v="0"/>
    <m/>
    <m/>
    <n v="0"/>
    <m/>
    <n v="0"/>
    <n v="0"/>
    <m/>
  </r>
  <r>
    <n v="1873"/>
    <s v=""/>
    <s v="0"/>
    <m/>
    <s v="0"/>
    <m/>
    <x v="4"/>
    <x v="8"/>
    <x v="4"/>
    <m/>
    <m/>
    <n v="0"/>
    <n v="0"/>
    <m/>
    <m/>
    <n v="0"/>
    <m/>
    <n v="0"/>
    <n v="0"/>
    <m/>
  </r>
  <r>
    <n v="1874"/>
    <s v=""/>
    <s v="0"/>
    <m/>
    <s v="0"/>
    <m/>
    <x v="4"/>
    <x v="8"/>
    <x v="4"/>
    <m/>
    <m/>
    <n v="0"/>
    <n v="0"/>
    <m/>
    <m/>
    <n v="0"/>
    <m/>
    <n v="0"/>
    <n v="0"/>
    <m/>
  </r>
  <r>
    <n v="1875"/>
    <s v=""/>
    <s v="0"/>
    <m/>
    <s v="0"/>
    <m/>
    <x v="4"/>
    <x v="8"/>
    <x v="4"/>
    <m/>
    <m/>
    <n v="0"/>
    <n v="0"/>
    <m/>
    <m/>
    <n v="0"/>
    <m/>
    <n v="0"/>
    <n v="0"/>
    <m/>
  </r>
  <r>
    <n v="1876"/>
    <s v=""/>
    <s v="0"/>
    <m/>
    <s v="0"/>
    <m/>
    <x v="4"/>
    <x v="8"/>
    <x v="4"/>
    <m/>
    <m/>
    <n v="0"/>
    <n v="0"/>
    <m/>
    <m/>
    <n v="0"/>
    <m/>
    <n v="0"/>
    <n v="0"/>
    <m/>
  </r>
  <r>
    <n v="1877"/>
    <s v=""/>
    <s v="0"/>
    <m/>
    <s v="0"/>
    <m/>
    <x v="4"/>
    <x v="8"/>
    <x v="4"/>
    <m/>
    <m/>
    <n v="0"/>
    <n v="0"/>
    <m/>
    <m/>
    <n v="0"/>
    <m/>
    <n v="0"/>
    <n v="0"/>
    <m/>
  </r>
  <r>
    <n v="1878"/>
    <s v=""/>
    <s v="0"/>
    <m/>
    <s v="0"/>
    <m/>
    <x v="4"/>
    <x v="8"/>
    <x v="4"/>
    <m/>
    <m/>
    <n v="0"/>
    <n v="0"/>
    <m/>
    <m/>
    <n v="0"/>
    <m/>
    <n v="0"/>
    <n v="0"/>
    <m/>
  </r>
  <r>
    <n v="1879"/>
    <s v=""/>
    <s v="0"/>
    <m/>
    <s v="0"/>
    <m/>
    <x v="4"/>
    <x v="8"/>
    <x v="4"/>
    <m/>
    <m/>
    <n v="0"/>
    <n v="0"/>
    <m/>
    <m/>
    <n v="0"/>
    <m/>
    <n v="0"/>
    <n v="0"/>
    <m/>
  </r>
  <r>
    <n v="1880"/>
    <s v=""/>
    <s v="0"/>
    <m/>
    <s v="0"/>
    <m/>
    <x v="4"/>
    <x v="8"/>
    <x v="4"/>
    <m/>
    <m/>
    <n v="0"/>
    <n v="0"/>
    <m/>
    <m/>
    <n v="0"/>
    <m/>
    <n v="0"/>
    <n v="0"/>
    <m/>
  </r>
  <r>
    <n v="1881"/>
    <s v=""/>
    <s v="0"/>
    <m/>
    <s v="0"/>
    <m/>
    <x v="4"/>
    <x v="8"/>
    <x v="4"/>
    <m/>
    <m/>
    <n v="0"/>
    <n v="0"/>
    <m/>
    <m/>
    <n v="0"/>
    <m/>
    <n v="0"/>
    <n v="0"/>
    <m/>
  </r>
  <r>
    <n v="1882"/>
    <s v=""/>
    <s v="0"/>
    <m/>
    <s v="0"/>
    <m/>
    <x v="4"/>
    <x v="8"/>
    <x v="4"/>
    <m/>
    <m/>
    <n v="0"/>
    <n v="0"/>
    <m/>
    <m/>
    <n v="0"/>
    <m/>
    <n v="0"/>
    <n v="0"/>
    <m/>
  </r>
  <r>
    <n v="1883"/>
    <s v=""/>
    <s v="0"/>
    <m/>
    <s v="0"/>
    <m/>
    <x v="4"/>
    <x v="8"/>
    <x v="4"/>
    <m/>
    <m/>
    <n v="0"/>
    <n v="0"/>
    <m/>
    <m/>
    <n v="0"/>
    <m/>
    <n v="0"/>
    <n v="0"/>
    <m/>
  </r>
  <r>
    <n v="1884"/>
    <s v=""/>
    <s v="0"/>
    <m/>
    <s v="0"/>
    <m/>
    <x v="4"/>
    <x v="8"/>
    <x v="4"/>
    <m/>
    <m/>
    <n v="0"/>
    <n v="0"/>
    <m/>
    <m/>
    <n v="0"/>
    <m/>
    <n v="0"/>
    <n v="0"/>
    <m/>
  </r>
  <r>
    <n v="1885"/>
    <s v=""/>
    <s v="0"/>
    <m/>
    <s v="0"/>
    <m/>
    <x v="4"/>
    <x v="8"/>
    <x v="4"/>
    <m/>
    <m/>
    <n v="0"/>
    <n v="0"/>
    <m/>
    <m/>
    <n v="0"/>
    <m/>
    <n v="0"/>
    <n v="0"/>
    <m/>
  </r>
  <r>
    <n v="1886"/>
    <s v=""/>
    <s v="0"/>
    <m/>
    <s v="0"/>
    <m/>
    <x v="4"/>
    <x v="8"/>
    <x v="4"/>
    <m/>
    <m/>
    <n v="0"/>
    <n v="0"/>
    <m/>
    <m/>
    <n v="0"/>
    <m/>
    <n v="0"/>
    <n v="0"/>
    <m/>
  </r>
  <r>
    <n v="1887"/>
    <s v=""/>
    <s v="0"/>
    <m/>
    <s v="0"/>
    <m/>
    <x v="4"/>
    <x v="8"/>
    <x v="4"/>
    <m/>
    <m/>
    <n v="0"/>
    <n v="0"/>
    <m/>
    <m/>
    <n v="0"/>
    <m/>
    <n v="0"/>
    <n v="0"/>
    <m/>
  </r>
  <r>
    <n v="1888"/>
    <s v=""/>
    <s v="0"/>
    <m/>
    <s v="0"/>
    <m/>
    <x v="4"/>
    <x v="8"/>
    <x v="4"/>
    <m/>
    <m/>
    <n v="0"/>
    <n v="0"/>
    <m/>
    <m/>
    <n v="0"/>
    <m/>
    <n v="0"/>
    <n v="0"/>
    <m/>
  </r>
  <r>
    <n v="1889"/>
    <s v=""/>
    <s v="0"/>
    <m/>
    <s v="0"/>
    <m/>
    <x v="4"/>
    <x v="8"/>
    <x v="4"/>
    <m/>
    <m/>
    <n v="0"/>
    <n v="0"/>
    <m/>
    <m/>
    <n v="0"/>
    <m/>
    <n v="0"/>
    <n v="0"/>
    <m/>
  </r>
  <r>
    <n v="1890"/>
    <s v=""/>
    <s v="0"/>
    <m/>
    <s v="0"/>
    <m/>
    <x v="4"/>
    <x v="8"/>
    <x v="4"/>
    <m/>
    <m/>
    <n v="0"/>
    <n v="0"/>
    <m/>
    <m/>
    <n v="0"/>
    <m/>
    <n v="0"/>
    <n v="0"/>
    <m/>
  </r>
  <r>
    <n v="1891"/>
    <s v=""/>
    <s v="0"/>
    <m/>
    <s v="0"/>
    <m/>
    <x v="4"/>
    <x v="8"/>
    <x v="4"/>
    <m/>
    <m/>
    <n v="0"/>
    <n v="0"/>
    <m/>
    <m/>
    <n v="0"/>
    <m/>
    <n v="0"/>
    <n v="0"/>
    <m/>
  </r>
  <r>
    <n v="1892"/>
    <s v=""/>
    <s v="0"/>
    <m/>
    <s v="0"/>
    <m/>
    <x v="4"/>
    <x v="8"/>
    <x v="4"/>
    <m/>
    <m/>
    <n v="0"/>
    <n v="0"/>
    <m/>
    <m/>
    <n v="0"/>
    <m/>
    <n v="0"/>
    <n v="0"/>
    <m/>
  </r>
  <r>
    <n v="1893"/>
    <s v=""/>
    <s v="0"/>
    <m/>
    <s v="0"/>
    <m/>
    <x v="4"/>
    <x v="8"/>
    <x v="4"/>
    <m/>
    <m/>
    <n v="0"/>
    <n v="0"/>
    <m/>
    <m/>
    <n v="0"/>
    <m/>
    <n v="0"/>
    <n v="0"/>
    <m/>
  </r>
  <r>
    <n v="1894"/>
    <s v=""/>
    <s v="0"/>
    <m/>
    <s v="0"/>
    <m/>
    <x v="4"/>
    <x v="8"/>
    <x v="4"/>
    <m/>
    <m/>
    <n v="0"/>
    <n v="0"/>
    <m/>
    <m/>
    <n v="0"/>
    <m/>
    <n v="0"/>
    <n v="0"/>
    <m/>
  </r>
  <r>
    <n v="1895"/>
    <s v=""/>
    <s v="0"/>
    <m/>
    <s v="0"/>
    <m/>
    <x v="4"/>
    <x v="8"/>
    <x v="4"/>
    <m/>
    <m/>
    <n v="0"/>
    <n v="0"/>
    <m/>
    <m/>
    <n v="0"/>
    <m/>
    <n v="0"/>
    <n v="0"/>
    <m/>
  </r>
  <r>
    <n v="1896"/>
    <s v=""/>
    <s v="0"/>
    <m/>
    <s v="0"/>
    <m/>
    <x v="4"/>
    <x v="8"/>
    <x v="4"/>
    <m/>
    <m/>
    <n v="0"/>
    <n v="0"/>
    <m/>
    <m/>
    <n v="0"/>
    <m/>
    <n v="0"/>
    <n v="0"/>
    <m/>
  </r>
  <r>
    <n v="1897"/>
    <s v=""/>
    <s v="0"/>
    <m/>
    <s v="0"/>
    <m/>
    <x v="4"/>
    <x v="8"/>
    <x v="4"/>
    <m/>
    <m/>
    <n v="0"/>
    <n v="0"/>
    <m/>
    <m/>
    <n v="0"/>
    <m/>
    <n v="0"/>
    <n v="0"/>
    <m/>
  </r>
  <r>
    <n v="1898"/>
    <s v=""/>
    <s v="0"/>
    <m/>
    <s v="0"/>
    <m/>
    <x v="4"/>
    <x v="8"/>
    <x v="4"/>
    <m/>
    <m/>
    <n v="0"/>
    <n v="0"/>
    <m/>
    <m/>
    <n v="0"/>
    <m/>
    <n v="0"/>
    <n v="0"/>
    <m/>
  </r>
  <r>
    <n v="1899"/>
    <s v=""/>
    <s v="0"/>
    <m/>
    <s v="0"/>
    <m/>
    <x v="4"/>
    <x v="8"/>
    <x v="4"/>
    <m/>
    <m/>
    <n v="0"/>
    <n v="0"/>
    <m/>
    <m/>
    <n v="0"/>
    <m/>
    <n v="0"/>
    <n v="0"/>
    <m/>
  </r>
  <r>
    <n v="1900"/>
    <s v=""/>
    <s v="0"/>
    <m/>
    <s v="0"/>
    <m/>
    <x v="4"/>
    <x v="8"/>
    <x v="4"/>
    <m/>
    <m/>
    <n v="0"/>
    <n v="0"/>
    <m/>
    <m/>
    <n v="0"/>
    <m/>
    <n v="0"/>
    <n v="0"/>
    <m/>
  </r>
  <r>
    <n v="1901"/>
    <s v=""/>
    <s v="0"/>
    <m/>
    <s v="0"/>
    <m/>
    <x v="4"/>
    <x v="8"/>
    <x v="4"/>
    <m/>
    <m/>
    <n v="0"/>
    <n v="0"/>
    <m/>
    <m/>
    <n v="0"/>
    <m/>
    <n v="0"/>
    <n v="0"/>
    <m/>
  </r>
  <r>
    <n v="1902"/>
    <s v=""/>
    <s v="0"/>
    <m/>
    <s v="0"/>
    <m/>
    <x v="4"/>
    <x v="8"/>
    <x v="4"/>
    <m/>
    <m/>
    <n v="0"/>
    <n v="0"/>
    <m/>
    <m/>
    <n v="0"/>
    <m/>
    <n v="0"/>
    <n v="0"/>
    <m/>
  </r>
  <r>
    <n v="1903"/>
    <s v=""/>
    <s v="0"/>
    <m/>
    <s v="0"/>
    <m/>
    <x v="4"/>
    <x v="8"/>
    <x v="4"/>
    <m/>
    <m/>
    <n v="0"/>
    <n v="0"/>
    <m/>
    <m/>
    <n v="0"/>
    <m/>
    <n v="0"/>
    <n v="0"/>
    <m/>
  </r>
  <r>
    <n v="1904"/>
    <s v=""/>
    <s v="0"/>
    <m/>
    <s v="0"/>
    <m/>
    <x v="4"/>
    <x v="8"/>
    <x v="4"/>
    <m/>
    <m/>
    <n v="0"/>
    <n v="0"/>
    <m/>
    <m/>
    <n v="0"/>
    <m/>
    <n v="0"/>
    <n v="0"/>
    <m/>
  </r>
  <r>
    <n v="1905"/>
    <s v=""/>
    <s v="0"/>
    <m/>
    <s v="0"/>
    <m/>
    <x v="4"/>
    <x v="8"/>
    <x v="4"/>
    <m/>
    <m/>
    <n v="0"/>
    <n v="0"/>
    <m/>
    <m/>
    <n v="0"/>
    <m/>
    <n v="0"/>
    <n v="0"/>
    <m/>
  </r>
  <r>
    <n v="1906"/>
    <s v=""/>
    <s v="0"/>
    <m/>
    <s v="0"/>
    <m/>
    <x v="4"/>
    <x v="8"/>
    <x v="4"/>
    <m/>
    <m/>
    <n v="0"/>
    <n v="0"/>
    <m/>
    <m/>
    <n v="0"/>
    <m/>
    <n v="0"/>
    <n v="0"/>
    <m/>
  </r>
  <r>
    <n v="1907"/>
    <s v=""/>
    <s v="0"/>
    <m/>
    <s v="0"/>
    <m/>
    <x v="4"/>
    <x v="8"/>
    <x v="4"/>
    <m/>
    <m/>
    <n v="0"/>
    <n v="0"/>
    <m/>
    <m/>
    <n v="0"/>
    <m/>
    <n v="0"/>
    <n v="0"/>
    <m/>
  </r>
  <r>
    <n v="1908"/>
    <s v=""/>
    <s v="0"/>
    <m/>
    <s v="0"/>
    <m/>
    <x v="4"/>
    <x v="8"/>
    <x v="4"/>
    <m/>
    <m/>
    <n v="0"/>
    <n v="0"/>
    <m/>
    <m/>
    <n v="0"/>
    <m/>
    <n v="0"/>
    <n v="0"/>
    <m/>
  </r>
  <r>
    <n v="1909"/>
    <s v=""/>
    <s v="0"/>
    <m/>
    <s v="0"/>
    <m/>
    <x v="4"/>
    <x v="8"/>
    <x v="4"/>
    <m/>
    <m/>
    <n v="0"/>
    <n v="0"/>
    <m/>
    <m/>
    <n v="0"/>
    <m/>
    <n v="0"/>
    <n v="0"/>
    <m/>
  </r>
  <r>
    <n v="1910"/>
    <s v=""/>
    <s v="0"/>
    <m/>
    <s v="0"/>
    <m/>
    <x v="4"/>
    <x v="8"/>
    <x v="4"/>
    <m/>
    <m/>
    <n v="0"/>
    <n v="0"/>
    <m/>
    <m/>
    <n v="0"/>
    <m/>
    <n v="0"/>
    <n v="0"/>
    <m/>
  </r>
  <r>
    <n v="1911"/>
    <s v=""/>
    <s v="0"/>
    <m/>
    <s v="0"/>
    <m/>
    <x v="4"/>
    <x v="8"/>
    <x v="4"/>
    <m/>
    <m/>
    <n v="0"/>
    <n v="0"/>
    <m/>
    <m/>
    <n v="0"/>
    <m/>
    <n v="0"/>
    <n v="0"/>
    <m/>
  </r>
  <r>
    <n v="1912"/>
    <s v=""/>
    <s v="0"/>
    <m/>
    <s v="0"/>
    <m/>
    <x v="4"/>
    <x v="8"/>
    <x v="4"/>
    <m/>
    <m/>
    <n v="0"/>
    <n v="0"/>
    <m/>
    <m/>
    <n v="0"/>
    <m/>
    <n v="0"/>
    <n v="0"/>
    <m/>
  </r>
  <r>
    <n v="1913"/>
    <s v=""/>
    <s v="0"/>
    <m/>
    <s v="0"/>
    <m/>
    <x v="4"/>
    <x v="8"/>
    <x v="4"/>
    <m/>
    <m/>
    <n v="0"/>
    <n v="0"/>
    <m/>
    <m/>
    <n v="0"/>
    <m/>
    <n v="0"/>
    <n v="0"/>
    <m/>
  </r>
  <r>
    <n v="1914"/>
    <s v=""/>
    <s v="0"/>
    <m/>
    <s v="0"/>
    <m/>
    <x v="4"/>
    <x v="8"/>
    <x v="4"/>
    <m/>
    <m/>
    <n v="0"/>
    <n v="0"/>
    <m/>
    <m/>
    <n v="0"/>
    <m/>
    <n v="0"/>
    <n v="0"/>
    <m/>
  </r>
  <r>
    <n v="1915"/>
    <s v=""/>
    <s v="0"/>
    <m/>
    <s v="0"/>
    <m/>
    <x v="4"/>
    <x v="8"/>
    <x v="4"/>
    <m/>
    <m/>
    <n v="0"/>
    <n v="0"/>
    <m/>
    <m/>
    <n v="0"/>
    <m/>
    <n v="0"/>
    <n v="0"/>
    <m/>
  </r>
  <r>
    <n v="1916"/>
    <s v=""/>
    <s v="0"/>
    <m/>
    <s v="0"/>
    <m/>
    <x v="4"/>
    <x v="8"/>
    <x v="4"/>
    <m/>
    <m/>
    <n v="0"/>
    <n v="0"/>
    <m/>
    <m/>
    <n v="0"/>
    <m/>
    <n v="0"/>
    <n v="0"/>
    <m/>
  </r>
  <r>
    <n v="1917"/>
    <s v=""/>
    <s v="0"/>
    <m/>
    <s v="0"/>
    <m/>
    <x v="4"/>
    <x v="8"/>
    <x v="4"/>
    <m/>
    <m/>
    <n v="0"/>
    <n v="0"/>
    <m/>
    <m/>
    <n v="0"/>
    <m/>
    <n v="0"/>
    <n v="0"/>
    <m/>
  </r>
  <r>
    <n v="1918"/>
    <s v=""/>
    <s v="0"/>
    <m/>
    <s v="0"/>
    <m/>
    <x v="4"/>
    <x v="8"/>
    <x v="4"/>
    <m/>
    <m/>
    <n v="0"/>
    <n v="0"/>
    <m/>
    <m/>
    <n v="0"/>
    <m/>
    <n v="0"/>
    <n v="0"/>
    <m/>
  </r>
  <r>
    <n v="1919"/>
    <s v=""/>
    <s v="0"/>
    <m/>
    <s v="0"/>
    <m/>
    <x v="4"/>
    <x v="8"/>
    <x v="4"/>
    <m/>
    <m/>
    <n v="0"/>
    <n v="0"/>
    <m/>
    <m/>
    <n v="0"/>
    <m/>
    <n v="0"/>
    <n v="0"/>
    <m/>
  </r>
  <r>
    <n v="1920"/>
    <s v=""/>
    <s v="0"/>
    <m/>
    <s v="0"/>
    <m/>
    <x v="4"/>
    <x v="8"/>
    <x v="4"/>
    <m/>
    <m/>
    <n v="0"/>
    <n v="0"/>
    <m/>
    <m/>
    <n v="0"/>
    <m/>
    <n v="0"/>
    <n v="0"/>
    <m/>
  </r>
  <r>
    <n v="1921"/>
    <s v=""/>
    <s v="0"/>
    <m/>
    <s v="0"/>
    <m/>
    <x v="4"/>
    <x v="8"/>
    <x v="4"/>
    <m/>
    <m/>
    <n v="0"/>
    <n v="0"/>
    <m/>
    <m/>
    <n v="0"/>
    <m/>
    <n v="0"/>
    <n v="0"/>
    <m/>
  </r>
  <r>
    <n v="1922"/>
    <s v=""/>
    <s v="0"/>
    <m/>
    <s v="0"/>
    <m/>
    <x v="4"/>
    <x v="8"/>
    <x v="4"/>
    <m/>
    <m/>
    <n v="0"/>
    <n v="0"/>
    <m/>
    <m/>
    <n v="0"/>
    <m/>
    <n v="0"/>
    <n v="0"/>
    <m/>
  </r>
  <r>
    <n v="1923"/>
    <s v=""/>
    <s v="0"/>
    <m/>
    <s v="0"/>
    <m/>
    <x v="4"/>
    <x v="8"/>
    <x v="4"/>
    <m/>
    <m/>
    <n v="0"/>
    <n v="0"/>
    <m/>
    <m/>
    <n v="0"/>
    <m/>
    <n v="0"/>
    <n v="0"/>
    <m/>
  </r>
  <r>
    <n v="1924"/>
    <s v=""/>
    <s v="0"/>
    <m/>
    <s v="0"/>
    <m/>
    <x v="4"/>
    <x v="8"/>
    <x v="4"/>
    <m/>
    <m/>
    <n v="0"/>
    <n v="0"/>
    <m/>
    <m/>
    <n v="0"/>
    <m/>
    <n v="0"/>
    <n v="0"/>
    <m/>
  </r>
  <r>
    <n v="1925"/>
    <s v=""/>
    <s v="0"/>
    <m/>
    <s v="0"/>
    <m/>
    <x v="4"/>
    <x v="8"/>
    <x v="4"/>
    <m/>
    <m/>
    <n v="0"/>
    <n v="0"/>
    <m/>
    <m/>
    <n v="0"/>
    <m/>
    <n v="0"/>
    <n v="0"/>
    <m/>
  </r>
  <r>
    <n v="1926"/>
    <s v=""/>
    <s v="0"/>
    <m/>
    <s v="0"/>
    <m/>
    <x v="4"/>
    <x v="8"/>
    <x v="4"/>
    <m/>
    <m/>
    <n v="0"/>
    <n v="0"/>
    <m/>
    <m/>
    <n v="0"/>
    <m/>
    <n v="0"/>
    <n v="0"/>
    <m/>
  </r>
  <r>
    <n v="1927"/>
    <s v=""/>
    <s v="0"/>
    <m/>
    <s v="0"/>
    <m/>
    <x v="4"/>
    <x v="8"/>
    <x v="4"/>
    <m/>
    <m/>
    <n v="0"/>
    <n v="0"/>
    <m/>
    <m/>
    <n v="0"/>
    <m/>
    <n v="0"/>
    <n v="0"/>
    <m/>
  </r>
  <r>
    <n v="1928"/>
    <s v=""/>
    <s v="0"/>
    <m/>
    <s v="0"/>
    <m/>
    <x v="4"/>
    <x v="8"/>
    <x v="4"/>
    <m/>
    <m/>
    <n v="0"/>
    <n v="0"/>
    <m/>
    <m/>
    <n v="0"/>
    <m/>
    <n v="0"/>
    <n v="0"/>
    <m/>
  </r>
  <r>
    <n v="1929"/>
    <s v=""/>
    <s v="0"/>
    <m/>
    <s v="0"/>
    <m/>
    <x v="4"/>
    <x v="8"/>
    <x v="4"/>
    <m/>
    <m/>
    <n v="0"/>
    <n v="0"/>
    <m/>
    <m/>
    <n v="0"/>
    <m/>
    <n v="0"/>
    <n v="0"/>
    <m/>
  </r>
  <r>
    <n v="1930"/>
    <s v=""/>
    <s v="0"/>
    <m/>
    <s v="0"/>
    <m/>
    <x v="4"/>
    <x v="8"/>
    <x v="4"/>
    <m/>
    <m/>
    <n v="0"/>
    <n v="0"/>
    <m/>
    <m/>
    <n v="0"/>
    <m/>
    <n v="0"/>
    <n v="0"/>
    <m/>
  </r>
  <r>
    <n v="1931"/>
    <s v=""/>
    <s v="0"/>
    <m/>
    <s v="0"/>
    <m/>
    <x v="4"/>
    <x v="8"/>
    <x v="4"/>
    <m/>
    <m/>
    <n v="0"/>
    <n v="0"/>
    <m/>
    <m/>
    <n v="0"/>
    <m/>
    <n v="0"/>
    <n v="0"/>
    <m/>
  </r>
  <r>
    <n v="1932"/>
    <s v=""/>
    <s v="0"/>
    <m/>
    <s v="0"/>
    <m/>
    <x v="4"/>
    <x v="8"/>
    <x v="4"/>
    <m/>
    <m/>
    <n v="0"/>
    <n v="0"/>
    <m/>
    <m/>
    <n v="0"/>
    <m/>
    <n v="0"/>
    <n v="0"/>
    <m/>
  </r>
  <r>
    <n v="1933"/>
    <s v=""/>
    <s v="0"/>
    <m/>
    <s v="0"/>
    <m/>
    <x v="4"/>
    <x v="8"/>
    <x v="4"/>
    <m/>
    <m/>
    <n v="0"/>
    <n v="0"/>
    <m/>
    <m/>
    <n v="0"/>
    <m/>
    <n v="0"/>
    <n v="0"/>
    <m/>
  </r>
  <r>
    <n v="1934"/>
    <s v=""/>
    <s v="0"/>
    <m/>
    <s v="0"/>
    <m/>
    <x v="4"/>
    <x v="8"/>
    <x v="4"/>
    <m/>
    <m/>
    <n v="0"/>
    <n v="0"/>
    <m/>
    <m/>
    <n v="0"/>
    <m/>
    <n v="0"/>
    <n v="0"/>
    <m/>
  </r>
  <r>
    <n v="1935"/>
    <s v=""/>
    <s v="0"/>
    <m/>
    <s v="0"/>
    <m/>
    <x v="4"/>
    <x v="8"/>
    <x v="4"/>
    <m/>
    <m/>
    <n v="0"/>
    <n v="0"/>
    <m/>
    <m/>
    <n v="0"/>
    <m/>
    <n v="0"/>
    <n v="0"/>
    <m/>
  </r>
  <r>
    <n v="1936"/>
    <s v=""/>
    <s v="0"/>
    <m/>
    <s v="0"/>
    <m/>
    <x v="4"/>
    <x v="8"/>
    <x v="4"/>
    <m/>
    <m/>
    <n v="0"/>
    <n v="0"/>
    <m/>
    <m/>
    <n v="0"/>
    <m/>
    <n v="0"/>
    <n v="0"/>
    <m/>
  </r>
  <r>
    <n v="1937"/>
    <s v=""/>
    <s v="0"/>
    <m/>
    <s v="0"/>
    <m/>
    <x v="4"/>
    <x v="8"/>
    <x v="4"/>
    <m/>
    <m/>
    <n v="0"/>
    <n v="0"/>
    <m/>
    <m/>
    <n v="0"/>
    <m/>
    <n v="0"/>
    <n v="0"/>
    <m/>
  </r>
  <r>
    <n v="1938"/>
    <s v=""/>
    <s v="0"/>
    <m/>
    <s v="0"/>
    <m/>
    <x v="4"/>
    <x v="8"/>
    <x v="4"/>
    <m/>
    <m/>
    <n v="0"/>
    <n v="0"/>
    <m/>
    <m/>
    <n v="0"/>
    <m/>
    <n v="0"/>
    <n v="0"/>
    <m/>
  </r>
  <r>
    <n v="1939"/>
    <s v=""/>
    <s v="0"/>
    <m/>
    <s v="0"/>
    <m/>
    <x v="4"/>
    <x v="8"/>
    <x v="4"/>
    <m/>
    <m/>
    <n v="0"/>
    <n v="0"/>
    <m/>
    <m/>
    <n v="0"/>
    <m/>
    <n v="0"/>
    <n v="0"/>
    <m/>
  </r>
  <r>
    <n v="1940"/>
    <s v=""/>
    <s v="0"/>
    <m/>
    <s v="0"/>
    <m/>
    <x v="4"/>
    <x v="8"/>
    <x v="4"/>
    <m/>
    <m/>
    <n v="0"/>
    <n v="0"/>
    <m/>
    <m/>
    <n v="0"/>
    <m/>
    <n v="0"/>
    <n v="0"/>
    <m/>
  </r>
  <r>
    <n v="1941"/>
    <s v=""/>
    <s v="0"/>
    <m/>
    <s v="0"/>
    <m/>
    <x v="4"/>
    <x v="8"/>
    <x v="4"/>
    <m/>
    <m/>
    <n v="0"/>
    <n v="0"/>
    <m/>
    <m/>
    <n v="0"/>
    <m/>
    <n v="0"/>
    <n v="0"/>
    <m/>
  </r>
  <r>
    <n v="1942"/>
    <s v=""/>
    <s v="0"/>
    <m/>
    <s v="0"/>
    <m/>
    <x v="4"/>
    <x v="8"/>
    <x v="4"/>
    <m/>
    <m/>
    <n v="0"/>
    <n v="0"/>
    <m/>
    <m/>
    <n v="0"/>
    <m/>
    <n v="0"/>
    <n v="0"/>
    <m/>
  </r>
  <r>
    <n v="1943"/>
    <s v=""/>
    <s v="0"/>
    <m/>
    <s v="0"/>
    <m/>
    <x v="4"/>
    <x v="8"/>
    <x v="4"/>
    <m/>
    <m/>
    <n v="0"/>
    <n v="0"/>
    <m/>
    <m/>
    <n v="0"/>
    <m/>
    <n v="0"/>
    <n v="0"/>
    <m/>
  </r>
  <r>
    <n v="1944"/>
    <s v=""/>
    <s v="0"/>
    <m/>
    <s v="0"/>
    <m/>
    <x v="4"/>
    <x v="8"/>
    <x v="4"/>
    <m/>
    <m/>
    <n v="0"/>
    <n v="0"/>
    <m/>
    <m/>
    <n v="0"/>
    <m/>
    <n v="0"/>
    <n v="0"/>
    <m/>
  </r>
  <r>
    <n v="1945"/>
    <s v=""/>
    <s v="0"/>
    <m/>
    <s v="0"/>
    <m/>
    <x v="4"/>
    <x v="8"/>
    <x v="4"/>
    <m/>
    <m/>
    <n v="0"/>
    <n v="0"/>
    <m/>
    <m/>
    <n v="0"/>
    <m/>
    <n v="0"/>
    <n v="0"/>
    <m/>
  </r>
  <r>
    <n v="1946"/>
    <s v=""/>
    <s v="0"/>
    <m/>
    <s v="0"/>
    <m/>
    <x v="4"/>
    <x v="8"/>
    <x v="4"/>
    <m/>
    <m/>
    <n v="0"/>
    <n v="0"/>
    <m/>
    <m/>
    <n v="0"/>
    <m/>
    <n v="0"/>
    <n v="0"/>
    <m/>
  </r>
  <r>
    <n v="1947"/>
    <s v=""/>
    <s v="0"/>
    <m/>
    <s v="0"/>
    <m/>
    <x v="4"/>
    <x v="8"/>
    <x v="4"/>
    <m/>
    <m/>
    <n v="0"/>
    <n v="0"/>
    <m/>
    <m/>
    <n v="0"/>
    <m/>
    <n v="0"/>
    <n v="0"/>
    <m/>
  </r>
  <r>
    <n v="1948"/>
    <s v=""/>
    <s v="0"/>
    <m/>
    <s v="0"/>
    <m/>
    <x v="4"/>
    <x v="8"/>
    <x v="4"/>
    <m/>
    <m/>
    <n v="0"/>
    <n v="0"/>
    <m/>
    <m/>
    <n v="0"/>
    <m/>
    <n v="0"/>
    <n v="0"/>
    <m/>
  </r>
  <r>
    <n v="1949"/>
    <s v=""/>
    <s v="0"/>
    <m/>
    <s v="0"/>
    <m/>
    <x v="4"/>
    <x v="8"/>
    <x v="4"/>
    <m/>
    <m/>
    <n v="0"/>
    <n v="0"/>
    <m/>
    <m/>
    <n v="0"/>
    <m/>
    <n v="0"/>
    <n v="0"/>
    <m/>
  </r>
  <r>
    <n v="1950"/>
    <s v=""/>
    <s v="0"/>
    <m/>
    <s v="0"/>
    <m/>
    <x v="4"/>
    <x v="8"/>
    <x v="4"/>
    <m/>
    <m/>
    <n v="0"/>
    <n v="0"/>
    <m/>
    <m/>
    <n v="0"/>
    <m/>
    <n v="0"/>
    <n v="0"/>
    <m/>
  </r>
  <r>
    <n v="1951"/>
    <s v=""/>
    <s v="0"/>
    <m/>
    <s v="0"/>
    <m/>
    <x v="4"/>
    <x v="8"/>
    <x v="4"/>
    <m/>
    <m/>
    <n v="0"/>
    <n v="0"/>
    <m/>
    <m/>
    <n v="0"/>
    <m/>
    <n v="0"/>
    <n v="0"/>
    <m/>
  </r>
  <r>
    <n v="1952"/>
    <s v=""/>
    <s v="0"/>
    <m/>
    <s v="0"/>
    <m/>
    <x v="4"/>
    <x v="8"/>
    <x v="4"/>
    <m/>
    <m/>
    <n v="0"/>
    <n v="0"/>
    <m/>
    <m/>
    <n v="0"/>
    <m/>
    <n v="0"/>
    <n v="0"/>
    <m/>
  </r>
  <r>
    <n v="1953"/>
    <s v=""/>
    <s v="0"/>
    <m/>
    <s v="0"/>
    <m/>
    <x v="4"/>
    <x v="8"/>
    <x v="4"/>
    <m/>
    <m/>
    <n v="0"/>
    <n v="0"/>
    <m/>
    <m/>
    <n v="0"/>
    <m/>
    <n v="0"/>
    <n v="0"/>
    <m/>
  </r>
  <r>
    <n v="1954"/>
    <s v=""/>
    <s v="0"/>
    <m/>
    <s v="0"/>
    <m/>
    <x v="4"/>
    <x v="8"/>
    <x v="4"/>
    <m/>
    <m/>
    <n v="0"/>
    <n v="0"/>
    <m/>
    <m/>
    <n v="0"/>
    <m/>
    <n v="0"/>
    <n v="0"/>
    <m/>
  </r>
  <r>
    <n v="1955"/>
    <s v=""/>
    <s v="0"/>
    <m/>
    <s v="0"/>
    <m/>
    <x v="4"/>
    <x v="8"/>
    <x v="4"/>
    <m/>
    <m/>
    <n v="0"/>
    <n v="0"/>
    <m/>
    <m/>
    <n v="0"/>
    <m/>
    <n v="0"/>
    <n v="0"/>
    <m/>
  </r>
  <r>
    <n v="1956"/>
    <s v=""/>
    <s v="0"/>
    <m/>
    <s v="0"/>
    <m/>
    <x v="4"/>
    <x v="8"/>
    <x v="4"/>
    <m/>
    <m/>
    <n v="0"/>
    <n v="0"/>
    <m/>
    <m/>
    <n v="0"/>
    <m/>
    <n v="0"/>
    <n v="0"/>
    <m/>
  </r>
  <r>
    <n v="1957"/>
    <s v=""/>
    <s v="0"/>
    <m/>
    <s v="0"/>
    <m/>
    <x v="4"/>
    <x v="8"/>
    <x v="4"/>
    <m/>
    <m/>
    <n v="0"/>
    <n v="0"/>
    <m/>
    <m/>
    <n v="0"/>
    <m/>
    <n v="0"/>
    <n v="0"/>
    <m/>
  </r>
  <r>
    <n v="1958"/>
    <s v=""/>
    <s v="0"/>
    <m/>
    <s v="0"/>
    <m/>
    <x v="4"/>
    <x v="8"/>
    <x v="4"/>
    <m/>
    <m/>
    <n v="0"/>
    <n v="0"/>
    <m/>
    <m/>
    <n v="0"/>
    <m/>
    <n v="0"/>
    <n v="0"/>
    <m/>
  </r>
  <r>
    <n v="1959"/>
    <s v=""/>
    <s v="0"/>
    <m/>
    <s v="0"/>
    <m/>
    <x v="4"/>
    <x v="8"/>
    <x v="4"/>
    <m/>
    <m/>
    <n v="0"/>
    <n v="0"/>
    <m/>
    <m/>
    <n v="0"/>
    <m/>
    <n v="0"/>
    <n v="0"/>
    <m/>
  </r>
  <r>
    <n v="1960"/>
    <s v=""/>
    <s v="0"/>
    <m/>
    <s v="0"/>
    <m/>
    <x v="4"/>
    <x v="8"/>
    <x v="4"/>
    <m/>
    <m/>
    <n v="0"/>
    <n v="0"/>
    <m/>
    <m/>
    <n v="0"/>
    <m/>
    <n v="0"/>
    <n v="0"/>
    <m/>
  </r>
  <r>
    <n v="1961"/>
    <s v=""/>
    <s v="0"/>
    <m/>
    <s v="0"/>
    <m/>
    <x v="4"/>
    <x v="8"/>
    <x v="4"/>
    <m/>
    <m/>
    <n v="0"/>
    <n v="0"/>
    <m/>
    <m/>
    <n v="0"/>
    <m/>
    <n v="0"/>
    <n v="0"/>
    <m/>
  </r>
  <r>
    <n v="1962"/>
    <s v=""/>
    <s v="0"/>
    <m/>
    <s v="0"/>
    <m/>
    <x v="4"/>
    <x v="8"/>
    <x v="4"/>
    <m/>
    <m/>
    <n v="0"/>
    <n v="0"/>
    <m/>
    <m/>
    <n v="0"/>
    <m/>
    <n v="0"/>
    <n v="0"/>
    <m/>
  </r>
  <r>
    <n v="1963"/>
    <s v=""/>
    <s v="0"/>
    <m/>
    <s v="0"/>
    <m/>
    <x v="4"/>
    <x v="8"/>
    <x v="4"/>
    <m/>
    <m/>
    <n v="0"/>
    <n v="0"/>
    <m/>
    <m/>
    <n v="0"/>
    <m/>
    <n v="0"/>
    <n v="0"/>
    <m/>
  </r>
  <r>
    <n v="1964"/>
    <s v=""/>
    <s v="0"/>
    <m/>
    <s v="0"/>
    <m/>
    <x v="4"/>
    <x v="8"/>
    <x v="4"/>
    <m/>
    <m/>
    <n v="0"/>
    <n v="0"/>
    <m/>
    <m/>
    <n v="0"/>
    <m/>
    <n v="0"/>
    <n v="0"/>
    <m/>
  </r>
  <r>
    <n v="1965"/>
    <s v=""/>
    <s v="0"/>
    <m/>
    <s v="0"/>
    <m/>
    <x v="4"/>
    <x v="8"/>
    <x v="4"/>
    <m/>
    <m/>
    <n v="0"/>
    <n v="0"/>
    <m/>
    <m/>
    <n v="0"/>
    <m/>
    <n v="0"/>
    <n v="0"/>
    <m/>
  </r>
  <r>
    <n v="1966"/>
    <s v=""/>
    <s v="0"/>
    <m/>
    <s v="0"/>
    <m/>
    <x v="4"/>
    <x v="8"/>
    <x v="4"/>
    <m/>
    <m/>
    <n v="0"/>
    <n v="0"/>
    <m/>
    <m/>
    <n v="0"/>
    <m/>
    <n v="0"/>
    <n v="0"/>
    <m/>
  </r>
  <r>
    <n v="1967"/>
    <s v=""/>
    <s v="0"/>
    <m/>
    <s v="0"/>
    <m/>
    <x v="4"/>
    <x v="8"/>
    <x v="4"/>
    <m/>
    <m/>
    <n v="0"/>
    <n v="0"/>
    <m/>
    <m/>
    <n v="0"/>
    <m/>
    <n v="0"/>
    <n v="0"/>
    <m/>
  </r>
  <r>
    <n v="1968"/>
    <s v=""/>
    <s v="0"/>
    <m/>
    <s v="0"/>
    <m/>
    <x v="4"/>
    <x v="8"/>
    <x v="4"/>
    <m/>
    <m/>
    <n v="0"/>
    <n v="0"/>
    <m/>
    <m/>
    <n v="0"/>
    <m/>
    <n v="0"/>
    <n v="0"/>
    <m/>
  </r>
  <r>
    <n v="1969"/>
    <s v=""/>
    <s v="0"/>
    <m/>
    <s v="0"/>
    <m/>
    <x v="4"/>
    <x v="8"/>
    <x v="4"/>
    <m/>
    <m/>
    <n v="0"/>
    <n v="0"/>
    <m/>
    <m/>
    <n v="0"/>
    <m/>
    <n v="0"/>
    <n v="0"/>
    <m/>
  </r>
  <r>
    <n v="1970"/>
    <s v=""/>
    <s v="0"/>
    <m/>
    <s v="0"/>
    <m/>
    <x v="4"/>
    <x v="8"/>
    <x v="4"/>
    <m/>
    <m/>
    <n v="0"/>
    <n v="0"/>
    <m/>
    <m/>
    <n v="0"/>
    <m/>
    <n v="0"/>
    <n v="0"/>
    <m/>
  </r>
  <r>
    <n v="1971"/>
    <s v=""/>
    <s v="0"/>
    <m/>
    <s v="0"/>
    <m/>
    <x v="4"/>
    <x v="8"/>
    <x v="4"/>
    <m/>
    <m/>
    <n v="0"/>
    <n v="0"/>
    <m/>
    <m/>
    <n v="0"/>
    <m/>
    <n v="0"/>
    <n v="0"/>
    <m/>
  </r>
  <r>
    <n v="1972"/>
    <s v=""/>
    <s v="0"/>
    <m/>
    <s v="0"/>
    <m/>
    <x v="4"/>
    <x v="8"/>
    <x v="4"/>
    <m/>
    <m/>
    <n v="0"/>
    <n v="0"/>
    <m/>
    <m/>
    <n v="0"/>
    <m/>
    <n v="0"/>
    <n v="0"/>
    <m/>
  </r>
  <r>
    <n v="1973"/>
    <s v=""/>
    <s v="0"/>
    <m/>
    <s v="0"/>
    <m/>
    <x v="4"/>
    <x v="8"/>
    <x v="4"/>
    <m/>
    <m/>
    <n v="0"/>
    <n v="0"/>
    <m/>
    <m/>
    <n v="0"/>
    <m/>
    <n v="0"/>
    <n v="0"/>
    <m/>
  </r>
  <r>
    <n v="1974"/>
    <s v=""/>
    <s v="0"/>
    <m/>
    <s v="0"/>
    <m/>
    <x v="4"/>
    <x v="8"/>
    <x v="4"/>
    <m/>
    <m/>
    <n v="0"/>
    <n v="0"/>
    <m/>
    <m/>
    <n v="0"/>
    <m/>
    <n v="0"/>
    <n v="0"/>
    <m/>
  </r>
  <r>
    <n v="1975"/>
    <s v=""/>
    <s v="0"/>
    <m/>
    <s v="0"/>
    <m/>
    <x v="4"/>
    <x v="8"/>
    <x v="4"/>
    <m/>
    <m/>
    <n v="0"/>
    <n v="0"/>
    <m/>
    <m/>
    <n v="0"/>
    <m/>
    <n v="0"/>
    <n v="0"/>
    <m/>
  </r>
  <r>
    <n v="1976"/>
    <s v=""/>
    <s v="0"/>
    <m/>
    <s v="0"/>
    <m/>
    <x v="4"/>
    <x v="8"/>
    <x v="4"/>
    <m/>
    <m/>
    <n v="0"/>
    <n v="0"/>
    <m/>
    <m/>
    <n v="0"/>
    <m/>
    <n v="0"/>
    <n v="0"/>
    <m/>
  </r>
  <r>
    <n v="1977"/>
    <s v=""/>
    <s v="0"/>
    <m/>
    <s v="0"/>
    <m/>
    <x v="4"/>
    <x v="8"/>
    <x v="4"/>
    <m/>
    <m/>
    <n v="0"/>
    <n v="0"/>
    <m/>
    <m/>
    <n v="0"/>
    <m/>
    <n v="0"/>
    <n v="0"/>
    <m/>
  </r>
  <r>
    <n v="1978"/>
    <s v=""/>
    <s v="0"/>
    <m/>
    <s v="0"/>
    <m/>
    <x v="4"/>
    <x v="8"/>
    <x v="4"/>
    <m/>
    <m/>
    <n v="0"/>
    <n v="0"/>
    <m/>
    <m/>
    <n v="0"/>
    <m/>
    <n v="0"/>
    <n v="0"/>
    <m/>
  </r>
  <r>
    <n v="1979"/>
    <s v=""/>
    <s v="0"/>
    <m/>
    <s v="0"/>
    <m/>
    <x v="4"/>
    <x v="8"/>
    <x v="4"/>
    <m/>
    <m/>
    <n v="0"/>
    <n v="0"/>
    <m/>
    <m/>
    <n v="0"/>
    <m/>
    <n v="0"/>
    <n v="0"/>
    <m/>
  </r>
  <r>
    <n v="1980"/>
    <s v=""/>
    <s v="0"/>
    <m/>
    <s v="0"/>
    <m/>
    <x v="4"/>
    <x v="8"/>
    <x v="4"/>
    <m/>
    <m/>
    <n v="0"/>
    <n v="0"/>
    <m/>
    <m/>
    <n v="0"/>
    <m/>
    <n v="0"/>
    <n v="0"/>
    <m/>
  </r>
  <r>
    <n v="1981"/>
    <s v=""/>
    <s v="0"/>
    <m/>
    <s v="0"/>
    <m/>
    <x v="4"/>
    <x v="8"/>
    <x v="4"/>
    <m/>
    <m/>
    <n v="0"/>
    <n v="0"/>
    <m/>
    <m/>
    <n v="0"/>
    <m/>
    <n v="0"/>
    <n v="0"/>
    <m/>
  </r>
  <r>
    <n v="1982"/>
    <s v=""/>
    <s v="0"/>
    <m/>
    <s v="0"/>
    <m/>
    <x v="4"/>
    <x v="8"/>
    <x v="4"/>
    <m/>
    <m/>
    <n v="0"/>
    <n v="0"/>
    <m/>
    <m/>
    <n v="0"/>
    <m/>
    <n v="0"/>
    <n v="0"/>
    <m/>
  </r>
  <r>
    <n v="1983"/>
    <s v=""/>
    <s v="0"/>
    <m/>
    <s v="0"/>
    <m/>
    <x v="4"/>
    <x v="8"/>
    <x v="4"/>
    <m/>
    <m/>
    <n v="0"/>
    <n v="0"/>
    <m/>
    <m/>
    <n v="0"/>
    <m/>
    <n v="0"/>
    <n v="0"/>
    <m/>
  </r>
  <r>
    <n v="1984"/>
    <s v=""/>
    <s v="0"/>
    <m/>
    <s v="0"/>
    <m/>
    <x v="4"/>
    <x v="8"/>
    <x v="4"/>
    <m/>
    <m/>
    <n v="0"/>
    <n v="0"/>
    <m/>
    <m/>
    <n v="0"/>
    <m/>
    <n v="0"/>
    <n v="0"/>
    <m/>
  </r>
  <r>
    <n v="1985"/>
    <s v=""/>
    <s v="0"/>
    <m/>
    <s v="0"/>
    <m/>
    <x v="4"/>
    <x v="8"/>
    <x v="4"/>
    <m/>
    <m/>
    <n v="0"/>
    <n v="0"/>
    <m/>
    <m/>
    <n v="0"/>
    <m/>
    <n v="0"/>
    <n v="0"/>
    <m/>
  </r>
  <r>
    <n v="1986"/>
    <s v=""/>
    <s v="0"/>
    <m/>
    <s v="0"/>
    <m/>
    <x v="4"/>
    <x v="8"/>
    <x v="4"/>
    <m/>
    <m/>
    <n v="0"/>
    <n v="0"/>
    <m/>
    <m/>
    <n v="0"/>
    <m/>
    <n v="0"/>
    <n v="0"/>
    <m/>
  </r>
  <r>
    <n v="1987"/>
    <s v=""/>
    <s v="0"/>
    <m/>
    <s v="0"/>
    <m/>
    <x v="4"/>
    <x v="8"/>
    <x v="4"/>
    <m/>
    <m/>
    <n v="0"/>
    <n v="0"/>
    <m/>
    <m/>
    <n v="0"/>
    <m/>
    <n v="0"/>
    <n v="0"/>
    <m/>
  </r>
  <r>
    <n v="1988"/>
    <s v=""/>
    <s v="0"/>
    <m/>
    <s v="0"/>
    <m/>
    <x v="4"/>
    <x v="8"/>
    <x v="4"/>
    <m/>
    <m/>
    <n v="0"/>
    <n v="0"/>
    <m/>
    <m/>
    <n v="0"/>
    <m/>
    <n v="0"/>
    <n v="0"/>
    <m/>
  </r>
  <r>
    <n v="1989"/>
    <s v=""/>
    <s v="0"/>
    <m/>
    <s v="0"/>
    <m/>
    <x v="4"/>
    <x v="8"/>
    <x v="4"/>
    <m/>
    <m/>
    <n v="0"/>
    <n v="0"/>
    <m/>
    <m/>
    <n v="0"/>
    <m/>
    <n v="0"/>
    <n v="0"/>
    <m/>
  </r>
  <r>
    <n v="1990"/>
    <s v=""/>
    <s v="0"/>
    <m/>
    <s v="0"/>
    <m/>
    <x v="4"/>
    <x v="8"/>
    <x v="4"/>
    <m/>
    <m/>
    <n v="0"/>
    <n v="0"/>
    <m/>
    <m/>
    <n v="0"/>
    <m/>
    <n v="0"/>
    <n v="0"/>
    <m/>
  </r>
  <r>
    <n v="1991"/>
    <s v=""/>
    <s v="0"/>
    <m/>
    <s v="0"/>
    <m/>
    <x v="4"/>
    <x v="8"/>
    <x v="4"/>
    <m/>
    <m/>
    <n v="0"/>
    <n v="0"/>
    <m/>
    <m/>
    <n v="0"/>
    <m/>
    <n v="0"/>
    <n v="0"/>
    <m/>
  </r>
  <r>
    <n v="1992"/>
    <s v=""/>
    <s v="0"/>
    <m/>
    <s v="0"/>
    <m/>
    <x v="4"/>
    <x v="8"/>
    <x v="4"/>
    <m/>
    <m/>
    <n v="0"/>
    <n v="0"/>
    <m/>
    <m/>
    <n v="0"/>
    <m/>
    <n v="0"/>
    <n v="0"/>
    <m/>
  </r>
  <r>
    <n v="1993"/>
    <s v=""/>
    <s v="0"/>
    <m/>
    <s v="0"/>
    <m/>
    <x v="4"/>
    <x v="8"/>
    <x v="4"/>
    <m/>
    <m/>
    <n v="0"/>
    <n v="0"/>
    <m/>
    <m/>
    <n v="0"/>
    <m/>
    <n v="0"/>
    <n v="0"/>
    <m/>
  </r>
  <r>
    <n v="1994"/>
    <s v=""/>
    <s v="0"/>
    <m/>
    <s v="0"/>
    <m/>
    <x v="4"/>
    <x v="8"/>
    <x v="4"/>
    <m/>
    <m/>
    <n v="0"/>
    <n v="0"/>
    <m/>
    <m/>
    <n v="0"/>
    <m/>
    <n v="0"/>
    <n v="0"/>
    <m/>
  </r>
  <r>
    <n v="1995"/>
    <s v=""/>
    <s v="0"/>
    <m/>
    <s v="0"/>
    <m/>
    <x v="4"/>
    <x v="8"/>
    <x v="4"/>
    <m/>
    <m/>
    <n v="0"/>
    <n v="0"/>
    <m/>
    <m/>
    <n v="0"/>
    <m/>
    <n v="0"/>
    <n v="0"/>
    <m/>
  </r>
  <r>
    <n v="1996"/>
    <s v=""/>
    <s v="0"/>
    <m/>
    <s v="0"/>
    <m/>
    <x v="4"/>
    <x v="8"/>
    <x v="4"/>
    <m/>
    <m/>
    <n v="0"/>
    <n v="0"/>
    <m/>
    <m/>
    <n v="0"/>
    <m/>
    <n v="0"/>
    <n v="0"/>
    <m/>
  </r>
  <r>
    <n v="1997"/>
    <s v=""/>
    <s v="0"/>
    <m/>
    <s v="0"/>
    <m/>
    <x v="4"/>
    <x v="8"/>
    <x v="4"/>
    <m/>
    <m/>
    <n v="0"/>
    <n v="0"/>
    <m/>
    <m/>
    <n v="0"/>
    <m/>
    <n v="0"/>
    <n v="0"/>
    <m/>
  </r>
  <r>
    <n v="1998"/>
    <s v=""/>
    <s v="0"/>
    <m/>
    <s v="0"/>
    <m/>
    <x v="4"/>
    <x v="8"/>
    <x v="4"/>
    <m/>
    <m/>
    <n v="0"/>
    <n v="0"/>
    <m/>
    <m/>
    <n v="0"/>
    <m/>
    <n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F00E9D-8D73-423D-A887-E46AE1D2A078}" name="樞紐分析表1" cacheId="12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L3:O14" firstHeaderRow="1" firstDataRow="1" firstDataCol="3"/>
  <pivotFields count="20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axis="axisRow" compact="0" outline="0" showAll="0" sortType="ascending" defaultSubtotal="0">
      <items count="5">
        <item x="4"/>
        <item x="1"/>
        <item x="2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60">
        <item m="1" x="14"/>
        <item m="1" x="19"/>
        <item m="1" x="22"/>
        <item x="6"/>
        <item m="1" x="10"/>
        <item m="1" x="52"/>
        <item m="1" x="54"/>
        <item m="1" x="56"/>
        <item m="1" x="58"/>
        <item m="1" x="59"/>
        <item x="1"/>
        <item x="4"/>
        <item x="5"/>
        <item x="0"/>
        <item m="1" x="50"/>
        <item m="1" x="53"/>
        <item m="1" x="55"/>
        <item m="1" x="57"/>
        <item m="1" x="9"/>
        <item x="3"/>
        <item m="1" x="49"/>
        <item x="7"/>
        <item x="2"/>
        <item m="1" x="51"/>
        <item m="1" x="40"/>
        <item m="1" x="16"/>
        <item m="1" x="28"/>
        <item m="1" x="36"/>
        <item m="1" x="37"/>
        <item m="1" x="43"/>
        <item m="1" x="46"/>
        <item m="1" x="44"/>
        <item m="1" x="47"/>
        <item m="1" x="38"/>
        <item m="1" x="26"/>
        <item m="1" x="41"/>
        <item m="1" x="42"/>
        <item m="1" x="45"/>
        <item m="1" x="34"/>
        <item m="1" x="33"/>
        <item m="1" x="32"/>
        <item m="1" x="29"/>
        <item m="1" x="25"/>
        <item m="1" x="12"/>
        <item m="1" x="15"/>
        <item m="1" x="17"/>
        <item m="1" x="11"/>
        <item m="1" x="24"/>
        <item m="1" x="39"/>
        <item m="1" x="20"/>
        <item m="1" x="23"/>
        <item m="1" x="21"/>
        <item m="1" x="30"/>
        <item m="1" x="18"/>
        <item m="1" x="35"/>
        <item m="1" x="31"/>
        <item m="1" x="27"/>
        <item m="1" x="13"/>
        <item m="1" x="48"/>
        <item x="8"/>
      </items>
    </pivotField>
    <pivotField axis="axisRow" compact="0" outline="0" showAll="0" defaultSubtotal="0">
      <items count="55">
        <item m="1" x="52"/>
        <item m="1" x="51"/>
        <item m="1" x="53"/>
        <item x="4"/>
        <item m="1" x="54"/>
        <item m="1" x="47"/>
        <item m="1" x="48"/>
        <item m="1" x="50"/>
        <item m="1" x="49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5"/>
        <item x="1"/>
        <item x="3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compact="0" outline="0" showAll="0" defaultSubtotal="0"/>
    <pivotField compact="0" outline="0" showAll="0" defaultSubtotal="0"/>
    <pivotField compact="0" numFmtId="18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3">
    <field x="6"/>
    <field x="8"/>
    <field x="7"/>
  </rowFields>
  <rowItems count="11">
    <i>
      <x/>
      <x v="3"/>
      <x v="59"/>
    </i>
    <i>
      <x v="1"/>
      <x v="51"/>
      <x v="11"/>
    </i>
    <i r="2">
      <x v="12"/>
    </i>
    <i r="2">
      <x v="19"/>
    </i>
    <i>
      <x v="2"/>
      <x v="53"/>
      <x v="3"/>
    </i>
    <i r="2">
      <x v="21"/>
    </i>
    <i>
      <x v="3"/>
      <x v="54"/>
      <x v="10"/>
    </i>
    <i r="2">
      <x v="13"/>
    </i>
    <i r="2">
      <x v="22"/>
    </i>
    <i>
      <x v="4"/>
      <x v="52"/>
      <x v="59"/>
    </i>
    <i t="grand">
      <x/>
    </i>
  </rowItems>
  <colItems count="1">
    <i/>
  </colItems>
  <dataFields count="1">
    <dataField name="計數 - Dat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F00761-C8F1-478B-BADE-DE9BC8EB4297}" name="表格1" displayName="表格1" ref="A7:X18" totalsRowShown="0" headerRowDxfId="113" dataDxfId="111" headerRowBorderDxfId="112" headerRowCellStyle="一般 4" dataCellStyle="一般 4">
  <autoFilter ref="A7:X18" xr:uid="{BBF00761-C8F1-478B-BADE-DE9BC8EB4297}"/>
  <tableColumns count="24">
    <tableColumn id="1" xr3:uid="{50C49BCC-D743-43EB-8456-1271BADD61C8}" name="3" dataDxfId="110" dataCellStyle="一般 4"/>
    <tableColumn id="2" xr3:uid="{2F632645-605E-4993-8C7F-5B073095E514}" name="欄1" dataDxfId="109" dataCellStyle="一般 4"/>
    <tableColumn id="3" xr3:uid="{4EAFF83B-2687-42CC-ACB4-31822EFA9F63}" name="Shop" dataDxfId="108" dataCellStyle="一般 4"/>
    <tableColumn id="4" xr3:uid="{B6E8B754-CAFA-492A-B035-1F508DF040B7}" name="Name" dataDxfId="107" dataCellStyle="一般 4">
      <calculatedColumnFormula>_xlfn.XLOOKUP(E8,表格3_5[Name],表格3_5[Nick Name])</calculatedColumnFormula>
    </tableColumn>
    <tableColumn id="5" xr3:uid="{B9F7CD49-9E3E-4A9A-B90D-99982D47821A}" name="Full Name" dataDxfId="106" dataCellStyle="一般 4"/>
    <tableColumn id="6" xr3:uid="{AD959F7D-02DF-465E-889F-36DA1E7F4EC1}" name="CQ No." dataDxfId="105" dataCellStyle="一般 4"/>
    <tableColumn id="7" xr3:uid="{D3E47165-10E1-4ED0-814A-09CE430593C4}" name="Period" dataDxfId="104" dataCellStyle="一般 4">
      <calculatedColumnFormula array="1">_xlfn.TEXTJOIN(",",1,_xlfn._xlws.FILTER(表格3_5[ID3],(表格3_5[Location]=C8)*(表格3_5[Name]=E8),""))&amp;"/"&amp;$A$6</calculatedColumnFormula>
    </tableColumn>
    <tableColumn id="8" xr3:uid="{8B87A972-0CC2-4216-B462-D412B0BD1661}" name="Days" dataDxfId="103" dataCellStyle="一般 4">
      <calculatedColumnFormula array="1">IF(OR(Total!E8="", C8=""), 0,
    COUNTA(_xlfn._xlws.FILTER(工作表1!$F$3:$F$571,
        (工作表1!$I$3:$I$571=Total!E8) *
        (工作表1!$H$3:$H$571=C8) *
        (工作表1!$F$3:$F$571&lt;&gt;"")
    ))
)</calculatedColumnFormula>
    </tableColumn>
    <tableColumn id="9" xr3:uid="{4B5110C5-BD87-4047-9B92-3A23F23EF2E2}" name="Reg.Hrs" dataDxfId="102" dataCellStyle="一般 4">
      <calculatedColumnFormula>SUMIFS(工作表1!$Q$3:$Q$571,工作表1!$I$3:$I$571,Total!E8,工作表1!$H$3:$H$571,C8)</calculatedColumnFormula>
    </tableColumn>
    <tableColumn id="10" xr3:uid="{ADF9338B-8373-4730-B5CD-68AE0D8238C7}" name="$" dataDxfId="101" dataCellStyle="一般 4"/>
    <tableColumn id="11" xr3:uid="{53FBA1A5-05FE-478A-A7B1-E1E0804CAD91}" name="酬  金@$6000" dataDxfId="100" dataCellStyle="一般 4">
      <calculatedColumnFormula>_xlfn.XLOOKUP(E8,Name_list[Full Name],Name_list[[Month ]])</calculatedColumnFormula>
    </tableColumn>
    <tableColumn id="12" xr3:uid="{69E5955D-6CDF-49D2-884A-6D0659B57B65}" name="Sales Amt" dataDxfId="99" dataCellStyle="一般 4"/>
    <tableColumn id="13" xr3:uid="{00336C07-E8D1-4952-BF32-85C53BF00171}" name="Qty" dataDxfId="98" dataCellStyle="一般 4"/>
    <tableColumn id="14" xr3:uid="{39737C81-2725-443D-9E79-83493CD34081}" name="Basic Comm" dataDxfId="97" dataCellStyle="一般 4"/>
    <tableColumn id="15" xr3:uid="{67753590-B135-431D-8869-8E8C891D8A16}" name="Attendance" dataDxfId="96" dataCellStyle="一般 4">
      <calculatedColumnFormula>_xlfn.XLOOKUP(E8,Name_list[Full Name],Name_list[Attendance])</calculatedColumnFormula>
    </tableColumn>
    <tableColumn id="16" xr3:uid="{8BCC70BA-6F5D-407A-942E-8467F9DAAE20}" name="Allowance" dataDxfId="95" dataCellStyle="一般 4"/>
    <tableColumn id="17" xr3:uid="{CBD4443E-317E-4ECA-A2D8-BC592700212C}" name="Award" dataDxfId="94" dataCellStyle="一般 4">
      <calculatedColumnFormula>_xlfn.XLOOKUP(E8,Name_list[Full Name],Name_list[Award])</calculatedColumnFormula>
    </tableColumn>
    <tableColumn id="18" xr3:uid="{79EBD22A-9184-4AFE-B813-D6ECC6E17248}" name="Expenses" dataDxfId="93" dataCellStyle="一般 4"/>
    <tableColumn id="19" xr3:uid="{F45EC642-C38F-4235-9168-6F34FA366CEE}" name="Adjustmant" dataDxfId="92" dataCellStyle="一般 4"/>
    <tableColumn id="20" xr3:uid="{7ADF030C-E384-45D9-87EE-E20533633311}" name="Other" dataDxfId="91" dataCellStyle="一般 4"/>
    <tableColumn id="21" xr3:uid="{C60EED9E-8126-4BB7-AEE0-EC4B3AE32BAF}" name="MPF" dataDxfId="90" dataCellStyle="一般 4">
      <calculatedColumnFormula>-MIN( _xlfn.XLOOKUP(E8,Name_list[Full Name],Name_list[Mpf])*SUM(K8:T8)-L8-M8, 1500 )</calculatedColumnFormula>
    </tableColumn>
    <tableColumn id="22" xr3:uid="{F23822BD-3855-4A99-943C-867533E91691}" name="Total" dataDxfId="89" dataCellStyle="一般 4">
      <calculatedColumnFormula>SUM(K8:U8)-表格1[[#This Row],[Sales Amt]]-表格1[[#This Row],[Qty]]</calculatedColumnFormula>
    </tableColumn>
    <tableColumn id="23" xr3:uid="{C8EC5616-2E40-4BF1-9393-21573D628648}" name="Input" dataDxfId="88" dataCellStyle="一般 4">
      <calculatedColumnFormula>ROUND(V8,0)</calculatedColumnFormula>
    </tableColumn>
    <tableColumn id="24" xr3:uid="{26F3A6AA-796F-4E58-9092-AF8582F03CB2}" name="GP" dataDxfId="87" dataCellStyle="一般 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7C9376-CD39-4BB0-A1ED-97B4EBE8DE59}" name="表格3_5" displayName="表格3_5" ref="A2:T2000" totalsRowShown="0" headerRowDxfId="86" dataDxfId="85">
  <autoFilter ref="A2:T2000" xr:uid="{FB7C9376-CD39-4BB0-A1ED-97B4EBE8DE59}"/>
  <tableColumns count="20">
    <tableColumn id="13" xr3:uid="{2874696B-9BDE-4C04-91EB-8EDC56794719}" name="No" dataDxfId="84"/>
    <tableColumn id="14" xr3:uid="{E65B20DA-E9F7-4681-81A2-EF180DC3C643}" name="Test" dataDxfId="83">
      <calculatedColumnFormula>_xlfn.CONCAT(表格3_5[[#This Row],[Name]],表格3_5[[#This Row],[Location]])</calculatedColumnFormula>
    </tableColumn>
    <tableColumn id="15" xr3:uid="{4A2C482C-7FB9-4B78-A50F-B376F2CC2D2A}" name="ID1" dataDxfId="82">
      <calculatedColumnFormula>表格3_5[[#This Row],[Location]] &amp; 表格3_5[[#This Row],[Date]] &amp;表格3_5[[#This Row],[Nick Name]]</calculatedColumnFormula>
    </tableColumn>
    <tableColumn id="16" xr3:uid="{05EEFD3D-EF14-4F2E-9E0A-8C3AAA806833}" name="ID2" dataDxfId="81"/>
    <tableColumn id="20" xr3:uid="{FBD12250-F322-4497-A3FD-A59648777288}" name="ID3" dataDxfId="80">
      <calculatedColumnFormula>DAY(表格3_5[[#This Row],[Date]])&amp;""</calculatedColumnFormula>
    </tableColumn>
    <tableColumn id="2" xr3:uid="{2BBD8007-9EF9-45B8-BACC-724D59F1F676}" name="Date" dataDxfId="79"/>
    <tableColumn id="3" xr3:uid="{F3D250B3-6DCD-4BE5-B46C-D1245A409DEE}" name="Nick Name" dataDxfId="78">
      <calculatedColumnFormula>_xlfn.XLOOKUP(表格3_5[[#This Row],[Name]],Name_list[Full Name],Name_list[Nick Name])</calculatedColumnFormula>
    </tableColumn>
    <tableColumn id="1" xr3:uid="{19B51487-0E62-4FF3-AC51-3DE7711870AA}" name="Location" dataDxfId="77"/>
    <tableColumn id="4" xr3:uid="{78154911-DE11-422D-9D96-8EDB250BF6A8}" name="Name" dataDxfId="76"/>
    <tableColumn id="5" xr3:uid="{AF65B323-E956-499C-8F84-815139EC6C06}" name="In-Time" dataDxfId="75"/>
    <tableColumn id="6" xr3:uid="{F259D679-A08B-4AD0-A1DC-022A0E458F5F}" name="Out-Time" dataDxfId="74"/>
    <tableColumn id="7" xr3:uid="{7C72EEB4-78DC-4F05-ACFB-16E0F709C10C}" name=" Hours" dataDxfId="73">
      <calculatedColumnFormula>(表格3_5[[#This Row],[Out-Time]] - 表格3_5[[#This Row],[In-Time]])*24</calculatedColumnFormula>
    </tableColumn>
    <tableColumn id="8" xr3:uid="{104AF85D-9346-44D3-A241-0B6EA56A3501}" name="OT Hours" dataDxfId="72">
      <calculatedColumnFormula>表格3_5[[#This Row],[ Hours]]-表格3_5[[#This Row],[Normal working
 hours]]</calculatedColumnFormula>
    </tableColumn>
    <tableColumn id="12" xr3:uid="{6A6F6267-8B80-46C1-BC05-587408D6B8E6}" name="In-Time2" dataDxfId="71"/>
    <tableColumn id="11" xr3:uid="{5E6E5408-F060-450C-8375-A2ED6377199B}" name="Out-Time2" dataDxfId="70"/>
    <tableColumn id="9" xr3:uid="{A5E76E85-35C3-4B29-97DC-60C68C3C47A2}" name="Normal working_x000a_ hours" dataDxfId="69">
      <calculatedColumnFormula>(表格3_5[[#This Row],[Out-Time2]] - 表格3_5[[#This Row],[In-Time2]])*24</calculatedColumnFormula>
    </tableColumn>
    <tableColumn id="10" xr3:uid="{A4E956A4-3F14-44B4-80C1-166459CE9341}" name="Hours Worked" dataDxfId="68"/>
    <tableColumn id="17" xr3:uid="{A3DD4952-7DA4-458D-89B8-83BD3B9544A2}" name="Hourly Rate" dataDxfId="67">
      <calculatedColumnFormula>_xlfn.XLOOKUP(表格3_5[[#This Row],[Name]],Name_list[Full Name],Name_list[Hourr Rate])</calculatedColumnFormula>
    </tableColumn>
    <tableColumn id="18" xr3:uid="{D50FF328-0FF4-4F07-81E0-FA59F4B496D9}" name="Total Pay" dataDxfId="66">
      <calculatedColumnFormula>表格3_5[[#This Row],[Hours Worked]]*表格3_5[[#This Row],[Hourly Rate]]</calculatedColumnFormula>
    </tableColumn>
    <tableColumn id="19" xr3:uid="{C35F4E1E-9235-43F7-B163-B08ABE6387B0}" name="Remark" dataDxfId="6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27DCED-5A44-4862-9A0E-EF2D82CEC2E6}" name="Name_list" displayName="Name_list" ref="A3:H35" totalsRowShown="0">
  <autoFilter ref="A3:H35" xr:uid="{6327DCED-5A44-4862-9A0E-EF2D82CEC2E6}"/>
  <tableColumns count="8">
    <tableColumn id="1" xr3:uid="{E57DF389-18C5-4F0A-BF25-1CA456E29B6A}" name="No"/>
    <tableColumn id="2" xr3:uid="{24C2456C-F3F3-4910-B104-8F6A329D7E76}" name="Full Name"/>
    <tableColumn id="3" xr3:uid="{6044AEEE-16B2-429E-B467-3542C664EA0C}" name="Nick Name"/>
    <tableColumn id="4" xr3:uid="{B516A34A-F5EF-4A62-99C4-5BB32AE97C96}" name="Hourr Rate"/>
    <tableColumn id="5" xr3:uid="{2620F391-C55A-4FEC-8861-8C35EBB6E9C9}" name="Month "/>
    <tableColumn id="6" xr3:uid="{31197C9A-F74F-4B5A-B7FD-ED1E4A832213}" name="Attendance"/>
    <tableColumn id="8" xr3:uid="{95ABFB96-2354-4F7D-80D2-24C6799EE596}" name="Mpf"/>
    <tableColumn id="7" xr3:uid="{77E73A33-59B8-4CC1-9AD0-F82C8DFF9127}" name="Awar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EAD92-FD09-4DDD-ABE6-ECE6A519B2C0}">
  <dimension ref="A1:J370"/>
  <sheetViews>
    <sheetView view="pageBreakPreview" topLeftCell="A140" zoomScale="130" zoomScaleNormal="70" zoomScaleSheetLayoutView="130" workbookViewId="0">
      <selection activeCell="B6" sqref="B6:H6"/>
    </sheetView>
  </sheetViews>
  <sheetFormatPr defaultColWidth="9" defaultRowHeight="16.5"/>
  <cols>
    <col min="1" max="1" width="1.625" style="33" customWidth="1"/>
    <col min="2" max="2" width="20.5" style="33" customWidth="1"/>
    <col min="3" max="3" width="18" style="33" customWidth="1"/>
    <col min="4" max="4" width="12.875" style="33" customWidth="1"/>
    <col min="5" max="5" width="13.5" style="33" customWidth="1"/>
    <col min="6" max="6" width="16.5" style="33" customWidth="1"/>
    <col min="7" max="7" width="15.875" style="33" customWidth="1"/>
    <col min="8" max="8" width="1.875" style="33" customWidth="1"/>
    <col min="9" max="9" width="1.625" style="33" customWidth="1"/>
    <col min="10" max="10" width="12.125" style="33" bestFit="1" customWidth="1"/>
    <col min="11" max="16384" width="9" style="33"/>
  </cols>
  <sheetData>
    <row r="1" spans="1:9">
      <c r="A1" s="243"/>
      <c r="B1" s="243"/>
      <c r="C1" s="243"/>
      <c r="D1" s="243"/>
      <c r="E1" s="243"/>
      <c r="F1" s="243"/>
      <c r="G1" s="243"/>
      <c r="H1" s="243"/>
      <c r="I1" s="243"/>
    </row>
    <row r="2" spans="1:9" ht="27.75">
      <c r="A2" s="244" t="s">
        <v>24</v>
      </c>
      <c r="B2" s="244"/>
      <c r="C2" s="244"/>
      <c r="D2" s="244"/>
      <c r="E2" s="244"/>
      <c r="F2" s="244"/>
      <c r="G2" s="244"/>
      <c r="H2" s="244"/>
      <c r="I2" s="244"/>
    </row>
    <row r="3" spans="1:9" ht="27.75">
      <c r="A3" s="244" t="s">
        <v>25</v>
      </c>
      <c r="B3" s="244"/>
      <c r="C3" s="244"/>
      <c r="D3" s="244"/>
      <c r="E3" s="244"/>
      <c r="F3" s="244"/>
      <c r="G3" s="244"/>
      <c r="H3" s="244"/>
      <c r="I3" s="244"/>
    </row>
    <row r="4" spans="1:9">
      <c r="A4" s="245" t="s">
        <v>26</v>
      </c>
      <c r="B4" s="245"/>
      <c r="C4" s="245"/>
      <c r="D4" s="245"/>
      <c r="E4" s="245"/>
      <c r="F4" s="245"/>
      <c r="G4" s="245"/>
      <c r="H4" s="245"/>
      <c r="I4" s="245"/>
    </row>
    <row r="5" spans="1:9">
      <c r="A5" s="246"/>
      <c r="B5" s="246"/>
      <c r="C5" s="246"/>
      <c r="D5" s="246"/>
      <c r="E5" s="246"/>
      <c r="F5" s="246"/>
      <c r="G5" s="246"/>
      <c r="H5" s="246"/>
      <c r="I5" s="246"/>
    </row>
    <row r="6" spans="1:9" ht="21" thickBot="1">
      <c r="A6" s="247"/>
      <c r="B6" s="248" t="str">
        <f>Total!$A$2</f>
        <v>2026 June Ecovasc Promoter Salary Summary</v>
      </c>
      <c r="C6" s="248"/>
      <c r="D6" s="248"/>
      <c r="E6" s="248"/>
      <c r="F6" s="248"/>
      <c r="G6" s="248"/>
      <c r="H6" s="248"/>
      <c r="I6" s="249"/>
    </row>
    <row r="7" spans="1:9" ht="17.25" customHeight="1" thickTop="1">
      <c r="A7" s="247"/>
      <c r="B7" s="250"/>
      <c r="C7" s="250"/>
      <c r="D7" s="250"/>
      <c r="E7" s="250"/>
      <c r="F7" s="250"/>
      <c r="G7" s="250"/>
      <c r="H7" s="37"/>
      <c r="I7" s="249"/>
    </row>
    <row r="8" spans="1:9" ht="16.5" customHeight="1">
      <c r="A8" s="247"/>
      <c r="B8" s="38" t="s">
        <v>27</v>
      </c>
      <c r="C8" s="39" t="str">
        <f>Total!$E$8</f>
        <v>Lee Sin Edith</v>
      </c>
      <c r="D8" s="39" t="e" cm="1">
        <f t="array" ref="D8">INDEX(Total!$D$8:$D$20,MATCH($C8&amp;$G8,Total!$E$8:$E$20&amp;Total!#REF!,0))</f>
        <v>#REF!</v>
      </c>
      <c r="E8" s="40"/>
      <c r="F8" s="41" t="s">
        <v>28</v>
      </c>
      <c r="G8" s="39" t="e">
        <f>Total!#REF!</f>
        <v>#REF!</v>
      </c>
      <c r="H8" s="39"/>
      <c r="I8" s="249"/>
    </row>
    <row r="9" spans="1:9" ht="17.25" customHeight="1" thickBot="1">
      <c r="A9" s="247"/>
      <c r="B9" s="42"/>
      <c r="C9" s="42"/>
      <c r="D9" s="42"/>
      <c r="E9" s="43"/>
      <c r="F9" s="44"/>
      <c r="G9" s="45"/>
      <c r="H9" s="45"/>
      <c r="I9" s="249"/>
    </row>
    <row r="10" spans="1:9" ht="17.25" customHeight="1" thickBot="1">
      <c r="A10" s="247"/>
      <c r="B10" s="253" t="s">
        <v>29</v>
      </c>
      <c r="C10" s="254"/>
      <c r="D10" s="48"/>
      <c r="E10" s="47" t="s">
        <v>30</v>
      </c>
      <c r="F10" s="49"/>
      <c r="G10" s="45"/>
      <c r="H10" s="45"/>
      <c r="I10" s="249"/>
    </row>
    <row r="11" spans="1:9" ht="17.25" customHeight="1" thickTop="1">
      <c r="A11" s="247"/>
      <c r="B11" s="50" t="s">
        <v>31</v>
      </c>
      <c r="C11" s="51"/>
      <c r="D11" s="52"/>
      <c r="E11" s="53" t="s">
        <v>32</v>
      </c>
      <c r="F11" s="54"/>
      <c r="G11" s="45"/>
      <c r="H11" s="45"/>
      <c r="I11" s="249"/>
    </row>
    <row r="12" spans="1:9" ht="16.5" customHeight="1">
      <c r="A12" s="247"/>
      <c r="B12" s="55" t="s">
        <v>33</v>
      </c>
      <c r="C12" s="56"/>
      <c r="D12" s="57"/>
      <c r="E12" s="58" t="e" cm="1">
        <f t="array" ref="E12">INDEX(Total!$F$8:$F$20,MATCH($C8&amp;$G8,Total!$E$8:$E$20&amp;Total!#REF!,0))</f>
        <v>#REF!</v>
      </c>
      <c r="F12" s="59"/>
      <c r="G12" s="45"/>
      <c r="H12" s="45"/>
      <c r="I12" s="249"/>
    </row>
    <row r="13" spans="1:9" ht="16.5" customHeight="1">
      <c r="A13" s="247"/>
      <c r="B13" s="55" t="s">
        <v>34</v>
      </c>
      <c r="C13" s="60"/>
      <c r="D13" s="57"/>
      <c r="E13" s="61" t="e" cm="1">
        <f t="array" ref="E13">INDEX(Total!$G$8:$G$20,MATCH($C8&amp;$G8,Total!$E$8:$E$20&amp;Total!#REF!,0))</f>
        <v>#REF!</v>
      </c>
      <c r="F13" s="59"/>
      <c r="G13" s="45"/>
      <c r="H13" s="45"/>
      <c r="I13" s="249"/>
    </row>
    <row r="14" spans="1:9" ht="16.5" customHeight="1">
      <c r="A14" s="247"/>
      <c r="B14" s="55" t="s">
        <v>35</v>
      </c>
      <c r="C14" s="60"/>
      <c r="D14" s="57"/>
      <c r="E14" s="62" t="e" cm="1">
        <f t="array" ref="E14">INDEX(Total!$H$8:$H$20,MATCH($C8&amp;$G8,Total!$E$8:$E$20&amp;Total!#REF!,0))</f>
        <v>#REF!</v>
      </c>
      <c r="F14" s="59"/>
      <c r="G14" s="44"/>
      <c r="H14" s="44"/>
      <c r="I14" s="249"/>
    </row>
    <row r="15" spans="1:9" ht="16.5" customHeight="1">
      <c r="A15" s="247"/>
      <c r="B15" s="55" t="s">
        <v>36</v>
      </c>
      <c r="C15" s="56"/>
      <c r="D15" s="63"/>
      <c r="E15" s="62" t="e" cm="1">
        <f t="array" ref="E15">INDEX(Total!$I$8:$I$20,MATCH($C8&amp;$G8,Total!$E$8:$E$20&amp;Total!#REF!,0))</f>
        <v>#REF!</v>
      </c>
      <c r="F15" s="64"/>
      <c r="G15" s="44"/>
      <c r="H15" s="44"/>
      <c r="I15" s="249"/>
    </row>
    <row r="16" spans="1:9" ht="16.5" customHeight="1">
      <c r="A16" s="247"/>
      <c r="B16" s="55" t="s">
        <v>37</v>
      </c>
      <c r="C16" s="56"/>
      <c r="D16" s="63"/>
      <c r="E16" s="62" t="e" cm="1">
        <f t="array" ref="E16">INDEX(Total!$J$8:$J$20,MATCH($C8&amp;$G8,Total!$E$8:$E$20&amp;Total!#REF!,0))</f>
        <v>#REF!</v>
      </c>
      <c r="F16" s="64"/>
      <c r="G16" s="44"/>
      <c r="H16" s="44"/>
      <c r="I16" s="249"/>
    </row>
    <row r="17" spans="1:10" ht="17.25" customHeight="1" thickBot="1">
      <c r="A17" s="247"/>
      <c r="B17" s="65" t="s">
        <v>38</v>
      </c>
      <c r="C17" s="66"/>
      <c r="D17" s="67"/>
      <c r="E17" s="68" t="e" cm="1">
        <f t="array" ref="E17">INDEX(Total!$L$8:$L$20,MATCH($C8&amp;$G8,Total!$E$8:$E$20&amp;Total!#REF!,0))</f>
        <v>#REF!</v>
      </c>
      <c r="F17" s="69"/>
      <c r="G17" s="70"/>
      <c r="H17" s="70"/>
      <c r="I17" s="249"/>
    </row>
    <row r="18" spans="1:10" ht="17.25" customHeight="1" thickBot="1">
      <c r="A18" s="247"/>
      <c r="B18" s="71"/>
      <c r="C18" s="71"/>
      <c r="D18" s="71"/>
      <c r="E18" s="71"/>
      <c r="F18" s="71"/>
      <c r="G18" s="71"/>
      <c r="H18" s="71"/>
      <c r="I18" s="249"/>
    </row>
    <row r="19" spans="1:10" ht="17.25" customHeight="1" thickBot="1">
      <c r="A19" s="247"/>
      <c r="B19" s="72"/>
      <c r="C19" s="73" t="s">
        <v>39</v>
      </c>
      <c r="D19" s="74"/>
      <c r="E19" s="74"/>
      <c r="F19" s="252" t="s">
        <v>40</v>
      </c>
      <c r="G19" s="252"/>
      <c r="H19" s="76"/>
      <c r="I19" s="249"/>
    </row>
    <row r="20" spans="1:10" ht="17.25" customHeight="1" thickTop="1">
      <c r="A20" s="247"/>
      <c r="B20" s="77"/>
      <c r="C20" s="50" t="s">
        <v>41</v>
      </c>
      <c r="D20" s="78"/>
      <c r="E20" s="78"/>
      <c r="F20" s="79"/>
      <c r="G20" s="80" t="e" cm="1">
        <f t="array" ref="G20">INDEX(Total!$K$8:$K$20,MATCH($C8&amp;$G8,Total!$E$8:$E$20&amp;Total!#REF!,0))</f>
        <v>#REF!</v>
      </c>
      <c r="H20" s="81"/>
      <c r="I20" s="249"/>
    </row>
    <row r="21" spans="1:10" ht="16.5" customHeight="1">
      <c r="A21" s="247"/>
      <c r="B21" s="77"/>
      <c r="C21" s="55" t="s">
        <v>42</v>
      </c>
      <c r="D21" s="82"/>
      <c r="E21" s="82"/>
      <c r="F21" s="83"/>
      <c r="G21" s="84" t="e" cm="1">
        <f t="array" ref="G21">INDEX(Total!$O$8:$O$20,MATCH($C8&amp;$G8,Total!$E$8:$E$20&amp;Total!#REF!,0))</f>
        <v>#REF!</v>
      </c>
      <c r="H21" s="85"/>
      <c r="I21" s="249"/>
    </row>
    <row r="22" spans="1:10" ht="16.5" customHeight="1">
      <c r="A22" s="247"/>
      <c r="B22" s="77"/>
      <c r="C22" s="55" t="s">
        <v>43</v>
      </c>
      <c r="D22" s="86"/>
      <c r="E22" s="86"/>
      <c r="F22" s="83"/>
      <c r="G22" s="84">
        <f>Total!N8</f>
        <v>0</v>
      </c>
      <c r="H22" s="85"/>
      <c r="I22" s="249"/>
    </row>
    <row r="23" spans="1:10" ht="16.5" customHeight="1">
      <c r="A23" s="247"/>
      <c r="B23" s="77"/>
      <c r="C23" s="55" t="s">
        <v>44</v>
      </c>
      <c r="D23" s="87"/>
      <c r="E23" s="87"/>
      <c r="F23" s="83"/>
      <c r="G23" s="84" t="e" cm="1">
        <f t="array" ref="G23">INDEX(Total!$P$8:$P$20,MATCH($C8&amp;$G8,Total!$E$8:$E$20&amp;Total!#REF!,0))</f>
        <v>#REF!</v>
      </c>
      <c r="H23" s="85"/>
      <c r="I23" s="249"/>
    </row>
    <row r="24" spans="1:10" ht="16.5" customHeight="1">
      <c r="A24" s="247"/>
      <c r="B24" s="77"/>
      <c r="C24" s="55" t="s">
        <v>45</v>
      </c>
      <c r="D24" s="87"/>
      <c r="E24" s="87"/>
      <c r="F24" s="83"/>
      <c r="G24" s="84" t="e" cm="1">
        <f t="array" ref="G24">INDEX(Total!$Q$8:$Q$20,MATCH($C8&amp;$G8,Total!$E$8:$E$20&amp;Total!#REF!,0))</f>
        <v>#REF!</v>
      </c>
      <c r="H24" s="85"/>
      <c r="I24" s="249"/>
    </row>
    <row r="25" spans="1:10" ht="16.5" customHeight="1">
      <c r="A25" s="247"/>
      <c r="B25" s="77"/>
      <c r="C25" s="55" t="s">
        <v>46</v>
      </c>
      <c r="D25" s="82" t="s">
        <v>47</v>
      </c>
      <c r="E25" s="82"/>
      <c r="F25" s="83"/>
      <c r="G25" s="84" t="e" cm="1">
        <f t="array" ref="G25">INDEX(Total!$R$8:$R$20,MATCH($C8&amp;$G8,Total!$E$8:$E$20&amp;Total!#REF!,0))</f>
        <v>#REF!</v>
      </c>
      <c r="H25" s="85"/>
      <c r="I25" s="249"/>
    </row>
    <row r="26" spans="1:10" ht="16.5" customHeight="1">
      <c r="A26" s="247"/>
      <c r="B26" s="77"/>
      <c r="C26" s="55" t="s">
        <v>48</v>
      </c>
      <c r="D26" s="87"/>
      <c r="E26" s="87"/>
      <c r="F26" s="83"/>
      <c r="G26" s="84" t="e" cm="1">
        <f t="array" ref="G26">INDEX(Total!$T$8:$T$20,MATCH($C8&amp;$G8,Total!$E$8:$E$20&amp;Total!#REF!,0))</f>
        <v>#REF!</v>
      </c>
      <c r="H26" s="85"/>
      <c r="I26" s="249"/>
    </row>
    <row r="27" spans="1:10" ht="16.5" customHeight="1">
      <c r="A27" s="247"/>
      <c r="B27" s="77"/>
      <c r="C27" s="55" t="s">
        <v>49</v>
      </c>
      <c r="D27" s="87"/>
      <c r="E27" s="87"/>
      <c r="F27" s="83"/>
      <c r="G27" s="84" t="e" cm="1">
        <f t="array" ref="G27">INDEX(Total!$S$8:$S$20,MATCH($C8&amp;$G8,Total!$E$8:$E$20&amp;Total!#REF!,0))</f>
        <v>#REF!</v>
      </c>
      <c r="H27" s="85"/>
      <c r="I27" s="249"/>
    </row>
    <row r="28" spans="1:10" ht="17.25" customHeight="1" thickBot="1">
      <c r="A28" s="247"/>
      <c r="B28" s="77"/>
      <c r="C28" s="88" t="s">
        <v>50</v>
      </c>
      <c r="D28" s="89"/>
      <c r="E28" s="89"/>
      <c r="F28" s="90"/>
      <c r="G28" s="91" t="e" cm="1">
        <f t="array" ref="G28">-INDEX(Total!$U$8:$U$20,MATCH($C8&amp;$G8,Total!$E$8:$E$20&amp;Total!#REF!,0))</f>
        <v>#REF!</v>
      </c>
      <c r="H28" s="92"/>
      <c r="I28" s="249"/>
    </row>
    <row r="29" spans="1:10" ht="18" customHeight="1" thickTop="1" thickBot="1">
      <c r="A29" s="247"/>
      <c r="B29" s="93"/>
      <c r="C29" s="94"/>
      <c r="D29" s="95"/>
      <c r="E29" s="96" t="s">
        <v>1</v>
      </c>
      <c r="F29" s="251" t="e">
        <f>SUM($G20:$G28)</f>
        <v>#REF!</v>
      </c>
      <c r="G29" s="251"/>
      <c r="H29" s="98"/>
      <c r="I29" s="249"/>
      <c r="J29" s="99" t="e" cm="1">
        <f t="array" ref="J29">INDEX(Total!$W$8:$W$20,MATCH($C8&amp;$G8,Total!$E$8:$E$20&amp;Total!#REF!,0))</f>
        <v>#REF!</v>
      </c>
    </row>
    <row r="30" spans="1:10" ht="16.5" customHeight="1">
      <c r="A30" s="247"/>
      <c r="B30" s="42"/>
      <c r="C30" s="42"/>
      <c r="D30" s="42"/>
      <c r="E30" s="42"/>
      <c r="F30" s="239"/>
      <c r="G30" s="240"/>
      <c r="H30" s="45"/>
      <c r="I30" s="249"/>
    </row>
    <row r="31" spans="1:10" ht="16.5" customHeight="1">
      <c r="A31" s="247"/>
      <c r="B31" s="100" t="s">
        <v>51</v>
      </c>
      <c r="C31" s="42"/>
      <c r="D31" s="42"/>
      <c r="E31" s="42"/>
      <c r="F31" s="240"/>
      <c r="G31" s="240"/>
      <c r="H31" s="45"/>
      <c r="I31" s="249"/>
    </row>
    <row r="32" spans="1:10" ht="16.5" customHeight="1">
      <c r="A32" s="247"/>
      <c r="B32" s="100" t="s">
        <v>52</v>
      </c>
      <c r="C32" s="42"/>
      <c r="D32" s="241"/>
      <c r="E32" s="241"/>
      <c r="F32" s="240"/>
      <c r="G32" s="240"/>
      <c r="H32" s="45"/>
      <c r="I32" s="249"/>
    </row>
    <row r="33" spans="1:9" ht="16.5" customHeight="1">
      <c r="A33" s="247"/>
      <c r="B33" s="100" t="s">
        <v>53</v>
      </c>
      <c r="C33" s="42"/>
      <c r="D33" s="42"/>
      <c r="E33" s="42"/>
      <c r="F33" s="42"/>
      <c r="G33" s="42"/>
      <c r="H33" s="45"/>
      <c r="I33" s="249"/>
    </row>
    <row r="34" spans="1:9" ht="16.5" customHeight="1">
      <c r="A34" s="247"/>
      <c r="B34" s="101"/>
      <c r="C34" s="43"/>
      <c r="D34" s="102"/>
      <c r="E34" s="242" t="s">
        <v>54</v>
      </c>
      <c r="F34" s="242"/>
      <c r="G34" s="104"/>
      <c r="H34" s="105"/>
      <c r="I34" s="249"/>
    </row>
    <row r="35" spans="1:9" ht="16.5" customHeight="1">
      <c r="A35" s="247"/>
      <c r="B35" s="43"/>
      <c r="C35" s="43"/>
      <c r="D35" s="106"/>
      <c r="E35" s="106"/>
      <c r="F35" s="43"/>
      <c r="G35" s="43"/>
      <c r="H35" s="43"/>
      <c r="I35" s="249"/>
    </row>
    <row r="36" spans="1:9" ht="16.5" customHeight="1">
      <c r="A36" s="247"/>
      <c r="B36" s="43"/>
      <c r="C36" s="43"/>
      <c r="D36" s="106"/>
      <c r="E36" s="102"/>
      <c r="F36" s="103" t="s">
        <v>55</v>
      </c>
      <c r="G36" s="107"/>
      <c r="H36" s="108"/>
      <c r="I36" s="249"/>
    </row>
    <row r="37" spans="1:9" ht="16.5" customHeight="1"/>
    <row r="38" spans="1:9">
      <c r="A38" s="243"/>
      <c r="B38" s="243"/>
      <c r="C38" s="243"/>
      <c r="D38" s="243"/>
      <c r="E38" s="243"/>
      <c r="F38" s="243"/>
      <c r="G38" s="243"/>
      <c r="H38" s="243"/>
      <c r="I38" s="243"/>
    </row>
    <row r="39" spans="1:9" ht="27.75">
      <c r="A39" s="244" t="s">
        <v>56</v>
      </c>
      <c r="B39" s="244"/>
      <c r="C39" s="244"/>
      <c r="D39" s="244"/>
      <c r="E39" s="244"/>
      <c r="F39" s="244"/>
      <c r="G39" s="244"/>
      <c r="H39" s="244"/>
      <c r="I39" s="244"/>
    </row>
    <row r="40" spans="1:9" ht="27.75">
      <c r="A40" s="244" t="s">
        <v>57</v>
      </c>
      <c r="B40" s="244"/>
      <c r="C40" s="244"/>
      <c r="D40" s="244"/>
      <c r="E40" s="244"/>
      <c r="F40" s="244"/>
      <c r="G40" s="244"/>
      <c r="H40" s="244"/>
      <c r="I40" s="244"/>
    </row>
    <row r="41" spans="1:9">
      <c r="A41" s="245" t="s">
        <v>58</v>
      </c>
      <c r="B41" s="245"/>
      <c r="C41" s="245"/>
      <c r="D41" s="245"/>
      <c r="E41" s="245"/>
      <c r="F41" s="245"/>
      <c r="G41" s="245"/>
      <c r="H41" s="245"/>
      <c r="I41" s="245"/>
    </row>
    <row r="42" spans="1:9">
      <c r="A42" s="246"/>
      <c r="B42" s="246"/>
      <c r="C42" s="246"/>
      <c r="D42" s="246"/>
      <c r="E42" s="246"/>
      <c r="F42" s="246"/>
      <c r="G42" s="246"/>
      <c r="H42" s="246"/>
      <c r="I42" s="246"/>
    </row>
    <row r="43" spans="1:9" ht="21" thickBot="1">
      <c r="A43" s="247"/>
      <c r="B43" s="248" t="str">
        <f>Total!$A$2</f>
        <v>2026 June Ecovasc Promoter Salary Summary</v>
      </c>
      <c r="C43" s="248"/>
      <c r="D43" s="248"/>
      <c r="E43" s="248"/>
      <c r="F43" s="248"/>
      <c r="G43" s="248"/>
      <c r="H43" s="248"/>
      <c r="I43" s="249"/>
    </row>
    <row r="44" spans="1:9" ht="17.25" customHeight="1" thickTop="1">
      <c r="A44" s="247"/>
      <c r="B44" s="250"/>
      <c r="C44" s="250"/>
      <c r="D44" s="250"/>
      <c r="E44" s="250"/>
      <c r="F44" s="250"/>
      <c r="G44" s="250"/>
      <c r="H44" s="37"/>
      <c r="I44" s="249"/>
    </row>
    <row r="45" spans="1:9" ht="16.5" customHeight="1">
      <c r="A45" s="247"/>
      <c r="B45" s="38" t="s">
        <v>27</v>
      </c>
      <c r="C45" s="39" t="str">
        <f>Total!$E$9</f>
        <v>Lee Sin Edith</v>
      </c>
      <c r="D45" s="39" t="e" cm="1">
        <f t="array" ref="D45">INDEX(Total!$D$8:$D$20,MATCH($C45&amp;$G45,Total!$E$8:$E$20&amp;Total!#REF!,0))</f>
        <v>#REF!</v>
      </c>
      <c r="E45" s="40"/>
      <c r="F45" s="41" t="s">
        <v>28</v>
      </c>
      <c r="G45" s="39" t="e">
        <f>Total!#REF!</f>
        <v>#REF!</v>
      </c>
      <c r="H45" s="39"/>
      <c r="I45" s="249"/>
    </row>
    <row r="46" spans="1:9" ht="17.25" customHeight="1" thickBot="1">
      <c r="A46" s="247"/>
      <c r="B46" s="42"/>
      <c r="C46" s="42"/>
      <c r="D46" s="42"/>
      <c r="E46" s="43"/>
      <c r="F46" s="44"/>
      <c r="G46" s="45"/>
      <c r="H46" s="45"/>
      <c r="I46" s="249"/>
    </row>
    <row r="47" spans="1:9" ht="17.25" customHeight="1" thickBot="1">
      <c r="A47" s="247"/>
      <c r="B47" s="46" t="s">
        <v>29</v>
      </c>
      <c r="C47" s="47"/>
      <c r="D47" s="48"/>
      <c r="E47" s="47" t="s">
        <v>30</v>
      </c>
      <c r="F47" s="49"/>
      <c r="G47" s="45"/>
      <c r="H47" s="45"/>
      <c r="I47" s="249"/>
    </row>
    <row r="48" spans="1:9" ht="17.25" customHeight="1" thickTop="1">
      <c r="A48" s="247"/>
      <c r="B48" s="50" t="s">
        <v>31</v>
      </c>
      <c r="C48" s="51"/>
      <c r="D48" s="52"/>
      <c r="E48" s="53" t="s">
        <v>32</v>
      </c>
      <c r="F48" s="54"/>
      <c r="G48" s="45"/>
      <c r="H48" s="45"/>
      <c r="I48" s="249"/>
    </row>
    <row r="49" spans="1:9" ht="16.5" customHeight="1">
      <c r="A49" s="247"/>
      <c r="B49" s="55" t="s">
        <v>33</v>
      </c>
      <c r="C49" s="56"/>
      <c r="D49" s="57"/>
      <c r="E49" s="58" t="e" cm="1">
        <f t="array" ref="E49">INDEX(Total!$F$8:$F$20,MATCH($C45&amp;$G45,Total!$E$8:$E$20&amp;Total!#REF!,0))</f>
        <v>#REF!</v>
      </c>
      <c r="F49" s="59"/>
      <c r="G49" s="45"/>
      <c r="H49" s="45"/>
      <c r="I49" s="249"/>
    </row>
    <row r="50" spans="1:9" ht="16.5" customHeight="1">
      <c r="A50" s="247"/>
      <c r="B50" s="55" t="s">
        <v>34</v>
      </c>
      <c r="C50" s="60"/>
      <c r="D50" s="57"/>
      <c r="E50" s="61" t="e" cm="1">
        <f t="array" ref="E50">INDEX(Total!$G$8:$G$20,MATCH($C45&amp;$G45,Total!$E$8:$E$20&amp;Total!#REF!,0))</f>
        <v>#REF!</v>
      </c>
      <c r="F50" s="59"/>
      <c r="G50" s="45"/>
      <c r="H50" s="45"/>
      <c r="I50" s="249"/>
    </row>
    <row r="51" spans="1:9" ht="16.5" customHeight="1">
      <c r="A51" s="247"/>
      <c r="B51" s="55" t="s">
        <v>35</v>
      </c>
      <c r="C51" s="60"/>
      <c r="D51" s="57"/>
      <c r="E51" s="62" t="e" cm="1">
        <f t="array" ref="E51">INDEX(Total!$H$8:$H$20,MATCH($C45&amp;$G45,Total!$E$8:$E$20&amp;Total!#REF!,0))</f>
        <v>#REF!</v>
      </c>
      <c r="F51" s="59"/>
      <c r="G51" s="44"/>
      <c r="H51" s="44"/>
      <c r="I51" s="249"/>
    </row>
    <row r="52" spans="1:9" ht="16.5" customHeight="1">
      <c r="A52" s="247"/>
      <c r="B52" s="55" t="s">
        <v>36</v>
      </c>
      <c r="C52" s="56"/>
      <c r="D52" s="63"/>
      <c r="E52" s="62" t="e" cm="1">
        <f t="array" ref="E52">INDEX(Total!$I$8:$I$20,MATCH($C45&amp;$G45,Total!$E$8:$E$20&amp;Total!#REF!,0))</f>
        <v>#REF!</v>
      </c>
      <c r="F52" s="64"/>
      <c r="G52" s="44"/>
      <c r="H52" s="44"/>
      <c r="I52" s="249"/>
    </row>
    <row r="53" spans="1:9" ht="16.5" customHeight="1">
      <c r="A53" s="247"/>
      <c r="B53" s="55" t="s">
        <v>37</v>
      </c>
      <c r="C53" s="56"/>
      <c r="D53" s="63"/>
      <c r="E53" s="62" t="e" cm="1">
        <f t="array" ref="E53">INDEX(Total!$J$8:$J$20,MATCH($C45&amp;$G45,Total!$E$8:$E$20&amp;Total!#REF!,0))</f>
        <v>#REF!</v>
      </c>
      <c r="F53" s="64"/>
      <c r="G53" s="44"/>
      <c r="H53" s="44"/>
      <c r="I53" s="249"/>
    </row>
    <row r="54" spans="1:9" ht="17.25" customHeight="1" thickBot="1">
      <c r="A54" s="247"/>
      <c r="B54" s="65" t="s">
        <v>38</v>
      </c>
      <c r="C54" s="66"/>
      <c r="D54" s="67"/>
      <c r="E54" s="68" t="e" cm="1">
        <f t="array" ref="E54">INDEX(Total!$L$8:$L$20,MATCH($C45&amp;$G45,Total!$E$8:$E$20&amp;Total!#REF!,0))</f>
        <v>#REF!</v>
      </c>
      <c r="F54" s="69"/>
      <c r="G54" s="70"/>
      <c r="H54" s="70"/>
      <c r="I54" s="249"/>
    </row>
    <row r="55" spans="1:9" ht="17.25" customHeight="1" thickBot="1">
      <c r="A55" s="247"/>
      <c r="B55" s="71"/>
      <c r="C55" s="71"/>
      <c r="D55" s="71"/>
      <c r="E55" s="71"/>
      <c r="F55" s="71"/>
      <c r="G55" s="71"/>
      <c r="H55" s="71"/>
      <c r="I55" s="249"/>
    </row>
    <row r="56" spans="1:9" ht="17.25" customHeight="1" thickBot="1">
      <c r="A56" s="247"/>
      <c r="B56" s="72"/>
      <c r="C56" s="73" t="s">
        <v>39</v>
      </c>
      <c r="D56" s="74"/>
      <c r="E56" s="74"/>
      <c r="F56" s="75" t="s">
        <v>40</v>
      </c>
      <c r="G56" s="75"/>
      <c r="H56" s="76"/>
      <c r="I56" s="249"/>
    </row>
    <row r="57" spans="1:9" ht="17.25" customHeight="1" thickTop="1">
      <c r="A57" s="247"/>
      <c r="B57" s="77"/>
      <c r="C57" s="50" t="s">
        <v>41</v>
      </c>
      <c r="D57" s="78"/>
      <c r="E57" s="78"/>
      <c r="F57" s="79"/>
      <c r="G57" s="80" t="e" cm="1">
        <f t="array" ref="G57">INDEX(Total!$K$8:$K$20,MATCH($C45&amp;$G45,Total!$E$8:$E$20&amp;Total!#REF!,0))</f>
        <v>#REF!</v>
      </c>
      <c r="H57" s="81"/>
      <c r="I57" s="249"/>
    </row>
    <row r="58" spans="1:9" ht="16.5" customHeight="1">
      <c r="A58" s="247"/>
      <c r="B58" s="77"/>
      <c r="C58" s="55" t="s">
        <v>42</v>
      </c>
      <c r="D58" s="82"/>
      <c r="E58" s="82"/>
      <c r="F58" s="83"/>
      <c r="G58" s="84" t="e" cm="1">
        <f t="array" ref="G58">INDEX(Total!$O$8:$O$20,MATCH($C45&amp;$G45,Total!$E$8:$E$20&amp;Total!#REF!,0))</f>
        <v>#REF!</v>
      </c>
      <c r="H58" s="85"/>
      <c r="I58" s="249"/>
    </row>
    <row r="59" spans="1:9" ht="16.5" customHeight="1">
      <c r="A59" s="247"/>
      <c r="B59" s="77"/>
      <c r="C59" s="55" t="s">
        <v>43</v>
      </c>
      <c r="D59" s="86"/>
      <c r="E59" s="86"/>
      <c r="F59" s="83"/>
      <c r="G59" s="84" t="e" cm="1">
        <f t="array" ref="G59">INDEX(Total!$N$8:$N$20,MATCH($C45&amp;$G45,Total!$E$8:$E$20&amp;Total!#REF!,0))</f>
        <v>#REF!</v>
      </c>
      <c r="H59" s="85"/>
      <c r="I59" s="249"/>
    </row>
    <row r="60" spans="1:9" ht="16.5" customHeight="1">
      <c r="A60" s="247"/>
      <c r="B60" s="77"/>
      <c r="C60" s="55" t="s">
        <v>44</v>
      </c>
      <c r="D60" s="87"/>
      <c r="E60" s="87"/>
      <c r="F60" s="83"/>
      <c r="G60" s="84" t="e" cm="1">
        <f t="array" ref="G60">INDEX(Total!$P$8:$P$20,MATCH($C45&amp;$G45,Total!$E$8:$E$20&amp;Total!#REF!,0))</f>
        <v>#REF!</v>
      </c>
      <c r="H60" s="85"/>
      <c r="I60" s="249"/>
    </row>
    <row r="61" spans="1:9" ht="16.5" customHeight="1">
      <c r="A61" s="247"/>
      <c r="B61" s="77"/>
      <c r="C61" s="55" t="s">
        <v>45</v>
      </c>
      <c r="D61" s="87"/>
      <c r="E61" s="87"/>
      <c r="F61" s="83"/>
      <c r="G61" s="84" t="e" cm="1">
        <f t="array" ref="G61">INDEX(Total!$Q$8:$Q$20,MATCH($C45&amp;$G45,Total!$E$8:$E$20&amp;Total!#REF!,0))</f>
        <v>#REF!</v>
      </c>
      <c r="H61" s="85"/>
      <c r="I61" s="249"/>
    </row>
    <row r="62" spans="1:9" ht="16.5" customHeight="1">
      <c r="A62" s="247"/>
      <c r="B62" s="77"/>
      <c r="C62" s="55" t="s">
        <v>46</v>
      </c>
      <c r="D62" s="82" t="s">
        <v>47</v>
      </c>
      <c r="E62" s="82"/>
      <c r="F62" s="83"/>
      <c r="G62" s="84" t="e" cm="1">
        <f t="array" ref="G62">INDEX(Total!$R$8:$R$20,MATCH($C45&amp;$G45,Total!$E$8:$E$20&amp;Total!#REF!,0))</f>
        <v>#REF!</v>
      </c>
      <c r="H62" s="85"/>
      <c r="I62" s="249"/>
    </row>
    <row r="63" spans="1:9" ht="16.5" customHeight="1">
      <c r="A63" s="247"/>
      <c r="B63" s="77"/>
      <c r="C63" s="55" t="s">
        <v>48</v>
      </c>
      <c r="D63" s="87"/>
      <c r="E63" s="87"/>
      <c r="F63" s="83"/>
      <c r="G63" s="84" t="e" cm="1">
        <f t="array" ref="G63">INDEX(Total!$T$8:$T$20,MATCH($C45&amp;$G45,Total!$E$8:$E$20&amp;Total!#REF!,0))</f>
        <v>#REF!</v>
      </c>
      <c r="H63" s="85"/>
      <c r="I63" s="249"/>
    </row>
    <row r="64" spans="1:9" ht="16.5" customHeight="1">
      <c r="A64" s="247"/>
      <c r="B64" s="77"/>
      <c r="C64" s="55" t="s">
        <v>49</v>
      </c>
      <c r="D64" s="87"/>
      <c r="E64" s="87"/>
      <c r="F64" s="83"/>
      <c r="G64" s="84" t="e" cm="1">
        <f t="array" ref="G64">INDEX(Total!$S$8:$S$20,MATCH($C45&amp;$G45,Total!$E$8:$E$20&amp;Total!#REF!,0))</f>
        <v>#REF!</v>
      </c>
      <c r="H64" s="85"/>
      <c r="I64" s="249"/>
    </row>
    <row r="65" spans="1:10" ht="17.25" customHeight="1" thickBot="1">
      <c r="A65" s="247"/>
      <c r="B65" s="77"/>
      <c r="C65" s="88" t="s">
        <v>50</v>
      </c>
      <c r="D65" s="89"/>
      <c r="E65" s="89"/>
      <c r="F65" s="90"/>
      <c r="G65" s="91" t="e" cm="1">
        <f t="array" ref="G65">-INDEX(Total!$U$8:$U$20,MATCH($C45&amp;$G45,Total!$E$8:$E$20&amp;Total!#REF!,0))</f>
        <v>#REF!</v>
      </c>
      <c r="H65" s="92"/>
      <c r="I65" s="249"/>
    </row>
    <row r="66" spans="1:10" ht="18" customHeight="1" thickTop="1" thickBot="1">
      <c r="A66" s="247"/>
      <c r="B66" s="93"/>
      <c r="C66" s="94"/>
      <c r="D66" s="95"/>
      <c r="E66" s="96" t="s">
        <v>1</v>
      </c>
      <c r="F66" s="251" t="e">
        <f>SUM($G57:$G65)</f>
        <v>#REF!</v>
      </c>
      <c r="G66" s="251"/>
      <c r="H66" s="98"/>
      <c r="I66" s="249"/>
      <c r="J66" s="99" t="e" cm="1">
        <f t="array" ref="J66">INDEX(Total!$W$8:$W$20,MATCH($C45&amp;$G45,Total!$E$8:$E$20&amp;Total!#REF!,0))</f>
        <v>#REF!</v>
      </c>
    </row>
    <row r="67" spans="1:10" ht="16.5" customHeight="1">
      <c r="A67" s="247"/>
      <c r="B67" s="42"/>
      <c r="C67" s="42"/>
      <c r="D67" s="42"/>
      <c r="E67" s="42"/>
      <c r="F67" s="239"/>
      <c r="G67" s="240"/>
      <c r="H67" s="45"/>
      <c r="I67" s="249"/>
    </row>
    <row r="68" spans="1:10" ht="16.5" customHeight="1">
      <c r="A68" s="247"/>
      <c r="B68" s="100" t="s">
        <v>51</v>
      </c>
      <c r="C68" s="42"/>
      <c r="D68" s="42"/>
      <c r="E68" s="42"/>
      <c r="F68" s="240"/>
      <c r="G68" s="240"/>
      <c r="H68" s="45"/>
      <c r="I68" s="249"/>
    </row>
    <row r="69" spans="1:10" ht="16.5" customHeight="1">
      <c r="A69" s="247"/>
      <c r="B69" s="100" t="s">
        <v>52</v>
      </c>
      <c r="C69" s="42"/>
      <c r="D69" s="241"/>
      <c r="E69" s="241"/>
      <c r="F69" s="240"/>
      <c r="G69" s="240"/>
      <c r="H69" s="45"/>
      <c r="I69" s="249"/>
    </row>
    <row r="70" spans="1:10" ht="16.5" customHeight="1">
      <c r="A70" s="247"/>
      <c r="B70" s="100" t="s">
        <v>53</v>
      </c>
      <c r="C70" s="42"/>
      <c r="D70" s="42"/>
      <c r="E70" s="42"/>
      <c r="F70" s="42"/>
      <c r="G70" s="42"/>
      <c r="H70" s="45"/>
      <c r="I70" s="249"/>
    </row>
    <row r="71" spans="1:10" ht="16.5" customHeight="1">
      <c r="A71" s="247"/>
      <c r="B71" s="101"/>
      <c r="C71" s="43"/>
      <c r="D71" s="102"/>
      <c r="E71" s="242" t="s">
        <v>54</v>
      </c>
      <c r="F71" s="242"/>
      <c r="G71" s="104"/>
      <c r="H71" s="105"/>
      <c r="I71" s="249"/>
    </row>
    <row r="72" spans="1:10" ht="16.5" customHeight="1">
      <c r="A72" s="247"/>
      <c r="B72" s="43"/>
      <c r="C72" s="43"/>
      <c r="D72" s="106"/>
      <c r="E72" s="106"/>
      <c r="F72" s="43"/>
      <c r="G72" s="43"/>
      <c r="H72" s="43"/>
      <c r="I72" s="249"/>
    </row>
    <row r="73" spans="1:10" ht="16.5" customHeight="1">
      <c r="A73" s="247"/>
      <c r="B73" s="43"/>
      <c r="C73" s="43"/>
      <c r="D73" s="106"/>
      <c r="E73" s="102"/>
      <c r="F73" s="103" t="s">
        <v>55</v>
      </c>
      <c r="G73" s="107"/>
      <c r="H73" s="108"/>
      <c r="I73" s="249"/>
    </row>
    <row r="74" spans="1:10" ht="16.5" customHeight="1"/>
    <row r="75" spans="1:10">
      <c r="A75" s="243"/>
      <c r="B75" s="243"/>
      <c r="C75" s="243"/>
      <c r="D75" s="243"/>
      <c r="E75" s="243"/>
      <c r="F75" s="243"/>
      <c r="G75" s="243"/>
      <c r="H75" s="243"/>
      <c r="I75" s="243"/>
    </row>
    <row r="76" spans="1:10" ht="27.75">
      <c r="A76" s="244" t="s">
        <v>56</v>
      </c>
      <c r="B76" s="244"/>
      <c r="C76" s="244"/>
      <c r="D76" s="244"/>
      <c r="E76" s="244"/>
      <c r="F76" s="244"/>
      <c r="G76" s="244"/>
      <c r="H76" s="244"/>
      <c r="I76" s="244"/>
    </row>
    <row r="77" spans="1:10" ht="27.75">
      <c r="A77" s="244" t="s">
        <v>57</v>
      </c>
      <c r="B77" s="244"/>
      <c r="C77" s="244"/>
      <c r="D77" s="244"/>
      <c r="E77" s="244"/>
      <c r="F77" s="244"/>
      <c r="G77" s="244"/>
      <c r="H77" s="244"/>
      <c r="I77" s="244"/>
    </row>
    <row r="78" spans="1:10">
      <c r="A78" s="245" t="s">
        <v>58</v>
      </c>
      <c r="B78" s="245"/>
      <c r="C78" s="245"/>
      <c r="D78" s="245"/>
      <c r="E78" s="245"/>
      <c r="F78" s="245"/>
      <c r="G78" s="245"/>
      <c r="H78" s="245"/>
      <c r="I78" s="245"/>
    </row>
    <row r="79" spans="1:10">
      <c r="A79" s="246"/>
      <c r="B79" s="246"/>
      <c r="C79" s="246"/>
      <c r="D79" s="246"/>
      <c r="E79" s="246"/>
      <c r="F79" s="246"/>
      <c r="G79" s="246"/>
      <c r="H79" s="246"/>
      <c r="I79" s="246"/>
    </row>
    <row r="80" spans="1:10" ht="21" thickBot="1">
      <c r="A80" s="247"/>
      <c r="B80" s="248" t="str">
        <f>Total!$A$2</f>
        <v>2026 June Ecovasc Promoter Salary Summary</v>
      </c>
      <c r="C80" s="248"/>
      <c r="D80" s="248"/>
      <c r="E80" s="248"/>
      <c r="F80" s="248"/>
      <c r="G80" s="248"/>
      <c r="H80" s="248"/>
      <c r="I80" s="249"/>
    </row>
    <row r="81" spans="1:9" ht="17.25" customHeight="1" thickTop="1">
      <c r="A81" s="247"/>
      <c r="B81" s="250"/>
      <c r="C81" s="250"/>
      <c r="D81" s="250"/>
      <c r="E81" s="250"/>
      <c r="F81" s="250"/>
      <c r="G81" s="250"/>
      <c r="H81" s="37"/>
      <c r="I81" s="249"/>
    </row>
    <row r="82" spans="1:9" ht="16.5" customHeight="1">
      <c r="A82" s="247"/>
      <c r="B82" s="38" t="s">
        <v>27</v>
      </c>
      <c r="C82" s="39" t="str">
        <f>Total!$E$10</f>
        <v>Lee Sin Edith</v>
      </c>
      <c r="D82" s="39" t="e" cm="1">
        <f t="array" ref="D82">INDEX(Total!$D$8:$D$20,MATCH($C82&amp;$G82,Total!$E$8:$E$20&amp;Total!#REF!,0))</f>
        <v>#REF!</v>
      </c>
      <c r="E82" s="40"/>
      <c r="F82" s="41" t="s">
        <v>28</v>
      </c>
      <c r="G82" s="39" t="e">
        <f>Total!#REF!</f>
        <v>#REF!</v>
      </c>
      <c r="H82" s="39"/>
      <c r="I82" s="249"/>
    </row>
    <row r="83" spans="1:9" ht="17.25" customHeight="1" thickBot="1">
      <c r="A83" s="247"/>
      <c r="B83" s="42"/>
      <c r="C83" s="42"/>
      <c r="D83" s="42"/>
      <c r="E83" s="43"/>
      <c r="F83" s="44"/>
      <c r="G83" s="45"/>
      <c r="H83" s="45"/>
      <c r="I83" s="249"/>
    </row>
    <row r="84" spans="1:9" ht="17.25" customHeight="1" thickBot="1">
      <c r="A84" s="247"/>
      <c r="B84" s="46" t="s">
        <v>29</v>
      </c>
      <c r="C84" s="47"/>
      <c r="D84" s="48"/>
      <c r="E84" s="47" t="s">
        <v>30</v>
      </c>
      <c r="F84" s="49"/>
      <c r="G84" s="45"/>
      <c r="H84" s="45"/>
      <c r="I84" s="249"/>
    </row>
    <row r="85" spans="1:9" ht="17.25" customHeight="1" thickTop="1">
      <c r="A85" s="247"/>
      <c r="B85" s="50" t="s">
        <v>31</v>
      </c>
      <c r="C85" s="51"/>
      <c r="D85" s="52"/>
      <c r="E85" s="53" t="s">
        <v>32</v>
      </c>
      <c r="F85" s="54"/>
      <c r="G85" s="45"/>
      <c r="H85" s="45"/>
      <c r="I85" s="249"/>
    </row>
    <row r="86" spans="1:9" ht="16.5" customHeight="1">
      <c r="A86" s="247"/>
      <c r="B86" s="55" t="s">
        <v>33</v>
      </c>
      <c r="C86" s="56"/>
      <c r="D86" s="57"/>
      <c r="E86" s="58" t="e" cm="1">
        <f t="array" ref="E86">INDEX(Total!$F$8:$F$20,MATCH($C82&amp;$G82,Total!$E$8:$E$20&amp;Total!#REF!,0))</f>
        <v>#REF!</v>
      </c>
      <c r="F86" s="59"/>
      <c r="G86" s="45"/>
      <c r="H86" s="45"/>
      <c r="I86" s="249"/>
    </row>
    <row r="87" spans="1:9" ht="16.5" customHeight="1">
      <c r="A87" s="247"/>
      <c r="B87" s="55" t="s">
        <v>34</v>
      </c>
      <c r="C87" s="60"/>
      <c r="D87" s="57"/>
      <c r="E87" s="61" t="e" cm="1">
        <f t="array" ref="E87">INDEX(Total!$G$8:$G$20,MATCH($C82&amp;$G82,Total!$E$8:$E$20&amp;Total!#REF!,0))</f>
        <v>#REF!</v>
      </c>
      <c r="F87" s="59"/>
      <c r="G87" s="45"/>
      <c r="H87" s="45"/>
      <c r="I87" s="249"/>
    </row>
    <row r="88" spans="1:9" ht="16.5" customHeight="1">
      <c r="A88" s="247"/>
      <c r="B88" s="55" t="s">
        <v>35</v>
      </c>
      <c r="C88" s="60"/>
      <c r="D88" s="57"/>
      <c r="E88" s="62" t="e" cm="1">
        <f t="array" ref="E88">INDEX(Total!$H$8:$H$20,MATCH($C82&amp;$G82,Total!$E$8:$E$20&amp;Total!#REF!,0))</f>
        <v>#REF!</v>
      </c>
      <c r="F88" s="59"/>
      <c r="G88" s="44"/>
      <c r="H88" s="44"/>
      <c r="I88" s="249"/>
    </row>
    <row r="89" spans="1:9" ht="16.5" customHeight="1">
      <c r="A89" s="247"/>
      <c r="B89" s="55" t="s">
        <v>36</v>
      </c>
      <c r="C89" s="56"/>
      <c r="D89" s="63"/>
      <c r="E89" s="62" t="e" cm="1">
        <f t="array" ref="E89">INDEX(Total!$I$8:$I$20,MATCH($C82&amp;$G82,Total!$E$8:$E$20&amp;Total!#REF!,0))</f>
        <v>#REF!</v>
      </c>
      <c r="F89" s="64"/>
      <c r="G89" s="44"/>
      <c r="H89" s="44"/>
      <c r="I89" s="249"/>
    </row>
    <row r="90" spans="1:9" ht="16.5" customHeight="1">
      <c r="A90" s="247"/>
      <c r="B90" s="55" t="s">
        <v>37</v>
      </c>
      <c r="C90" s="56"/>
      <c r="D90" s="63"/>
      <c r="E90" s="62" t="e" cm="1">
        <f t="array" ref="E90">INDEX(Total!$J$8:$J$20,MATCH($C82&amp;$G82,Total!$E$8:$E$20&amp;Total!#REF!,0))</f>
        <v>#REF!</v>
      </c>
      <c r="F90" s="64"/>
      <c r="G90" s="44"/>
      <c r="H90" s="44"/>
      <c r="I90" s="249"/>
    </row>
    <row r="91" spans="1:9" ht="17.25" customHeight="1" thickBot="1">
      <c r="A91" s="247"/>
      <c r="B91" s="65" t="s">
        <v>38</v>
      </c>
      <c r="C91" s="66"/>
      <c r="D91" s="67"/>
      <c r="E91" s="68" t="e" cm="1">
        <f t="array" ref="E91">INDEX(Total!$L$8:$L$20,MATCH($C82&amp;$G82,Total!$E$8:$E$20&amp;Total!#REF!,0))</f>
        <v>#REF!</v>
      </c>
      <c r="F91" s="69"/>
      <c r="G91" s="70"/>
      <c r="H91" s="70"/>
      <c r="I91" s="249"/>
    </row>
    <row r="92" spans="1:9" ht="17.25" customHeight="1" thickBot="1">
      <c r="A92" s="247"/>
      <c r="B92" s="71"/>
      <c r="C92" s="71"/>
      <c r="D92" s="71"/>
      <c r="E92" s="71"/>
      <c r="F92" s="71"/>
      <c r="G92" s="71"/>
      <c r="H92" s="71"/>
      <c r="I92" s="249"/>
    </row>
    <row r="93" spans="1:9" ht="17.25" customHeight="1" thickBot="1">
      <c r="A93" s="247"/>
      <c r="B93" s="72"/>
      <c r="C93" s="73" t="s">
        <v>39</v>
      </c>
      <c r="D93" s="74"/>
      <c r="E93" s="74"/>
      <c r="F93" s="75" t="s">
        <v>40</v>
      </c>
      <c r="G93" s="75"/>
      <c r="H93" s="76"/>
      <c r="I93" s="249"/>
    </row>
    <row r="94" spans="1:9" ht="17.25" customHeight="1" thickTop="1">
      <c r="A94" s="247"/>
      <c r="B94" s="77"/>
      <c r="C94" s="50" t="s">
        <v>41</v>
      </c>
      <c r="D94" s="78"/>
      <c r="E94" s="78"/>
      <c r="F94" s="79"/>
      <c r="G94" s="80" t="e" cm="1">
        <f t="array" ref="G94">INDEX(Total!$K$8:$K$20,MATCH($C82&amp;$G82,Total!$E$8:$E$20&amp;Total!#REF!,0))</f>
        <v>#REF!</v>
      </c>
      <c r="H94" s="81"/>
      <c r="I94" s="249"/>
    </row>
    <row r="95" spans="1:9" ht="16.5" customHeight="1">
      <c r="A95" s="247"/>
      <c r="B95" s="77"/>
      <c r="C95" s="55" t="s">
        <v>42</v>
      </c>
      <c r="D95" s="82"/>
      <c r="E95" s="82"/>
      <c r="F95" s="83"/>
      <c r="G95" s="84" t="e" cm="1">
        <f t="array" ref="G95">INDEX(Total!$O$8:$O$20,MATCH($C82&amp;$G82,Total!$E$8:$E$20&amp;Total!#REF!,0))</f>
        <v>#REF!</v>
      </c>
      <c r="H95" s="85"/>
      <c r="I95" s="249"/>
    </row>
    <row r="96" spans="1:9" ht="16.5" customHeight="1">
      <c r="A96" s="247"/>
      <c r="B96" s="77"/>
      <c r="C96" s="55" t="s">
        <v>43</v>
      </c>
      <c r="D96" s="86"/>
      <c r="E96" s="86"/>
      <c r="F96" s="83"/>
      <c r="G96" s="84" t="e" cm="1">
        <f t="array" ref="G96">INDEX(Total!$N$8:$N$20,MATCH($C82&amp;$G82,Total!$E$8:$E$20&amp;Total!#REF!,0))</f>
        <v>#REF!</v>
      </c>
      <c r="H96" s="85"/>
      <c r="I96" s="249"/>
    </row>
    <row r="97" spans="1:10" ht="16.5" customHeight="1">
      <c r="A97" s="247"/>
      <c r="B97" s="77"/>
      <c r="C97" s="55" t="s">
        <v>44</v>
      </c>
      <c r="D97" s="87"/>
      <c r="E97" s="87"/>
      <c r="F97" s="83"/>
      <c r="G97" s="84" t="e" cm="1">
        <f t="array" ref="G97">INDEX(Total!$P$8:$P$20,MATCH($C82&amp;$G82,Total!$E$8:$E$20&amp;Total!#REF!,0))</f>
        <v>#REF!</v>
      </c>
      <c r="H97" s="85"/>
      <c r="I97" s="249"/>
    </row>
    <row r="98" spans="1:10" ht="16.5" customHeight="1">
      <c r="A98" s="247"/>
      <c r="B98" s="77"/>
      <c r="C98" s="55" t="s">
        <v>45</v>
      </c>
      <c r="D98" s="87"/>
      <c r="E98" s="87"/>
      <c r="F98" s="83"/>
      <c r="G98" s="84" t="e" cm="1">
        <f t="array" ref="G98">INDEX(Total!$Q$8:$Q$20,MATCH($C82&amp;$G82,Total!$E$8:$E$20&amp;Total!#REF!,0))</f>
        <v>#REF!</v>
      </c>
      <c r="H98" s="85"/>
      <c r="I98" s="249"/>
    </row>
    <row r="99" spans="1:10" ht="16.5" customHeight="1">
      <c r="A99" s="247"/>
      <c r="B99" s="77"/>
      <c r="C99" s="55" t="s">
        <v>46</v>
      </c>
      <c r="D99" s="82" t="s">
        <v>47</v>
      </c>
      <c r="E99" s="82"/>
      <c r="F99" s="83"/>
      <c r="G99" s="84" t="e" cm="1">
        <f t="array" ref="G99">INDEX(Total!$R$8:$R$20,MATCH($C82&amp;$G82,Total!$E$8:$E$20&amp;Total!#REF!,0))</f>
        <v>#REF!</v>
      </c>
      <c r="H99" s="85"/>
      <c r="I99" s="249"/>
    </row>
    <row r="100" spans="1:10" ht="16.5" customHeight="1">
      <c r="A100" s="247"/>
      <c r="B100" s="77"/>
      <c r="C100" s="55" t="s">
        <v>48</v>
      </c>
      <c r="D100" s="87"/>
      <c r="E100" s="87"/>
      <c r="F100" s="83"/>
      <c r="G100" s="84" t="e" cm="1">
        <f t="array" ref="G100">INDEX(Total!$T$8:$T$20,MATCH($C82&amp;$G82,Total!$E$8:$E$20&amp;Total!#REF!,0))</f>
        <v>#REF!</v>
      </c>
      <c r="H100" s="85"/>
      <c r="I100" s="249"/>
    </row>
    <row r="101" spans="1:10" ht="16.5" customHeight="1">
      <c r="A101" s="247"/>
      <c r="B101" s="77"/>
      <c r="C101" s="55" t="s">
        <v>49</v>
      </c>
      <c r="D101" s="87"/>
      <c r="E101" s="87"/>
      <c r="F101" s="83"/>
      <c r="G101" s="84" t="e" cm="1">
        <f t="array" ref="G101">INDEX(Total!$S$8:$S$20,MATCH($C82&amp;$G82,Total!$E$8:$E$20&amp;Total!#REF!,0))</f>
        <v>#REF!</v>
      </c>
      <c r="H101" s="85"/>
      <c r="I101" s="249"/>
    </row>
    <row r="102" spans="1:10" ht="17.25" customHeight="1" thickBot="1">
      <c r="A102" s="247"/>
      <c r="B102" s="77"/>
      <c r="C102" s="88" t="s">
        <v>50</v>
      </c>
      <c r="D102" s="89"/>
      <c r="E102" s="89"/>
      <c r="F102" s="90"/>
      <c r="G102" s="91" t="e" cm="1">
        <f t="array" ref="G102">-INDEX(Total!$U$8:$U$20,MATCH($C82&amp;$G82,Total!$E$8:$E$20&amp;Total!#REF!,0))</f>
        <v>#REF!</v>
      </c>
      <c r="H102" s="92"/>
      <c r="I102" s="249"/>
    </row>
    <row r="103" spans="1:10" ht="18" customHeight="1" thickTop="1" thickBot="1">
      <c r="A103" s="247"/>
      <c r="B103" s="93"/>
      <c r="C103" s="94"/>
      <c r="D103" s="95"/>
      <c r="E103" s="96" t="s">
        <v>1</v>
      </c>
      <c r="F103" s="251" t="e">
        <f>SUM($G94:$G102)</f>
        <v>#REF!</v>
      </c>
      <c r="G103" s="251"/>
      <c r="H103" s="98"/>
      <c r="I103" s="249"/>
      <c r="J103" s="99" t="e" cm="1">
        <f t="array" ref="J103">INDEX(Total!$W$8:$W$20,MATCH($C82&amp;$G82,Total!$E$8:$E$20&amp;Total!#REF!,0))</f>
        <v>#REF!</v>
      </c>
    </row>
    <row r="104" spans="1:10" ht="16.5" customHeight="1">
      <c r="A104" s="247"/>
      <c r="B104" s="42"/>
      <c r="C104" s="42"/>
      <c r="D104" s="42"/>
      <c r="E104" s="42"/>
      <c r="F104" s="239"/>
      <c r="G104" s="240"/>
      <c r="H104" s="45"/>
      <c r="I104" s="249"/>
    </row>
    <row r="105" spans="1:10" ht="16.5" customHeight="1">
      <c r="A105" s="247"/>
      <c r="B105" s="100" t="s">
        <v>51</v>
      </c>
      <c r="C105" s="42"/>
      <c r="D105" s="42"/>
      <c r="E105" s="42"/>
      <c r="F105" s="240"/>
      <c r="G105" s="240"/>
      <c r="H105" s="45"/>
      <c r="I105" s="249"/>
    </row>
    <row r="106" spans="1:10" ht="16.5" customHeight="1">
      <c r="A106" s="247"/>
      <c r="B106" s="100" t="s">
        <v>52</v>
      </c>
      <c r="C106" s="42"/>
      <c r="D106" s="241"/>
      <c r="E106" s="241"/>
      <c r="F106" s="240"/>
      <c r="G106" s="240"/>
      <c r="H106" s="45"/>
      <c r="I106" s="249"/>
    </row>
    <row r="107" spans="1:10" ht="16.5" customHeight="1">
      <c r="A107" s="247"/>
      <c r="B107" s="100" t="s">
        <v>53</v>
      </c>
      <c r="C107" s="42"/>
      <c r="D107" s="42"/>
      <c r="E107" s="42"/>
      <c r="F107" s="42"/>
      <c r="G107" s="42"/>
      <c r="H107" s="45"/>
      <c r="I107" s="249"/>
    </row>
    <row r="108" spans="1:10" ht="16.5" customHeight="1">
      <c r="A108" s="247"/>
      <c r="B108" s="101"/>
      <c r="C108" s="43"/>
      <c r="D108" s="102"/>
      <c r="E108" s="242" t="s">
        <v>54</v>
      </c>
      <c r="F108" s="242"/>
      <c r="G108" s="104"/>
      <c r="H108" s="105"/>
      <c r="I108" s="249"/>
    </row>
    <row r="109" spans="1:10" ht="16.5" customHeight="1">
      <c r="A109" s="247"/>
      <c r="B109" s="43"/>
      <c r="C109" s="43"/>
      <c r="D109" s="106"/>
      <c r="E109" s="106"/>
      <c r="F109" s="43"/>
      <c r="G109" s="43"/>
      <c r="H109" s="43"/>
      <c r="I109" s="249"/>
    </row>
    <row r="110" spans="1:10" ht="16.5" customHeight="1">
      <c r="A110" s="247"/>
      <c r="B110" s="43"/>
      <c r="C110" s="43"/>
      <c r="D110" s="106"/>
      <c r="E110" s="102"/>
      <c r="F110" s="103" t="s">
        <v>55</v>
      </c>
      <c r="G110" s="107"/>
      <c r="H110" s="108"/>
      <c r="I110" s="249"/>
    </row>
    <row r="111" spans="1:10" ht="16.5" customHeight="1"/>
    <row r="112" spans="1:10">
      <c r="A112" s="243"/>
      <c r="B112" s="243"/>
      <c r="C112" s="243"/>
      <c r="D112" s="243"/>
      <c r="E112" s="243"/>
      <c r="F112" s="243"/>
      <c r="G112" s="243"/>
      <c r="H112" s="243"/>
      <c r="I112" s="243"/>
    </row>
    <row r="113" spans="1:9" ht="27.75">
      <c r="A113" s="244" t="s">
        <v>56</v>
      </c>
      <c r="B113" s="244"/>
      <c r="C113" s="244"/>
      <c r="D113" s="244"/>
      <c r="E113" s="244"/>
      <c r="F113" s="244"/>
      <c r="G113" s="244"/>
      <c r="H113" s="244"/>
      <c r="I113" s="244"/>
    </row>
    <row r="114" spans="1:9" ht="27.75">
      <c r="A114" s="244" t="s">
        <v>57</v>
      </c>
      <c r="B114" s="244"/>
      <c r="C114" s="244"/>
      <c r="D114" s="244"/>
      <c r="E114" s="244"/>
      <c r="F114" s="244"/>
      <c r="G114" s="244"/>
      <c r="H114" s="244"/>
      <c r="I114" s="244"/>
    </row>
    <row r="115" spans="1:9">
      <c r="A115" s="245" t="s">
        <v>58</v>
      </c>
      <c r="B115" s="245"/>
      <c r="C115" s="245"/>
      <c r="D115" s="245"/>
      <c r="E115" s="245"/>
      <c r="F115" s="245"/>
      <c r="G115" s="245"/>
      <c r="H115" s="245"/>
      <c r="I115" s="245"/>
    </row>
    <row r="116" spans="1:9">
      <c r="A116" s="246"/>
      <c r="B116" s="246"/>
      <c r="C116" s="246"/>
      <c r="D116" s="246"/>
      <c r="E116" s="246"/>
      <c r="F116" s="246"/>
      <c r="G116" s="246"/>
      <c r="H116" s="246"/>
      <c r="I116" s="246"/>
    </row>
    <row r="117" spans="1:9" ht="21" thickBot="1">
      <c r="A117" s="247"/>
      <c r="B117" s="248" t="str">
        <f>Total!$A$2</f>
        <v>2026 June Ecovasc Promoter Salary Summary</v>
      </c>
      <c r="C117" s="248"/>
      <c r="D117" s="248"/>
      <c r="E117" s="248"/>
      <c r="F117" s="248"/>
      <c r="G117" s="248"/>
      <c r="H117" s="248"/>
      <c r="I117" s="249"/>
    </row>
    <row r="118" spans="1:9" ht="17.25" customHeight="1" thickTop="1">
      <c r="A118" s="247"/>
      <c r="B118" s="250"/>
      <c r="C118" s="250"/>
      <c r="D118" s="250"/>
      <c r="E118" s="250"/>
      <c r="F118" s="250"/>
      <c r="G118" s="250"/>
      <c r="H118" s="37"/>
      <c r="I118" s="249"/>
    </row>
    <row r="119" spans="1:9" ht="16.5" customHeight="1">
      <c r="A119" s="247"/>
      <c r="B119" s="38" t="s">
        <v>27</v>
      </c>
      <c r="C119" s="39" t="str">
        <f>Total!$E$11</f>
        <v>Leung Kam Ching</v>
      </c>
      <c r="D119" s="39" t="e" cm="1">
        <f t="array" ref="D119">INDEX(Total!$D$8:$D$20,MATCH($C119&amp;$G119,Total!$E$8:$E$20&amp;Total!#REF!,0))</f>
        <v>#REF!</v>
      </c>
      <c r="E119" s="40"/>
      <c r="F119" s="41" t="s">
        <v>28</v>
      </c>
      <c r="G119" s="39" t="e">
        <f>Total!#REF!</f>
        <v>#REF!</v>
      </c>
      <c r="H119" s="39"/>
      <c r="I119" s="249"/>
    </row>
    <row r="120" spans="1:9" ht="17.25" customHeight="1" thickBot="1">
      <c r="A120" s="247"/>
      <c r="B120" s="42"/>
      <c r="C120" s="42"/>
      <c r="D120" s="42"/>
      <c r="E120" s="43"/>
      <c r="F120" s="44"/>
      <c r="G120" s="45"/>
      <c r="H120" s="45"/>
      <c r="I120" s="249"/>
    </row>
    <row r="121" spans="1:9" ht="17.25" customHeight="1" thickBot="1">
      <c r="A121" s="247"/>
      <c r="B121" s="46" t="s">
        <v>29</v>
      </c>
      <c r="C121" s="47"/>
      <c r="D121" s="48"/>
      <c r="E121" s="47" t="s">
        <v>30</v>
      </c>
      <c r="F121" s="49"/>
      <c r="G121" s="45"/>
      <c r="H121" s="45"/>
      <c r="I121" s="249"/>
    </row>
    <row r="122" spans="1:9" ht="17.25" customHeight="1" thickTop="1">
      <c r="A122" s="247"/>
      <c r="B122" s="50" t="s">
        <v>31</v>
      </c>
      <c r="C122" s="51"/>
      <c r="D122" s="52"/>
      <c r="E122" s="53" t="s">
        <v>32</v>
      </c>
      <c r="F122" s="54"/>
      <c r="G122" s="45"/>
      <c r="H122" s="45"/>
      <c r="I122" s="249"/>
    </row>
    <row r="123" spans="1:9" ht="16.5" customHeight="1">
      <c r="A123" s="247"/>
      <c r="B123" s="55" t="s">
        <v>33</v>
      </c>
      <c r="C123" s="56"/>
      <c r="D123" s="57"/>
      <c r="E123" s="58" t="e" cm="1">
        <f t="array" ref="E123">INDEX(Total!$F$8:$F$20,MATCH($C119&amp;$G119,Total!$E$8:$E$20&amp;Total!#REF!,0))</f>
        <v>#REF!</v>
      </c>
      <c r="F123" s="59"/>
      <c r="G123" s="45"/>
      <c r="H123" s="45"/>
      <c r="I123" s="249"/>
    </row>
    <row r="124" spans="1:9" ht="16.5" customHeight="1">
      <c r="A124" s="247"/>
      <c r="B124" s="55" t="s">
        <v>34</v>
      </c>
      <c r="C124" s="60"/>
      <c r="D124" s="57"/>
      <c r="E124" s="61" t="e" cm="1">
        <f t="array" ref="E124">INDEX(Total!$G$8:$G$20,MATCH($C119&amp;$G119,Total!$E$8:$E$20&amp;Total!#REF!,0))</f>
        <v>#REF!</v>
      </c>
      <c r="F124" s="59"/>
      <c r="G124" s="45"/>
      <c r="H124" s="45"/>
      <c r="I124" s="249"/>
    </row>
    <row r="125" spans="1:9" ht="16.5" customHeight="1">
      <c r="A125" s="247"/>
      <c r="B125" s="55" t="s">
        <v>35</v>
      </c>
      <c r="C125" s="60"/>
      <c r="D125" s="57"/>
      <c r="E125" s="62" t="e" cm="1">
        <f t="array" ref="E125">INDEX(Total!$H$8:$H$20,MATCH($C119&amp;$G119,Total!$E$8:$E$20&amp;Total!#REF!,0))</f>
        <v>#REF!</v>
      </c>
      <c r="F125" s="59"/>
      <c r="G125" s="44"/>
      <c r="H125" s="44"/>
      <c r="I125" s="249"/>
    </row>
    <row r="126" spans="1:9" ht="16.5" customHeight="1">
      <c r="A126" s="247"/>
      <c r="B126" s="55" t="s">
        <v>36</v>
      </c>
      <c r="C126" s="56"/>
      <c r="D126" s="63"/>
      <c r="E126" s="62" t="e" cm="1">
        <f t="array" ref="E126">INDEX(Total!$I$8:$I$20,MATCH($C119&amp;$G119,Total!$E$8:$E$20&amp;Total!#REF!,0))</f>
        <v>#REF!</v>
      </c>
      <c r="F126" s="64"/>
      <c r="G126" s="44"/>
      <c r="H126" s="44"/>
      <c r="I126" s="249"/>
    </row>
    <row r="127" spans="1:9" ht="16.5" customHeight="1">
      <c r="A127" s="247"/>
      <c r="B127" s="55" t="s">
        <v>37</v>
      </c>
      <c r="C127" s="56"/>
      <c r="D127" s="63"/>
      <c r="E127" s="62" t="e" cm="1">
        <f t="array" ref="E127">INDEX(Total!$J$8:$J$20,MATCH($C119&amp;$G119,Total!$E$8:$E$20&amp;Total!#REF!,0))</f>
        <v>#REF!</v>
      </c>
      <c r="F127" s="64"/>
      <c r="G127" s="44"/>
      <c r="H127" s="44"/>
      <c r="I127" s="249"/>
    </row>
    <row r="128" spans="1:9" ht="17.25" customHeight="1" thickBot="1">
      <c r="A128" s="247"/>
      <c r="B128" s="65" t="s">
        <v>38</v>
      </c>
      <c r="C128" s="66"/>
      <c r="D128" s="67"/>
      <c r="E128" s="68" t="e" cm="1">
        <f t="array" ref="E128">INDEX(Total!$L$8:$L$20,MATCH($C119&amp;$G119,Total!$E$8:$E$20&amp;Total!#REF!,0))</f>
        <v>#REF!</v>
      </c>
      <c r="F128" s="69"/>
      <c r="G128" s="70"/>
      <c r="H128" s="70"/>
      <c r="I128" s="249"/>
    </row>
    <row r="129" spans="1:10" ht="17.25" customHeight="1" thickBot="1">
      <c r="A129" s="247"/>
      <c r="B129" s="71"/>
      <c r="C129" s="71"/>
      <c r="D129" s="71"/>
      <c r="E129" s="71"/>
      <c r="F129" s="71"/>
      <c r="G129" s="71"/>
      <c r="H129" s="71"/>
      <c r="I129" s="249"/>
    </row>
    <row r="130" spans="1:10" ht="17.25" customHeight="1" thickBot="1">
      <c r="A130" s="247"/>
      <c r="B130" s="72"/>
      <c r="C130" s="73" t="s">
        <v>39</v>
      </c>
      <c r="D130" s="74"/>
      <c r="E130" s="74"/>
      <c r="F130" s="75" t="s">
        <v>40</v>
      </c>
      <c r="G130" s="75"/>
      <c r="H130" s="76"/>
      <c r="I130" s="249"/>
    </row>
    <row r="131" spans="1:10" ht="17.25" customHeight="1" thickTop="1">
      <c r="A131" s="247"/>
      <c r="B131" s="77"/>
      <c r="C131" s="50" t="s">
        <v>41</v>
      </c>
      <c r="D131" s="78"/>
      <c r="E131" s="78"/>
      <c r="F131" s="79"/>
      <c r="G131" s="80" t="e" cm="1">
        <f t="array" ref="G131">INDEX(Total!$K$8:$K$20,MATCH($C119&amp;$G119,Total!$E$8:$E$20&amp;Total!#REF!,0))</f>
        <v>#REF!</v>
      </c>
      <c r="H131" s="81"/>
      <c r="I131" s="249"/>
    </row>
    <row r="132" spans="1:10" ht="16.5" customHeight="1">
      <c r="A132" s="247"/>
      <c r="B132" s="77"/>
      <c r="C132" s="55" t="s">
        <v>42</v>
      </c>
      <c r="D132" s="82"/>
      <c r="E132" s="82"/>
      <c r="F132" s="83"/>
      <c r="G132" s="84" t="e" cm="1">
        <f t="array" ref="G132">INDEX(Total!$O$8:$O$20,MATCH($C119&amp;$G119,Total!$E$8:$E$20&amp;Total!#REF!,0))</f>
        <v>#REF!</v>
      </c>
      <c r="H132" s="85"/>
      <c r="I132" s="249"/>
    </row>
    <row r="133" spans="1:10" ht="16.5" customHeight="1">
      <c r="A133" s="247"/>
      <c r="B133" s="77"/>
      <c r="C133" s="55" t="s">
        <v>43</v>
      </c>
      <c r="D133" s="86"/>
      <c r="E133" s="86"/>
      <c r="F133" s="83"/>
      <c r="G133" s="84" t="e" cm="1">
        <f t="array" ref="G133">INDEX(Total!$N$8:$N$20,MATCH($C119&amp;$G119,Total!$E$8:$E$20&amp;Total!#REF!,0))</f>
        <v>#REF!</v>
      </c>
      <c r="H133" s="85"/>
      <c r="I133" s="249"/>
    </row>
    <row r="134" spans="1:10" ht="16.5" customHeight="1">
      <c r="A134" s="247"/>
      <c r="B134" s="77"/>
      <c r="C134" s="55" t="s">
        <v>44</v>
      </c>
      <c r="D134" s="87"/>
      <c r="E134" s="87"/>
      <c r="F134" s="83"/>
      <c r="G134" s="84" t="e" cm="1">
        <f t="array" ref="G134">INDEX(Total!$P$8:$P$20,MATCH($C119&amp;$G119,Total!$E$8:$E$20&amp;Total!#REF!,0))</f>
        <v>#REF!</v>
      </c>
      <c r="H134" s="85"/>
      <c r="I134" s="249"/>
    </row>
    <row r="135" spans="1:10" ht="16.5" customHeight="1">
      <c r="A135" s="247"/>
      <c r="B135" s="77"/>
      <c r="C135" s="55" t="s">
        <v>45</v>
      </c>
      <c r="D135" s="87"/>
      <c r="E135" s="87"/>
      <c r="F135" s="83"/>
      <c r="G135" s="84" t="e" cm="1">
        <f t="array" ref="G135">INDEX(Total!$Q$8:$Q$20,MATCH($C119&amp;$G119,Total!$E$8:$E$20&amp;Total!#REF!,0))</f>
        <v>#REF!</v>
      </c>
      <c r="H135" s="85"/>
      <c r="I135" s="249"/>
    </row>
    <row r="136" spans="1:10" ht="16.5" customHeight="1">
      <c r="A136" s="247"/>
      <c r="B136" s="77"/>
      <c r="C136" s="55" t="s">
        <v>46</v>
      </c>
      <c r="D136" s="82" t="s">
        <v>47</v>
      </c>
      <c r="E136" s="82"/>
      <c r="F136" s="83"/>
      <c r="G136" s="84" t="e" cm="1">
        <f t="array" ref="G136">INDEX(Total!$R$8:$R$20,MATCH($C119&amp;$G119,Total!$E$8:$E$20&amp;Total!#REF!,0))</f>
        <v>#REF!</v>
      </c>
      <c r="H136" s="85"/>
      <c r="I136" s="249"/>
    </row>
    <row r="137" spans="1:10" ht="16.5" customHeight="1">
      <c r="A137" s="247"/>
      <c r="B137" s="77"/>
      <c r="C137" s="55" t="s">
        <v>48</v>
      </c>
      <c r="D137" s="87"/>
      <c r="E137" s="87"/>
      <c r="F137" s="83"/>
      <c r="G137" s="84" t="e" cm="1">
        <f t="array" ref="G137">INDEX(Total!$T$8:$T$20,MATCH($C119&amp;$G119,Total!$E$8:$E$20&amp;Total!#REF!,0))</f>
        <v>#REF!</v>
      </c>
      <c r="H137" s="85"/>
      <c r="I137" s="249"/>
    </row>
    <row r="138" spans="1:10" ht="16.5" customHeight="1">
      <c r="A138" s="247"/>
      <c r="B138" s="77"/>
      <c r="C138" s="55" t="s">
        <v>49</v>
      </c>
      <c r="D138" s="87"/>
      <c r="E138" s="87"/>
      <c r="F138" s="83"/>
      <c r="G138" s="84" t="e" cm="1">
        <f t="array" ref="G138">INDEX(Total!$S$8:$S$20,MATCH($C119&amp;$G119,Total!$E$8:$E$20&amp;Total!#REF!,0))</f>
        <v>#REF!</v>
      </c>
      <c r="H138" s="85"/>
      <c r="I138" s="249"/>
    </row>
    <row r="139" spans="1:10" ht="17.25" customHeight="1" thickBot="1">
      <c r="A139" s="247"/>
      <c r="B139" s="77"/>
      <c r="C139" s="88" t="s">
        <v>50</v>
      </c>
      <c r="D139" s="89"/>
      <c r="E139" s="89"/>
      <c r="F139" s="90"/>
      <c r="G139" s="91" t="e" cm="1">
        <f t="array" ref="G139">-INDEX(Total!$U$8:$U$20,MATCH($C119&amp;$G119,Total!$E$8:$E$20&amp;Total!#REF!,0))</f>
        <v>#REF!</v>
      </c>
      <c r="H139" s="92"/>
      <c r="I139" s="249"/>
    </row>
    <row r="140" spans="1:10" ht="18" customHeight="1" thickTop="1" thickBot="1">
      <c r="A140" s="247"/>
      <c r="B140" s="93"/>
      <c r="C140" s="94"/>
      <c r="D140" s="95"/>
      <c r="E140" s="96" t="s">
        <v>1</v>
      </c>
      <c r="F140" s="251" t="e">
        <f>SUM($G131:$G139)</f>
        <v>#REF!</v>
      </c>
      <c r="G140" s="251"/>
      <c r="H140" s="98"/>
      <c r="I140" s="249"/>
      <c r="J140" s="99" t="e" cm="1">
        <f t="array" ref="J140">INDEX(Total!$W$8:$W$20,MATCH($C119&amp;$G119,Total!$E$8:$E$20&amp;Total!#REF!,0))</f>
        <v>#REF!</v>
      </c>
    </row>
    <row r="141" spans="1:10" ht="16.5" customHeight="1">
      <c r="A141" s="247"/>
      <c r="B141" s="42"/>
      <c r="C141" s="42"/>
      <c r="D141" s="42"/>
      <c r="E141" s="42"/>
      <c r="F141" s="239"/>
      <c r="G141" s="240"/>
      <c r="H141" s="45"/>
      <c r="I141" s="249"/>
    </row>
    <row r="142" spans="1:10" ht="16.5" customHeight="1">
      <c r="A142" s="247"/>
      <c r="B142" s="100" t="s">
        <v>51</v>
      </c>
      <c r="C142" s="42"/>
      <c r="D142" s="42"/>
      <c r="E142" s="42"/>
      <c r="F142" s="240"/>
      <c r="G142" s="240"/>
      <c r="H142" s="45"/>
      <c r="I142" s="249"/>
    </row>
    <row r="143" spans="1:10" ht="16.5" customHeight="1">
      <c r="A143" s="247"/>
      <c r="B143" s="100" t="s">
        <v>52</v>
      </c>
      <c r="C143" s="42"/>
      <c r="D143" s="241"/>
      <c r="E143" s="241"/>
      <c r="F143" s="240"/>
      <c r="G143" s="240"/>
      <c r="H143" s="45"/>
      <c r="I143" s="249"/>
    </row>
    <row r="144" spans="1:10" ht="16.5" customHeight="1">
      <c r="A144" s="247"/>
      <c r="B144" s="100" t="s">
        <v>53</v>
      </c>
      <c r="C144" s="42"/>
      <c r="D144" s="42"/>
      <c r="E144" s="42"/>
      <c r="F144" s="42"/>
      <c r="G144" s="42"/>
      <c r="H144" s="45"/>
      <c r="I144" s="249"/>
    </row>
    <row r="145" spans="1:9" ht="16.5" customHeight="1">
      <c r="A145" s="247"/>
      <c r="B145" s="101"/>
      <c r="C145" s="43"/>
      <c r="D145" s="102"/>
      <c r="E145" s="242" t="s">
        <v>54</v>
      </c>
      <c r="F145" s="242"/>
      <c r="G145" s="104"/>
      <c r="H145" s="105"/>
      <c r="I145" s="249"/>
    </row>
    <row r="146" spans="1:9" ht="16.5" customHeight="1">
      <c r="A146" s="247"/>
      <c r="B146" s="43"/>
      <c r="C146" s="43"/>
      <c r="D146" s="106"/>
      <c r="E146" s="106"/>
      <c r="F146" s="43"/>
      <c r="G146" s="43"/>
      <c r="H146" s="43"/>
      <c r="I146" s="249"/>
    </row>
    <row r="147" spans="1:9" ht="16.5" customHeight="1">
      <c r="A147" s="247"/>
      <c r="B147" s="43"/>
      <c r="C147" s="43"/>
      <c r="D147" s="106"/>
      <c r="E147" s="102"/>
      <c r="F147" s="103" t="s">
        <v>55</v>
      </c>
      <c r="G147" s="107"/>
      <c r="H147" s="108"/>
      <c r="I147" s="249"/>
    </row>
    <row r="148" spans="1:9" ht="16.5" customHeight="1"/>
    <row r="149" spans="1:9">
      <c r="A149" s="243"/>
      <c r="B149" s="243"/>
      <c r="C149" s="243"/>
      <c r="D149" s="243"/>
      <c r="E149" s="243"/>
      <c r="F149" s="243"/>
      <c r="G149" s="243"/>
      <c r="H149" s="243"/>
      <c r="I149" s="243"/>
    </row>
    <row r="150" spans="1:9" ht="27.75">
      <c r="A150" s="244" t="s">
        <v>56</v>
      </c>
      <c r="B150" s="244"/>
      <c r="C150" s="244"/>
      <c r="D150" s="244"/>
      <c r="E150" s="244"/>
      <c r="F150" s="244"/>
      <c r="G150" s="244"/>
      <c r="H150" s="244"/>
      <c r="I150" s="244"/>
    </row>
    <row r="151" spans="1:9" ht="27.75">
      <c r="A151" s="244" t="s">
        <v>57</v>
      </c>
      <c r="B151" s="244"/>
      <c r="C151" s="244"/>
      <c r="D151" s="244"/>
      <c r="E151" s="244"/>
      <c r="F151" s="244"/>
      <c r="G151" s="244"/>
      <c r="H151" s="244"/>
      <c r="I151" s="244"/>
    </row>
    <row r="152" spans="1:9">
      <c r="A152" s="245" t="s">
        <v>58</v>
      </c>
      <c r="B152" s="245"/>
      <c r="C152" s="245"/>
      <c r="D152" s="245"/>
      <c r="E152" s="245"/>
      <c r="F152" s="245"/>
      <c r="G152" s="245"/>
      <c r="H152" s="245"/>
      <c r="I152" s="245"/>
    </row>
    <row r="153" spans="1:9">
      <c r="A153" s="246"/>
      <c r="B153" s="246"/>
      <c r="C153" s="246"/>
      <c r="D153" s="246"/>
      <c r="E153" s="246"/>
      <c r="F153" s="246"/>
      <c r="G153" s="246"/>
      <c r="H153" s="246"/>
      <c r="I153" s="246"/>
    </row>
    <row r="154" spans="1:9" ht="21" thickBot="1">
      <c r="A154" s="247"/>
      <c r="B154" s="248" t="str">
        <f>Total!$A$2</f>
        <v>2026 June Ecovasc Promoter Salary Summary</v>
      </c>
      <c r="C154" s="248"/>
      <c r="D154" s="248"/>
      <c r="E154" s="248"/>
      <c r="F154" s="248"/>
      <c r="G154" s="248"/>
      <c r="H154" s="248"/>
      <c r="I154" s="249"/>
    </row>
    <row r="155" spans="1:9" ht="17.25" customHeight="1" thickTop="1">
      <c r="A155" s="247"/>
      <c r="B155" s="250"/>
      <c r="C155" s="250"/>
      <c r="D155" s="250"/>
      <c r="E155" s="250"/>
      <c r="F155" s="250"/>
      <c r="G155" s="250"/>
      <c r="H155" s="37"/>
      <c r="I155" s="249"/>
    </row>
    <row r="156" spans="1:9" ht="16.5" customHeight="1">
      <c r="A156" s="247"/>
      <c r="B156" s="38" t="s">
        <v>27</v>
      </c>
      <c r="C156" s="39" t="str">
        <f>Total!$E$12</f>
        <v>Leung Kam Ching</v>
      </c>
      <c r="D156" s="39" t="e" cm="1">
        <f t="array" ref="D156">INDEX(Total!$D$8:$D$20,MATCH($C156&amp;$G156,Total!$E$8:$E$20&amp;Total!#REF!,0))</f>
        <v>#REF!</v>
      </c>
      <c r="E156" s="40"/>
      <c r="F156" s="41" t="s">
        <v>28</v>
      </c>
      <c r="G156" s="39" t="e">
        <f>Total!#REF!</f>
        <v>#REF!</v>
      </c>
      <c r="H156" s="39"/>
      <c r="I156" s="249"/>
    </row>
    <row r="157" spans="1:9" ht="17.25" customHeight="1" thickBot="1">
      <c r="A157" s="247"/>
      <c r="B157" s="42"/>
      <c r="C157" s="42"/>
      <c r="D157" s="42"/>
      <c r="E157" s="43"/>
      <c r="F157" s="44"/>
      <c r="G157" s="45"/>
      <c r="H157" s="45"/>
      <c r="I157" s="249"/>
    </row>
    <row r="158" spans="1:9" ht="17.25" customHeight="1" thickBot="1">
      <c r="A158" s="247"/>
      <c r="B158" s="46" t="s">
        <v>29</v>
      </c>
      <c r="C158" s="47"/>
      <c r="D158" s="48"/>
      <c r="E158" s="47" t="s">
        <v>30</v>
      </c>
      <c r="F158" s="49"/>
      <c r="G158" s="45"/>
      <c r="H158" s="45"/>
      <c r="I158" s="249"/>
    </row>
    <row r="159" spans="1:9" ht="17.25" customHeight="1" thickTop="1">
      <c r="A159" s="247"/>
      <c r="B159" s="50" t="s">
        <v>31</v>
      </c>
      <c r="C159" s="51"/>
      <c r="D159" s="52"/>
      <c r="E159" s="53" t="s">
        <v>32</v>
      </c>
      <c r="F159" s="54"/>
      <c r="G159" s="45"/>
      <c r="H159" s="45"/>
      <c r="I159" s="249"/>
    </row>
    <row r="160" spans="1:9" ht="16.5" customHeight="1">
      <c r="A160" s="247"/>
      <c r="B160" s="55" t="s">
        <v>33</v>
      </c>
      <c r="C160" s="56"/>
      <c r="D160" s="57"/>
      <c r="E160" s="58" t="e" cm="1">
        <f t="array" ref="E160">INDEX(Total!$F$8:$F$20,MATCH($C156&amp;$G156,Total!$E$8:$E$20&amp;Total!#REF!,0))</f>
        <v>#REF!</v>
      </c>
      <c r="F160" s="59"/>
      <c r="G160" s="45"/>
      <c r="H160" s="45"/>
      <c r="I160" s="249"/>
    </row>
    <row r="161" spans="1:9" ht="16.5" customHeight="1">
      <c r="A161" s="247"/>
      <c r="B161" s="55" t="s">
        <v>34</v>
      </c>
      <c r="C161" s="60"/>
      <c r="D161" s="57"/>
      <c r="E161" s="61" t="e" cm="1">
        <f t="array" ref="E161">INDEX(Total!$G$8:$G$20,MATCH($C156&amp;$G156,Total!$E$8:$E$20&amp;Total!#REF!,0))</f>
        <v>#REF!</v>
      </c>
      <c r="F161" s="59"/>
      <c r="G161" s="45"/>
      <c r="H161" s="45"/>
      <c r="I161" s="249"/>
    </row>
    <row r="162" spans="1:9" ht="16.5" customHeight="1">
      <c r="A162" s="247"/>
      <c r="B162" s="55" t="s">
        <v>35</v>
      </c>
      <c r="C162" s="60"/>
      <c r="D162" s="57"/>
      <c r="E162" s="62" t="e" cm="1">
        <f t="array" ref="E162">INDEX(Total!$H$8:$H$20,MATCH($C156&amp;$G156,Total!$E$8:$E$20&amp;Total!#REF!,0))</f>
        <v>#REF!</v>
      </c>
      <c r="F162" s="59"/>
      <c r="G162" s="44"/>
      <c r="H162" s="44"/>
      <c r="I162" s="249"/>
    </row>
    <row r="163" spans="1:9" ht="16.5" customHeight="1">
      <c r="A163" s="247"/>
      <c r="B163" s="55" t="s">
        <v>36</v>
      </c>
      <c r="C163" s="56"/>
      <c r="D163" s="63"/>
      <c r="E163" s="62" t="e" cm="1">
        <f t="array" ref="E163">INDEX(Total!$I$8:$I$20,MATCH($C156&amp;$G156,Total!$E$8:$E$20&amp;Total!#REF!,0))</f>
        <v>#REF!</v>
      </c>
      <c r="F163" s="64"/>
      <c r="G163" s="44"/>
      <c r="H163" s="44"/>
      <c r="I163" s="249"/>
    </row>
    <row r="164" spans="1:9" ht="16.5" customHeight="1">
      <c r="A164" s="247"/>
      <c r="B164" s="55" t="s">
        <v>37</v>
      </c>
      <c r="C164" s="56"/>
      <c r="D164" s="63"/>
      <c r="E164" s="62" t="e" cm="1">
        <f t="array" ref="E164">INDEX(Total!$J$8:$J$20,MATCH($C156&amp;$G156,Total!$E$8:$E$20&amp;Total!#REF!,0))</f>
        <v>#REF!</v>
      </c>
      <c r="F164" s="64"/>
      <c r="G164" s="44"/>
      <c r="H164" s="44"/>
      <c r="I164" s="249"/>
    </row>
    <row r="165" spans="1:9" ht="17.25" customHeight="1" thickBot="1">
      <c r="A165" s="247"/>
      <c r="B165" s="65" t="s">
        <v>38</v>
      </c>
      <c r="C165" s="66"/>
      <c r="D165" s="67"/>
      <c r="E165" s="68" t="e" cm="1">
        <f t="array" ref="E165">INDEX(Total!$L$8:$L$20,MATCH($C156&amp;$G156,Total!$E$8:$E$20&amp;Total!#REF!,0))</f>
        <v>#REF!</v>
      </c>
      <c r="F165" s="69"/>
      <c r="G165" s="70"/>
      <c r="H165" s="70"/>
      <c r="I165" s="249"/>
    </row>
    <row r="166" spans="1:9" ht="17.25" customHeight="1" thickBot="1">
      <c r="A166" s="247"/>
      <c r="B166" s="71"/>
      <c r="C166" s="71"/>
      <c r="D166" s="71"/>
      <c r="E166" s="71"/>
      <c r="F166" s="71"/>
      <c r="G166" s="71"/>
      <c r="H166" s="71"/>
      <c r="I166" s="249"/>
    </row>
    <row r="167" spans="1:9" ht="17.25" customHeight="1" thickBot="1">
      <c r="A167" s="247"/>
      <c r="B167" s="72"/>
      <c r="C167" s="73" t="s">
        <v>39</v>
      </c>
      <c r="D167" s="74"/>
      <c r="E167" s="74"/>
      <c r="F167" s="75" t="s">
        <v>40</v>
      </c>
      <c r="G167" s="75"/>
      <c r="H167" s="76"/>
      <c r="I167" s="249"/>
    </row>
    <row r="168" spans="1:9" ht="17.25" customHeight="1" thickTop="1">
      <c r="A168" s="247"/>
      <c r="B168" s="77"/>
      <c r="C168" s="50" t="s">
        <v>41</v>
      </c>
      <c r="D168" s="78"/>
      <c r="E168" s="78"/>
      <c r="F168" s="79"/>
      <c r="G168" s="80" t="e" cm="1">
        <f t="array" ref="G168">INDEX(Total!$K$8:$K$20,MATCH($C156&amp;$G156,Total!$E$8:$E$20&amp;Total!#REF!,0))</f>
        <v>#REF!</v>
      </c>
      <c r="H168" s="81"/>
      <c r="I168" s="249"/>
    </row>
    <row r="169" spans="1:9" ht="16.5" customHeight="1">
      <c r="A169" s="247"/>
      <c r="B169" s="77"/>
      <c r="C169" s="55" t="s">
        <v>42</v>
      </c>
      <c r="D169" s="82"/>
      <c r="E169" s="82"/>
      <c r="F169" s="83"/>
      <c r="G169" s="84" t="e" cm="1">
        <f t="array" ref="G169">INDEX(Total!$O$8:$O$20,MATCH($C156&amp;$G156,Total!$E$8:$E$20&amp;Total!#REF!,0))</f>
        <v>#REF!</v>
      </c>
      <c r="H169" s="85"/>
      <c r="I169" s="249"/>
    </row>
    <row r="170" spans="1:9" ht="16.5" customHeight="1">
      <c r="A170" s="247"/>
      <c r="B170" s="77"/>
      <c r="C170" s="55" t="s">
        <v>43</v>
      </c>
      <c r="D170" s="86"/>
      <c r="E170" s="86"/>
      <c r="F170" s="83"/>
      <c r="G170" s="84" t="e" cm="1">
        <f t="array" ref="G170">INDEX(Total!$N$8:$N$20,MATCH($C156&amp;$G156,Total!$E$8:$E$20&amp;Total!#REF!,0))</f>
        <v>#REF!</v>
      </c>
      <c r="H170" s="85"/>
      <c r="I170" s="249"/>
    </row>
    <row r="171" spans="1:9" ht="16.5" customHeight="1">
      <c r="A171" s="247"/>
      <c r="B171" s="77"/>
      <c r="C171" s="55" t="s">
        <v>44</v>
      </c>
      <c r="D171" s="87"/>
      <c r="E171" s="87"/>
      <c r="F171" s="83"/>
      <c r="G171" s="84" t="e" cm="1">
        <f t="array" ref="G171">INDEX(Total!$P$8:$P$20,MATCH($C156&amp;$G156,Total!$E$8:$E$20&amp;Total!#REF!,0))</f>
        <v>#REF!</v>
      </c>
      <c r="H171" s="85"/>
      <c r="I171" s="249"/>
    </row>
    <row r="172" spans="1:9" ht="16.5" customHeight="1">
      <c r="A172" s="247"/>
      <c r="B172" s="77"/>
      <c r="C172" s="55" t="s">
        <v>45</v>
      </c>
      <c r="D172" s="87"/>
      <c r="E172" s="87"/>
      <c r="F172" s="83"/>
      <c r="G172" s="84" t="e" cm="1">
        <f t="array" ref="G172">INDEX(Total!$Q$8:$Q$20,MATCH($C156&amp;$G156,Total!$E$8:$E$20&amp;Total!#REF!,0))</f>
        <v>#REF!</v>
      </c>
      <c r="H172" s="85"/>
      <c r="I172" s="249"/>
    </row>
    <row r="173" spans="1:9" ht="16.5" customHeight="1">
      <c r="A173" s="247"/>
      <c r="B173" s="77"/>
      <c r="C173" s="55" t="s">
        <v>46</v>
      </c>
      <c r="D173" s="82" t="s">
        <v>47</v>
      </c>
      <c r="E173" s="82"/>
      <c r="F173" s="83"/>
      <c r="G173" s="84" t="e" cm="1">
        <f t="array" ref="G173">INDEX(Total!$R$8:$R$20,MATCH($C156&amp;$G156,Total!$E$8:$E$20&amp;Total!#REF!,0))</f>
        <v>#REF!</v>
      </c>
      <c r="H173" s="85"/>
      <c r="I173" s="249"/>
    </row>
    <row r="174" spans="1:9" ht="16.5" customHeight="1">
      <c r="A174" s="247"/>
      <c r="B174" s="77"/>
      <c r="C174" s="55" t="s">
        <v>48</v>
      </c>
      <c r="D174" s="87"/>
      <c r="E174" s="87"/>
      <c r="F174" s="83"/>
      <c r="G174" s="84" t="e" cm="1">
        <f t="array" ref="G174">INDEX(Total!$T$8:$T$20,MATCH($C156&amp;$G156,Total!$E$8:$E$20&amp;Total!#REF!,0))</f>
        <v>#REF!</v>
      </c>
      <c r="H174" s="85"/>
      <c r="I174" s="249"/>
    </row>
    <row r="175" spans="1:9" ht="16.5" customHeight="1">
      <c r="A175" s="247"/>
      <c r="B175" s="77"/>
      <c r="C175" s="55" t="s">
        <v>49</v>
      </c>
      <c r="D175" s="87"/>
      <c r="E175" s="87"/>
      <c r="F175" s="83"/>
      <c r="G175" s="84" t="e" cm="1">
        <f t="array" ref="G175">INDEX(Total!$S$8:$S$20,MATCH($C156&amp;$G156,Total!$E$8:$E$20&amp;Total!#REF!,0))</f>
        <v>#REF!</v>
      </c>
      <c r="H175" s="85"/>
      <c r="I175" s="249"/>
    </row>
    <row r="176" spans="1:9" ht="17.25" customHeight="1" thickBot="1">
      <c r="A176" s="247"/>
      <c r="B176" s="77"/>
      <c r="C176" s="88" t="s">
        <v>50</v>
      </c>
      <c r="D176" s="89"/>
      <c r="E176" s="89"/>
      <c r="F176" s="90"/>
      <c r="G176" s="91" t="e" cm="1">
        <f t="array" ref="G176">-INDEX(Total!$U$8:$U$20,MATCH($C156&amp;$G156,Total!$E$8:$E$20&amp;Total!#REF!,0))</f>
        <v>#REF!</v>
      </c>
      <c r="H176" s="92"/>
      <c r="I176" s="249"/>
    </row>
    <row r="177" spans="1:10" ht="18" customHeight="1" thickTop="1" thickBot="1">
      <c r="A177" s="247"/>
      <c r="B177" s="93"/>
      <c r="C177" s="94"/>
      <c r="D177" s="95"/>
      <c r="E177" s="96" t="s">
        <v>1</v>
      </c>
      <c r="F177" s="251" t="e">
        <f>SUM($G168:$G176)</f>
        <v>#REF!</v>
      </c>
      <c r="G177" s="251"/>
      <c r="H177" s="98"/>
      <c r="I177" s="249"/>
      <c r="J177" s="99" t="e" cm="1">
        <f t="array" ref="J177">INDEX(Total!$W$8:$W$20,MATCH($C156&amp;$G156,Total!$E$8:$E$20&amp;Total!#REF!,0))</f>
        <v>#REF!</v>
      </c>
    </row>
    <row r="178" spans="1:10" ht="16.5" customHeight="1">
      <c r="A178" s="247"/>
      <c r="B178" s="42"/>
      <c r="C178" s="42"/>
      <c r="D178" s="42"/>
      <c r="E178" s="42"/>
      <c r="F178" s="239"/>
      <c r="G178" s="240"/>
      <c r="H178" s="45"/>
      <c r="I178" s="249"/>
    </row>
    <row r="179" spans="1:10" ht="16.5" customHeight="1">
      <c r="A179" s="247"/>
      <c r="B179" s="100" t="s">
        <v>51</v>
      </c>
      <c r="C179" s="42"/>
      <c r="D179" s="42"/>
      <c r="E179" s="42"/>
      <c r="F179" s="240"/>
      <c r="G179" s="240"/>
      <c r="H179" s="45"/>
      <c r="I179" s="249"/>
    </row>
    <row r="180" spans="1:10" ht="16.5" customHeight="1">
      <c r="A180" s="247"/>
      <c r="B180" s="100" t="s">
        <v>52</v>
      </c>
      <c r="C180" s="42"/>
      <c r="D180" s="241"/>
      <c r="E180" s="241"/>
      <c r="F180" s="240"/>
      <c r="G180" s="240"/>
      <c r="H180" s="45"/>
      <c r="I180" s="249"/>
    </row>
    <row r="181" spans="1:10" ht="16.5" customHeight="1">
      <c r="A181" s="247"/>
      <c r="B181" s="100" t="s">
        <v>53</v>
      </c>
      <c r="C181" s="42"/>
      <c r="D181" s="42"/>
      <c r="E181" s="42"/>
      <c r="F181" s="42"/>
      <c r="G181" s="42"/>
      <c r="H181" s="45"/>
      <c r="I181" s="249"/>
    </row>
    <row r="182" spans="1:10" ht="16.5" customHeight="1">
      <c r="A182" s="247"/>
      <c r="B182" s="101"/>
      <c r="C182" s="43"/>
      <c r="D182" s="102"/>
      <c r="E182" s="242" t="s">
        <v>54</v>
      </c>
      <c r="F182" s="242"/>
      <c r="G182" s="104"/>
      <c r="H182" s="105"/>
      <c r="I182" s="249"/>
    </row>
    <row r="183" spans="1:10" ht="16.5" customHeight="1">
      <c r="A183" s="247"/>
      <c r="B183" s="43"/>
      <c r="C183" s="43"/>
      <c r="D183" s="106"/>
      <c r="E183" s="106"/>
      <c r="F183" s="43"/>
      <c r="G183" s="43"/>
      <c r="H183" s="43"/>
      <c r="I183" s="249"/>
    </row>
    <row r="184" spans="1:10" ht="16.5" customHeight="1">
      <c r="A184" s="247"/>
      <c r="B184" s="43"/>
      <c r="C184" s="43"/>
      <c r="D184" s="106"/>
      <c r="E184" s="102"/>
      <c r="F184" s="103" t="s">
        <v>55</v>
      </c>
      <c r="G184" s="107"/>
      <c r="H184" s="108"/>
      <c r="I184" s="249"/>
    </row>
    <row r="185" spans="1:10" ht="16.5" customHeight="1"/>
    <row r="186" spans="1:10">
      <c r="A186" s="243"/>
      <c r="B186" s="243"/>
      <c r="C186" s="243"/>
      <c r="D186" s="243"/>
      <c r="E186" s="243"/>
      <c r="F186" s="243"/>
      <c r="G186" s="243"/>
      <c r="H186" s="243"/>
      <c r="I186" s="243"/>
    </row>
    <row r="187" spans="1:10" ht="27.75">
      <c r="A187" s="244" t="s">
        <v>56</v>
      </c>
      <c r="B187" s="244"/>
      <c r="C187" s="244"/>
      <c r="D187" s="244"/>
      <c r="E187" s="244"/>
      <c r="F187" s="244"/>
      <c r="G187" s="244"/>
      <c r="H187" s="244"/>
      <c r="I187" s="244"/>
    </row>
    <row r="188" spans="1:10" ht="27.75">
      <c r="A188" s="244" t="s">
        <v>57</v>
      </c>
      <c r="B188" s="244"/>
      <c r="C188" s="244"/>
      <c r="D188" s="244"/>
      <c r="E188" s="244"/>
      <c r="F188" s="244"/>
      <c r="G188" s="244"/>
      <c r="H188" s="244"/>
      <c r="I188" s="244"/>
    </row>
    <row r="189" spans="1:10">
      <c r="A189" s="245" t="s">
        <v>58</v>
      </c>
      <c r="B189" s="245"/>
      <c r="C189" s="245"/>
      <c r="D189" s="245"/>
      <c r="E189" s="245"/>
      <c r="F189" s="245"/>
      <c r="G189" s="245"/>
      <c r="H189" s="245"/>
      <c r="I189" s="245"/>
    </row>
    <row r="190" spans="1:10">
      <c r="A190" s="246"/>
      <c r="B190" s="246"/>
      <c r="C190" s="246"/>
      <c r="D190" s="246"/>
      <c r="E190" s="246"/>
      <c r="F190" s="246"/>
      <c r="G190" s="246"/>
      <c r="H190" s="246"/>
      <c r="I190" s="246"/>
    </row>
    <row r="191" spans="1:10" ht="21" thickBot="1">
      <c r="A191" s="247"/>
      <c r="B191" s="248" t="str">
        <f>Total!$A$2</f>
        <v>2026 June Ecovasc Promoter Salary Summary</v>
      </c>
      <c r="C191" s="248"/>
      <c r="D191" s="248"/>
      <c r="E191" s="248"/>
      <c r="F191" s="248"/>
      <c r="G191" s="248"/>
      <c r="H191" s="248"/>
      <c r="I191" s="249"/>
    </row>
    <row r="192" spans="1:10" ht="17.25" customHeight="1" thickTop="1">
      <c r="A192" s="247"/>
      <c r="B192" s="250"/>
      <c r="C192" s="250"/>
      <c r="D192" s="250"/>
      <c r="E192" s="250"/>
      <c r="F192" s="250"/>
      <c r="G192" s="250"/>
      <c r="H192" s="37"/>
      <c r="I192" s="249"/>
    </row>
    <row r="193" spans="1:9" ht="16.5" customHeight="1">
      <c r="A193" s="247"/>
      <c r="B193" s="38" t="s">
        <v>27</v>
      </c>
      <c r="C193" s="39" t="str">
        <f>Total!$E$13</f>
        <v>Leung Kam Ching</v>
      </c>
      <c r="D193" s="39" t="e" cm="1">
        <f t="array" ref="D193">INDEX(Total!$D$8:$D$20,MATCH($C193&amp;$G193,Total!$E$8:$E$20&amp;Total!#REF!,0))</f>
        <v>#REF!</v>
      </c>
      <c r="E193" s="40"/>
      <c r="F193" s="41" t="s">
        <v>28</v>
      </c>
      <c r="G193" s="39" t="e">
        <f>Total!#REF!</f>
        <v>#REF!</v>
      </c>
      <c r="H193" s="39"/>
      <c r="I193" s="249"/>
    </row>
    <row r="194" spans="1:9" ht="17.25" customHeight="1" thickBot="1">
      <c r="A194" s="247"/>
      <c r="B194" s="42"/>
      <c r="C194" s="42"/>
      <c r="D194" s="42"/>
      <c r="E194" s="43"/>
      <c r="F194" s="44"/>
      <c r="G194" s="45"/>
      <c r="H194" s="45"/>
      <c r="I194" s="249"/>
    </row>
    <row r="195" spans="1:9" ht="17.25" customHeight="1" thickBot="1">
      <c r="A195" s="247"/>
      <c r="B195" s="46" t="s">
        <v>29</v>
      </c>
      <c r="C195" s="47"/>
      <c r="D195" s="48"/>
      <c r="E195" s="47" t="s">
        <v>30</v>
      </c>
      <c r="F195" s="49"/>
      <c r="G195" s="45"/>
      <c r="H195" s="45"/>
      <c r="I195" s="249"/>
    </row>
    <row r="196" spans="1:9" ht="17.25" customHeight="1" thickTop="1">
      <c r="A196" s="247"/>
      <c r="B196" s="50" t="s">
        <v>31</v>
      </c>
      <c r="C196" s="51"/>
      <c r="D196" s="52"/>
      <c r="E196" s="53" t="s">
        <v>32</v>
      </c>
      <c r="F196" s="54"/>
      <c r="G196" s="45"/>
      <c r="H196" s="45"/>
      <c r="I196" s="249"/>
    </row>
    <row r="197" spans="1:9" ht="16.5" customHeight="1">
      <c r="A197" s="247"/>
      <c r="B197" s="55" t="s">
        <v>33</v>
      </c>
      <c r="C197" s="56"/>
      <c r="D197" s="57"/>
      <c r="E197" s="58" t="e" cm="1">
        <f t="array" ref="E197">INDEX(Total!$F$8:$F$20,MATCH($C193&amp;$G193,Total!$E$8:$E$20&amp;Total!#REF!,0))</f>
        <v>#REF!</v>
      </c>
      <c r="F197" s="59"/>
      <c r="G197" s="45"/>
      <c r="H197" s="45"/>
      <c r="I197" s="249"/>
    </row>
    <row r="198" spans="1:9" ht="16.5" customHeight="1">
      <c r="A198" s="247"/>
      <c r="B198" s="55" t="s">
        <v>34</v>
      </c>
      <c r="C198" s="60"/>
      <c r="D198" s="57"/>
      <c r="E198" s="61" t="e" cm="1">
        <f t="array" ref="E198">INDEX(Total!$G$8:$G$20,MATCH($C193&amp;$G193,Total!$E$8:$E$20&amp;Total!#REF!,0))</f>
        <v>#REF!</v>
      </c>
      <c r="F198" s="59"/>
      <c r="G198" s="45"/>
      <c r="H198" s="45"/>
      <c r="I198" s="249"/>
    </row>
    <row r="199" spans="1:9" ht="16.5" customHeight="1">
      <c r="A199" s="247"/>
      <c r="B199" s="55" t="s">
        <v>35</v>
      </c>
      <c r="C199" s="60"/>
      <c r="D199" s="57"/>
      <c r="E199" s="62" t="e" cm="1">
        <f t="array" ref="E199">INDEX(Total!$H$8:$H$20,MATCH($C193&amp;$G193,Total!$E$8:$E$20&amp;Total!#REF!,0))</f>
        <v>#REF!</v>
      </c>
      <c r="F199" s="59"/>
      <c r="G199" s="44"/>
      <c r="H199" s="44"/>
      <c r="I199" s="249"/>
    </row>
    <row r="200" spans="1:9" ht="16.5" customHeight="1">
      <c r="A200" s="247"/>
      <c r="B200" s="55" t="s">
        <v>36</v>
      </c>
      <c r="C200" s="56"/>
      <c r="D200" s="63"/>
      <c r="E200" s="62" t="e" cm="1">
        <f t="array" ref="E200">INDEX(Total!$I$8:$I$20,MATCH($C193&amp;$G193,Total!$E$8:$E$20&amp;Total!#REF!,0))</f>
        <v>#REF!</v>
      </c>
      <c r="F200" s="64"/>
      <c r="G200" s="44"/>
      <c r="H200" s="44"/>
      <c r="I200" s="249"/>
    </row>
    <row r="201" spans="1:9" ht="16.5" customHeight="1">
      <c r="A201" s="247"/>
      <c r="B201" s="55" t="s">
        <v>37</v>
      </c>
      <c r="C201" s="56"/>
      <c r="D201" s="63"/>
      <c r="E201" s="62" t="e" cm="1">
        <f t="array" ref="E201">INDEX(Total!$J$8:$J$20,MATCH($C193&amp;$G193,Total!$E$8:$E$20&amp;Total!#REF!,0))</f>
        <v>#REF!</v>
      </c>
      <c r="F201" s="64"/>
      <c r="G201" s="44"/>
      <c r="H201" s="44"/>
      <c r="I201" s="249"/>
    </row>
    <row r="202" spans="1:9" ht="17.25" customHeight="1" thickBot="1">
      <c r="A202" s="247"/>
      <c r="B202" s="65" t="s">
        <v>38</v>
      </c>
      <c r="C202" s="66"/>
      <c r="D202" s="67"/>
      <c r="E202" s="68" t="e" cm="1">
        <f t="array" ref="E202">INDEX(Total!$L$8:$L$20,MATCH($C193&amp;$G193,Total!$E$8:$E$20&amp;Total!#REF!,0))</f>
        <v>#REF!</v>
      </c>
      <c r="F202" s="69"/>
      <c r="G202" s="70"/>
      <c r="H202" s="70"/>
      <c r="I202" s="249"/>
    </row>
    <row r="203" spans="1:9" ht="17.25" customHeight="1" thickBot="1">
      <c r="A203" s="247"/>
      <c r="B203" s="71"/>
      <c r="C203" s="71"/>
      <c r="D203" s="71"/>
      <c r="E203" s="71"/>
      <c r="F203" s="71"/>
      <c r="G203" s="71"/>
      <c r="H203" s="71"/>
      <c r="I203" s="249"/>
    </row>
    <row r="204" spans="1:9" ht="17.25" customHeight="1" thickBot="1">
      <c r="A204" s="247"/>
      <c r="B204" s="72"/>
      <c r="C204" s="73" t="s">
        <v>39</v>
      </c>
      <c r="D204" s="74"/>
      <c r="E204" s="74"/>
      <c r="F204" s="75" t="s">
        <v>40</v>
      </c>
      <c r="G204" s="75"/>
      <c r="H204" s="76"/>
      <c r="I204" s="249"/>
    </row>
    <row r="205" spans="1:9" ht="17.25" customHeight="1" thickTop="1">
      <c r="A205" s="247"/>
      <c r="B205" s="77"/>
      <c r="C205" s="50" t="s">
        <v>41</v>
      </c>
      <c r="D205" s="78"/>
      <c r="E205" s="78"/>
      <c r="F205" s="79"/>
      <c r="G205" s="80" t="e" cm="1">
        <f t="array" ref="G205">INDEX(Total!$K$8:$K$20,MATCH($C193&amp;$G193,Total!$E$8:$E$20&amp;Total!#REF!,0))</f>
        <v>#REF!</v>
      </c>
      <c r="H205" s="81"/>
      <c r="I205" s="249"/>
    </row>
    <row r="206" spans="1:9" ht="16.5" customHeight="1">
      <c r="A206" s="247"/>
      <c r="B206" s="77"/>
      <c r="C206" s="55" t="s">
        <v>42</v>
      </c>
      <c r="D206" s="82"/>
      <c r="E206" s="82"/>
      <c r="F206" s="83"/>
      <c r="G206" s="84" t="e" cm="1">
        <f t="array" ref="G206">INDEX(Total!$O$8:$O$20,MATCH($C193&amp;$G193,Total!$E$8:$E$20&amp;Total!#REF!,0))</f>
        <v>#REF!</v>
      </c>
      <c r="H206" s="85"/>
      <c r="I206" s="249"/>
    </row>
    <row r="207" spans="1:9" ht="16.5" customHeight="1">
      <c r="A207" s="247"/>
      <c r="B207" s="77"/>
      <c r="C207" s="55" t="s">
        <v>43</v>
      </c>
      <c r="D207" s="86"/>
      <c r="E207" s="86"/>
      <c r="F207" s="83"/>
      <c r="G207" s="84" t="e" cm="1">
        <f t="array" ref="G207">INDEX(Total!$N$8:$N$20,MATCH($C193&amp;$G193,Total!$E$8:$E$20&amp;Total!#REF!,0))</f>
        <v>#REF!</v>
      </c>
      <c r="H207" s="85"/>
      <c r="I207" s="249"/>
    </row>
    <row r="208" spans="1:9" ht="16.5" customHeight="1">
      <c r="A208" s="247"/>
      <c r="B208" s="77"/>
      <c r="C208" s="55" t="s">
        <v>44</v>
      </c>
      <c r="D208" s="87"/>
      <c r="E208" s="87"/>
      <c r="F208" s="83"/>
      <c r="G208" s="84" t="e" cm="1">
        <f t="array" ref="G208">INDEX(Total!$P$8:$P$20,MATCH($C193&amp;$G193,Total!$E$8:$E$20&amp;Total!#REF!,0))</f>
        <v>#REF!</v>
      </c>
      <c r="H208" s="85"/>
      <c r="I208" s="249"/>
    </row>
    <row r="209" spans="1:10" ht="16.5" customHeight="1">
      <c r="A209" s="247"/>
      <c r="B209" s="77"/>
      <c r="C209" s="55" t="s">
        <v>45</v>
      </c>
      <c r="D209" s="87"/>
      <c r="E209" s="87"/>
      <c r="F209" s="83"/>
      <c r="G209" s="84" t="e" cm="1">
        <f t="array" ref="G209">INDEX(Total!$Q$8:$Q$20,MATCH($C193&amp;$G193,Total!$E$8:$E$20&amp;Total!#REF!,0))</f>
        <v>#REF!</v>
      </c>
      <c r="H209" s="85"/>
      <c r="I209" s="249"/>
    </row>
    <row r="210" spans="1:10" ht="16.5" customHeight="1">
      <c r="A210" s="247"/>
      <c r="B210" s="77"/>
      <c r="C210" s="55" t="s">
        <v>46</v>
      </c>
      <c r="D210" s="82" t="s">
        <v>47</v>
      </c>
      <c r="E210" s="82"/>
      <c r="F210" s="83"/>
      <c r="G210" s="84" t="e" cm="1">
        <f t="array" ref="G210">INDEX(Total!$R$8:$R$20,MATCH($C193&amp;$G193,Total!$E$8:$E$20&amp;Total!#REF!,0))</f>
        <v>#REF!</v>
      </c>
      <c r="H210" s="85"/>
      <c r="I210" s="249"/>
    </row>
    <row r="211" spans="1:10" ht="16.5" customHeight="1">
      <c r="A211" s="247"/>
      <c r="B211" s="77"/>
      <c r="C211" s="55" t="s">
        <v>48</v>
      </c>
      <c r="D211" s="87"/>
      <c r="E211" s="87"/>
      <c r="F211" s="83"/>
      <c r="G211" s="84" t="e" cm="1">
        <f t="array" ref="G211">INDEX(Total!$T$8:$T$20,MATCH($C193&amp;$G193,Total!$E$8:$E$20&amp;Total!#REF!,0))</f>
        <v>#REF!</v>
      </c>
      <c r="H211" s="85"/>
      <c r="I211" s="249"/>
    </row>
    <row r="212" spans="1:10" ht="16.5" customHeight="1">
      <c r="A212" s="247"/>
      <c r="B212" s="77"/>
      <c r="C212" s="55" t="s">
        <v>49</v>
      </c>
      <c r="D212" s="87"/>
      <c r="E212" s="87"/>
      <c r="F212" s="83"/>
      <c r="G212" s="84" t="e" cm="1">
        <f t="array" ref="G212">INDEX(Total!$S$8:$S$20,MATCH($C193&amp;$G193,Total!$E$8:$E$20&amp;Total!#REF!,0))</f>
        <v>#REF!</v>
      </c>
      <c r="H212" s="85"/>
      <c r="I212" s="249"/>
    </row>
    <row r="213" spans="1:10" ht="17.25" customHeight="1" thickBot="1">
      <c r="A213" s="247"/>
      <c r="B213" s="77"/>
      <c r="C213" s="88" t="s">
        <v>50</v>
      </c>
      <c r="D213" s="89"/>
      <c r="E213" s="89"/>
      <c r="F213" s="90"/>
      <c r="G213" s="91" t="e" cm="1">
        <f t="array" ref="G213">-INDEX(Total!$U$8:$U$20,MATCH($C193&amp;$G193,Total!$E$8:$E$20&amp;Total!#REF!,0))</f>
        <v>#REF!</v>
      </c>
      <c r="H213" s="92"/>
      <c r="I213" s="249"/>
    </row>
    <row r="214" spans="1:10" ht="18" customHeight="1" thickTop="1" thickBot="1">
      <c r="A214" s="247"/>
      <c r="B214" s="93"/>
      <c r="C214" s="94"/>
      <c r="D214" s="95"/>
      <c r="E214" s="96" t="s">
        <v>1</v>
      </c>
      <c r="F214" s="251" t="e">
        <f>SUM($G205:$G213)</f>
        <v>#REF!</v>
      </c>
      <c r="G214" s="251"/>
      <c r="H214" s="98"/>
      <c r="I214" s="249"/>
      <c r="J214" s="99" t="e" cm="1">
        <f t="array" ref="J214">INDEX(Total!$W$8:$W$20,MATCH($C193&amp;$G193,Total!$E$8:$E$20&amp;Total!#REF!,0))</f>
        <v>#REF!</v>
      </c>
    </row>
    <row r="215" spans="1:10" ht="16.5" customHeight="1">
      <c r="A215" s="247"/>
      <c r="B215" s="42"/>
      <c r="C215" s="42"/>
      <c r="D215" s="42"/>
      <c r="E215" s="42"/>
      <c r="F215" s="239"/>
      <c r="G215" s="240"/>
      <c r="H215" s="45"/>
      <c r="I215" s="249"/>
    </row>
    <row r="216" spans="1:10" ht="16.5" customHeight="1">
      <c r="A216" s="247"/>
      <c r="B216" s="100" t="s">
        <v>51</v>
      </c>
      <c r="C216" s="42"/>
      <c r="D216" s="42"/>
      <c r="E216" s="42"/>
      <c r="F216" s="240"/>
      <c r="G216" s="240"/>
      <c r="H216" s="45"/>
      <c r="I216" s="249"/>
    </row>
    <row r="217" spans="1:10" ht="16.5" customHeight="1">
      <c r="A217" s="247"/>
      <c r="B217" s="100" t="s">
        <v>52</v>
      </c>
      <c r="C217" s="42"/>
      <c r="D217" s="241"/>
      <c r="E217" s="241"/>
      <c r="F217" s="240"/>
      <c r="G217" s="240"/>
      <c r="H217" s="45"/>
      <c r="I217" s="249"/>
    </row>
    <row r="218" spans="1:10" ht="16.5" customHeight="1">
      <c r="A218" s="247"/>
      <c r="B218" s="100" t="s">
        <v>53</v>
      </c>
      <c r="C218" s="42"/>
      <c r="D218" s="42"/>
      <c r="E218" s="42"/>
      <c r="F218" s="42"/>
      <c r="G218" s="42"/>
      <c r="H218" s="45"/>
      <c r="I218" s="249"/>
    </row>
    <row r="219" spans="1:10" ht="16.5" customHeight="1">
      <c r="A219" s="247"/>
      <c r="B219" s="101"/>
      <c r="C219" s="43"/>
      <c r="D219" s="102"/>
      <c r="E219" s="242" t="s">
        <v>54</v>
      </c>
      <c r="F219" s="242"/>
      <c r="G219" s="104"/>
      <c r="H219" s="105"/>
      <c r="I219" s="249"/>
    </row>
    <row r="220" spans="1:10" ht="16.5" customHeight="1">
      <c r="A220" s="247"/>
      <c r="B220" s="43"/>
      <c r="C220" s="43"/>
      <c r="D220" s="106"/>
      <c r="E220" s="106"/>
      <c r="F220" s="43"/>
      <c r="G220" s="43"/>
      <c r="H220" s="43"/>
      <c r="I220" s="249"/>
    </row>
    <row r="221" spans="1:10" ht="16.5" customHeight="1">
      <c r="A221" s="247"/>
      <c r="B221" s="43"/>
      <c r="C221" s="43"/>
      <c r="D221" s="106"/>
      <c r="E221" s="102"/>
      <c r="F221" s="103" t="s">
        <v>55</v>
      </c>
      <c r="G221" s="107"/>
      <c r="H221" s="108"/>
      <c r="I221" s="249"/>
    </row>
    <row r="222" spans="1:10" ht="16.5" customHeight="1"/>
    <row r="223" spans="1:10">
      <c r="A223" s="243"/>
      <c r="B223" s="243"/>
      <c r="C223" s="243"/>
      <c r="D223" s="243"/>
      <c r="E223" s="243"/>
      <c r="F223" s="243"/>
      <c r="G223" s="243"/>
      <c r="H223" s="243"/>
      <c r="I223" s="243"/>
    </row>
    <row r="224" spans="1:10" ht="27.75">
      <c r="A224" s="244" t="s">
        <v>56</v>
      </c>
      <c r="B224" s="244"/>
      <c r="C224" s="244"/>
      <c r="D224" s="244"/>
      <c r="E224" s="244"/>
      <c r="F224" s="244"/>
      <c r="G224" s="244"/>
      <c r="H224" s="244"/>
      <c r="I224" s="244"/>
    </row>
    <row r="225" spans="1:9" ht="27.75">
      <c r="A225" s="244" t="s">
        <v>57</v>
      </c>
      <c r="B225" s="244"/>
      <c r="C225" s="244"/>
      <c r="D225" s="244"/>
      <c r="E225" s="244"/>
      <c r="F225" s="244"/>
      <c r="G225" s="244"/>
      <c r="H225" s="244"/>
      <c r="I225" s="244"/>
    </row>
    <row r="226" spans="1:9">
      <c r="A226" s="245" t="s">
        <v>58</v>
      </c>
      <c r="B226" s="245"/>
      <c r="C226" s="245"/>
      <c r="D226" s="245"/>
      <c r="E226" s="245"/>
      <c r="F226" s="245"/>
      <c r="G226" s="245"/>
      <c r="H226" s="245"/>
      <c r="I226" s="245"/>
    </row>
    <row r="227" spans="1:9">
      <c r="A227" s="246"/>
      <c r="B227" s="246"/>
      <c r="C227" s="246"/>
      <c r="D227" s="246"/>
      <c r="E227" s="246"/>
      <c r="F227" s="246"/>
      <c r="G227" s="246"/>
      <c r="H227" s="246"/>
      <c r="I227" s="246"/>
    </row>
    <row r="228" spans="1:9" ht="21" thickBot="1">
      <c r="A228" s="247"/>
      <c r="B228" s="248" t="str">
        <f>Total!$A$2</f>
        <v>2026 June Ecovasc Promoter Salary Summary</v>
      </c>
      <c r="C228" s="248"/>
      <c r="D228" s="248"/>
      <c r="E228" s="248"/>
      <c r="F228" s="248"/>
      <c r="G228" s="248"/>
      <c r="H228" s="248"/>
      <c r="I228" s="249"/>
    </row>
    <row r="229" spans="1:9" ht="17.25" customHeight="1" thickTop="1">
      <c r="A229" s="247"/>
      <c r="B229" s="250"/>
      <c r="C229" s="250"/>
      <c r="D229" s="250"/>
      <c r="E229" s="250"/>
      <c r="F229" s="250"/>
      <c r="G229" s="250"/>
      <c r="H229" s="37"/>
      <c r="I229" s="249"/>
    </row>
    <row r="230" spans="1:9" ht="16.5" customHeight="1">
      <c r="A230" s="247"/>
      <c r="B230" s="38" t="s">
        <v>27</v>
      </c>
      <c r="C230" s="39" t="str">
        <f>Total!$E$14</f>
        <v>Yuen Maria Wing Yan</v>
      </c>
      <c r="D230" s="39" t="e" cm="1">
        <f t="array" ref="D230">INDEX(Total!$D$8:$D$20,MATCH($C230&amp;$G230,Total!$E$8:$E$20&amp;Total!#REF!,0))</f>
        <v>#REF!</v>
      </c>
      <c r="E230" s="40"/>
      <c r="F230" s="41" t="s">
        <v>28</v>
      </c>
      <c r="G230" s="39" t="e">
        <f>Total!#REF!</f>
        <v>#REF!</v>
      </c>
      <c r="H230" s="39"/>
      <c r="I230" s="249"/>
    </row>
    <row r="231" spans="1:9" ht="17.25" customHeight="1" thickBot="1">
      <c r="A231" s="247"/>
      <c r="B231" s="42"/>
      <c r="C231" s="42"/>
      <c r="D231" s="42"/>
      <c r="E231" s="43"/>
      <c r="F231" s="44"/>
      <c r="G231" s="45"/>
      <c r="H231" s="45"/>
      <c r="I231" s="249"/>
    </row>
    <row r="232" spans="1:9" ht="17.25" customHeight="1" thickBot="1">
      <c r="A232" s="247"/>
      <c r="B232" s="46" t="s">
        <v>29</v>
      </c>
      <c r="C232" s="47"/>
      <c r="D232" s="48"/>
      <c r="E232" s="47" t="s">
        <v>30</v>
      </c>
      <c r="F232" s="49"/>
      <c r="G232" s="45"/>
      <c r="H232" s="45"/>
      <c r="I232" s="249"/>
    </row>
    <row r="233" spans="1:9" ht="17.25" customHeight="1" thickTop="1">
      <c r="A233" s="247"/>
      <c r="B233" s="50" t="s">
        <v>31</v>
      </c>
      <c r="C233" s="51"/>
      <c r="D233" s="52"/>
      <c r="E233" s="53" t="s">
        <v>32</v>
      </c>
      <c r="F233" s="54"/>
      <c r="G233" s="45"/>
      <c r="H233" s="45"/>
      <c r="I233" s="249"/>
    </row>
    <row r="234" spans="1:9" ht="16.5" customHeight="1">
      <c r="A234" s="247"/>
      <c r="B234" s="55" t="s">
        <v>33</v>
      </c>
      <c r="C234" s="56"/>
      <c r="D234" s="57"/>
      <c r="E234" s="58" t="e" cm="1">
        <f t="array" ref="E234">INDEX(Total!$F$8:$F$20,MATCH($C230&amp;$G230,Total!$E$8:$E$20&amp;Total!#REF!,0))</f>
        <v>#REF!</v>
      </c>
      <c r="F234" s="59"/>
      <c r="G234" s="45"/>
      <c r="H234" s="45"/>
      <c r="I234" s="249"/>
    </row>
    <row r="235" spans="1:9" ht="16.5" customHeight="1">
      <c r="A235" s="247"/>
      <c r="B235" s="55" t="s">
        <v>34</v>
      </c>
      <c r="C235" s="60"/>
      <c r="D235" s="57"/>
      <c r="E235" s="61" t="e" cm="1">
        <f t="array" ref="E235">INDEX(Total!$G$8:$G$20,MATCH($C230&amp;$G230,Total!$E$8:$E$20&amp;Total!#REF!,0))</f>
        <v>#REF!</v>
      </c>
      <c r="F235" s="59"/>
      <c r="G235" s="45"/>
      <c r="H235" s="45"/>
      <c r="I235" s="249"/>
    </row>
    <row r="236" spans="1:9" ht="16.5" customHeight="1">
      <c r="A236" s="247"/>
      <c r="B236" s="55" t="s">
        <v>35</v>
      </c>
      <c r="C236" s="60"/>
      <c r="D236" s="57"/>
      <c r="E236" s="62" t="e" cm="1">
        <f t="array" ref="E236">INDEX(Total!$H$8:$H$20,MATCH($C230&amp;$G230,Total!$E$8:$E$20&amp;Total!#REF!,0))</f>
        <v>#REF!</v>
      </c>
      <c r="F236" s="59"/>
      <c r="G236" s="44"/>
      <c r="H236" s="44"/>
      <c r="I236" s="249"/>
    </row>
    <row r="237" spans="1:9" ht="16.5" customHeight="1">
      <c r="A237" s="247"/>
      <c r="B237" s="55" t="s">
        <v>36</v>
      </c>
      <c r="C237" s="56"/>
      <c r="D237" s="63"/>
      <c r="E237" s="62" t="e" cm="1">
        <f t="array" ref="E237">INDEX(Total!$I$8:$I$20,MATCH($C230&amp;$G230,Total!$E$8:$E$20&amp;Total!#REF!,0))</f>
        <v>#REF!</v>
      </c>
      <c r="F237" s="64"/>
      <c r="G237" s="44"/>
      <c r="H237" s="44"/>
      <c r="I237" s="249"/>
    </row>
    <row r="238" spans="1:9" ht="16.5" customHeight="1">
      <c r="A238" s="247"/>
      <c r="B238" s="55" t="s">
        <v>37</v>
      </c>
      <c r="C238" s="56"/>
      <c r="D238" s="63"/>
      <c r="E238" s="62" t="e" cm="1">
        <f t="array" ref="E238">INDEX(Total!$J$8:$J$20,MATCH($C230&amp;$G230,Total!$E$8:$E$20&amp;Total!#REF!,0))</f>
        <v>#REF!</v>
      </c>
      <c r="F238" s="64"/>
      <c r="G238" s="44"/>
      <c r="H238" s="44"/>
      <c r="I238" s="249"/>
    </row>
    <row r="239" spans="1:9" ht="17.25" customHeight="1" thickBot="1">
      <c r="A239" s="247"/>
      <c r="B239" s="65" t="s">
        <v>38</v>
      </c>
      <c r="C239" s="66"/>
      <c r="D239" s="67"/>
      <c r="E239" s="68" t="e" cm="1">
        <f t="array" ref="E239">INDEX(Total!$L$8:$L$20,MATCH($C230&amp;$G230,Total!$E$8:$E$20&amp;Total!#REF!,0))</f>
        <v>#REF!</v>
      </c>
      <c r="F239" s="69"/>
      <c r="G239" s="70"/>
      <c r="H239" s="70"/>
      <c r="I239" s="249"/>
    </row>
    <row r="240" spans="1:9" ht="17.25" customHeight="1" thickBot="1">
      <c r="A240" s="247"/>
      <c r="B240" s="71"/>
      <c r="C240" s="71"/>
      <c r="D240" s="71"/>
      <c r="E240" s="71"/>
      <c r="F240" s="71"/>
      <c r="G240" s="71"/>
      <c r="H240" s="71"/>
      <c r="I240" s="249"/>
    </row>
    <row r="241" spans="1:10" ht="17.25" customHeight="1" thickBot="1">
      <c r="A241" s="247"/>
      <c r="B241" s="72"/>
      <c r="C241" s="73" t="s">
        <v>39</v>
      </c>
      <c r="D241" s="74"/>
      <c r="E241" s="74"/>
      <c r="F241" s="75" t="s">
        <v>40</v>
      </c>
      <c r="G241" s="75"/>
      <c r="H241" s="76"/>
      <c r="I241" s="249"/>
    </row>
    <row r="242" spans="1:10" ht="17.25" customHeight="1" thickTop="1">
      <c r="A242" s="247"/>
      <c r="B242" s="77"/>
      <c r="C242" s="50" t="s">
        <v>41</v>
      </c>
      <c r="D242" s="78"/>
      <c r="E242" s="78"/>
      <c r="F242" s="79"/>
      <c r="G242" s="80" t="e" cm="1">
        <f t="array" ref="G242">INDEX(Total!$K$8:$K$20,MATCH($C230&amp;$G230,Total!$E$8:$E$20&amp;Total!#REF!,0))</f>
        <v>#REF!</v>
      </c>
      <c r="H242" s="81"/>
      <c r="I242" s="249"/>
    </row>
    <row r="243" spans="1:10" ht="16.5" customHeight="1">
      <c r="A243" s="247"/>
      <c r="B243" s="77"/>
      <c r="C243" s="55" t="s">
        <v>42</v>
      </c>
      <c r="D243" s="82"/>
      <c r="E243" s="82"/>
      <c r="F243" s="83"/>
      <c r="G243" s="84" t="e" cm="1">
        <f t="array" ref="G243">INDEX(Total!$O$8:$O$20,MATCH($C230&amp;$G230,Total!$E$8:$E$20&amp;Total!#REF!,0))</f>
        <v>#REF!</v>
      </c>
      <c r="H243" s="85"/>
      <c r="I243" s="249"/>
    </row>
    <row r="244" spans="1:10" ht="16.5" customHeight="1">
      <c r="A244" s="247"/>
      <c r="B244" s="77"/>
      <c r="C244" s="55" t="s">
        <v>43</v>
      </c>
      <c r="D244" s="86"/>
      <c r="E244" s="86"/>
      <c r="F244" s="83"/>
      <c r="G244" s="84" t="e" cm="1">
        <f t="array" ref="G244">INDEX(Total!$N$8:$N$20,MATCH($C230&amp;$G230,Total!$E$8:$E$20&amp;Total!#REF!,0))</f>
        <v>#REF!</v>
      </c>
      <c r="H244" s="85"/>
      <c r="I244" s="249"/>
    </row>
    <row r="245" spans="1:10" ht="16.5" customHeight="1">
      <c r="A245" s="247"/>
      <c r="B245" s="77"/>
      <c r="C245" s="55" t="s">
        <v>44</v>
      </c>
      <c r="D245" s="87"/>
      <c r="E245" s="87"/>
      <c r="F245" s="83"/>
      <c r="G245" s="84" t="e" cm="1">
        <f t="array" ref="G245">INDEX(Total!$P$8:$P$20,MATCH($C230&amp;$G230,Total!$E$8:$E$20&amp;Total!#REF!,0))</f>
        <v>#REF!</v>
      </c>
      <c r="H245" s="85"/>
      <c r="I245" s="249"/>
    </row>
    <row r="246" spans="1:10" ht="16.5" customHeight="1">
      <c r="A246" s="247"/>
      <c r="B246" s="77"/>
      <c r="C246" s="55" t="s">
        <v>45</v>
      </c>
      <c r="D246" s="87"/>
      <c r="E246" s="87"/>
      <c r="F246" s="83"/>
      <c r="G246" s="84" t="e" cm="1">
        <f t="array" ref="G246">INDEX(Total!$Q$8:$Q$20,MATCH($C230&amp;$G230,Total!$E$8:$E$20&amp;Total!#REF!,0))</f>
        <v>#REF!</v>
      </c>
      <c r="H246" s="85"/>
      <c r="I246" s="249"/>
    </row>
    <row r="247" spans="1:10" ht="16.5" customHeight="1">
      <c r="A247" s="247"/>
      <c r="B247" s="77"/>
      <c r="C247" s="55" t="s">
        <v>46</v>
      </c>
      <c r="D247" s="82" t="s">
        <v>47</v>
      </c>
      <c r="E247" s="82"/>
      <c r="F247" s="83"/>
      <c r="G247" s="84" t="e" cm="1">
        <f t="array" ref="G247">INDEX(Total!$R$8:$R$20,MATCH($C230&amp;$G230,Total!$E$8:$E$20&amp;Total!#REF!,0))</f>
        <v>#REF!</v>
      </c>
      <c r="H247" s="85"/>
      <c r="I247" s="249"/>
    </row>
    <row r="248" spans="1:10" ht="16.5" customHeight="1">
      <c r="A248" s="247"/>
      <c r="B248" s="77"/>
      <c r="C248" s="55" t="s">
        <v>48</v>
      </c>
      <c r="D248" s="87"/>
      <c r="E248" s="87"/>
      <c r="F248" s="83"/>
      <c r="G248" s="84" t="e" cm="1">
        <f t="array" ref="G248">INDEX(Total!$T$8:$T$20,MATCH($C230&amp;$G230,Total!$E$8:$E$20&amp;Total!#REF!,0))</f>
        <v>#REF!</v>
      </c>
      <c r="H248" s="85"/>
      <c r="I248" s="249"/>
    </row>
    <row r="249" spans="1:10" ht="16.5" customHeight="1">
      <c r="A249" s="247"/>
      <c r="B249" s="77"/>
      <c r="C249" s="55" t="s">
        <v>49</v>
      </c>
      <c r="D249" s="87"/>
      <c r="E249" s="87"/>
      <c r="F249" s="83"/>
      <c r="G249" s="84" t="e" cm="1">
        <f t="array" ref="G249">INDEX(Total!$S$8:$S$20,MATCH($C230&amp;$G230,Total!$E$8:$E$20&amp;Total!#REF!,0))</f>
        <v>#REF!</v>
      </c>
      <c r="H249" s="85"/>
      <c r="I249" s="249"/>
    </row>
    <row r="250" spans="1:10" ht="17.25" customHeight="1" thickBot="1">
      <c r="A250" s="247"/>
      <c r="B250" s="77"/>
      <c r="C250" s="88" t="s">
        <v>50</v>
      </c>
      <c r="D250" s="89"/>
      <c r="E250" s="89"/>
      <c r="F250" s="90"/>
      <c r="G250" s="91" t="e" cm="1">
        <f t="array" ref="G250">-INDEX(Total!$U$8:$U$20,MATCH($C230&amp;$G230,Total!$E$8:$E$20&amp;Total!#REF!,0))</f>
        <v>#REF!</v>
      </c>
      <c r="H250" s="92"/>
      <c r="I250" s="249"/>
    </row>
    <row r="251" spans="1:10" ht="18" customHeight="1" thickTop="1" thickBot="1">
      <c r="A251" s="247"/>
      <c r="B251" s="93"/>
      <c r="C251" s="94"/>
      <c r="D251" s="95"/>
      <c r="E251" s="96" t="s">
        <v>1</v>
      </c>
      <c r="F251" s="251" t="e">
        <f>SUM($G242:$G250)</f>
        <v>#REF!</v>
      </c>
      <c r="G251" s="251"/>
      <c r="H251" s="98"/>
      <c r="I251" s="249"/>
      <c r="J251" s="99" t="e" cm="1">
        <f t="array" ref="J251">INDEX(Total!$W$8:$W$20,MATCH($C230&amp;$G230,Total!$E$8:$E$20&amp;Total!#REF!,0))</f>
        <v>#REF!</v>
      </c>
    </row>
    <row r="252" spans="1:10" ht="16.5" customHeight="1">
      <c r="A252" s="247"/>
      <c r="B252" s="42"/>
      <c r="C252" s="42"/>
      <c r="D252" s="42"/>
      <c r="E252" s="42"/>
      <c r="F252" s="239"/>
      <c r="G252" s="240"/>
      <c r="H252" s="45"/>
      <c r="I252" s="249"/>
    </row>
    <row r="253" spans="1:10" ht="16.5" customHeight="1">
      <c r="A253" s="247"/>
      <c r="B253" s="100" t="s">
        <v>51</v>
      </c>
      <c r="C253" s="42"/>
      <c r="D253" s="42"/>
      <c r="E253" s="42"/>
      <c r="F253" s="240"/>
      <c r="G253" s="240"/>
      <c r="H253" s="45"/>
      <c r="I253" s="249"/>
    </row>
    <row r="254" spans="1:10" ht="16.5" customHeight="1">
      <c r="A254" s="247"/>
      <c r="B254" s="100" t="s">
        <v>52</v>
      </c>
      <c r="C254" s="42"/>
      <c r="D254" s="241"/>
      <c r="E254" s="241"/>
      <c r="F254" s="240"/>
      <c r="G254" s="240"/>
      <c r="H254" s="45"/>
      <c r="I254" s="249"/>
    </row>
    <row r="255" spans="1:10" ht="16.5" customHeight="1">
      <c r="A255" s="247"/>
      <c r="B255" s="100" t="s">
        <v>53</v>
      </c>
      <c r="C255" s="42"/>
      <c r="D255" s="42"/>
      <c r="E255" s="42"/>
      <c r="F255" s="42"/>
      <c r="G255" s="42"/>
      <c r="H255" s="45"/>
      <c r="I255" s="249"/>
    </row>
    <row r="256" spans="1:10" ht="16.5" customHeight="1">
      <c r="A256" s="247"/>
      <c r="B256" s="101"/>
      <c r="C256" s="43"/>
      <c r="D256" s="102"/>
      <c r="E256" s="242" t="s">
        <v>54</v>
      </c>
      <c r="F256" s="242"/>
      <c r="G256" s="104"/>
      <c r="H256" s="105"/>
      <c r="I256" s="249"/>
    </row>
    <row r="257" spans="1:9" ht="16.5" customHeight="1">
      <c r="A257" s="247"/>
      <c r="B257" s="43"/>
      <c r="C257" s="43"/>
      <c r="D257" s="106"/>
      <c r="E257" s="106"/>
      <c r="F257" s="43"/>
      <c r="G257" s="43"/>
      <c r="H257" s="43"/>
      <c r="I257" s="249"/>
    </row>
    <row r="258" spans="1:9" ht="16.5" customHeight="1">
      <c r="A258" s="247"/>
      <c r="B258" s="43"/>
      <c r="C258" s="43"/>
      <c r="D258" s="106"/>
      <c r="E258" s="102"/>
      <c r="F258" s="103" t="s">
        <v>55</v>
      </c>
      <c r="G258" s="107"/>
      <c r="H258" s="108"/>
      <c r="I258" s="249"/>
    </row>
    <row r="259" spans="1:9" ht="16.5" customHeight="1"/>
    <row r="260" spans="1:9">
      <c r="A260" s="243"/>
      <c r="B260" s="243"/>
      <c r="C260" s="243"/>
      <c r="D260" s="243"/>
      <c r="E260" s="243"/>
      <c r="F260" s="243"/>
      <c r="G260" s="243"/>
      <c r="H260" s="243"/>
      <c r="I260" s="243"/>
    </row>
    <row r="261" spans="1:9" ht="27.75">
      <c r="A261" s="244" t="s">
        <v>56</v>
      </c>
      <c r="B261" s="244"/>
      <c r="C261" s="244"/>
      <c r="D261" s="244"/>
      <c r="E261" s="244"/>
      <c r="F261" s="244"/>
      <c r="G261" s="244"/>
      <c r="H261" s="244"/>
      <c r="I261" s="244"/>
    </row>
    <row r="262" spans="1:9" ht="27.75">
      <c r="A262" s="244" t="s">
        <v>57</v>
      </c>
      <c r="B262" s="244"/>
      <c r="C262" s="244"/>
      <c r="D262" s="244"/>
      <c r="E262" s="244"/>
      <c r="F262" s="244"/>
      <c r="G262" s="244"/>
      <c r="H262" s="244"/>
      <c r="I262" s="244"/>
    </row>
    <row r="263" spans="1:9">
      <c r="A263" s="245" t="s">
        <v>58</v>
      </c>
      <c r="B263" s="245"/>
      <c r="C263" s="245"/>
      <c r="D263" s="245"/>
      <c r="E263" s="245"/>
      <c r="F263" s="245"/>
      <c r="G263" s="245"/>
      <c r="H263" s="245"/>
      <c r="I263" s="245"/>
    </row>
    <row r="264" spans="1:9">
      <c r="A264" s="246"/>
      <c r="B264" s="246"/>
      <c r="C264" s="246"/>
      <c r="D264" s="246"/>
      <c r="E264" s="246"/>
      <c r="F264" s="246"/>
      <c r="G264" s="246"/>
      <c r="H264" s="246"/>
      <c r="I264" s="246"/>
    </row>
    <row r="265" spans="1:9" ht="21" thickBot="1">
      <c r="A265" s="247"/>
      <c r="B265" s="248" t="str">
        <f>Total!$A$2</f>
        <v>2026 June Ecovasc Promoter Salary Summary</v>
      </c>
      <c r="C265" s="248"/>
      <c r="D265" s="248"/>
      <c r="E265" s="248"/>
      <c r="F265" s="248"/>
      <c r="G265" s="248"/>
      <c r="H265" s="248"/>
      <c r="I265" s="249"/>
    </row>
    <row r="266" spans="1:9" ht="17.25" customHeight="1" thickTop="1">
      <c r="A266" s="247"/>
      <c r="B266" s="250"/>
      <c r="C266" s="250"/>
      <c r="D266" s="250"/>
      <c r="E266" s="250"/>
      <c r="F266" s="250"/>
      <c r="G266" s="250"/>
      <c r="H266" s="37"/>
      <c r="I266" s="249"/>
    </row>
    <row r="267" spans="1:9" ht="16.5" customHeight="1">
      <c r="A267" s="247"/>
      <c r="B267" s="38" t="s">
        <v>27</v>
      </c>
      <c r="C267" s="39" t="str">
        <f>Total!$E$15</f>
        <v>Yuen Maria Wing Yan</v>
      </c>
      <c r="D267" s="39" t="e" cm="1">
        <f t="array" ref="D267">INDEX(Total!$D$8:$D$20,MATCH($C267&amp;$G267,Total!$E$8:$E$20&amp;Total!#REF!,0))</f>
        <v>#REF!</v>
      </c>
      <c r="E267" s="40"/>
      <c r="F267" s="41" t="s">
        <v>28</v>
      </c>
      <c r="G267" s="39" t="e">
        <f>Total!#REF!</f>
        <v>#REF!</v>
      </c>
      <c r="H267" s="39"/>
      <c r="I267" s="249"/>
    </row>
    <row r="268" spans="1:9" ht="17.25" customHeight="1" thickBot="1">
      <c r="A268" s="247"/>
      <c r="B268" s="42"/>
      <c r="C268" s="42"/>
      <c r="D268" s="42"/>
      <c r="E268" s="43"/>
      <c r="F268" s="44"/>
      <c r="G268" s="45"/>
      <c r="H268" s="45"/>
      <c r="I268" s="249"/>
    </row>
    <row r="269" spans="1:9" ht="17.25" customHeight="1" thickBot="1">
      <c r="A269" s="247"/>
      <c r="B269" s="46" t="s">
        <v>29</v>
      </c>
      <c r="C269" s="47"/>
      <c r="D269" s="48"/>
      <c r="E269" s="47" t="s">
        <v>30</v>
      </c>
      <c r="F269" s="49"/>
      <c r="G269" s="45"/>
      <c r="H269" s="45"/>
      <c r="I269" s="249"/>
    </row>
    <row r="270" spans="1:9" ht="17.25" customHeight="1" thickTop="1">
      <c r="A270" s="247"/>
      <c r="B270" s="50" t="s">
        <v>31</v>
      </c>
      <c r="C270" s="51"/>
      <c r="D270" s="52"/>
      <c r="E270" s="53" t="s">
        <v>32</v>
      </c>
      <c r="F270" s="54"/>
      <c r="G270" s="45"/>
      <c r="H270" s="45"/>
      <c r="I270" s="249"/>
    </row>
    <row r="271" spans="1:9" ht="16.5" customHeight="1">
      <c r="A271" s="247"/>
      <c r="B271" s="55" t="s">
        <v>33</v>
      </c>
      <c r="C271" s="56"/>
      <c r="D271" s="57"/>
      <c r="E271" s="58" t="e" cm="1">
        <f t="array" ref="E271">INDEX(Total!$F$8:$F$20,MATCH($C267&amp;$G267,Total!$E$8:$E$20&amp;Total!#REF!,0))</f>
        <v>#REF!</v>
      </c>
      <c r="F271" s="59"/>
      <c r="G271" s="45"/>
      <c r="H271" s="45"/>
      <c r="I271" s="249"/>
    </row>
    <row r="272" spans="1:9" ht="16.5" customHeight="1">
      <c r="A272" s="247"/>
      <c r="B272" s="55" t="s">
        <v>34</v>
      </c>
      <c r="C272" s="60"/>
      <c r="D272" s="57"/>
      <c r="E272" s="61" t="e" cm="1">
        <f t="array" ref="E272">INDEX(Total!$G$8:$G$20,MATCH($C267&amp;$G267,Total!$E$8:$E$20&amp;Total!#REF!,0))</f>
        <v>#REF!</v>
      </c>
      <c r="F272" s="59"/>
      <c r="G272" s="45"/>
      <c r="H272" s="45"/>
      <c r="I272" s="249"/>
    </row>
    <row r="273" spans="1:10" ht="16.5" customHeight="1">
      <c r="A273" s="247"/>
      <c r="B273" s="55" t="s">
        <v>35</v>
      </c>
      <c r="C273" s="60"/>
      <c r="D273" s="57"/>
      <c r="E273" s="62" t="e" cm="1">
        <f t="array" ref="E273">INDEX(Total!$H$8:$H$20,MATCH($C267&amp;$G267,Total!$E$8:$E$20&amp;Total!#REF!,0))</f>
        <v>#REF!</v>
      </c>
      <c r="F273" s="59"/>
      <c r="G273" s="44"/>
      <c r="H273" s="44"/>
      <c r="I273" s="249"/>
    </row>
    <row r="274" spans="1:10" ht="16.5" customHeight="1">
      <c r="A274" s="247"/>
      <c r="B274" s="55" t="s">
        <v>36</v>
      </c>
      <c r="C274" s="56"/>
      <c r="D274" s="63"/>
      <c r="E274" s="62" t="e" cm="1">
        <f t="array" ref="E274">INDEX(Total!$I$8:$I$20,MATCH($C267&amp;$G267,Total!$E$8:$E$20&amp;Total!#REF!,0))</f>
        <v>#REF!</v>
      </c>
      <c r="F274" s="64"/>
      <c r="G274" s="44"/>
      <c r="H274" s="44"/>
      <c r="I274" s="249"/>
    </row>
    <row r="275" spans="1:10" ht="16.5" customHeight="1">
      <c r="A275" s="247"/>
      <c r="B275" s="55" t="s">
        <v>37</v>
      </c>
      <c r="C275" s="56"/>
      <c r="D275" s="63"/>
      <c r="E275" s="62" t="e" cm="1">
        <f t="array" ref="E275">INDEX(Total!$J$8:$J$20,MATCH($C267&amp;$G267,Total!$E$8:$E$20&amp;Total!#REF!,0))</f>
        <v>#REF!</v>
      </c>
      <c r="F275" s="64"/>
      <c r="G275" s="44"/>
      <c r="H275" s="44"/>
      <c r="I275" s="249"/>
    </row>
    <row r="276" spans="1:10" ht="17.25" customHeight="1" thickBot="1">
      <c r="A276" s="247"/>
      <c r="B276" s="65" t="s">
        <v>38</v>
      </c>
      <c r="C276" s="66"/>
      <c r="D276" s="67"/>
      <c r="E276" s="68" t="e" cm="1">
        <f t="array" ref="E276">INDEX(Total!$L$8:$L$20,MATCH($C267&amp;$G267,Total!$E$8:$E$20&amp;Total!#REF!,0))</f>
        <v>#REF!</v>
      </c>
      <c r="F276" s="69"/>
      <c r="G276" s="70"/>
      <c r="H276" s="70"/>
      <c r="I276" s="249"/>
    </row>
    <row r="277" spans="1:10" ht="17.25" customHeight="1" thickBot="1">
      <c r="A277" s="247"/>
      <c r="B277" s="71"/>
      <c r="C277" s="71"/>
      <c r="D277" s="71"/>
      <c r="E277" s="71"/>
      <c r="F277" s="71"/>
      <c r="G277" s="71"/>
      <c r="H277" s="71"/>
      <c r="I277" s="249"/>
    </row>
    <row r="278" spans="1:10" ht="17.25" customHeight="1" thickBot="1">
      <c r="A278" s="247"/>
      <c r="B278" s="72"/>
      <c r="C278" s="73" t="s">
        <v>39</v>
      </c>
      <c r="D278" s="74"/>
      <c r="E278" s="74"/>
      <c r="F278" s="75" t="s">
        <v>40</v>
      </c>
      <c r="G278" s="75"/>
      <c r="H278" s="76"/>
      <c r="I278" s="249"/>
    </row>
    <row r="279" spans="1:10" ht="17.25" customHeight="1" thickTop="1">
      <c r="A279" s="247"/>
      <c r="B279" s="77"/>
      <c r="C279" s="50" t="s">
        <v>41</v>
      </c>
      <c r="D279" s="78"/>
      <c r="E279" s="78"/>
      <c r="F279" s="79"/>
      <c r="G279" s="80" t="e" cm="1">
        <f t="array" ref="G279">INDEX(Total!$K$8:$K$20,MATCH($C267&amp;$G267,Total!$E$8:$E$20&amp;Total!#REF!,0))</f>
        <v>#REF!</v>
      </c>
      <c r="H279" s="81"/>
      <c r="I279" s="249"/>
    </row>
    <row r="280" spans="1:10" ht="16.5" customHeight="1">
      <c r="A280" s="247"/>
      <c r="B280" s="77"/>
      <c r="C280" s="55" t="s">
        <v>42</v>
      </c>
      <c r="D280" s="82"/>
      <c r="E280" s="82"/>
      <c r="F280" s="83"/>
      <c r="G280" s="84" t="e" cm="1">
        <f t="array" ref="G280">INDEX(Total!$O$8:$O$20,MATCH($C267&amp;$G267,Total!$E$8:$E$20&amp;Total!#REF!,0))</f>
        <v>#REF!</v>
      </c>
      <c r="H280" s="85"/>
      <c r="I280" s="249"/>
    </row>
    <row r="281" spans="1:10" ht="16.5" customHeight="1">
      <c r="A281" s="247"/>
      <c r="B281" s="77"/>
      <c r="C281" s="55" t="s">
        <v>43</v>
      </c>
      <c r="D281" s="86"/>
      <c r="E281" s="86"/>
      <c r="F281" s="83"/>
      <c r="G281" s="84" t="e" cm="1">
        <f t="array" ref="G281">INDEX(Total!$N$8:$N$20,MATCH($C267&amp;$G267,Total!$E$8:$E$20&amp;Total!#REF!,0))</f>
        <v>#REF!</v>
      </c>
      <c r="H281" s="85"/>
      <c r="I281" s="249"/>
    </row>
    <row r="282" spans="1:10" ht="16.5" customHeight="1">
      <c r="A282" s="247"/>
      <c r="B282" s="77"/>
      <c r="C282" s="55" t="s">
        <v>44</v>
      </c>
      <c r="D282" s="87"/>
      <c r="E282" s="87"/>
      <c r="F282" s="83"/>
      <c r="G282" s="84" t="e" cm="1">
        <f t="array" ref="G282">INDEX(Total!$P$8:$P$20,MATCH($C267&amp;$G267,Total!$E$8:$E$20&amp;Total!#REF!,0))</f>
        <v>#REF!</v>
      </c>
      <c r="H282" s="85"/>
      <c r="I282" s="249"/>
    </row>
    <row r="283" spans="1:10" ht="16.5" customHeight="1">
      <c r="A283" s="247"/>
      <c r="B283" s="77"/>
      <c r="C283" s="55" t="s">
        <v>45</v>
      </c>
      <c r="D283" s="87"/>
      <c r="E283" s="87"/>
      <c r="F283" s="83"/>
      <c r="G283" s="84" t="e" cm="1">
        <f t="array" ref="G283">INDEX(Total!$Q$8:$Q$20,MATCH($C267&amp;$G267,Total!$E$8:$E$20&amp;Total!#REF!,0))</f>
        <v>#REF!</v>
      </c>
      <c r="H283" s="85"/>
      <c r="I283" s="249"/>
    </row>
    <row r="284" spans="1:10" ht="16.5" customHeight="1">
      <c r="A284" s="247"/>
      <c r="B284" s="77"/>
      <c r="C284" s="55" t="s">
        <v>46</v>
      </c>
      <c r="D284" s="82" t="s">
        <v>47</v>
      </c>
      <c r="E284" s="82"/>
      <c r="F284" s="83"/>
      <c r="G284" s="84" t="e" cm="1">
        <f t="array" ref="G284">INDEX(Total!$R$8:$R$20,MATCH($C267&amp;$G267,Total!$E$8:$E$20&amp;Total!#REF!,0))</f>
        <v>#REF!</v>
      </c>
      <c r="H284" s="85"/>
      <c r="I284" s="249"/>
    </row>
    <row r="285" spans="1:10" ht="16.5" customHeight="1">
      <c r="A285" s="247"/>
      <c r="B285" s="77"/>
      <c r="C285" s="55" t="s">
        <v>48</v>
      </c>
      <c r="D285" s="87"/>
      <c r="E285" s="87"/>
      <c r="F285" s="83"/>
      <c r="G285" s="84" t="e" cm="1">
        <f t="array" ref="G285">INDEX(Total!$T$8:$T$20,MATCH($C267&amp;$G267,Total!$E$8:$E$20&amp;Total!#REF!,0))</f>
        <v>#REF!</v>
      </c>
      <c r="H285" s="85"/>
      <c r="I285" s="249"/>
    </row>
    <row r="286" spans="1:10" ht="16.5" customHeight="1">
      <c r="A286" s="247"/>
      <c r="B286" s="77"/>
      <c r="C286" s="55" t="s">
        <v>49</v>
      </c>
      <c r="D286" s="87"/>
      <c r="E286" s="87"/>
      <c r="F286" s="83"/>
      <c r="G286" s="84" t="e" cm="1">
        <f t="array" ref="G286">INDEX(Total!$S$8:$S$20,MATCH($C267&amp;$G267,Total!$E$8:$E$20&amp;Total!#REF!,0))</f>
        <v>#REF!</v>
      </c>
      <c r="H286" s="85"/>
      <c r="I286" s="249"/>
    </row>
    <row r="287" spans="1:10" ht="17.25" customHeight="1" thickBot="1">
      <c r="A287" s="247"/>
      <c r="B287" s="77"/>
      <c r="C287" s="88" t="s">
        <v>50</v>
      </c>
      <c r="D287" s="89"/>
      <c r="E287" s="89"/>
      <c r="F287" s="90"/>
      <c r="G287" s="91" t="e" cm="1">
        <f t="array" ref="G287">-INDEX(Total!$U$8:$U$20,MATCH($C267&amp;$G267,Total!$E$8:$E$20&amp;Total!#REF!,0))</f>
        <v>#REF!</v>
      </c>
      <c r="H287" s="92"/>
      <c r="I287" s="249"/>
    </row>
    <row r="288" spans="1:10" ht="18" customHeight="1" thickTop="1" thickBot="1">
      <c r="A288" s="247"/>
      <c r="B288" s="93"/>
      <c r="C288" s="94"/>
      <c r="D288" s="95"/>
      <c r="E288" s="96" t="s">
        <v>1</v>
      </c>
      <c r="F288" s="251" t="e">
        <f>SUM($G279:$G287)</f>
        <v>#REF!</v>
      </c>
      <c r="G288" s="251"/>
      <c r="H288" s="98"/>
      <c r="I288" s="249"/>
      <c r="J288" s="99" t="e" cm="1">
        <f t="array" ref="J288">INDEX(Total!$W$8:$W$20,MATCH($C267&amp;$G267,Total!$E$8:$E$20&amp;Total!#REF!,0))</f>
        <v>#REF!</v>
      </c>
    </row>
    <row r="289" spans="1:9" ht="16.5" customHeight="1">
      <c r="A289" s="247"/>
      <c r="B289" s="42"/>
      <c r="C289" s="42"/>
      <c r="D289" s="42"/>
      <c r="E289" s="42"/>
      <c r="F289" s="239"/>
      <c r="G289" s="240"/>
      <c r="H289" s="45"/>
      <c r="I289" s="249"/>
    </row>
    <row r="290" spans="1:9" ht="16.5" customHeight="1">
      <c r="A290" s="247"/>
      <c r="B290" s="100" t="s">
        <v>51</v>
      </c>
      <c r="C290" s="42"/>
      <c r="D290" s="42"/>
      <c r="E290" s="42"/>
      <c r="F290" s="240"/>
      <c r="G290" s="240"/>
      <c r="H290" s="45"/>
      <c r="I290" s="249"/>
    </row>
    <row r="291" spans="1:9" ht="16.5" customHeight="1">
      <c r="A291" s="247"/>
      <c r="B291" s="100" t="s">
        <v>52</v>
      </c>
      <c r="C291" s="42"/>
      <c r="D291" s="241"/>
      <c r="E291" s="241"/>
      <c r="F291" s="240"/>
      <c r="G291" s="240"/>
      <c r="H291" s="45"/>
      <c r="I291" s="249"/>
    </row>
    <row r="292" spans="1:9" ht="16.5" customHeight="1">
      <c r="A292" s="247"/>
      <c r="B292" s="100" t="s">
        <v>53</v>
      </c>
      <c r="C292" s="42"/>
      <c r="D292" s="42"/>
      <c r="E292" s="42"/>
      <c r="F292" s="42"/>
      <c r="G292" s="42"/>
      <c r="H292" s="45"/>
      <c r="I292" s="249"/>
    </row>
    <row r="293" spans="1:9" ht="16.5" customHeight="1">
      <c r="A293" s="247"/>
      <c r="B293" s="101"/>
      <c r="C293" s="43"/>
      <c r="D293" s="102"/>
      <c r="E293" s="242" t="s">
        <v>54</v>
      </c>
      <c r="F293" s="242"/>
      <c r="G293" s="104"/>
      <c r="H293" s="105"/>
      <c r="I293" s="249"/>
    </row>
    <row r="294" spans="1:9" ht="16.5" customHeight="1">
      <c r="A294" s="247"/>
      <c r="B294" s="43"/>
      <c r="C294" s="43"/>
      <c r="D294" s="106"/>
      <c r="E294" s="106"/>
      <c r="F294" s="43"/>
      <c r="G294" s="43"/>
      <c r="H294" s="43"/>
      <c r="I294" s="249"/>
    </row>
    <row r="295" spans="1:9" ht="16.5" customHeight="1">
      <c r="A295" s="247"/>
      <c r="B295" s="43"/>
      <c r="C295" s="43"/>
      <c r="D295" s="106"/>
      <c r="E295" s="102"/>
      <c r="F295" s="103" t="s">
        <v>55</v>
      </c>
      <c r="G295" s="107"/>
      <c r="H295" s="108"/>
      <c r="I295" s="249"/>
    </row>
    <row r="296" spans="1:9" ht="16.5" customHeight="1"/>
    <row r="297" spans="1:9">
      <c r="A297" s="243"/>
      <c r="B297" s="243"/>
      <c r="C297" s="243"/>
      <c r="D297" s="243"/>
      <c r="E297" s="243"/>
      <c r="F297" s="243"/>
      <c r="G297" s="243"/>
      <c r="H297" s="243"/>
      <c r="I297" s="243"/>
    </row>
    <row r="298" spans="1:9" ht="27.75">
      <c r="A298" s="244" t="s">
        <v>56</v>
      </c>
      <c r="B298" s="244"/>
      <c r="C298" s="244"/>
      <c r="D298" s="244"/>
      <c r="E298" s="244"/>
      <c r="F298" s="244"/>
      <c r="G298" s="244"/>
      <c r="H298" s="244"/>
      <c r="I298" s="244"/>
    </row>
    <row r="299" spans="1:9" ht="27.75">
      <c r="A299" s="244" t="s">
        <v>57</v>
      </c>
      <c r="B299" s="244"/>
      <c r="C299" s="244"/>
      <c r="D299" s="244"/>
      <c r="E299" s="244"/>
      <c r="F299" s="244"/>
      <c r="G299" s="244"/>
      <c r="H299" s="244"/>
      <c r="I299" s="244"/>
    </row>
    <row r="300" spans="1:9">
      <c r="A300" s="245" t="s">
        <v>58</v>
      </c>
      <c r="B300" s="245"/>
      <c r="C300" s="245"/>
      <c r="D300" s="245"/>
      <c r="E300" s="245"/>
      <c r="F300" s="245"/>
      <c r="G300" s="245"/>
      <c r="H300" s="245"/>
      <c r="I300" s="245"/>
    </row>
    <row r="301" spans="1:9">
      <c r="A301" s="246"/>
      <c r="B301" s="246"/>
      <c r="C301" s="246"/>
      <c r="D301" s="246"/>
      <c r="E301" s="246"/>
      <c r="F301" s="246"/>
      <c r="G301" s="246"/>
      <c r="H301" s="246"/>
      <c r="I301" s="246"/>
    </row>
    <row r="302" spans="1:9" ht="21" thickBot="1">
      <c r="A302" s="247"/>
      <c r="B302" s="248" t="str">
        <f>Total!$A$2</f>
        <v>2026 June Ecovasc Promoter Salary Summary</v>
      </c>
      <c r="C302" s="248"/>
      <c r="D302" s="248"/>
      <c r="E302" s="248"/>
      <c r="F302" s="248"/>
      <c r="G302" s="248"/>
      <c r="H302" s="248"/>
      <c r="I302" s="249"/>
    </row>
    <row r="303" spans="1:9" ht="17.25" customHeight="1" thickTop="1">
      <c r="A303" s="247"/>
      <c r="B303" s="250"/>
      <c r="C303" s="250"/>
      <c r="D303" s="250"/>
      <c r="E303" s="250"/>
      <c r="F303" s="250"/>
      <c r="G303" s="250"/>
      <c r="H303" s="37"/>
      <c r="I303" s="249"/>
    </row>
    <row r="304" spans="1:9" ht="16.5" customHeight="1">
      <c r="A304" s="247"/>
      <c r="B304" s="38" t="s">
        <v>27</v>
      </c>
      <c r="C304" s="39" t="str">
        <f>Total!$E$16</f>
        <v>Wan Kwok Hei</v>
      </c>
      <c r="D304" s="39" t="e" cm="1">
        <f t="array" ref="D304">INDEX(Total!$D$8:$D$20,MATCH($C304&amp;$G304,Total!$E$8:$E$20&amp;Total!#REF!,0))</f>
        <v>#REF!</v>
      </c>
      <c r="E304" s="40"/>
      <c r="F304" s="41" t="s">
        <v>28</v>
      </c>
      <c r="G304" s="39" t="e">
        <f>Total!#REF!</f>
        <v>#REF!</v>
      </c>
      <c r="H304" s="39"/>
      <c r="I304" s="249"/>
    </row>
    <row r="305" spans="1:9" ht="17.25" customHeight="1" thickBot="1">
      <c r="A305" s="247"/>
      <c r="B305" s="42"/>
      <c r="C305" s="42"/>
      <c r="D305" s="42"/>
      <c r="E305" s="43"/>
      <c r="F305" s="44"/>
      <c r="G305" s="45"/>
      <c r="H305" s="45"/>
      <c r="I305" s="249"/>
    </row>
    <row r="306" spans="1:9" ht="17.25" customHeight="1" thickBot="1">
      <c r="A306" s="247"/>
      <c r="B306" s="46" t="s">
        <v>29</v>
      </c>
      <c r="C306" s="47"/>
      <c r="D306" s="48"/>
      <c r="E306" s="47" t="s">
        <v>30</v>
      </c>
      <c r="F306" s="49"/>
      <c r="G306" s="45"/>
      <c r="H306" s="45"/>
      <c r="I306" s="249"/>
    </row>
    <row r="307" spans="1:9" ht="17.25" customHeight="1" thickTop="1">
      <c r="A307" s="247"/>
      <c r="B307" s="50" t="s">
        <v>31</v>
      </c>
      <c r="C307" s="51"/>
      <c r="D307" s="52"/>
      <c r="E307" s="53" t="s">
        <v>32</v>
      </c>
      <c r="F307" s="54"/>
      <c r="G307" s="45"/>
      <c r="H307" s="45"/>
      <c r="I307" s="249"/>
    </row>
    <row r="308" spans="1:9" ht="16.5" customHeight="1">
      <c r="A308" s="247"/>
      <c r="B308" s="55" t="s">
        <v>33</v>
      </c>
      <c r="C308" s="56"/>
      <c r="D308" s="57"/>
      <c r="E308" s="58" t="e" cm="1">
        <f t="array" ref="E308">INDEX(Total!$F$8:$F$20,MATCH($C304&amp;$G304,Total!$E$8:$E$20&amp;Total!#REF!,0))</f>
        <v>#REF!</v>
      </c>
      <c r="F308" s="59"/>
      <c r="G308" s="45"/>
      <c r="H308" s="45"/>
      <c r="I308" s="249"/>
    </row>
    <row r="309" spans="1:9" ht="16.5" customHeight="1">
      <c r="A309" s="247"/>
      <c r="B309" s="55" t="s">
        <v>34</v>
      </c>
      <c r="C309" s="60"/>
      <c r="D309" s="57"/>
      <c r="E309" s="61" t="e" cm="1">
        <f t="array" ref="E309">INDEX(Total!$G$8:$G$20,MATCH($C304&amp;$G304,Total!$E$8:$E$20&amp;Total!#REF!,0))</f>
        <v>#REF!</v>
      </c>
      <c r="F309" s="59"/>
      <c r="G309" s="45"/>
      <c r="H309" s="45"/>
      <c r="I309" s="249"/>
    </row>
    <row r="310" spans="1:9" ht="16.5" customHeight="1">
      <c r="A310" s="247"/>
      <c r="B310" s="55" t="s">
        <v>35</v>
      </c>
      <c r="C310" s="60"/>
      <c r="D310" s="57"/>
      <c r="E310" s="62" t="e" cm="1">
        <f t="array" ref="E310">INDEX(Total!$H$8:$H$20,MATCH($C304&amp;$G304,Total!$E$8:$E$20&amp;Total!#REF!,0))</f>
        <v>#REF!</v>
      </c>
      <c r="F310" s="59"/>
      <c r="G310" s="44"/>
      <c r="H310" s="44"/>
      <c r="I310" s="249"/>
    </row>
    <row r="311" spans="1:9" ht="16.5" customHeight="1">
      <c r="A311" s="247"/>
      <c r="B311" s="55" t="s">
        <v>36</v>
      </c>
      <c r="C311" s="56"/>
      <c r="D311" s="63"/>
      <c r="E311" s="62" t="e" cm="1">
        <f t="array" ref="E311">INDEX(Total!$I$8:$I$20,MATCH($C304&amp;$G304,Total!$E$8:$E$20&amp;Total!#REF!,0))</f>
        <v>#REF!</v>
      </c>
      <c r="F311" s="64"/>
      <c r="G311" s="44"/>
      <c r="H311" s="44"/>
      <c r="I311" s="249"/>
    </row>
    <row r="312" spans="1:9" ht="16.5" customHeight="1">
      <c r="A312" s="247"/>
      <c r="B312" s="55" t="s">
        <v>37</v>
      </c>
      <c r="C312" s="56"/>
      <c r="D312" s="63"/>
      <c r="E312" s="62" t="e" cm="1">
        <f t="array" ref="E312">INDEX(Total!$J$8:$J$20,MATCH($C304&amp;$G304,Total!$E$8:$E$20&amp;Total!#REF!,0))</f>
        <v>#REF!</v>
      </c>
      <c r="F312" s="64"/>
      <c r="G312" s="44"/>
      <c r="H312" s="44"/>
      <c r="I312" s="249"/>
    </row>
    <row r="313" spans="1:9" ht="17.25" customHeight="1" thickBot="1">
      <c r="A313" s="247"/>
      <c r="B313" s="65" t="s">
        <v>38</v>
      </c>
      <c r="C313" s="66"/>
      <c r="D313" s="67"/>
      <c r="E313" s="68" t="e" cm="1">
        <f t="array" ref="E313">INDEX(Total!$L$8:$L$20,MATCH($C304&amp;$G304,Total!$E$8:$E$20&amp;Total!#REF!,0))</f>
        <v>#REF!</v>
      </c>
      <c r="F313" s="69"/>
      <c r="G313" s="70"/>
      <c r="H313" s="70"/>
      <c r="I313" s="249"/>
    </row>
    <row r="314" spans="1:9" ht="17.25" customHeight="1" thickBot="1">
      <c r="A314" s="247"/>
      <c r="B314" s="71"/>
      <c r="C314" s="71"/>
      <c r="D314" s="71"/>
      <c r="E314" s="71"/>
      <c r="F314" s="71"/>
      <c r="G314" s="71"/>
      <c r="H314" s="71"/>
      <c r="I314" s="249"/>
    </row>
    <row r="315" spans="1:9" ht="17.25" customHeight="1" thickBot="1">
      <c r="A315" s="247"/>
      <c r="B315" s="72"/>
      <c r="C315" s="73" t="s">
        <v>39</v>
      </c>
      <c r="D315" s="74"/>
      <c r="E315" s="74"/>
      <c r="F315" s="75" t="s">
        <v>40</v>
      </c>
      <c r="G315" s="75"/>
      <c r="H315" s="76"/>
      <c r="I315" s="249"/>
    </row>
    <row r="316" spans="1:9" ht="17.25" customHeight="1" thickTop="1">
      <c r="A316" s="247"/>
      <c r="B316" s="77"/>
      <c r="C316" s="50" t="s">
        <v>41</v>
      </c>
      <c r="D316" s="78"/>
      <c r="E316" s="78"/>
      <c r="F316" s="79"/>
      <c r="G316" s="80" t="e" cm="1">
        <f t="array" ref="G316">INDEX(Total!$K$8:$K$20,MATCH($C304&amp;$G304,Total!$E$8:$E$20&amp;Total!#REF!,0))</f>
        <v>#REF!</v>
      </c>
      <c r="H316" s="81"/>
      <c r="I316" s="249"/>
    </row>
    <row r="317" spans="1:9" ht="16.5" customHeight="1">
      <c r="A317" s="247"/>
      <c r="B317" s="77"/>
      <c r="C317" s="55" t="s">
        <v>42</v>
      </c>
      <c r="D317" s="82"/>
      <c r="E317" s="82"/>
      <c r="F317" s="83"/>
      <c r="G317" s="84" t="e" cm="1">
        <f t="array" ref="G317">INDEX(Total!$O$8:$O$20,MATCH($C304&amp;$G304,Total!$E$8:$E$20&amp;Total!#REF!,0))</f>
        <v>#REF!</v>
      </c>
      <c r="H317" s="85"/>
      <c r="I317" s="249"/>
    </row>
    <row r="318" spans="1:9" ht="16.5" customHeight="1">
      <c r="A318" s="247"/>
      <c r="B318" s="77"/>
      <c r="C318" s="55" t="s">
        <v>43</v>
      </c>
      <c r="D318" s="86"/>
      <c r="E318" s="86"/>
      <c r="F318" s="83"/>
      <c r="G318" s="84" t="e" cm="1">
        <f t="array" ref="G318">INDEX(Total!$N$8:$N$20,MATCH($C304&amp;$G304,Total!$E$8:$E$20&amp;Total!#REF!,0))</f>
        <v>#REF!</v>
      </c>
      <c r="H318" s="85"/>
      <c r="I318" s="249"/>
    </row>
    <row r="319" spans="1:9" ht="16.5" customHeight="1">
      <c r="A319" s="247"/>
      <c r="B319" s="77"/>
      <c r="C319" s="55" t="s">
        <v>44</v>
      </c>
      <c r="D319" s="87"/>
      <c r="E319" s="87"/>
      <c r="F319" s="83"/>
      <c r="G319" s="84" t="e" cm="1">
        <f t="array" ref="G319">INDEX(Total!$P$8:$P$20,MATCH($C304&amp;$G304,Total!$E$8:$E$20&amp;Total!#REF!,0))</f>
        <v>#REF!</v>
      </c>
      <c r="H319" s="85"/>
      <c r="I319" s="249"/>
    </row>
    <row r="320" spans="1:9" ht="16.5" customHeight="1">
      <c r="A320" s="247"/>
      <c r="B320" s="77"/>
      <c r="C320" s="55" t="s">
        <v>45</v>
      </c>
      <c r="D320" s="87"/>
      <c r="E320" s="87"/>
      <c r="F320" s="83"/>
      <c r="G320" s="84" t="e" cm="1">
        <f t="array" ref="G320">INDEX(Total!$Q$8:$Q$20,MATCH($C304&amp;$G304,Total!$E$8:$E$20&amp;Total!#REF!,0))</f>
        <v>#REF!</v>
      </c>
      <c r="H320" s="85"/>
      <c r="I320" s="249"/>
    </row>
    <row r="321" spans="1:10" ht="16.5" customHeight="1">
      <c r="A321" s="247"/>
      <c r="B321" s="77"/>
      <c r="C321" s="55" t="s">
        <v>46</v>
      </c>
      <c r="D321" s="82" t="s">
        <v>47</v>
      </c>
      <c r="E321" s="82"/>
      <c r="F321" s="83"/>
      <c r="G321" s="84" t="e" cm="1">
        <f t="array" ref="G321">INDEX(Total!$R$8:$R$20,MATCH($C304&amp;$G304,Total!$E$8:$E$20&amp;Total!#REF!,0))</f>
        <v>#REF!</v>
      </c>
      <c r="H321" s="85"/>
      <c r="I321" s="249"/>
    </row>
    <row r="322" spans="1:10" ht="16.5" customHeight="1">
      <c r="A322" s="247"/>
      <c r="B322" s="77"/>
      <c r="C322" s="55" t="s">
        <v>48</v>
      </c>
      <c r="D322" s="87"/>
      <c r="E322" s="87"/>
      <c r="F322" s="83"/>
      <c r="G322" s="84" t="e" cm="1">
        <f t="array" ref="G322">INDEX(Total!$T$8:$T$20,MATCH($C304&amp;$G304,Total!$E$8:$E$20&amp;Total!#REF!,0))</f>
        <v>#REF!</v>
      </c>
      <c r="H322" s="85"/>
      <c r="I322" s="249"/>
    </row>
    <row r="323" spans="1:10" ht="16.5" customHeight="1">
      <c r="A323" s="247"/>
      <c r="B323" s="77"/>
      <c r="C323" s="55" t="s">
        <v>49</v>
      </c>
      <c r="D323" s="87"/>
      <c r="E323" s="87"/>
      <c r="F323" s="83"/>
      <c r="G323" s="84" t="e" cm="1">
        <f t="array" ref="G323">INDEX(Total!$S$8:$S$20,MATCH($C304&amp;$G304,Total!$E$8:$E$20&amp;Total!#REF!,0))</f>
        <v>#REF!</v>
      </c>
      <c r="H323" s="85"/>
      <c r="I323" s="249"/>
    </row>
    <row r="324" spans="1:10" ht="17.25" customHeight="1" thickBot="1">
      <c r="A324" s="247"/>
      <c r="B324" s="77"/>
      <c r="C324" s="88" t="s">
        <v>50</v>
      </c>
      <c r="D324" s="89"/>
      <c r="E324" s="89"/>
      <c r="F324" s="90"/>
      <c r="G324" s="91" t="e" cm="1">
        <f t="array" ref="G324">-INDEX(Total!$U$8:$U$20,MATCH($C304&amp;$G304,Total!$E$8:$E$20&amp;Total!#REF!,0))</f>
        <v>#REF!</v>
      </c>
      <c r="H324" s="92"/>
      <c r="I324" s="249"/>
    </row>
    <row r="325" spans="1:10" ht="18" customHeight="1" thickTop="1" thickBot="1">
      <c r="A325" s="247"/>
      <c r="B325" s="93"/>
      <c r="C325" s="94"/>
      <c r="D325" s="95"/>
      <c r="E325" s="96" t="s">
        <v>1</v>
      </c>
      <c r="F325" s="251" t="e">
        <f>SUM($G316:$G324)</f>
        <v>#REF!</v>
      </c>
      <c r="G325" s="251"/>
      <c r="H325" s="98"/>
      <c r="I325" s="249"/>
      <c r="J325" s="99" t="e" cm="1">
        <f t="array" ref="J325">INDEX(Total!$W$8:$W$20,MATCH($C304&amp;$G304,Total!$E$8:$E$20&amp;Total!#REF!,0))</f>
        <v>#REF!</v>
      </c>
    </row>
    <row r="326" spans="1:10" ht="16.5" customHeight="1">
      <c r="A326" s="247"/>
      <c r="B326" s="42"/>
      <c r="C326" s="42"/>
      <c r="D326" s="42"/>
      <c r="E326" s="42"/>
      <c r="F326" s="239"/>
      <c r="G326" s="240"/>
      <c r="H326" s="45"/>
      <c r="I326" s="249"/>
    </row>
    <row r="327" spans="1:10" ht="16.5" customHeight="1">
      <c r="A327" s="247"/>
      <c r="B327" s="100" t="s">
        <v>51</v>
      </c>
      <c r="C327" s="42"/>
      <c r="D327" s="42"/>
      <c r="E327" s="42"/>
      <c r="F327" s="240"/>
      <c r="G327" s="240"/>
      <c r="H327" s="45"/>
      <c r="I327" s="249"/>
    </row>
    <row r="328" spans="1:10" ht="16.5" customHeight="1">
      <c r="A328" s="247"/>
      <c r="B328" s="100" t="s">
        <v>52</v>
      </c>
      <c r="C328" s="42"/>
      <c r="D328" s="241"/>
      <c r="E328" s="241"/>
      <c r="F328" s="240"/>
      <c r="G328" s="240"/>
      <c r="H328" s="45"/>
      <c r="I328" s="249"/>
    </row>
    <row r="329" spans="1:10" ht="16.5" customHeight="1">
      <c r="A329" s="247"/>
      <c r="B329" s="100" t="s">
        <v>53</v>
      </c>
      <c r="C329" s="42"/>
      <c r="D329" s="42"/>
      <c r="E329" s="42"/>
      <c r="F329" s="42"/>
      <c r="G329" s="42"/>
      <c r="H329" s="45"/>
      <c r="I329" s="249"/>
    </row>
    <row r="330" spans="1:10" ht="16.5" customHeight="1">
      <c r="A330" s="247"/>
      <c r="B330" s="101"/>
      <c r="C330" s="43"/>
      <c r="D330" s="102"/>
      <c r="E330" s="242" t="s">
        <v>54</v>
      </c>
      <c r="F330" s="242"/>
      <c r="G330" s="104"/>
      <c r="H330" s="105"/>
      <c r="I330" s="249"/>
    </row>
    <row r="331" spans="1:10" ht="16.5" customHeight="1">
      <c r="A331" s="247"/>
      <c r="B331" s="43"/>
      <c r="C331" s="43"/>
      <c r="D331" s="106"/>
      <c r="E331" s="106"/>
      <c r="F331" s="43"/>
      <c r="G331" s="43"/>
      <c r="H331" s="43"/>
      <c r="I331" s="249"/>
    </row>
    <row r="332" spans="1:10" ht="16.5" customHeight="1">
      <c r="A332" s="247"/>
      <c r="B332" s="43"/>
      <c r="C332" s="43"/>
      <c r="D332" s="106"/>
      <c r="E332" s="102"/>
      <c r="F332" s="103" t="s">
        <v>55</v>
      </c>
      <c r="G332" s="107"/>
      <c r="H332" s="108"/>
      <c r="I332" s="249"/>
    </row>
    <row r="333" spans="1:10" ht="16.5" customHeight="1"/>
    <row r="334" spans="1:10">
      <c r="A334" s="243"/>
      <c r="B334" s="243"/>
      <c r="C334" s="243"/>
      <c r="D334" s="243"/>
      <c r="E334" s="243"/>
      <c r="F334" s="243"/>
      <c r="G334" s="243"/>
      <c r="H334" s="243"/>
      <c r="I334" s="243"/>
    </row>
    <row r="335" spans="1:10" ht="27.75">
      <c r="A335" s="244" t="s">
        <v>56</v>
      </c>
      <c r="B335" s="244"/>
      <c r="C335" s="244"/>
      <c r="D335" s="244"/>
      <c r="E335" s="244"/>
      <c r="F335" s="244"/>
      <c r="G335" s="244"/>
      <c r="H335" s="244"/>
      <c r="I335" s="244"/>
    </row>
    <row r="336" spans="1:10" ht="27.75">
      <c r="A336" s="244" t="s">
        <v>57</v>
      </c>
      <c r="B336" s="244"/>
      <c r="C336" s="244"/>
      <c r="D336" s="244"/>
      <c r="E336" s="244"/>
      <c r="F336" s="244"/>
      <c r="G336" s="244"/>
      <c r="H336" s="244"/>
      <c r="I336" s="244"/>
    </row>
    <row r="337" spans="1:9">
      <c r="A337" s="245" t="s">
        <v>58</v>
      </c>
      <c r="B337" s="245"/>
      <c r="C337" s="245"/>
      <c r="D337" s="245"/>
      <c r="E337" s="245"/>
      <c r="F337" s="245"/>
      <c r="G337" s="245"/>
      <c r="H337" s="245"/>
      <c r="I337" s="245"/>
    </row>
    <row r="338" spans="1:9">
      <c r="A338" s="246"/>
      <c r="B338" s="246"/>
      <c r="C338" s="246"/>
      <c r="D338" s="246"/>
      <c r="E338" s="246"/>
      <c r="F338" s="246"/>
      <c r="G338" s="246"/>
      <c r="H338" s="246"/>
      <c r="I338" s="246"/>
    </row>
    <row r="339" spans="1:9" ht="21" thickBot="1">
      <c r="A339" s="247"/>
      <c r="B339" s="248" t="str">
        <f>Total!$A$2</f>
        <v>2026 June Ecovasc Promoter Salary Summary</v>
      </c>
      <c r="C339" s="248"/>
      <c r="D339" s="248"/>
      <c r="E339" s="248"/>
      <c r="F339" s="248"/>
      <c r="G339" s="248"/>
      <c r="H339" s="248"/>
      <c r="I339" s="249"/>
    </row>
    <row r="340" spans="1:9" ht="17.25" customHeight="1" thickTop="1">
      <c r="A340" s="247"/>
      <c r="B340" s="250"/>
      <c r="C340" s="250"/>
      <c r="D340" s="250"/>
      <c r="E340" s="250"/>
      <c r="F340" s="250"/>
      <c r="G340" s="250"/>
      <c r="H340" s="37"/>
      <c r="I340" s="249"/>
    </row>
    <row r="341" spans="1:9" ht="16.5" customHeight="1">
      <c r="A341" s="247"/>
      <c r="B341" s="38" t="s">
        <v>27</v>
      </c>
      <c r="C341" s="39" t="str">
        <f>Total!$E$17</f>
        <v>Wan Kwok Hei</v>
      </c>
      <c r="D341" s="39" t="e" cm="1">
        <f t="array" ref="D341">INDEX(Total!$D$8:$D$20,MATCH($C341&amp;$G341,Total!$E$8:$E$20&amp;Total!#REF!,0))</f>
        <v>#REF!</v>
      </c>
      <c r="E341" s="40"/>
      <c r="F341" s="41" t="s">
        <v>28</v>
      </c>
      <c r="G341" s="39" t="e">
        <f>Total!#REF!</f>
        <v>#REF!</v>
      </c>
      <c r="H341" s="39"/>
      <c r="I341" s="249"/>
    </row>
    <row r="342" spans="1:9" ht="17.25" customHeight="1" thickBot="1">
      <c r="A342" s="247"/>
      <c r="B342" s="42"/>
      <c r="C342" s="42"/>
      <c r="D342" s="42"/>
      <c r="E342" s="43"/>
      <c r="F342" s="44"/>
      <c r="G342" s="45"/>
      <c r="H342" s="45"/>
      <c r="I342" s="249"/>
    </row>
    <row r="343" spans="1:9" ht="17.25" customHeight="1" thickBot="1">
      <c r="A343" s="247"/>
      <c r="B343" s="46" t="s">
        <v>29</v>
      </c>
      <c r="C343" s="47"/>
      <c r="D343" s="48"/>
      <c r="E343" s="47" t="s">
        <v>30</v>
      </c>
      <c r="F343" s="49"/>
      <c r="G343" s="45"/>
      <c r="H343" s="45"/>
      <c r="I343" s="249"/>
    </row>
    <row r="344" spans="1:9" ht="17.25" customHeight="1" thickTop="1">
      <c r="A344" s="247"/>
      <c r="B344" s="50" t="s">
        <v>31</v>
      </c>
      <c r="C344" s="51"/>
      <c r="D344" s="52"/>
      <c r="E344" s="53" t="s">
        <v>32</v>
      </c>
      <c r="F344" s="54"/>
      <c r="G344" s="45"/>
      <c r="H344" s="45"/>
      <c r="I344" s="249"/>
    </row>
    <row r="345" spans="1:9" ht="16.5" customHeight="1">
      <c r="A345" s="247"/>
      <c r="B345" s="55" t="s">
        <v>33</v>
      </c>
      <c r="C345" s="56"/>
      <c r="D345" s="57"/>
      <c r="E345" s="58" t="e" cm="1">
        <f t="array" ref="E345">INDEX(Total!$F$8:$F$20,MATCH($C341&amp;$G341,Total!$E$8:$E$20&amp;Total!#REF!,0))</f>
        <v>#REF!</v>
      </c>
      <c r="F345" s="59"/>
      <c r="G345" s="45"/>
      <c r="H345" s="45"/>
      <c r="I345" s="249"/>
    </row>
    <row r="346" spans="1:9" ht="16.5" customHeight="1">
      <c r="A346" s="247"/>
      <c r="B346" s="55" t="s">
        <v>34</v>
      </c>
      <c r="C346" s="60"/>
      <c r="D346" s="57"/>
      <c r="E346" s="61" t="e" cm="1">
        <f t="array" ref="E346">INDEX(Total!$G$8:$G$20,MATCH($C341&amp;$G341,Total!$E$8:$E$20&amp;Total!#REF!,0))</f>
        <v>#REF!</v>
      </c>
      <c r="F346" s="59"/>
      <c r="G346" s="45"/>
      <c r="H346" s="45"/>
      <c r="I346" s="249"/>
    </row>
    <row r="347" spans="1:9" ht="16.5" customHeight="1">
      <c r="A347" s="247"/>
      <c r="B347" s="55" t="s">
        <v>35</v>
      </c>
      <c r="C347" s="60"/>
      <c r="D347" s="57"/>
      <c r="E347" s="62" t="e" cm="1">
        <f t="array" ref="E347">INDEX(Total!$H$8:$H$20,MATCH($C341&amp;$G341,Total!$E$8:$E$20&amp;Total!#REF!,0))</f>
        <v>#REF!</v>
      </c>
      <c r="F347" s="59"/>
      <c r="G347" s="44"/>
      <c r="H347" s="44"/>
      <c r="I347" s="249"/>
    </row>
    <row r="348" spans="1:9" ht="16.5" customHeight="1">
      <c r="A348" s="247"/>
      <c r="B348" s="55" t="s">
        <v>36</v>
      </c>
      <c r="C348" s="56"/>
      <c r="D348" s="63"/>
      <c r="E348" s="62" t="e" cm="1">
        <f t="array" ref="E348">INDEX(Total!$I$8:$I$20,MATCH($C341&amp;$G341,Total!$E$8:$E$20&amp;Total!#REF!,0))</f>
        <v>#REF!</v>
      </c>
      <c r="F348" s="64"/>
      <c r="G348" s="44"/>
      <c r="H348" s="44"/>
      <c r="I348" s="249"/>
    </row>
    <row r="349" spans="1:9" ht="16.5" customHeight="1">
      <c r="A349" s="247"/>
      <c r="B349" s="55" t="s">
        <v>37</v>
      </c>
      <c r="C349" s="56"/>
      <c r="D349" s="63"/>
      <c r="E349" s="62" t="e" cm="1">
        <f t="array" ref="E349">INDEX(Total!$J$8:$J$20,MATCH($C341&amp;$G341,Total!$E$8:$E$20&amp;Total!#REF!,0))</f>
        <v>#REF!</v>
      </c>
      <c r="F349" s="64"/>
      <c r="G349" s="44"/>
      <c r="H349" s="44"/>
      <c r="I349" s="249"/>
    </row>
    <row r="350" spans="1:9" ht="17.25" customHeight="1" thickBot="1">
      <c r="A350" s="247"/>
      <c r="B350" s="65" t="s">
        <v>38</v>
      </c>
      <c r="C350" s="66"/>
      <c r="D350" s="67"/>
      <c r="E350" s="68" t="e" cm="1">
        <f t="array" ref="E350">INDEX(Total!$L$8:$L$20,MATCH($C341&amp;$G341,Total!$E$8:$E$20&amp;Total!#REF!,0))</f>
        <v>#REF!</v>
      </c>
      <c r="F350" s="69"/>
      <c r="G350" s="70"/>
      <c r="H350" s="70"/>
      <c r="I350" s="249"/>
    </row>
    <row r="351" spans="1:9" ht="17.25" customHeight="1" thickBot="1">
      <c r="A351" s="247"/>
      <c r="B351" s="71"/>
      <c r="C351" s="71"/>
      <c r="D351" s="71"/>
      <c r="E351" s="71"/>
      <c r="F351" s="71"/>
      <c r="G351" s="71"/>
      <c r="H351" s="71"/>
      <c r="I351" s="249"/>
    </row>
    <row r="352" spans="1:9" ht="17.25" customHeight="1" thickBot="1">
      <c r="A352" s="247"/>
      <c r="B352" s="72"/>
      <c r="C352" s="73" t="s">
        <v>39</v>
      </c>
      <c r="D352" s="74"/>
      <c r="E352" s="74"/>
      <c r="F352" s="75" t="s">
        <v>40</v>
      </c>
      <c r="G352" s="75"/>
      <c r="H352" s="76"/>
      <c r="I352" s="249"/>
    </row>
    <row r="353" spans="1:10" ht="17.25" customHeight="1" thickTop="1">
      <c r="A353" s="247"/>
      <c r="B353" s="77"/>
      <c r="C353" s="50" t="s">
        <v>41</v>
      </c>
      <c r="D353" s="78"/>
      <c r="E353" s="78"/>
      <c r="F353" s="79"/>
      <c r="G353" s="80" t="e" cm="1">
        <f t="array" ref="G353">INDEX(Total!$K$8:$K$20,MATCH($C341&amp;$G341,Total!$E$8:$E$20&amp;Total!#REF!,0))</f>
        <v>#REF!</v>
      </c>
      <c r="H353" s="81"/>
      <c r="I353" s="249"/>
    </row>
    <row r="354" spans="1:10" ht="16.5" customHeight="1">
      <c r="A354" s="247"/>
      <c r="B354" s="77"/>
      <c r="C354" s="55" t="s">
        <v>42</v>
      </c>
      <c r="D354" s="82"/>
      <c r="E354" s="82"/>
      <c r="F354" s="83"/>
      <c r="G354" s="84" t="e" cm="1">
        <f t="array" ref="G354">INDEX(Total!$O$8:$O$20,MATCH($C341&amp;$G341,Total!$E$8:$E$20&amp;Total!#REF!,0))</f>
        <v>#REF!</v>
      </c>
      <c r="H354" s="85"/>
      <c r="I354" s="249"/>
    </row>
    <row r="355" spans="1:10" ht="16.5" customHeight="1">
      <c r="A355" s="247"/>
      <c r="B355" s="77"/>
      <c r="C355" s="55" t="s">
        <v>43</v>
      </c>
      <c r="D355" s="86"/>
      <c r="E355" s="86"/>
      <c r="F355" s="83"/>
      <c r="G355" s="84" t="e" cm="1">
        <f t="array" ref="G355">INDEX(Total!$N$8:$N$20,MATCH($C341&amp;$G341,Total!$E$8:$E$20&amp;Total!#REF!,0))</f>
        <v>#REF!</v>
      </c>
      <c r="H355" s="85"/>
      <c r="I355" s="249"/>
    </row>
    <row r="356" spans="1:10" ht="16.5" customHeight="1">
      <c r="A356" s="247"/>
      <c r="B356" s="77"/>
      <c r="C356" s="55" t="s">
        <v>44</v>
      </c>
      <c r="D356" s="87"/>
      <c r="E356" s="87"/>
      <c r="F356" s="83"/>
      <c r="G356" s="84" t="e" cm="1">
        <f t="array" ref="G356">INDEX(Total!$P$8:$P$20,MATCH($C341&amp;$G341,Total!$E$8:$E$20&amp;Total!#REF!,0))</f>
        <v>#REF!</v>
      </c>
      <c r="H356" s="85"/>
      <c r="I356" s="249"/>
    </row>
    <row r="357" spans="1:10" ht="16.5" customHeight="1">
      <c r="A357" s="247"/>
      <c r="B357" s="77"/>
      <c r="C357" s="55" t="s">
        <v>45</v>
      </c>
      <c r="D357" s="87"/>
      <c r="E357" s="87"/>
      <c r="F357" s="83"/>
      <c r="G357" s="84" t="e" cm="1">
        <f t="array" ref="G357">INDEX(Total!$Q$8:$Q$20,MATCH($C341&amp;$G341,Total!$E$8:$E$20&amp;Total!#REF!,0))</f>
        <v>#REF!</v>
      </c>
      <c r="H357" s="85"/>
      <c r="I357" s="249"/>
    </row>
    <row r="358" spans="1:10" ht="16.5" customHeight="1">
      <c r="A358" s="247"/>
      <c r="B358" s="77"/>
      <c r="C358" s="55" t="s">
        <v>46</v>
      </c>
      <c r="D358" s="82" t="s">
        <v>47</v>
      </c>
      <c r="E358" s="82"/>
      <c r="F358" s="83"/>
      <c r="G358" s="84" t="e" cm="1">
        <f t="array" ref="G358">INDEX(Total!$R$8:$R$20,MATCH($C341&amp;$G341,Total!$E$8:$E$20&amp;Total!#REF!,0))</f>
        <v>#REF!</v>
      </c>
      <c r="H358" s="85"/>
      <c r="I358" s="249"/>
    </row>
    <row r="359" spans="1:10" ht="16.5" customHeight="1">
      <c r="A359" s="247"/>
      <c r="B359" s="77"/>
      <c r="C359" s="55" t="s">
        <v>48</v>
      </c>
      <c r="D359" s="87"/>
      <c r="E359" s="87"/>
      <c r="F359" s="83"/>
      <c r="G359" s="84" t="e" cm="1">
        <f t="array" ref="G359">INDEX(Total!$T$8:$T$20,MATCH($C341&amp;$G341,Total!$E$8:$E$20&amp;Total!#REF!,0))</f>
        <v>#REF!</v>
      </c>
      <c r="H359" s="85"/>
      <c r="I359" s="249"/>
    </row>
    <row r="360" spans="1:10" ht="16.5" customHeight="1">
      <c r="A360" s="247"/>
      <c r="B360" s="77"/>
      <c r="C360" s="55" t="s">
        <v>49</v>
      </c>
      <c r="D360" s="87"/>
      <c r="E360" s="87"/>
      <c r="F360" s="83"/>
      <c r="G360" s="84" t="e" cm="1">
        <f t="array" ref="G360">INDEX(Total!$S$8:$S$20,MATCH($C341&amp;$G341,Total!$E$8:$E$20&amp;Total!#REF!,0))</f>
        <v>#REF!</v>
      </c>
      <c r="H360" s="85"/>
      <c r="I360" s="249"/>
    </row>
    <row r="361" spans="1:10" ht="17.25" customHeight="1" thickBot="1">
      <c r="A361" s="247"/>
      <c r="B361" s="77"/>
      <c r="C361" s="88" t="s">
        <v>50</v>
      </c>
      <c r="D361" s="89"/>
      <c r="E361" s="89"/>
      <c r="F361" s="90"/>
      <c r="G361" s="91" t="e" cm="1">
        <f t="array" ref="G361">-INDEX(Total!$U$8:$U$20,MATCH($C341&amp;$G341,Total!$E$8:$E$20&amp;Total!#REF!,0))</f>
        <v>#REF!</v>
      </c>
      <c r="H361" s="92"/>
      <c r="I361" s="249"/>
    </row>
    <row r="362" spans="1:10" ht="18" customHeight="1" thickTop="1" thickBot="1">
      <c r="A362" s="247"/>
      <c r="B362" s="93"/>
      <c r="C362" s="94"/>
      <c r="D362" s="95"/>
      <c r="E362" s="96" t="s">
        <v>1</v>
      </c>
      <c r="F362" s="251" t="e">
        <f>SUM($G353:$G361)</f>
        <v>#REF!</v>
      </c>
      <c r="G362" s="251"/>
      <c r="H362" s="98"/>
      <c r="I362" s="249"/>
      <c r="J362" s="99" t="e" cm="1">
        <f t="array" ref="J362">INDEX(Total!$W$8:$W$20,MATCH($C341&amp;$G341,Total!$E$8:$E$20&amp;Total!#REF!,0))</f>
        <v>#REF!</v>
      </c>
    </row>
    <row r="363" spans="1:10" ht="16.5" customHeight="1">
      <c r="A363" s="247"/>
      <c r="B363" s="42"/>
      <c r="C363" s="42"/>
      <c r="D363" s="42"/>
      <c r="E363" s="42"/>
      <c r="F363" s="239"/>
      <c r="G363" s="240"/>
      <c r="H363" s="45"/>
      <c r="I363" s="249"/>
    </row>
    <row r="364" spans="1:10" ht="16.5" customHeight="1">
      <c r="A364" s="247"/>
      <c r="B364" s="100" t="s">
        <v>51</v>
      </c>
      <c r="C364" s="42"/>
      <c r="D364" s="42"/>
      <c r="E364" s="42"/>
      <c r="F364" s="240"/>
      <c r="G364" s="240"/>
      <c r="H364" s="45"/>
      <c r="I364" s="249"/>
    </row>
    <row r="365" spans="1:10" ht="16.5" customHeight="1">
      <c r="A365" s="247"/>
      <c r="B365" s="100" t="s">
        <v>52</v>
      </c>
      <c r="C365" s="42"/>
      <c r="D365" s="241"/>
      <c r="E365" s="241"/>
      <c r="F365" s="240"/>
      <c r="G365" s="240"/>
      <c r="H365" s="45"/>
      <c r="I365" s="249"/>
    </row>
    <row r="366" spans="1:10" ht="16.5" customHeight="1">
      <c r="A366" s="247"/>
      <c r="B366" s="100" t="s">
        <v>53</v>
      </c>
      <c r="C366" s="42"/>
      <c r="D366" s="42"/>
      <c r="E366" s="42"/>
      <c r="F366" s="42"/>
      <c r="G366" s="42"/>
      <c r="H366" s="45"/>
      <c r="I366" s="249"/>
    </row>
    <row r="367" spans="1:10" ht="16.5" customHeight="1">
      <c r="A367" s="247"/>
      <c r="B367" s="101"/>
      <c r="C367" s="43"/>
      <c r="D367" s="102"/>
      <c r="E367" s="242" t="s">
        <v>54</v>
      </c>
      <c r="F367" s="242"/>
      <c r="G367" s="104"/>
      <c r="H367" s="105"/>
      <c r="I367" s="249"/>
    </row>
    <row r="368" spans="1:10" ht="16.5" customHeight="1">
      <c r="A368" s="247"/>
      <c r="B368" s="43"/>
      <c r="C368" s="43"/>
      <c r="D368" s="106"/>
      <c r="E368" s="106"/>
      <c r="F368" s="43"/>
      <c r="G368" s="43"/>
      <c r="H368" s="43"/>
      <c r="I368" s="249"/>
    </row>
    <row r="369" spans="1:9" ht="16.5" customHeight="1">
      <c r="A369" s="247"/>
      <c r="B369" s="43"/>
      <c r="C369" s="43"/>
      <c r="D369" s="106"/>
      <c r="E369" s="102"/>
      <c r="F369" s="103" t="s">
        <v>55</v>
      </c>
      <c r="G369" s="107"/>
      <c r="H369" s="108"/>
      <c r="I369" s="249"/>
    </row>
    <row r="370" spans="1:9" ht="16.5" customHeight="1"/>
  </sheetData>
  <protectedRanges>
    <protectedRange password="E851" sqref="D20:F28 D57:F65 D94:F102 D131:F139 D168:F176 D205:F213 D242:F250 D279:F287 D316:F324 D353:F361" name="範圍1_1_1_2_1_2"/>
  </protectedRanges>
  <mergeCells count="132">
    <mergeCell ref="F19:G19"/>
    <mergeCell ref="F29:G29"/>
    <mergeCell ref="F30:G32"/>
    <mergeCell ref="D32:E32"/>
    <mergeCell ref="E34:F34"/>
    <mergeCell ref="A38:I38"/>
    <mergeCell ref="A1:I1"/>
    <mergeCell ref="A2:I2"/>
    <mergeCell ref="A3:I3"/>
    <mergeCell ref="A4:I4"/>
    <mergeCell ref="A5:I5"/>
    <mergeCell ref="A6:A36"/>
    <mergeCell ref="B6:H6"/>
    <mergeCell ref="I6:I36"/>
    <mergeCell ref="B7:G7"/>
    <mergeCell ref="B10:C10"/>
    <mergeCell ref="D69:E69"/>
    <mergeCell ref="E71:F71"/>
    <mergeCell ref="A75:I75"/>
    <mergeCell ref="A76:I76"/>
    <mergeCell ref="A77:I77"/>
    <mergeCell ref="A78:I78"/>
    <mergeCell ref="A39:I39"/>
    <mergeCell ref="A40:I40"/>
    <mergeCell ref="A41:I41"/>
    <mergeCell ref="A42:I42"/>
    <mergeCell ref="A43:A73"/>
    <mergeCell ref="B43:H43"/>
    <mergeCell ref="I43:I73"/>
    <mergeCell ref="B44:G44"/>
    <mergeCell ref="F66:G66"/>
    <mergeCell ref="F67:G69"/>
    <mergeCell ref="A79:I79"/>
    <mergeCell ref="A80:A110"/>
    <mergeCell ref="B80:H80"/>
    <mergeCell ref="I80:I110"/>
    <mergeCell ref="B81:G81"/>
    <mergeCell ref="F103:G103"/>
    <mergeCell ref="F104:G106"/>
    <mergeCell ref="D106:E106"/>
    <mergeCell ref="E108:F108"/>
    <mergeCell ref="F141:G143"/>
    <mergeCell ref="D143:E143"/>
    <mergeCell ref="E145:F145"/>
    <mergeCell ref="A149:I149"/>
    <mergeCell ref="A150:I150"/>
    <mergeCell ref="A151:I151"/>
    <mergeCell ref="A112:I112"/>
    <mergeCell ref="A113:I113"/>
    <mergeCell ref="A114:I114"/>
    <mergeCell ref="A115:I115"/>
    <mergeCell ref="A116:I116"/>
    <mergeCell ref="A117:A147"/>
    <mergeCell ref="B117:H117"/>
    <mergeCell ref="I117:I147"/>
    <mergeCell ref="B118:G118"/>
    <mergeCell ref="F140:G140"/>
    <mergeCell ref="A152:I152"/>
    <mergeCell ref="A153:I153"/>
    <mergeCell ref="A154:A184"/>
    <mergeCell ref="B154:H154"/>
    <mergeCell ref="I154:I184"/>
    <mergeCell ref="B155:G155"/>
    <mergeCell ref="F177:G177"/>
    <mergeCell ref="F178:G180"/>
    <mergeCell ref="D180:E180"/>
    <mergeCell ref="E182:F182"/>
    <mergeCell ref="F215:G217"/>
    <mergeCell ref="D217:E217"/>
    <mergeCell ref="E219:F219"/>
    <mergeCell ref="A223:I223"/>
    <mergeCell ref="A224:I224"/>
    <mergeCell ref="A225:I225"/>
    <mergeCell ref="A186:I186"/>
    <mergeCell ref="A187:I187"/>
    <mergeCell ref="A188:I188"/>
    <mergeCell ref="A189:I189"/>
    <mergeCell ref="A190:I190"/>
    <mergeCell ref="A191:A221"/>
    <mergeCell ref="B191:H191"/>
    <mergeCell ref="I191:I221"/>
    <mergeCell ref="B192:G192"/>
    <mergeCell ref="F214:G214"/>
    <mergeCell ref="A226:I226"/>
    <mergeCell ref="A227:I227"/>
    <mergeCell ref="A228:A258"/>
    <mergeCell ref="B228:H228"/>
    <mergeCell ref="I228:I258"/>
    <mergeCell ref="B229:G229"/>
    <mergeCell ref="F251:G251"/>
    <mergeCell ref="F252:G254"/>
    <mergeCell ref="D254:E254"/>
    <mergeCell ref="E256:F256"/>
    <mergeCell ref="F289:G291"/>
    <mergeCell ref="D291:E291"/>
    <mergeCell ref="E293:F293"/>
    <mergeCell ref="A297:I297"/>
    <mergeCell ref="A298:I298"/>
    <mergeCell ref="A299:I299"/>
    <mergeCell ref="A260:I260"/>
    <mergeCell ref="A261:I261"/>
    <mergeCell ref="A262:I262"/>
    <mergeCell ref="A263:I263"/>
    <mergeCell ref="A264:I264"/>
    <mergeCell ref="A265:A295"/>
    <mergeCell ref="B265:H265"/>
    <mergeCell ref="I265:I295"/>
    <mergeCell ref="B266:G266"/>
    <mergeCell ref="F288:G288"/>
    <mergeCell ref="A300:I300"/>
    <mergeCell ref="A301:I301"/>
    <mergeCell ref="A302:A332"/>
    <mergeCell ref="B302:H302"/>
    <mergeCell ref="I302:I332"/>
    <mergeCell ref="B303:G303"/>
    <mergeCell ref="F325:G325"/>
    <mergeCell ref="F326:G328"/>
    <mergeCell ref="D328:E328"/>
    <mergeCell ref="E330:F330"/>
    <mergeCell ref="F363:G365"/>
    <mergeCell ref="D365:E365"/>
    <mergeCell ref="E367:F367"/>
    <mergeCell ref="A334:I334"/>
    <mergeCell ref="A335:I335"/>
    <mergeCell ref="A336:I336"/>
    <mergeCell ref="A337:I337"/>
    <mergeCell ref="A338:I338"/>
    <mergeCell ref="A339:A369"/>
    <mergeCell ref="B339:H339"/>
    <mergeCell ref="I339:I369"/>
    <mergeCell ref="B340:G340"/>
    <mergeCell ref="F362:G362"/>
  </mergeCells>
  <phoneticPr fontId="3" type="noConversion"/>
  <conditionalFormatting sqref="F30:G32">
    <cfRule type="cellIs" dxfId="64" priority="10" operator="equal">
      <formula>0</formula>
    </cfRule>
  </conditionalFormatting>
  <conditionalFormatting sqref="F67:G69">
    <cfRule type="cellIs" dxfId="63" priority="9" operator="equal">
      <formula>0</formula>
    </cfRule>
  </conditionalFormatting>
  <conditionalFormatting sqref="F104:G106">
    <cfRule type="cellIs" dxfId="62" priority="8" operator="equal">
      <formula>0</formula>
    </cfRule>
  </conditionalFormatting>
  <conditionalFormatting sqref="F141:G143">
    <cfRule type="cellIs" dxfId="61" priority="7" operator="equal">
      <formula>0</formula>
    </cfRule>
  </conditionalFormatting>
  <conditionalFormatting sqref="F178:G180">
    <cfRule type="cellIs" dxfId="60" priority="6" operator="equal">
      <formula>0</formula>
    </cfRule>
  </conditionalFormatting>
  <conditionalFormatting sqref="F215:G217">
    <cfRule type="cellIs" dxfId="59" priority="5" operator="equal">
      <formula>0</formula>
    </cfRule>
  </conditionalFormatting>
  <conditionalFormatting sqref="F252:G254">
    <cfRule type="cellIs" dxfId="58" priority="4" operator="equal">
      <formula>0</formula>
    </cfRule>
  </conditionalFormatting>
  <conditionalFormatting sqref="F289:G291">
    <cfRule type="cellIs" dxfId="57" priority="3" operator="equal">
      <formula>0</formula>
    </cfRule>
  </conditionalFormatting>
  <conditionalFormatting sqref="F326:G328">
    <cfRule type="cellIs" dxfId="56" priority="2" operator="equal">
      <formula>0</formula>
    </cfRule>
  </conditionalFormatting>
  <conditionalFormatting sqref="F363:G365">
    <cfRule type="cellIs" dxfId="55" priority="1" operator="equal">
      <formula>0</formula>
    </cfRule>
  </conditionalFormatting>
  <pageMargins left="0.7" right="0.7" top="0.75" bottom="0.75" header="0.3" footer="0.3"/>
  <pageSetup paperSize="9" scale="76" orientation="portrait" horizontalDpi="1200" verticalDpi="1200" r:id="rId1"/>
  <rowBreaks count="9" manualBreakCount="9">
    <brk id="37" max="8" man="1"/>
    <brk id="74" max="8" man="1"/>
    <brk id="111" max="8" man="1"/>
    <brk id="148" max="8" man="1"/>
    <brk id="185" max="8" man="1"/>
    <brk id="222" max="8" man="1"/>
    <brk id="259" max="8" man="1"/>
    <brk id="296" max="8" man="1"/>
    <brk id="333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B16DE-129E-42A5-847F-7337CE53ACA0}">
  <dimension ref="A1:J370"/>
  <sheetViews>
    <sheetView view="pageBreakPreview" topLeftCell="A76" zoomScale="85" zoomScaleNormal="100" zoomScaleSheetLayoutView="85" workbookViewId="0">
      <selection activeCell="K140" sqref="K140"/>
    </sheetView>
  </sheetViews>
  <sheetFormatPr defaultColWidth="9" defaultRowHeight="16.5"/>
  <cols>
    <col min="1" max="1" width="1.625" style="33" customWidth="1"/>
    <col min="2" max="2" width="20.5" style="33" customWidth="1"/>
    <col min="3" max="3" width="18" style="33" customWidth="1"/>
    <col min="4" max="4" width="12.875" style="33" customWidth="1"/>
    <col min="5" max="5" width="13.5" style="33" customWidth="1"/>
    <col min="6" max="6" width="11.875" style="33" customWidth="1"/>
    <col min="7" max="7" width="15.875" style="33" customWidth="1"/>
    <col min="8" max="8" width="1.875" style="33" customWidth="1"/>
    <col min="9" max="9" width="1.625" style="33" customWidth="1"/>
    <col min="10" max="10" width="12.375" style="33" bestFit="1" customWidth="1"/>
    <col min="11" max="16384" width="9" style="33"/>
  </cols>
  <sheetData>
    <row r="1" spans="1:9">
      <c r="A1" s="243"/>
      <c r="B1" s="243"/>
      <c r="C1" s="243"/>
      <c r="D1" s="243"/>
      <c r="E1" s="243"/>
      <c r="F1" s="243"/>
      <c r="G1" s="243"/>
      <c r="H1" s="243"/>
      <c r="I1" s="243"/>
    </row>
    <row r="2" spans="1:9" ht="27.75">
      <c r="A2" s="244" t="s">
        <v>56</v>
      </c>
      <c r="B2" s="244"/>
      <c r="C2" s="244"/>
      <c r="D2" s="244"/>
      <c r="E2" s="244"/>
      <c r="F2" s="244"/>
      <c r="G2" s="244"/>
      <c r="H2" s="244"/>
      <c r="I2" s="244"/>
    </row>
    <row r="3" spans="1:9" ht="27.75">
      <c r="A3" s="244" t="s">
        <v>57</v>
      </c>
      <c r="B3" s="244"/>
      <c r="C3" s="244"/>
      <c r="D3" s="244"/>
      <c r="E3" s="244"/>
      <c r="F3" s="244"/>
      <c r="G3" s="244"/>
      <c r="H3" s="244"/>
      <c r="I3" s="244"/>
    </row>
    <row r="4" spans="1:9">
      <c r="A4" s="245" t="s">
        <v>58</v>
      </c>
      <c r="B4" s="245"/>
      <c r="C4" s="245"/>
      <c r="D4" s="245"/>
      <c r="E4" s="245"/>
      <c r="F4" s="245"/>
      <c r="G4" s="245"/>
      <c r="H4" s="245"/>
      <c r="I4" s="245"/>
    </row>
    <row r="5" spans="1:9">
      <c r="A5" s="246"/>
      <c r="B5" s="246"/>
      <c r="C5" s="246"/>
      <c r="D5" s="246"/>
      <c r="E5" s="246"/>
      <c r="F5" s="246"/>
      <c r="G5" s="246"/>
      <c r="H5" s="246"/>
      <c r="I5" s="246"/>
    </row>
    <row r="6" spans="1:9" ht="21" thickBot="1">
      <c r="A6" s="247"/>
      <c r="B6" s="248" t="str">
        <f>Total!$A$2</f>
        <v>2026 June Ecovasc Promoter Salary Summary</v>
      </c>
      <c r="C6" s="248"/>
      <c r="D6" s="248"/>
      <c r="E6" s="248"/>
      <c r="F6" s="248"/>
      <c r="G6" s="248"/>
      <c r="H6" s="248"/>
      <c r="I6" s="249"/>
    </row>
    <row r="7" spans="1:9" ht="17.25" thickTop="1">
      <c r="A7" s="247"/>
      <c r="B7" s="250"/>
      <c r="C7" s="250"/>
      <c r="D7" s="250"/>
      <c r="E7" s="250"/>
      <c r="F7" s="250"/>
      <c r="G7" s="250"/>
      <c r="H7" s="37"/>
      <c r="I7" s="249"/>
    </row>
    <row r="8" spans="1:9" ht="16.5" customHeight="1">
      <c r="A8" s="247"/>
      <c r="B8" s="38" t="s">
        <v>59</v>
      </c>
      <c r="C8" s="39" t="str">
        <f>Total!E15</f>
        <v>Yuen Maria Wing Yan</v>
      </c>
      <c r="D8" s="39" t="str">
        <f>Total!D15</f>
        <v>Carol</v>
      </c>
      <c r="E8" s="40"/>
      <c r="F8" s="41" t="s">
        <v>60</v>
      </c>
      <c r="G8" s="39" t="e">
        <f>Total!#REF!</f>
        <v>#REF!</v>
      </c>
      <c r="H8" s="39"/>
      <c r="I8" s="249"/>
    </row>
    <row r="9" spans="1:9" ht="17.25" thickBot="1">
      <c r="A9" s="247"/>
      <c r="B9" s="42"/>
      <c r="C9" s="42"/>
      <c r="D9" s="42"/>
      <c r="E9" s="43"/>
      <c r="F9" s="44"/>
      <c r="G9" s="45"/>
      <c r="H9" s="45"/>
      <c r="I9" s="249"/>
    </row>
    <row r="10" spans="1:9" ht="17.25" thickBot="1">
      <c r="A10" s="247"/>
      <c r="B10" s="253" t="s">
        <v>61</v>
      </c>
      <c r="C10" s="254"/>
      <c r="D10" s="48"/>
      <c r="E10" s="47" t="s">
        <v>62</v>
      </c>
      <c r="F10" s="49"/>
      <c r="G10" s="45"/>
      <c r="H10" s="45"/>
      <c r="I10" s="249"/>
    </row>
    <row r="11" spans="1:9" ht="17.25" thickTop="1">
      <c r="A11" s="247"/>
      <c r="B11" s="50" t="s">
        <v>31</v>
      </c>
      <c r="C11" s="51"/>
      <c r="D11" s="52"/>
      <c r="E11" s="53" t="s">
        <v>32</v>
      </c>
      <c r="F11" s="54"/>
      <c r="G11" s="45"/>
      <c r="H11" s="45"/>
      <c r="I11" s="249"/>
    </row>
    <row r="12" spans="1:9">
      <c r="A12" s="247"/>
      <c r="B12" s="55" t="s">
        <v>33</v>
      </c>
      <c r="C12" s="56"/>
      <c r="D12" s="57"/>
      <c r="E12" s="58" t="e">
        <f>Total!#REF!</f>
        <v>#REF!</v>
      </c>
      <c r="F12" s="59"/>
      <c r="G12" s="45"/>
      <c r="H12" s="45"/>
      <c r="I12" s="249"/>
    </row>
    <row r="13" spans="1:9" ht="16.5" customHeight="1">
      <c r="A13" s="247"/>
      <c r="B13" s="55" t="s">
        <v>63</v>
      </c>
      <c r="C13" s="60"/>
      <c r="D13" s="57"/>
      <c r="E13" s="114" t="str">
        <f>Total!G15</f>
        <v>2,4,5,9,10,11,17,23,24,29/June</v>
      </c>
      <c r="F13" s="59"/>
      <c r="G13" s="45"/>
      <c r="H13" s="45"/>
      <c r="I13" s="249"/>
    </row>
    <row r="14" spans="1:9" ht="16.5" customHeight="1">
      <c r="A14" s="247"/>
      <c r="B14" s="55" t="s">
        <v>35</v>
      </c>
      <c r="C14" s="60"/>
      <c r="D14" s="57"/>
      <c r="E14" s="58">
        <f>Total!H15</f>
        <v>10</v>
      </c>
      <c r="F14" s="59"/>
      <c r="G14" s="44"/>
      <c r="H14" s="44"/>
      <c r="I14" s="249"/>
    </row>
    <row r="15" spans="1:9" ht="16.5" customHeight="1">
      <c r="A15" s="247"/>
      <c r="B15" s="55" t="s">
        <v>36</v>
      </c>
      <c r="C15" s="56"/>
      <c r="D15" s="63"/>
      <c r="E15" s="110">
        <f>Total!I15</f>
        <v>79.999999999999901</v>
      </c>
      <c r="F15" s="64"/>
      <c r="G15" s="44"/>
      <c r="H15" s="44"/>
      <c r="I15" s="249"/>
    </row>
    <row r="16" spans="1:9" ht="16.5" customHeight="1">
      <c r="A16" s="247"/>
      <c r="B16" s="55" t="s">
        <v>37</v>
      </c>
      <c r="C16" s="56"/>
      <c r="D16" s="63"/>
      <c r="E16" s="110">
        <f>Total!J15</f>
        <v>0</v>
      </c>
      <c r="F16" s="64"/>
      <c r="G16" s="44"/>
      <c r="H16" s="44"/>
      <c r="I16" s="249"/>
    </row>
    <row r="17" spans="1:10" ht="17.25" thickBot="1">
      <c r="A17" s="247"/>
      <c r="B17" s="65" t="s">
        <v>38</v>
      </c>
      <c r="C17" s="66"/>
      <c r="D17" s="67"/>
      <c r="E17" s="68">
        <f>Total!L15</f>
        <v>0</v>
      </c>
      <c r="F17" s="69"/>
      <c r="G17" s="70"/>
      <c r="H17" s="70"/>
      <c r="I17" s="249"/>
    </row>
    <row r="18" spans="1:10" ht="17.25" thickBot="1">
      <c r="A18" s="247"/>
      <c r="B18" s="71"/>
      <c r="C18" s="71"/>
      <c r="D18" s="71"/>
      <c r="E18" s="71"/>
      <c r="F18" s="71"/>
      <c r="G18" s="71"/>
      <c r="H18" s="71"/>
      <c r="I18" s="249"/>
    </row>
    <row r="19" spans="1:10" ht="17.25" thickBot="1">
      <c r="A19" s="247"/>
      <c r="B19" s="72"/>
      <c r="C19" s="73" t="s">
        <v>64</v>
      </c>
      <c r="D19" s="74"/>
      <c r="E19" s="74"/>
      <c r="F19" s="252" t="s">
        <v>65</v>
      </c>
      <c r="G19" s="252"/>
      <c r="H19" s="76"/>
      <c r="I19" s="249"/>
    </row>
    <row r="20" spans="1:10" ht="17.25" thickTop="1">
      <c r="A20" s="247"/>
      <c r="B20" s="77"/>
      <c r="C20" s="50" t="s">
        <v>41</v>
      </c>
      <c r="D20" s="78"/>
      <c r="E20" s="78"/>
      <c r="F20" s="79"/>
      <c r="G20" s="111">
        <f>Total!K15</f>
        <v>0</v>
      </c>
      <c r="H20" s="81"/>
      <c r="I20" s="249"/>
    </row>
    <row r="21" spans="1:10" ht="16.5" customHeight="1">
      <c r="A21" s="247"/>
      <c r="B21" s="77"/>
      <c r="C21" s="55" t="s">
        <v>66</v>
      </c>
      <c r="D21" s="82"/>
      <c r="E21" s="82"/>
      <c r="F21" s="83"/>
      <c r="G21" s="112">
        <f>Total!O15</f>
        <v>0</v>
      </c>
      <c r="H21" s="85"/>
      <c r="I21" s="249"/>
    </row>
    <row r="22" spans="1:10" ht="16.5" customHeight="1">
      <c r="A22" s="247"/>
      <c r="B22" s="77"/>
      <c r="C22" s="55" t="s">
        <v>43</v>
      </c>
      <c r="D22" s="86"/>
      <c r="E22" s="86"/>
      <c r="F22" s="83"/>
      <c r="G22" s="112">
        <f>Total!N15</f>
        <v>0</v>
      </c>
      <c r="H22" s="85"/>
      <c r="I22" s="249"/>
    </row>
    <row r="23" spans="1:10" ht="16.5" customHeight="1">
      <c r="A23" s="247"/>
      <c r="B23" s="77"/>
      <c r="C23" s="55" t="s">
        <v>67</v>
      </c>
      <c r="D23" s="87"/>
      <c r="E23" s="87"/>
      <c r="F23" s="83"/>
      <c r="G23" s="112">
        <f>Total!P15</f>
        <v>0</v>
      </c>
      <c r="H23" s="85"/>
      <c r="I23" s="249"/>
    </row>
    <row r="24" spans="1:10" ht="16.5" customHeight="1">
      <c r="A24" s="247"/>
      <c r="B24" s="77"/>
      <c r="C24" s="55" t="s">
        <v>68</v>
      </c>
      <c r="D24" s="87"/>
      <c r="E24" s="87"/>
      <c r="F24" s="83"/>
      <c r="G24" s="112">
        <f>Total!Q15</f>
        <v>0</v>
      </c>
      <c r="H24" s="85"/>
      <c r="I24" s="249"/>
    </row>
    <row r="25" spans="1:10" ht="16.5" customHeight="1">
      <c r="A25" s="247"/>
      <c r="B25" s="77"/>
      <c r="C25" s="55" t="s">
        <v>46</v>
      </c>
      <c r="D25" s="82" t="s">
        <v>47</v>
      </c>
      <c r="E25" s="82"/>
      <c r="F25" s="83"/>
      <c r="G25" s="112">
        <f>Total!R15</f>
        <v>0</v>
      </c>
      <c r="H25" s="85"/>
      <c r="I25" s="249"/>
    </row>
    <row r="26" spans="1:10" ht="16.5" customHeight="1">
      <c r="A26" s="247"/>
      <c r="B26" s="77"/>
      <c r="C26" s="55" t="s">
        <v>69</v>
      </c>
      <c r="D26" s="87"/>
      <c r="E26" s="87"/>
      <c r="F26" s="83"/>
      <c r="G26" s="112">
        <f>Total!T15</f>
        <v>0</v>
      </c>
      <c r="H26" s="85"/>
      <c r="I26" s="249"/>
    </row>
    <row r="27" spans="1:10" ht="16.5" customHeight="1">
      <c r="A27" s="247"/>
      <c r="B27" s="77"/>
      <c r="C27" s="55" t="s">
        <v>70</v>
      </c>
      <c r="D27" s="87"/>
      <c r="E27" s="87"/>
      <c r="F27" s="83"/>
      <c r="G27" s="112">
        <f>Total!S15</f>
        <v>0</v>
      </c>
      <c r="H27" s="85"/>
      <c r="I27" s="249"/>
    </row>
    <row r="28" spans="1:10" ht="17.25" thickBot="1">
      <c r="A28" s="247"/>
      <c r="B28" s="77"/>
      <c r="C28" s="88" t="s">
        <v>71</v>
      </c>
      <c r="D28" s="89"/>
      <c r="E28" s="89"/>
      <c r="F28" s="90"/>
      <c r="G28" s="113">
        <f>Total!U15</f>
        <v>0</v>
      </c>
      <c r="H28" s="92"/>
      <c r="I28" s="249"/>
    </row>
    <row r="29" spans="1:10" ht="18" thickTop="1" thickBot="1">
      <c r="A29" s="247"/>
      <c r="B29" s="93"/>
      <c r="C29" s="94"/>
      <c r="D29" s="95"/>
      <c r="E29" s="96" t="s">
        <v>22</v>
      </c>
      <c r="F29" s="251">
        <f>SUM(G20:G27)-G28</f>
        <v>0</v>
      </c>
      <c r="G29" s="251"/>
      <c r="H29" s="98"/>
      <c r="I29" s="249"/>
      <c r="J29" s="99">
        <f>Total!V15</f>
        <v>0</v>
      </c>
    </row>
    <row r="30" spans="1:10" ht="16.5" customHeight="1">
      <c r="A30" s="247"/>
      <c r="B30" s="42"/>
      <c r="C30" s="42"/>
      <c r="D30" s="42"/>
      <c r="E30" s="42"/>
      <c r="F30" s="239"/>
      <c r="G30" s="240"/>
      <c r="H30" s="45"/>
      <c r="I30" s="249"/>
    </row>
    <row r="31" spans="1:10">
      <c r="A31" s="247"/>
      <c r="B31" s="100" t="s">
        <v>51</v>
      </c>
      <c r="C31" s="42"/>
      <c r="D31" s="42"/>
      <c r="E31" s="42"/>
      <c r="F31" s="240"/>
      <c r="G31" s="240"/>
      <c r="H31" s="45"/>
      <c r="I31" s="249"/>
    </row>
    <row r="32" spans="1:10" ht="16.5" customHeight="1">
      <c r="A32" s="247"/>
      <c r="B32" s="100" t="s">
        <v>52</v>
      </c>
      <c r="C32" s="42"/>
      <c r="D32" s="241"/>
      <c r="E32" s="241"/>
      <c r="F32" s="240"/>
      <c r="G32" s="240"/>
      <c r="H32" s="45"/>
      <c r="I32" s="249"/>
    </row>
    <row r="33" spans="1:9" ht="16.5" customHeight="1">
      <c r="A33" s="247"/>
      <c r="B33" s="100" t="s">
        <v>53</v>
      </c>
      <c r="C33" s="42"/>
      <c r="D33" s="42"/>
      <c r="E33" s="42"/>
      <c r="F33" s="42"/>
      <c r="G33" s="42"/>
      <c r="H33" s="45"/>
      <c r="I33" s="249"/>
    </row>
    <row r="34" spans="1:9" ht="16.5" customHeight="1">
      <c r="A34" s="247"/>
      <c r="B34" s="101"/>
      <c r="C34" s="43"/>
      <c r="D34" s="102"/>
      <c r="E34" s="242" t="s">
        <v>72</v>
      </c>
      <c r="F34" s="242"/>
      <c r="G34" s="104"/>
      <c r="H34" s="105"/>
      <c r="I34" s="249"/>
    </row>
    <row r="35" spans="1:9" ht="16.5" customHeight="1">
      <c r="A35" s="247"/>
      <c r="B35" s="43"/>
      <c r="C35" s="43"/>
      <c r="D35" s="106"/>
      <c r="E35" s="106"/>
      <c r="F35" s="43"/>
      <c r="G35" s="43"/>
      <c r="H35" s="43"/>
      <c r="I35" s="249"/>
    </row>
    <row r="36" spans="1:9" ht="16.5" customHeight="1">
      <c r="A36" s="247"/>
      <c r="B36" s="43"/>
      <c r="C36" s="43"/>
      <c r="D36" s="106"/>
      <c r="E36" s="102"/>
      <c r="F36" s="103" t="s">
        <v>73</v>
      </c>
      <c r="G36" s="107"/>
      <c r="H36" s="108"/>
      <c r="I36" s="249"/>
    </row>
    <row r="37" spans="1:9" ht="16.5" customHeight="1"/>
    <row r="38" spans="1:9">
      <c r="A38" s="243"/>
      <c r="B38" s="243"/>
      <c r="C38" s="243"/>
      <c r="D38" s="243"/>
      <c r="E38" s="243"/>
      <c r="F38" s="243"/>
      <c r="G38" s="243"/>
      <c r="H38" s="243"/>
      <c r="I38" s="243"/>
    </row>
    <row r="39" spans="1:9" ht="27.75">
      <c r="A39" s="244" t="s">
        <v>56</v>
      </c>
      <c r="B39" s="244"/>
      <c r="C39" s="244"/>
      <c r="D39" s="244"/>
      <c r="E39" s="244"/>
      <c r="F39" s="244"/>
      <c r="G39" s="244"/>
      <c r="H39" s="244"/>
      <c r="I39" s="244"/>
    </row>
    <row r="40" spans="1:9" ht="27.75">
      <c r="A40" s="244" t="s">
        <v>57</v>
      </c>
      <c r="B40" s="244"/>
      <c r="C40" s="244"/>
      <c r="D40" s="244"/>
      <c r="E40" s="244"/>
      <c r="F40" s="244"/>
      <c r="G40" s="244"/>
      <c r="H40" s="244"/>
      <c r="I40" s="244"/>
    </row>
    <row r="41" spans="1:9">
      <c r="A41" s="245" t="s">
        <v>58</v>
      </c>
      <c r="B41" s="245"/>
      <c r="C41" s="245"/>
      <c r="D41" s="245"/>
      <c r="E41" s="245"/>
      <c r="F41" s="245"/>
      <c r="G41" s="245"/>
      <c r="H41" s="245"/>
      <c r="I41" s="245"/>
    </row>
    <row r="42" spans="1:9">
      <c r="A42" s="246"/>
      <c r="B42" s="246"/>
      <c r="C42" s="246"/>
      <c r="D42" s="246"/>
      <c r="E42" s="246"/>
      <c r="F42" s="246"/>
      <c r="G42" s="246"/>
      <c r="H42" s="246"/>
      <c r="I42" s="246"/>
    </row>
    <row r="43" spans="1:9" ht="21" thickBot="1">
      <c r="A43" s="247"/>
      <c r="B43" s="248" t="str">
        <f>Total!$A$2</f>
        <v>2026 June Ecovasc Promoter Salary Summary</v>
      </c>
      <c r="C43" s="248"/>
      <c r="D43" s="248"/>
      <c r="E43" s="248"/>
      <c r="F43" s="248"/>
      <c r="G43" s="248"/>
      <c r="H43" s="248"/>
      <c r="I43" s="249"/>
    </row>
    <row r="44" spans="1:9" ht="17.25" thickTop="1">
      <c r="A44" s="247"/>
      <c r="B44" s="250"/>
      <c r="C44" s="250"/>
      <c r="D44" s="250"/>
      <c r="E44" s="250"/>
      <c r="F44" s="250"/>
      <c r="G44" s="250"/>
      <c r="H44" s="37"/>
      <c r="I44" s="249"/>
    </row>
    <row r="45" spans="1:9" ht="16.5" customHeight="1">
      <c r="A45" s="247"/>
      <c r="B45" s="38" t="s">
        <v>59</v>
      </c>
      <c r="C45" s="39" t="str">
        <f>Total!E16</f>
        <v>Wan Kwok Hei</v>
      </c>
      <c r="D45" s="39" t="str">
        <f>Total!D16</f>
        <v>Hei</v>
      </c>
      <c r="E45" s="40"/>
      <c r="F45" s="41" t="s">
        <v>60</v>
      </c>
      <c r="G45" s="39" t="e">
        <f>Total!#REF!</f>
        <v>#REF!</v>
      </c>
      <c r="H45" s="39"/>
      <c r="I45" s="249"/>
    </row>
    <row r="46" spans="1:9" ht="17.25" thickBot="1">
      <c r="A46" s="247"/>
      <c r="B46" s="42"/>
      <c r="C46" s="42"/>
      <c r="D46" s="42"/>
      <c r="E46" s="43"/>
      <c r="F46" s="44"/>
      <c r="G46" s="45"/>
      <c r="H46" s="45"/>
      <c r="I46" s="249"/>
    </row>
    <row r="47" spans="1:9" ht="17.25" thickBot="1">
      <c r="A47" s="247"/>
      <c r="B47" s="253" t="s">
        <v>61</v>
      </c>
      <c r="C47" s="254"/>
      <c r="D47" s="48"/>
      <c r="E47" s="47" t="s">
        <v>62</v>
      </c>
      <c r="F47" s="49"/>
      <c r="G47" s="45"/>
      <c r="H47" s="45"/>
      <c r="I47" s="249"/>
    </row>
    <row r="48" spans="1:9" ht="17.25" thickTop="1">
      <c r="A48" s="247"/>
      <c r="B48" s="50" t="s">
        <v>31</v>
      </c>
      <c r="C48" s="51"/>
      <c r="D48" s="52"/>
      <c r="E48" s="53" t="s">
        <v>32</v>
      </c>
      <c r="F48" s="54"/>
      <c r="G48" s="45"/>
      <c r="H48" s="45"/>
      <c r="I48" s="249"/>
    </row>
    <row r="49" spans="1:9">
      <c r="A49" s="247"/>
      <c r="B49" s="55" t="s">
        <v>33</v>
      </c>
      <c r="C49" s="56"/>
      <c r="D49" s="57"/>
      <c r="E49" s="114" t="str">
        <f>Total!G16</f>
        <v>2,3/June</v>
      </c>
      <c r="F49" s="59"/>
      <c r="G49" s="45"/>
      <c r="H49" s="45"/>
      <c r="I49" s="249"/>
    </row>
    <row r="50" spans="1:9" ht="16.5" customHeight="1">
      <c r="A50" s="247"/>
      <c r="B50" s="55" t="s">
        <v>63</v>
      </c>
      <c r="C50" s="60"/>
      <c r="D50" s="57"/>
      <c r="E50" s="61" t="e">
        <f>Total!#REF!</f>
        <v>#REF!</v>
      </c>
      <c r="F50" s="59"/>
      <c r="G50" s="45"/>
      <c r="H50" s="45"/>
      <c r="I50" s="249"/>
    </row>
    <row r="51" spans="1:9" ht="16.5" customHeight="1">
      <c r="A51" s="247"/>
      <c r="B51" s="55" t="s">
        <v>35</v>
      </c>
      <c r="C51" s="60"/>
      <c r="D51" s="57"/>
      <c r="E51" s="58">
        <f>Total!H16</f>
        <v>2</v>
      </c>
      <c r="F51" s="59"/>
      <c r="G51" s="44"/>
      <c r="H51" s="44"/>
      <c r="I51" s="249"/>
    </row>
    <row r="52" spans="1:9" ht="16.5" customHeight="1">
      <c r="A52" s="247"/>
      <c r="B52" s="55" t="s">
        <v>36</v>
      </c>
      <c r="C52" s="56"/>
      <c r="D52" s="63"/>
      <c r="E52" s="110">
        <f>Total!I16</f>
        <v>15.99999999999998</v>
      </c>
      <c r="F52" s="64"/>
      <c r="G52" s="44"/>
      <c r="H52" s="44"/>
      <c r="I52" s="249"/>
    </row>
    <row r="53" spans="1:9" ht="16.5" customHeight="1">
      <c r="A53" s="247"/>
      <c r="B53" s="55" t="s">
        <v>37</v>
      </c>
      <c r="C53" s="56"/>
      <c r="D53" s="63"/>
      <c r="E53" s="110">
        <f>Total!J16</f>
        <v>0</v>
      </c>
      <c r="F53" s="64"/>
      <c r="G53" s="44"/>
      <c r="H53" s="44"/>
      <c r="I53" s="249"/>
    </row>
    <row r="54" spans="1:9" ht="17.25" thickBot="1">
      <c r="A54" s="247"/>
      <c r="B54" s="65" t="s">
        <v>38</v>
      </c>
      <c r="C54" s="66"/>
      <c r="D54" s="67"/>
      <c r="E54" s="68">
        <f>Total!L16</f>
        <v>0</v>
      </c>
      <c r="F54" s="69"/>
      <c r="G54" s="70"/>
      <c r="H54" s="70"/>
      <c r="I54" s="249"/>
    </row>
    <row r="55" spans="1:9" ht="17.25" thickBot="1">
      <c r="A55" s="247"/>
      <c r="B55" s="71"/>
      <c r="C55" s="71"/>
      <c r="D55" s="71"/>
      <c r="E55" s="71"/>
      <c r="F55" s="71"/>
      <c r="G55" s="71"/>
      <c r="H55" s="71"/>
      <c r="I55" s="249"/>
    </row>
    <row r="56" spans="1:9" ht="17.25" thickBot="1">
      <c r="A56" s="247"/>
      <c r="B56" s="72"/>
      <c r="C56" s="73" t="s">
        <v>64</v>
      </c>
      <c r="D56" s="74"/>
      <c r="E56" s="74"/>
      <c r="F56" s="252" t="s">
        <v>65</v>
      </c>
      <c r="G56" s="252"/>
      <c r="H56" s="76"/>
      <c r="I56" s="249"/>
    </row>
    <row r="57" spans="1:9" ht="17.25" thickTop="1">
      <c r="A57" s="247"/>
      <c r="B57" s="77"/>
      <c r="C57" s="50" t="s">
        <v>41</v>
      </c>
      <c r="D57" s="78"/>
      <c r="E57" s="78"/>
      <c r="F57" s="79"/>
      <c r="G57" s="111">
        <f>Total!K16</f>
        <v>22000</v>
      </c>
      <c r="H57" s="81"/>
      <c r="I57" s="249"/>
    </row>
    <row r="58" spans="1:9" ht="16.5" customHeight="1">
      <c r="A58" s="247"/>
      <c r="B58" s="77"/>
      <c r="C58" s="55" t="s">
        <v>66</v>
      </c>
      <c r="D58" s="82"/>
      <c r="E58" s="82"/>
      <c r="F58" s="83"/>
      <c r="G58" s="112">
        <f>Total!O16</f>
        <v>0</v>
      </c>
      <c r="H58" s="85"/>
      <c r="I58" s="249"/>
    </row>
    <row r="59" spans="1:9" ht="16.5" customHeight="1">
      <c r="A59" s="247"/>
      <c r="B59" s="77"/>
      <c r="C59" s="55" t="s">
        <v>43</v>
      </c>
      <c r="D59" s="86"/>
      <c r="E59" s="86"/>
      <c r="F59" s="83"/>
      <c r="G59" s="112">
        <f>Total!N16</f>
        <v>0</v>
      </c>
      <c r="H59" s="85"/>
      <c r="I59" s="249"/>
    </row>
    <row r="60" spans="1:9" ht="16.5" customHeight="1">
      <c r="A60" s="247"/>
      <c r="B60" s="77"/>
      <c r="C60" s="55" t="s">
        <v>67</v>
      </c>
      <c r="D60" s="87"/>
      <c r="E60" s="87"/>
      <c r="F60" s="83"/>
      <c r="G60" s="112">
        <f>Total!P16</f>
        <v>0</v>
      </c>
      <c r="H60" s="85"/>
      <c r="I60" s="249"/>
    </row>
    <row r="61" spans="1:9" ht="16.5" customHeight="1">
      <c r="A61" s="247"/>
      <c r="B61" s="77"/>
      <c r="C61" s="55" t="s">
        <v>68</v>
      </c>
      <c r="D61" s="87"/>
      <c r="E61" s="87"/>
      <c r="F61" s="83"/>
      <c r="G61" s="112">
        <f>Total!Q16</f>
        <v>0</v>
      </c>
      <c r="H61" s="85"/>
      <c r="I61" s="249"/>
    </row>
    <row r="62" spans="1:9" ht="16.5" customHeight="1">
      <c r="A62" s="247"/>
      <c r="B62" s="77"/>
      <c r="C62" s="55" t="s">
        <v>46</v>
      </c>
      <c r="D62" s="82" t="s">
        <v>47</v>
      </c>
      <c r="E62" s="82"/>
      <c r="F62" s="83"/>
      <c r="G62" s="112">
        <f>Total!R16</f>
        <v>0</v>
      </c>
      <c r="H62" s="85"/>
      <c r="I62" s="249"/>
    </row>
    <row r="63" spans="1:9" ht="16.5" customHeight="1">
      <c r="A63" s="247"/>
      <c r="B63" s="77"/>
      <c r="C63" s="55" t="s">
        <v>69</v>
      </c>
      <c r="D63" s="87"/>
      <c r="E63" s="87"/>
      <c r="F63" s="83"/>
      <c r="G63" s="112">
        <f>Total!T16</f>
        <v>0</v>
      </c>
      <c r="H63" s="85"/>
      <c r="I63" s="249"/>
    </row>
    <row r="64" spans="1:9" ht="16.5" customHeight="1">
      <c r="A64" s="247"/>
      <c r="B64" s="77"/>
      <c r="C64" s="55" t="s">
        <v>70</v>
      </c>
      <c r="D64" s="87"/>
      <c r="E64" s="87"/>
      <c r="F64" s="83"/>
      <c r="G64" s="112">
        <f>Total!S16</f>
        <v>0</v>
      </c>
      <c r="H64" s="85"/>
      <c r="I64" s="249"/>
    </row>
    <row r="65" spans="1:10" ht="17.25" thickBot="1">
      <c r="A65" s="247"/>
      <c r="B65" s="77"/>
      <c r="C65" s="88" t="s">
        <v>71</v>
      </c>
      <c r="D65" s="89"/>
      <c r="E65" s="89"/>
      <c r="F65" s="90"/>
      <c r="G65" s="113">
        <f>Total!U16</f>
        <v>-1100</v>
      </c>
      <c r="H65" s="92"/>
      <c r="I65" s="249"/>
    </row>
    <row r="66" spans="1:10" ht="18" thickTop="1" thickBot="1">
      <c r="A66" s="247"/>
      <c r="B66" s="93"/>
      <c r="C66" s="94"/>
      <c r="D66" s="95"/>
      <c r="E66" s="96" t="s">
        <v>22</v>
      </c>
      <c r="F66" s="251">
        <f>SUM(G57:G64)-G65</f>
        <v>23100</v>
      </c>
      <c r="G66" s="251"/>
      <c r="H66" s="98"/>
      <c r="I66" s="249"/>
      <c r="J66" s="99">
        <f>Total!V16</f>
        <v>20900</v>
      </c>
    </row>
    <row r="67" spans="1:10" ht="16.5" customHeight="1">
      <c r="A67" s="247"/>
      <c r="B67" s="42"/>
      <c r="C67" s="42"/>
      <c r="D67" s="42"/>
      <c r="E67" s="42"/>
      <c r="F67" s="239"/>
      <c r="G67" s="240"/>
      <c r="H67" s="45"/>
      <c r="I67" s="249"/>
    </row>
    <row r="68" spans="1:10">
      <c r="A68" s="247"/>
      <c r="B68" s="100" t="s">
        <v>51</v>
      </c>
      <c r="C68" s="42"/>
      <c r="D68" s="42"/>
      <c r="E68" s="42"/>
      <c r="F68" s="240"/>
      <c r="G68" s="240"/>
      <c r="H68" s="45"/>
      <c r="I68" s="249"/>
    </row>
    <row r="69" spans="1:10" ht="16.5" customHeight="1">
      <c r="A69" s="247"/>
      <c r="B69" s="100" t="s">
        <v>52</v>
      </c>
      <c r="C69" s="42"/>
      <c r="D69" s="241"/>
      <c r="E69" s="241"/>
      <c r="F69" s="240"/>
      <c r="G69" s="240"/>
      <c r="H69" s="45"/>
      <c r="I69" s="249"/>
    </row>
    <row r="70" spans="1:10" ht="16.5" customHeight="1">
      <c r="A70" s="247"/>
      <c r="B70" s="100" t="s">
        <v>53</v>
      </c>
      <c r="C70" s="42"/>
      <c r="D70" s="42"/>
      <c r="E70" s="42"/>
      <c r="F70" s="42"/>
      <c r="G70" s="42"/>
      <c r="H70" s="45"/>
      <c r="I70" s="249"/>
    </row>
    <row r="71" spans="1:10" ht="16.5" customHeight="1">
      <c r="A71" s="247"/>
      <c r="B71" s="101"/>
      <c r="C71" s="43"/>
      <c r="D71" s="102"/>
      <c r="E71" s="242" t="s">
        <v>72</v>
      </c>
      <c r="F71" s="242"/>
      <c r="G71" s="104"/>
      <c r="H71" s="105"/>
      <c r="I71" s="249"/>
    </row>
    <row r="72" spans="1:10" ht="16.5" customHeight="1">
      <c r="A72" s="247"/>
      <c r="B72" s="43"/>
      <c r="C72" s="43"/>
      <c r="D72" s="106"/>
      <c r="E72" s="106"/>
      <c r="F72" s="43"/>
      <c r="G72" s="43"/>
      <c r="H72" s="43"/>
      <c r="I72" s="249"/>
    </row>
    <row r="73" spans="1:10" ht="16.5" customHeight="1">
      <c r="A73" s="247"/>
      <c r="B73" s="43"/>
      <c r="C73" s="43"/>
      <c r="D73" s="106"/>
      <c r="E73" s="102"/>
      <c r="F73" s="103" t="s">
        <v>73</v>
      </c>
      <c r="G73" s="107"/>
      <c r="H73" s="108"/>
      <c r="I73" s="249"/>
    </row>
    <row r="74" spans="1:10" ht="16.5" customHeight="1"/>
    <row r="75" spans="1:10">
      <c r="A75" s="243"/>
      <c r="B75" s="243"/>
      <c r="C75" s="243"/>
      <c r="D75" s="243"/>
      <c r="E75" s="243"/>
      <c r="F75" s="243"/>
      <c r="G75" s="243"/>
      <c r="H75" s="243"/>
      <c r="I75" s="243"/>
    </row>
    <row r="76" spans="1:10" ht="27.75">
      <c r="A76" s="244" t="s">
        <v>56</v>
      </c>
      <c r="B76" s="244"/>
      <c r="C76" s="244"/>
      <c r="D76" s="244"/>
      <c r="E76" s="244"/>
      <c r="F76" s="244"/>
      <c r="G76" s="244"/>
      <c r="H76" s="244"/>
      <c r="I76" s="244"/>
    </row>
    <row r="77" spans="1:10" ht="27.75">
      <c r="A77" s="244" t="s">
        <v>57</v>
      </c>
      <c r="B77" s="244"/>
      <c r="C77" s="244"/>
      <c r="D77" s="244"/>
      <c r="E77" s="244"/>
      <c r="F77" s="244"/>
      <c r="G77" s="244"/>
      <c r="H77" s="244"/>
      <c r="I77" s="244"/>
    </row>
    <row r="78" spans="1:10">
      <c r="A78" s="245" t="s">
        <v>58</v>
      </c>
      <c r="B78" s="245"/>
      <c r="C78" s="245"/>
      <c r="D78" s="245"/>
      <c r="E78" s="245"/>
      <c r="F78" s="245"/>
      <c r="G78" s="245"/>
      <c r="H78" s="245"/>
      <c r="I78" s="245"/>
    </row>
    <row r="79" spans="1:10">
      <c r="A79" s="246"/>
      <c r="B79" s="246"/>
      <c r="C79" s="246"/>
      <c r="D79" s="246"/>
      <c r="E79" s="246"/>
      <c r="F79" s="246"/>
      <c r="G79" s="246"/>
      <c r="H79" s="246"/>
      <c r="I79" s="246"/>
    </row>
    <row r="80" spans="1:10" ht="21" thickBot="1">
      <c r="A80" s="247"/>
      <c r="B80" s="248" t="str">
        <f>Total!$A$2</f>
        <v>2026 June Ecovasc Promoter Salary Summary</v>
      </c>
      <c r="C80" s="248"/>
      <c r="D80" s="248"/>
      <c r="E80" s="248"/>
      <c r="F80" s="248"/>
      <c r="G80" s="248"/>
      <c r="H80" s="248"/>
      <c r="I80" s="249"/>
    </row>
    <row r="81" spans="1:9" ht="17.25" thickTop="1">
      <c r="A81" s="247"/>
      <c r="B81" s="250"/>
      <c r="C81" s="250"/>
      <c r="D81" s="250"/>
      <c r="E81" s="250"/>
      <c r="F81" s="250"/>
      <c r="G81" s="250"/>
      <c r="H81" s="37"/>
      <c r="I81" s="249"/>
    </row>
    <row r="82" spans="1:9" ht="16.5" customHeight="1">
      <c r="A82" s="247"/>
      <c r="B82" s="38" t="s">
        <v>59</v>
      </c>
      <c r="C82" s="39">
        <f>Total!E18</f>
        <v>0</v>
      </c>
      <c r="D82" s="39">
        <f>Total!D18</f>
        <v>0</v>
      </c>
      <c r="E82" s="40"/>
      <c r="F82" s="41" t="s">
        <v>60</v>
      </c>
      <c r="G82" s="39" t="e">
        <f>Total!#REF!</f>
        <v>#REF!</v>
      </c>
      <c r="H82" s="39"/>
      <c r="I82" s="249"/>
    </row>
    <row r="83" spans="1:9" ht="17.25" thickBot="1">
      <c r="A83" s="247"/>
      <c r="B83" s="42"/>
      <c r="C83" s="42"/>
      <c r="D83" s="42"/>
      <c r="E83" s="43"/>
      <c r="F83" s="44"/>
      <c r="G83" s="45"/>
      <c r="H83" s="45"/>
      <c r="I83" s="249"/>
    </row>
    <row r="84" spans="1:9" ht="17.25" thickBot="1">
      <c r="A84" s="247"/>
      <c r="B84" s="253" t="s">
        <v>61</v>
      </c>
      <c r="C84" s="254"/>
      <c r="D84" s="48"/>
      <c r="E84" s="47" t="s">
        <v>62</v>
      </c>
      <c r="F84" s="49"/>
      <c r="G84" s="45"/>
      <c r="H84" s="45"/>
      <c r="I84" s="249"/>
    </row>
    <row r="85" spans="1:9" ht="17.25" thickTop="1">
      <c r="A85" s="247"/>
      <c r="B85" s="50" t="s">
        <v>31</v>
      </c>
      <c r="C85" s="51"/>
      <c r="D85" s="52"/>
      <c r="E85" s="53" t="s">
        <v>32</v>
      </c>
      <c r="F85" s="54"/>
      <c r="G85" s="45"/>
      <c r="H85" s="45"/>
      <c r="I85" s="249"/>
    </row>
    <row r="86" spans="1:9">
      <c r="A86" s="247"/>
      <c r="B86" s="55" t="s">
        <v>33</v>
      </c>
      <c r="C86" s="56"/>
      <c r="D86" s="57"/>
      <c r="E86" s="58">
        <f>Total!F17</f>
        <v>0</v>
      </c>
      <c r="F86" s="59"/>
      <c r="G86" s="45"/>
      <c r="H86" s="45"/>
      <c r="I86" s="249"/>
    </row>
    <row r="87" spans="1:9" ht="16.5" customHeight="1">
      <c r="A87" s="247"/>
      <c r="B87" s="55" t="s">
        <v>63</v>
      </c>
      <c r="C87" s="60"/>
      <c r="D87" s="57"/>
      <c r="E87" s="109" t="e">
        <f>Total!#REF!</f>
        <v>#REF!</v>
      </c>
      <c r="F87" s="59"/>
      <c r="G87" s="45"/>
      <c r="H87" s="45"/>
      <c r="I87" s="249"/>
    </row>
    <row r="88" spans="1:9" ht="16.5" customHeight="1">
      <c r="A88" s="247"/>
      <c r="B88" s="55" t="s">
        <v>35</v>
      </c>
      <c r="C88" s="60"/>
      <c r="D88" s="57"/>
      <c r="E88" s="58">
        <f>Total!H18</f>
        <v>0</v>
      </c>
      <c r="F88" s="59"/>
      <c r="G88" s="44"/>
      <c r="H88" s="44"/>
      <c r="I88" s="249"/>
    </row>
    <row r="89" spans="1:9" ht="16.5" customHeight="1">
      <c r="A89" s="247"/>
      <c r="B89" s="55" t="s">
        <v>36</v>
      </c>
      <c r="C89" s="56"/>
      <c r="D89" s="63"/>
      <c r="E89" s="110">
        <f>Total!I18</f>
        <v>0</v>
      </c>
      <c r="F89" s="64"/>
      <c r="G89" s="44"/>
      <c r="H89" s="44"/>
      <c r="I89" s="249"/>
    </row>
    <row r="90" spans="1:9" ht="16.5" customHeight="1">
      <c r="A90" s="247"/>
      <c r="B90" s="55" t="s">
        <v>37</v>
      </c>
      <c r="C90" s="56"/>
      <c r="D90" s="63"/>
      <c r="E90" s="110">
        <f>Total!J18</f>
        <v>0</v>
      </c>
      <c r="F90" s="64"/>
      <c r="G90" s="44"/>
      <c r="H90" s="44"/>
      <c r="I90" s="249"/>
    </row>
    <row r="91" spans="1:9" ht="17.25" thickBot="1">
      <c r="A91" s="247"/>
      <c r="B91" s="65" t="s">
        <v>38</v>
      </c>
      <c r="C91" s="66"/>
      <c r="D91" s="67"/>
      <c r="E91" s="68">
        <f>Total!L18</f>
        <v>0</v>
      </c>
      <c r="F91" s="69"/>
      <c r="G91" s="70"/>
      <c r="H91" s="70"/>
      <c r="I91" s="249"/>
    </row>
    <row r="92" spans="1:9" ht="17.25" thickBot="1">
      <c r="A92" s="247"/>
      <c r="B92" s="71"/>
      <c r="C92" s="71"/>
      <c r="D92" s="71"/>
      <c r="E92" s="71"/>
      <c r="F92" s="71"/>
      <c r="G92" s="71"/>
      <c r="H92" s="71"/>
      <c r="I92" s="249"/>
    </row>
    <row r="93" spans="1:9" ht="17.25" thickBot="1">
      <c r="A93" s="247"/>
      <c r="B93" s="72"/>
      <c r="C93" s="73" t="s">
        <v>64</v>
      </c>
      <c r="D93" s="74"/>
      <c r="E93" s="74"/>
      <c r="F93" s="252" t="s">
        <v>65</v>
      </c>
      <c r="G93" s="252"/>
      <c r="H93" s="76"/>
      <c r="I93" s="249"/>
    </row>
    <row r="94" spans="1:9" ht="17.25" thickTop="1">
      <c r="A94" s="247"/>
      <c r="B94" s="77"/>
      <c r="C94" s="50" t="s">
        <v>41</v>
      </c>
      <c r="D94" s="78"/>
      <c r="E94" s="78"/>
      <c r="F94" s="79"/>
      <c r="G94" s="111">
        <f>Total!K18</f>
        <v>0</v>
      </c>
      <c r="H94" s="81"/>
      <c r="I94" s="249"/>
    </row>
    <row r="95" spans="1:9" ht="16.5" customHeight="1">
      <c r="A95" s="247"/>
      <c r="B95" s="77"/>
      <c r="C95" s="55" t="s">
        <v>66</v>
      </c>
      <c r="D95" s="82"/>
      <c r="E95" s="82"/>
      <c r="F95" s="83"/>
      <c r="G95" s="112">
        <f>Total!O18</f>
        <v>0</v>
      </c>
      <c r="H95" s="85"/>
      <c r="I95" s="249"/>
    </row>
    <row r="96" spans="1:9" ht="16.5" customHeight="1">
      <c r="A96" s="247"/>
      <c r="B96" s="77"/>
      <c r="C96" s="55" t="s">
        <v>43</v>
      </c>
      <c r="D96" s="86"/>
      <c r="E96" s="86"/>
      <c r="F96" s="83"/>
      <c r="G96" s="112">
        <f>Total!N18</f>
        <v>0</v>
      </c>
      <c r="H96" s="85"/>
      <c r="I96" s="249"/>
    </row>
    <row r="97" spans="1:10" ht="16.5" customHeight="1">
      <c r="A97" s="247"/>
      <c r="B97" s="77"/>
      <c r="C97" s="55" t="s">
        <v>67</v>
      </c>
      <c r="D97" s="87"/>
      <c r="E97" s="87"/>
      <c r="F97" s="83"/>
      <c r="G97" s="112">
        <f>Total!P18</f>
        <v>0</v>
      </c>
      <c r="H97" s="85"/>
      <c r="I97" s="249"/>
    </row>
    <row r="98" spans="1:10" ht="16.5" customHeight="1">
      <c r="A98" s="247"/>
      <c r="B98" s="77"/>
      <c r="C98" s="55" t="s">
        <v>68</v>
      </c>
      <c r="D98" s="87"/>
      <c r="E98" s="87"/>
      <c r="F98" s="83"/>
      <c r="G98" s="112">
        <f>Total!Q19</f>
        <v>0</v>
      </c>
      <c r="H98" s="85"/>
      <c r="I98" s="249"/>
    </row>
    <row r="99" spans="1:10" ht="16.5" customHeight="1">
      <c r="A99" s="247"/>
      <c r="B99" s="77"/>
      <c r="C99" s="55" t="s">
        <v>46</v>
      </c>
      <c r="D99" s="82" t="s">
        <v>47</v>
      </c>
      <c r="E99" s="82"/>
      <c r="F99" s="83"/>
      <c r="G99" s="112">
        <f>Total!R18</f>
        <v>0</v>
      </c>
      <c r="H99" s="85"/>
      <c r="I99" s="249"/>
    </row>
    <row r="100" spans="1:10" ht="16.5" customHeight="1">
      <c r="A100" s="247"/>
      <c r="B100" s="77"/>
      <c r="C100" s="55" t="s">
        <v>69</v>
      </c>
      <c r="D100" s="87"/>
      <c r="E100" s="87"/>
      <c r="F100" s="83"/>
      <c r="G100" s="112">
        <f>Total!T18</f>
        <v>0</v>
      </c>
      <c r="H100" s="85"/>
      <c r="I100" s="249"/>
    </row>
    <row r="101" spans="1:10" ht="16.5" customHeight="1">
      <c r="A101" s="247"/>
      <c r="B101" s="77"/>
      <c r="C101" s="55" t="s">
        <v>70</v>
      </c>
      <c r="D101" s="87"/>
      <c r="E101" s="87"/>
      <c r="F101" s="83"/>
      <c r="G101" s="112">
        <f>Total!S18</f>
        <v>0</v>
      </c>
      <c r="H101" s="85"/>
      <c r="I101" s="249"/>
    </row>
    <row r="102" spans="1:10" ht="17.25" thickBot="1">
      <c r="A102" s="247"/>
      <c r="B102" s="77"/>
      <c r="C102" s="88" t="s">
        <v>71</v>
      </c>
      <c r="D102" s="89"/>
      <c r="E102" s="89"/>
      <c r="F102" s="90"/>
      <c r="G102" s="113">
        <f>Total!U18</f>
        <v>0</v>
      </c>
      <c r="H102" s="92"/>
      <c r="I102" s="249"/>
    </row>
    <row r="103" spans="1:10" ht="18" thickTop="1" thickBot="1">
      <c r="A103" s="247"/>
      <c r="B103" s="93"/>
      <c r="C103" s="94"/>
      <c r="D103" s="95"/>
      <c r="E103" s="96" t="s">
        <v>22</v>
      </c>
      <c r="F103" s="251">
        <f>SUM(G94:G101)-G102</f>
        <v>0</v>
      </c>
      <c r="G103" s="251"/>
      <c r="H103" s="98"/>
      <c r="I103" s="249"/>
      <c r="J103" s="99">
        <f>Total!V18</f>
        <v>0</v>
      </c>
    </row>
    <row r="104" spans="1:10" ht="16.5" customHeight="1">
      <c r="A104" s="247"/>
      <c r="B104" s="42"/>
      <c r="C104" s="42"/>
      <c r="D104" s="42"/>
      <c r="E104" s="42"/>
      <c r="F104" s="239"/>
      <c r="G104" s="240"/>
      <c r="H104" s="45"/>
      <c r="I104" s="249"/>
    </row>
    <row r="105" spans="1:10">
      <c r="A105" s="247"/>
      <c r="B105" s="100" t="s">
        <v>51</v>
      </c>
      <c r="C105" s="42"/>
      <c r="D105" s="42"/>
      <c r="E105" s="42"/>
      <c r="F105" s="240"/>
      <c r="G105" s="240"/>
      <c r="H105" s="45"/>
      <c r="I105" s="249"/>
    </row>
    <row r="106" spans="1:10" ht="16.5" customHeight="1">
      <c r="A106" s="247"/>
      <c r="B106" s="100" t="s">
        <v>52</v>
      </c>
      <c r="C106" s="42"/>
      <c r="D106" s="241"/>
      <c r="E106" s="241"/>
      <c r="F106" s="240"/>
      <c r="G106" s="240"/>
      <c r="H106" s="45"/>
      <c r="I106" s="249"/>
    </row>
    <row r="107" spans="1:10" ht="16.5" customHeight="1">
      <c r="A107" s="247"/>
      <c r="B107" s="100" t="s">
        <v>53</v>
      </c>
      <c r="C107" s="42"/>
      <c r="D107" s="42"/>
      <c r="E107" s="42"/>
      <c r="F107" s="42"/>
      <c r="G107" s="42"/>
      <c r="H107" s="45"/>
      <c r="I107" s="249"/>
    </row>
    <row r="108" spans="1:10" ht="16.5" customHeight="1">
      <c r="A108" s="247"/>
      <c r="B108" s="101"/>
      <c r="C108" s="43"/>
      <c r="D108" s="102"/>
      <c r="E108" s="242" t="s">
        <v>72</v>
      </c>
      <c r="F108" s="242"/>
      <c r="G108" s="104"/>
      <c r="H108" s="105"/>
      <c r="I108" s="249"/>
    </row>
    <row r="109" spans="1:10" ht="16.5" customHeight="1">
      <c r="A109" s="247"/>
      <c r="B109" s="43"/>
      <c r="C109" s="43"/>
      <c r="D109" s="106"/>
      <c r="E109" s="106"/>
      <c r="F109" s="43"/>
      <c r="G109" s="43"/>
      <c r="H109" s="43"/>
      <c r="I109" s="249"/>
    </row>
    <row r="110" spans="1:10" ht="16.5" customHeight="1">
      <c r="A110" s="247"/>
      <c r="B110" s="43"/>
      <c r="C110" s="43"/>
      <c r="D110" s="106"/>
      <c r="E110" s="102"/>
      <c r="F110" s="103" t="s">
        <v>73</v>
      </c>
      <c r="G110" s="107"/>
      <c r="H110" s="108"/>
      <c r="I110" s="249"/>
    </row>
    <row r="111" spans="1:10" ht="16.5" customHeight="1"/>
    <row r="112" spans="1:10">
      <c r="A112" s="243"/>
      <c r="B112" s="243"/>
      <c r="C112" s="243"/>
      <c r="D112" s="243"/>
      <c r="E112" s="243"/>
      <c r="F112" s="243"/>
      <c r="G112" s="243"/>
      <c r="H112" s="243"/>
      <c r="I112" s="243"/>
    </row>
    <row r="113" spans="1:9" ht="27.75">
      <c r="A113" s="244" t="s">
        <v>56</v>
      </c>
      <c r="B113" s="244"/>
      <c r="C113" s="244"/>
      <c r="D113" s="244"/>
      <c r="E113" s="244"/>
      <c r="F113" s="244"/>
      <c r="G113" s="244"/>
      <c r="H113" s="244"/>
      <c r="I113" s="244"/>
    </row>
    <row r="114" spans="1:9" ht="27.75">
      <c r="A114" s="244" t="s">
        <v>57</v>
      </c>
      <c r="B114" s="244"/>
      <c r="C114" s="244"/>
      <c r="D114" s="244"/>
      <c r="E114" s="244"/>
      <c r="F114" s="244"/>
      <c r="G114" s="244"/>
      <c r="H114" s="244"/>
      <c r="I114" s="244"/>
    </row>
    <row r="115" spans="1:9">
      <c r="A115" s="245" t="s">
        <v>58</v>
      </c>
      <c r="B115" s="245"/>
      <c r="C115" s="245"/>
      <c r="D115" s="245"/>
      <c r="E115" s="245"/>
      <c r="F115" s="245"/>
      <c r="G115" s="245"/>
      <c r="H115" s="245"/>
      <c r="I115" s="245"/>
    </row>
    <row r="116" spans="1:9">
      <c r="A116" s="246"/>
      <c r="B116" s="246"/>
      <c r="C116" s="246"/>
      <c r="D116" s="246"/>
      <c r="E116" s="246"/>
      <c r="F116" s="246"/>
      <c r="G116" s="246"/>
      <c r="H116" s="246"/>
      <c r="I116" s="246"/>
    </row>
    <row r="117" spans="1:9" ht="21" thickBot="1">
      <c r="A117" s="247"/>
      <c r="B117" s="248" t="str">
        <f>Total!$A$2</f>
        <v>2026 June Ecovasc Promoter Salary Summary</v>
      </c>
      <c r="C117" s="248"/>
      <c r="D117" s="248"/>
      <c r="E117" s="248"/>
      <c r="F117" s="248"/>
      <c r="G117" s="248"/>
      <c r="H117" s="248"/>
      <c r="I117" s="249"/>
    </row>
    <row r="118" spans="1:9" ht="17.25" thickTop="1">
      <c r="A118" s="247"/>
      <c r="B118" s="250"/>
      <c r="C118" s="250"/>
      <c r="D118" s="250"/>
      <c r="E118" s="250"/>
      <c r="F118" s="250"/>
      <c r="G118" s="250"/>
      <c r="H118" s="37"/>
      <c r="I118" s="249"/>
    </row>
    <row r="119" spans="1:9" ht="16.5" customHeight="1">
      <c r="A119" s="247"/>
      <c r="B119" s="38" t="s">
        <v>59</v>
      </c>
      <c r="C119" s="39">
        <f>Total!E19</f>
        <v>0</v>
      </c>
      <c r="D119" s="39">
        <f>Total!D19</f>
        <v>0</v>
      </c>
      <c r="E119" s="40"/>
      <c r="F119" s="41" t="s">
        <v>60</v>
      </c>
      <c r="G119" s="39" t="e">
        <f>Total!#REF!</f>
        <v>#REF!</v>
      </c>
      <c r="H119" s="39"/>
      <c r="I119" s="249"/>
    </row>
    <row r="120" spans="1:9" ht="17.25" thickBot="1">
      <c r="A120" s="247"/>
      <c r="B120" s="42"/>
      <c r="C120" s="42"/>
      <c r="D120" s="42"/>
      <c r="E120" s="43"/>
      <c r="F120" s="44"/>
      <c r="G120" s="45"/>
      <c r="H120" s="45"/>
      <c r="I120" s="249"/>
    </row>
    <row r="121" spans="1:9" ht="17.25" thickBot="1">
      <c r="A121" s="247"/>
      <c r="B121" s="253" t="s">
        <v>61</v>
      </c>
      <c r="C121" s="254"/>
      <c r="D121" s="48"/>
      <c r="E121" s="47" t="s">
        <v>62</v>
      </c>
      <c r="F121" s="49"/>
      <c r="G121" s="45"/>
      <c r="H121" s="45"/>
      <c r="I121" s="249"/>
    </row>
    <row r="122" spans="1:9" ht="17.25" thickTop="1">
      <c r="A122" s="247"/>
      <c r="B122" s="50" t="s">
        <v>31</v>
      </c>
      <c r="C122" s="51"/>
      <c r="D122" s="52"/>
      <c r="E122" s="53" t="s">
        <v>32</v>
      </c>
      <c r="F122" s="54"/>
      <c r="G122" s="45"/>
      <c r="H122" s="45"/>
      <c r="I122" s="249"/>
    </row>
    <row r="123" spans="1:9">
      <c r="A123" s="247"/>
      <c r="B123" s="55" t="s">
        <v>33</v>
      </c>
      <c r="C123" s="56"/>
      <c r="D123" s="57"/>
      <c r="E123" s="58">
        <f>Total!F18</f>
        <v>0</v>
      </c>
      <c r="F123" s="59"/>
      <c r="G123" s="45"/>
      <c r="H123" s="45"/>
      <c r="I123" s="249"/>
    </row>
    <row r="124" spans="1:9" ht="16.5" customHeight="1">
      <c r="A124" s="247"/>
      <c r="B124" s="55" t="s">
        <v>63</v>
      </c>
      <c r="C124" s="60"/>
      <c r="D124" s="57"/>
      <c r="E124" s="109">
        <f>Total!G19</f>
        <v>0</v>
      </c>
      <c r="F124" s="59"/>
      <c r="G124" s="45"/>
      <c r="H124" s="45"/>
      <c r="I124" s="249"/>
    </row>
    <row r="125" spans="1:9" ht="16.5" customHeight="1">
      <c r="A125" s="247"/>
      <c r="B125" s="55" t="s">
        <v>35</v>
      </c>
      <c r="C125" s="60"/>
      <c r="D125" s="57"/>
      <c r="E125" s="58">
        <f>Total!H19</f>
        <v>0</v>
      </c>
      <c r="F125" s="59"/>
      <c r="G125" s="44"/>
      <c r="H125" s="44"/>
      <c r="I125" s="249"/>
    </row>
    <row r="126" spans="1:9" ht="16.5" customHeight="1">
      <c r="A126" s="247"/>
      <c r="B126" s="55" t="s">
        <v>36</v>
      </c>
      <c r="C126" s="56"/>
      <c r="D126" s="63"/>
      <c r="E126" s="110">
        <f>Total!I19</f>
        <v>0</v>
      </c>
      <c r="F126" s="64"/>
      <c r="G126" s="44"/>
      <c r="H126" s="44"/>
      <c r="I126" s="249"/>
    </row>
    <row r="127" spans="1:9" ht="16.5" customHeight="1">
      <c r="A127" s="247"/>
      <c r="B127" s="55" t="s">
        <v>37</v>
      </c>
      <c r="C127" s="56"/>
      <c r="D127" s="63"/>
      <c r="E127" s="110">
        <f>Total!J19</f>
        <v>0</v>
      </c>
      <c r="F127" s="64"/>
      <c r="G127" s="44"/>
      <c r="H127" s="44"/>
      <c r="I127" s="249"/>
    </row>
    <row r="128" spans="1:9" ht="17.25" thickBot="1">
      <c r="A128" s="247"/>
      <c r="B128" s="65" t="s">
        <v>38</v>
      </c>
      <c r="C128" s="66"/>
      <c r="D128" s="67"/>
      <c r="E128" s="68">
        <f>Total!L19</f>
        <v>0</v>
      </c>
      <c r="F128" s="69"/>
      <c r="G128" s="70"/>
      <c r="H128" s="70"/>
      <c r="I128" s="249"/>
    </row>
    <row r="129" spans="1:10" ht="17.25" thickBot="1">
      <c r="A129" s="247"/>
      <c r="B129" s="71"/>
      <c r="C129" s="71"/>
      <c r="D129" s="71"/>
      <c r="E129" s="71"/>
      <c r="F129" s="71"/>
      <c r="G129" s="71"/>
      <c r="H129" s="71"/>
      <c r="I129" s="249"/>
    </row>
    <row r="130" spans="1:10" ht="17.25" thickBot="1">
      <c r="A130" s="247"/>
      <c r="B130" s="72"/>
      <c r="C130" s="73" t="s">
        <v>64</v>
      </c>
      <c r="D130" s="74"/>
      <c r="E130" s="74"/>
      <c r="F130" s="252" t="s">
        <v>65</v>
      </c>
      <c r="G130" s="252"/>
      <c r="H130" s="76"/>
      <c r="I130" s="249"/>
    </row>
    <row r="131" spans="1:10" ht="17.25" thickTop="1">
      <c r="A131" s="247"/>
      <c r="B131" s="77"/>
      <c r="C131" s="50" t="s">
        <v>41</v>
      </c>
      <c r="D131" s="78"/>
      <c r="E131" s="78"/>
      <c r="F131" s="79"/>
      <c r="G131" s="111">
        <f>Total!K19</f>
        <v>0</v>
      </c>
      <c r="H131" s="81"/>
      <c r="I131" s="249"/>
    </row>
    <row r="132" spans="1:10" ht="16.5" customHeight="1">
      <c r="A132" s="247"/>
      <c r="B132" s="77"/>
      <c r="C132" s="55" t="s">
        <v>66</v>
      </c>
      <c r="D132" s="82"/>
      <c r="E132" s="82"/>
      <c r="F132" s="83"/>
      <c r="G132" s="112">
        <f>Total!O19</f>
        <v>0</v>
      </c>
      <c r="H132" s="85"/>
      <c r="I132" s="249"/>
    </row>
    <row r="133" spans="1:10" ht="16.5" customHeight="1">
      <c r="A133" s="247"/>
      <c r="B133" s="77"/>
      <c r="C133" s="55" t="s">
        <v>43</v>
      </c>
      <c r="D133" s="86"/>
      <c r="E133" s="86"/>
      <c r="F133" s="83"/>
      <c r="G133" s="112">
        <f>Total!N19</f>
        <v>0</v>
      </c>
      <c r="H133" s="85"/>
      <c r="I133" s="249"/>
    </row>
    <row r="134" spans="1:10" ht="16.5" customHeight="1">
      <c r="A134" s="247"/>
      <c r="B134" s="77"/>
      <c r="C134" s="55" t="s">
        <v>67</v>
      </c>
      <c r="D134" s="87"/>
      <c r="E134" s="87"/>
      <c r="F134" s="83"/>
      <c r="G134" s="112">
        <f>Total!P19</f>
        <v>0</v>
      </c>
      <c r="H134" s="85"/>
      <c r="I134" s="249"/>
    </row>
    <row r="135" spans="1:10" ht="16.5" customHeight="1">
      <c r="A135" s="247"/>
      <c r="B135" s="77"/>
      <c r="C135" s="55" t="s">
        <v>68</v>
      </c>
      <c r="D135" s="87"/>
      <c r="E135" s="87"/>
      <c r="F135" s="83"/>
      <c r="G135" s="112">
        <f>Total!P19</f>
        <v>0</v>
      </c>
      <c r="H135" s="85"/>
      <c r="I135" s="249"/>
    </row>
    <row r="136" spans="1:10" ht="16.5" customHeight="1">
      <c r="A136" s="247"/>
      <c r="B136" s="77"/>
      <c r="C136" s="55" t="s">
        <v>46</v>
      </c>
      <c r="D136" s="82" t="s">
        <v>47</v>
      </c>
      <c r="E136" s="82"/>
      <c r="F136" s="83"/>
      <c r="G136" s="112">
        <f>Total!R19</f>
        <v>0</v>
      </c>
      <c r="H136" s="85"/>
      <c r="I136" s="249"/>
    </row>
    <row r="137" spans="1:10" ht="16.5" customHeight="1">
      <c r="A137" s="247"/>
      <c r="B137" s="77"/>
      <c r="C137" s="55" t="s">
        <v>69</v>
      </c>
      <c r="D137" s="87"/>
      <c r="E137" s="87"/>
      <c r="F137" s="83"/>
      <c r="G137" s="112">
        <f>Total!T19</f>
        <v>0</v>
      </c>
      <c r="H137" s="85"/>
      <c r="I137" s="249"/>
    </row>
    <row r="138" spans="1:10" ht="16.5" customHeight="1">
      <c r="A138" s="247"/>
      <c r="B138" s="77"/>
      <c r="C138" s="55" t="s">
        <v>70</v>
      </c>
      <c r="D138" s="87"/>
      <c r="E138" s="87"/>
      <c r="F138" s="83"/>
      <c r="G138" s="112">
        <f>Total!S19</f>
        <v>0</v>
      </c>
      <c r="H138" s="85"/>
      <c r="I138" s="249"/>
    </row>
    <row r="139" spans="1:10" ht="17.25" thickBot="1">
      <c r="A139" s="247"/>
      <c r="B139" s="77"/>
      <c r="C139" s="88" t="s">
        <v>71</v>
      </c>
      <c r="D139" s="89"/>
      <c r="E139" s="89"/>
      <c r="F139" s="90"/>
      <c r="G139" s="113">
        <f>Total!U19</f>
        <v>0</v>
      </c>
      <c r="H139" s="92"/>
      <c r="I139" s="249"/>
    </row>
    <row r="140" spans="1:10" ht="18" thickTop="1" thickBot="1">
      <c r="A140" s="247"/>
      <c r="B140" s="93"/>
      <c r="C140" s="94"/>
      <c r="D140" s="95"/>
      <c r="E140" s="96" t="s">
        <v>22</v>
      </c>
      <c r="F140" s="251">
        <f>SUM(G131:G138)-G139</f>
        <v>0</v>
      </c>
      <c r="G140" s="251"/>
      <c r="H140" s="98"/>
      <c r="I140" s="249"/>
      <c r="J140" s="99">
        <f>Total!V19</f>
        <v>0</v>
      </c>
    </row>
    <row r="141" spans="1:10" ht="16.5" customHeight="1">
      <c r="A141" s="247"/>
      <c r="B141" s="42"/>
      <c r="C141" s="42"/>
      <c r="D141" s="42"/>
      <c r="E141" s="42"/>
      <c r="F141" s="239"/>
      <c r="G141" s="240"/>
      <c r="H141" s="45"/>
      <c r="I141" s="249"/>
    </row>
    <row r="142" spans="1:10">
      <c r="A142" s="247"/>
      <c r="B142" s="100" t="s">
        <v>51</v>
      </c>
      <c r="C142" s="42"/>
      <c r="D142" s="42"/>
      <c r="E142" s="42"/>
      <c r="F142" s="240"/>
      <c r="G142" s="240"/>
      <c r="H142" s="45"/>
      <c r="I142" s="249"/>
    </row>
    <row r="143" spans="1:10" ht="16.5" customHeight="1">
      <c r="A143" s="247"/>
      <c r="B143" s="100" t="s">
        <v>52</v>
      </c>
      <c r="C143" s="42"/>
      <c r="D143" s="241"/>
      <c r="E143" s="241"/>
      <c r="F143" s="240"/>
      <c r="G143" s="240"/>
      <c r="H143" s="45"/>
      <c r="I143" s="249"/>
    </row>
    <row r="144" spans="1:10" ht="16.5" customHeight="1">
      <c r="A144" s="247"/>
      <c r="B144" s="100" t="s">
        <v>53</v>
      </c>
      <c r="C144" s="42"/>
      <c r="D144" s="42"/>
      <c r="E144" s="42"/>
      <c r="F144" s="42"/>
      <c r="G144" s="42"/>
      <c r="H144" s="45"/>
      <c r="I144" s="249"/>
    </row>
    <row r="145" spans="1:9" ht="16.5" customHeight="1">
      <c r="A145" s="247"/>
      <c r="B145" s="101"/>
      <c r="C145" s="43"/>
      <c r="D145" s="102"/>
      <c r="E145" s="242" t="s">
        <v>72</v>
      </c>
      <c r="F145" s="242"/>
      <c r="G145" s="104"/>
      <c r="H145" s="105"/>
      <c r="I145" s="249"/>
    </row>
    <row r="146" spans="1:9" ht="16.5" customHeight="1">
      <c r="A146" s="247"/>
      <c r="B146" s="43"/>
      <c r="C146" s="43"/>
      <c r="D146" s="106"/>
      <c r="E146" s="106"/>
      <c r="F146" s="43"/>
      <c r="G146" s="43"/>
      <c r="H146" s="43"/>
      <c r="I146" s="249"/>
    </row>
    <row r="147" spans="1:9" ht="16.5" customHeight="1">
      <c r="A147" s="247"/>
      <c r="B147" s="43"/>
      <c r="C147" s="43"/>
      <c r="D147" s="106"/>
      <c r="E147" s="102"/>
      <c r="F147" s="103" t="s">
        <v>73</v>
      </c>
      <c r="G147" s="107"/>
      <c r="H147" s="108"/>
      <c r="I147" s="249"/>
    </row>
    <row r="148" spans="1:9" ht="16.5" customHeight="1"/>
    <row r="149" spans="1:9">
      <c r="A149" s="243"/>
      <c r="B149" s="243"/>
      <c r="C149" s="243"/>
      <c r="D149" s="243"/>
      <c r="E149" s="243"/>
      <c r="F149" s="243"/>
      <c r="G149" s="243"/>
      <c r="H149" s="243"/>
      <c r="I149" s="243"/>
    </row>
    <row r="150" spans="1:9" ht="27.75">
      <c r="A150" s="244" t="s">
        <v>56</v>
      </c>
      <c r="B150" s="244"/>
      <c r="C150" s="244"/>
      <c r="D150" s="244"/>
      <c r="E150" s="244"/>
      <c r="F150" s="244"/>
      <c r="G150" s="244"/>
      <c r="H150" s="244"/>
      <c r="I150" s="244"/>
    </row>
    <row r="151" spans="1:9" ht="27.75">
      <c r="A151" s="244" t="s">
        <v>57</v>
      </c>
      <c r="B151" s="244"/>
      <c r="C151" s="244"/>
      <c r="D151" s="244"/>
      <c r="E151" s="244"/>
      <c r="F151" s="244"/>
      <c r="G151" s="244"/>
      <c r="H151" s="244"/>
      <c r="I151" s="244"/>
    </row>
    <row r="152" spans="1:9">
      <c r="A152" s="245" t="s">
        <v>58</v>
      </c>
      <c r="B152" s="245"/>
      <c r="C152" s="245"/>
      <c r="D152" s="245"/>
      <c r="E152" s="245"/>
      <c r="F152" s="245"/>
      <c r="G152" s="245"/>
      <c r="H152" s="245"/>
      <c r="I152" s="245"/>
    </row>
    <row r="153" spans="1:9">
      <c r="A153" s="246"/>
      <c r="B153" s="246"/>
      <c r="C153" s="246"/>
      <c r="D153" s="246"/>
      <c r="E153" s="246"/>
      <c r="F153" s="246"/>
      <c r="G153" s="246"/>
      <c r="H153" s="246"/>
      <c r="I153" s="246"/>
    </row>
    <row r="154" spans="1:9" ht="21" thickBot="1">
      <c r="A154" s="247"/>
      <c r="B154" s="248" t="str">
        <f>Total!$A$2</f>
        <v>2026 June Ecovasc Promoter Salary Summary</v>
      </c>
      <c r="C154" s="248"/>
      <c r="D154" s="248"/>
      <c r="E154" s="248"/>
      <c r="F154" s="248"/>
      <c r="G154" s="248"/>
      <c r="H154" s="248"/>
      <c r="I154" s="249"/>
    </row>
    <row r="155" spans="1:9" ht="17.25" thickTop="1">
      <c r="A155" s="247"/>
      <c r="B155" s="250"/>
      <c r="C155" s="250"/>
      <c r="D155" s="250"/>
      <c r="E155" s="250"/>
      <c r="F155" s="250"/>
      <c r="G155" s="250"/>
      <c r="H155" s="37"/>
      <c r="I155" s="249"/>
    </row>
    <row r="156" spans="1:9" ht="16.5" customHeight="1">
      <c r="A156" s="247"/>
      <c r="B156" s="38" t="s">
        <v>59</v>
      </c>
      <c r="C156" s="39">
        <f>Total!E20</f>
        <v>0</v>
      </c>
      <c r="D156" s="39">
        <f>Total!D20</f>
        <v>0</v>
      </c>
      <c r="E156" s="40"/>
      <c r="F156" s="41" t="s">
        <v>60</v>
      </c>
      <c r="G156" s="39" t="e">
        <f>Total!#REF!</f>
        <v>#REF!</v>
      </c>
      <c r="H156" s="39"/>
      <c r="I156" s="249"/>
    </row>
    <row r="157" spans="1:9" ht="17.25" thickBot="1">
      <c r="A157" s="247"/>
      <c r="B157" s="42"/>
      <c r="C157" s="42"/>
      <c r="D157" s="42"/>
      <c r="E157" s="43"/>
      <c r="F157" s="44"/>
      <c r="G157" s="45"/>
      <c r="H157" s="45"/>
      <c r="I157" s="249"/>
    </row>
    <row r="158" spans="1:9" ht="17.25" thickBot="1">
      <c r="A158" s="247"/>
      <c r="B158" s="253" t="s">
        <v>61</v>
      </c>
      <c r="C158" s="254"/>
      <c r="D158" s="48"/>
      <c r="E158" s="47" t="s">
        <v>62</v>
      </c>
      <c r="F158" s="49"/>
      <c r="G158" s="45"/>
      <c r="H158" s="45"/>
      <c r="I158" s="249"/>
    </row>
    <row r="159" spans="1:9" ht="17.25" thickTop="1">
      <c r="A159" s="247"/>
      <c r="B159" s="50" t="s">
        <v>31</v>
      </c>
      <c r="C159" s="51"/>
      <c r="D159" s="52"/>
      <c r="E159" s="53" t="s">
        <v>32</v>
      </c>
      <c r="F159" s="54"/>
      <c r="G159" s="45"/>
      <c r="H159" s="45"/>
      <c r="I159" s="249"/>
    </row>
    <row r="160" spans="1:9">
      <c r="A160" s="247"/>
      <c r="B160" s="55" t="s">
        <v>33</v>
      </c>
      <c r="C160" s="56"/>
      <c r="D160" s="57"/>
      <c r="E160" s="58">
        <f>Total!F19</f>
        <v>0</v>
      </c>
      <c r="F160" s="59"/>
      <c r="G160" s="45"/>
      <c r="H160" s="45"/>
      <c r="I160" s="249"/>
    </row>
    <row r="161" spans="1:9" ht="16.5" customHeight="1">
      <c r="A161" s="247"/>
      <c r="B161" s="55" t="s">
        <v>63</v>
      </c>
      <c r="C161" s="60"/>
      <c r="D161" s="57"/>
      <c r="E161" s="109">
        <f>Total!G20</f>
        <v>0</v>
      </c>
      <c r="F161" s="59"/>
      <c r="G161" s="45"/>
      <c r="H161" s="45"/>
      <c r="I161" s="249"/>
    </row>
    <row r="162" spans="1:9" ht="16.5" customHeight="1">
      <c r="A162" s="247"/>
      <c r="B162" s="55" t="s">
        <v>35</v>
      </c>
      <c r="C162" s="60"/>
      <c r="D162" s="57"/>
      <c r="E162" s="58">
        <f>Total!H20</f>
        <v>0</v>
      </c>
      <c r="F162" s="59"/>
      <c r="G162" s="44"/>
      <c r="H162" s="44"/>
      <c r="I162" s="249"/>
    </row>
    <row r="163" spans="1:9" ht="16.5" customHeight="1">
      <c r="A163" s="247"/>
      <c r="B163" s="55" t="s">
        <v>36</v>
      </c>
      <c r="C163" s="56"/>
      <c r="D163" s="63"/>
      <c r="E163" s="110">
        <f>Total!I20</f>
        <v>0</v>
      </c>
      <c r="F163" s="64"/>
      <c r="G163" s="44"/>
      <c r="H163" s="44"/>
      <c r="I163" s="249"/>
    </row>
    <row r="164" spans="1:9" ht="16.5" customHeight="1">
      <c r="A164" s="247"/>
      <c r="B164" s="55" t="s">
        <v>37</v>
      </c>
      <c r="C164" s="56"/>
      <c r="D164" s="63"/>
      <c r="E164" s="110">
        <f>Total!J20</f>
        <v>0</v>
      </c>
      <c r="F164" s="64"/>
      <c r="G164" s="44"/>
      <c r="H164" s="44"/>
      <c r="I164" s="249"/>
    </row>
    <row r="165" spans="1:9" ht="17.25" thickBot="1">
      <c r="A165" s="247"/>
      <c r="B165" s="65" t="s">
        <v>38</v>
      </c>
      <c r="C165" s="66"/>
      <c r="D165" s="67"/>
      <c r="E165" s="68">
        <f>Total!L20</f>
        <v>0</v>
      </c>
      <c r="F165" s="69"/>
      <c r="G165" s="70"/>
      <c r="H165" s="70"/>
      <c r="I165" s="249"/>
    </row>
    <row r="166" spans="1:9" ht="17.25" thickBot="1">
      <c r="A166" s="247"/>
      <c r="B166" s="71"/>
      <c r="C166" s="71"/>
      <c r="D166" s="71"/>
      <c r="E166" s="71"/>
      <c r="F166" s="71"/>
      <c r="G166" s="71"/>
      <c r="H166" s="71"/>
      <c r="I166" s="249"/>
    </row>
    <row r="167" spans="1:9" ht="17.25" thickBot="1">
      <c r="A167" s="247"/>
      <c r="B167" s="72"/>
      <c r="C167" s="73" t="s">
        <v>64</v>
      </c>
      <c r="D167" s="74"/>
      <c r="E167" s="74"/>
      <c r="F167" s="252" t="s">
        <v>65</v>
      </c>
      <c r="G167" s="252"/>
      <c r="H167" s="76"/>
      <c r="I167" s="249"/>
    </row>
    <row r="168" spans="1:9" ht="17.25" thickTop="1">
      <c r="A168" s="247"/>
      <c r="B168" s="77"/>
      <c r="C168" s="50" t="s">
        <v>41</v>
      </c>
      <c r="D168" s="78"/>
      <c r="E168" s="78"/>
      <c r="F168" s="79"/>
      <c r="G168" s="111">
        <f>Total!K20</f>
        <v>0</v>
      </c>
      <c r="H168" s="81"/>
      <c r="I168" s="249"/>
    </row>
    <row r="169" spans="1:9" ht="16.5" customHeight="1">
      <c r="A169" s="247"/>
      <c r="B169" s="77"/>
      <c r="C169" s="55" t="s">
        <v>66</v>
      </c>
      <c r="D169" s="82"/>
      <c r="E169" s="82"/>
      <c r="F169" s="83"/>
      <c r="G169" s="112">
        <f>Total!O20</f>
        <v>0</v>
      </c>
      <c r="H169" s="85"/>
      <c r="I169" s="249"/>
    </row>
    <row r="170" spans="1:9" ht="16.5" customHeight="1">
      <c r="A170" s="247"/>
      <c r="B170" s="77"/>
      <c r="C170" s="55" t="s">
        <v>43</v>
      </c>
      <c r="D170" s="86"/>
      <c r="E170" s="86"/>
      <c r="F170" s="83"/>
      <c r="G170" s="112">
        <f>Total!N20</f>
        <v>0</v>
      </c>
      <c r="H170" s="85"/>
      <c r="I170" s="249"/>
    </row>
    <row r="171" spans="1:9" ht="16.5" customHeight="1">
      <c r="A171" s="247"/>
      <c r="B171" s="77"/>
      <c r="C171" s="55" t="s">
        <v>67</v>
      </c>
      <c r="D171" s="87"/>
      <c r="E171" s="87"/>
      <c r="F171" s="83"/>
      <c r="G171" s="112">
        <f>Total!P20</f>
        <v>0</v>
      </c>
      <c r="H171" s="85"/>
      <c r="I171" s="249"/>
    </row>
    <row r="172" spans="1:9" ht="16.5" customHeight="1">
      <c r="A172" s="247"/>
      <c r="B172" s="77"/>
      <c r="C172" s="55" t="s">
        <v>68</v>
      </c>
      <c r="D172" s="87"/>
      <c r="E172" s="87"/>
      <c r="F172" s="83"/>
      <c r="G172" s="112">
        <f>Total!Q20</f>
        <v>0</v>
      </c>
      <c r="H172" s="85"/>
      <c r="I172" s="249"/>
    </row>
    <row r="173" spans="1:9" ht="16.5" customHeight="1">
      <c r="A173" s="247"/>
      <c r="B173" s="77"/>
      <c r="C173" s="55" t="s">
        <v>46</v>
      </c>
      <c r="D173" s="82" t="s">
        <v>47</v>
      </c>
      <c r="E173" s="82"/>
      <c r="F173" s="83"/>
      <c r="G173" s="112">
        <f>Total!R20</f>
        <v>0</v>
      </c>
      <c r="H173" s="85"/>
      <c r="I173" s="249"/>
    </row>
    <row r="174" spans="1:9" ht="16.5" customHeight="1">
      <c r="A174" s="247"/>
      <c r="B174" s="77"/>
      <c r="C174" s="55" t="s">
        <v>69</v>
      </c>
      <c r="D174" s="87"/>
      <c r="E174" s="87"/>
      <c r="F174" s="83"/>
      <c r="G174" s="112">
        <f>Total!T20</f>
        <v>0</v>
      </c>
      <c r="H174" s="85"/>
      <c r="I174" s="249"/>
    </row>
    <row r="175" spans="1:9" ht="16.5" customHeight="1">
      <c r="A175" s="247"/>
      <c r="B175" s="77"/>
      <c r="C175" s="55" t="s">
        <v>70</v>
      </c>
      <c r="D175" s="87"/>
      <c r="E175" s="87"/>
      <c r="F175" s="83"/>
      <c r="G175" s="112">
        <f>Total!S20</f>
        <v>0</v>
      </c>
      <c r="H175" s="85"/>
      <c r="I175" s="249"/>
    </row>
    <row r="176" spans="1:9" ht="17.25" thickBot="1">
      <c r="A176" s="247"/>
      <c r="B176" s="77"/>
      <c r="C176" s="88" t="s">
        <v>71</v>
      </c>
      <c r="D176" s="89"/>
      <c r="E176" s="89"/>
      <c r="F176" s="90"/>
      <c r="G176" s="113">
        <f>Total!U20</f>
        <v>0</v>
      </c>
      <c r="H176" s="92"/>
      <c r="I176" s="249"/>
    </row>
    <row r="177" spans="1:10" ht="18" thickTop="1" thickBot="1">
      <c r="A177" s="247"/>
      <c r="B177" s="93"/>
      <c r="C177" s="94"/>
      <c r="D177" s="95"/>
      <c r="E177" s="96" t="s">
        <v>22</v>
      </c>
      <c r="F177" s="251">
        <f>SUM(G168:G175)-G176</f>
        <v>0</v>
      </c>
      <c r="G177" s="251"/>
      <c r="H177" s="98"/>
      <c r="I177" s="249"/>
      <c r="J177" s="99">
        <f>Total!V20</f>
        <v>0</v>
      </c>
    </row>
    <row r="178" spans="1:10" ht="16.5" customHeight="1">
      <c r="A178" s="247"/>
      <c r="B178" s="42"/>
      <c r="C178" s="42"/>
      <c r="D178" s="42"/>
      <c r="E178" s="42"/>
      <c r="F178" s="239"/>
      <c r="G178" s="240"/>
      <c r="H178" s="45"/>
      <c r="I178" s="249"/>
    </row>
    <row r="179" spans="1:10">
      <c r="A179" s="247"/>
      <c r="B179" s="100" t="s">
        <v>51</v>
      </c>
      <c r="C179" s="42"/>
      <c r="D179" s="42"/>
      <c r="E179" s="42"/>
      <c r="F179" s="240"/>
      <c r="G179" s="240"/>
      <c r="H179" s="45"/>
      <c r="I179" s="249"/>
    </row>
    <row r="180" spans="1:10" ht="16.5" customHeight="1">
      <c r="A180" s="247"/>
      <c r="B180" s="100" t="s">
        <v>52</v>
      </c>
      <c r="C180" s="42"/>
      <c r="D180" s="241"/>
      <c r="E180" s="241"/>
      <c r="F180" s="240"/>
      <c r="G180" s="240"/>
      <c r="H180" s="45"/>
      <c r="I180" s="249"/>
    </row>
    <row r="181" spans="1:10" ht="16.5" customHeight="1">
      <c r="A181" s="247"/>
      <c r="B181" s="100" t="s">
        <v>53</v>
      </c>
      <c r="C181" s="42"/>
      <c r="D181" s="42"/>
      <c r="E181" s="42"/>
      <c r="F181" s="42"/>
      <c r="G181" s="42"/>
      <c r="H181" s="45"/>
      <c r="I181" s="249"/>
    </row>
    <row r="182" spans="1:10" ht="16.5" customHeight="1">
      <c r="A182" s="247"/>
      <c r="B182" s="101"/>
      <c r="C182" s="43"/>
      <c r="D182" s="102"/>
      <c r="E182" s="242" t="s">
        <v>72</v>
      </c>
      <c r="F182" s="242"/>
      <c r="G182" s="104"/>
      <c r="H182" s="105"/>
      <c r="I182" s="249"/>
    </row>
    <row r="183" spans="1:10" ht="16.5" customHeight="1">
      <c r="A183" s="247"/>
      <c r="B183" s="43"/>
      <c r="C183" s="43"/>
      <c r="D183" s="106"/>
      <c r="E183" s="106"/>
      <c r="F183" s="43"/>
      <c r="G183" s="43"/>
      <c r="H183" s="43"/>
      <c r="I183" s="249"/>
    </row>
    <row r="184" spans="1:10" ht="16.5" customHeight="1">
      <c r="A184" s="247"/>
      <c r="B184" s="43"/>
      <c r="C184" s="43"/>
      <c r="D184" s="106"/>
      <c r="E184" s="102"/>
      <c r="F184" s="103" t="s">
        <v>73</v>
      </c>
      <c r="G184" s="107"/>
      <c r="H184" s="108"/>
      <c r="I184" s="249"/>
    </row>
    <row r="185" spans="1:10" ht="16.5" customHeight="1"/>
    <row r="186" spans="1:10">
      <c r="A186" s="243"/>
      <c r="B186" s="243"/>
      <c r="C186" s="243"/>
      <c r="D186" s="243"/>
      <c r="E186" s="243"/>
      <c r="F186" s="243"/>
      <c r="G186" s="243"/>
      <c r="H186" s="243"/>
      <c r="I186" s="243"/>
    </row>
    <row r="187" spans="1:10" ht="27.75">
      <c r="A187" s="244" t="s">
        <v>56</v>
      </c>
      <c r="B187" s="244"/>
      <c r="C187" s="244"/>
      <c r="D187" s="244"/>
      <c r="E187" s="244"/>
      <c r="F187" s="244"/>
      <c r="G187" s="244"/>
      <c r="H187" s="244"/>
      <c r="I187" s="244"/>
    </row>
    <row r="188" spans="1:10" ht="27.75">
      <c r="A188" s="244" t="s">
        <v>57</v>
      </c>
      <c r="B188" s="244"/>
      <c r="C188" s="244"/>
      <c r="D188" s="244"/>
      <c r="E188" s="244"/>
      <c r="F188" s="244"/>
      <c r="G188" s="244"/>
      <c r="H188" s="244"/>
      <c r="I188" s="244"/>
    </row>
    <row r="189" spans="1:10">
      <c r="A189" s="245" t="s">
        <v>58</v>
      </c>
      <c r="B189" s="245"/>
      <c r="C189" s="245"/>
      <c r="D189" s="245"/>
      <c r="E189" s="245"/>
      <c r="F189" s="245"/>
      <c r="G189" s="245"/>
      <c r="H189" s="245"/>
      <c r="I189" s="245"/>
    </row>
    <row r="190" spans="1:10">
      <c r="A190" s="246"/>
      <c r="B190" s="246"/>
      <c r="C190" s="246"/>
      <c r="D190" s="246"/>
      <c r="E190" s="246"/>
      <c r="F190" s="246"/>
      <c r="G190" s="246"/>
      <c r="H190" s="246"/>
      <c r="I190" s="246"/>
    </row>
    <row r="191" spans="1:10" ht="21" thickBot="1">
      <c r="A191" s="247"/>
      <c r="B191" s="248" t="str">
        <f>Total!$A$2</f>
        <v>2026 June Ecovasc Promoter Salary Summary</v>
      </c>
      <c r="C191" s="248"/>
      <c r="D191" s="248"/>
      <c r="E191" s="248"/>
      <c r="F191" s="248"/>
      <c r="G191" s="248"/>
      <c r="H191" s="248"/>
      <c r="I191" s="249"/>
    </row>
    <row r="192" spans="1:10" ht="17.25" thickTop="1">
      <c r="A192" s="247"/>
      <c r="B192" s="250"/>
      <c r="C192" s="250"/>
      <c r="D192" s="250"/>
      <c r="E192" s="250"/>
      <c r="F192" s="250"/>
      <c r="G192" s="250"/>
      <c r="H192" s="37"/>
      <c r="I192" s="249"/>
    </row>
    <row r="193" spans="1:9" ht="16.5" customHeight="1">
      <c r="A193" s="247"/>
      <c r="B193" s="38" t="s">
        <v>59</v>
      </c>
      <c r="C193" s="39" t="e">
        <f>Total!#REF!</f>
        <v>#REF!</v>
      </c>
      <c r="D193" s="39" t="e">
        <f>Total!#REF!</f>
        <v>#REF!</v>
      </c>
      <c r="E193" s="40"/>
      <c r="F193" s="41" t="s">
        <v>60</v>
      </c>
      <c r="G193" s="39" t="e">
        <f>Total!#REF!</f>
        <v>#REF!</v>
      </c>
      <c r="H193" s="39"/>
      <c r="I193" s="249"/>
    </row>
    <row r="194" spans="1:9" ht="17.25" thickBot="1">
      <c r="A194" s="247"/>
      <c r="B194" s="42"/>
      <c r="C194" s="42"/>
      <c r="D194" s="42"/>
      <c r="E194" s="43"/>
      <c r="F194" s="44"/>
      <c r="G194" s="45"/>
      <c r="H194" s="45"/>
      <c r="I194" s="249"/>
    </row>
    <row r="195" spans="1:9" ht="17.25" thickBot="1">
      <c r="A195" s="247"/>
      <c r="B195" s="253" t="s">
        <v>61</v>
      </c>
      <c r="C195" s="254"/>
      <c r="D195" s="48"/>
      <c r="E195" s="47" t="s">
        <v>62</v>
      </c>
      <c r="F195" s="49"/>
      <c r="G195" s="45"/>
      <c r="H195" s="45"/>
      <c r="I195" s="249"/>
    </row>
    <row r="196" spans="1:9" ht="17.25" thickTop="1">
      <c r="A196" s="247"/>
      <c r="B196" s="50" t="s">
        <v>31</v>
      </c>
      <c r="C196" s="51"/>
      <c r="D196" s="52"/>
      <c r="E196" s="53" t="s">
        <v>32</v>
      </c>
      <c r="F196" s="54"/>
      <c r="G196" s="45"/>
      <c r="H196" s="45"/>
      <c r="I196" s="249"/>
    </row>
    <row r="197" spans="1:9">
      <c r="A197" s="247"/>
      <c r="B197" s="55" t="s">
        <v>33</v>
      </c>
      <c r="C197" s="56"/>
      <c r="D197" s="57"/>
      <c r="E197" s="58" t="e">
        <f>Total!#REF!</f>
        <v>#REF!</v>
      </c>
      <c r="F197" s="59"/>
      <c r="G197" s="45"/>
      <c r="H197" s="45"/>
      <c r="I197" s="249"/>
    </row>
    <row r="198" spans="1:9" ht="16.5" customHeight="1">
      <c r="A198" s="247"/>
      <c r="B198" s="55" t="s">
        <v>63</v>
      </c>
      <c r="C198" s="60"/>
      <c r="D198" s="57"/>
      <c r="E198" s="61" t="e">
        <f>Total!#REF!</f>
        <v>#REF!</v>
      </c>
      <c r="F198" s="59"/>
      <c r="G198" s="45"/>
      <c r="H198" s="45"/>
      <c r="I198" s="249"/>
    </row>
    <row r="199" spans="1:9" ht="16.5" customHeight="1">
      <c r="A199" s="247"/>
      <c r="B199" s="55" t="s">
        <v>35</v>
      </c>
      <c r="C199" s="60"/>
      <c r="D199" s="57"/>
      <c r="E199" s="58" t="e">
        <f>Total!#REF!</f>
        <v>#REF!</v>
      </c>
      <c r="F199" s="59"/>
      <c r="G199" s="44"/>
      <c r="H199" s="44"/>
      <c r="I199" s="249"/>
    </row>
    <row r="200" spans="1:9" ht="16.5" customHeight="1">
      <c r="A200" s="247"/>
      <c r="B200" s="55" t="s">
        <v>36</v>
      </c>
      <c r="C200" s="56"/>
      <c r="D200" s="63"/>
      <c r="E200" s="110" t="e">
        <f>Total!#REF!</f>
        <v>#REF!</v>
      </c>
      <c r="F200" s="64"/>
      <c r="G200" s="44"/>
      <c r="H200" s="44"/>
      <c r="I200" s="249"/>
    </row>
    <row r="201" spans="1:9" ht="16.5" customHeight="1">
      <c r="A201" s="247"/>
      <c r="B201" s="55" t="s">
        <v>37</v>
      </c>
      <c r="C201" s="56"/>
      <c r="D201" s="63"/>
      <c r="E201" s="110" t="e">
        <f>Total!#REF!</f>
        <v>#REF!</v>
      </c>
      <c r="F201" s="64"/>
      <c r="G201" s="44"/>
      <c r="H201" s="44"/>
      <c r="I201" s="249"/>
    </row>
    <row r="202" spans="1:9" ht="17.25" thickBot="1">
      <c r="A202" s="247"/>
      <c r="B202" s="65" t="s">
        <v>38</v>
      </c>
      <c r="C202" s="66"/>
      <c r="D202" s="67"/>
      <c r="E202" s="68" t="e">
        <f>Total!#REF!</f>
        <v>#REF!</v>
      </c>
      <c r="F202" s="69"/>
      <c r="G202" s="70"/>
      <c r="H202" s="70"/>
      <c r="I202" s="249"/>
    </row>
    <row r="203" spans="1:9" ht="17.25" thickBot="1">
      <c r="A203" s="247"/>
      <c r="B203" s="71"/>
      <c r="C203" s="71"/>
      <c r="D203" s="71"/>
      <c r="E203" s="71"/>
      <c r="F203" s="71"/>
      <c r="G203" s="71"/>
      <c r="H203" s="71"/>
      <c r="I203" s="249"/>
    </row>
    <row r="204" spans="1:9" ht="17.25" thickBot="1">
      <c r="A204" s="247"/>
      <c r="B204" s="72"/>
      <c r="C204" s="73" t="s">
        <v>64</v>
      </c>
      <c r="D204" s="74"/>
      <c r="E204" s="74"/>
      <c r="F204" s="252" t="s">
        <v>65</v>
      </c>
      <c r="G204" s="252"/>
      <c r="H204" s="76"/>
      <c r="I204" s="249"/>
    </row>
    <row r="205" spans="1:9" ht="17.25" thickTop="1">
      <c r="A205" s="247"/>
      <c r="B205" s="77"/>
      <c r="C205" s="50" t="s">
        <v>41</v>
      </c>
      <c r="D205" s="78"/>
      <c r="E205" s="78"/>
      <c r="F205" s="79"/>
      <c r="G205" s="111" t="e">
        <f>Total!#REF!</f>
        <v>#REF!</v>
      </c>
      <c r="H205" s="81"/>
      <c r="I205" s="249"/>
    </row>
    <row r="206" spans="1:9" ht="16.5" customHeight="1">
      <c r="A206" s="247"/>
      <c r="B206" s="77"/>
      <c r="C206" s="55" t="s">
        <v>66</v>
      </c>
      <c r="D206" s="82"/>
      <c r="E206" s="82"/>
      <c r="F206" s="83"/>
      <c r="G206" s="112" t="e">
        <f>Total!#REF!</f>
        <v>#REF!</v>
      </c>
      <c r="H206" s="85"/>
      <c r="I206" s="249"/>
    </row>
    <row r="207" spans="1:9" ht="16.5" customHeight="1">
      <c r="A207" s="247"/>
      <c r="B207" s="77"/>
      <c r="C207" s="55" t="s">
        <v>43</v>
      </c>
      <c r="D207" s="86"/>
      <c r="E207" s="86"/>
      <c r="F207" s="83"/>
      <c r="G207" s="112" t="e">
        <f>Total!#REF!</f>
        <v>#REF!</v>
      </c>
      <c r="H207" s="85"/>
      <c r="I207" s="249"/>
    </row>
    <row r="208" spans="1:9" ht="16.5" customHeight="1">
      <c r="A208" s="247"/>
      <c r="B208" s="77"/>
      <c r="C208" s="55" t="s">
        <v>67</v>
      </c>
      <c r="D208" s="87"/>
      <c r="E208" s="87"/>
      <c r="F208" s="83"/>
      <c r="G208" s="112" t="e">
        <f>Total!#REF!</f>
        <v>#REF!</v>
      </c>
      <c r="H208" s="85"/>
      <c r="I208" s="249"/>
    </row>
    <row r="209" spans="1:10" ht="16.5" customHeight="1">
      <c r="A209" s="247"/>
      <c r="B209" s="77"/>
      <c r="C209" s="55" t="s">
        <v>68</v>
      </c>
      <c r="D209" s="87"/>
      <c r="E209" s="87"/>
      <c r="F209" s="83"/>
      <c r="G209" s="112" t="e">
        <f>Total!#REF!</f>
        <v>#REF!</v>
      </c>
      <c r="H209" s="85"/>
      <c r="I209" s="249"/>
    </row>
    <row r="210" spans="1:10" ht="16.5" customHeight="1">
      <c r="A210" s="247"/>
      <c r="B210" s="77"/>
      <c r="C210" s="55" t="s">
        <v>46</v>
      </c>
      <c r="D210" s="82" t="s">
        <v>47</v>
      </c>
      <c r="E210" s="82"/>
      <c r="F210" s="83"/>
      <c r="G210" s="112" t="e">
        <f>Total!#REF!</f>
        <v>#REF!</v>
      </c>
      <c r="H210" s="85"/>
      <c r="I210" s="249"/>
    </row>
    <row r="211" spans="1:10" ht="16.5" customHeight="1">
      <c r="A211" s="247"/>
      <c r="B211" s="77"/>
      <c r="C211" s="55" t="s">
        <v>69</v>
      </c>
      <c r="D211" s="87"/>
      <c r="E211" s="87"/>
      <c r="F211" s="83"/>
      <c r="G211" s="112" t="e">
        <f>Total!#REF!</f>
        <v>#REF!</v>
      </c>
      <c r="H211" s="85"/>
      <c r="I211" s="249"/>
    </row>
    <row r="212" spans="1:10" ht="16.5" customHeight="1">
      <c r="A212" s="247"/>
      <c r="B212" s="77"/>
      <c r="C212" s="55" t="s">
        <v>70</v>
      </c>
      <c r="D212" s="87"/>
      <c r="E212" s="87"/>
      <c r="F212" s="83"/>
      <c r="G212" s="112" t="e">
        <f>Total!#REF!</f>
        <v>#REF!</v>
      </c>
      <c r="H212" s="85"/>
      <c r="I212" s="249"/>
    </row>
    <row r="213" spans="1:10" ht="17.25" thickBot="1">
      <c r="A213" s="247"/>
      <c r="B213" s="77"/>
      <c r="C213" s="88" t="s">
        <v>71</v>
      </c>
      <c r="D213" s="89"/>
      <c r="E213" s="89"/>
      <c r="F213" s="90"/>
      <c r="G213" s="113" t="e">
        <f>Total!#REF!</f>
        <v>#REF!</v>
      </c>
      <c r="H213" s="92"/>
      <c r="I213" s="249"/>
    </row>
    <row r="214" spans="1:10" ht="18" thickTop="1" thickBot="1">
      <c r="A214" s="247"/>
      <c r="B214" s="93"/>
      <c r="C214" s="94"/>
      <c r="D214" s="95"/>
      <c r="E214" s="96" t="s">
        <v>22</v>
      </c>
      <c r="F214" s="251" t="e">
        <f>G207</f>
        <v>#REF!</v>
      </c>
      <c r="G214" s="251"/>
      <c r="H214" s="98"/>
      <c r="I214" s="249"/>
      <c r="J214" s="99" t="e">
        <f>Total!#REF!</f>
        <v>#REF!</v>
      </c>
    </row>
    <row r="215" spans="1:10" ht="16.5" customHeight="1">
      <c r="A215" s="247"/>
      <c r="B215" s="42"/>
      <c r="C215" s="42"/>
      <c r="D215" s="42"/>
      <c r="E215" s="42"/>
      <c r="F215" s="239"/>
      <c r="G215" s="240"/>
      <c r="H215" s="45"/>
      <c r="I215" s="249"/>
    </row>
    <row r="216" spans="1:10">
      <c r="A216" s="247"/>
      <c r="B216" s="100" t="s">
        <v>51</v>
      </c>
      <c r="C216" s="42"/>
      <c r="D216" s="42"/>
      <c r="E216" s="42"/>
      <c r="F216" s="240"/>
      <c r="G216" s="240"/>
      <c r="H216" s="45"/>
      <c r="I216" s="249"/>
    </row>
    <row r="217" spans="1:10" ht="16.5" customHeight="1">
      <c r="A217" s="247"/>
      <c r="B217" s="100" t="s">
        <v>52</v>
      </c>
      <c r="C217" s="42"/>
      <c r="D217" s="241"/>
      <c r="E217" s="241"/>
      <c r="F217" s="240"/>
      <c r="G217" s="240"/>
      <c r="H217" s="45"/>
      <c r="I217" s="249"/>
    </row>
    <row r="218" spans="1:10" ht="16.5" customHeight="1">
      <c r="A218" s="247"/>
      <c r="B218" s="100" t="s">
        <v>53</v>
      </c>
      <c r="C218" s="42"/>
      <c r="D218" s="42"/>
      <c r="E218" s="42"/>
      <c r="F218" s="42"/>
      <c r="G218" s="42"/>
      <c r="H218" s="45"/>
      <c r="I218" s="249"/>
    </row>
    <row r="219" spans="1:10" ht="16.5" customHeight="1">
      <c r="A219" s="247"/>
      <c r="B219" s="101"/>
      <c r="C219" s="43"/>
      <c r="D219" s="102"/>
      <c r="E219" s="242" t="s">
        <v>72</v>
      </c>
      <c r="F219" s="242"/>
      <c r="G219" s="104"/>
      <c r="H219" s="105"/>
      <c r="I219" s="249"/>
    </row>
    <row r="220" spans="1:10" ht="16.5" customHeight="1">
      <c r="A220" s="247"/>
      <c r="B220" s="43"/>
      <c r="C220" s="43"/>
      <c r="D220" s="106"/>
      <c r="E220" s="106"/>
      <c r="F220" s="43"/>
      <c r="G220" s="43"/>
      <c r="H220" s="43"/>
      <c r="I220" s="249"/>
    </row>
    <row r="221" spans="1:10" ht="16.5" customHeight="1">
      <c r="A221" s="247"/>
      <c r="B221" s="43"/>
      <c r="C221" s="43"/>
      <c r="D221" s="106"/>
      <c r="E221" s="102"/>
      <c r="F221" s="103" t="s">
        <v>73</v>
      </c>
      <c r="G221" s="107"/>
      <c r="H221" s="108"/>
      <c r="I221" s="249"/>
    </row>
    <row r="222" spans="1:10" ht="16.5" customHeight="1"/>
    <row r="223" spans="1:10">
      <c r="A223" s="243"/>
      <c r="B223" s="243"/>
      <c r="C223" s="243"/>
      <c r="D223" s="243"/>
      <c r="E223" s="243"/>
      <c r="F223" s="243"/>
      <c r="G223" s="243"/>
      <c r="H223" s="243"/>
      <c r="I223" s="243"/>
    </row>
    <row r="224" spans="1:10" ht="27.75">
      <c r="A224" s="244" t="s">
        <v>56</v>
      </c>
      <c r="B224" s="244"/>
      <c r="C224" s="244"/>
      <c r="D224" s="244"/>
      <c r="E224" s="244"/>
      <c r="F224" s="244"/>
      <c r="G224" s="244"/>
      <c r="H224" s="244"/>
      <c r="I224" s="244"/>
    </row>
    <row r="225" spans="1:9" ht="27.75">
      <c r="A225" s="244" t="s">
        <v>57</v>
      </c>
      <c r="B225" s="244"/>
      <c r="C225" s="244"/>
      <c r="D225" s="244"/>
      <c r="E225" s="244"/>
      <c r="F225" s="244"/>
      <c r="G225" s="244"/>
      <c r="H225" s="244"/>
      <c r="I225" s="244"/>
    </row>
    <row r="226" spans="1:9">
      <c r="A226" s="245" t="s">
        <v>58</v>
      </c>
      <c r="B226" s="245"/>
      <c r="C226" s="245"/>
      <c r="D226" s="245"/>
      <c r="E226" s="245"/>
      <c r="F226" s="245"/>
      <c r="G226" s="245"/>
      <c r="H226" s="245"/>
      <c r="I226" s="245"/>
    </row>
    <row r="227" spans="1:9">
      <c r="A227" s="246"/>
      <c r="B227" s="246"/>
      <c r="C227" s="246"/>
      <c r="D227" s="246"/>
      <c r="E227" s="246"/>
      <c r="F227" s="246"/>
      <c r="G227" s="246"/>
      <c r="H227" s="246"/>
      <c r="I227" s="246"/>
    </row>
    <row r="228" spans="1:9" ht="21" thickBot="1">
      <c r="A228" s="247"/>
      <c r="B228" s="248" t="str">
        <f>Total!$A$2</f>
        <v>2026 June Ecovasc Promoter Salary Summary</v>
      </c>
      <c r="C228" s="248"/>
      <c r="D228" s="248"/>
      <c r="E228" s="248"/>
      <c r="F228" s="248"/>
      <c r="G228" s="248"/>
      <c r="H228" s="248"/>
      <c r="I228" s="249"/>
    </row>
    <row r="229" spans="1:9" ht="17.25" thickTop="1">
      <c r="A229" s="247"/>
      <c r="B229" s="250"/>
      <c r="C229" s="250"/>
      <c r="D229" s="250"/>
      <c r="E229" s="250"/>
      <c r="F229" s="250"/>
      <c r="G229" s="250"/>
      <c r="H229" s="37"/>
      <c r="I229" s="249"/>
    </row>
    <row r="230" spans="1:9" ht="16.5" customHeight="1">
      <c r="A230" s="247"/>
      <c r="B230" s="38" t="s">
        <v>59</v>
      </c>
      <c r="C230" s="39" t="e">
        <f>Total!#REF!</f>
        <v>#REF!</v>
      </c>
      <c r="D230" s="39" t="e">
        <f>Total!#REF!</f>
        <v>#REF!</v>
      </c>
      <c r="E230" s="40"/>
      <c r="F230" s="41" t="s">
        <v>60</v>
      </c>
      <c r="G230" s="39" t="e">
        <f>Total!#REF!</f>
        <v>#REF!</v>
      </c>
      <c r="H230" s="39"/>
      <c r="I230" s="249"/>
    </row>
    <row r="231" spans="1:9" ht="17.25" thickBot="1">
      <c r="A231" s="247"/>
      <c r="B231" s="42"/>
      <c r="C231" s="42"/>
      <c r="D231" s="42"/>
      <c r="E231" s="43"/>
      <c r="F231" s="44"/>
      <c r="G231" s="45"/>
      <c r="H231" s="45"/>
      <c r="I231" s="249"/>
    </row>
    <row r="232" spans="1:9" ht="17.25" thickBot="1">
      <c r="A232" s="247"/>
      <c r="B232" s="253" t="s">
        <v>61</v>
      </c>
      <c r="C232" s="254"/>
      <c r="D232" s="48"/>
      <c r="E232" s="47" t="s">
        <v>62</v>
      </c>
      <c r="F232" s="49"/>
      <c r="G232" s="45"/>
      <c r="H232" s="45"/>
      <c r="I232" s="249"/>
    </row>
    <row r="233" spans="1:9" ht="17.25" thickTop="1">
      <c r="A233" s="247"/>
      <c r="B233" s="50" t="s">
        <v>31</v>
      </c>
      <c r="C233" s="51"/>
      <c r="D233" s="52"/>
      <c r="E233" s="53" t="s">
        <v>32</v>
      </c>
      <c r="F233" s="54"/>
      <c r="G233" s="45"/>
      <c r="H233" s="45"/>
      <c r="I233" s="249"/>
    </row>
    <row r="234" spans="1:9">
      <c r="A234" s="247"/>
      <c r="B234" s="55" t="s">
        <v>33</v>
      </c>
      <c r="C234" s="56"/>
      <c r="D234" s="57"/>
      <c r="E234" s="58" t="e">
        <f>Total!#REF!</f>
        <v>#REF!</v>
      </c>
      <c r="F234" s="59"/>
      <c r="G234" s="45"/>
      <c r="H234" s="45"/>
      <c r="I234" s="249"/>
    </row>
    <row r="235" spans="1:9" ht="16.5" customHeight="1">
      <c r="A235" s="247"/>
      <c r="B235" s="55" t="s">
        <v>63</v>
      </c>
      <c r="C235" s="60"/>
      <c r="D235" s="57"/>
      <c r="E235" s="109" t="e">
        <f>Total!#REF!</f>
        <v>#REF!</v>
      </c>
      <c r="F235" s="59"/>
      <c r="G235" s="45"/>
      <c r="H235" s="45"/>
      <c r="I235" s="249"/>
    </row>
    <row r="236" spans="1:9" ht="16.5" customHeight="1">
      <c r="A236" s="247"/>
      <c r="B236" s="55" t="s">
        <v>35</v>
      </c>
      <c r="C236" s="60"/>
      <c r="D236" s="57"/>
      <c r="E236" s="58" t="e">
        <f>Total!#REF!</f>
        <v>#REF!</v>
      </c>
      <c r="F236" s="59"/>
      <c r="G236" s="44"/>
      <c r="H236" s="44"/>
      <c r="I236" s="249"/>
    </row>
    <row r="237" spans="1:9" ht="16.5" customHeight="1">
      <c r="A237" s="247"/>
      <c r="B237" s="55" t="s">
        <v>36</v>
      </c>
      <c r="C237" s="56"/>
      <c r="D237" s="63"/>
      <c r="E237" s="110" t="e">
        <f>Total!#REF!</f>
        <v>#REF!</v>
      </c>
      <c r="F237" s="64"/>
      <c r="G237" s="44"/>
      <c r="H237" s="44"/>
      <c r="I237" s="249"/>
    </row>
    <row r="238" spans="1:9" ht="16.5" customHeight="1">
      <c r="A238" s="247"/>
      <c r="B238" s="55" t="s">
        <v>37</v>
      </c>
      <c r="C238" s="56"/>
      <c r="D238" s="63"/>
      <c r="E238" s="110" t="e">
        <f>Total!#REF!</f>
        <v>#REF!</v>
      </c>
      <c r="F238" s="64"/>
      <c r="G238" s="44"/>
      <c r="H238" s="44"/>
      <c r="I238" s="249"/>
    </row>
    <row r="239" spans="1:9" ht="17.25" thickBot="1">
      <c r="A239" s="247"/>
      <c r="B239" s="65" t="s">
        <v>38</v>
      </c>
      <c r="C239" s="66"/>
      <c r="D239" s="67"/>
      <c r="E239" s="68" t="e">
        <f>Total!#REF!</f>
        <v>#REF!</v>
      </c>
      <c r="F239" s="69"/>
      <c r="G239" s="70"/>
      <c r="H239" s="70"/>
      <c r="I239" s="249"/>
    </row>
    <row r="240" spans="1:9" ht="17.25" thickBot="1">
      <c r="A240" s="247"/>
      <c r="B240" s="71"/>
      <c r="C240" s="71"/>
      <c r="D240" s="71"/>
      <c r="E240" s="71"/>
      <c r="F240" s="71"/>
      <c r="G240" s="71"/>
      <c r="H240" s="71"/>
      <c r="I240" s="249"/>
    </row>
    <row r="241" spans="1:10" ht="17.25" thickBot="1">
      <c r="A241" s="247"/>
      <c r="B241" s="72"/>
      <c r="C241" s="73" t="s">
        <v>64</v>
      </c>
      <c r="D241" s="74"/>
      <c r="E241" s="74"/>
      <c r="F241" s="252" t="s">
        <v>65</v>
      </c>
      <c r="G241" s="252"/>
      <c r="H241" s="76"/>
      <c r="I241" s="249"/>
    </row>
    <row r="242" spans="1:10" ht="17.25" thickTop="1">
      <c r="A242" s="247"/>
      <c r="B242" s="77"/>
      <c r="C242" s="50" t="s">
        <v>41</v>
      </c>
      <c r="D242" s="78"/>
      <c r="E242" s="78"/>
      <c r="F242" s="79"/>
      <c r="G242" s="111" t="e">
        <f>Total!#REF!</f>
        <v>#REF!</v>
      </c>
      <c r="H242" s="81"/>
      <c r="I242" s="249"/>
    </row>
    <row r="243" spans="1:10" ht="16.5" customHeight="1">
      <c r="A243" s="247"/>
      <c r="B243" s="77"/>
      <c r="C243" s="55" t="s">
        <v>66</v>
      </c>
      <c r="D243" s="82"/>
      <c r="E243" s="82"/>
      <c r="F243" s="83"/>
      <c r="G243" s="112" t="e">
        <f>Total!#REF!</f>
        <v>#REF!</v>
      </c>
      <c r="H243" s="85"/>
      <c r="I243" s="249"/>
    </row>
    <row r="244" spans="1:10" ht="16.5" customHeight="1">
      <c r="A244" s="247"/>
      <c r="B244" s="77"/>
      <c r="C244" s="55" t="s">
        <v>43</v>
      </c>
      <c r="D244" s="86"/>
      <c r="E244" s="86"/>
      <c r="F244" s="83"/>
      <c r="G244" s="112" t="e">
        <f>Total!#REF!</f>
        <v>#REF!</v>
      </c>
      <c r="H244" s="85"/>
      <c r="I244" s="249"/>
    </row>
    <row r="245" spans="1:10" ht="16.5" customHeight="1">
      <c r="A245" s="247"/>
      <c r="B245" s="77"/>
      <c r="C245" s="55" t="s">
        <v>67</v>
      </c>
      <c r="D245" s="87"/>
      <c r="E245" s="87"/>
      <c r="F245" s="83"/>
      <c r="G245" s="112" t="e">
        <f>Total!#REF!</f>
        <v>#REF!</v>
      </c>
      <c r="H245" s="85"/>
      <c r="I245" s="249"/>
    </row>
    <row r="246" spans="1:10" ht="16.5" customHeight="1">
      <c r="A246" s="247"/>
      <c r="B246" s="77"/>
      <c r="C246" s="55" t="s">
        <v>68</v>
      </c>
      <c r="D246" s="87"/>
      <c r="E246" s="87"/>
      <c r="F246" s="83"/>
      <c r="G246" s="112" t="e">
        <f>Total!#REF!</f>
        <v>#REF!</v>
      </c>
      <c r="H246" s="85"/>
      <c r="I246" s="249"/>
    </row>
    <row r="247" spans="1:10" ht="16.5" customHeight="1">
      <c r="A247" s="247"/>
      <c r="B247" s="77"/>
      <c r="C247" s="55" t="s">
        <v>46</v>
      </c>
      <c r="D247" s="82" t="s">
        <v>47</v>
      </c>
      <c r="E247" s="82"/>
      <c r="F247" s="83"/>
      <c r="G247" s="112" t="e">
        <f>Total!#REF!</f>
        <v>#REF!</v>
      </c>
      <c r="H247" s="85"/>
      <c r="I247" s="249"/>
    </row>
    <row r="248" spans="1:10" ht="16.5" customHeight="1">
      <c r="A248" s="247"/>
      <c r="B248" s="77"/>
      <c r="C248" s="55" t="s">
        <v>69</v>
      </c>
      <c r="D248" s="87"/>
      <c r="E248" s="87"/>
      <c r="F248" s="83"/>
      <c r="G248" s="112" t="e">
        <f>Total!#REF!</f>
        <v>#REF!</v>
      </c>
      <c r="H248" s="85"/>
      <c r="I248" s="249"/>
    </row>
    <row r="249" spans="1:10" ht="16.5" customHeight="1">
      <c r="A249" s="247"/>
      <c r="B249" s="77"/>
      <c r="C249" s="55" t="s">
        <v>70</v>
      </c>
      <c r="D249" s="87"/>
      <c r="E249" s="87"/>
      <c r="F249" s="83"/>
      <c r="G249" s="112" t="e">
        <f>Total!#REF!</f>
        <v>#REF!</v>
      </c>
      <c r="H249" s="85"/>
      <c r="I249" s="249"/>
    </row>
    <row r="250" spans="1:10" ht="17.25" thickBot="1">
      <c r="A250" s="247"/>
      <c r="B250" s="77"/>
      <c r="C250" s="88" t="s">
        <v>71</v>
      </c>
      <c r="D250" s="89"/>
      <c r="E250" s="89"/>
      <c r="F250" s="90"/>
      <c r="G250" s="113" t="e">
        <f>Total!#REF!</f>
        <v>#REF!</v>
      </c>
      <c r="H250" s="92"/>
      <c r="I250" s="249"/>
    </row>
    <row r="251" spans="1:10" ht="18" thickTop="1" thickBot="1">
      <c r="A251" s="247"/>
      <c r="B251" s="93"/>
      <c r="C251" s="94"/>
      <c r="D251" s="95"/>
      <c r="E251" s="96" t="s">
        <v>22</v>
      </c>
      <c r="F251" s="251" t="e">
        <f>SUM(G242:G249)-G250</f>
        <v>#REF!</v>
      </c>
      <c r="G251" s="251"/>
      <c r="H251" s="98"/>
      <c r="I251" s="249"/>
      <c r="J251" s="99" t="e">
        <f>Total!#REF!</f>
        <v>#REF!</v>
      </c>
    </row>
    <row r="252" spans="1:10" ht="16.5" customHeight="1">
      <c r="A252" s="247"/>
      <c r="B252" s="42"/>
      <c r="C252" s="42"/>
      <c r="D252" s="42"/>
      <c r="E252" s="42"/>
      <c r="F252" s="239"/>
      <c r="G252" s="240"/>
      <c r="H252" s="45"/>
      <c r="I252" s="249"/>
    </row>
    <row r="253" spans="1:10">
      <c r="A253" s="247"/>
      <c r="B253" s="100" t="s">
        <v>51</v>
      </c>
      <c r="C253" s="42"/>
      <c r="D253" s="42"/>
      <c r="E253" s="42"/>
      <c r="F253" s="240"/>
      <c r="G253" s="240"/>
      <c r="H253" s="45"/>
      <c r="I253" s="249"/>
    </row>
    <row r="254" spans="1:10" ht="16.5" customHeight="1">
      <c r="A254" s="247"/>
      <c r="B254" s="100" t="s">
        <v>52</v>
      </c>
      <c r="C254" s="42"/>
      <c r="D254" s="241"/>
      <c r="E254" s="241"/>
      <c r="F254" s="240"/>
      <c r="G254" s="240"/>
      <c r="H254" s="45"/>
      <c r="I254" s="249"/>
    </row>
    <row r="255" spans="1:10" ht="16.5" customHeight="1">
      <c r="A255" s="247"/>
      <c r="B255" s="100" t="s">
        <v>53</v>
      </c>
      <c r="C255" s="42"/>
      <c r="D255" s="42"/>
      <c r="E255" s="42"/>
      <c r="F255" s="42"/>
      <c r="G255" s="42"/>
      <c r="H255" s="45"/>
      <c r="I255" s="249"/>
    </row>
    <row r="256" spans="1:10" ht="16.5" customHeight="1">
      <c r="A256" s="247"/>
      <c r="B256" s="101"/>
      <c r="C256" s="43"/>
      <c r="D256" s="102"/>
      <c r="E256" s="242" t="s">
        <v>72</v>
      </c>
      <c r="F256" s="242"/>
      <c r="G256" s="104"/>
      <c r="H256" s="105"/>
      <c r="I256" s="249"/>
    </row>
    <row r="257" spans="1:9" ht="16.5" customHeight="1">
      <c r="A257" s="247"/>
      <c r="B257" s="43"/>
      <c r="C257" s="43"/>
      <c r="D257" s="106"/>
      <c r="E257" s="106"/>
      <c r="F257" s="43"/>
      <c r="G257" s="43"/>
      <c r="H257" s="43"/>
      <c r="I257" s="249"/>
    </row>
    <row r="258" spans="1:9" ht="16.5" customHeight="1">
      <c r="A258" s="247"/>
      <c r="B258" s="43"/>
      <c r="C258" s="43"/>
      <c r="D258" s="106"/>
      <c r="E258" s="102"/>
      <c r="F258" s="103" t="s">
        <v>73</v>
      </c>
      <c r="G258" s="107"/>
      <c r="H258" s="108"/>
      <c r="I258" s="249"/>
    </row>
    <row r="259" spans="1:9" ht="16.5" customHeight="1"/>
    <row r="260" spans="1:9">
      <c r="A260" s="243"/>
      <c r="B260" s="243"/>
      <c r="C260" s="243"/>
      <c r="D260" s="243"/>
      <c r="E260" s="243"/>
      <c r="F260" s="243"/>
      <c r="G260" s="243"/>
      <c r="H260" s="243"/>
      <c r="I260" s="243"/>
    </row>
    <row r="261" spans="1:9" ht="27.75">
      <c r="A261" s="244" t="s">
        <v>56</v>
      </c>
      <c r="B261" s="244"/>
      <c r="C261" s="244"/>
      <c r="D261" s="244"/>
      <c r="E261" s="244"/>
      <c r="F261" s="244"/>
      <c r="G261" s="244"/>
      <c r="H261" s="244"/>
      <c r="I261" s="244"/>
    </row>
    <row r="262" spans="1:9" ht="27.75">
      <c r="A262" s="244" t="s">
        <v>57</v>
      </c>
      <c r="B262" s="244"/>
      <c r="C262" s="244"/>
      <c r="D262" s="244"/>
      <c r="E262" s="244"/>
      <c r="F262" s="244"/>
      <c r="G262" s="244"/>
      <c r="H262" s="244"/>
      <c r="I262" s="244"/>
    </row>
    <row r="263" spans="1:9">
      <c r="A263" s="245" t="s">
        <v>58</v>
      </c>
      <c r="B263" s="245"/>
      <c r="C263" s="245"/>
      <c r="D263" s="245"/>
      <c r="E263" s="245"/>
      <c r="F263" s="245"/>
      <c r="G263" s="245"/>
      <c r="H263" s="245"/>
      <c r="I263" s="245"/>
    </row>
    <row r="264" spans="1:9">
      <c r="A264" s="246"/>
      <c r="B264" s="246"/>
      <c r="C264" s="246"/>
      <c r="D264" s="246"/>
      <c r="E264" s="246"/>
      <c r="F264" s="246"/>
      <c r="G264" s="246"/>
      <c r="H264" s="246"/>
      <c r="I264" s="246"/>
    </row>
    <row r="265" spans="1:9" ht="21" thickBot="1">
      <c r="A265" s="247"/>
      <c r="B265" s="248" t="str">
        <f>Total!$A$2</f>
        <v>2026 June Ecovasc Promoter Salary Summary</v>
      </c>
      <c r="C265" s="248"/>
      <c r="D265" s="248"/>
      <c r="E265" s="248"/>
      <c r="F265" s="248"/>
      <c r="G265" s="248"/>
      <c r="H265" s="248"/>
      <c r="I265" s="249"/>
    </row>
    <row r="266" spans="1:9" ht="17.25" thickTop="1">
      <c r="A266" s="247"/>
      <c r="B266" s="250"/>
      <c r="C266" s="250"/>
      <c r="D266" s="250"/>
      <c r="E266" s="250"/>
      <c r="F266" s="250"/>
      <c r="G266" s="250"/>
      <c r="H266" s="37"/>
      <c r="I266" s="249"/>
    </row>
    <row r="267" spans="1:9" ht="16.5" customHeight="1">
      <c r="A267" s="247"/>
      <c r="B267" s="38" t="s">
        <v>59</v>
      </c>
      <c r="C267" s="39" t="e">
        <f>Total!#REF!</f>
        <v>#REF!</v>
      </c>
      <c r="D267" s="39" t="e">
        <f>Total!#REF!</f>
        <v>#REF!</v>
      </c>
      <c r="E267" s="40"/>
      <c r="F267" s="41" t="s">
        <v>60</v>
      </c>
      <c r="G267" s="39" t="e">
        <f>Total!#REF!</f>
        <v>#REF!</v>
      </c>
      <c r="H267" s="39"/>
      <c r="I267" s="249"/>
    </row>
    <row r="268" spans="1:9" ht="17.25" thickBot="1">
      <c r="A268" s="247"/>
      <c r="B268" s="42"/>
      <c r="C268" s="42"/>
      <c r="D268" s="42"/>
      <c r="E268" s="43"/>
      <c r="F268" s="44"/>
      <c r="G268" s="45"/>
      <c r="H268" s="45"/>
      <c r="I268" s="249"/>
    </row>
    <row r="269" spans="1:9" ht="17.25" thickBot="1">
      <c r="A269" s="247"/>
      <c r="B269" s="253" t="s">
        <v>61</v>
      </c>
      <c r="C269" s="254"/>
      <c r="D269" s="48"/>
      <c r="E269" s="47" t="s">
        <v>62</v>
      </c>
      <c r="F269" s="49"/>
      <c r="G269" s="45"/>
      <c r="H269" s="45"/>
      <c r="I269" s="249"/>
    </row>
    <row r="270" spans="1:9" ht="17.25" thickTop="1">
      <c r="A270" s="247"/>
      <c r="B270" s="50" t="s">
        <v>31</v>
      </c>
      <c r="C270" s="51"/>
      <c r="D270" s="52"/>
      <c r="E270" s="53" t="s">
        <v>32</v>
      </c>
      <c r="F270" s="54"/>
      <c r="G270" s="45"/>
      <c r="H270" s="45"/>
      <c r="I270" s="249"/>
    </row>
    <row r="271" spans="1:9">
      <c r="A271" s="247"/>
      <c r="B271" s="55" t="s">
        <v>33</v>
      </c>
      <c r="C271" s="56"/>
      <c r="D271" s="57"/>
      <c r="E271" s="58" t="e">
        <f>Total!#REF!</f>
        <v>#REF!</v>
      </c>
      <c r="F271" s="59"/>
      <c r="G271" s="45"/>
      <c r="H271" s="45"/>
      <c r="I271" s="249"/>
    </row>
    <row r="272" spans="1:9" ht="16.5" customHeight="1">
      <c r="A272" s="247"/>
      <c r="B272" s="55" t="s">
        <v>63</v>
      </c>
      <c r="C272" s="60"/>
      <c r="D272" s="57"/>
      <c r="E272" s="114" t="e">
        <f>Total!#REF!</f>
        <v>#REF!</v>
      </c>
      <c r="F272" s="59"/>
      <c r="G272" s="45"/>
      <c r="H272" s="45"/>
      <c r="I272" s="249"/>
    </row>
    <row r="273" spans="1:10" ht="16.5" customHeight="1">
      <c r="A273" s="247"/>
      <c r="B273" s="55" t="s">
        <v>35</v>
      </c>
      <c r="C273" s="60"/>
      <c r="D273" s="57"/>
      <c r="E273" s="58" t="e">
        <f>Total!#REF!</f>
        <v>#REF!</v>
      </c>
      <c r="F273" s="59"/>
      <c r="G273" s="44"/>
      <c r="H273" s="44"/>
      <c r="I273" s="249"/>
    </row>
    <row r="274" spans="1:10" ht="16.5" customHeight="1">
      <c r="A274" s="247"/>
      <c r="B274" s="55" t="s">
        <v>36</v>
      </c>
      <c r="C274" s="56"/>
      <c r="D274" s="63"/>
      <c r="E274" s="110" t="e">
        <f>Total!#REF!</f>
        <v>#REF!</v>
      </c>
      <c r="F274" s="64"/>
      <c r="G274" s="44"/>
      <c r="H274" s="44"/>
      <c r="I274" s="249"/>
    </row>
    <row r="275" spans="1:10" ht="16.5" customHeight="1">
      <c r="A275" s="247"/>
      <c r="B275" s="55" t="s">
        <v>37</v>
      </c>
      <c r="C275" s="56"/>
      <c r="D275" s="63"/>
      <c r="E275" s="110" t="e">
        <f>Total!#REF!</f>
        <v>#REF!</v>
      </c>
      <c r="F275" s="64"/>
      <c r="G275" s="44"/>
      <c r="H275" s="44"/>
      <c r="I275" s="249"/>
    </row>
    <row r="276" spans="1:10" ht="17.25" thickBot="1">
      <c r="A276" s="247"/>
      <c r="B276" s="65" t="s">
        <v>38</v>
      </c>
      <c r="C276" s="66"/>
      <c r="D276" s="67"/>
      <c r="E276" s="68" t="e">
        <f>Total!#REF!</f>
        <v>#REF!</v>
      </c>
      <c r="F276" s="69"/>
      <c r="G276" s="70"/>
      <c r="H276" s="70"/>
      <c r="I276" s="249"/>
    </row>
    <row r="277" spans="1:10" ht="17.25" thickBot="1">
      <c r="A277" s="247"/>
      <c r="B277" s="71"/>
      <c r="C277" s="71"/>
      <c r="D277" s="71"/>
      <c r="E277" s="71"/>
      <c r="F277" s="71"/>
      <c r="G277" s="71"/>
      <c r="H277" s="71"/>
      <c r="I277" s="249"/>
    </row>
    <row r="278" spans="1:10" ht="17.25" thickBot="1">
      <c r="A278" s="247"/>
      <c r="B278" s="72"/>
      <c r="C278" s="73" t="s">
        <v>64</v>
      </c>
      <c r="D278" s="74"/>
      <c r="E278" s="74"/>
      <c r="F278" s="252" t="s">
        <v>65</v>
      </c>
      <c r="G278" s="252"/>
      <c r="H278" s="76"/>
      <c r="I278" s="249"/>
    </row>
    <row r="279" spans="1:10" ht="17.25" thickTop="1">
      <c r="A279" s="247"/>
      <c r="B279" s="77"/>
      <c r="C279" s="50" t="s">
        <v>41</v>
      </c>
      <c r="D279" s="78"/>
      <c r="E279" s="78"/>
      <c r="F279" s="79"/>
      <c r="G279" s="111" t="e">
        <f>Total!#REF!</f>
        <v>#REF!</v>
      </c>
      <c r="H279" s="81"/>
      <c r="I279" s="249"/>
    </row>
    <row r="280" spans="1:10" ht="16.5" customHeight="1">
      <c r="A280" s="247"/>
      <c r="B280" s="77"/>
      <c r="C280" s="55" t="s">
        <v>66</v>
      </c>
      <c r="D280" s="82"/>
      <c r="E280" s="82"/>
      <c r="F280" s="83"/>
      <c r="G280" s="112" t="e">
        <f>Total!#REF!</f>
        <v>#REF!</v>
      </c>
      <c r="H280" s="85"/>
      <c r="I280" s="249"/>
    </row>
    <row r="281" spans="1:10" ht="16.5" customHeight="1">
      <c r="A281" s="247"/>
      <c r="B281" s="77"/>
      <c r="C281" s="55" t="s">
        <v>43</v>
      </c>
      <c r="D281" s="86"/>
      <c r="E281" s="86"/>
      <c r="F281" s="83"/>
      <c r="G281" s="112" t="e">
        <f>Total!#REF!</f>
        <v>#REF!</v>
      </c>
      <c r="H281" s="85"/>
      <c r="I281" s="249"/>
    </row>
    <row r="282" spans="1:10" ht="16.5" customHeight="1">
      <c r="A282" s="247"/>
      <c r="B282" s="77"/>
      <c r="C282" s="55" t="s">
        <v>67</v>
      </c>
      <c r="D282" s="87"/>
      <c r="E282" s="87"/>
      <c r="F282" s="83"/>
      <c r="G282" s="112" t="e">
        <f>Total!#REF!</f>
        <v>#REF!</v>
      </c>
      <c r="H282" s="85"/>
      <c r="I282" s="249"/>
    </row>
    <row r="283" spans="1:10" ht="16.5" customHeight="1">
      <c r="A283" s="247"/>
      <c r="B283" s="77"/>
      <c r="C283" s="55" t="s">
        <v>68</v>
      </c>
      <c r="D283" s="87"/>
      <c r="E283" s="87"/>
      <c r="F283" s="83"/>
      <c r="G283" s="112" t="e">
        <f>Total!#REF!</f>
        <v>#REF!</v>
      </c>
      <c r="H283" s="85"/>
      <c r="I283" s="249"/>
    </row>
    <row r="284" spans="1:10" ht="16.5" customHeight="1">
      <c r="A284" s="247"/>
      <c r="B284" s="77"/>
      <c r="C284" s="55" t="s">
        <v>46</v>
      </c>
      <c r="D284" s="82" t="s">
        <v>47</v>
      </c>
      <c r="E284" s="82"/>
      <c r="F284" s="83"/>
      <c r="G284" s="112" t="e">
        <f>Total!#REF!</f>
        <v>#REF!</v>
      </c>
      <c r="H284" s="85"/>
      <c r="I284" s="249"/>
    </row>
    <row r="285" spans="1:10" ht="16.5" customHeight="1">
      <c r="A285" s="247"/>
      <c r="B285" s="77"/>
      <c r="C285" s="55" t="s">
        <v>69</v>
      </c>
      <c r="D285" s="87"/>
      <c r="E285" s="87"/>
      <c r="F285" s="83"/>
      <c r="G285" s="112" t="e">
        <f>Total!#REF!</f>
        <v>#REF!</v>
      </c>
      <c r="H285" s="85"/>
      <c r="I285" s="249"/>
    </row>
    <row r="286" spans="1:10" ht="16.5" customHeight="1">
      <c r="A286" s="247"/>
      <c r="B286" s="77"/>
      <c r="C286" s="55" t="s">
        <v>70</v>
      </c>
      <c r="D286" s="87"/>
      <c r="E286" s="87"/>
      <c r="F286" s="83"/>
      <c r="G286" s="112" t="e">
        <f>Total!#REF!</f>
        <v>#REF!</v>
      </c>
      <c r="H286" s="85"/>
      <c r="I286" s="249"/>
    </row>
    <row r="287" spans="1:10" ht="17.25" thickBot="1">
      <c r="A287" s="247"/>
      <c r="B287" s="77"/>
      <c r="C287" s="88" t="s">
        <v>71</v>
      </c>
      <c r="D287" s="89"/>
      <c r="E287" s="89"/>
      <c r="F287" s="90"/>
      <c r="G287" s="113" t="e">
        <f>Total!#REF!</f>
        <v>#REF!</v>
      </c>
      <c r="H287" s="92"/>
      <c r="I287" s="249"/>
    </row>
    <row r="288" spans="1:10" ht="18" thickTop="1" thickBot="1">
      <c r="A288" s="247"/>
      <c r="B288" s="93"/>
      <c r="C288" s="94"/>
      <c r="D288" s="95"/>
      <c r="E288" s="96" t="s">
        <v>22</v>
      </c>
      <c r="F288" s="251" t="e">
        <f>SUM(G279:G286)-G287</f>
        <v>#REF!</v>
      </c>
      <c r="G288" s="251"/>
      <c r="H288" s="98"/>
      <c r="I288" s="249"/>
      <c r="J288" s="99" t="e">
        <f>Total!#REF!</f>
        <v>#REF!</v>
      </c>
    </row>
    <row r="289" spans="1:9" ht="16.5" customHeight="1">
      <c r="A289" s="247"/>
      <c r="B289" s="42"/>
      <c r="C289" s="42"/>
      <c r="D289" s="42"/>
      <c r="E289" s="42"/>
      <c r="F289" s="239"/>
      <c r="G289" s="240"/>
      <c r="H289" s="45"/>
      <c r="I289" s="249"/>
    </row>
    <row r="290" spans="1:9">
      <c r="A290" s="247"/>
      <c r="B290" s="100" t="s">
        <v>51</v>
      </c>
      <c r="C290" s="42"/>
      <c r="D290" s="42"/>
      <c r="E290" s="42"/>
      <c r="F290" s="240"/>
      <c r="G290" s="240"/>
      <c r="H290" s="45"/>
      <c r="I290" s="249"/>
    </row>
    <row r="291" spans="1:9" ht="16.5" customHeight="1">
      <c r="A291" s="247"/>
      <c r="B291" s="100" t="s">
        <v>52</v>
      </c>
      <c r="C291" s="42"/>
      <c r="D291" s="241"/>
      <c r="E291" s="241"/>
      <c r="F291" s="240"/>
      <c r="G291" s="240"/>
      <c r="H291" s="45"/>
      <c r="I291" s="249"/>
    </row>
    <row r="292" spans="1:9" ht="16.5" customHeight="1">
      <c r="A292" s="247"/>
      <c r="B292" s="100" t="s">
        <v>53</v>
      </c>
      <c r="C292" s="42"/>
      <c r="D292" s="42"/>
      <c r="E292" s="42"/>
      <c r="F292" s="42"/>
      <c r="G292" s="42"/>
      <c r="H292" s="45"/>
      <c r="I292" s="249"/>
    </row>
    <row r="293" spans="1:9" ht="16.5" customHeight="1">
      <c r="A293" s="247"/>
      <c r="B293" s="101"/>
      <c r="C293" s="43"/>
      <c r="D293" s="102"/>
      <c r="E293" s="242" t="s">
        <v>72</v>
      </c>
      <c r="F293" s="242"/>
      <c r="G293" s="104"/>
      <c r="H293" s="105"/>
      <c r="I293" s="249"/>
    </row>
    <row r="294" spans="1:9" ht="16.5" customHeight="1">
      <c r="A294" s="247"/>
      <c r="B294" s="43"/>
      <c r="C294" s="43"/>
      <c r="D294" s="106"/>
      <c r="E294" s="106"/>
      <c r="F294" s="43"/>
      <c r="G294" s="43"/>
      <c r="H294" s="43"/>
      <c r="I294" s="249"/>
    </row>
    <row r="295" spans="1:9" ht="16.5" customHeight="1">
      <c r="A295" s="247"/>
      <c r="B295" s="43"/>
      <c r="C295" s="43"/>
      <c r="D295" s="106"/>
      <c r="E295" s="102"/>
      <c r="F295" s="103" t="s">
        <v>73</v>
      </c>
      <c r="G295" s="107"/>
      <c r="H295" s="108"/>
      <c r="I295" s="249"/>
    </row>
    <row r="296" spans="1:9" ht="16.5" customHeight="1"/>
    <row r="297" spans="1:9">
      <c r="A297" s="243"/>
      <c r="B297" s="243"/>
      <c r="C297" s="243"/>
      <c r="D297" s="243"/>
      <c r="E297" s="243"/>
      <c r="F297" s="243"/>
      <c r="G297" s="243"/>
      <c r="H297" s="243"/>
      <c r="I297" s="243"/>
    </row>
    <row r="298" spans="1:9" ht="27.75">
      <c r="A298" s="244" t="s">
        <v>56</v>
      </c>
      <c r="B298" s="244"/>
      <c r="C298" s="244"/>
      <c r="D298" s="244"/>
      <c r="E298" s="244"/>
      <c r="F298" s="244"/>
      <c r="G298" s="244"/>
      <c r="H298" s="244"/>
      <c r="I298" s="244"/>
    </row>
    <row r="299" spans="1:9" ht="27.75">
      <c r="A299" s="244" t="s">
        <v>57</v>
      </c>
      <c r="B299" s="244"/>
      <c r="C299" s="244"/>
      <c r="D299" s="244"/>
      <c r="E299" s="244"/>
      <c r="F299" s="244"/>
      <c r="G299" s="244"/>
      <c r="H299" s="244"/>
      <c r="I299" s="244"/>
    </row>
    <row r="300" spans="1:9">
      <c r="A300" s="245" t="s">
        <v>58</v>
      </c>
      <c r="B300" s="245"/>
      <c r="C300" s="245"/>
      <c r="D300" s="245"/>
      <c r="E300" s="245"/>
      <c r="F300" s="245"/>
      <c r="G300" s="245"/>
      <c r="H300" s="245"/>
      <c r="I300" s="245"/>
    </row>
    <row r="301" spans="1:9">
      <c r="A301" s="246"/>
      <c r="B301" s="246"/>
      <c r="C301" s="246"/>
      <c r="D301" s="246"/>
      <c r="E301" s="246"/>
      <c r="F301" s="246"/>
      <c r="G301" s="246"/>
      <c r="H301" s="246"/>
      <c r="I301" s="246"/>
    </row>
    <row r="302" spans="1:9" ht="21" thickBot="1">
      <c r="A302" s="247"/>
      <c r="B302" s="248" t="str">
        <f>Total!$A$2</f>
        <v>2026 June Ecovasc Promoter Salary Summary</v>
      </c>
      <c r="C302" s="248"/>
      <c r="D302" s="248"/>
      <c r="E302" s="248"/>
      <c r="F302" s="248"/>
      <c r="G302" s="248"/>
      <c r="H302" s="248"/>
      <c r="I302" s="249"/>
    </row>
    <row r="303" spans="1:9" ht="17.25" customHeight="1" thickTop="1">
      <c r="A303" s="247"/>
      <c r="B303" s="250"/>
      <c r="C303" s="250"/>
      <c r="D303" s="250"/>
      <c r="E303" s="250"/>
      <c r="F303" s="250"/>
      <c r="G303" s="250"/>
      <c r="H303" s="37"/>
      <c r="I303" s="249"/>
    </row>
    <row r="304" spans="1:9" ht="16.5" customHeight="1">
      <c r="A304" s="247"/>
      <c r="B304" s="38" t="s">
        <v>59</v>
      </c>
      <c r="C304" s="39" t="e">
        <f>Total!#REF!</f>
        <v>#REF!</v>
      </c>
      <c r="D304" s="39" t="e">
        <f>Total!#REF!</f>
        <v>#REF!</v>
      </c>
      <c r="E304" s="40"/>
      <c r="F304" s="41" t="s">
        <v>60</v>
      </c>
      <c r="G304" s="39" t="e">
        <f>Total!#REF!</f>
        <v>#REF!</v>
      </c>
      <c r="H304" s="39"/>
      <c r="I304" s="249"/>
    </row>
    <row r="305" spans="1:9" ht="17.25" customHeight="1" thickBot="1">
      <c r="A305" s="247"/>
      <c r="B305" s="42"/>
      <c r="C305" s="42"/>
      <c r="D305" s="42"/>
      <c r="E305" s="43"/>
      <c r="F305" s="44"/>
      <c r="G305" s="45"/>
      <c r="H305" s="45"/>
      <c r="I305" s="249"/>
    </row>
    <row r="306" spans="1:9" ht="17.25" thickBot="1">
      <c r="A306" s="247"/>
      <c r="B306" s="253" t="s">
        <v>61</v>
      </c>
      <c r="C306" s="254"/>
      <c r="D306" s="48"/>
      <c r="E306" s="47" t="s">
        <v>62</v>
      </c>
      <c r="F306" s="49"/>
      <c r="G306" s="45"/>
      <c r="H306" s="45"/>
      <c r="I306" s="249"/>
    </row>
    <row r="307" spans="1:9" ht="17.25" thickTop="1">
      <c r="A307" s="247"/>
      <c r="B307" s="50" t="s">
        <v>31</v>
      </c>
      <c r="C307" s="51"/>
      <c r="D307" s="52"/>
      <c r="E307" s="53" t="s">
        <v>32</v>
      </c>
      <c r="F307" s="54"/>
      <c r="G307" s="45"/>
      <c r="H307" s="45"/>
      <c r="I307" s="249"/>
    </row>
    <row r="308" spans="1:9">
      <c r="A308" s="247"/>
      <c r="B308" s="55" t="s">
        <v>33</v>
      </c>
      <c r="C308" s="56"/>
      <c r="D308" s="57"/>
      <c r="E308" s="58" t="e">
        <f>Total!#REF!</f>
        <v>#REF!</v>
      </c>
      <c r="F308" s="59"/>
      <c r="G308" s="45"/>
      <c r="H308" s="45"/>
      <c r="I308" s="249"/>
    </row>
    <row r="309" spans="1:9" ht="16.5" customHeight="1">
      <c r="A309" s="247"/>
      <c r="B309" s="55" t="s">
        <v>63</v>
      </c>
      <c r="C309" s="60"/>
      <c r="D309" s="57"/>
      <c r="E309" s="114" t="str">
        <f>Total!G17</f>
        <v>4,5,6,7,9,11,12,13,15,16,18,19,20,22,23,24,27,29,30/June</v>
      </c>
      <c r="F309" s="59"/>
      <c r="G309" s="45"/>
      <c r="H309" s="45"/>
      <c r="I309" s="249"/>
    </row>
    <row r="310" spans="1:9" ht="16.5" customHeight="1">
      <c r="A310" s="247"/>
      <c r="B310" s="55" t="s">
        <v>35</v>
      </c>
      <c r="C310" s="60"/>
      <c r="D310" s="57"/>
      <c r="E310" s="58" t="e">
        <f>Total!#REF!</f>
        <v>#REF!</v>
      </c>
      <c r="F310" s="59"/>
      <c r="G310" s="44"/>
      <c r="H310" s="44"/>
      <c r="I310" s="249"/>
    </row>
    <row r="311" spans="1:9" ht="16.5" customHeight="1">
      <c r="A311" s="247"/>
      <c r="B311" s="55" t="s">
        <v>36</v>
      </c>
      <c r="C311" s="56"/>
      <c r="D311" s="63"/>
      <c r="E311" s="110" t="e">
        <f>Total!#REF!</f>
        <v>#REF!</v>
      </c>
      <c r="F311" s="64"/>
      <c r="G311" s="44"/>
      <c r="H311" s="44"/>
      <c r="I311" s="249"/>
    </row>
    <row r="312" spans="1:9" ht="16.5" customHeight="1">
      <c r="A312" s="247"/>
      <c r="B312" s="55" t="s">
        <v>37</v>
      </c>
      <c r="C312" s="56"/>
      <c r="D312" s="63"/>
      <c r="E312" s="110" t="e">
        <f>Total!#REF!</f>
        <v>#REF!</v>
      </c>
      <c r="F312" s="64"/>
      <c r="G312" s="44"/>
      <c r="H312" s="44"/>
      <c r="I312" s="249"/>
    </row>
    <row r="313" spans="1:9" ht="17.25" thickBot="1">
      <c r="A313" s="247"/>
      <c r="B313" s="65" t="s">
        <v>38</v>
      </c>
      <c r="C313" s="66"/>
      <c r="D313" s="67"/>
      <c r="E313" s="68" t="e">
        <f>Total!#REF!</f>
        <v>#REF!</v>
      </c>
      <c r="F313" s="69"/>
      <c r="G313" s="70"/>
      <c r="H313" s="70"/>
      <c r="I313" s="249"/>
    </row>
    <row r="314" spans="1:9" ht="17.25" thickBot="1">
      <c r="A314" s="247"/>
      <c r="B314" s="71"/>
      <c r="C314" s="71"/>
      <c r="D314" s="71"/>
      <c r="E314" s="71"/>
      <c r="F314" s="71"/>
      <c r="G314" s="71"/>
      <c r="H314" s="71"/>
      <c r="I314" s="249"/>
    </row>
    <row r="315" spans="1:9" ht="17.25" thickBot="1">
      <c r="A315" s="247"/>
      <c r="B315" s="72"/>
      <c r="C315" s="73" t="s">
        <v>64</v>
      </c>
      <c r="D315" s="74"/>
      <c r="E315" s="74"/>
      <c r="F315" s="252" t="s">
        <v>65</v>
      </c>
      <c r="G315" s="252"/>
      <c r="H315" s="76"/>
      <c r="I315" s="249"/>
    </row>
    <row r="316" spans="1:9" ht="17.25" thickTop="1">
      <c r="A316" s="247"/>
      <c r="B316" s="77"/>
      <c r="C316" s="50" t="s">
        <v>41</v>
      </c>
      <c r="D316" s="78"/>
      <c r="E316" s="78"/>
      <c r="F316" s="79"/>
      <c r="G316" s="111" t="e">
        <f>Total!#REF!</f>
        <v>#REF!</v>
      </c>
      <c r="H316" s="81"/>
      <c r="I316" s="249"/>
    </row>
    <row r="317" spans="1:9" ht="16.5" customHeight="1">
      <c r="A317" s="247"/>
      <c r="B317" s="77"/>
      <c r="C317" s="55" t="s">
        <v>66</v>
      </c>
      <c r="D317" s="82"/>
      <c r="E317" s="82"/>
      <c r="F317" s="83"/>
      <c r="G317" s="112" t="e">
        <f>Total!#REF!</f>
        <v>#REF!</v>
      </c>
      <c r="H317" s="85"/>
      <c r="I317" s="249"/>
    </row>
    <row r="318" spans="1:9" ht="16.5" customHeight="1">
      <c r="A318" s="247"/>
      <c r="B318" s="77"/>
      <c r="C318" s="55" t="s">
        <v>43</v>
      </c>
      <c r="D318" s="86"/>
      <c r="E318" s="86"/>
      <c r="F318" s="83"/>
      <c r="G318" s="112" t="e">
        <f>Total!#REF!</f>
        <v>#REF!</v>
      </c>
      <c r="H318" s="85"/>
      <c r="I318" s="249"/>
    </row>
    <row r="319" spans="1:9" ht="16.5" customHeight="1">
      <c r="A319" s="247"/>
      <c r="B319" s="77"/>
      <c r="C319" s="55" t="s">
        <v>67</v>
      </c>
      <c r="D319" s="87"/>
      <c r="E319" s="87"/>
      <c r="F319" s="83"/>
      <c r="G319" s="112" t="e">
        <f>Total!#REF!</f>
        <v>#REF!</v>
      </c>
      <c r="H319" s="85"/>
      <c r="I319" s="249"/>
    </row>
    <row r="320" spans="1:9" ht="16.5" customHeight="1">
      <c r="A320" s="247"/>
      <c r="B320" s="77"/>
      <c r="C320" s="55" t="s">
        <v>68</v>
      </c>
      <c r="D320" s="87"/>
      <c r="E320" s="87"/>
      <c r="F320" s="83"/>
      <c r="G320" s="112" t="e">
        <f>Total!#REF!</f>
        <v>#REF!</v>
      </c>
      <c r="H320" s="85"/>
      <c r="I320" s="249"/>
    </row>
    <row r="321" spans="1:10" ht="16.5" customHeight="1">
      <c r="A321" s="247"/>
      <c r="B321" s="77"/>
      <c r="C321" s="55" t="s">
        <v>46</v>
      </c>
      <c r="D321" s="82" t="s">
        <v>47</v>
      </c>
      <c r="E321" s="82"/>
      <c r="F321" s="83"/>
      <c r="G321" s="112" t="e">
        <f>Total!#REF!</f>
        <v>#REF!</v>
      </c>
      <c r="H321" s="85"/>
      <c r="I321" s="249"/>
    </row>
    <row r="322" spans="1:10" ht="16.5" customHeight="1">
      <c r="A322" s="247"/>
      <c r="B322" s="77"/>
      <c r="C322" s="55" t="s">
        <v>69</v>
      </c>
      <c r="D322" s="87"/>
      <c r="E322" s="87"/>
      <c r="F322" s="83"/>
      <c r="G322" s="112" t="e">
        <f>Total!#REF!</f>
        <v>#REF!</v>
      </c>
      <c r="H322" s="85"/>
      <c r="I322" s="249"/>
    </row>
    <row r="323" spans="1:10" ht="16.5" customHeight="1">
      <c r="A323" s="247"/>
      <c r="B323" s="77"/>
      <c r="C323" s="55" t="s">
        <v>70</v>
      </c>
      <c r="D323" s="87"/>
      <c r="E323" s="87"/>
      <c r="F323" s="83"/>
      <c r="G323" s="112" t="e">
        <f>Total!#REF!</f>
        <v>#REF!</v>
      </c>
      <c r="H323" s="85"/>
      <c r="I323" s="249"/>
    </row>
    <row r="324" spans="1:10" ht="17.25" thickBot="1">
      <c r="A324" s="247"/>
      <c r="B324" s="77"/>
      <c r="C324" s="88" t="s">
        <v>71</v>
      </c>
      <c r="D324" s="89"/>
      <c r="E324" s="89"/>
      <c r="F324" s="90"/>
      <c r="G324" s="113" t="e">
        <f>Total!#REF!</f>
        <v>#REF!</v>
      </c>
      <c r="H324" s="92"/>
      <c r="I324" s="249"/>
    </row>
    <row r="325" spans="1:10" ht="18" thickTop="1" thickBot="1">
      <c r="A325" s="247"/>
      <c r="B325" s="93"/>
      <c r="C325" s="94"/>
      <c r="D325" s="95"/>
      <c r="E325" s="96" t="s">
        <v>22</v>
      </c>
      <c r="F325" s="251" t="e">
        <f>SUM(G316:G323)-G324</f>
        <v>#REF!</v>
      </c>
      <c r="G325" s="251"/>
      <c r="H325" s="98"/>
      <c r="I325" s="249"/>
      <c r="J325" s="99" t="e">
        <f>Total!#REF!</f>
        <v>#REF!</v>
      </c>
    </row>
    <row r="326" spans="1:10" ht="16.5" customHeight="1">
      <c r="A326" s="247"/>
      <c r="B326" s="42"/>
      <c r="C326" s="42"/>
      <c r="D326" s="42"/>
      <c r="E326" s="42"/>
      <c r="F326" s="255"/>
      <c r="G326" s="255"/>
      <c r="H326" s="45"/>
      <c r="I326" s="249"/>
    </row>
    <row r="327" spans="1:10" ht="16.5" customHeight="1">
      <c r="A327" s="247"/>
      <c r="B327" s="100" t="s">
        <v>51</v>
      </c>
      <c r="C327" s="42"/>
      <c r="D327" s="42"/>
      <c r="E327" s="42"/>
      <c r="F327" s="239"/>
      <c r="G327" s="239"/>
      <c r="H327" s="45"/>
      <c r="I327" s="249"/>
    </row>
    <row r="328" spans="1:10" ht="16.5" customHeight="1">
      <c r="A328" s="247"/>
      <c r="B328" s="100" t="s">
        <v>52</v>
      </c>
      <c r="C328" s="42"/>
      <c r="D328" s="241"/>
      <c r="E328" s="241"/>
      <c r="F328" s="239"/>
      <c r="G328" s="239"/>
      <c r="H328" s="45"/>
      <c r="I328" s="249"/>
    </row>
    <row r="329" spans="1:10" ht="16.5" customHeight="1">
      <c r="A329" s="247"/>
      <c r="B329" s="100" t="s">
        <v>53</v>
      </c>
      <c r="C329" s="42"/>
      <c r="D329" s="42"/>
      <c r="E329" s="42"/>
      <c r="F329" s="42"/>
      <c r="G329" s="42"/>
      <c r="H329" s="45"/>
      <c r="I329" s="249"/>
    </row>
    <row r="330" spans="1:10" ht="16.5" customHeight="1">
      <c r="A330" s="247"/>
      <c r="B330" s="101"/>
      <c r="C330" s="43"/>
      <c r="D330" s="102"/>
      <c r="E330" s="242" t="s">
        <v>72</v>
      </c>
      <c r="F330" s="242"/>
      <c r="G330" s="104"/>
      <c r="H330" s="105"/>
      <c r="I330" s="249"/>
    </row>
    <row r="331" spans="1:10" ht="16.5" customHeight="1">
      <c r="A331" s="247"/>
      <c r="B331" s="43"/>
      <c r="C331" s="43"/>
      <c r="D331" s="106"/>
      <c r="E331" s="106"/>
      <c r="F331" s="43"/>
      <c r="G331" s="43"/>
      <c r="H331" s="43"/>
      <c r="I331" s="249"/>
    </row>
    <row r="332" spans="1:10" ht="16.5" customHeight="1">
      <c r="A332" s="247"/>
      <c r="B332" s="43"/>
      <c r="C332" s="43"/>
      <c r="D332" s="106"/>
      <c r="E332" s="102"/>
      <c r="F332" s="103" t="s">
        <v>73</v>
      </c>
      <c r="G332" s="107"/>
      <c r="H332" s="108"/>
      <c r="I332" s="249"/>
    </row>
    <row r="333" spans="1:10" ht="16.5" customHeight="1"/>
    <row r="334" spans="1:10">
      <c r="A334" s="32"/>
      <c r="B334" s="32"/>
      <c r="C334" s="32"/>
      <c r="D334" s="32"/>
      <c r="E334" s="32"/>
      <c r="F334" s="32"/>
      <c r="G334" s="32"/>
      <c r="H334" s="32"/>
      <c r="I334" s="32"/>
    </row>
    <row r="335" spans="1:10" ht="27.75">
      <c r="A335" s="244" t="s">
        <v>56</v>
      </c>
      <c r="B335" s="244"/>
      <c r="C335" s="244"/>
      <c r="D335" s="244"/>
      <c r="E335" s="244"/>
      <c r="F335" s="244"/>
      <c r="G335" s="244"/>
      <c r="H335" s="244"/>
      <c r="I335" s="244"/>
    </row>
    <row r="336" spans="1:10" ht="27.75">
      <c r="A336" s="244" t="s">
        <v>57</v>
      </c>
      <c r="B336" s="244"/>
      <c r="C336" s="244"/>
      <c r="D336" s="244"/>
      <c r="E336" s="244"/>
      <c r="F336" s="244"/>
      <c r="G336" s="244"/>
      <c r="H336" s="244"/>
      <c r="I336" s="244"/>
    </row>
    <row r="337" spans="1:9">
      <c r="A337" s="245" t="s">
        <v>58</v>
      </c>
      <c r="B337" s="245"/>
      <c r="C337" s="245"/>
      <c r="D337" s="245"/>
      <c r="E337" s="245"/>
      <c r="F337" s="245"/>
      <c r="G337" s="245"/>
      <c r="H337" s="245"/>
      <c r="I337" s="245"/>
    </row>
    <row r="338" spans="1:9">
      <c r="A338" s="34"/>
      <c r="B338" s="34"/>
      <c r="C338" s="34"/>
      <c r="D338" s="34"/>
      <c r="E338" s="34"/>
      <c r="F338" s="34"/>
      <c r="G338" s="34"/>
      <c r="H338" s="34"/>
      <c r="I338" s="34"/>
    </row>
    <row r="339" spans="1:9" ht="21" thickBot="1">
      <c r="A339" s="248" t="str">
        <f>Total!$A$2</f>
        <v>2026 June Ecovasc Promoter Salary Summary</v>
      </c>
      <c r="B339" s="248"/>
      <c r="C339" s="248"/>
      <c r="D339" s="248"/>
      <c r="E339" s="248"/>
      <c r="F339" s="248"/>
      <c r="G339" s="248"/>
      <c r="H339" s="115"/>
      <c r="I339" s="116"/>
    </row>
    <row r="340" spans="1:9" ht="17.25" customHeight="1" thickTop="1">
      <c r="A340" s="35"/>
      <c r="B340" s="36"/>
      <c r="C340" s="36"/>
      <c r="D340" s="36"/>
      <c r="E340" s="36"/>
      <c r="F340" s="36"/>
      <c r="G340" s="36"/>
      <c r="H340" s="37"/>
      <c r="I340" s="116"/>
    </row>
    <row r="341" spans="1:9" ht="16.5" customHeight="1">
      <c r="A341" s="35"/>
      <c r="B341" s="117" t="s">
        <v>27</v>
      </c>
      <c r="C341" s="118" t="e">
        <f>Total!#REF!</f>
        <v>#REF!</v>
      </c>
      <c r="D341" s="118" t="e">
        <f>Total!#REF!</f>
        <v>#REF!</v>
      </c>
      <c r="E341" s="40"/>
      <c r="F341" s="119" t="s">
        <v>28</v>
      </c>
      <c r="G341" s="118" t="e">
        <f>Total!#REF!</f>
        <v>#REF!</v>
      </c>
      <c r="H341" s="118"/>
      <c r="I341" s="116"/>
    </row>
    <row r="342" spans="1:9" ht="17.25" customHeight="1" thickBot="1">
      <c r="A342" s="35"/>
      <c r="B342" s="120"/>
      <c r="C342" s="120"/>
      <c r="D342" s="120"/>
      <c r="E342" s="43"/>
      <c r="F342" s="121"/>
      <c r="G342" s="122"/>
      <c r="H342" s="122"/>
      <c r="I342" s="116"/>
    </row>
    <row r="343" spans="1:9" ht="17.25" customHeight="1" thickBot="1">
      <c r="A343" s="35"/>
      <c r="B343" s="123" t="s">
        <v>29</v>
      </c>
      <c r="C343" s="124"/>
      <c r="D343" s="125"/>
      <c r="E343" s="124" t="s">
        <v>30</v>
      </c>
      <c r="F343" s="126"/>
      <c r="G343" s="122"/>
      <c r="H343" s="122"/>
      <c r="I343" s="116"/>
    </row>
    <row r="344" spans="1:9" ht="17.25" customHeight="1" thickTop="1">
      <c r="A344" s="35"/>
      <c r="B344" s="50" t="s">
        <v>31</v>
      </c>
      <c r="C344" s="51"/>
      <c r="D344" s="127"/>
      <c r="E344" s="128" t="s">
        <v>32</v>
      </c>
      <c r="F344" s="129"/>
      <c r="G344" s="122"/>
      <c r="H344" s="122"/>
      <c r="I344" s="116"/>
    </row>
    <row r="345" spans="1:9" ht="16.5" customHeight="1">
      <c r="A345" s="35"/>
      <c r="B345" s="55" t="s">
        <v>33</v>
      </c>
      <c r="C345" s="56"/>
      <c r="D345" s="130"/>
      <c r="E345" s="131" t="e">
        <f>Total!#REF!</f>
        <v>#REF!</v>
      </c>
      <c r="F345" s="132"/>
      <c r="G345" s="122"/>
      <c r="H345" s="122"/>
      <c r="I345" s="116"/>
    </row>
    <row r="346" spans="1:9" ht="16.5" customHeight="1">
      <c r="A346" s="35"/>
      <c r="B346" s="55" t="s">
        <v>34</v>
      </c>
      <c r="C346" s="60"/>
      <c r="D346" s="130"/>
      <c r="E346" s="133" t="e">
        <f>Total!#REF!</f>
        <v>#REF!</v>
      </c>
      <c r="F346" s="132"/>
      <c r="G346" s="122"/>
      <c r="H346" s="122"/>
      <c r="I346" s="116"/>
    </row>
    <row r="347" spans="1:9" ht="16.5" customHeight="1">
      <c r="A347" s="35"/>
      <c r="B347" s="55" t="s">
        <v>35</v>
      </c>
      <c r="C347" s="60"/>
      <c r="D347" s="130"/>
      <c r="E347" s="134" t="e">
        <f>Total!#REF!</f>
        <v>#REF!</v>
      </c>
      <c r="F347" s="132"/>
      <c r="G347" s="121"/>
      <c r="H347" s="121"/>
      <c r="I347" s="116"/>
    </row>
    <row r="348" spans="1:9" ht="16.5" customHeight="1">
      <c r="A348" s="35"/>
      <c r="B348" s="55" t="s">
        <v>36</v>
      </c>
      <c r="C348" s="56"/>
      <c r="D348" s="135"/>
      <c r="E348" s="136" t="e">
        <f>Total!#REF!</f>
        <v>#REF!</v>
      </c>
      <c r="F348" s="137"/>
      <c r="G348" s="121"/>
      <c r="H348" s="121"/>
      <c r="I348" s="116"/>
    </row>
    <row r="349" spans="1:9" ht="16.5" customHeight="1">
      <c r="A349" s="35"/>
      <c r="B349" s="55" t="s">
        <v>37</v>
      </c>
      <c r="C349" s="56"/>
      <c r="D349" s="135"/>
      <c r="E349" s="136" t="e">
        <f>Total!#REF!</f>
        <v>#REF!</v>
      </c>
      <c r="F349" s="137"/>
      <c r="G349" s="121"/>
      <c r="H349" s="121"/>
      <c r="I349" s="116"/>
    </row>
    <row r="350" spans="1:9" ht="17.25" customHeight="1" thickBot="1">
      <c r="A350" s="35"/>
      <c r="B350" s="138" t="s">
        <v>38</v>
      </c>
      <c r="C350" s="66"/>
      <c r="D350" s="67"/>
      <c r="E350" s="68" t="e">
        <f>Total!#REF!</f>
        <v>#REF!</v>
      </c>
      <c r="F350" s="69"/>
      <c r="G350" s="139"/>
      <c r="H350" s="139"/>
      <c r="I350" s="116"/>
    </row>
    <row r="351" spans="1:9" ht="17.25" customHeight="1" thickBot="1">
      <c r="A351" s="35"/>
      <c r="B351" s="140"/>
      <c r="C351" s="140"/>
      <c r="D351" s="140"/>
      <c r="E351" s="140"/>
      <c r="F351" s="140"/>
      <c r="G351" s="140"/>
      <c r="H351" s="140"/>
      <c r="I351" s="116"/>
    </row>
    <row r="352" spans="1:9" ht="17.25" customHeight="1" thickBot="1">
      <c r="A352" s="35"/>
      <c r="B352" s="141"/>
      <c r="C352" s="142" t="s">
        <v>39</v>
      </c>
      <c r="D352" s="143"/>
      <c r="E352" s="143"/>
      <c r="F352" s="144" t="s">
        <v>40</v>
      </c>
      <c r="G352" s="144"/>
      <c r="H352" s="145"/>
      <c r="I352" s="116"/>
    </row>
    <row r="353" spans="1:10" ht="17.25" customHeight="1" thickTop="1">
      <c r="A353" s="35"/>
      <c r="B353" s="77"/>
      <c r="C353" s="50" t="s">
        <v>41</v>
      </c>
      <c r="D353" s="78"/>
      <c r="E353" s="78"/>
      <c r="F353" s="79"/>
      <c r="G353" s="111" t="e">
        <f>Total!#REF!</f>
        <v>#REF!</v>
      </c>
      <c r="H353" s="81"/>
      <c r="I353" s="116"/>
    </row>
    <row r="354" spans="1:10" ht="16.5" customHeight="1">
      <c r="A354" s="35"/>
      <c r="B354" s="77"/>
      <c r="C354" s="55" t="s">
        <v>42</v>
      </c>
      <c r="D354" s="82"/>
      <c r="E354" s="82"/>
      <c r="F354" s="83"/>
      <c r="G354" s="112" t="e">
        <f>Total!#REF!</f>
        <v>#REF!</v>
      </c>
      <c r="H354" s="85"/>
      <c r="I354" s="116"/>
    </row>
    <row r="355" spans="1:10" ht="16.5" customHeight="1">
      <c r="A355" s="35"/>
      <c r="B355" s="77"/>
      <c r="C355" s="55" t="s">
        <v>43</v>
      </c>
      <c r="D355" s="146"/>
      <c r="E355" s="146"/>
      <c r="F355" s="83"/>
      <c r="G355" s="112" t="e">
        <f>Total!#REF!</f>
        <v>#REF!</v>
      </c>
      <c r="H355" s="85"/>
      <c r="I355" s="116"/>
    </row>
    <row r="356" spans="1:10" ht="16.5" customHeight="1">
      <c r="A356" s="35"/>
      <c r="B356" s="77"/>
      <c r="C356" s="55" t="s">
        <v>44</v>
      </c>
      <c r="D356" s="147"/>
      <c r="E356" s="147"/>
      <c r="F356" s="83"/>
      <c r="G356" s="112" t="e">
        <f>Total!#REF!</f>
        <v>#REF!</v>
      </c>
      <c r="H356" s="85"/>
      <c r="I356" s="116"/>
    </row>
    <row r="357" spans="1:10" ht="16.5" customHeight="1">
      <c r="A357" s="35"/>
      <c r="B357" s="77"/>
      <c r="C357" s="55" t="s">
        <v>45</v>
      </c>
      <c r="D357" s="147"/>
      <c r="E357" s="147"/>
      <c r="F357" s="83"/>
      <c r="G357" s="112" t="e">
        <f>Total!#REF!</f>
        <v>#REF!</v>
      </c>
      <c r="H357" s="85"/>
      <c r="I357" s="116"/>
    </row>
    <row r="358" spans="1:10" ht="16.5" customHeight="1">
      <c r="A358" s="35"/>
      <c r="B358" s="77"/>
      <c r="C358" s="55" t="s">
        <v>46</v>
      </c>
      <c r="D358" s="82" t="s">
        <v>47</v>
      </c>
      <c r="E358" s="82"/>
      <c r="F358" s="83"/>
      <c r="G358" s="112" t="e">
        <f>Total!#REF!</f>
        <v>#REF!</v>
      </c>
      <c r="H358" s="85"/>
      <c r="I358" s="116"/>
    </row>
    <row r="359" spans="1:10" ht="16.5" customHeight="1">
      <c r="A359" s="35"/>
      <c r="B359" s="77"/>
      <c r="C359" s="55" t="s">
        <v>48</v>
      </c>
      <c r="D359" s="147"/>
      <c r="E359" s="147"/>
      <c r="F359" s="83"/>
      <c r="G359" s="112" t="e">
        <f>Total!#REF!</f>
        <v>#REF!</v>
      </c>
      <c r="H359" s="85"/>
      <c r="I359" s="116"/>
    </row>
    <row r="360" spans="1:10" ht="16.5" customHeight="1">
      <c r="A360" s="35"/>
      <c r="B360" s="77"/>
      <c r="C360" s="55" t="s">
        <v>49</v>
      </c>
      <c r="D360" s="147"/>
      <c r="E360" s="147"/>
      <c r="F360" s="83"/>
      <c r="G360" s="112" t="e">
        <f>Total!#REF!</f>
        <v>#REF!</v>
      </c>
      <c r="H360" s="85"/>
      <c r="I360" s="116"/>
    </row>
    <row r="361" spans="1:10" ht="17.25" customHeight="1" thickBot="1">
      <c r="A361" s="35"/>
      <c r="B361" s="77"/>
      <c r="C361" s="88" t="s">
        <v>50</v>
      </c>
      <c r="D361" s="148"/>
      <c r="E361" s="148"/>
      <c r="F361" s="90"/>
      <c r="G361" s="113" t="e">
        <f>Total!#REF!</f>
        <v>#REF!</v>
      </c>
      <c r="H361" s="92"/>
      <c r="I361" s="116"/>
    </row>
    <row r="362" spans="1:10" ht="18" customHeight="1" thickTop="1" thickBot="1">
      <c r="A362" s="35"/>
      <c r="B362" s="93"/>
      <c r="C362" s="94"/>
      <c r="D362" s="95"/>
      <c r="E362" s="96" t="s">
        <v>1</v>
      </c>
      <c r="F362" s="97" t="e">
        <f>SUM(G353:G360)-G361</f>
        <v>#REF!</v>
      </c>
      <c r="G362" s="97"/>
      <c r="H362" s="98"/>
      <c r="I362" s="116"/>
      <c r="J362" s="99" t="e">
        <f>Total!#REF!</f>
        <v>#REF!</v>
      </c>
    </row>
    <row r="363" spans="1:10" ht="16.5" customHeight="1">
      <c r="A363" s="35"/>
      <c r="B363" s="120"/>
      <c r="C363" s="120"/>
      <c r="D363" s="120"/>
      <c r="E363" s="120"/>
      <c r="F363" s="149"/>
      <c r="G363" s="150"/>
      <c r="H363" s="122"/>
      <c r="I363" s="116"/>
    </row>
    <row r="364" spans="1:10" ht="16.5" customHeight="1">
      <c r="A364" s="35"/>
      <c r="B364" s="100" t="s">
        <v>51</v>
      </c>
      <c r="C364" s="120"/>
      <c r="D364" s="120"/>
      <c r="E364" s="120"/>
      <c r="F364" s="150"/>
      <c r="G364" s="150"/>
      <c r="H364" s="122"/>
      <c r="I364" s="116"/>
    </row>
    <row r="365" spans="1:10" ht="16.5" customHeight="1">
      <c r="A365" s="35"/>
      <c r="B365" s="100" t="s">
        <v>52</v>
      </c>
      <c r="C365" s="120"/>
      <c r="D365" s="151"/>
      <c r="E365" s="151"/>
      <c r="F365" s="150"/>
      <c r="G365" s="150"/>
      <c r="H365" s="122"/>
      <c r="I365" s="116"/>
    </row>
    <row r="366" spans="1:10" ht="16.5" customHeight="1">
      <c r="A366" s="35"/>
      <c r="B366" s="100" t="s">
        <v>53</v>
      </c>
      <c r="C366" s="120"/>
      <c r="D366" s="120"/>
      <c r="E366" s="120"/>
      <c r="F366" s="120"/>
      <c r="G366" s="120"/>
      <c r="H366" s="122"/>
      <c r="I366" s="116"/>
    </row>
    <row r="367" spans="1:10" ht="16.5" customHeight="1">
      <c r="A367" s="35"/>
      <c r="B367" s="101"/>
      <c r="C367" s="43"/>
      <c r="D367" s="152"/>
      <c r="E367" s="153" t="s">
        <v>54</v>
      </c>
      <c r="F367" s="153"/>
      <c r="G367" s="154"/>
      <c r="H367" s="105"/>
      <c r="I367" s="116"/>
    </row>
    <row r="368" spans="1:10" ht="16.5" customHeight="1">
      <c r="A368" s="35"/>
      <c r="B368" s="43"/>
      <c r="C368" s="43"/>
      <c r="D368" s="106"/>
      <c r="E368" s="106"/>
      <c r="F368" s="43"/>
      <c r="G368" s="43"/>
      <c r="H368" s="43"/>
      <c r="I368" s="116"/>
    </row>
    <row r="369" spans="1:9" ht="16.5" customHeight="1">
      <c r="A369" s="35"/>
      <c r="B369" s="43"/>
      <c r="C369" s="43"/>
      <c r="D369" s="106"/>
      <c r="E369" s="152"/>
      <c r="F369" s="153" t="s">
        <v>55</v>
      </c>
      <c r="G369" s="155"/>
      <c r="H369" s="156"/>
      <c r="I369" s="116"/>
    </row>
    <row r="370" spans="1:9" ht="16.5" customHeight="1"/>
  </sheetData>
  <protectedRanges>
    <protectedRange password="E851" sqref="D20:F28 D57:F65 D94:F102 D131:F139 D168:F176 D205:F213 D242:F250 D279:F287 D316:F324" name="範圍1_1_1_2"/>
    <protectedRange password="E851" sqref="D353:F361" name="範圍1_1_1_2_2"/>
  </protectedRanges>
  <mergeCells count="139">
    <mergeCell ref="F19:G19"/>
    <mergeCell ref="F29:G29"/>
    <mergeCell ref="F30:G32"/>
    <mergeCell ref="D32:E32"/>
    <mergeCell ref="E34:F34"/>
    <mergeCell ref="A38:I38"/>
    <mergeCell ref="A1:I1"/>
    <mergeCell ref="A2:I2"/>
    <mergeCell ref="A3:I3"/>
    <mergeCell ref="A4:I4"/>
    <mergeCell ref="A5:I5"/>
    <mergeCell ref="A6:A36"/>
    <mergeCell ref="B6:H6"/>
    <mergeCell ref="I6:I36"/>
    <mergeCell ref="B7:G7"/>
    <mergeCell ref="B10:C10"/>
    <mergeCell ref="F66:G66"/>
    <mergeCell ref="F67:G69"/>
    <mergeCell ref="D69:E69"/>
    <mergeCell ref="E71:F71"/>
    <mergeCell ref="A75:I75"/>
    <mergeCell ref="A76:I76"/>
    <mergeCell ref="A39:I39"/>
    <mergeCell ref="A40:I40"/>
    <mergeCell ref="A41:I41"/>
    <mergeCell ref="A42:I42"/>
    <mergeCell ref="A43:A73"/>
    <mergeCell ref="B43:H43"/>
    <mergeCell ref="I43:I73"/>
    <mergeCell ref="B44:G44"/>
    <mergeCell ref="B47:C47"/>
    <mergeCell ref="F56:G56"/>
    <mergeCell ref="F104:G106"/>
    <mergeCell ref="D106:E106"/>
    <mergeCell ref="E108:F108"/>
    <mergeCell ref="A112:I112"/>
    <mergeCell ref="A113:I113"/>
    <mergeCell ref="A114:I114"/>
    <mergeCell ref="A77:I77"/>
    <mergeCell ref="A78:I78"/>
    <mergeCell ref="A79:I79"/>
    <mergeCell ref="A80:A110"/>
    <mergeCell ref="B80:H80"/>
    <mergeCell ref="I80:I110"/>
    <mergeCell ref="B81:G81"/>
    <mergeCell ref="B84:C84"/>
    <mergeCell ref="F93:G93"/>
    <mergeCell ref="F103:G103"/>
    <mergeCell ref="D143:E143"/>
    <mergeCell ref="E145:F145"/>
    <mergeCell ref="A149:I149"/>
    <mergeCell ref="A150:I150"/>
    <mergeCell ref="A151:I151"/>
    <mergeCell ref="A152:I152"/>
    <mergeCell ref="A115:I115"/>
    <mergeCell ref="A116:I116"/>
    <mergeCell ref="A117:A147"/>
    <mergeCell ref="B117:H117"/>
    <mergeCell ref="I117:I147"/>
    <mergeCell ref="B118:G118"/>
    <mergeCell ref="B121:C121"/>
    <mergeCell ref="F130:G130"/>
    <mergeCell ref="F140:G140"/>
    <mergeCell ref="F141:G143"/>
    <mergeCell ref="E182:F182"/>
    <mergeCell ref="A186:I186"/>
    <mergeCell ref="A187:I187"/>
    <mergeCell ref="A188:I188"/>
    <mergeCell ref="A189:I189"/>
    <mergeCell ref="A190:I190"/>
    <mergeCell ref="A153:I153"/>
    <mergeCell ref="A154:A184"/>
    <mergeCell ref="B154:H154"/>
    <mergeCell ref="I154:I184"/>
    <mergeCell ref="B155:G155"/>
    <mergeCell ref="B158:C158"/>
    <mergeCell ref="F167:G167"/>
    <mergeCell ref="F177:G177"/>
    <mergeCell ref="F178:G180"/>
    <mergeCell ref="D180:E180"/>
    <mergeCell ref="A191:A221"/>
    <mergeCell ref="B191:H191"/>
    <mergeCell ref="I191:I221"/>
    <mergeCell ref="B192:G192"/>
    <mergeCell ref="B195:C195"/>
    <mergeCell ref="F204:G204"/>
    <mergeCell ref="F214:G214"/>
    <mergeCell ref="F215:G217"/>
    <mergeCell ref="D217:E217"/>
    <mergeCell ref="E219:F219"/>
    <mergeCell ref="F241:G241"/>
    <mergeCell ref="F251:G251"/>
    <mergeCell ref="F252:G254"/>
    <mergeCell ref="D254:E254"/>
    <mergeCell ref="E256:F256"/>
    <mergeCell ref="A260:I260"/>
    <mergeCell ref="A223:I223"/>
    <mergeCell ref="A224:I224"/>
    <mergeCell ref="A225:I225"/>
    <mergeCell ref="A226:I226"/>
    <mergeCell ref="A227:I227"/>
    <mergeCell ref="A228:A258"/>
    <mergeCell ref="B228:H228"/>
    <mergeCell ref="I228:I258"/>
    <mergeCell ref="B229:G229"/>
    <mergeCell ref="B232:C232"/>
    <mergeCell ref="F288:G288"/>
    <mergeCell ref="F289:G291"/>
    <mergeCell ref="D291:E291"/>
    <mergeCell ref="E293:F293"/>
    <mergeCell ref="A297:I297"/>
    <mergeCell ref="A298:I298"/>
    <mergeCell ref="A261:I261"/>
    <mergeCell ref="A262:I262"/>
    <mergeCell ref="A263:I263"/>
    <mergeCell ref="A264:I264"/>
    <mergeCell ref="A265:A295"/>
    <mergeCell ref="B265:H265"/>
    <mergeCell ref="I265:I295"/>
    <mergeCell ref="B266:G266"/>
    <mergeCell ref="B269:C269"/>
    <mergeCell ref="F278:G278"/>
    <mergeCell ref="A339:G339"/>
    <mergeCell ref="F326:G328"/>
    <mergeCell ref="D328:E328"/>
    <mergeCell ref="E330:F330"/>
    <mergeCell ref="A335:I335"/>
    <mergeCell ref="A336:I336"/>
    <mergeCell ref="A337:I337"/>
    <mergeCell ref="A299:I299"/>
    <mergeCell ref="A300:I300"/>
    <mergeCell ref="A301:I301"/>
    <mergeCell ref="A302:A332"/>
    <mergeCell ref="B302:H302"/>
    <mergeCell ref="I302:I332"/>
    <mergeCell ref="B303:G303"/>
    <mergeCell ref="B306:C306"/>
    <mergeCell ref="F315:G315"/>
    <mergeCell ref="F325:G325"/>
  </mergeCells>
  <phoneticPr fontId="3" type="noConversion"/>
  <conditionalFormatting sqref="F30:G32">
    <cfRule type="cellIs" dxfId="54" priority="10" operator="equal">
      <formula>0</formula>
    </cfRule>
  </conditionalFormatting>
  <conditionalFormatting sqref="F67:G69">
    <cfRule type="cellIs" dxfId="53" priority="9" operator="equal">
      <formula>0</formula>
    </cfRule>
  </conditionalFormatting>
  <conditionalFormatting sqref="F104:G106">
    <cfRule type="cellIs" dxfId="52" priority="8" operator="equal">
      <formula>0</formula>
    </cfRule>
  </conditionalFormatting>
  <conditionalFormatting sqref="F141:G143">
    <cfRule type="cellIs" dxfId="51" priority="6" operator="equal">
      <formula>0</formula>
    </cfRule>
  </conditionalFormatting>
  <conditionalFormatting sqref="F178:G180">
    <cfRule type="cellIs" dxfId="50" priority="5" operator="equal">
      <formula>0</formula>
    </cfRule>
  </conditionalFormatting>
  <conditionalFormatting sqref="F215:G217">
    <cfRule type="cellIs" dxfId="49" priority="4" operator="equal">
      <formula>0</formula>
    </cfRule>
  </conditionalFormatting>
  <conditionalFormatting sqref="F252:G254">
    <cfRule type="cellIs" dxfId="48" priority="3" operator="equal">
      <formula>0</formula>
    </cfRule>
  </conditionalFormatting>
  <conditionalFormatting sqref="F289:G291">
    <cfRule type="cellIs" dxfId="47" priority="2" operator="equal">
      <formula>0</formula>
    </cfRule>
  </conditionalFormatting>
  <conditionalFormatting sqref="F326:G328">
    <cfRule type="cellIs" dxfId="46" priority="7" operator="equal">
      <formula>0</formula>
    </cfRule>
  </conditionalFormatting>
  <conditionalFormatting sqref="F363:G365">
    <cfRule type="cellIs" dxfId="45" priority="1" operator="equal">
      <formula>0</formula>
    </cfRule>
  </conditionalFormatting>
  <pageMargins left="0.7" right="0.7" top="0.75" bottom="0.75" header="0.3" footer="0.3"/>
  <pageSetup paperSize="9" scale="89" orientation="portrait" horizontalDpi="1200" verticalDpi="1200" r:id="rId1"/>
  <rowBreaks count="9" manualBreakCount="9">
    <brk id="37" max="8" man="1"/>
    <brk id="74" max="8" man="1"/>
    <brk id="111" max="8" man="1"/>
    <brk id="148" max="8" man="1"/>
    <brk id="185" max="8" man="1"/>
    <brk id="222" max="8" man="1"/>
    <brk id="259" max="8" man="1"/>
    <brk id="296" max="8" man="1"/>
    <brk id="333" max="8" man="1"/>
  </rowBreaks>
  <colBreaks count="1" manualBreakCount="1">
    <brk id="9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21402-65CE-4361-9B7F-FFEF13A0DBC5}">
  <dimension ref="B1:BT45"/>
  <sheetViews>
    <sheetView zoomScale="80" zoomScaleNormal="80" workbookViewId="0">
      <selection activeCell="C5" sqref="C5"/>
    </sheetView>
  </sheetViews>
  <sheetFormatPr defaultColWidth="9" defaultRowHeight="16.5"/>
  <cols>
    <col min="1" max="1" width="9" style="167"/>
    <col min="2" max="2" width="21.875" style="167" customWidth="1"/>
    <col min="3" max="3" width="24.75" style="167" customWidth="1"/>
    <col min="4" max="4" width="10.5" style="167" customWidth="1"/>
    <col min="5" max="33" width="8.875" style="167" customWidth="1"/>
    <col min="34" max="34" width="10.75" style="167" customWidth="1"/>
    <col min="35" max="37" width="9" style="167"/>
    <col min="38" max="38" width="19" style="167" bestFit="1" customWidth="1"/>
    <col min="39" max="39" width="26.375" style="167" bestFit="1" customWidth="1"/>
    <col min="40" max="40" width="13" style="167" customWidth="1"/>
    <col min="41" max="41" width="11.5" style="167" customWidth="1"/>
    <col min="42" max="42" width="9" style="167"/>
    <col min="43" max="43" width="12.5" style="167" customWidth="1"/>
    <col min="44" max="16384" width="9" style="167"/>
  </cols>
  <sheetData>
    <row r="1" spans="2:72">
      <c r="B1" s="165" t="s">
        <v>102</v>
      </c>
      <c r="C1" s="166">
        <v>46174</v>
      </c>
      <c r="D1" s="167">
        <f>YEAR(C1)</f>
        <v>2026</v>
      </c>
      <c r="E1" s="167">
        <f>MONTH(C1)</f>
        <v>6</v>
      </c>
      <c r="F1" s="168"/>
    </row>
    <row r="2" spans="2:72">
      <c r="F2" s="168"/>
    </row>
    <row r="3" spans="2:72">
      <c r="F3" s="168"/>
    </row>
    <row r="4" spans="2:72">
      <c r="B4" s="165" t="s">
        <v>109</v>
      </c>
      <c r="C4" s="169"/>
      <c r="D4" s="169"/>
      <c r="E4" s="170"/>
      <c r="F4" s="170"/>
      <c r="G4" s="170"/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  <c r="AC4" s="170"/>
      <c r="AD4" s="170"/>
      <c r="AE4" s="170"/>
      <c r="AF4" s="170"/>
      <c r="AG4" s="170"/>
      <c r="AH4" s="170"/>
      <c r="AI4" s="170" t="s">
        <v>100</v>
      </c>
      <c r="AJ4" s="170" t="s">
        <v>101</v>
      </c>
      <c r="AK4" s="170"/>
    </row>
    <row r="5" spans="2:72" ht="14.25" customHeight="1">
      <c r="C5" s="171" t="s">
        <v>138</v>
      </c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2"/>
      <c r="AB5" s="172"/>
      <c r="AC5" s="172"/>
      <c r="AD5" s="172"/>
      <c r="AE5" s="172"/>
      <c r="AF5" s="172"/>
      <c r="AG5" s="172"/>
      <c r="AH5" s="172"/>
      <c r="AI5" s="160">
        <f>SUBTOTAL(9,AI8:AI31)</f>
        <v>88</v>
      </c>
      <c r="AJ5" s="160">
        <f>SUBTOTAL(9,AJ8:AJ31)</f>
        <v>704</v>
      </c>
      <c r="AK5" s="172"/>
      <c r="AM5" s="181" t="str">
        <f>C5</f>
        <v>2026 June</v>
      </c>
      <c r="AN5" s="172"/>
      <c r="AO5" s="172"/>
      <c r="AP5" s="172"/>
      <c r="AQ5" s="172"/>
      <c r="AR5" s="172"/>
      <c r="AS5" s="172"/>
      <c r="AT5" s="172"/>
      <c r="AU5" s="172"/>
      <c r="AV5" s="172"/>
      <c r="AW5" s="172"/>
      <c r="AX5" s="172"/>
      <c r="AY5" s="172"/>
      <c r="AZ5" s="172"/>
      <c r="BA5" s="172"/>
      <c r="BB5" s="172"/>
      <c r="BC5" s="172"/>
      <c r="BD5" s="172"/>
      <c r="BE5" s="172"/>
      <c r="BF5" s="172"/>
      <c r="BG5" s="172"/>
      <c r="BH5" s="172"/>
      <c r="BI5" s="172"/>
      <c r="BJ5" s="172"/>
      <c r="BK5" s="172"/>
      <c r="BL5" s="172"/>
      <c r="BM5" s="172"/>
      <c r="BN5" s="172"/>
      <c r="BO5" s="172"/>
      <c r="BP5" s="172"/>
      <c r="BQ5" s="172"/>
      <c r="BR5" s="172"/>
      <c r="BS5" s="172"/>
      <c r="BT5" s="172"/>
    </row>
    <row r="6" spans="2:72">
      <c r="C6" s="173"/>
      <c r="D6" s="182" t="str">
        <f>TEXT($D$1&amp;"/"&amp;$E$1&amp;"/"&amp;D7,"ddd")</f>
        <v>Mon</v>
      </c>
      <c r="E6" s="182" t="str">
        <f t="shared" ref="E6:AH6" si="0">TEXT($D$1&amp;"/"&amp;$E$1&amp;"/"&amp;E7,"ddd")</f>
        <v>Tue</v>
      </c>
      <c r="F6" s="182" t="str">
        <f t="shared" si="0"/>
        <v>Wed</v>
      </c>
      <c r="G6" s="182" t="str">
        <f t="shared" si="0"/>
        <v>Thu</v>
      </c>
      <c r="H6" s="182" t="str">
        <f t="shared" si="0"/>
        <v>Fri</v>
      </c>
      <c r="I6" s="182" t="str">
        <f t="shared" si="0"/>
        <v>Sat</v>
      </c>
      <c r="J6" s="182" t="str">
        <f t="shared" si="0"/>
        <v>Sun</v>
      </c>
      <c r="K6" s="182" t="str">
        <f t="shared" si="0"/>
        <v>Mon</v>
      </c>
      <c r="L6" s="182" t="str">
        <f t="shared" si="0"/>
        <v>Tue</v>
      </c>
      <c r="M6" s="182" t="str">
        <f t="shared" si="0"/>
        <v>Wed</v>
      </c>
      <c r="N6" s="182" t="str">
        <f t="shared" si="0"/>
        <v>Thu</v>
      </c>
      <c r="O6" s="182" t="str">
        <f t="shared" si="0"/>
        <v>Fri</v>
      </c>
      <c r="P6" s="182" t="str">
        <f t="shared" si="0"/>
        <v>Sat</v>
      </c>
      <c r="Q6" s="182" t="str">
        <f t="shared" si="0"/>
        <v>Sun</v>
      </c>
      <c r="R6" s="182" t="str">
        <f t="shared" si="0"/>
        <v>Mon</v>
      </c>
      <c r="S6" s="182" t="str">
        <f t="shared" si="0"/>
        <v>Tue</v>
      </c>
      <c r="T6" s="182" t="str">
        <f t="shared" si="0"/>
        <v>Wed</v>
      </c>
      <c r="U6" s="182" t="str">
        <f t="shared" si="0"/>
        <v>Thu</v>
      </c>
      <c r="V6" s="182" t="str">
        <f t="shared" si="0"/>
        <v>Fri</v>
      </c>
      <c r="W6" s="182" t="str">
        <f t="shared" si="0"/>
        <v>Sat</v>
      </c>
      <c r="X6" s="182" t="str">
        <f t="shared" si="0"/>
        <v>Sun</v>
      </c>
      <c r="Y6" s="182" t="str">
        <f t="shared" si="0"/>
        <v>Mon</v>
      </c>
      <c r="Z6" s="182" t="str">
        <f t="shared" si="0"/>
        <v>Tue</v>
      </c>
      <c r="AA6" s="182" t="str">
        <f t="shared" si="0"/>
        <v>Wed</v>
      </c>
      <c r="AB6" s="182" t="str">
        <f t="shared" si="0"/>
        <v>Thu</v>
      </c>
      <c r="AC6" s="182" t="str">
        <f t="shared" si="0"/>
        <v>Fri</v>
      </c>
      <c r="AD6" s="182" t="str">
        <f t="shared" si="0"/>
        <v>Sat</v>
      </c>
      <c r="AE6" s="182" t="str">
        <f t="shared" si="0"/>
        <v>Sun</v>
      </c>
      <c r="AF6" s="182" t="str">
        <f t="shared" si="0"/>
        <v>Mon</v>
      </c>
      <c r="AG6" s="182" t="str">
        <f t="shared" si="0"/>
        <v>Tue</v>
      </c>
      <c r="AH6" s="182" t="str">
        <f t="shared" si="0"/>
        <v>2026/6/31</v>
      </c>
      <c r="AI6" s="174"/>
      <c r="AJ6" s="174"/>
      <c r="AK6" s="174"/>
      <c r="AM6" s="172"/>
      <c r="AN6" s="181" t="str">
        <f t="shared" ref="AN6:AW7" si="1">D6</f>
        <v>Mon</v>
      </c>
      <c r="AO6" s="181" t="str">
        <f t="shared" si="1"/>
        <v>Tue</v>
      </c>
      <c r="AP6" s="181" t="str">
        <f t="shared" si="1"/>
        <v>Wed</v>
      </c>
      <c r="AQ6" s="181" t="str">
        <f t="shared" si="1"/>
        <v>Thu</v>
      </c>
      <c r="AR6" s="181" t="str">
        <f t="shared" si="1"/>
        <v>Fri</v>
      </c>
      <c r="AS6" s="181" t="str">
        <f t="shared" si="1"/>
        <v>Sat</v>
      </c>
      <c r="AT6" s="181" t="str">
        <f t="shared" si="1"/>
        <v>Sun</v>
      </c>
      <c r="AU6" s="181" t="str">
        <f t="shared" si="1"/>
        <v>Mon</v>
      </c>
      <c r="AV6" s="181" t="str">
        <f t="shared" si="1"/>
        <v>Tue</v>
      </c>
      <c r="AW6" s="181" t="str">
        <f t="shared" si="1"/>
        <v>Wed</v>
      </c>
      <c r="AX6" s="181" t="str">
        <f t="shared" ref="AX6:BG7" si="2">N6</f>
        <v>Thu</v>
      </c>
      <c r="AY6" s="181" t="str">
        <f t="shared" si="2"/>
        <v>Fri</v>
      </c>
      <c r="AZ6" s="181" t="str">
        <f t="shared" si="2"/>
        <v>Sat</v>
      </c>
      <c r="BA6" s="181" t="str">
        <f t="shared" si="2"/>
        <v>Sun</v>
      </c>
      <c r="BB6" s="181" t="str">
        <f t="shared" si="2"/>
        <v>Mon</v>
      </c>
      <c r="BC6" s="181" t="str">
        <f t="shared" si="2"/>
        <v>Tue</v>
      </c>
      <c r="BD6" s="181" t="str">
        <f t="shared" si="2"/>
        <v>Wed</v>
      </c>
      <c r="BE6" s="181" t="str">
        <f t="shared" si="2"/>
        <v>Thu</v>
      </c>
      <c r="BF6" s="181" t="str">
        <f t="shared" si="2"/>
        <v>Fri</v>
      </c>
      <c r="BG6" s="181" t="str">
        <f t="shared" si="2"/>
        <v>Sat</v>
      </c>
      <c r="BH6" s="181" t="str">
        <f t="shared" ref="BH6:BQ7" si="3">X6</f>
        <v>Sun</v>
      </c>
      <c r="BI6" s="181" t="str">
        <f t="shared" si="3"/>
        <v>Mon</v>
      </c>
      <c r="BJ6" s="181" t="str">
        <f t="shared" si="3"/>
        <v>Tue</v>
      </c>
      <c r="BK6" s="181" t="str">
        <f t="shared" si="3"/>
        <v>Wed</v>
      </c>
      <c r="BL6" s="181" t="str">
        <f t="shared" si="3"/>
        <v>Thu</v>
      </c>
      <c r="BM6" s="181" t="str">
        <f t="shared" si="3"/>
        <v>Fri</v>
      </c>
      <c r="BN6" s="181" t="str">
        <f t="shared" si="3"/>
        <v>Sat</v>
      </c>
      <c r="BO6" s="181" t="str">
        <f t="shared" si="3"/>
        <v>Sun</v>
      </c>
      <c r="BP6" s="181" t="str">
        <f t="shared" si="3"/>
        <v>Mon</v>
      </c>
      <c r="BQ6" s="181" t="str">
        <f t="shared" si="3"/>
        <v>Tue</v>
      </c>
      <c r="BR6" s="181" t="str">
        <f t="shared" ref="BR6:BR7" si="4">AH6</f>
        <v>2026/6/31</v>
      </c>
      <c r="BS6" s="181" t="e">
        <f>#REF!</f>
        <v>#REF!</v>
      </c>
      <c r="BT6" s="181" t="e">
        <f>#REF!</f>
        <v>#REF!</v>
      </c>
    </row>
    <row r="7" spans="2:72" ht="31.5">
      <c r="B7" s="175" t="s">
        <v>103</v>
      </c>
      <c r="C7" s="173" t="s">
        <v>99</v>
      </c>
      <c r="D7" s="183">
        <f>DAY(C1)</f>
        <v>1</v>
      </c>
      <c r="E7" s="184">
        <f>D7+1</f>
        <v>2</v>
      </c>
      <c r="F7" s="184">
        <f>E7+1</f>
        <v>3</v>
      </c>
      <c r="G7" s="184">
        <f t="shared" ref="G7" si="5">F7+1</f>
        <v>4</v>
      </c>
      <c r="H7" s="184">
        <f t="shared" ref="H7" si="6">G7+1</f>
        <v>5</v>
      </c>
      <c r="I7" s="184">
        <f t="shared" ref="I7" si="7">H7+1</f>
        <v>6</v>
      </c>
      <c r="J7" s="184">
        <f t="shared" ref="J7" si="8">I7+1</f>
        <v>7</v>
      </c>
      <c r="K7" s="184">
        <f t="shared" ref="K7" si="9">J7+1</f>
        <v>8</v>
      </c>
      <c r="L7" s="184">
        <f t="shared" ref="L7" si="10">K7+1</f>
        <v>9</v>
      </c>
      <c r="M7" s="184">
        <f t="shared" ref="M7" si="11">L7+1</f>
        <v>10</v>
      </c>
      <c r="N7" s="184">
        <f t="shared" ref="N7" si="12">M7+1</f>
        <v>11</v>
      </c>
      <c r="O7" s="184">
        <f t="shared" ref="O7" si="13">N7+1</f>
        <v>12</v>
      </c>
      <c r="P7" s="184">
        <f t="shared" ref="P7" si="14">O7+1</f>
        <v>13</v>
      </c>
      <c r="Q7" s="184">
        <f t="shared" ref="Q7" si="15">P7+1</f>
        <v>14</v>
      </c>
      <c r="R7" s="184">
        <f t="shared" ref="R7" si="16">Q7+1</f>
        <v>15</v>
      </c>
      <c r="S7" s="184">
        <f t="shared" ref="S7" si="17">R7+1</f>
        <v>16</v>
      </c>
      <c r="T7" s="184">
        <f t="shared" ref="T7" si="18">S7+1</f>
        <v>17</v>
      </c>
      <c r="U7" s="184">
        <f t="shared" ref="U7" si="19">T7+1</f>
        <v>18</v>
      </c>
      <c r="V7" s="184">
        <f t="shared" ref="V7" si="20">U7+1</f>
        <v>19</v>
      </c>
      <c r="W7" s="184">
        <f t="shared" ref="W7" si="21">V7+1</f>
        <v>20</v>
      </c>
      <c r="X7" s="184">
        <f t="shared" ref="X7" si="22">W7+1</f>
        <v>21</v>
      </c>
      <c r="Y7" s="184">
        <f t="shared" ref="Y7" si="23">X7+1</f>
        <v>22</v>
      </c>
      <c r="Z7" s="184">
        <f t="shared" ref="Z7" si="24">Y7+1</f>
        <v>23</v>
      </c>
      <c r="AA7" s="184">
        <f t="shared" ref="AA7" si="25">Z7+1</f>
        <v>24</v>
      </c>
      <c r="AB7" s="184">
        <f t="shared" ref="AB7" si="26">AA7+1</f>
        <v>25</v>
      </c>
      <c r="AC7" s="184">
        <f t="shared" ref="AC7" si="27">AB7+1</f>
        <v>26</v>
      </c>
      <c r="AD7" s="184">
        <f t="shared" ref="AD7" si="28">AC7+1</f>
        <v>27</v>
      </c>
      <c r="AE7" s="184">
        <f t="shared" ref="AE7" si="29">AD7+1</f>
        <v>28</v>
      </c>
      <c r="AF7" s="184">
        <f t="shared" ref="AF7" si="30">AE7+1</f>
        <v>29</v>
      </c>
      <c r="AG7" s="184">
        <f t="shared" ref="AG7" si="31">AF7+1</f>
        <v>30</v>
      </c>
      <c r="AH7" s="184">
        <f t="shared" ref="AH7" si="32">AG7+1</f>
        <v>31</v>
      </c>
      <c r="AI7" s="169"/>
      <c r="AJ7" s="169"/>
      <c r="AK7" s="169"/>
      <c r="AM7" s="172"/>
      <c r="AN7" s="181">
        <f t="shared" si="1"/>
        <v>1</v>
      </c>
      <c r="AO7" s="181">
        <f t="shared" si="1"/>
        <v>2</v>
      </c>
      <c r="AP7" s="181">
        <f t="shared" si="1"/>
        <v>3</v>
      </c>
      <c r="AQ7" s="181">
        <f t="shared" si="1"/>
        <v>4</v>
      </c>
      <c r="AR7" s="181">
        <f t="shared" si="1"/>
        <v>5</v>
      </c>
      <c r="AS7" s="181">
        <f t="shared" si="1"/>
        <v>6</v>
      </c>
      <c r="AT7" s="181">
        <f t="shared" si="1"/>
        <v>7</v>
      </c>
      <c r="AU7" s="181">
        <f t="shared" si="1"/>
        <v>8</v>
      </c>
      <c r="AV7" s="181">
        <f t="shared" si="1"/>
        <v>9</v>
      </c>
      <c r="AW7" s="181">
        <f t="shared" si="1"/>
        <v>10</v>
      </c>
      <c r="AX7" s="181">
        <f t="shared" si="2"/>
        <v>11</v>
      </c>
      <c r="AY7" s="181">
        <f t="shared" si="2"/>
        <v>12</v>
      </c>
      <c r="AZ7" s="181">
        <f t="shared" si="2"/>
        <v>13</v>
      </c>
      <c r="BA7" s="181">
        <f t="shared" si="2"/>
        <v>14</v>
      </c>
      <c r="BB7" s="181">
        <f t="shared" si="2"/>
        <v>15</v>
      </c>
      <c r="BC7" s="181">
        <f t="shared" si="2"/>
        <v>16</v>
      </c>
      <c r="BD7" s="181">
        <f t="shared" si="2"/>
        <v>17</v>
      </c>
      <c r="BE7" s="181">
        <f t="shared" si="2"/>
        <v>18</v>
      </c>
      <c r="BF7" s="181">
        <f t="shared" si="2"/>
        <v>19</v>
      </c>
      <c r="BG7" s="181">
        <f t="shared" si="2"/>
        <v>20</v>
      </c>
      <c r="BH7" s="181">
        <f t="shared" si="3"/>
        <v>21</v>
      </c>
      <c r="BI7" s="181">
        <f t="shared" si="3"/>
        <v>22</v>
      </c>
      <c r="BJ7" s="181">
        <f t="shared" si="3"/>
        <v>23</v>
      </c>
      <c r="BK7" s="181">
        <f t="shared" si="3"/>
        <v>24</v>
      </c>
      <c r="BL7" s="181">
        <f t="shared" si="3"/>
        <v>25</v>
      </c>
      <c r="BM7" s="181">
        <f t="shared" si="3"/>
        <v>26</v>
      </c>
      <c r="BN7" s="181">
        <f t="shared" si="3"/>
        <v>27</v>
      </c>
      <c r="BO7" s="181">
        <f t="shared" si="3"/>
        <v>28</v>
      </c>
      <c r="BP7" s="181">
        <f t="shared" si="3"/>
        <v>29</v>
      </c>
      <c r="BQ7" s="181">
        <f t="shared" si="3"/>
        <v>30</v>
      </c>
      <c r="BR7" s="181">
        <f t="shared" si="4"/>
        <v>31</v>
      </c>
      <c r="BS7" s="181" t="e">
        <f>#REF!</f>
        <v>#REF!</v>
      </c>
      <c r="BT7" s="181" t="e">
        <f>#REF!</f>
        <v>#REF!</v>
      </c>
    </row>
    <row r="8" spans="2:72">
      <c r="B8" t="str" cm="1">
        <f t="array" ref="B8">_xlfn.LET(
    _xlpm.data, D8:AH8,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Edith</v>
      </c>
      <c r="C8" s="185" t="str" cm="1">
        <f t="array" ref="C8:C16">_xlfn.ANCHORARRAY('Name List'!$I$4)</f>
        <v>SSPO YOHO</v>
      </c>
      <c r="D8" s="186" t="str" cm="1">
        <f t="array" ref="D8">_xlfn.LET(
   _xlpm.data, 表格3_5[[Date]:[Location]],
   _xlpm.date_col, INDEX(_xlpm.data, , 1),
   _xlpm.name_col, INDEX(_xlpm.data, , 2),
   _xlpm.loc_col,  INDEX(_xlpm.data, , 3),
   _xlpm.target_date, DATE(YEAR($C$1), MONTH($C$1), D$7),
   _xlpm.filtered, _xlfn._xlws.FILTER(_xlpm.name_col, (_xlpm.date_col = _xlpm.target_date) * (_xlpm.loc_col =$C8), ""),
   IF(_xlpm.filtered="", "", _xlpm.filtered)
)</f>
        <v>Edith</v>
      </c>
      <c r="E8" s="186" t="str" cm="1">
        <f t="array" ref="E8">_xlfn.LET(
   _xlpm.data, 表格3_5[[Date]:[Location]],
   _xlpm.date_col, INDEX(_xlpm.data, , 1),
   _xlpm.name_col, INDEX(_xlpm.data, , 2),
   _xlpm.loc_col,  INDEX(_xlpm.data, , 3),
   _xlpm.target_date, DATE(YEAR($C$1), MONTH($C$1), E$7),
   _xlpm.filtered, _xlfn._xlws.FILTER(_xlpm.name_col, (_xlpm.date_col = _xlpm.target_date) * (_xlpm.loc_col =$C8), ""),
   IF(_xlpm.filtered="", "", _xlpm.filtered)
)</f>
        <v>Hei</v>
      </c>
      <c r="F8" s="186" t="str" cm="1">
        <f t="array" ref="F8">_xlfn.LET(
   _xlpm.data, 表格3_5[[Date]:[Location]],
   _xlpm.date_col, INDEX(_xlpm.data, , 1),
   _xlpm.name_col, INDEX(_xlpm.data, , 2),
   _xlpm.loc_col,  INDEX(_xlpm.data, , 3),
   _xlpm.target_date, DATE(YEAR($C$1), MONTH($C$1), F$7),
   _xlpm.filtered, _xlfn._xlws.FILTER(_xlpm.name_col, (_xlpm.date_col = _xlpm.target_date) * (_xlpm.loc_col =$C8), ""),
   IF(_xlpm.filtered="", "", _xlpm.filtered)
)</f>
        <v>Hei</v>
      </c>
      <c r="G8" s="186" t="str" cm="1">
        <f t="array" ref="G8">_xlfn.LET(
   _xlpm.data, 表格3_5[[Date]:[Location]],
   _xlpm.date_col, INDEX(_xlpm.data, , 1),
   _xlpm.name_col, INDEX(_xlpm.data, , 2),
   _xlpm.loc_col,  INDEX(_xlpm.data, , 3),
   _xlpm.target_date, DATE(YEAR($C$1), MONTH($C$1), G$7),
   _xlpm.filtered, _xlfn._xlws.FILTER(_xlpm.name_col, (_xlpm.date_col = _xlpm.target_date) * (_xlpm.loc_col =$C8), ""),
   IF(_xlpm.filtered="", "", _xlpm.filtered)
)</f>
        <v/>
      </c>
      <c r="H8" s="186" t="str" cm="1">
        <f t="array" ref="H8">_xlfn.LET(
   _xlpm.data, 表格3_5[[Date]:[Location]],
   _xlpm.date_col, INDEX(_xlpm.data, , 1),
   _xlpm.name_col, INDEX(_xlpm.data, , 2),
   _xlpm.loc_col,  INDEX(_xlpm.data, , 3),
   _xlpm.target_date, DATE(YEAR($C$1), MONTH($C$1), H$7),
   _xlpm.filtered, _xlfn._xlws.FILTER(_xlpm.name_col, (_xlpm.date_col = _xlpm.target_date) * (_xlpm.loc_col =$C8), ""),
   IF(_xlpm.filtered="", "", _xlpm.filtered)
)</f>
        <v>Edith</v>
      </c>
      <c r="I8" s="186" t="str" cm="1">
        <f t="array" ref="I8">_xlfn.LET(
   _xlpm.data, 表格3_5[[Date]:[Location]],
   _xlpm.date_col, INDEX(_xlpm.data, , 1),
   _xlpm.name_col, INDEX(_xlpm.data, , 2),
   _xlpm.loc_col,  INDEX(_xlpm.data, , 3),
   _xlpm.target_date, DATE(YEAR($C$1), MONTH($C$1), I$7),
   _xlpm.filtered, _xlfn._xlws.FILTER(_xlpm.name_col, (_xlpm.date_col = _xlpm.target_date) * (_xlpm.loc_col =$C8), ""),
   IF(_xlpm.filtered="", "", _xlpm.filtered)
)</f>
        <v>Edith</v>
      </c>
      <c r="J8" s="186" t="str" cm="1">
        <f t="array" ref="J8">_xlfn.LET(
   _xlpm.data, 表格3_5[[Date]:[Location]],
   _xlpm.date_col, INDEX(_xlpm.data, , 1),
   _xlpm.name_col, INDEX(_xlpm.data, , 2),
   _xlpm.loc_col,  INDEX(_xlpm.data, , 3),
   _xlpm.target_date, DATE(YEAR($C$1), MONTH($C$1), J$7),
   _xlpm.filtered, _xlfn._xlws.FILTER(_xlpm.name_col, (_xlpm.date_col = _xlpm.target_date) * (_xlpm.loc_col =$C8), ""),
   IF(_xlpm.filtered="", "", _xlpm.filtered)
)</f>
        <v/>
      </c>
      <c r="K8" s="186" t="str" cm="1">
        <f t="array" ref="K8">_xlfn.LET(
   _xlpm.data, 表格3_5[[Date]:[Location]],
   _xlpm.date_col, INDEX(_xlpm.data, , 1),
   _xlpm.name_col, INDEX(_xlpm.data, , 2),
   _xlpm.loc_col,  INDEX(_xlpm.data, , 3),
   _xlpm.target_date, DATE(YEAR($C$1), MONTH($C$1), K$7),
   _xlpm.filtered, _xlfn._xlws.FILTER(_xlpm.name_col, (_xlpm.date_col = _xlpm.target_date) * (_xlpm.loc_col =$C8), ""),
   IF(_xlpm.filtered="", "", _xlpm.filtered)
)</f>
        <v/>
      </c>
      <c r="L8" s="186" t="str" cm="1">
        <f t="array" ref="L8">_xlfn.LET(
   _xlpm.data, 表格3_5[[Date]:[Location]],
   _xlpm.date_col, INDEX(_xlpm.data, , 1),
   _xlpm.name_col, INDEX(_xlpm.data, , 2),
   _xlpm.loc_col,  INDEX(_xlpm.data, , 3),
   _xlpm.target_date, DATE(YEAR($C$1), MONTH($C$1), L$7),
   _xlpm.filtered, _xlfn._xlws.FILTER(_xlpm.name_col, (_xlpm.date_col = _xlpm.target_date) * (_xlpm.loc_col =$C8), ""),
   IF(_xlpm.filtered="", "", _xlpm.filtered)
)</f>
        <v/>
      </c>
      <c r="M8" s="186" t="str" cm="1">
        <f t="array" ref="M8">_xlfn.LET(
   _xlpm.data, 表格3_5[[Date]:[Location]],
   _xlpm.date_col, INDEX(_xlpm.data, , 1),
   _xlpm.name_col, INDEX(_xlpm.data, , 2),
   _xlpm.loc_col,  INDEX(_xlpm.data, , 3),
   _xlpm.target_date, DATE(YEAR($C$1), MONTH($C$1), M$7),
   _xlpm.filtered, _xlfn._xlws.FILTER(_xlpm.name_col, (_xlpm.date_col = _xlpm.target_date) * (_xlpm.loc_col =$C8), ""),
   IF(_xlpm.filtered="", "", _xlpm.filtered)
)</f>
        <v/>
      </c>
      <c r="N8" s="186" t="str" cm="1">
        <f t="array" ref="N8">_xlfn.LET(
   _xlpm.data, 表格3_5[[Date]:[Location]],
   _xlpm.date_col, INDEX(_xlpm.data, , 1),
   _xlpm.name_col, INDEX(_xlpm.data, , 2),
   _xlpm.loc_col,  INDEX(_xlpm.data, , 3),
   _xlpm.target_date, DATE(YEAR($C$1), MONTH($C$1), N$7),
   _xlpm.filtered, _xlfn._xlws.FILTER(_xlpm.name_col, (_xlpm.date_col = _xlpm.target_date) * (_xlpm.loc_col =$C8), ""),
   IF(_xlpm.filtered="", "", _xlpm.filtered)
)</f>
        <v>Edith</v>
      </c>
      <c r="O8" s="186" t="str" cm="1">
        <f t="array" ref="O8">_xlfn.LET(
   _xlpm.data, 表格3_5[[Date]:[Location]],
   _xlpm.date_col, INDEX(_xlpm.data, , 1),
   _xlpm.name_col, INDEX(_xlpm.data, , 2),
   _xlpm.loc_col,  INDEX(_xlpm.data, , 3),
   _xlpm.target_date, DATE(YEAR($C$1), MONTH($C$1), O$7),
   _xlpm.filtered, _xlfn._xlws.FILTER(_xlpm.name_col, (_xlpm.date_col = _xlpm.target_date) * (_xlpm.loc_col =$C8), ""),
   IF(_xlpm.filtered="", "", _xlpm.filtered)
)</f>
        <v>Edith</v>
      </c>
      <c r="P8" s="186" t="str" cm="1">
        <f t="array" ref="P8">_xlfn.LET(
   _xlpm.data, 表格3_5[[Date]:[Location]],
   _xlpm.date_col, INDEX(_xlpm.data, , 1),
   _xlpm.name_col, INDEX(_xlpm.data, , 2),
   _xlpm.loc_col,  INDEX(_xlpm.data, , 3),
   _xlpm.target_date, DATE(YEAR($C$1), MONTH($C$1), P$7),
   _xlpm.filtered, _xlfn._xlws.FILTER(_xlpm.name_col, (_xlpm.date_col = _xlpm.target_date) * (_xlpm.loc_col =$C8), ""),
   IF(_xlpm.filtered="", "", _xlpm.filtered)
)</f>
        <v/>
      </c>
      <c r="Q8" s="186" t="str" cm="1">
        <f t="array" ref="Q8">_xlfn.LET(
   _xlpm.data, 表格3_5[[Date]:[Location]],
   _xlpm.date_col, INDEX(_xlpm.data, , 1),
   _xlpm.name_col, INDEX(_xlpm.data, , 2),
   _xlpm.loc_col,  INDEX(_xlpm.data, , 3),
   _xlpm.target_date, DATE(YEAR($C$1), MONTH($C$1), Q$7),
   _xlpm.filtered, _xlfn._xlws.FILTER(_xlpm.name_col, (_xlpm.date_col = _xlpm.target_date) * (_xlpm.loc_col =$C8), ""),
   IF(_xlpm.filtered="", "", _xlpm.filtered)
)</f>
        <v/>
      </c>
      <c r="R8" s="186" t="str" cm="1">
        <f t="array" ref="R8">_xlfn.LET(
   _xlpm.data, 表格3_5[[Date]:[Location]],
   _xlpm.date_col, INDEX(_xlpm.data, , 1),
   _xlpm.name_col, INDEX(_xlpm.data, , 2),
   _xlpm.loc_col,  INDEX(_xlpm.data, , 3),
   _xlpm.target_date, DATE(YEAR($C$1), MONTH($C$1), R$7),
   _xlpm.filtered, _xlfn._xlws.FILTER(_xlpm.name_col, (_xlpm.date_col = _xlpm.target_date) * (_xlpm.loc_col =$C8), ""),
   IF(_xlpm.filtered="", "", _xlpm.filtered)
)</f>
        <v/>
      </c>
      <c r="S8" s="186" t="str" cm="1">
        <f t="array" ref="S8">_xlfn.LET(
   _xlpm.data, 表格3_5[[Date]:[Location]],
   _xlpm.date_col, INDEX(_xlpm.data, , 1),
   _xlpm.name_col, INDEX(_xlpm.data, , 2),
   _xlpm.loc_col,  INDEX(_xlpm.data, , 3),
   _xlpm.target_date, DATE(YEAR($C$1), MONTH($C$1), S$7),
   _xlpm.filtered, _xlfn._xlws.FILTER(_xlpm.name_col, (_xlpm.date_col = _xlpm.target_date) * (_xlpm.loc_col =$C8), ""),
   IF(_xlpm.filtered="", "", _xlpm.filtered)
)</f>
        <v/>
      </c>
      <c r="T8" s="186" t="str" cm="1">
        <f t="array" ref="T8">_xlfn.LET(
   _xlpm.data, 表格3_5[[Date]:[Location]],
   _xlpm.date_col, INDEX(_xlpm.data, , 1),
   _xlpm.name_col, INDEX(_xlpm.data, , 2),
   _xlpm.loc_col,  INDEX(_xlpm.data, , 3),
   _xlpm.target_date, DATE(YEAR($C$1), MONTH($C$1), T$7),
   _xlpm.filtered, _xlfn._xlws.FILTER(_xlpm.name_col, (_xlpm.date_col = _xlpm.target_date) * (_xlpm.loc_col =$C8), ""),
   IF(_xlpm.filtered="", "", _xlpm.filtered)
)</f>
        <v>Edith</v>
      </c>
      <c r="U8" s="186" t="str" cm="1">
        <f t="array" ref="U8">_xlfn.LET(
   _xlpm.data, 表格3_5[[Date]:[Location]],
   _xlpm.date_col, INDEX(_xlpm.data, , 1),
   _xlpm.name_col, INDEX(_xlpm.data, , 2),
   _xlpm.loc_col,  INDEX(_xlpm.data, , 3),
   _xlpm.target_date, DATE(YEAR($C$1), MONTH($C$1), U$7),
   _xlpm.filtered, _xlfn._xlws.FILTER(_xlpm.name_col, (_xlpm.date_col = _xlpm.target_date) * (_xlpm.loc_col =$C8), ""),
   IF(_xlpm.filtered="", "", _xlpm.filtered)
)</f>
        <v/>
      </c>
      <c r="V8" s="186" t="str" cm="1">
        <f t="array" ref="V8">_xlfn.LET(
   _xlpm.data, 表格3_5[[Date]:[Location]],
   _xlpm.date_col, INDEX(_xlpm.data, , 1),
   _xlpm.name_col, INDEX(_xlpm.data, , 2),
   _xlpm.loc_col,  INDEX(_xlpm.data, , 3),
   _xlpm.target_date, DATE(YEAR($C$1), MONTH($C$1), V$7),
   _xlpm.filtered, _xlfn._xlws.FILTER(_xlpm.name_col, (_xlpm.date_col = _xlpm.target_date) * (_xlpm.loc_col =$C8), ""),
   IF(_xlpm.filtered="", "", _xlpm.filtered)
)</f>
        <v>Edith</v>
      </c>
      <c r="W8" s="186" t="str" cm="1">
        <f t="array" ref="W8">_xlfn.LET(
   _xlpm.data, 表格3_5[[Date]:[Location]],
   _xlpm.date_col, INDEX(_xlpm.data, , 1),
   _xlpm.name_col, INDEX(_xlpm.data, , 2),
   _xlpm.loc_col,  INDEX(_xlpm.data, , 3),
   _xlpm.target_date, DATE(YEAR($C$1), MONTH($C$1), W$7),
   _xlpm.filtered, _xlfn._xlws.FILTER(_xlpm.name_col, (_xlpm.date_col = _xlpm.target_date) * (_xlpm.loc_col =$C8), ""),
   IF(_xlpm.filtered="", "", _xlpm.filtered)
)</f>
        <v/>
      </c>
      <c r="X8" s="186" t="str" cm="1">
        <f t="array" ref="X8">_xlfn.LET(
   _xlpm.data, 表格3_5[[Date]:[Location]],
   _xlpm.date_col, INDEX(_xlpm.data, , 1),
   _xlpm.name_col, INDEX(_xlpm.data, , 2),
   _xlpm.loc_col,  INDEX(_xlpm.data, , 3),
   _xlpm.target_date, DATE(YEAR($C$1), MONTH($C$1), X$7),
   _xlpm.filtered, _xlfn._xlws.FILTER(_xlpm.name_col, (_xlpm.date_col = _xlpm.target_date) * (_xlpm.loc_col =$C8), ""),
   IF(_xlpm.filtered="", "", _xlpm.filtered)
)</f>
        <v/>
      </c>
      <c r="Y8" s="186" t="str" cm="1">
        <f t="array" ref="Y8">_xlfn.LET(
   _xlpm.data, 表格3_5[[Date]:[Location]],
   _xlpm.date_col, INDEX(_xlpm.data, , 1),
   _xlpm.name_col, INDEX(_xlpm.data, , 2),
   _xlpm.loc_col,  INDEX(_xlpm.data, , 3),
   _xlpm.target_date, DATE(YEAR($C$1), MONTH($C$1), Y$7),
   _xlpm.filtered, _xlfn._xlws.FILTER(_xlpm.name_col, (_xlpm.date_col = _xlpm.target_date) * (_xlpm.loc_col =$C8), ""),
   IF(_xlpm.filtered="", "", _xlpm.filtered)
)</f>
        <v/>
      </c>
      <c r="Z8" s="186" t="str" cm="1">
        <f t="array" ref="Z8">_xlfn.LET(
   _xlpm.data, 表格3_5[[Date]:[Location]],
   _xlpm.date_col, INDEX(_xlpm.data, , 1),
   _xlpm.name_col, INDEX(_xlpm.data, , 2),
   _xlpm.loc_col,  INDEX(_xlpm.data, , 3),
   _xlpm.target_date, DATE(YEAR($C$1), MONTH($C$1), Z$7),
   _xlpm.filtered, _xlfn._xlws.FILTER(_xlpm.name_col, (_xlpm.date_col = _xlpm.target_date) * (_xlpm.loc_col =$C8), ""),
   IF(_xlpm.filtered="", "", _xlpm.filtered)
)</f>
        <v>Edith</v>
      </c>
      <c r="AA8" s="186" t="str" cm="1">
        <f t="array" ref="AA8">_xlfn.LET(
   _xlpm.data, 表格3_5[[Date]:[Location]],
   _xlpm.date_col, INDEX(_xlpm.data, , 1),
   _xlpm.name_col, INDEX(_xlpm.data, , 2),
   _xlpm.loc_col,  INDEX(_xlpm.data, , 3),
   _xlpm.target_date, DATE(YEAR($C$1), MONTH($C$1), AA$7),
   _xlpm.filtered, _xlfn._xlws.FILTER(_xlpm.name_col, (_xlpm.date_col = _xlpm.target_date) * (_xlpm.loc_col =$C8), ""),
   IF(_xlpm.filtered="", "", _xlpm.filtered)
)</f>
        <v/>
      </c>
      <c r="AB8" s="186" t="str" cm="1">
        <f t="array" ref="AB8">_xlfn.LET(
   _xlpm.data, 表格3_5[[Date]:[Location]],
   _xlpm.date_col, INDEX(_xlpm.data, , 1),
   _xlpm.name_col, INDEX(_xlpm.data, , 2),
   _xlpm.loc_col,  INDEX(_xlpm.data, , 3),
   _xlpm.target_date, DATE(YEAR($C$1), MONTH($C$1), AB$7),
   _xlpm.filtered, _xlfn._xlws.FILTER(_xlpm.name_col, (_xlpm.date_col = _xlpm.target_date) * (_xlpm.loc_col =$C8), ""),
   IF(_xlpm.filtered="", "", _xlpm.filtered)
)</f>
        <v>Edith</v>
      </c>
      <c r="AC8" s="186" t="str" cm="1">
        <f t="array" ref="AC8">_xlfn.LET(
   _xlpm.data, 表格3_5[[Date]:[Location]],
   _xlpm.date_col, INDEX(_xlpm.data, , 1),
   _xlpm.name_col, INDEX(_xlpm.data, , 2),
   _xlpm.loc_col,  INDEX(_xlpm.data, , 3),
   _xlpm.target_date, DATE(YEAR($C$1), MONTH($C$1), AC$7),
   _xlpm.filtered, _xlfn._xlws.FILTER(_xlpm.name_col, (_xlpm.date_col = _xlpm.target_date) * (_xlpm.loc_col =$C8), ""),
   IF(_xlpm.filtered="", "", _xlpm.filtered)
)</f>
        <v/>
      </c>
      <c r="AD8" s="186" t="str" cm="1">
        <f t="array" ref="AD8">_xlfn.LET(
   _xlpm.data, 表格3_5[[Date]:[Location]],
   _xlpm.date_col, INDEX(_xlpm.data, , 1),
   _xlpm.name_col, INDEX(_xlpm.data, , 2),
   _xlpm.loc_col,  INDEX(_xlpm.data, , 3),
   _xlpm.target_date, DATE(YEAR($C$1), MONTH($C$1), AD$7),
   _xlpm.filtered, _xlfn._xlws.FILTER(_xlpm.name_col, (_xlpm.date_col = _xlpm.target_date) * (_xlpm.loc_col =$C8), ""),
   IF(_xlpm.filtered="", "", _xlpm.filtered)
)</f>
        <v/>
      </c>
      <c r="AE8" s="186" t="str" cm="1">
        <f t="array" ref="AE8">_xlfn.LET(
   _xlpm.data, 表格3_5[[Date]:[Location]],
   _xlpm.date_col, INDEX(_xlpm.data, , 1),
   _xlpm.name_col, INDEX(_xlpm.data, , 2),
   _xlpm.loc_col,  INDEX(_xlpm.data, , 3),
   _xlpm.target_date, DATE(YEAR($C$1), MONTH($C$1), AE$7),
   _xlpm.filtered, _xlfn._xlws.FILTER(_xlpm.name_col, (_xlpm.date_col = _xlpm.target_date) * (_xlpm.loc_col =$C8), ""),
   IF(_xlpm.filtered="", "", _xlpm.filtered)
)</f>
        <v>Edith</v>
      </c>
      <c r="AF8" s="186" t="str" cm="1">
        <f t="array" ref="AF8">_xlfn.LET(
   _xlpm.data, 表格3_5[[Date]:[Location]],
   _xlpm.date_col, INDEX(_xlpm.data, , 1),
   _xlpm.name_col, INDEX(_xlpm.data, , 2),
   _xlpm.loc_col,  INDEX(_xlpm.data, , 3),
   _xlpm.target_date, DATE(YEAR($C$1), MONTH($C$1), AF$7),
   _xlpm.filtered, _xlfn._xlws.FILTER(_xlpm.name_col, (_xlpm.date_col = _xlpm.target_date) * (_xlpm.loc_col =$C8), ""),
   IF(_xlpm.filtered="", "", _xlpm.filtered)
)</f>
        <v>Edith</v>
      </c>
      <c r="AG8" s="186" t="str" cm="1">
        <f t="array" ref="AG8">_xlfn.LET(
   _xlpm.data, 表格3_5[[Date]:[Location]],
   _xlpm.date_col, INDEX(_xlpm.data, , 1),
   _xlpm.name_col, INDEX(_xlpm.data, , 2),
   _xlpm.loc_col,  INDEX(_xlpm.data, , 3),
   _xlpm.target_date, DATE(YEAR($C$1), MONTH($C$1), AG$7),
   _xlpm.filtered, _xlfn._xlws.FILTER(_xlpm.name_col, (_xlpm.date_col = _xlpm.target_date) * (_xlpm.loc_col =$C8), ""),
   IF(_xlpm.filtered="", "", _xlpm.filtered)
)</f>
        <v/>
      </c>
      <c r="AH8" s="186" t="str" cm="1">
        <f t="array" ref="AH8">_xlfn.LET(
   _xlpm.data, 表格3_5[[Date]:[Location]],
   _xlpm.date_col, INDEX(_xlpm.data, , 1),
   _xlpm.name_col, INDEX(_xlpm.data, , 2),
   _xlpm.loc_col,  INDEX(_xlpm.data, , 3),
   _xlpm.target_date, DATE(YEAR($C$1), MONTH($C$1), AH$7),
   _xlpm.filtered, _xlfn._xlws.FILTER(_xlpm.name_col, (_xlpm.date_col = _xlpm.target_date) * (_xlpm.loc_col =$C8), ""),
   IF(_xlpm.filtered="", "", _xlpm.filtered)
)</f>
        <v/>
      </c>
      <c r="AI8" s="187">
        <f>COUNTIF(D8:AH8,"?*")</f>
        <v>13</v>
      </c>
      <c r="AJ8" s="187">
        <f>AI8*8</f>
        <v>104</v>
      </c>
      <c r="AK8" s="177"/>
      <c r="AM8" s="181" t="str">
        <f>C8</f>
        <v>SSPO YOHO</v>
      </c>
      <c r="AN8" s="188" t="e">
        <f>IF(D8=".",D8,IF(VLOOKUP($AM8&amp;D$1+#REF!&amp;D8, 工作表1!$C:$V,1,) &gt; 0,D8,"ERROR"))</f>
        <v>#REF!</v>
      </c>
      <c r="AO8" s="188" t="e">
        <f>IF(E8=".",E8,IF(VLOOKUP($AM8&amp;E$1+#REF!&amp;E8, 工作表1!$C:$V,1,) &gt; 0,E8,"ERROR"))</f>
        <v>#REF!</v>
      </c>
      <c r="AP8" s="188" t="e">
        <f>IF(F8=".",F8,IF(VLOOKUP($AM8&amp;F$1+#REF!&amp;F8, 工作表1!$C:$V,1,) &gt; 0,F8,"ERROR"))</f>
        <v>#REF!</v>
      </c>
      <c r="AQ8" s="188" t="e">
        <f>IF(G8=".",G8,IF(VLOOKUP($AM8&amp;G$1+#REF!&amp;G8, 工作表1!$C:$V,1,) &gt; 0,G8,"ERROR"))</f>
        <v>#REF!</v>
      </c>
      <c r="AR8" s="188" t="e">
        <f>IF(H8=".",H8,IF(VLOOKUP($AM8&amp;H$1+#REF!&amp;H8, 工作表1!$C:$V,1,) &gt; 0,H8,"ERROR"))</f>
        <v>#REF!</v>
      </c>
      <c r="AS8" s="188" t="e">
        <f>IF(I8=".",I8,IF(VLOOKUP($AM8&amp;I$1+#REF!&amp;I8, 工作表1!$C:$V,1,) &gt; 0,I8,"ERROR"))</f>
        <v>#REF!</v>
      </c>
      <c r="AT8" s="188" t="e">
        <f>IF(J8=".",J8,IF(VLOOKUP($AM8&amp;J$1+#REF!&amp;J8, 工作表1!$C:$V,1,) &gt; 0,J8,"ERROR"))</f>
        <v>#REF!</v>
      </c>
      <c r="AU8" s="188" t="e">
        <f>IF(K8=".",K8,IF(VLOOKUP($AM8&amp;K$1+#REF!&amp;K8, 工作表1!$C:$V,1,) &gt; 0,K8,"ERROR"))</f>
        <v>#REF!</v>
      </c>
      <c r="AV8" s="188" t="e">
        <f>IF(L8=".",L8,IF(VLOOKUP($AM8&amp;L$1+#REF!&amp;L8, 工作表1!$C:$V,1,) &gt; 0,L8,"ERROR"))</f>
        <v>#REF!</v>
      </c>
      <c r="AW8" s="188" t="e">
        <f>IF(M8=".",M8,IF(VLOOKUP($AM8&amp;M$1+#REF!&amp;M8, 工作表1!$C:$V,1,) &gt; 0,M8,"ERROR"))</f>
        <v>#REF!</v>
      </c>
      <c r="AX8" s="188" t="e">
        <f>IF(N8=".",N8,IF(VLOOKUP($AM8&amp;N$1+#REF!&amp;N8, 工作表1!$C:$V,1,) &gt; 0,N8,"ERROR"))</f>
        <v>#REF!</v>
      </c>
      <c r="AY8" s="188" t="e">
        <f>IF(O8=".",O8,IF(VLOOKUP($AM8&amp;O$1+#REF!&amp;O8, 工作表1!$C:$V,1,) &gt; 0,O8,"ERROR"))</f>
        <v>#REF!</v>
      </c>
      <c r="AZ8" s="188" t="e">
        <f>IF(P8=".",P8,IF(VLOOKUP($AM8&amp;P$1+#REF!&amp;P8, 工作表1!$C:$V,1,) &gt; 0,P8,"ERROR"))</f>
        <v>#REF!</v>
      </c>
      <c r="BA8" s="188" t="e">
        <f>IF(Q8=".",Q8,IF(VLOOKUP($AM8&amp;Q$1+#REF!&amp;Q8, 工作表1!$C:$V,1,) &gt; 0,Q8,"ERROR"))</f>
        <v>#REF!</v>
      </c>
      <c r="BB8" s="188" t="e">
        <f>IF(R8=".",R8,IF(VLOOKUP($AM8&amp;R$1+#REF!&amp;R8, 工作表1!$C:$V,1,) &gt; 0,R8,"ERROR"))</f>
        <v>#REF!</v>
      </c>
      <c r="BC8" s="188" t="e">
        <f>IF(S8=".",S8,IF(VLOOKUP($AM8&amp;S$1+#REF!&amp;S8, 工作表1!$C:$V,1,) &gt; 0,S8,"ERROR"))</f>
        <v>#REF!</v>
      </c>
      <c r="BD8" s="188" t="e">
        <f>IF(T8=".",T8,IF(VLOOKUP($AM8&amp;T$1+#REF!&amp;T8, 工作表1!$C:$V,1,) &gt; 0,T8,"ERROR"))</f>
        <v>#REF!</v>
      </c>
      <c r="BE8" s="188" t="e">
        <f>IF(U8=".",U8,IF(VLOOKUP($AM8&amp;U$1+#REF!&amp;U8, 工作表1!$C:$V,1,) &gt; 0,U8,"ERROR"))</f>
        <v>#REF!</v>
      </c>
      <c r="BF8" s="188" t="e">
        <f>IF(V8=".",V8,IF(VLOOKUP($AM8&amp;V$1+#REF!&amp;V8, 工作表1!$C:$V,1,) &gt; 0,V8,"ERROR"))</f>
        <v>#REF!</v>
      </c>
      <c r="BG8" s="188" t="e">
        <f>IF(W8=".",W8,IF(VLOOKUP($AM8&amp;W$1+#REF!&amp;W8, 工作表1!$C:$V,1,) &gt; 0,W8,"ERROR"))</f>
        <v>#REF!</v>
      </c>
      <c r="BH8" s="188" t="e">
        <f>IF(X8=".",X8,IF(VLOOKUP($AM8&amp;X$1+#REF!&amp;X8, 工作表1!$C:$V,1,) &gt; 0,X8,"ERROR"))</f>
        <v>#REF!</v>
      </c>
      <c r="BI8" s="188" t="e">
        <f>IF(Y8=".",Y8,IF(VLOOKUP($AM8&amp;Y$1+#REF!&amp;Y8, 工作表1!$C:$V,1,) &gt; 0,Y8,"ERROR"))</f>
        <v>#REF!</v>
      </c>
      <c r="BJ8" s="188" t="e">
        <f>IF(Z8=".",Z8,IF(VLOOKUP($AM8&amp;Z$1+#REF!&amp;Z8, 工作表1!$C:$V,1,) &gt; 0,Z8,"ERROR"))</f>
        <v>#REF!</v>
      </c>
      <c r="BK8" s="188" t="e">
        <f>IF(AA8=".",AA8,IF(VLOOKUP($AM8&amp;AA$1+#REF!&amp;AA8, 工作表1!$C:$V,1,) &gt; 0,AA8,"ERROR"))</f>
        <v>#REF!</v>
      </c>
      <c r="BL8" s="188" t="e">
        <f>IF(AB8=".",AB8,IF(VLOOKUP($AM8&amp;AB$1+#REF!&amp;AB8, 工作表1!$C:$V,1,) &gt; 0,AB8,"ERROR"))</f>
        <v>#REF!</v>
      </c>
      <c r="BM8" s="188" t="e">
        <f>IF(AC8=".",AC8,IF(VLOOKUP($AM8&amp;AC$1+#REF!&amp;AC8, 工作表1!$C:$V,1,) &gt; 0,AC8,"ERROR"))</f>
        <v>#REF!</v>
      </c>
      <c r="BN8" s="188" t="e">
        <f>IF(AD8=".",AD8,IF(VLOOKUP($AM8&amp;AD$1+#REF!&amp;AD8, 工作表1!$C:$V,1,) &gt; 0,AD8,"ERROR"))</f>
        <v>#REF!</v>
      </c>
      <c r="BO8" s="188" t="e">
        <f>IF(AE8=".",AE8,IF(VLOOKUP($AM8&amp;AE$1+#REF!&amp;AE8, 工作表1!$C:$V,1,) &gt; 0,AE8,"ERROR"))</f>
        <v>#REF!</v>
      </c>
      <c r="BP8" s="188" t="e">
        <f>IF(AF8=".",AF8,IF(VLOOKUP($AM8&amp;AF$1+#REF!&amp;AF8, 工作表1!$C:$V,1,) &gt; 0,AF8,"ERROR"))</f>
        <v>#REF!</v>
      </c>
      <c r="BQ8" s="188" t="e">
        <f>IF(AG8=".",AG8,IF(VLOOKUP($AM8&amp;AG$1+#REF!&amp;AG8, 工作表1!$C:$V,1,) &gt; 0,AG8,"ERROR"))</f>
        <v>#REF!</v>
      </c>
      <c r="BR8" s="188" t="e">
        <f>IF(AH8=".",AH8,IF(VLOOKUP($AM8&amp;AH$1+#REF!&amp;AH8, 工作表1!$C:$V,1,) &gt; 0,AH8,"ERROR"))</f>
        <v>#REF!</v>
      </c>
      <c r="BS8" s="188" t="e">
        <f>IF(#REF!=".",#REF!,IF(VLOOKUP($AM8&amp;#REF!+#REF!&amp;#REF!, 工作表1!$C:$V,1,) &gt; 0,#REF!,"ERROR"))</f>
        <v>#REF!</v>
      </c>
      <c r="BT8" s="188" t="e">
        <f>IF(#REF!=".",#REF!,IF(VLOOKUP($AM8&amp;#REF!+#REF!&amp;#REF!, 工作表1!$C:$V,1,) &gt; 0,#REF!,"ERROR"))</f>
        <v>#REF!</v>
      </c>
    </row>
    <row r="9" spans="2:72">
      <c r="B9" t="str" cm="1">
        <f t="array" ref="B9">_xlfn.LET(
    _xlpm.data, D9:AH9,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Edith</v>
      </c>
      <c r="C9" s="176" t="str">
        <v>KT YOHO</v>
      </c>
      <c r="D9" s="186" t="str" cm="1">
        <f t="array" ref="D9">_xlfn.LET(
   _xlpm.data, 表格3_5[[Date]:[Location]],
   _xlpm.date_col, INDEX(_xlpm.data, , 1),
   _xlpm.name_col, INDEX(_xlpm.data, , 2),
   _xlpm.loc_col,  INDEX(_xlpm.data, , 3),
   _xlpm.target_date, DATE(YEAR($C$1), MONTH($C$1), D$7),
   _xlpm.filtered, _xlfn._xlws.FILTER(_xlpm.name_col, (_xlpm.date_col = _xlpm.target_date) * (_xlpm.loc_col =$C9), ""),
   IF(_xlpm.filtered="", "", _xlpm.filtered)
)</f>
        <v/>
      </c>
      <c r="E9" s="186" t="str" cm="1">
        <f t="array" ref="E9">_xlfn.LET(
   _xlpm.data, 表格3_5[[Date]:[Location]],
   _xlpm.date_col, INDEX(_xlpm.data, , 1),
   _xlpm.name_col, INDEX(_xlpm.data, , 2),
   _xlpm.loc_col,  INDEX(_xlpm.data, , 3),
   _xlpm.target_date, DATE(YEAR($C$1), MONTH($C$1), E$7),
   _xlpm.filtered, _xlfn._xlws.FILTER(_xlpm.name_col, (_xlpm.date_col = _xlpm.target_date) * (_xlpm.loc_col =$C9), ""),
   IF(_xlpm.filtered="", "", _xlpm.filtered)
)</f>
        <v>Edith</v>
      </c>
      <c r="F9" s="186" t="str" cm="1">
        <f t="array" ref="F9">_xlfn.LET(
   _xlpm.data, 表格3_5[[Date]:[Location]],
   _xlpm.date_col, INDEX(_xlpm.data, , 1),
   _xlpm.name_col, INDEX(_xlpm.data, , 2),
   _xlpm.loc_col,  INDEX(_xlpm.data, , 3),
   _xlpm.target_date, DATE(YEAR($C$1), MONTH($C$1), F$7),
   _xlpm.filtered, _xlfn._xlws.FILTER(_xlpm.name_col, (_xlpm.date_col = _xlpm.target_date) * (_xlpm.loc_col =$C9), ""),
   IF(_xlpm.filtered="", "", _xlpm.filtered)
)</f>
        <v/>
      </c>
      <c r="G9" s="186" t="str" cm="1">
        <f t="array" ref="G9">_xlfn.LET(
   _xlpm.data, 表格3_5[[Date]:[Location]],
   _xlpm.date_col, INDEX(_xlpm.data, , 1),
   _xlpm.name_col, INDEX(_xlpm.data, , 2),
   _xlpm.loc_col,  INDEX(_xlpm.data, , 3),
   _xlpm.target_date, DATE(YEAR($C$1), MONTH($C$1), G$7),
   _xlpm.filtered, _xlfn._xlws.FILTER(_xlpm.name_col, (_xlpm.date_col = _xlpm.target_date) * (_xlpm.loc_col =$C9), ""),
   IF(_xlpm.filtered="", "", _xlpm.filtered)
)</f>
        <v>Edith</v>
      </c>
      <c r="H9" s="186" t="str" cm="1">
        <f t="array" ref="H9">_xlfn.LET(
   _xlpm.data, 表格3_5[[Date]:[Location]],
   _xlpm.date_col, INDEX(_xlpm.data, , 1),
   _xlpm.name_col, INDEX(_xlpm.data, , 2),
   _xlpm.loc_col,  INDEX(_xlpm.data, , 3),
   _xlpm.target_date, DATE(YEAR($C$1), MONTH($C$1), H$7),
   _xlpm.filtered, _xlfn._xlws.FILTER(_xlpm.name_col, (_xlpm.date_col = _xlpm.target_date) * (_xlpm.loc_col =$C9), ""),
   IF(_xlpm.filtered="", "", _xlpm.filtered)
)</f>
        <v/>
      </c>
      <c r="I9" s="186" t="str" cm="1">
        <f t="array" ref="I9">_xlfn.LET(
   _xlpm.data, 表格3_5[[Date]:[Location]],
   _xlpm.date_col, INDEX(_xlpm.data, , 1),
   _xlpm.name_col, INDEX(_xlpm.data, , 2),
   _xlpm.loc_col,  INDEX(_xlpm.data, , 3),
   _xlpm.target_date, DATE(YEAR($C$1), MONTH($C$1), I$7),
   _xlpm.filtered, _xlfn._xlws.FILTER(_xlpm.name_col, (_xlpm.date_col = _xlpm.target_date) * (_xlpm.loc_col =$C9), ""),
   IF(_xlpm.filtered="", "", _xlpm.filtered)
)</f>
        <v/>
      </c>
      <c r="J9" s="186" t="str" cm="1">
        <f t="array" ref="J9">_xlfn.LET(
   _xlpm.data, 表格3_5[[Date]:[Location]],
   _xlpm.date_col, INDEX(_xlpm.data, , 1),
   _xlpm.name_col, INDEX(_xlpm.data, , 2),
   _xlpm.loc_col,  INDEX(_xlpm.data, , 3),
   _xlpm.target_date, DATE(YEAR($C$1), MONTH($C$1), J$7),
   _xlpm.filtered, _xlfn._xlws.FILTER(_xlpm.name_col, (_xlpm.date_col = _xlpm.target_date) * (_xlpm.loc_col =$C9), ""),
   IF(_xlpm.filtered="", "", _xlpm.filtered)
)</f>
        <v>Edith</v>
      </c>
      <c r="K9" s="186" t="str" cm="1">
        <f t="array" ref="K9">_xlfn.LET(
   _xlpm.data, 表格3_5[[Date]:[Location]],
   _xlpm.date_col, INDEX(_xlpm.data, , 1),
   _xlpm.name_col, INDEX(_xlpm.data, , 2),
   _xlpm.loc_col,  INDEX(_xlpm.data, , 3),
   _xlpm.target_date, DATE(YEAR($C$1), MONTH($C$1), K$7),
   _xlpm.filtered, _xlfn._xlws.FILTER(_xlpm.name_col, (_xlpm.date_col = _xlpm.target_date) * (_xlpm.loc_col =$C9), ""),
   IF(_xlpm.filtered="", "", _xlpm.filtered)
)</f>
        <v>Edith</v>
      </c>
      <c r="L9" s="186" t="str" cm="1">
        <f t="array" ref="L9">_xlfn.LET(
   _xlpm.data, 表格3_5[[Date]:[Location]],
   _xlpm.date_col, INDEX(_xlpm.data, , 1),
   _xlpm.name_col, INDEX(_xlpm.data, , 2),
   _xlpm.loc_col,  INDEX(_xlpm.data, , 3),
   _xlpm.target_date, DATE(YEAR($C$1), MONTH($C$1), L$7),
   _xlpm.filtered, _xlfn._xlws.FILTER(_xlpm.name_col, (_xlpm.date_col = _xlpm.target_date) * (_xlpm.loc_col =$C9), ""),
   IF(_xlpm.filtered="", "", _xlpm.filtered)
)</f>
        <v>Edith</v>
      </c>
      <c r="M9" s="186" t="str" cm="1">
        <f t="array" ref="M9">_xlfn.LET(
   _xlpm.data, 表格3_5[[Date]:[Location]],
   _xlpm.date_col, INDEX(_xlpm.data, , 1),
   _xlpm.name_col, INDEX(_xlpm.data, , 2),
   _xlpm.loc_col,  INDEX(_xlpm.data, , 3),
   _xlpm.target_date, DATE(YEAR($C$1), MONTH($C$1), M$7),
   _xlpm.filtered, _xlfn._xlws.FILTER(_xlpm.name_col, (_xlpm.date_col = _xlpm.target_date) * (_xlpm.loc_col =$C9), ""),
   IF(_xlpm.filtered="", "", _xlpm.filtered)
)</f>
        <v/>
      </c>
      <c r="N9" s="186" t="str" cm="1">
        <f t="array" ref="N9">_xlfn.LET(
   _xlpm.data, 表格3_5[[Date]:[Location]],
   _xlpm.date_col, INDEX(_xlpm.data, , 1),
   _xlpm.name_col, INDEX(_xlpm.data, , 2),
   _xlpm.loc_col,  INDEX(_xlpm.data, , 3),
   _xlpm.target_date, DATE(YEAR($C$1), MONTH($C$1), N$7),
   _xlpm.filtered, _xlfn._xlws.FILTER(_xlpm.name_col, (_xlpm.date_col = _xlpm.target_date) * (_xlpm.loc_col =$C9), ""),
   IF(_xlpm.filtered="", "", _xlpm.filtered)
)</f>
        <v/>
      </c>
      <c r="O9" s="186" t="str" cm="1">
        <f t="array" ref="O9">_xlfn.LET(
   _xlpm.data, 表格3_5[[Date]:[Location]],
   _xlpm.date_col, INDEX(_xlpm.data, , 1),
   _xlpm.name_col, INDEX(_xlpm.data, , 2),
   _xlpm.loc_col,  INDEX(_xlpm.data, , 3),
   _xlpm.target_date, DATE(YEAR($C$1), MONTH($C$1), O$7),
   _xlpm.filtered, _xlfn._xlws.FILTER(_xlpm.name_col, (_xlpm.date_col = _xlpm.target_date) * (_xlpm.loc_col =$C9), ""),
   IF(_xlpm.filtered="", "", _xlpm.filtered)
)</f>
        <v/>
      </c>
      <c r="P9" s="186" t="str" cm="1">
        <f t="array" ref="P9">_xlfn.LET(
   _xlpm.data, 表格3_5[[Date]:[Location]],
   _xlpm.date_col, INDEX(_xlpm.data, , 1),
   _xlpm.name_col, INDEX(_xlpm.data, , 2),
   _xlpm.loc_col,  INDEX(_xlpm.data, , 3),
   _xlpm.target_date, DATE(YEAR($C$1), MONTH($C$1), P$7),
   _xlpm.filtered, _xlfn._xlws.FILTER(_xlpm.name_col, (_xlpm.date_col = _xlpm.target_date) * (_xlpm.loc_col =$C9), ""),
   IF(_xlpm.filtered="", "", _xlpm.filtered)
)</f>
        <v/>
      </c>
      <c r="Q9" s="186" t="str" cm="1">
        <f t="array" ref="Q9">_xlfn.LET(
   _xlpm.data, 表格3_5[[Date]:[Location]],
   _xlpm.date_col, INDEX(_xlpm.data, , 1),
   _xlpm.name_col, INDEX(_xlpm.data, , 2),
   _xlpm.loc_col,  INDEX(_xlpm.data, , 3),
   _xlpm.target_date, DATE(YEAR($C$1), MONTH($C$1), Q$7),
   _xlpm.filtered, _xlfn._xlws.FILTER(_xlpm.name_col, (_xlpm.date_col = _xlpm.target_date) * (_xlpm.loc_col =$C9), ""),
   IF(_xlpm.filtered="", "", _xlpm.filtered)
)</f>
        <v/>
      </c>
      <c r="R9" s="186" t="str" cm="1">
        <f t="array" ref="R9">_xlfn.LET(
   _xlpm.data, 表格3_5[[Date]:[Location]],
   _xlpm.date_col, INDEX(_xlpm.data, , 1),
   _xlpm.name_col, INDEX(_xlpm.data, , 2),
   _xlpm.loc_col,  INDEX(_xlpm.data, , 3),
   _xlpm.target_date, DATE(YEAR($C$1), MONTH($C$1), R$7),
   _xlpm.filtered, _xlfn._xlws.FILTER(_xlpm.name_col, (_xlpm.date_col = _xlpm.target_date) * (_xlpm.loc_col =$C9), ""),
   IF(_xlpm.filtered="", "", _xlpm.filtered)
)</f>
        <v>Edith</v>
      </c>
      <c r="S9" s="186" t="str" cm="1">
        <f t="array" ref="S9">_xlfn.LET(
   _xlpm.data, 表格3_5[[Date]:[Location]],
   _xlpm.date_col, INDEX(_xlpm.data, , 1),
   _xlpm.name_col, INDEX(_xlpm.data, , 2),
   _xlpm.loc_col,  INDEX(_xlpm.data, , 3),
   _xlpm.target_date, DATE(YEAR($C$1), MONTH($C$1), S$7),
   _xlpm.filtered, _xlfn._xlws.FILTER(_xlpm.name_col, (_xlpm.date_col = _xlpm.target_date) * (_xlpm.loc_col =$C9), ""),
   IF(_xlpm.filtered="", "", _xlpm.filtered)
)</f>
        <v>Edith</v>
      </c>
      <c r="T9" s="186" t="str" cm="1">
        <f t="array" ref="T9">_xlfn.LET(
   _xlpm.data, 表格3_5[[Date]:[Location]],
   _xlpm.date_col, INDEX(_xlpm.data, , 1),
   _xlpm.name_col, INDEX(_xlpm.data, , 2),
   _xlpm.loc_col,  INDEX(_xlpm.data, , 3),
   _xlpm.target_date, DATE(YEAR($C$1), MONTH($C$1), T$7),
   _xlpm.filtered, _xlfn._xlws.FILTER(_xlpm.name_col, (_xlpm.date_col = _xlpm.target_date) * (_xlpm.loc_col =$C9), ""),
   IF(_xlpm.filtered="", "", _xlpm.filtered)
)</f>
        <v/>
      </c>
      <c r="U9" s="186" t="str" cm="1">
        <f t="array" ref="U9">_xlfn.LET(
   _xlpm.data, 表格3_5[[Date]:[Location]],
   _xlpm.date_col, INDEX(_xlpm.data, , 1),
   _xlpm.name_col, INDEX(_xlpm.data, , 2),
   _xlpm.loc_col,  INDEX(_xlpm.data, , 3),
   _xlpm.target_date, DATE(YEAR($C$1), MONTH($C$1), U$7),
   _xlpm.filtered, _xlfn._xlws.FILTER(_xlpm.name_col, (_xlpm.date_col = _xlpm.target_date) * (_xlpm.loc_col =$C9), ""),
   IF(_xlpm.filtered="", "", _xlpm.filtered)
)</f>
        <v/>
      </c>
      <c r="V9" s="186" t="str" cm="1">
        <f t="array" ref="V9">_xlfn.LET(
   _xlpm.data, 表格3_5[[Date]:[Location]],
   _xlpm.date_col, INDEX(_xlpm.data, , 1),
   _xlpm.name_col, INDEX(_xlpm.data, , 2),
   _xlpm.loc_col,  INDEX(_xlpm.data, , 3),
   _xlpm.target_date, DATE(YEAR($C$1), MONTH($C$1), V$7),
   _xlpm.filtered, _xlfn._xlws.FILTER(_xlpm.name_col, (_xlpm.date_col = _xlpm.target_date) * (_xlpm.loc_col =$C9), ""),
   IF(_xlpm.filtered="", "", _xlpm.filtered)
)</f>
        <v/>
      </c>
      <c r="W9" s="186" t="str" cm="1">
        <f t="array" ref="W9">_xlfn.LET(
   _xlpm.data, 表格3_5[[Date]:[Location]],
   _xlpm.date_col, INDEX(_xlpm.data, , 1),
   _xlpm.name_col, INDEX(_xlpm.data, , 2),
   _xlpm.loc_col,  INDEX(_xlpm.data, , 3),
   _xlpm.target_date, DATE(YEAR($C$1), MONTH($C$1), W$7),
   _xlpm.filtered, _xlfn._xlws.FILTER(_xlpm.name_col, (_xlpm.date_col = _xlpm.target_date) * (_xlpm.loc_col =$C9), ""),
   IF(_xlpm.filtered="", "", _xlpm.filtered)
)</f>
        <v/>
      </c>
      <c r="X9" s="186" t="str" cm="1">
        <f t="array" ref="X9">_xlfn.LET(
   _xlpm.data, 表格3_5[[Date]:[Location]],
   _xlpm.date_col, INDEX(_xlpm.data, , 1),
   _xlpm.name_col, INDEX(_xlpm.data, , 2),
   _xlpm.loc_col,  INDEX(_xlpm.data, , 3),
   _xlpm.target_date, DATE(YEAR($C$1), MONTH($C$1), X$7),
   _xlpm.filtered, _xlfn._xlws.FILTER(_xlpm.name_col, (_xlpm.date_col = _xlpm.target_date) * (_xlpm.loc_col =$C9), ""),
   IF(_xlpm.filtered="", "", _xlpm.filtered)
)</f>
        <v/>
      </c>
      <c r="Y9" s="186" t="str" cm="1">
        <f t="array" ref="Y9">_xlfn.LET(
   _xlpm.data, 表格3_5[[Date]:[Location]],
   _xlpm.date_col, INDEX(_xlpm.data, , 1),
   _xlpm.name_col, INDEX(_xlpm.data, , 2),
   _xlpm.loc_col,  INDEX(_xlpm.data, , 3),
   _xlpm.target_date, DATE(YEAR($C$1), MONTH($C$1), Y$7),
   _xlpm.filtered, _xlfn._xlws.FILTER(_xlpm.name_col, (_xlpm.date_col = _xlpm.target_date) * (_xlpm.loc_col =$C9), ""),
   IF(_xlpm.filtered="", "", _xlpm.filtered)
)</f>
        <v>Edith</v>
      </c>
      <c r="Z9" s="186" t="str" cm="1">
        <f t="array" ref="Z9">_xlfn.LET(
   _xlpm.data, 表格3_5[[Date]:[Location]],
   _xlpm.date_col, INDEX(_xlpm.data, , 1),
   _xlpm.name_col, INDEX(_xlpm.data, , 2),
   _xlpm.loc_col,  INDEX(_xlpm.data, , 3),
   _xlpm.target_date, DATE(YEAR($C$1), MONTH($C$1), Z$7),
   _xlpm.filtered, _xlfn._xlws.FILTER(_xlpm.name_col, (_xlpm.date_col = _xlpm.target_date) * (_xlpm.loc_col =$C9), ""),
   IF(_xlpm.filtered="", "", _xlpm.filtered)
)</f>
        <v/>
      </c>
      <c r="AA9" s="186" t="str" cm="1">
        <f t="array" ref="AA9">_xlfn.LET(
   _xlpm.data, 表格3_5[[Date]:[Location]],
   _xlpm.date_col, INDEX(_xlpm.data, , 1),
   _xlpm.name_col, INDEX(_xlpm.data, , 2),
   _xlpm.loc_col,  INDEX(_xlpm.data, , 3),
   _xlpm.target_date, DATE(YEAR($C$1), MONTH($C$1), AA$7),
   _xlpm.filtered, _xlfn._xlws.FILTER(_xlpm.name_col, (_xlpm.date_col = _xlpm.target_date) * (_xlpm.loc_col =$C9), ""),
   IF(_xlpm.filtered="", "", _xlpm.filtered)
)</f>
        <v/>
      </c>
      <c r="AB9" s="186" t="str" cm="1">
        <f t="array" ref="AB9">_xlfn.LET(
   _xlpm.data, 表格3_5[[Date]:[Location]],
   _xlpm.date_col, INDEX(_xlpm.data, , 1),
   _xlpm.name_col, INDEX(_xlpm.data, , 2),
   _xlpm.loc_col,  INDEX(_xlpm.data, , 3),
   _xlpm.target_date, DATE(YEAR($C$1), MONTH($C$1), AB$7),
   _xlpm.filtered, _xlfn._xlws.FILTER(_xlpm.name_col, (_xlpm.date_col = _xlpm.target_date) * (_xlpm.loc_col =$C9), ""),
   IF(_xlpm.filtered="", "", _xlpm.filtered)
)</f>
        <v/>
      </c>
      <c r="AC9" s="186" t="str" cm="1">
        <f t="array" ref="AC9">_xlfn.LET(
   _xlpm.data, 表格3_5[[Date]:[Location]],
   _xlpm.date_col, INDEX(_xlpm.data, , 1),
   _xlpm.name_col, INDEX(_xlpm.data, , 2),
   _xlpm.loc_col,  INDEX(_xlpm.data, , 3),
   _xlpm.target_date, DATE(YEAR($C$1), MONTH($C$1), AC$7),
   _xlpm.filtered, _xlfn._xlws.FILTER(_xlpm.name_col, (_xlpm.date_col = _xlpm.target_date) * (_xlpm.loc_col =$C9), ""),
   IF(_xlpm.filtered="", "", _xlpm.filtered)
)</f>
        <v>Edith</v>
      </c>
      <c r="AD9" s="186" t="str" cm="1">
        <f t="array" ref="AD9">_xlfn.LET(
   _xlpm.data, 表格3_5[[Date]:[Location]],
   _xlpm.date_col, INDEX(_xlpm.data, , 1),
   _xlpm.name_col, INDEX(_xlpm.data, , 2),
   _xlpm.loc_col,  INDEX(_xlpm.data, , 3),
   _xlpm.target_date, DATE(YEAR($C$1), MONTH($C$1), AD$7),
   _xlpm.filtered, _xlfn._xlws.FILTER(_xlpm.name_col, (_xlpm.date_col = _xlpm.target_date) * (_xlpm.loc_col =$C9), ""),
   IF(_xlpm.filtered="", "", _xlpm.filtered)
)</f>
        <v/>
      </c>
      <c r="AE9" s="186" t="str" cm="1">
        <f t="array" ref="AE9">_xlfn.LET(
   _xlpm.data, 表格3_5[[Date]:[Location]],
   _xlpm.date_col, INDEX(_xlpm.data, , 1),
   _xlpm.name_col, INDEX(_xlpm.data, , 2),
   _xlpm.loc_col,  INDEX(_xlpm.data, , 3),
   _xlpm.target_date, DATE(YEAR($C$1), MONTH($C$1), AE$7),
   _xlpm.filtered, _xlfn._xlws.FILTER(_xlpm.name_col, (_xlpm.date_col = _xlpm.target_date) * (_xlpm.loc_col =$C9), ""),
   IF(_xlpm.filtered="", "", _xlpm.filtered)
)</f>
        <v/>
      </c>
      <c r="AF9" s="186" t="str" cm="1">
        <f t="array" ref="AF9">_xlfn.LET(
   _xlpm.data, 表格3_5[[Date]:[Location]],
   _xlpm.date_col, INDEX(_xlpm.data, , 1),
   _xlpm.name_col, INDEX(_xlpm.data, , 2),
   _xlpm.loc_col,  INDEX(_xlpm.data, , 3),
   _xlpm.target_date, DATE(YEAR($C$1), MONTH($C$1), AF$7),
   _xlpm.filtered, _xlfn._xlws.FILTER(_xlpm.name_col, (_xlpm.date_col = _xlpm.target_date) * (_xlpm.loc_col =$C9), ""),
   IF(_xlpm.filtered="", "", _xlpm.filtered)
)</f>
        <v/>
      </c>
      <c r="AG9" s="186" t="str" cm="1">
        <f t="array" ref="AG9">_xlfn.LET(
   _xlpm.data, 表格3_5[[Date]:[Location]],
   _xlpm.date_col, INDEX(_xlpm.data, , 1),
   _xlpm.name_col, INDEX(_xlpm.data, , 2),
   _xlpm.loc_col,  INDEX(_xlpm.data, , 3),
   _xlpm.target_date, DATE(YEAR($C$1), MONTH($C$1), AG$7),
   _xlpm.filtered, _xlfn._xlws.FILTER(_xlpm.name_col, (_xlpm.date_col = _xlpm.target_date) * (_xlpm.loc_col =$C9), ""),
   IF(_xlpm.filtered="", "", _xlpm.filtered)
)</f>
        <v>Edith</v>
      </c>
      <c r="AH9" s="186" t="str" cm="1">
        <f t="array" ref="AH9">_xlfn.LET(
   _xlpm.data, 表格3_5[[Date]:[Location]],
   _xlpm.date_col, INDEX(_xlpm.data, , 1),
   _xlpm.name_col, INDEX(_xlpm.data, , 2),
   _xlpm.loc_col,  INDEX(_xlpm.data, , 3),
   _xlpm.target_date, DATE(YEAR($C$1), MONTH($C$1), AH$7),
   _xlpm.filtered, _xlfn._xlws.FILTER(_xlpm.name_col, (_xlpm.date_col = _xlpm.target_date) * (_xlpm.loc_col =$C9), ""),
   IF(_xlpm.filtered="", "", _xlpm.filtered)
)</f>
        <v/>
      </c>
      <c r="AI9" s="187">
        <f t="shared" ref="AI9:AI31" si="33">COUNTIF(D9:AH9,"?*")</f>
        <v>10</v>
      </c>
      <c r="AJ9" s="187">
        <f t="shared" ref="AJ9:AJ20" si="34">AI9*8</f>
        <v>80</v>
      </c>
      <c r="AK9" s="177"/>
      <c r="AM9" s="181" t="str">
        <f t="shared" ref="AM9:AM20" si="35">C9</f>
        <v>KT YOHO</v>
      </c>
      <c r="AN9" s="188" t="e">
        <f>IF(D9=".",D9,IF(VLOOKUP($AM9&amp;D$1+D4&amp;D9, 工作表1!$C:$V,1,) &gt; 0,D9,"ERROR"))</f>
        <v>#N/A</v>
      </c>
      <c r="AO9" s="188" t="e">
        <f>IF(E9=".",E9,IF(VLOOKUP($AM9&amp;E$1+E4&amp;E9, 工作表1!$C:$V,1,) &gt; 0,E9,"ERROR"))</f>
        <v>#N/A</v>
      </c>
      <c r="AP9" s="188" t="e">
        <f>IF(F9=".",F9,IF(VLOOKUP($AM9&amp;F$1+F4&amp;F9, 工作表1!$C:$V,1,) &gt; 0,F9,"ERROR"))</f>
        <v>#N/A</v>
      </c>
      <c r="AQ9" s="188" t="e">
        <f>IF(G9=".",G9,IF(VLOOKUP($AM9&amp;G$1+G4&amp;G9, 工作表1!$C:$V,1,) &gt; 0,G9,"ERROR"))</f>
        <v>#N/A</v>
      </c>
      <c r="AR9" s="188" t="e">
        <f>IF(H9=".",H9,IF(VLOOKUP($AM9&amp;H$1+H4&amp;H9, 工作表1!$C:$V,1,) &gt; 0,H9,"ERROR"))</f>
        <v>#N/A</v>
      </c>
      <c r="AS9" s="188" t="e">
        <f>IF(I9=".",I9,IF(VLOOKUP($AM9&amp;I$1+I4&amp;I9, 工作表1!$C:$V,1,) &gt; 0,I9,"ERROR"))</f>
        <v>#N/A</v>
      </c>
      <c r="AT9" s="188" t="e">
        <f>IF(J9=".",J9,IF(VLOOKUP($AM9&amp;J$1+J4&amp;J9, 工作表1!$C:$V,1,) &gt; 0,J9,"ERROR"))</f>
        <v>#N/A</v>
      </c>
      <c r="AU9" s="188" t="e">
        <f>IF(K9=".",K9,IF(VLOOKUP($AM9&amp;K$1+K4&amp;K9, 工作表1!$C:$V,1,) &gt; 0,K9,"ERROR"))</f>
        <v>#N/A</v>
      </c>
      <c r="AV9" s="188" t="e">
        <f>IF(L9=".",L9,IF(VLOOKUP($AM9&amp;L$1+L4&amp;L9, 工作表1!$C:$V,1,) &gt; 0,L9,"ERROR"))</f>
        <v>#N/A</v>
      </c>
      <c r="AW9" s="188" t="e">
        <f>IF(M9=".",M9,IF(VLOOKUP($AM9&amp;M$1+M4&amp;M9, 工作表1!$C:$V,1,) &gt; 0,M9,"ERROR"))</f>
        <v>#N/A</v>
      </c>
      <c r="AX9" s="188" t="e">
        <f>IF(N9=".",N9,IF(VLOOKUP($AM9&amp;N$1+N4&amp;N9, 工作表1!$C:$V,1,) &gt; 0,N9,"ERROR"))</f>
        <v>#N/A</v>
      </c>
      <c r="AY9" s="188" t="e">
        <f>IF(O9=".",O9,IF(VLOOKUP($AM9&amp;O$1+O4&amp;O9, 工作表1!$C:$V,1,) &gt; 0,O9,"ERROR"))</f>
        <v>#N/A</v>
      </c>
      <c r="AZ9" s="188" t="e">
        <f>IF(P9=".",P9,IF(VLOOKUP($AM9&amp;P$1+P4&amp;P9, 工作表1!$C:$V,1,) &gt; 0,P9,"ERROR"))</f>
        <v>#N/A</v>
      </c>
      <c r="BA9" s="188" t="e">
        <f>IF(Q9=".",Q9,IF(VLOOKUP($AM9&amp;Q$1+Q4&amp;Q9, 工作表1!$C:$V,1,) &gt; 0,Q9,"ERROR"))</f>
        <v>#N/A</v>
      </c>
      <c r="BB9" s="188" t="e">
        <f>IF(R9=".",R9,IF(VLOOKUP($AM9&amp;R$1+R4&amp;R9, 工作表1!$C:$V,1,) &gt; 0,R9,"ERROR"))</f>
        <v>#N/A</v>
      </c>
      <c r="BC9" s="188" t="e">
        <f>IF(S9=".",S9,IF(VLOOKUP($AM9&amp;S$1+S4&amp;S9, 工作表1!$C:$V,1,) &gt; 0,S9,"ERROR"))</f>
        <v>#N/A</v>
      </c>
      <c r="BD9" s="188" t="e">
        <f>IF(T9=".",T9,IF(VLOOKUP($AM9&amp;T$1+T4&amp;T9, 工作表1!$C:$V,1,) &gt; 0,T9,"ERROR"))</f>
        <v>#N/A</v>
      </c>
      <c r="BE9" s="188" t="e">
        <f>IF(U9=".",U9,IF(VLOOKUP($AM9&amp;U$1+U4&amp;U9, 工作表1!$C:$V,1,) &gt; 0,U9,"ERROR"))</f>
        <v>#N/A</v>
      </c>
      <c r="BF9" s="188" t="e">
        <f>IF(V9=".",V9,IF(VLOOKUP($AM9&amp;V$1+V4&amp;V9, 工作表1!$C:$V,1,) &gt; 0,V9,"ERROR"))</f>
        <v>#N/A</v>
      </c>
      <c r="BG9" s="188" t="e">
        <f>IF(W9=".",W9,IF(VLOOKUP($AM9&amp;W$1+W4&amp;W9, 工作表1!$C:$V,1,) &gt; 0,W9,"ERROR"))</f>
        <v>#N/A</v>
      </c>
      <c r="BH9" s="188" t="e">
        <f>IF(X9=".",X9,IF(VLOOKUP($AM9&amp;X$1+X4&amp;X9, 工作表1!$C:$V,1,) &gt; 0,X9,"ERROR"))</f>
        <v>#N/A</v>
      </c>
      <c r="BI9" s="188" t="e">
        <f>IF(Y9=".",Y9,IF(VLOOKUP($AM9&amp;Y$1+Y4&amp;Y9, 工作表1!$C:$V,1,) &gt; 0,Y9,"ERROR"))</f>
        <v>#N/A</v>
      </c>
      <c r="BJ9" s="188" t="e">
        <f>IF(Z9=".",Z9,IF(VLOOKUP($AM9&amp;Z$1+Z4&amp;Z9, 工作表1!$C:$V,1,) &gt; 0,Z9,"ERROR"))</f>
        <v>#N/A</v>
      </c>
      <c r="BK9" s="188" t="e">
        <f>IF(AA9=".",AA9,IF(VLOOKUP($AM9&amp;AA$1+AA4&amp;AA9, 工作表1!$C:$V,1,) &gt; 0,AA9,"ERROR"))</f>
        <v>#N/A</v>
      </c>
      <c r="BL9" s="188" t="e">
        <f>IF(AB9=".",AB9,IF(VLOOKUP($AM9&amp;AB$1+AB4&amp;AB9, 工作表1!$C:$V,1,) &gt; 0,AB9,"ERROR"))</f>
        <v>#N/A</v>
      </c>
      <c r="BM9" s="188" t="e">
        <f>IF(AC9=".",AC9,IF(VLOOKUP($AM9&amp;AC$1+AC4&amp;AC9, 工作表1!$C:$V,1,) &gt; 0,AC9,"ERROR"))</f>
        <v>#N/A</v>
      </c>
      <c r="BN9" s="188" t="e">
        <f>IF(AD9=".",AD9,IF(VLOOKUP($AM9&amp;AD$1+AD4&amp;AD9, 工作表1!$C:$V,1,) &gt; 0,AD9,"ERROR"))</f>
        <v>#N/A</v>
      </c>
      <c r="BO9" s="188" t="e">
        <f>IF(AE9=".",AE9,IF(VLOOKUP($AM9&amp;AE$1+AE4&amp;AE9, 工作表1!$C:$V,1,) &gt; 0,AE9,"ERROR"))</f>
        <v>#N/A</v>
      </c>
      <c r="BP9" s="188" t="e">
        <f>IF(AF9=".",AF9,IF(VLOOKUP($AM9&amp;AF$1+AF4&amp;AF9, 工作表1!$C:$V,1,) &gt; 0,AF9,"ERROR"))</f>
        <v>#N/A</v>
      </c>
      <c r="BQ9" s="188" t="e">
        <f>IF(AG9=".",AG9,IF(VLOOKUP($AM9&amp;AG$1+AG4&amp;AG9, 工作表1!$C:$V,1,) &gt; 0,AG9,"ERROR"))</f>
        <v>#N/A</v>
      </c>
      <c r="BR9" s="188" t="e">
        <f>IF(AH9=".",AH9,IF(VLOOKUP($AM9&amp;AH$1+AH4&amp;AH9, 工作表1!$C:$V,1,) &gt; 0,AH9,"ERROR"))</f>
        <v>#N/A</v>
      </c>
      <c r="BS9" s="188" t="e">
        <f>IF(#REF!=".",#REF!,IF(VLOOKUP($AM9&amp;#REF!+#REF!&amp;#REF!, 工作表1!$C:$V,1,) &gt; 0,#REF!,"ERROR"))</f>
        <v>#REF!</v>
      </c>
      <c r="BT9" s="188" t="e">
        <f>IF(#REF!=".",#REF!,IF(VLOOKUP($AM9&amp;#REF!+#REF!&amp;#REF!, 工作表1!$C:$V,1,) &gt; 0,#REF!,"ERROR"))</f>
        <v>#REF!</v>
      </c>
    </row>
    <row r="10" spans="2:72">
      <c r="B10" t="str" cm="1">
        <f t="array" ref="B10">_xlfn.LET(
    _xlpm.data, D10:AH10,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Edith</v>
      </c>
      <c r="C10" s="176" t="str">
        <v>Wai Chai</v>
      </c>
      <c r="D10" s="186" t="str" cm="1">
        <f t="array" ref="D10">_xlfn.LET(
   _xlpm.data, 表格3_5[[Date]:[Location]],
   _xlpm.date_col, INDEX(_xlpm.data, , 1),
   _xlpm.name_col, INDEX(_xlpm.data, , 2),
   _xlpm.loc_col,  INDEX(_xlpm.data, , 3),
   _xlpm.target_date, DATE(YEAR($C$1), MONTH($C$1), D$7),
   _xlpm.filtered, _xlfn._xlws.FILTER(_xlpm.name_col, (_xlpm.date_col = _xlpm.target_date) * (_xlpm.loc_col =$C10), ""),
   IF(_xlpm.filtered="", "", _xlpm.filtered)
)</f>
        <v/>
      </c>
      <c r="E10" s="186" t="str" cm="1">
        <f t="array" ref="E10">_xlfn.LET(
   _xlpm.data, 表格3_5[[Date]:[Location]],
   _xlpm.date_col, INDEX(_xlpm.data, , 1),
   _xlpm.name_col, INDEX(_xlpm.data, , 2),
   _xlpm.loc_col,  INDEX(_xlpm.data, , 3),
   _xlpm.target_date, DATE(YEAR($C$1), MONTH($C$1), E$7),
   _xlpm.filtered, _xlfn._xlws.FILTER(_xlpm.name_col, (_xlpm.date_col = _xlpm.target_date) * (_xlpm.loc_col =$C10), ""),
   IF(_xlpm.filtered="", "", _xlpm.filtered)
)</f>
        <v/>
      </c>
      <c r="F10" s="186" t="str" cm="1">
        <f t="array" ref="F10">_xlfn.LET(
   _xlpm.data, 表格3_5[[Date]:[Location]],
   _xlpm.date_col, INDEX(_xlpm.data, , 1),
   _xlpm.name_col, INDEX(_xlpm.data, , 2),
   _xlpm.loc_col,  INDEX(_xlpm.data, , 3),
   _xlpm.target_date, DATE(YEAR($C$1), MONTH($C$1), F$7),
   _xlpm.filtered, _xlfn._xlws.FILTER(_xlpm.name_col, (_xlpm.date_col = _xlpm.target_date) * (_xlpm.loc_col =$C10), ""),
   IF(_xlpm.filtered="", "", _xlpm.filtered)
)</f>
        <v/>
      </c>
      <c r="G10" s="186" t="str" cm="1">
        <f t="array" ref="G10">_xlfn.LET(
   _xlpm.data, 表格3_5[[Date]:[Location]],
   _xlpm.date_col, INDEX(_xlpm.data, , 1),
   _xlpm.name_col, INDEX(_xlpm.data, , 2),
   _xlpm.loc_col,  INDEX(_xlpm.data, , 3),
   _xlpm.target_date, DATE(YEAR($C$1), MONTH($C$1), G$7),
   _xlpm.filtered, _xlfn._xlws.FILTER(_xlpm.name_col, (_xlpm.date_col = _xlpm.target_date) * (_xlpm.loc_col =$C10), ""),
   IF(_xlpm.filtered="", "", _xlpm.filtered)
)</f>
        <v/>
      </c>
      <c r="H10" s="186" t="str" cm="1">
        <f t="array" ref="H10">_xlfn.LET(
   _xlpm.data, 表格3_5[[Date]:[Location]],
   _xlpm.date_col, INDEX(_xlpm.data, , 1),
   _xlpm.name_col, INDEX(_xlpm.data, , 2),
   _xlpm.loc_col,  INDEX(_xlpm.data, , 3),
   _xlpm.target_date, DATE(YEAR($C$1), MONTH($C$1), H$7),
   _xlpm.filtered, _xlfn._xlws.FILTER(_xlpm.name_col, (_xlpm.date_col = _xlpm.target_date) * (_xlpm.loc_col =$C10), ""),
   IF(_xlpm.filtered="", "", _xlpm.filtered)
)</f>
        <v/>
      </c>
      <c r="I10" s="186" t="str" cm="1">
        <f t="array" ref="I10">_xlfn.LET(
   _xlpm.data, 表格3_5[[Date]:[Location]],
   _xlpm.date_col, INDEX(_xlpm.data, , 1),
   _xlpm.name_col, INDEX(_xlpm.data, , 2),
   _xlpm.loc_col,  INDEX(_xlpm.data, , 3),
   _xlpm.target_date, DATE(YEAR($C$1), MONTH($C$1), I$7),
   _xlpm.filtered, _xlfn._xlws.FILTER(_xlpm.name_col, (_xlpm.date_col = _xlpm.target_date) * (_xlpm.loc_col =$C10), ""),
   IF(_xlpm.filtered="", "", _xlpm.filtered)
)</f>
        <v/>
      </c>
      <c r="J10" s="186" t="str" cm="1">
        <f t="array" ref="J10">_xlfn.LET(
   _xlpm.data, 表格3_5[[Date]:[Location]],
   _xlpm.date_col, INDEX(_xlpm.data, , 1),
   _xlpm.name_col, INDEX(_xlpm.data, , 2),
   _xlpm.loc_col,  INDEX(_xlpm.data, , 3),
   _xlpm.target_date, DATE(YEAR($C$1), MONTH($C$1), J$7),
   _xlpm.filtered, _xlfn._xlws.FILTER(_xlpm.name_col, (_xlpm.date_col = _xlpm.target_date) * (_xlpm.loc_col =$C10), ""),
   IF(_xlpm.filtered="", "", _xlpm.filtered)
)</f>
        <v/>
      </c>
      <c r="K10" s="186" t="str" cm="1">
        <f t="array" ref="K10">_xlfn.LET(
   _xlpm.data, 表格3_5[[Date]:[Location]],
   _xlpm.date_col, INDEX(_xlpm.data, , 1),
   _xlpm.name_col, INDEX(_xlpm.data, , 2),
   _xlpm.loc_col,  INDEX(_xlpm.data, , 3),
   _xlpm.target_date, DATE(YEAR($C$1), MONTH($C$1), K$7),
   _xlpm.filtered, _xlfn._xlws.FILTER(_xlpm.name_col, (_xlpm.date_col = _xlpm.target_date) * (_xlpm.loc_col =$C10), ""),
   IF(_xlpm.filtered="", "", _xlpm.filtered)
)</f>
        <v/>
      </c>
      <c r="L10" s="186" t="str" cm="1">
        <f t="array" ref="L10">_xlfn.LET(
   _xlpm.data, 表格3_5[[Date]:[Location]],
   _xlpm.date_col, INDEX(_xlpm.data, , 1),
   _xlpm.name_col, INDEX(_xlpm.data, , 2),
   _xlpm.loc_col,  INDEX(_xlpm.data, , 3),
   _xlpm.target_date, DATE(YEAR($C$1), MONTH($C$1), L$7),
   _xlpm.filtered, _xlfn._xlws.FILTER(_xlpm.name_col, (_xlpm.date_col = _xlpm.target_date) * (_xlpm.loc_col =$C10), ""),
   IF(_xlpm.filtered="", "", _xlpm.filtered)
)</f>
        <v/>
      </c>
      <c r="M10" s="186" t="str" cm="1">
        <f t="array" ref="M10">_xlfn.LET(
   _xlpm.data, 表格3_5[[Date]:[Location]],
   _xlpm.date_col, INDEX(_xlpm.data, , 1),
   _xlpm.name_col, INDEX(_xlpm.data, , 2),
   _xlpm.loc_col,  INDEX(_xlpm.data, , 3),
   _xlpm.target_date, DATE(YEAR($C$1), MONTH($C$1), M$7),
   _xlpm.filtered, _xlfn._xlws.FILTER(_xlpm.name_col, (_xlpm.date_col = _xlpm.target_date) * (_xlpm.loc_col =$C10), ""),
   IF(_xlpm.filtered="", "", _xlpm.filtered)
)</f>
        <v/>
      </c>
      <c r="N10" s="186" t="str" cm="1">
        <f t="array" ref="N10">_xlfn.LET(
   _xlpm.data, 表格3_5[[Date]:[Location]],
   _xlpm.date_col, INDEX(_xlpm.data, , 1),
   _xlpm.name_col, INDEX(_xlpm.data, , 2),
   _xlpm.loc_col,  INDEX(_xlpm.data, , 3),
   _xlpm.target_date, DATE(YEAR($C$1), MONTH($C$1), N$7),
   _xlpm.filtered, _xlfn._xlws.FILTER(_xlpm.name_col, (_xlpm.date_col = _xlpm.target_date) * (_xlpm.loc_col =$C10), ""),
   IF(_xlpm.filtered="", "", _xlpm.filtered)
)</f>
        <v/>
      </c>
      <c r="O10" s="186" t="str" cm="1">
        <f t="array" ref="O10">_xlfn.LET(
   _xlpm.data, 表格3_5[[Date]:[Location]],
   _xlpm.date_col, INDEX(_xlpm.data, , 1),
   _xlpm.name_col, INDEX(_xlpm.data, , 2),
   _xlpm.loc_col,  INDEX(_xlpm.data, , 3),
   _xlpm.target_date, DATE(YEAR($C$1), MONTH($C$1), O$7),
   _xlpm.filtered, _xlfn._xlws.FILTER(_xlpm.name_col, (_xlpm.date_col = _xlpm.target_date) * (_xlpm.loc_col =$C10), ""),
   IF(_xlpm.filtered="", "", _xlpm.filtered)
)</f>
        <v/>
      </c>
      <c r="P10" s="186" t="str" cm="1">
        <f t="array" ref="P10">_xlfn.LET(
   _xlpm.data, 表格3_5[[Date]:[Location]],
   _xlpm.date_col, INDEX(_xlpm.data, , 1),
   _xlpm.name_col, INDEX(_xlpm.data, , 2),
   _xlpm.loc_col,  INDEX(_xlpm.data, , 3),
   _xlpm.target_date, DATE(YEAR($C$1), MONTH($C$1), P$7),
   _xlpm.filtered, _xlfn._xlws.FILTER(_xlpm.name_col, (_xlpm.date_col = _xlpm.target_date) * (_xlpm.loc_col =$C10), ""),
   IF(_xlpm.filtered="", "", _xlpm.filtered)
)</f>
        <v/>
      </c>
      <c r="Q10" s="186" t="str" cm="1">
        <f t="array" ref="Q10">_xlfn.LET(
   _xlpm.data, 表格3_5[[Date]:[Location]],
   _xlpm.date_col, INDEX(_xlpm.data, , 1),
   _xlpm.name_col, INDEX(_xlpm.data, , 2),
   _xlpm.loc_col,  INDEX(_xlpm.data, , 3),
   _xlpm.target_date, DATE(YEAR($C$1), MONTH($C$1), Q$7),
   _xlpm.filtered, _xlfn._xlws.FILTER(_xlpm.name_col, (_xlpm.date_col = _xlpm.target_date) * (_xlpm.loc_col =$C10), ""),
   IF(_xlpm.filtered="", "", _xlpm.filtered)
)</f>
        <v/>
      </c>
      <c r="R10" s="186" t="str" cm="1">
        <f t="array" ref="R10">_xlfn.LET(
   _xlpm.data, 表格3_5[[Date]:[Location]],
   _xlpm.date_col, INDEX(_xlpm.data, , 1),
   _xlpm.name_col, INDEX(_xlpm.data, , 2),
   _xlpm.loc_col,  INDEX(_xlpm.data, , 3),
   _xlpm.target_date, DATE(YEAR($C$1), MONTH($C$1), R$7),
   _xlpm.filtered, _xlfn._xlws.FILTER(_xlpm.name_col, (_xlpm.date_col = _xlpm.target_date) * (_xlpm.loc_col =$C10), ""),
   IF(_xlpm.filtered="", "", _xlpm.filtered)
)</f>
        <v/>
      </c>
      <c r="S10" s="186" t="str" cm="1">
        <f t="array" ref="S10">_xlfn.LET(
   _xlpm.data, 表格3_5[[Date]:[Location]],
   _xlpm.date_col, INDEX(_xlpm.data, , 1),
   _xlpm.name_col, INDEX(_xlpm.data, , 2),
   _xlpm.loc_col,  INDEX(_xlpm.data, , 3),
   _xlpm.target_date, DATE(YEAR($C$1), MONTH($C$1), S$7),
   _xlpm.filtered, _xlfn._xlws.FILTER(_xlpm.name_col, (_xlpm.date_col = _xlpm.target_date) * (_xlpm.loc_col =$C10), ""),
   IF(_xlpm.filtered="", "", _xlpm.filtered)
)</f>
        <v/>
      </c>
      <c r="T10" s="186" t="str" cm="1">
        <f t="array" ref="T10">_xlfn.LET(
   _xlpm.data, 表格3_5[[Date]:[Location]],
   _xlpm.date_col, INDEX(_xlpm.data, , 1),
   _xlpm.name_col, INDEX(_xlpm.data, , 2),
   _xlpm.loc_col,  INDEX(_xlpm.data, , 3),
   _xlpm.target_date, DATE(YEAR($C$1), MONTH($C$1), T$7),
   _xlpm.filtered, _xlfn._xlws.FILTER(_xlpm.name_col, (_xlpm.date_col = _xlpm.target_date) * (_xlpm.loc_col =$C10), ""),
   IF(_xlpm.filtered="", "", _xlpm.filtered)
)</f>
        <v/>
      </c>
      <c r="U10" s="186" t="str" cm="1">
        <f t="array" ref="U10">_xlfn.LET(
   _xlpm.data, 表格3_5[[Date]:[Location]],
   _xlpm.date_col, INDEX(_xlpm.data, , 1),
   _xlpm.name_col, INDEX(_xlpm.data, , 2),
   _xlpm.loc_col,  INDEX(_xlpm.data, , 3),
   _xlpm.target_date, DATE(YEAR($C$1), MONTH($C$1), U$7),
   _xlpm.filtered, _xlfn._xlws.FILTER(_xlpm.name_col, (_xlpm.date_col = _xlpm.target_date) * (_xlpm.loc_col =$C10), ""),
   IF(_xlpm.filtered="", "", _xlpm.filtered)
)</f>
        <v/>
      </c>
      <c r="V10" s="186" t="str" cm="1">
        <f t="array" ref="V10">_xlfn.LET(
   _xlpm.data, 表格3_5[[Date]:[Location]],
   _xlpm.date_col, INDEX(_xlpm.data, , 1),
   _xlpm.name_col, INDEX(_xlpm.data, , 2),
   _xlpm.loc_col,  INDEX(_xlpm.data, , 3),
   _xlpm.target_date, DATE(YEAR($C$1), MONTH($C$1), V$7),
   _xlpm.filtered, _xlfn._xlws.FILTER(_xlpm.name_col, (_xlpm.date_col = _xlpm.target_date) * (_xlpm.loc_col =$C10), ""),
   IF(_xlpm.filtered="", "", _xlpm.filtered)
)</f>
        <v/>
      </c>
      <c r="W10" s="186" t="str" cm="1">
        <f t="array" ref="W10">_xlfn.LET(
   _xlpm.data, 表格3_5[[Date]:[Location]],
   _xlpm.date_col, INDEX(_xlpm.data, , 1),
   _xlpm.name_col, INDEX(_xlpm.data, , 2),
   _xlpm.loc_col,  INDEX(_xlpm.data, , 3),
   _xlpm.target_date, DATE(YEAR($C$1), MONTH($C$1), W$7),
   _xlpm.filtered, _xlfn._xlws.FILTER(_xlpm.name_col, (_xlpm.date_col = _xlpm.target_date) * (_xlpm.loc_col =$C10), ""),
   IF(_xlpm.filtered="", "", _xlpm.filtered)
)</f>
        <v/>
      </c>
      <c r="X10" s="186" t="str" cm="1">
        <f t="array" ref="X10">_xlfn.LET(
   _xlpm.data, 表格3_5[[Date]:[Location]],
   _xlpm.date_col, INDEX(_xlpm.data, , 1),
   _xlpm.name_col, INDEX(_xlpm.data, , 2),
   _xlpm.loc_col,  INDEX(_xlpm.data, , 3),
   _xlpm.target_date, DATE(YEAR($C$1), MONTH($C$1), X$7),
   _xlpm.filtered, _xlfn._xlws.FILTER(_xlpm.name_col, (_xlpm.date_col = _xlpm.target_date) * (_xlpm.loc_col =$C10), ""),
   IF(_xlpm.filtered="", "", _xlpm.filtered)
)</f>
        <v>Edith</v>
      </c>
      <c r="Y10" s="186" t="str" cm="1">
        <f t="array" ref="Y10">_xlfn.LET(
   _xlpm.data, 表格3_5[[Date]:[Location]],
   _xlpm.date_col, INDEX(_xlpm.data, , 1),
   _xlpm.name_col, INDEX(_xlpm.data, , 2),
   _xlpm.loc_col,  INDEX(_xlpm.data, , 3),
   _xlpm.target_date, DATE(YEAR($C$1), MONTH($C$1), Y$7),
   _xlpm.filtered, _xlfn._xlws.FILTER(_xlpm.name_col, (_xlpm.date_col = _xlpm.target_date) * (_xlpm.loc_col =$C10), ""),
   IF(_xlpm.filtered="", "", _xlpm.filtered)
)</f>
        <v/>
      </c>
      <c r="Z10" s="186" t="str" cm="1">
        <f t="array" ref="Z10">_xlfn.LET(
   _xlpm.data, 表格3_5[[Date]:[Location]],
   _xlpm.date_col, INDEX(_xlpm.data, , 1),
   _xlpm.name_col, INDEX(_xlpm.data, , 2),
   _xlpm.loc_col,  INDEX(_xlpm.data, , 3),
   _xlpm.target_date, DATE(YEAR($C$1), MONTH($C$1), Z$7),
   _xlpm.filtered, _xlfn._xlws.FILTER(_xlpm.name_col, (_xlpm.date_col = _xlpm.target_date) * (_xlpm.loc_col =$C10), ""),
   IF(_xlpm.filtered="", "", _xlpm.filtered)
)</f>
        <v/>
      </c>
      <c r="AA10" s="186" t="str" cm="1">
        <f t="array" ref="AA10">_xlfn.LET(
   _xlpm.data, 表格3_5[[Date]:[Location]],
   _xlpm.date_col, INDEX(_xlpm.data, , 1),
   _xlpm.name_col, INDEX(_xlpm.data, , 2),
   _xlpm.loc_col,  INDEX(_xlpm.data, , 3),
   _xlpm.target_date, DATE(YEAR($C$1), MONTH($C$1), AA$7),
   _xlpm.filtered, _xlfn._xlws.FILTER(_xlpm.name_col, (_xlpm.date_col = _xlpm.target_date) * (_xlpm.loc_col =$C10), ""),
   IF(_xlpm.filtered="", "", _xlpm.filtered)
)</f>
        <v/>
      </c>
      <c r="AB10" s="186" t="str" cm="1">
        <f t="array" ref="AB10">_xlfn.LET(
   _xlpm.data, 表格3_5[[Date]:[Location]],
   _xlpm.date_col, INDEX(_xlpm.data, , 1),
   _xlpm.name_col, INDEX(_xlpm.data, , 2),
   _xlpm.loc_col,  INDEX(_xlpm.data, , 3),
   _xlpm.target_date, DATE(YEAR($C$1), MONTH($C$1), AB$7),
   _xlpm.filtered, _xlfn._xlws.FILTER(_xlpm.name_col, (_xlpm.date_col = _xlpm.target_date) * (_xlpm.loc_col =$C10), ""),
   IF(_xlpm.filtered="", "", _xlpm.filtered)
)</f>
        <v/>
      </c>
      <c r="AC10" s="186" t="str" cm="1">
        <f t="array" ref="AC10">_xlfn.LET(
   _xlpm.data, 表格3_5[[Date]:[Location]],
   _xlpm.date_col, INDEX(_xlpm.data, , 1),
   _xlpm.name_col, INDEX(_xlpm.data, , 2),
   _xlpm.loc_col,  INDEX(_xlpm.data, , 3),
   _xlpm.target_date, DATE(YEAR($C$1), MONTH($C$1), AC$7),
   _xlpm.filtered, _xlfn._xlws.FILTER(_xlpm.name_col, (_xlpm.date_col = _xlpm.target_date) * (_xlpm.loc_col =$C10), ""),
   IF(_xlpm.filtered="", "", _xlpm.filtered)
)</f>
        <v/>
      </c>
      <c r="AD10" s="186" t="str" cm="1">
        <f t="array" ref="AD10">_xlfn.LET(
   _xlpm.data, 表格3_5[[Date]:[Location]],
   _xlpm.date_col, INDEX(_xlpm.data, , 1),
   _xlpm.name_col, INDEX(_xlpm.data, , 2),
   _xlpm.loc_col,  INDEX(_xlpm.data, , 3),
   _xlpm.target_date, DATE(YEAR($C$1), MONTH($C$1), AD$7),
   _xlpm.filtered, _xlfn._xlws.FILTER(_xlpm.name_col, (_xlpm.date_col = _xlpm.target_date) * (_xlpm.loc_col =$C10), ""),
   IF(_xlpm.filtered="", "", _xlpm.filtered)
)</f>
        <v/>
      </c>
      <c r="AE10" s="186" t="str" cm="1">
        <f t="array" ref="AE10">_xlfn.LET(
   _xlpm.data, 表格3_5[[Date]:[Location]],
   _xlpm.date_col, INDEX(_xlpm.data, , 1),
   _xlpm.name_col, INDEX(_xlpm.data, , 2),
   _xlpm.loc_col,  INDEX(_xlpm.data, , 3),
   _xlpm.target_date, DATE(YEAR($C$1), MONTH($C$1), AE$7),
   _xlpm.filtered, _xlfn._xlws.FILTER(_xlpm.name_col, (_xlpm.date_col = _xlpm.target_date) * (_xlpm.loc_col =$C10), ""),
   IF(_xlpm.filtered="", "", _xlpm.filtered)
)</f>
        <v/>
      </c>
      <c r="AF10" s="186" t="str" cm="1">
        <f t="array" ref="AF10">_xlfn.LET(
   _xlpm.data, 表格3_5[[Date]:[Location]],
   _xlpm.date_col, INDEX(_xlpm.data, , 1),
   _xlpm.name_col, INDEX(_xlpm.data, , 2),
   _xlpm.loc_col,  INDEX(_xlpm.data, , 3),
   _xlpm.target_date, DATE(YEAR($C$1), MONTH($C$1), AF$7),
   _xlpm.filtered, _xlfn._xlws.FILTER(_xlpm.name_col, (_xlpm.date_col = _xlpm.target_date) * (_xlpm.loc_col =$C10), ""),
   IF(_xlpm.filtered="", "", _xlpm.filtered)
)</f>
        <v/>
      </c>
      <c r="AG10" s="186" t="str" cm="1">
        <f t="array" ref="AG10">_xlfn.LET(
   _xlpm.data, 表格3_5[[Date]:[Location]],
   _xlpm.date_col, INDEX(_xlpm.data, , 1),
   _xlpm.name_col, INDEX(_xlpm.data, , 2),
   _xlpm.loc_col,  INDEX(_xlpm.data, , 3),
   _xlpm.target_date, DATE(YEAR($C$1), MONTH($C$1), AG$7),
   _xlpm.filtered, _xlfn._xlws.FILTER(_xlpm.name_col, (_xlpm.date_col = _xlpm.target_date) * (_xlpm.loc_col =$C10), ""),
   IF(_xlpm.filtered="", "", _xlpm.filtered)
)</f>
        <v/>
      </c>
      <c r="AH10" s="186" t="str" cm="1">
        <f t="array" ref="AH10">_xlfn.LET(
   _xlpm.data, 表格3_5[[Date]:[Location]],
   _xlpm.date_col, INDEX(_xlpm.data, , 1),
   _xlpm.name_col, INDEX(_xlpm.data, , 2),
   _xlpm.loc_col,  INDEX(_xlpm.data, , 3),
   _xlpm.target_date, DATE(YEAR($C$1), MONTH($C$1), AH$7),
   _xlpm.filtered, _xlfn._xlws.FILTER(_xlpm.name_col, (_xlpm.date_col = _xlpm.target_date) * (_xlpm.loc_col =$C10), ""),
   IF(_xlpm.filtered="", "", _xlpm.filtered)
)</f>
        <v/>
      </c>
      <c r="AI10" s="187">
        <f t="shared" si="33"/>
        <v>1</v>
      </c>
      <c r="AJ10" s="187">
        <f t="shared" si="34"/>
        <v>8</v>
      </c>
      <c r="AK10" s="177"/>
      <c r="AM10" s="181" t="str">
        <f t="shared" si="35"/>
        <v>Wai Chai</v>
      </c>
      <c r="AN10" s="188" t="e">
        <f>IF(D10=".",D10,IF(VLOOKUP($AM10&amp;D$1+D5&amp;D10, 工作表1!$C:$V,1,) &gt; 0,D10,"ERROR"))</f>
        <v>#N/A</v>
      </c>
      <c r="AO10" s="188" t="e">
        <f>IF(E10=".",E10,IF(VLOOKUP($AM10&amp;E$1+E5&amp;E10, 工作表1!$C:$V,1,) &gt; 0,E10,"ERROR"))</f>
        <v>#N/A</v>
      </c>
      <c r="AP10" s="188" t="e">
        <f>IF(F10=".",F10,IF(VLOOKUP($AM10&amp;F$1+F5&amp;F10, 工作表1!$C:$V,1,) &gt; 0,F10,"ERROR"))</f>
        <v>#N/A</v>
      </c>
      <c r="AQ10" s="188" t="e">
        <f>IF(G10=".",G10,IF(VLOOKUP($AM10&amp;G$1+G5&amp;G10, 工作表1!$C:$V,1,) &gt; 0,G10,"ERROR"))</f>
        <v>#N/A</v>
      </c>
      <c r="AR10" s="188" t="e">
        <f>IF(H10=".",H10,IF(VLOOKUP($AM10&amp;H$1+H5&amp;H10, 工作表1!$C:$V,1,) &gt; 0,H10,"ERROR"))</f>
        <v>#N/A</v>
      </c>
      <c r="AS10" s="188" t="e">
        <f>IF(I10=".",I10,IF(VLOOKUP($AM10&amp;I$1+I5&amp;I10, 工作表1!$C:$V,1,) &gt; 0,I10,"ERROR"))</f>
        <v>#N/A</v>
      </c>
      <c r="AT10" s="188" t="e">
        <f>IF(J10=".",J10,IF(VLOOKUP($AM10&amp;J$1+J5&amp;J10, 工作表1!$C:$V,1,) &gt; 0,J10,"ERROR"))</f>
        <v>#N/A</v>
      </c>
      <c r="AU10" s="188" t="e">
        <f>IF(K10=".",K10,IF(VLOOKUP($AM10&amp;K$1+K5&amp;K10, 工作表1!$C:$V,1,) &gt; 0,K10,"ERROR"))</f>
        <v>#N/A</v>
      </c>
      <c r="AV10" s="188" t="e">
        <f>IF(L10=".",L10,IF(VLOOKUP($AM10&amp;L$1+L5&amp;L10, 工作表1!$C:$V,1,) &gt; 0,L10,"ERROR"))</f>
        <v>#N/A</v>
      </c>
      <c r="AW10" s="188" t="e">
        <f>IF(M10=".",M10,IF(VLOOKUP($AM10&amp;M$1+M5&amp;M10, 工作表1!$C:$V,1,) &gt; 0,M10,"ERROR"))</f>
        <v>#N/A</v>
      </c>
      <c r="AX10" s="188" t="e">
        <f>IF(N10=".",N10,IF(VLOOKUP($AM10&amp;N$1+N5&amp;N10, 工作表1!$C:$V,1,) &gt; 0,N10,"ERROR"))</f>
        <v>#N/A</v>
      </c>
      <c r="AY10" s="188" t="e">
        <f>IF(O10=".",O10,IF(VLOOKUP($AM10&amp;O$1+O5&amp;O10, 工作表1!$C:$V,1,) &gt; 0,O10,"ERROR"))</f>
        <v>#N/A</v>
      </c>
      <c r="AZ10" s="188" t="e">
        <f>IF(P10=".",P10,IF(VLOOKUP($AM10&amp;P$1+P5&amp;P10, 工作表1!$C:$V,1,) &gt; 0,P10,"ERROR"))</f>
        <v>#N/A</v>
      </c>
      <c r="BA10" s="188" t="e">
        <f>IF(Q10=".",Q10,IF(VLOOKUP($AM10&amp;Q$1+Q5&amp;Q10, 工作表1!$C:$V,1,) &gt; 0,Q10,"ERROR"))</f>
        <v>#N/A</v>
      </c>
      <c r="BB10" s="188" t="e">
        <f>IF(R10=".",R10,IF(VLOOKUP($AM10&amp;R$1+R5&amp;R10, 工作表1!$C:$V,1,) &gt; 0,R10,"ERROR"))</f>
        <v>#N/A</v>
      </c>
      <c r="BC10" s="188" t="e">
        <f>IF(S10=".",S10,IF(VLOOKUP($AM10&amp;S$1+S5&amp;S10, 工作表1!$C:$V,1,) &gt; 0,S10,"ERROR"))</f>
        <v>#N/A</v>
      </c>
      <c r="BD10" s="188" t="e">
        <f>IF(T10=".",T10,IF(VLOOKUP($AM10&amp;T$1+T5&amp;T10, 工作表1!$C:$V,1,) &gt; 0,T10,"ERROR"))</f>
        <v>#N/A</v>
      </c>
      <c r="BE10" s="188" t="e">
        <f>IF(U10=".",U10,IF(VLOOKUP($AM10&amp;U$1+U5&amp;U10, 工作表1!$C:$V,1,) &gt; 0,U10,"ERROR"))</f>
        <v>#N/A</v>
      </c>
      <c r="BF10" s="188" t="e">
        <f>IF(V10=".",V10,IF(VLOOKUP($AM10&amp;V$1+V5&amp;V10, 工作表1!$C:$V,1,) &gt; 0,V10,"ERROR"))</f>
        <v>#N/A</v>
      </c>
      <c r="BG10" s="188" t="e">
        <f>IF(W10=".",W10,IF(VLOOKUP($AM10&amp;W$1+W5&amp;W10, 工作表1!$C:$V,1,) &gt; 0,W10,"ERROR"))</f>
        <v>#N/A</v>
      </c>
      <c r="BH10" s="188" t="e">
        <f>IF(X10=".",X10,IF(VLOOKUP($AM10&amp;X$1+X5&amp;X10, 工作表1!$C:$V,1,) &gt; 0,X10,"ERROR"))</f>
        <v>#N/A</v>
      </c>
      <c r="BI10" s="188" t="e">
        <f>IF(Y10=".",Y10,IF(VLOOKUP($AM10&amp;Y$1+Y5&amp;Y10, 工作表1!$C:$V,1,) &gt; 0,Y10,"ERROR"))</f>
        <v>#N/A</v>
      </c>
      <c r="BJ10" s="188" t="e">
        <f>IF(Z10=".",Z10,IF(VLOOKUP($AM10&amp;Z$1+Z5&amp;Z10, 工作表1!$C:$V,1,) &gt; 0,Z10,"ERROR"))</f>
        <v>#N/A</v>
      </c>
      <c r="BK10" s="188" t="e">
        <f>IF(AA10=".",AA10,IF(VLOOKUP($AM10&amp;AA$1+AA5&amp;AA10, 工作表1!$C:$V,1,) &gt; 0,AA10,"ERROR"))</f>
        <v>#N/A</v>
      </c>
      <c r="BL10" s="188" t="e">
        <f>IF(AB10=".",AB10,IF(VLOOKUP($AM10&amp;AB$1+AB5&amp;AB10, 工作表1!$C:$V,1,) &gt; 0,AB10,"ERROR"))</f>
        <v>#N/A</v>
      </c>
      <c r="BM10" s="188" t="e">
        <f>IF(AC10=".",AC10,IF(VLOOKUP($AM10&amp;AC$1+AC5&amp;AC10, 工作表1!$C:$V,1,) &gt; 0,AC10,"ERROR"))</f>
        <v>#N/A</v>
      </c>
      <c r="BN10" s="188" t="e">
        <f>IF(AD10=".",AD10,IF(VLOOKUP($AM10&amp;AD$1+AD5&amp;AD10, 工作表1!$C:$V,1,) &gt; 0,AD10,"ERROR"))</f>
        <v>#N/A</v>
      </c>
      <c r="BO10" s="188" t="e">
        <f>IF(AE10=".",AE10,IF(VLOOKUP($AM10&amp;AE$1+AE5&amp;AE10, 工作表1!$C:$V,1,) &gt; 0,AE10,"ERROR"))</f>
        <v>#N/A</v>
      </c>
      <c r="BP10" s="188" t="e">
        <f>IF(AF10=".",AF10,IF(VLOOKUP($AM10&amp;AF$1+AF5&amp;AF10, 工作表1!$C:$V,1,) &gt; 0,AF10,"ERROR"))</f>
        <v>#N/A</v>
      </c>
      <c r="BQ10" s="188" t="e">
        <f>IF(AG10=".",AG10,IF(VLOOKUP($AM10&amp;AG$1+AG5&amp;AG10, 工作表1!$C:$V,1,) &gt; 0,AG10,"ERROR"))</f>
        <v>#N/A</v>
      </c>
      <c r="BR10" s="188" t="e">
        <f>IF(AH10=".",AH10,IF(VLOOKUP($AM10&amp;AH$1+AH5&amp;AH10, 工作表1!$C:$V,1,) &gt; 0,AH10,"ERROR"))</f>
        <v>#N/A</v>
      </c>
      <c r="BS10" s="188" t="e">
        <f>IF(#REF!=".",#REF!,IF(VLOOKUP($AM10&amp;#REF!+#REF!&amp;#REF!, 工作表1!$C:$V,1,) &gt; 0,#REF!,"ERROR"))</f>
        <v>#REF!</v>
      </c>
      <c r="BT10" s="188" t="e">
        <f>IF(#REF!=".",#REF!,IF(VLOOKUP($AM10&amp;#REF!+#REF!&amp;#REF!, 工作表1!$C:$V,1,) &gt; 0,#REF!,"ERROR"))</f>
        <v>#REF!</v>
      </c>
    </row>
    <row r="11" spans="2:72">
      <c r="B11" t="str" cm="1">
        <f t="array" ref="B11">_xlfn.LET(
    _xlpm.data, D11:AH11,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Amy</v>
      </c>
      <c r="C11" s="178" t="str">
        <v>Telford plaza Chung Yuen</v>
      </c>
      <c r="D11" s="186" t="str" cm="1">
        <f t="array" ref="D11">_xlfn.LET(
   _xlpm.data, 表格3_5[[Date]:[Location]],
   _xlpm.date_col, INDEX(_xlpm.data, , 1),
   _xlpm.name_col, INDEX(_xlpm.data, , 2),
   _xlpm.loc_col,  INDEX(_xlpm.data, , 3),
   _xlpm.target_date, DATE(YEAR($C$1), MONTH($C$1), D$7),
   _xlpm.filtered, _xlfn._xlws.FILTER(_xlpm.name_col, (_xlpm.date_col = _xlpm.target_date) * (_xlpm.loc_col =$C11), ""),
   IF(_xlpm.filtered="", "", _xlpm.filtered)
)</f>
        <v>Amy</v>
      </c>
      <c r="E11" s="186" t="str" cm="1">
        <f t="array" ref="E11">_xlfn.LET(
   _xlpm.data, 表格3_5[[Date]:[Location]],
   _xlpm.date_col, INDEX(_xlpm.data, , 1),
   _xlpm.name_col, INDEX(_xlpm.data, , 2),
   _xlpm.loc_col,  INDEX(_xlpm.data, , 3),
   _xlpm.target_date, DATE(YEAR($C$1), MONTH($C$1), E$7),
   _xlpm.filtered, _xlfn._xlws.FILTER(_xlpm.name_col, (_xlpm.date_col = _xlpm.target_date) * (_xlpm.loc_col =$C11), ""),
   IF(_xlpm.filtered="", "", _xlpm.filtered)
)</f>
        <v/>
      </c>
      <c r="F11" s="186" t="str" cm="1">
        <f t="array" ref="F11">_xlfn.LET(
   _xlpm.data, 表格3_5[[Date]:[Location]],
   _xlpm.date_col, INDEX(_xlpm.data, , 1),
   _xlpm.name_col, INDEX(_xlpm.data, , 2),
   _xlpm.loc_col,  INDEX(_xlpm.data, , 3),
   _xlpm.target_date, DATE(YEAR($C$1), MONTH($C$1), F$7),
   _xlpm.filtered, _xlfn._xlws.FILTER(_xlpm.name_col, (_xlpm.date_col = _xlpm.target_date) * (_xlpm.loc_col =$C11), ""),
   IF(_xlpm.filtered="", "", _xlpm.filtered)
)</f>
        <v>Amy</v>
      </c>
      <c r="G11" s="186" t="str" cm="1">
        <f t="array" ref="G11">_xlfn.LET(
   _xlpm.data, 表格3_5[[Date]:[Location]],
   _xlpm.date_col, INDEX(_xlpm.data, , 1),
   _xlpm.name_col, INDEX(_xlpm.data, , 2),
   _xlpm.loc_col,  INDEX(_xlpm.data, , 3),
   _xlpm.target_date, DATE(YEAR($C$1), MONTH($C$1), G$7),
   _xlpm.filtered, _xlfn._xlws.FILTER(_xlpm.name_col, (_xlpm.date_col = _xlpm.target_date) * (_xlpm.loc_col =$C11), ""),
   IF(_xlpm.filtered="", "", _xlpm.filtered)
)</f>
        <v/>
      </c>
      <c r="H11" s="186" t="str" cm="1">
        <f t="array" ref="H11">_xlfn.LET(
   _xlpm.data, 表格3_5[[Date]:[Location]],
   _xlpm.date_col, INDEX(_xlpm.data, , 1),
   _xlpm.name_col, INDEX(_xlpm.data, , 2),
   _xlpm.loc_col,  INDEX(_xlpm.data, , 3),
   _xlpm.target_date, DATE(YEAR($C$1), MONTH($C$1), H$7),
   _xlpm.filtered, _xlfn._xlws.FILTER(_xlpm.name_col, (_xlpm.date_col = _xlpm.target_date) * (_xlpm.loc_col =$C11), ""),
   IF(_xlpm.filtered="", "", _xlpm.filtered)
)</f>
        <v/>
      </c>
      <c r="I11" s="186" t="str" cm="1">
        <f t="array" ref="I11">_xlfn.LET(
   _xlpm.data, 表格3_5[[Date]:[Location]],
   _xlpm.date_col, INDEX(_xlpm.data, , 1),
   _xlpm.name_col, INDEX(_xlpm.data, , 2),
   _xlpm.loc_col,  INDEX(_xlpm.data, , 3),
   _xlpm.target_date, DATE(YEAR($C$1), MONTH($C$1), I$7),
   _xlpm.filtered, _xlfn._xlws.FILTER(_xlpm.name_col, (_xlpm.date_col = _xlpm.target_date) * (_xlpm.loc_col =$C11), ""),
   IF(_xlpm.filtered="", "", _xlpm.filtered)
)</f>
        <v/>
      </c>
      <c r="J11" s="186" t="str" cm="1">
        <f t="array" ref="J11">_xlfn.LET(
   _xlpm.data, 表格3_5[[Date]:[Location]],
   _xlpm.date_col, INDEX(_xlpm.data, , 1),
   _xlpm.name_col, INDEX(_xlpm.data, , 2),
   _xlpm.loc_col,  INDEX(_xlpm.data, , 3),
   _xlpm.target_date, DATE(YEAR($C$1), MONTH($C$1), J$7),
   _xlpm.filtered, _xlfn._xlws.FILTER(_xlpm.name_col, (_xlpm.date_col = _xlpm.target_date) * (_xlpm.loc_col =$C11), ""),
   IF(_xlpm.filtered="", "", _xlpm.filtered)
)</f>
        <v>Amy</v>
      </c>
      <c r="K11" s="186" t="str" cm="1">
        <f t="array" ref="K11">_xlfn.LET(
   _xlpm.data, 表格3_5[[Date]:[Location]],
   _xlpm.date_col, INDEX(_xlpm.data, , 1),
   _xlpm.name_col, INDEX(_xlpm.data, , 2),
   _xlpm.loc_col,  INDEX(_xlpm.data, , 3),
   _xlpm.target_date, DATE(YEAR($C$1), MONTH($C$1), K$7),
   _xlpm.filtered, _xlfn._xlws.FILTER(_xlpm.name_col, (_xlpm.date_col = _xlpm.target_date) * (_xlpm.loc_col =$C11), ""),
   IF(_xlpm.filtered="", "", _xlpm.filtered)
)</f>
        <v>Amy</v>
      </c>
      <c r="L11" s="186" t="str" cm="1">
        <f t="array" ref="L11">_xlfn.LET(
   _xlpm.data, 表格3_5[[Date]:[Location]],
   _xlpm.date_col, INDEX(_xlpm.data, , 1),
   _xlpm.name_col, INDEX(_xlpm.data, , 2),
   _xlpm.loc_col,  INDEX(_xlpm.data, , 3),
   _xlpm.target_date, DATE(YEAR($C$1), MONTH($C$1), L$7),
   _xlpm.filtered, _xlfn._xlws.FILTER(_xlpm.name_col, (_xlpm.date_col = _xlpm.target_date) * (_xlpm.loc_col =$C11), ""),
   IF(_xlpm.filtered="", "", _xlpm.filtered)
)</f>
        <v/>
      </c>
      <c r="M11" s="186" t="str" cm="1">
        <f t="array" ref="M11">_xlfn.LET(
   _xlpm.data, 表格3_5[[Date]:[Location]],
   _xlpm.date_col, INDEX(_xlpm.data, , 1),
   _xlpm.name_col, INDEX(_xlpm.data, , 2),
   _xlpm.loc_col,  INDEX(_xlpm.data, , 3),
   _xlpm.target_date, DATE(YEAR($C$1), MONTH($C$1), M$7),
   _xlpm.filtered, _xlfn._xlws.FILTER(_xlpm.name_col, (_xlpm.date_col = _xlpm.target_date) * (_xlpm.loc_col =$C11), ""),
   IF(_xlpm.filtered="", "", _xlpm.filtered)
)</f>
        <v>Amy</v>
      </c>
      <c r="N11" s="186" t="str" cm="1">
        <f t="array" ref="N11">_xlfn.LET(
   _xlpm.data, 表格3_5[[Date]:[Location]],
   _xlpm.date_col, INDEX(_xlpm.data, , 1),
   _xlpm.name_col, INDEX(_xlpm.data, , 2),
   _xlpm.loc_col,  INDEX(_xlpm.data, , 3),
   _xlpm.target_date, DATE(YEAR($C$1), MONTH($C$1), N$7),
   _xlpm.filtered, _xlfn._xlws.FILTER(_xlpm.name_col, (_xlpm.date_col = _xlpm.target_date) * (_xlpm.loc_col =$C11), ""),
   IF(_xlpm.filtered="", "", _xlpm.filtered)
)</f>
        <v/>
      </c>
      <c r="O11" s="186" t="str" cm="1">
        <f t="array" ref="O11">_xlfn.LET(
   _xlpm.data, 表格3_5[[Date]:[Location]],
   _xlpm.date_col, INDEX(_xlpm.data, , 1),
   _xlpm.name_col, INDEX(_xlpm.data, , 2),
   _xlpm.loc_col,  INDEX(_xlpm.data, , 3),
   _xlpm.target_date, DATE(YEAR($C$1), MONTH($C$1), O$7),
   _xlpm.filtered, _xlfn._xlws.FILTER(_xlpm.name_col, (_xlpm.date_col = _xlpm.target_date) * (_xlpm.loc_col =$C11), ""),
   IF(_xlpm.filtered="", "", _xlpm.filtered)
)</f>
        <v/>
      </c>
      <c r="P11" s="186" t="str" cm="1">
        <f t="array" ref="P11">_xlfn.LET(
   _xlpm.data, 表格3_5[[Date]:[Location]],
   _xlpm.date_col, INDEX(_xlpm.data, , 1),
   _xlpm.name_col, INDEX(_xlpm.data, , 2),
   _xlpm.loc_col,  INDEX(_xlpm.data, , 3),
   _xlpm.target_date, DATE(YEAR($C$1), MONTH($C$1), P$7),
   _xlpm.filtered, _xlfn._xlws.FILTER(_xlpm.name_col, (_xlpm.date_col = _xlpm.target_date) * (_xlpm.loc_col =$C11), ""),
   IF(_xlpm.filtered="", "", _xlpm.filtered)
)</f>
        <v/>
      </c>
      <c r="Q11" s="186" t="str" cm="1">
        <f t="array" ref="Q11">_xlfn.LET(
   _xlpm.data, 表格3_5[[Date]:[Location]],
   _xlpm.date_col, INDEX(_xlpm.data, , 1),
   _xlpm.name_col, INDEX(_xlpm.data, , 2),
   _xlpm.loc_col,  INDEX(_xlpm.data, , 3),
   _xlpm.target_date, DATE(YEAR($C$1), MONTH($C$1), Q$7),
   _xlpm.filtered, _xlfn._xlws.FILTER(_xlpm.name_col, (_xlpm.date_col = _xlpm.target_date) * (_xlpm.loc_col =$C11), ""),
   IF(_xlpm.filtered="", "", _xlpm.filtered)
)</f>
        <v/>
      </c>
      <c r="R11" s="186" t="str" cm="1">
        <f t="array" ref="R11">_xlfn.LET(
   _xlpm.data, 表格3_5[[Date]:[Location]],
   _xlpm.date_col, INDEX(_xlpm.data, , 1),
   _xlpm.name_col, INDEX(_xlpm.data, , 2),
   _xlpm.loc_col,  INDEX(_xlpm.data, , 3),
   _xlpm.target_date, DATE(YEAR($C$1), MONTH($C$1), R$7),
   _xlpm.filtered, _xlfn._xlws.FILTER(_xlpm.name_col, (_xlpm.date_col = _xlpm.target_date) * (_xlpm.loc_col =$C11), ""),
   IF(_xlpm.filtered="", "", _xlpm.filtered)
)</f>
        <v>Amy</v>
      </c>
      <c r="S11" s="186" t="str" cm="1">
        <f t="array" ref="S11">_xlfn.LET(
   _xlpm.data, 表格3_5[[Date]:[Location]],
   _xlpm.date_col, INDEX(_xlpm.data, , 1),
   _xlpm.name_col, INDEX(_xlpm.data, , 2),
   _xlpm.loc_col,  INDEX(_xlpm.data, , 3),
   _xlpm.target_date, DATE(YEAR($C$1), MONTH($C$1), S$7),
   _xlpm.filtered, _xlfn._xlws.FILTER(_xlpm.name_col, (_xlpm.date_col = _xlpm.target_date) * (_xlpm.loc_col =$C11), ""),
   IF(_xlpm.filtered="", "", _xlpm.filtered)
)</f>
        <v/>
      </c>
      <c r="T11" s="186" t="str" cm="1">
        <f t="array" ref="T11">_xlfn.LET(
   _xlpm.data, 表格3_5[[Date]:[Location]],
   _xlpm.date_col, INDEX(_xlpm.data, , 1),
   _xlpm.name_col, INDEX(_xlpm.data, , 2),
   _xlpm.loc_col,  INDEX(_xlpm.data, , 3),
   _xlpm.target_date, DATE(YEAR($C$1), MONTH($C$1), T$7),
   _xlpm.filtered, _xlfn._xlws.FILTER(_xlpm.name_col, (_xlpm.date_col = _xlpm.target_date) * (_xlpm.loc_col =$C11), ""),
   IF(_xlpm.filtered="", "", _xlpm.filtered)
)</f>
        <v>Amy</v>
      </c>
      <c r="U11" s="186" t="str" cm="1">
        <f t="array" ref="U11">_xlfn.LET(
   _xlpm.data, 表格3_5[[Date]:[Location]],
   _xlpm.date_col, INDEX(_xlpm.data, , 1),
   _xlpm.name_col, INDEX(_xlpm.data, , 2),
   _xlpm.loc_col,  INDEX(_xlpm.data, , 3),
   _xlpm.target_date, DATE(YEAR($C$1), MONTH($C$1), U$7),
   _xlpm.filtered, _xlfn._xlws.FILTER(_xlpm.name_col, (_xlpm.date_col = _xlpm.target_date) * (_xlpm.loc_col =$C11), ""),
   IF(_xlpm.filtered="", "", _xlpm.filtered)
)</f>
        <v/>
      </c>
      <c r="V11" s="186" t="str" cm="1">
        <f t="array" ref="V11">_xlfn.LET(
   _xlpm.data, 表格3_5[[Date]:[Location]],
   _xlpm.date_col, INDEX(_xlpm.data, , 1),
   _xlpm.name_col, INDEX(_xlpm.data, , 2),
   _xlpm.loc_col,  INDEX(_xlpm.data, , 3),
   _xlpm.target_date, DATE(YEAR($C$1), MONTH($C$1), V$7),
   _xlpm.filtered, _xlfn._xlws.FILTER(_xlpm.name_col, (_xlpm.date_col = _xlpm.target_date) * (_xlpm.loc_col =$C11), ""),
   IF(_xlpm.filtered="", "", _xlpm.filtered)
)</f>
        <v/>
      </c>
      <c r="W11" s="186" t="str" cm="1">
        <f t="array" ref="W11">_xlfn.LET(
   _xlpm.data, 表格3_5[[Date]:[Location]],
   _xlpm.date_col, INDEX(_xlpm.data, , 1),
   _xlpm.name_col, INDEX(_xlpm.data, , 2),
   _xlpm.loc_col,  INDEX(_xlpm.data, , 3),
   _xlpm.target_date, DATE(YEAR($C$1), MONTH($C$1), W$7),
   _xlpm.filtered, _xlfn._xlws.FILTER(_xlpm.name_col, (_xlpm.date_col = _xlpm.target_date) * (_xlpm.loc_col =$C11), ""),
   IF(_xlpm.filtered="", "", _xlpm.filtered)
)</f>
        <v/>
      </c>
      <c r="X11" s="186" t="str" cm="1">
        <f t="array" ref="X11">_xlfn.LET(
   _xlpm.data, 表格3_5[[Date]:[Location]],
   _xlpm.date_col, INDEX(_xlpm.data, , 1),
   _xlpm.name_col, INDEX(_xlpm.data, , 2),
   _xlpm.loc_col,  INDEX(_xlpm.data, , 3),
   _xlpm.target_date, DATE(YEAR($C$1), MONTH($C$1), X$7),
   _xlpm.filtered, _xlfn._xlws.FILTER(_xlpm.name_col, (_xlpm.date_col = _xlpm.target_date) * (_xlpm.loc_col =$C11), ""),
   IF(_xlpm.filtered="", "", _xlpm.filtered)
)</f>
        <v>Amy</v>
      </c>
      <c r="Y11" s="186" t="str" cm="1">
        <f t="array" ref="Y11">_xlfn.LET(
   _xlpm.data, 表格3_5[[Date]:[Location]],
   _xlpm.date_col, INDEX(_xlpm.data, , 1),
   _xlpm.name_col, INDEX(_xlpm.data, , 2),
   _xlpm.loc_col,  INDEX(_xlpm.data, , 3),
   _xlpm.target_date, DATE(YEAR($C$1), MONTH($C$1), Y$7),
   _xlpm.filtered, _xlfn._xlws.FILTER(_xlpm.name_col, (_xlpm.date_col = _xlpm.target_date) * (_xlpm.loc_col =$C11), ""),
   IF(_xlpm.filtered="", "", _xlpm.filtered)
)</f>
        <v>Amy</v>
      </c>
      <c r="Z11" s="186" t="str" cm="1">
        <f t="array" ref="Z11">_xlfn.LET(
   _xlpm.data, 表格3_5[[Date]:[Location]],
   _xlpm.date_col, INDEX(_xlpm.data, , 1),
   _xlpm.name_col, INDEX(_xlpm.data, , 2),
   _xlpm.loc_col,  INDEX(_xlpm.data, , 3),
   _xlpm.target_date, DATE(YEAR($C$1), MONTH($C$1), Z$7),
   _xlpm.filtered, _xlfn._xlws.FILTER(_xlpm.name_col, (_xlpm.date_col = _xlpm.target_date) * (_xlpm.loc_col =$C11), ""),
   IF(_xlpm.filtered="", "", _xlpm.filtered)
)</f>
        <v/>
      </c>
      <c r="AA11" s="186" t="str" cm="1">
        <f t="array" ref="AA11">_xlfn.LET(
   _xlpm.data, 表格3_5[[Date]:[Location]],
   _xlpm.date_col, INDEX(_xlpm.data, , 1),
   _xlpm.name_col, INDEX(_xlpm.data, , 2),
   _xlpm.loc_col,  INDEX(_xlpm.data, , 3),
   _xlpm.target_date, DATE(YEAR($C$1), MONTH($C$1), AA$7),
   _xlpm.filtered, _xlfn._xlws.FILTER(_xlpm.name_col, (_xlpm.date_col = _xlpm.target_date) * (_xlpm.loc_col =$C11), ""),
   IF(_xlpm.filtered="", "", _xlpm.filtered)
)</f>
        <v/>
      </c>
      <c r="AB11" s="186" t="str" cm="1">
        <f t="array" ref="AB11">_xlfn.LET(
   _xlpm.data, 表格3_5[[Date]:[Location]],
   _xlpm.date_col, INDEX(_xlpm.data, , 1),
   _xlpm.name_col, INDEX(_xlpm.data, , 2),
   _xlpm.loc_col,  INDEX(_xlpm.data, , 3),
   _xlpm.target_date, DATE(YEAR($C$1), MONTH($C$1), AB$7),
   _xlpm.filtered, _xlfn._xlws.FILTER(_xlpm.name_col, (_xlpm.date_col = _xlpm.target_date) * (_xlpm.loc_col =$C11), ""),
   IF(_xlpm.filtered="", "", _xlpm.filtered)
)</f>
        <v/>
      </c>
      <c r="AC11" s="186" t="str" cm="1">
        <f t="array" ref="AC11">_xlfn.LET(
   _xlpm.data, 表格3_5[[Date]:[Location]],
   _xlpm.date_col, INDEX(_xlpm.data, , 1),
   _xlpm.name_col, INDEX(_xlpm.data, , 2),
   _xlpm.loc_col,  INDEX(_xlpm.data, , 3),
   _xlpm.target_date, DATE(YEAR($C$1), MONTH($C$1), AC$7),
   _xlpm.filtered, _xlfn._xlws.FILTER(_xlpm.name_col, (_xlpm.date_col = _xlpm.target_date) * (_xlpm.loc_col =$C11), ""),
   IF(_xlpm.filtered="", "", _xlpm.filtered)
)</f>
        <v/>
      </c>
      <c r="AD11" s="186" t="str" cm="1">
        <f t="array" ref="AD11">_xlfn.LET(
   _xlpm.data, 表格3_5[[Date]:[Location]],
   _xlpm.date_col, INDEX(_xlpm.data, , 1),
   _xlpm.name_col, INDEX(_xlpm.data, , 2),
   _xlpm.loc_col,  INDEX(_xlpm.data, , 3),
   _xlpm.target_date, DATE(YEAR($C$1), MONTH($C$1), AD$7),
   _xlpm.filtered, _xlfn._xlws.FILTER(_xlpm.name_col, (_xlpm.date_col = _xlpm.target_date) * (_xlpm.loc_col =$C11), ""),
   IF(_xlpm.filtered="", "", _xlpm.filtered)
)</f>
        <v/>
      </c>
      <c r="AE11" s="186" t="str" cm="1">
        <f t="array" ref="AE11">_xlfn.LET(
   _xlpm.data, 表格3_5[[Date]:[Location]],
   _xlpm.date_col, INDEX(_xlpm.data, , 1),
   _xlpm.name_col, INDEX(_xlpm.data, , 2),
   _xlpm.loc_col,  INDEX(_xlpm.data, , 3),
   _xlpm.target_date, DATE(YEAR($C$1), MONTH($C$1), AE$7),
   _xlpm.filtered, _xlfn._xlws.FILTER(_xlpm.name_col, (_xlpm.date_col = _xlpm.target_date) * (_xlpm.loc_col =$C11), ""),
   IF(_xlpm.filtered="", "", _xlpm.filtered)
)</f>
        <v>Amy</v>
      </c>
      <c r="AF11" s="186" t="str" cm="1">
        <f t="array" ref="AF11">_xlfn.LET(
   _xlpm.data, 表格3_5[[Date]:[Location]],
   _xlpm.date_col, INDEX(_xlpm.data, , 1),
   _xlpm.name_col, INDEX(_xlpm.data, , 2),
   _xlpm.loc_col,  INDEX(_xlpm.data, , 3),
   _xlpm.target_date, DATE(YEAR($C$1), MONTH($C$1), AF$7),
   _xlpm.filtered, _xlfn._xlws.FILTER(_xlpm.name_col, (_xlpm.date_col = _xlpm.target_date) * (_xlpm.loc_col =$C11), ""),
   IF(_xlpm.filtered="", "", _xlpm.filtered)
)</f>
        <v>Amy</v>
      </c>
      <c r="AG11" s="186" t="str" cm="1">
        <f t="array" ref="AG11">_xlfn.LET(
   _xlpm.data, 表格3_5[[Date]:[Location]],
   _xlpm.date_col, INDEX(_xlpm.data, , 1),
   _xlpm.name_col, INDEX(_xlpm.data, , 2),
   _xlpm.loc_col,  INDEX(_xlpm.data, , 3),
   _xlpm.target_date, DATE(YEAR($C$1), MONTH($C$1), AG$7),
   _xlpm.filtered, _xlfn._xlws.FILTER(_xlpm.name_col, (_xlpm.date_col = _xlpm.target_date) * (_xlpm.loc_col =$C11), ""),
   IF(_xlpm.filtered="", "", _xlpm.filtered)
)</f>
        <v/>
      </c>
      <c r="AH11" s="186" t="str" cm="1">
        <f t="array" ref="AH11">_xlfn.LET(
   _xlpm.data, 表格3_5[[Date]:[Location]],
   _xlpm.date_col, INDEX(_xlpm.data, , 1),
   _xlpm.name_col, INDEX(_xlpm.data, , 2),
   _xlpm.loc_col,  INDEX(_xlpm.data, , 3),
   _xlpm.target_date, DATE(YEAR($C$1), MONTH($C$1), AH$7),
   _xlpm.filtered, _xlfn._xlws.FILTER(_xlpm.name_col, (_xlpm.date_col = _xlpm.target_date) * (_xlpm.loc_col =$C11), ""),
   IF(_xlpm.filtered="", "", _xlpm.filtered)
)</f>
        <v/>
      </c>
      <c r="AI11" s="187">
        <f t="shared" si="33"/>
        <v>11</v>
      </c>
      <c r="AJ11" s="187">
        <f t="shared" si="34"/>
        <v>88</v>
      </c>
      <c r="AK11" s="177"/>
      <c r="AM11" s="181" t="str">
        <f t="shared" si="35"/>
        <v>Telford plaza Chung Yuen</v>
      </c>
      <c r="AN11" s="188" t="e">
        <f>IF(D11=".",D11,IF(VLOOKUP($AM11&amp;D$1+D6&amp;D11, 工作表1!$C:$V,1,) &gt; 0,D11,"ERROR"))</f>
        <v>#VALUE!</v>
      </c>
      <c r="AO11" s="188" t="e">
        <f>IF(E11=".",E11,IF(VLOOKUP($AM11&amp;E$1+E6&amp;E11, 工作表1!$C:$V,1,) &gt; 0,E11,"ERROR"))</f>
        <v>#VALUE!</v>
      </c>
      <c r="AP11" s="188" t="e">
        <f>IF(F11=".",F11,IF(VLOOKUP($AM11&amp;F$1+F6&amp;F11, 工作表1!$C:$V,1,) &gt; 0,F11,"ERROR"))</f>
        <v>#VALUE!</v>
      </c>
      <c r="AQ11" s="188" t="e">
        <f>IF(G11=".",G11,IF(VLOOKUP($AM11&amp;G$1+G6&amp;G11, 工作表1!$C:$V,1,) &gt; 0,G11,"ERROR"))</f>
        <v>#VALUE!</v>
      </c>
      <c r="AR11" s="188" t="e">
        <f>IF(H11=".",H11,IF(VLOOKUP($AM11&amp;H$1+H6&amp;H11, 工作表1!$C:$V,1,) &gt; 0,H11,"ERROR"))</f>
        <v>#VALUE!</v>
      </c>
      <c r="AS11" s="188" t="e">
        <f>IF(I11=".",I11,IF(VLOOKUP($AM11&amp;I$1+I6&amp;I11, 工作表1!$C:$V,1,) &gt; 0,I11,"ERROR"))</f>
        <v>#VALUE!</v>
      </c>
      <c r="AT11" s="188" t="e">
        <f>IF(J11=".",J11,IF(VLOOKUP($AM11&amp;J$1+J6&amp;J11, 工作表1!$C:$V,1,) &gt; 0,J11,"ERROR"))</f>
        <v>#VALUE!</v>
      </c>
      <c r="AU11" s="188" t="e">
        <f>IF(K11=".",K11,IF(VLOOKUP($AM11&amp;K$1+K6&amp;K11, 工作表1!$C:$V,1,) &gt; 0,K11,"ERROR"))</f>
        <v>#VALUE!</v>
      </c>
      <c r="AV11" s="188" t="e">
        <f>IF(L11=".",L11,IF(VLOOKUP($AM11&amp;L$1+L6&amp;L11, 工作表1!$C:$V,1,) &gt; 0,L11,"ERROR"))</f>
        <v>#VALUE!</v>
      </c>
      <c r="AW11" s="188" t="e">
        <f>IF(M11=".",M11,IF(VLOOKUP($AM11&amp;M$1+M6&amp;M11, 工作表1!$C:$V,1,) &gt; 0,M11,"ERROR"))</f>
        <v>#VALUE!</v>
      </c>
      <c r="AX11" s="188" t="e">
        <f>IF(N11=".",N11,IF(VLOOKUP($AM11&amp;N$1+N6&amp;N11, 工作表1!$C:$V,1,) &gt; 0,N11,"ERROR"))</f>
        <v>#VALUE!</v>
      </c>
      <c r="AY11" s="188" t="e">
        <f>IF(O11=".",O11,IF(VLOOKUP($AM11&amp;O$1+O6&amp;O11, 工作表1!$C:$V,1,) &gt; 0,O11,"ERROR"))</f>
        <v>#VALUE!</v>
      </c>
      <c r="AZ11" s="188" t="e">
        <f>IF(P11=".",P11,IF(VLOOKUP($AM11&amp;P$1+P6&amp;P11, 工作表1!$C:$V,1,) &gt; 0,P11,"ERROR"))</f>
        <v>#VALUE!</v>
      </c>
      <c r="BA11" s="188" t="e">
        <f>IF(Q11=".",Q11,IF(VLOOKUP($AM11&amp;Q$1+Q6&amp;Q11, 工作表1!$C:$V,1,) &gt; 0,Q11,"ERROR"))</f>
        <v>#VALUE!</v>
      </c>
      <c r="BB11" s="188" t="e">
        <f>IF(R11=".",R11,IF(VLOOKUP($AM11&amp;R$1+R6&amp;R11, 工作表1!$C:$V,1,) &gt; 0,R11,"ERROR"))</f>
        <v>#VALUE!</v>
      </c>
      <c r="BC11" s="188" t="e">
        <f>IF(S11=".",S11,IF(VLOOKUP($AM11&amp;S$1+S6&amp;S11, 工作表1!$C:$V,1,) &gt; 0,S11,"ERROR"))</f>
        <v>#VALUE!</v>
      </c>
      <c r="BD11" s="188" t="e">
        <f>IF(T11=".",T11,IF(VLOOKUP($AM11&amp;T$1+T6&amp;T11, 工作表1!$C:$V,1,) &gt; 0,T11,"ERROR"))</f>
        <v>#VALUE!</v>
      </c>
      <c r="BE11" s="188" t="e">
        <f>IF(U11=".",U11,IF(VLOOKUP($AM11&amp;U$1+U6&amp;U11, 工作表1!$C:$V,1,) &gt; 0,U11,"ERROR"))</f>
        <v>#VALUE!</v>
      </c>
      <c r="BF11" s="188" t="e">
        <f>IF(V11=".",V11,IF(VLOOKUP($AM11&amp;V$1+V6&amp;V11, 工作表1!$C:$V,1,) &gt; 0,V11,"ERROR"))</f>
        <v>#VALUE!</v>
      </c>
      <c r="BG11" s="188" t="e">
        <f>IF(W11=".",W11,IF(VLOOKUP($AM11&amp;W$1+W6&amp;W11, 工作表1!$C:$V,1,) &gt; 0,W11,"ERROR"))</f>
        <v>#VALUE!</v>
      </c>
      <c r="BH11" s="188" t="e">
        <f>IF(X11=".",X11,IF(VLOOKUP($AM11&amp;X$1+X6&amp;X11, 工作表1!$C:$V,1,) &gt; 0,X11,"ERROR"))</f>
        <v>#VALUE!</v>
      </c>
      <c r="BI11" s="188" t="e">
        <f>IF(Y11=".",Y11,IF(VLOOKUP($AM11&amp;Y$1+Y6&amp;Y11, 工作表1!$C:$V,1,) &gt; 0,Y11,"ERROR"))</f>
        <v>#VALUE!</v>
      </c>
      <c r="BJ11" s="188" t="e">
        <f>IF(Z11=".",Z11,IF(VLOOKUP($AM11&amp;Z$1+Z6&amp;Z11, 工作表1!$C:$V,1,) &gt; 0,Z11,"ERROR"))</f>
        <v>#VALUE!</v>
      </c>
      <c r="BK11" s="188" t="e">
        <f>IF(AA11=".",AA11,IF(VLOOKUP($AM11&amp;AA$1+AA6&amp;AA11, 工作表1!$C:$V,1,) &gt; 0,AA11,"ERROR"))</f>
        <v>#VALUE!</v>
      </c>
      <c r="BL11" s="188" t="e">
        <f>IF(AB11=".",AB11,IF(VLOOKUP($AM11&amp;AB$1+AB6&amp;AB11, 工作表1!$C:$V,1,) &gt; 0,AB11,"ERROR"))</f>
        <v>#VALUE!</v>
      </c>
      <c r="BM11" s="188" t="e">
        <f>IF(AC11=".",AC11,IF(VLOOKUP($AM11&amp;AC$1+AC6&amp;AC11, 工作表1!$C:$V,1,) &gt; 0,AC11,"ERROR"))</f>
        <v>#VALUE!</v>
      </c>
      <c r="BN11" s="188" t="e">
        <f>IF(AD11=".",AD11,IF(VLOOKUP($AM11&amp;AD$1+AD6&amp;AD11, 工作表1!$C:$V,1,) &gt; 0,AD11,"ERROR"))</f>
        <v>#VALUE!</v>
      </c>
      <c r="BO11" s="188" t="e">
        <f>IF(AE11=".",AE11,IF(VLOOKUP($AM11&amp;AE$1+AE6&amp;AE11, 工作表1!$C:$V,1,) &gt; 0,AE11,"ERROR"))</f>
        <v>#VALUE!</v>
      </c>
      <c r="BP11" s="188" t="e">
        <f>IF(AF11=".",AF11,IF(VLOOKUP($AM11&amp;AF$1+AF6&amp;AF11, 工作表1!$C:$V,1,) &gt; 0,AF11,"ERROR"))</f>
        <v>#VALUE!</v>
      </c>
      <c r="BQ11" s="188" t="e">
        <f>IF(AG11=".",AG11,IF(VLOOKUP($AM11&amp;AG$1+AG6&amp;AG11, 工作表1!$C:$V,1,) &gt; 0,AG11,"ERROR"))</f>
        <v>#VALUE!</v>
      </c>
      <c r="BR11" s="188" t="e">
        <f>IF(AH11=".",AH11,IF(VLOOKUP($AM11&amp;AH$1+AH6&amp;AH11, 工作表1!$C:$V,1,) &gt; 0,AH11,"ERROR"))</f>
        <v>#VALUE!</v>
      </c>
      <c r="BS11" s="188" t="e">
        <f>IF(#REF!=".",#REF!,IF(VLOOKUP($AM11&amp;#REF!+#REF!&amp;#REF!, 工作表1!$C:$V,1,) &gt; 0,#REF!,"ERROR"))</f>
        <v>#REF!</v>
      </c>
      <c r="BT11" s="188" t="e">
        <f>IF(#REF!=".",#REF!,IF(VLOOKUP($AM11&amp;#REF!+#REF!&amp;#REF!, 工作表1!$C:$V,1,) &gt; 0,#REF!,"ERROR"))</f>
        <v>#REF!</v>
      </c>
    </row>
    <row r="12" spans="2:72">
      <c r="B12" t="str" cm="1">
        <f t="array" ref="B12">_xlfn.LET(
    _xlpm.data, D12:AH12,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Amy</v>
      </c>
      <c r="C12" s="179" t="str">
        <v>Metro City</v>
      </c>
      <c r="D12" s="186" t="str" cm="1">
        <f t="array" ref="D12">_xlfn.LET(
   _xlpm.data, 表格3_5[[Date]:[Location]],
   _xlpm.date_col, INDEX(_xlpm.data, , 1),
   _xlpm.name_col, INDEX(_xlpm.data, , 2),
   _xlpm.loc_col,  INDEX(_xlpm.data, , 3),
   _xlpm.target_date, DATE(YEAR($C$1), MONTH($C$1), D$7),
   _xlpm.filtered, _xlfn._xlws.FILTER(_xlpm.name_col, (_xlpm.date_col = _xlpm.target_date) * (_xlpm.loc_col =$C12), ""),
   IF(_xlpm.filtered="", "", _xlpm.filtered)
)</f>
        <v/>
      </c>
      <c r="E12" s="186" t="str" cm="1">
        <f t="array" ref="E12">_xlfn.LET(
   _xlpm.data, 表格3_5[[Date]:[Location]],
   _xlpm.date_col, INDEX(_xlpm.data, , 1),
   _xlpm.name_col, INDEX(_xlpm.data, , 2),
   _xlpm.loc_col,  INDEX(_xlpm.data, , 3),
   _xlpm.target_date, DATE(YEAR($C$1), MONTH($C$1), E$7),
   _xlpm.filtered, _xlfn._xlws.FILTER(_xlpm.name_col, (_xlpm.date_col = _xlpm.target_date) * (_xlpm.loc_col =$C12), ""),
   IF(_xlpm.filtered="", "", _xlpm.filtered)
)</f>
        <v/>
      </c>
      <c r="F12" s="186" t="str" cm="1">
        <f t="array" ref="F12">_xlfn.LET(
   _xlpm.data, 表格3_5[[Date]:[Location]],
   _xlpm.date_col, INDEX(_xlpm.data, , 1),
   _xlpm.name_col, INDEX(_xlpm.data, , 2),
   _xlpm.loc_col,  INDEX(_xlpm.data, , 3),
   _xlpm.target_date, DATE(YEAR($C$1), MONTH($C$1), F$7),
   _xlpm.filtered, _xlfn._xlws.FILTER(_xlpm.name_col, (_xlpm.date_col = _xlpm.target_date) * (_xlpm.loc_col =$C12), ""),
   IF(_xlpm.filtered="", "", _xlpm.filtered)
)</f>
        <v/>
      </c>
      <c r="G12" s="186" t="str" cm="1">
        <f t="array" ref="G12">_xlfn.LET(
   _xlpm.data, 表格3_5[[Date]:[Location]],
   _xlpm.date_col, INDEX(_xlpm.data, , 1),
   _xlpm.name_col, INDEX(_xlpm.data, , 2),
   _xlpm.loc_col,  INDEX(_xlpm.data, , 3),
   _xlpm.target_date, DATE(YEAR($C$1), MONTH($C$1), G$7),
   _xlpm.filtered, _xlfn._xlws.FILTER(_xlpm.name_col, (_xlpm.date_col = _xlpm.target_date) * (_xlpm.loc_col =$C12), ""),
   IF(_xlpm.filtered="", "", _xlpm.filtered)
)</f>
        <v>Amy</v>
      </c>
      <c r="H12" s="186" t="str" cm="1">
        <f t="array" ref="H12">_xlfn.LET(
   _xlpm.data, 表格3_5[[Date]:[Location]],
   _xlpm.date_col, INDEX(_xlpm.data, , 1),
   _xlpm.name_col, INDEX(_xlpm.data, , 2),
   _xlpm.loc_col,  INDEX(_xlpm.data, , 3),
   _xlpm.target_date, DATE(YEAR($C$1), MONTH($C$1), H$7),
   _xlpm.filtered, _xlfn._xlws.FILTER(_xlpm.name_col, (_xlpm.date_col = _xlpm.target_date) * (_xlpm.loc_col =$C12), ""),
   IF(_xlpm.filtered="", "", _xlpm.filtered)
)</f>
        <v>Amy</v>
      </c>
      <c r="I12" s="186" t="str" cm="1">
        <f t="array" ref="I12">_xlfn.LET(
   _xlpm.data, 表格3_5[[Date]:[Location]],
   _xlpm.date_col, INDEX(_xlpm.data, , 1),
   _xlpm.name_col, INDEX(_xlpm.data, , 2),
   _xlpm.loc_col,  INDEX(_xlpm.data, , 3),
   _xlpm.target_date, DATE(YEAR($C$1), MONTH($C$1), I$7),
   _xlpm.filtered, _xlfn._xlws.FILTER(_xlpm.name_col, (_xlpm.date_col = _xlpm.target_date) * (_xlpm.loc_col =$C12), ""),
   IF(_xlpm.filtered="", "", _xlpm.filtered)
)</f>
        <v>Amy</v>
      </c>
      <c r="J12" s="186" t="str" cm="1">
        <f t="array" ref="J12">_xlfn.LET(
   _xlpm.data, 表格3_5[[Date]:[Location]],
   _xlpm.date_col, INDEX(_xlpm.data, , 1),
   _xlpm.name_col, INDEX(_xlpm.data, , 2),
   _xlpm.loc_col,  INDEX(_xlpm.data, , 3),
   _xlpm.target_date, DATE(YEAR($C$1), MONTH($C$1), J$7),
   _xlpm.filtered, _xlfn._xlws.FILTER(_xlpm.name_col, (_xlpm.date_col = _xlpm.target_date) * (_xlpm.loc_col =$C12), ""),
   IF(_xlpm.filtered="", "", _xlpm.filtered)
)</f>
        <v/>
      </c>
      <c r="K12" s="186" t="str" cm="1">
        <f t="array" ref="K12">_xlfn.LET(
   _xlpm.data, 表格3_5[[Date]:[Location]],
   _xlpm.date_col, INDEX(_xlpm.data, , 1),
   _xlpm.name_col, INDEX(_xlpm.data, , 2),
   _xlpm.loc_col,  INDEX(_xlpm.data, , 3),
   _xlpm.target_date, DATE(YEAR($C$1), MONTH($C$1), K$7),
   _xlpm.filtered, _xlfn._xlws.FILTER(_xlpm.name_col, (_xlpm.date_col = _xlpm.target_date) * (_xlpm.loc_col =$C12), ""),
   IF(_xlpm.filtered="", "", _xlpm.filtered)
)</f>
        <v/>
      </c>
      <c r="L12" s="186" t="str" cm="1">
        <f t="array" ref="L12">_xlfn.LET(
   _xlpm.data, 表格3_5[[Date]:[Location]],
   _xlpm.date_col, INDEX(_xlpm.data, , 1),
   _xlpm.name_col, INDEX(_xlpm.data, , 2),
   _xlpm.loc_col,  INDEX(_xlpm.data, , 3),
   _xlpm.target_date, DATE(YEAR($C$1), MONTH($C$1), L$7),
   _xlpm.filtered, _xlfn._xlws.FILTER(_xlpm.name_col, (_xlpm.date_col = _xlpm.target_date) * (_xlpm.loc_col =$C12), ""),
   IF(_xlpm.filtered="", "", _xlpm.filtered)
)</f>
        <v/>
      </c>
      <c r="M12" s="186" t="str" cm="1">
        <f t="array" ref="M12">_xlfn.LET(
   _xlpm.data, 表格3_5[[Date]:[Location]],
   _xlpm.date_col, INDEX(_xlpm.data, , 1),
   _xlpm.name_col, INDEX(_xlpm.data, , 2),
   _xlpm.loc_col,  INDEX(_xlpm.data, , 3),
   _xlpm.target_date, DATE(YEAR($C$1), MONTH($C$1), M$7),
   _xlpm.filtered, _xlfn._xlws.FILTER(_xlpm.name_col, (_xlpm.date_col = _xlpm.target_date) * (_xlpm.loc_col =$C12), ""),
   IF(_xlpm.filtered="", "", _xlpm.filtered)
)</f>
        <v/>
      </c>
      <c r="N12" s="186" t="str" cm="1">
        <f t="array" ref="N12">_xlfn.LET(
   _xlpm.data, 表格3_5[[Date]:[Location]],
   _xlpm.date_col, INDEX(_xlpm.data, , 1),
   _xlpm.name_col, INDEX(_xlpm.data, , 2),
   _xlpm.loc_col,  INDEX(_xlpm.data, , 3),
   _xlpm.target_date, DATE(YEAR($C$1), MONTH($C$1), N$7),
   _xlpm.filtered, _xlfn._xlws.FILTER(_xlpm.name_col, (_xlpm.date_col = _xlpm.target_date) * (_xlpm.loc_col =$C12), ""),
   IF(_xlpm.filtered="", "", _xlpm.filtered)
)</f>
        <v>Amy</v>
      </c>
      <c r="O12" s="186" t="str" cm="1">
        <f t="array" ref="O12">_xlfn.LET(
   _xlpm.data, 表格3_5[[Date]:[Location]],
   _xlpm.date_col, INDEX(_xlpm.data, , 1),
   _xlpm.name_col, INDEX(_xlpm.data, , 2),
   _xlpm.loc_col,  INDEX(_xlpm.data, , 3),
   _xlpm.target_date, DATE(YEAR($C$1), MONTH($C$1), O$7),
   _xlpm.filtered, _xlfn._xlws.FILTER(_xlpm.name_col, (_xlpm.date_col = _xlpm.target_date) * (_xlpm.loc_col =$C12), ""),
   IF(_xlpm.filtered="", "", _xlpm.filtered)
)</f>
        <v/>
      </c>
      <c r="P12" s="186" t="str" cm="1">
        <f t="array" ref="P12">_xlfn.LET(
   _xlpm.data, 表格3_5[[Date]:[Location]],
   _xlpm.date_col, INDEX(_xlpm.data, , 1),
   _xlpm.name_col, INDEX(_xlpm.data, , 2),
   _xlpm.loc_col,  INDEX(_xlpm.data, , 3),
   _xlpm.target_date, DATE(YEAR($C$1), MONTH($C$1), P$7),
   _xlpm.filtered, _xlfn._xlws.FILTER(_xlpm.name_col, (_xlpm.date_col = _xlpm.target_date) * (_xlpm.loc_col =$C12), ""),
   IF(_xlpm.filtered="", "", _xlpm.filtered)
)</f>
        <v>Amy</v>
      </c>
      <c r="Q12" s="186" t="str" cm="1">
        <f t="array" ref="Q12">_xlfn.LET(
   _xlpm.data, 表格3_5[[Date]:[Location]],
   _xlpm.date_col, INDEX(_xlpm.data, , 1),
   _xlpm.name_col, INDEX(_xlpm.data, , 2),
   _xlpm.loc_col,  INDEX(_xlpm.data, , 3),
   _xlpm.target_date, DATE(YEAR($C$1), MONTH($C$1), Q$7),
   _xlpm.filtered, _xlfn._xlws.FILTER(_xlpm.name_col, (_xlpm.date_col = _xlpm.target_date) * (_xlpm.loc_col =$C12), ""),
   IF(_xlpm.filtered="", "", _xlpm.filtered)
)</f>
        <v>Amy</v>
      </c>
      <c r="R12" s="186" t="str" cm="1">
        <f t="array" ref="R12">_xlfn.LET(
   _xlpm.data, 表格3_5[[Date]:[Location]],
   _xlpm.date_col, INDEX(_xlpm.data, , 1),
   _xlpm.name_col, INDEX(_xlpm.data, , 2),
   _xlpm.loc_col,  INDEX(_xlpm.data, , 3),
   _xlpm.target_date, DATE(YEAR($C$1), MONTH($C$1), R$7),
   _xlpm.filtered, _xlfn._xlws.FILTER(_xlpm.name_col, (_xlpm.date_col = _xlpm.target_date) * (_xlpm.loc_col =$C12), ""),
   IF(_xlpm.filtered="", "", _xlpm.filtered)
)</f>
        <v/>
      </c>
      <c r="S12" s="186" t="str" cm="1">
        <f t="array" ref="S12">_xlfn.LET(
   _xlpm.data, 表格3_5[[Date]:[Location]],
   _xlpm.date_col, INDEX(_xlpm.data, , 1),
   _xlpm.name_col, INDEX(_xlpm.data, , 2),
   _xlpm.loc_col,  INDEX(_xlpm.data, , 3),
   _xlpm.target_date, DATE(YEAR($C$1), MONTH($C$1), S$7),
   _xlpm.filtered, _xlfn._xlws.FILTER(_xlpm.name_col, (_xlpm.date_col = _xlpm.target_date) * (_xlpm.loc_col =$C12), ""),
   IF(_xlpm.filtered="", "", _xlpm.filtered)
)</f>
        <v/>
      </c>
      <c r="T12" s="186" t="str" cm="1">
        <f t="array" ref="T12">_xlfn.LET(
   _xlpm.data, 表格3_5[[Date]:[Location]],
   _xlpm.date_col, INDEX(_xlpm.data, , 1),
   _xlpm.name_col, INDEX(_xlpm.data, , 2),
   _xlpm.loc_col,  INDEX(_xlpm.data, , 3),
   _xlpm.target_date, DATE(YEAR($C$1), MONTH($C$1), T$7),
   _xlpm.filtered, _xlfn._xlws.FILTER(_xlpm.name_col, (_xlpm.date_col = _xlpm.target_date) * (_xlpm.loc_col =$C12), ""),
   IF(_xlpm.filtered="", "", _xlpm.filtered)
)</f>
        <v/>
      </c>
      <c r="U12" s="186" t="str" cm="1">
        <f t="array" ref="U12">_xlfn.LET(
   _xlpm.data, 表格3_5[[Date]:[Location]],
   _xlpm.date_col, INDEX(_xlpm.data, , 1),
   _xlpm.name_col, INDEX(_xlpm.data, , 2),
   _xlpm.loc_col,  INDEX(_xlpm.data, , 3),
   _xlpm.target_date, DATE(YEAR($C$1), MONTH($C$1), U$7),
   _xlpm.filtered, _xlfn._xlws.FILTER(_xlpm.name_col, (_xlpm.date_col = _xlpm.target_date) * (_xlpm.loc_col =$C12), ""),
   IF(_xlpm.filtered="", "", _xlpm.filtered)
)</f>
        <v>Amy</v>
      </c>
      <c r="V12" s="186" t="str" cm="1">
        <f t="array" ref="V12">_xlfn.LET(
   _xlpm.data, 表格3_5[[Date]:[Location]],
   _xlpm.date_col, INDEX(_xlpm.data, , 1),
   _xlpm.name_col, INDEX(_xlpm.data, , 2),
   _xlpm.loc_col,  INDEX(_xlpm.data, , 3),
   _xlpm.target_date, DATE(YEAR($C$1), MONTH($C$1), V$7),
   _xlpm.filtered, _xlfn._xlws.FILTER(_xlpm.name_col, (_xlpm.date_col = _xlpm.target_date) * (_xlpm.loc_col =$C12), ""),
   IF(_xlpm.filtered="", "", _xlpm.filtered)
)</f>
        <v/>
      </c>
      <c r="W12" s="186" t="str" cm="1">
        <f t="array" ref="W12">_xlfn.LET(
   _xlpm.data, 表格3_5[[Date]:[Location]],
   _xlpm.date_col, INDEX(_xlpm.data, , 1),
   _xlpm.name_col, INDEX(_xlpm.data, , 2),
   _xlpm.loc_col,  INDEX(_xlpm.data, , 3),
   _xlpm.target_date, DATE(YEAR($C$1), MONTH($C$1), W$7),
   _xlpm.filtered, _xlfn._xlws.FILTER(_xlpm.name_col, (_xlpm.date_col = _xlpm.target_date) * (_xlpm.loc_col =$C12), ""),
   IF(_xlpm.filtered="", "", _xlpm.filtered)
)</f>
        <v>Amy</v>
      </c>
      <c r="X12" s="186" t="str" cm="1">
        <f t="array" ref="X12">_xlfn.LET(
   _xlpm.data, 表格3_5[[Date]:[Location]],
   _xlpm.date_col, INDEX(_xlpm.data, , 1),
   _xlpm.name_col, INDEX(_xlpm.data, , 2),
   _xlpm.loc_col,  INDEX(_xlpm.data, , 3),
   _xlpm.target_date, DATE(YEAR($C$1), MONTH($C$1), X$7),
   _xlpm.filtered, _xlfn._xlws.FILTER(_xlpm.name_col, (_xlpm.date_col = _xlpm.target_date) * (_xlpm.loc_col =$C12), ""),
   IF(_xlpm.filtered="", "", _xlpm.filtered)
)</f>
        <v/>
      </c>
      <c r="Y12" s="186" t="str" cm="1">
        <f t="array" ref="Y12">_xlfn.LET(
   _xlpm.data, 表格3_5[[Date]:[Location]],
   _xlpm.date_col, INDEX(_xlpm.data, , 1),
   _xlpm.name_col, INDEX(_xlpm.data, , 2),
   _xlpm.loc_col,  INDEX(_xlpm.data, , 3),
   _xlpm.target_date, DATE(YEAR($C$1), MONTH($C$1), Y$7),
   _xlpm.filtered, _xlfn._xlws.FILTER(_xlpm.name_col, (_xlpm.date_col = _xlpm.target_date) * (_xlpm.loc_col =$C12), ""),
   IF(_xlpm.filtered="", "", _xlpm.filtered)
)</f>
        <v/>
      </c>
      <c r="Z12" s="186" t="str" cm="1">
        <f t="array" ref="Z12">_xlfn.LET(
   _xlpm.data, 表格3_5[[Date]:[Location]],
   _xlpm.date_col, INDEX(_xlpm.data, , 1),
   _xlpm.name_col, INDEX(_xlpm.data, , 2),
   _xlpm.loc_col,  INDEX(_xlpm.data, , 3),
   _xlpm.target_date, DATE(YEAR($C$1), MONTH($C$1), Z$7),
   _xlpm.filtered, _xlfn._xlws.FILTER(_xlpm.name_col, (_xlpm.date_col = _xlpm.target_date) * (_xlpm.loc_col =$C12), ""),
   IF(_xlpm.filtered="", "", _xlpm.filtered)
)</f>
        <v/>
      </c>
      <c r="AA12" s="186" t="str" cm="1">
        <f t="array" ref="AA12">_xlfn.LET(
   _xlpm.data, 表格3_5[[Date]:[Location]],
   _xlpm.date_col, INDEX(_xlpm.data, , 1),
   _xlpm.name_col, INDEX(_xlpm.data, , 2),
   _xlpm.loc_col,  INDEX(_xlpm.data, , 3),
   _xlpm.target_date, DATE(YEAR($C$1), MONTH($C$1), AA$7),
   _xlpm.filtered, _xlfn._xlws.FILTER(_xlpm.name_col, (_xlpm.date_col = _xlpm.target_date) * (_xlpm.loc_col =$C12), ""),
   IF(_xlpm.filtered="", "", _xlpm.filtered)
)</f>
        <v/>
      </c>
      <c r="AB12" s="186" t="str" cm="1">
        <f t="array" ref="AB12">_xlfn.LET(
   _xlpm.data, 表格3_5[[Date]:[Location]],
   _xlpm.date_col, INDEX(_xlpm.data, , 1),
   _xlpm.name_col, INDEX(_xlpm.data, , 2),
   _xlpm.loc_col,  INDEX(_xlpm.data, , 3),
   _xlpm.target_date, DATE(YEAR($C$1), MONTH($C$1), AB$7),
   _xlpm.filtered, _xlfn._xlws.FILTER(_xlpm.name_col, (_xlpm.date_col = _xlpm.target_date) * (_xlpm.loc_col =$C12), ""),
   IF(_xlpm.filtered="", "", _xlpm.filtered)
)</f>
        <v>Amy</v>
      </c>
      <c r="AC12" s="186" t="str" cm="1">
        <f t="array" ref="AC12">_xlfn.LET(
   _xlpm.data, 表格3_5[[Date]:[Location]],
   _xlpm.date_col, INDEX(_xlpm.data, , 1),
   _xlpm.name_col, INDEX(_xlpm.data, , 2),
   _xlpm.loc_col,  INDEX(_xlpm.data, , 3),
   _xlpm.target_date, DATE(YEAR($C$1), MONTH($C$1), AC$7),
   _xlpm.filtered, _xlfn._xlws.FILTER(_xlpm.name_col, (_xlpm.date_col = _xlpm.target_date) * (_xlpm.loc_col =$C12), ""),
   IF(_xlpm.filtered="", "", _xlpm.filtered)
)</f>
        <v>Amy</v>
      </c>
      <c r="AD12" s="186" t="str" cm="1">
        <f t="array" ref="AD12">_xlfn.LET(
   _xlpm.data, 表格3_5[[Date]:[Location]],
   _xlpm.date_col, INDEX(_xlpm.data, , 1),
   _xlpm.name_col, INDEX(_xlpm.data, , 2),
   _xlpm.loc_col,  INDEX(_xlpm.data, , 3),
   _xlpm.target_date, DATE(YEAR($C$1), MONTH($C$1), AD$7),
   _xlpm.filtered, _xlfn._xlws.FILTER(_xlpm.name_col, (_xlpm.date_col = _xlpm.target_date) * (_xlpm.loc_col =$C12), ""),
   IF(_xlpm.filtered="", "", _xlpm.filtered)
)</f>
        <v>Amy</v>
      </c>
      <c r="AE12" s="186" t="str" cm="1">
        <f t="array" ref="AE12">_xlfn.LET(
   _xlpm.data, 表格3_5[[Date]:[Location]],
   _xlpm.date_col, INDEX(_xlpm.data, , 1),
   _xlpm.name_col, INDEX(_xlpm.data, , 2),
   _xlpm.loc_col,  INDEX(_xlpm.data, , 3),
   _xlpm.target_date, DATE(YEAR($C$1), MONTH($C$1), AE$7),
   _xlpm.filtered, _xlfn._xlws.FILTER(_xlpm.name_col, (_xlpm.date_col = _xlpm.target_date) * (_xlpm.loc_col =$C12), ""),
   IF(_xlpm.filtered="", "", _xlpm.filtered)
)</f>
        <v/>
      </c>
      <c r="AF12" s="186" t="str" cm="1">
        <f t="array" ref="AF12">_xlfn.LET(
   _xlpm.data, 表格3_5[[Date]:[Location]],
   _xlpm.date_col, INDEX(_xlpm.data, , 1),
   _xlpm.name_col, INDEX(_xlpm.data, , 2),
   _xlpm.loc_col,  INDEX(_xlpm.data, , 3),
   _xlpm.target_date, DATE(YEAR($C$1), MONTH($C$1), AF$7),
   _xlpm.filtered, _xlfn._xlws.FILTER(_xlpm.name_col, (_xlpm.date_col = _xlpm.target_date) * (_xlpm.loc_col =$C12), ""),
   IF(_xlpm.filtered="", "", _xlpm.filtered)
)</f>
        <v/>
      </c>
      <c r="AG12" s="186" t="str" cm="1">
        <f t="array" ref="AG12">_xlfn.LET(
   _xlpm.data, 表格3_5[[Date]:[Location]],
   _xlpm.date_col, INDEX(_xlpm.data, , 1),
   _xlpm.name_col, INDEX(_xlpm.data, , 2),
   _xlpm.loc_col,  INDEX(_xlpm.data, , 3),
   _xlpm.target_date, DATE(YEAR($C$1), MONTH($C$1), AG$7),
   _xlpm.filtered, _xlfn._xlws.FILTER(_xlpm.name_col, (_xlpm.date_col = _xlpm.target_date) * (_xlpm.loc_col =$C12), ""),
   IF(_xlpm.filtered="", "", _xlpm.filtered)
)</f>
        <v/>
      </c>
      <c r="AH12" s="186" t="str" cm="1">
        <f t="array" ref="AH12">_xlfn.LET(
   _xlpm.data, 表格3_5[[Date]:[Location]],
   _xlpm.date_col, INDEX(_xlpm.data, , 1),
   _xlpm.name_col, INDEX(_xlpm.data, , 2),
   _xlpm.loc_col,  INDEX(_xlpm.data, , 3),
   _xlpm.target_date, DATE(YEAR($C$1), MONTH($C$1), AH$7),
   _xlpm.filtered, _xlfn._xlws.FILTER(_xlpm.name_col, (_xlpm.date_col = _xlpm.target_date) * (_xlpm.loc_col =$C12), ""),
   IF(_xlpm.filtered="", "", _xlpm.filtered)
)</f>
        <v/>
      </c>
      <c r="AI12" s="187">
        <f t="shared" si="33"/>
        <v>11</v>
      </c>
      <c r="AJ12" s="187">
        <f t="shared" si="34"/>
        <v>88</v>
      </c>
      <c r="AK12" s="177"/>
      <c r="AM12" s="181" t="str">
        <f t="shared" si="35"/>
        <v>Metro City</v>
      </c>
      <c r="AN12" s="188" t="e">
        <f>IF(D12=".",D12,IF(VLOOKUP($AM12&amp;D$1+D7&amp;D12, 工作表1!$C:$V,1,) &gt; 0,D12,"ERROR"))</f>
        <v>#N/A</v>
      </c>
      <c r="AO12" s="188" t="e">
        <f>IF(E12=".",E12,IF(VLOOKUP($AM12&amp;E$1+E7&amp;E12, 工作表1!$C:$V,1,) &gt; 0,E12,"ERROR"))</f>
        <v>#N/A</v>
      </c>
      <c r="AP12" s="188" t="e">
        <f>IF(F12=".",F12,IF(VLOOKUP($AM12&amp;F$1+F7&amp;F12, 工作表1!$C:$V,1,) &gt; 0,F12,"ERROR"))</f>
        <v>#N/A</v>
      </c>
      <c r="AQ12" s="188" t="e">
        <f>IF(G12=".",G12,IF(VLOOKUP($AM12&amp;G$1+G7&amp;G12, 工作表1!$C:$V,1,) &gt; 0,G12,"ERROR"))</f>
        <v>#N/A</v>
      </c>
      <c r="AR12" s="188" t="e">
        <f>IF(H12=".",H12,IF(VLOOKUP($AM12&amp;H$1+H7&amp;H12, 工作表1!$C:$V,1,) &gt; 0,H12,"ERROR"))</f>
        <v>#N/A</v>
      </c>
      <c r="AS12" s="188" t="e">
        <f>IF(I12=".",I12,IF(VLOOKUP($AM12&amp;I$1+I7&amp;I12, 工作表1!$C:$V,1,) &gt; 0,I12,"ERROR"))</f>
        <v>#N/A</v>
      </c>
      <c r="AT12" s="188" t="e">
        <f>IF(J12=".",J12,IF(VLOOKUP($AM12&amp;J$1+J7&amp;J12, 工作表1!$C:$V,1,) &gt; 0,J12,"ERROR"))</f>
        <v>#N/A</v>
      </c>
      <c r="AU12" s="188" t="e">
        <f>IF(K12=".",K12,IF(VLOOKUP($AM12&amp;K$1+K7&amp;K12, 工作表1!$C:$V,1,) &gt; 0,K12,"ERROR"))</f>
        <v>#N/A</v>
      </c>
      <c r="AV12" s="188" t="e">
        <f>IF(L12=".",L12,IF(VLOOKUP($AM12&amp;L$1+L7&amp;L12, 工作表1!$C:$V,1,) &gt; 0,L12,"ERROR"))</f>
        <v>#N/A</v>
      </c>
      <c r="AW12" s="188" t="e">
        <f>IF(M12=".",M12,IF(VLOOKUP($AM12&amp;M$1+M7&amp;M12, 工作表1!$C:$V,1,) &gt; 0,M12,"ERROR"))</f>
        <v>#N/A</v>
      </c>
      <c r="AX12" s="188" t="e">
        <f>IF(N12=".",N12,IF(VLOOKUP($AM12&amp;N$1+N7&amp;N12, 工作表1!$C:$V,1,) &gt; 0,N12,"ERROR"))</f>
        <v>#N/A</v>
      </c>
      <c r="AY12" s="188" t="e">
        <f>IF(O12=".",O12,IF(VLOOKUP($AM12&amp;O$1+O7&amp;O12, 工作表1!$C:$V,1,) &gt; 0,O12,"ERROR"))</f>
        <v>#N/A</v>
      </c>
      <c r="AZ12" s="188" t="e">
        <f>IF(P12=".",P12,IF(VLOOKUP($AM12&amp;P$1+P7&amp;P12, 工作表1!$C:$V,1,) &gt; 0,P12,"ERROR"))</f>
        <v>#N/A</v>
      </c>
      <c r="BA12" s="188" t="e">
        <f>IF(Q12=".",Q12,IF(VLOOKUP($AM12&amp;Q$1+Q7&amp;Q12, 工作表1!$C:$V,1,) &gt; 0,Q12,"ERROR"))</f>
        <v>#N/A</v>
      </c>
      <c r="BB12" s="188" t="e">
        <f>IF(R12=".",R12,IF(VLOOKUP($AM12&amp;R$1+R7&amp;R12, 工作表1!$C:$V,1,) &gt; 0,R12,"ERROR"))</f>
        <v>#N/A</v>
      </c>
      <c r="BC12" s="188" t="e">
        <f>IF(S12=".",S12,IF(VLOOKUP($AM12&amp;S$1+S7&amp;S12, 工作表1!$C:$V,1,) &gt; 0,S12,"ERROR"))</f>
        <v>#N/A</v>
      </c>
      <c r="BD12" s="188" t="e">
        <f>IF(T12=".",T12,IF(VLOOKUP($AM12&amp;T$1+T7&amp;T12, 工作表1!$C:$V,1,) &gt; 0,T12,"ERROR"))</f>
        <v>#N/A</v>
      </c>
      <c r="BE12" s="188" t="e">
        <f>IF(U12=".",U12,IF(VLOOKUP($AM12&amp;U$1+U7&amp;U12, 工作表1!$C:$V,1,) &gt; 0,U12,"ERROR"))</f>
        <v>#N/A</v>
      </c>
      <c r="BF12" s="188" t="e">
        <f>IF(V12=".",V12,IF(VLOOKUP($AM12&amp;V$1+V7&amp;V12, 工作表1!$C:$V,1,) &gt; 0,V12,"ERROR"))</f>
        <v>#N/A</v>
      </c>
      <c r="BG12" s="188" t="e">
        <f>IF(W12=".",W12,IF(VLOOKUP($AM12&amp;W$1+W7&amp;W12, 工作表1!$C:$V,1,) &gt; 0,W12,"ERROR"))</f>
        <v>#N/A</v>
      </c>
      <c r="BH12" s="188" t="e">
        <f>IF(X12=".",X12,IF(VLOOKUP($AM12&amp;X$1+X7&amp;X12, 工作表1!$C:$V,1,) &gt; 0,X12,"ERROR"))</f>
        <v>#N/A</v>
      </c>
      <c r="BI12" s="188" t="e">
        <f>IF(Y12=".",Y12,IF(VLOOKUP($AM12&amp;Y$1+Y7&amp;Y12, 工作表1!$C:$V,1,) &gt; 0,Y12,"ERROR"))</f>
        <v>#N/A</v>
      </c>
      <c r="BJ12" s="188" t="e">
        <f>IF(Z12=".",Z12,IF(VLOOKUP($AM12&amp;Z$1+Z7&amp;Z12, 工作表1!$C:$V,1,) &gt; 0,Z12,"ERROR"))</f>
        <v>#N/A</v>
      </c>
      <c r="BK12" s="188" t="e">
        <f>IF(AA12=".",AA12,IF(VLOOKUP($AM12&amp;AA$1+AA7&amp;AA12, 工作表1!$C:$V,1,) &gt; 0,AA12,"ERROR"))</f>
        <v>#N/A</v>
      </c>
      <c r="BL12" s="188" t="e">
        <f>IF(AB12=".",AB12,IF(VLOOKUP($AM12&amp;AB$1+AB7&amp;AB12, 工作表1!$C:$V,1,) &gt; 0,AB12,"ERROR"))</f>
        <v>#N/A</v>
      </c>
      <c r="BM12" s="188" t="e">
        <f>IF(AC12=".",AC12,IF(VLOOKUP($AM12&amp;AC$1+AC7&amp;AC12, 工作表1!$C:$V,1,) &gt; 0,AC12,"ERROR"))</f>
        <v>#N/A</v>
      </c>
      <c r="BN12" s="188" t="e">
        <f>IF(AD12=".",AD12,IF(VLOOKUP($AM12&amp;AD$1+AD7&amp;AD12, 工作表1!$C:$V,1,) &gt; 0,AD12,"ERROR"))</f>
        <v>#N/A</v>
      </c>
      <c r="BO12" s="188" t="e">
        <f>IF(AE12=".",AE12,IF(VLOOKUP($AM12&amp;AE$1+AE7&amp;AE12, 工作表1!$C:$V,1,) &gt; 0,AE12,"ERROR"))</f>
        <v>#N/A</v>
      </c>
      <c r="BP12" s="188" t="e">
        <f>IF(AF12=".",AF12,IF(VLOOKUP($AM12&amp;AF$1+AF7&amp;AF12, 工作表1!$C:$V,1,) &gt; 0,AF12,"ERROR"))</f>
        <v>#N/A</v>
      </c>
      <c r="BQ12" s="188" t="e">
        <f>IF(AG12=".",AG12,IF(VLOOKUP($AM12&amp;AG$1+AG7&amp;AG12, 工作表1!$C:$V,1,) &gt; 0,AG12,"ERROR"))</f>
        <v>#N/A</v>
      </c>
      <c r="BR12" s="188" t="e">
        <f>IF(AH12=".",AH12,IF(VLOOKUP($AM12&amp;AH$1+AH7&amp;AH12, 工作表1!$C:$V,1,) &gt; 0,AH12,"ERROR"))</f>
        <v>#N/A</v>
      </c>
      <c r="BS12" s="188" t="e">
        <f>IF(#REF!=".",#REF!,IF(VLOOKUP($AM12&amp;#REF!+#REF!&amp;#REF!, 工作表1!$C:$V,1,) &gt; 0,#REF!,"ERROR"))</f>
        <v>#REF!</v>
      </c>
      <c r="BT12" s="188" t="e">
        <f>IF(#REF!=".",#REF!,IF(VLOOKUP($AM12&amp;#REF!+#REF!&amp;#REF!, 工作表1!$C:$V,1,) &gt; 0,#REF!,"ERROR"))</f>
        <v>#REF!</v>
      </c>
    </row>
    <row r="13" spans="2:72">
      <c r="B13" t="str" cm="1">
        <f t="array" ref="B13">_xlfn.LET(
    _xlpm.data, D13:AH13,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Amy</v>
      </c>
      <c r="C13" s="180" t="str">
        <v>Roadshow</v>
      </c>
      <c r="D13" s="186" t="str" cm="1">
        <f t="array" ref="D13">_xlfn.LET(
   _xlpm.data, 表格3_5[[Date]:[Location]],
   _xlpm.date_col, INDEX(_xlpm.data, , 1),
   _xlpm.name_col, INDEX(_xlpm.data, , 2),
   _xlpm.loc_col,  INDEX(_xlpm.data, , 3),
   _xlpm.target_date, DATE(YEAR($C$1), MONTH($C$1), D$7),
   _xlpm.filtered, _xlfn._xlws.FILTER(_xlpm.name_col, (_xlpm.date_col = _xlpm.target_date) * (_xlpm.loc_col =$C13), ""),
   IF(_xlpm.filtered="", "", _xlpm.filtered)
)</f>
        <v/>
      </c>
      <c r="E13" s="186" t="str" cm="1">
        <f t="array" ref="E13">_xlfn.LET(
   _xlpm.data, 表格3_5[[Date]:[Location]],
   _xlpm.date_col, INDEX(_xlpm.data, , 1),
   _xlpm.name_col, INDEX(_xlpm.data, , 2),
   _xlpm.loc_col,  INDEX(_xlpm.data, , 3),
   _xlpm.target_date, DATE(YEAR($C$1), MONTH($C$1), E$7),
   _xlpm.filtered, _xlfn._xlws.FILTER(_xlpm.name_col, (_xlpm.date_col = _xlpm.target_date) * (_xlpm.loc_col =$C13), ""),
   IF(_xlpm.filtered="", "", _xlpm.filtered)
)</f>
        <v/>
      </c>
      <c r="F13" s="186" t="str" cm="1">
        <f t="array" ref="F13">_xlfn.LET(
   _xlpm.data, 表格3_5[[Date]:[Location]],
   _xlpm.date_col, INDEX(_xlpm.data, , 1),
   _xlpm.name_col, INDEX(_xlpm.data, , 2),
   _xlpm.loc_col,  INDEX(_xlpm.data, , 3),
   _xlpm.target_date, DATE(YEAR($C$1), MONTH($C$1), F$7),
   _xlpm.filtered, _xlfn._xlws.FILTER(_xlpm.name_col, (_xlpm.date_col = _xlpm.target_date) * (_xlpm.loc_col =$C13), ""),
   IF(_xlpm.filtered="", "", _xlpm.filtered)
)</f>
        <v/>
      </c>
      <c r="G13" s="186" t="str" cm="1">
        <f t="array" ref="G13">_xlfn.LET(
   _xlpm.data, 表格3_5[[Date]:[Location]],
   _xlpm.date_col, INDEX(_xlpm.data, , 1),
   _xlpm.name_col, INDEX(_xlpm.data, , 2),
   _xlpm.loc_col,  INDEX(_xlpm.data, , 3),
   _xlpm.target_date, DATE(YEAR($C$1), MONTH($C$1), G$7),
   _xlpm.filtered, _xlfn._xlws.FILTER(_xlpm.name_col, (_xlpm.date_col = _xlpm.target_date) * (_xlpm.loc_col =$C13), ""),
   IF(_xlpm.filtered="", "", _xlpm.filtered)
)</f>
        <v/>
      </c>
      <c r="H13" s="186" t="str" cm="1">
        <f t="array" ref="H13">_xlfn.LET(
   _xlpm.data, 表格3_5[[Date]:[Location]],
   _xlpm.date_col, INDEX(_xlpm.data, , 1),
   _xlpm.name_col, INDEX(_xlpm.data, , 2),
   _xlpm.loc_col,  INDEX(_xlpm.data, , 3),
   _xlpm.target_date, DATE(YEAR($C$1), MONTH($C$1), H$7),
   _xlpm.filtered, _xlfn._xlws.FILTER(_xlpm.name_col, (_xlpm.date_col = _xlpm.target_date) * (_xlpm.loc_col =$C13), ""),
   IF(_xlpm.filtered="", "", _xlpm.filtered)
)</f>
        <v/>
      </c>
      <c r="I13" s="186" t="str" cm="1">
        <f t="array" ref="I13">_xlfn.LET(
   _xlpm.data, 表格3_5[[Date]:[Location]],
   _xlpm.date_col, INDEX(_xlpm.data, , 1),
   _xlpm.name_col, INDEX(_xlpm.data, , 2),
   _xlpm.loc_col,  INDEX(_xlpm.data, , 3),
   _xlpm.target_date, DATE(YEAR($C$1), MONTH($C$1), I$7),
   _xlpm.filtered, _xlfn._xlws.FILTER(_xlpm.name_col, (_xlpm.date_col = _xlpm.target_date) * (_xlpm.loc_col =$C13), ""),
   IF(_xlpm.filtered="", "", _xlpm.filtered)
)</f>
        <v/>
      </c>
      <c r="J13" s="186" t="str" cm="1">
        <f t="array" ref="J13">_xlfn.LET(
   _xlpm.data, 表格3_5[[Date]:[Location]],
   _xlpm.date_col, INDEX(_xlpm.data, , 1),
   _xlpm.name_col, INDEX(_xlpm.data, , 2),
   _xlpm.loc_col,  INDEX(_xlpm.data, , 3),
   _xlpm.target_date, DATE(YEAR($C$1), MONTH($C$1), J$7),
   _xlpm.filtered, _xlfn._xlws.FILTER(_xlpm.name_col, (_xlpm.date_col = _xlpm.target_date) * (_xlpm.loc_col =$C13), ""),
   IF(_xlpm.filtered="", "", _xlpm.filtered)
)</f>
        <v/>
      </c>
      <c r="K13" s="186" t="str" cm="1">
        <f t="array" ref="K13">_xlfn.LET(
   _xlpm.data, 表格3_5[[Date]:[Location]],
   _xlpm.date_col, INDEX(_xlpm.data, , 1),
   _xlpm.name_col, INDEX(_xlpm.data, , 2),
   _xlpm.loc_col,  INDEX(_xlpm.data, , 3),
   _xlpm.target_date, DATE(YEAR($C$1), MONTH($C$1), K$7),
   _xlpm.filtered, _xlfn._xlws.FILTER(_xlpm.name_col, (_xlpm.date_col = _xlpm.target_date) * (_xlpm.loc_col =$C13), ""),
   IF(_xlpm.filtered="", "", _xlpm.filtered)
)</f>
        <v/>
      </c>
      <c r="L13" s="186" t="str" cm="1">
        <f t="array" ref="L13">_xlfn.LET(
   _xlpm.data, 表格3_5[[Date]:[Location]],
   _xlpm.date_col, INDEX(_xlpm.data, , 1),
   _xlpm.name_col, INDEX(_xlpm.data, , 2),
   _xlpm.loc_col,  INDEX(_xlpm.data, , 3),
   _xlpm.target_date, DATE(YEAR($C$1), MONTH($C$1), L$7),
   _xlpm.filtered, _xlfn._xlws.FILTER(_xlpm.name_col, (_xlpm.date_col = _xlpm.target_date) * (_xlpm.loc_col =$C13), ""),
   IF(_xlpm.filtered="", "", _xlpm.filtered)
)</f>
        <v/>
      </c>
      <c r="M13" s="186" t="str" cm="1">
        <f t="array" ref="M13">_xlfn.LET(
   _xlpm.data, 表格3_5[[Date]:[Location]],
   _xlpm.date_col, INDEX(_xlpm.data, , 1),
   _xlpm.name_col, INDEX(_xlpm.data, , 2),
   _xlpm.loc_col,  INDEX(_xlpm.data, , 3),
   _xlpm.target_date, DATE(YEAR($C$1), MONTH($C$1), M$7),
   _xlpm.filtered, _xlfn._xlws.FILTER(_xlpm.name_col, (_xlpm.date_col = _xlpm.target_date) * (_xlpm.loc_col =$C13), ""),
   IF(_xlpm.filtered="", "", _xlpm.filtered)
)</f>
        <v/>
      </c>
      <c r="N13" s="186" t="str" cm="1">
        <f t="array" ref="N13">_xlfn.LET(
   _xlpm.data, 表格3_5[[Date]:[Location]],
   _xlpm.date_col, INDEX(_xlpm.data, , 1),
   _xlpm.name_col, INDEX(_xlpm.data, , 2),
   _xlpm.loc_col,  INDEX(_xlpm.data, , 3),
   _xlpm.target_date, DATE(YEAR($C$1), MONTH($C$1), N$7),
   _xlpm.filtered, _xlfn._xlws.FILTER(_xlpm.name_col, (_xlpm.date_col = _xlpm.target_date) * (_xlpm.loc_col =$C13), ""),
   IF(_xlpm.filtered="", "", _xlpm.filtered)
)</f>
        <v/>
      </c>
      <c r="O13" s="186" t="str" cm="1">
        <f t="array" ref="O13">_xlfn.LET(
   _xlpm.data, 表格3_5[[Date]:[Location]],
   _xlpm.date_col, INDEX(_xlpm.data, , 1),
   _xlpm.name_col, INDEX(_xlpm.data, , 2),
   _xlpm.loc_col,  INDEX(_xlpm.data, , 3),
   _xlpm.target_date, DATE(YEAR($C$1), MONTH($C$1), O$7),
   _xlpm.filtered, _xlfn._xlws.FILTER(_xlpm.name_col, (_xlpm.date_col = _xlpm.target_date) * (_xlpm.loc_col =$C13), ""),
   IF(_xlpm.filtered="", "", _xlpm.filtered)
)</f>
        <v>Amy</v>
      </c>
      <c r="P13" s="186" t="str" cm="1">
        <f t="array" ref="P13">_xlfn.LET(
   _xlpm.data, 表格3_5[[Date]:[Location]],
   _xlpm.date_col, INDEX(_xlpm.data, , 1),
   _xlpm.name_col, INDEX(_xlpm.data, , 2),
   _xlpm.loc_col,  INDEX(_xlpm.data, , 3),
   _xlpm.target_date, DATE(YEAR($C$1), MONTH($C$1), P$7),
   _xlpm.filtered, _xlfn._xlws.FILTER(_xlpm.name_col, (_xlpm.date_col = _xlpm.target_date) * (_xlpm.loc_col =$C13), ""),
   IF(_xlpm.filtered="", "", _xlpm.filtered)
)</f>
        <v/>
      </c>
      <c r="Q13" s="186" t="str" cm="1">
        <f t="array" ref="Q13">_xlfn.LET(
   _xlpm.data, 表格3_5[[Date]:[Location]],
   _xlpm.date_col, INDEX(_xlpm.data, , 1),
   _xlpm.name_col, INDEX(_xlpm.data, , 2),
   _xlpm.loc_col,  INDEX(_xlpm.data, , 3),
   _xlpm.target_date, DATE(YEAR($C$1), MONTH($C$1), Q$7),
   _xlpm.filtered, _xlfn._xlws.FILTER(_xlpm.name_col, (_xlpm.date_col = _xlpm.target_date) * (_xlpm.loc_col =$C13), ""),
   IF(_xlpm.filtered="", "", _xlpm.filtered)
)</f>
        <v/>
      </c>
      <c r="R13" s="186" t="str" cm="1">
        <f t="array" ref="R13">_xlfn.LET(
   _xlpm.data, 表格3_5[[Date]:[Location]],
   _xlpm.date_col, INDEX(_xlpm.data, , 1),
   _xlpm.name_col, INDEX(_xlpm.data, , 2),
   _xlpm.loc_col,  INDEX(_xlpm.data, , 3),
   _xlpm.target_date, DATE(YEAR($C$1), MONTH($C$1), R$7),
   _xlpm.filtered, _xlfn._xlws.FILTER(_xlpm.name_col, (_xlpm.date_col = _xlpm.target_date) * (_xlpm.loc_col =$C13), ""),
   IF(_xlpm.filtered="", "", _xlpm.filtered)
)</f>
        <v/>
      </c>
      <c r="S13" s="186" t="str" cm="1">
        <f t="array" ref="S13">_xlfn.LET(
   _xlpm.data, 表格3_5[[Date]:[Location]],
   _xlpm.date_col, INDEX(_xlpm.data, , 1),
   _xlpm.name_col, INDEX(_xlpm.data, , 2),
   _xlpm.loc_col,  INDEX(_xlpm.data, , 3),
   _xlpm.target_date, DATE(YEAR($C$1), MONTH($C$1), S$7),
   _xlpm.filtered, _xlfn._xlws.FILTER(_xlpm.name_col, (_xlpm.date_col = _xlpm.target_date) * (_xlpm.loc_col =$C13), ""),
   IF(_xlpm.filtered="", "", _xlpm.filtered)
)</f>
        <v/>
      </c>
      <c r="T13" s="186" t="str" cm="1">
        <f t="array" ref="T13">_xlfn.LET(
   _xlpm.data, 表格3_5[[Date]:[Location]],
   _xlpm.date_col, INDEX(_xlpm.data, , 1),
   _xlpm.name_col, INDEX(_xlpm.data, , 2),
   _xlpm.loc_col,  INDEX(_xlpm.data, , 3),
   _xlpm.target_date, DATE(YEAR($C$1), MONTH($C$1), T$7),
   _xlpm.filtered, _xlfn._xlws.FILTER(_xlpm.name_col, (_xlpm.date_col = _xlpm.target_date) * (_xlpm.loc_col =$C13), ""),
   IF(_xlpm.filtered="", "", _xlpm.filtered)
)</f>
        <v/>
      </c>
      <c r="U13" s="186" t="str" cm="1">
        <f t="array" ref="U13">_xlfn.LET(
   _xlpm.data, 表格3_5[[Date]:[Location]],
   _xlpm.date_col, INDEX(_xlpm.data, , 1),
   _xlpm.name_col, INDEX(_xlpm.data, , 2),
   _xlpm.loc_col,  INDEX(_xlpm.data, , 3),
   _xlpm.target_date, DATE(YEAR($C$1), MONTH($C$1), U$7),
   _xlpm.filtered, _xlfn._xlws.FILTER(_xlpm.name_col, (_xlpm.date_col = _xlpm.target_date) * (_xlpm.loc_col =$C13), ""),
   IF(_xlpm.filtered="", "", _xlpm.filtered)
)</f>
        <v/>
      </c>
      <c r="V13" s="186" t="str" cm="1">
        <f t="array" ref="V13">_xlfn.LET(
   _xlpm.data, 表格3_5[[Date]:[Location]],
   _xlpm.date_col, INDEX(_xlpm.data, , 1),
   _xlpm.name_col, INDEX(_xlpm.data, , 2),
   _xlpm.loc_col,  INDEX(_xlpm.data, , 3),
   _xlpm.target_date, DATE(YEAR($C$1), MONTH($C$1), V$7),
   _xlpm.filtered, _xlfn._xlws.FILTER(_xlpm.name_col, (_xlpm.date_col = _xlpm.target_date) * (_xlpm.loc_col =$C13), ""),
   IF(_xlpm.filtered="", "", _xlpm.filtered)
)</f>
        <v/>
      </c>
      <c r="W13" s="186" t="str" cm="1">
        <f t="array" ref="W13">_xlfn.LET(
   _xlpm.data, 表格3_5[[Date]:[Location]],
   _xlpm.date_col, INDEX(_xlpm.data, , 1),
   _xlpm.name_col, INDEX(_xlpm.data, , 2),
   _xlpm.loc_col,  INDEX(_xlpm.data, , 3),
   _xlpm.target_date, DATE(YEAR($C$1), MONTH($C$1), W$7),
   _xlpm.filtered, _xlfn._xlws.FILTER(_xlpm.name_col, (_xlpm.date_col = _xlpm.target_date) * (_xlpm.loc_col =$C13), ""),
   IF(_xlpm.filtered="", "", _xlpm.filtered)
)</f>
        <v/>
      </c>
      <c r="X13" s="186" t="str" cm="1">
        <f t="array" ref="X13">_xlfn.LET(
   _xlpm.data, 表格3_5[[Date]:[Location]],
   _xlpm.date_col, INDEX(_xlpm.data, , 1),
   _xlpm.name_col, INDEX(_xlpm.data, , 2),
   _xlpm.loc_col,  INDEX(_xlpm.data, , 3),
   _xlpm.target_date, DATE(YEAR($C$1), MONTH($C$1), X$7),
   _xlpm.filtered, _xlfn._xlws.FILTER(_xlpm.name_col, (_xlpm.date_col = _xlpm.target_date) * (_xlpm.loc_col =$C13), ""),
   IF(_xlpm.filtered="", "", _xlpm.filtered)
)</f>
        <v/>
      </c>
      <c r="Y13" s="186" t="str" cm="1">
        <f t="array" ref="Y13">_xlfn.LET(
   _xlpm.data, 表格3_5[[Date]:[Location]],
   _xlpm.date_col, INDEX(_xlpm.data, , 1),
   _xlpm.name_col, INDEX(_xlpm.data, , 2),
   _xlpm.loc_col,  INDEX(_xlpm.data, , 3),
   _xlpm.target_date, DATE(YEAR($C$1), MONTH($C$1), Y$7),
   _xlpm.filtered, _xlfn._xlws.FILTER(_xlpm.name_col, (_xlpm.date_col = _xlpm.target_date) * (_xlpm.loc_col =$C13), ""),
   IF(_xlpm.filtered="", "", _xlpm.filtered)
)</f>
        <v/>
      </c>
      <c r="Z13" s="186" t="str" cm="1">
        <f t="array" ref="Z13">_xlfn.LET(
   _xlpm.data, 表格3_5[[Date]:[Location]],
   _xlpm.date_col, INDEX(_xlpm.data, , 1),
   _xlpm.name_col, INDEX(_xlpm.data, , 2),
   _xlpm.loc_col,  INDEX(_xlpm.data, , 3),
   _xlpm.target_date, DATE(YEAR($C$1), MONTH($C$1), Z$7),
   _xlpm.filtered, _xlfn._xlws.FILTER(_xlpm.name_col, (_xlpm.date_col = _xlpm.target_date) * (_xlpm.loc_col =$C13), ""),
   IF(_xlpm.filtered="", "", _xlpm.filtered)
)</f>
        <v/>
      </c>
      <c r="AA13" s="186" t="str" cm="1">
        <f t="array" ref="AA13">_xlfn.LET(
   _xlpm.data, 表格3_5[[Date]:[Location]],
   _xlpm.date_col, INDEX(_xlpm.data, , 1),
   _xlpm.name_col, INDEX(_xlpm.data, , 2),
   _xlpm.loc_col,  INDEX(_xlpm.data, , 3),
   _xlpm.target_date, DATE(YEAR($C$1), MONTH($C$1), AA$7),
   _xlpm.filtered, _xlfn._xlws.FILTER(_xlpm.name_col, (_xlpm.date_col = _xlpm.target_date) * (_xlpm.loc_col =$C13), ""),
   IF(_xlpm.filtered="", "", _xlpm.filtered)
)</f>
        <v/>
      </c>
      <c r="AB13" s="186" t="str" cm="1">
        <f t="array" ref="AB13">_xlfn.LET(
   _xlpm.data, 表格3_5[[Date]:[Location]],
   _xlpm.date_col, INDEX(_xlpm.data, , 1),
   _xlpm.name_col, INDEX(_xlpm.data, , 2),
   _xlpm.loc_col,  INDEX(_xlpm.data, , 3),
   _xlpm.target_date, DATE(YEAR($C$1), MONTH($C$1), AB$7),
   _xlpm.filtered, _xlfn._xlws.FILTER(_xlpm.name_col, (_xlpm.date_col = _xlpm.target_date) * (_xlpm.loc_col =$C13), ""),
   IF(_xlpm.filtered="", "", _xlpm.filtered)
)</f>
        <v/>
      </c>
      <c r="AC13" s="186" t="str" cm="1">
        <f t="array" ref="AC13">_xlfn.LET(
   _xlpm.data, 表格3_5[[Date]:[Location]],
   _xlpm.date_col, INDEX(_xlpm.data, , 1),
   _xlpm.name_col, INDEX(_xlpm.data, , 2),
   _xlpm.loc_col,  INDEX(_xlpm.data, , 3),
   _xlpm.target_date, DATE(YEAR($C$1), MONTH($C$1), AC$7),
   _xlpm.filtered, _xlfn._xlws.FILTER(_xlpm.name_col, (_xlpm.date_col = _xlpm.target_date) * (_xlpm.loc_col =$C13), ""),
   IF(_xlpm.filtered="", "", _xlpm.filtered)
)</f>
        <v/>
      </c>
      <c r="AD13" s="186" t="str" cm="1">
        <f t="array" ref="AD13">_xlfn.LET(
   _xlpm.data, 表格3_5[[Date]:[Location]],
   _xlpm.date_col, INDEX(_xlpm.data, , 1),
   _xlpm.name_col, INDEX(_xlpm.data, , 2),
   _xlpm.loc_col,  INDEX(_xlpm.data, , 3),
   _xlpm.target_date, DATE(YEAR($C$1), MONTH($C$1), AD$7),
   _xlpm.filtered, _xlfn._xlws.FILTER(_xlpm.name_col, (_xlpm.date_col = _xlpm.target_date) * (_xlpm.loc_col =$C13), ""),
   IF(_xlpm.filtered="", "", _xlpm.filtered)
)</f>
        <v/>
      </c>
      <c r="AE13" s="186" t="str" cm="1">
        <f t="array" ref="AE13">_xlfn.LET(
   _xlpm.data, 表格3_5[[Date]:[Location]],
   _xlpm.date_col, INDEX(_xlpm.data, , 1),
   _xlpm.name_col, INDEX(_xlpm.data, , 2),
   _xlpm.loc_col,  INDEX(_xlpm.data, , 3),
   _xlpm.target_date, DATE(YEAR($C$1), MONTH($C$1), AE$7),
   _xlpm.filtered, _xlfn._xlws.FILTER(_xlpm.name_col, (_xlpm.date_col = _xlpm.target_date) * (_xlpm.loc_col =$C13), ""),
   IF(_xlpm.filtered="", "", _xlpm.filtered)
)</f>
        <v/>
      </c>
      <c r="AF13" s="186" t="str" cm="1">
        <f t="array" ref="AF13">_xlfn.LET(
   _xlpm.data, 表格3_5[[Date]:[Location]],
   _xlpm.date_col, INDEX(_xlpm.data, , 1),
   _xlpm.name_col, INDEX(_xlpm.data, , 2),
   _xlpm.loc_col,  INDEX(_xlpm.data, , 3),
   _xlpm.target_date, DATE(YEAR($C$1), MONTH($C$1), AF$7),
   _xlpm.filtered, _xlfn._xlws.FILTER(_xlpm.name_col, (_xlpm.date_col = _xlpm.target_date) * (_xlpm.loc_col =$C13), ""),
   IF(_xlpm.filtered="", "", _xlpm.filtered)
)</f>
        <v/>
      </c>
      <c r="AG13" s="186" t="str" cm="1">
        <f t="array" ref="AG13">_xlfn.LET(
   _xlpm.data, 表格3_5[[Date]:[Location]],
   _xlpm.date_col, INDEX(_xlpm.data, , 1),
   _xlpm.name_col, INDEX(_xlpm.data, , 2),
   _xlpm.loc_col,  INDEX(_xlpm.data, , 3),
   _xlpm.target_date, DATE(YEAR($C$1), MONTH($C$1), AG$7),
   _xlpm.filtered, _xlfn._xlws.FILTER(_xlpm.name_col, (_xlpm.date_col = _xlpm.target_date) * (_xlpm.loc_col =$C13), ""),
   IF(_xlpm.filtered="", "", _xlpm.filtered)
)</f>
        <v/>
      </c>
      <c r="AH13" s="186" t="str" cm="1">
        <f t="array" ref="AH13">_xlfn.LET(
   _xlpm.data, 表格3_5[[Date]:[Location]],
   _xlpm.date_col, INDEX(_xlpm.data, , 1),
   _xlpm.name_col, INDEX(_xlpm.data, , 2),
   _xlpm.loc_col,  INDEX(_xlpm.data, , 3),
   _xlpm.target_date, DATE(YEAR($C$1), MONTH($C$1), AH$7),
   _xlpm.filtered, _xlfn._xlws.FILTER(_xlpm.name_col, (_xlpm.date_col = _xlpm.target_date) * (_xlpm.loc_col =$C13), ""),
   IF(_xlpm.filtered="", "", _xlpm.filtered)
)</f>
        <v/>
      </c>
      <c r="AI13" s="187">
        <f t="shared" si="33"/>
        <v>1</v>
      </c>
      <c r="AJ13" s="187">
        <f t="shared" si="34"/>
        <v>8</v>
      </c>
      <c r="AK13" s="177"/>
      <c r="AM13" s="181" t="str">
        <f t="shared" si="35"/>
        <v>Roadshow</v>
      </c>
      <c r="AN13" s="188" t="e">
        <f>IF(D13=".",D13,IF(VLOOKUP($AM13&amp;D$1+D8&amp;D13, 工作表1!$C:$V,1,) &gt; 0,D13,"ERROR"))</f>
        <v>#VALUE!</v>
      </c>
      <c r="AO13" s="188" t="e">
        <f>IF(E13=".",E13,IF(VLOOKUP($AM13&amp;E$1+E8&amp;E13, 工作表1!$C:$V,1,) &gt; 0,E13,"ERROR"))</f>
        <v>#VALUE!</v>
      </c>
      <c r="AP13" s="188" t="e">
        <f>IF(F13=".",F13,IF(VLOOKUP($AM13&amp;F$1+F8&amp;F13, 工作表1!$C:$V,1,) &gt; 0,F13,"ERROR"))</f>
        <v>#VALUE!</v>
      </c>
      <c r="AQ13" s="188" t="e">
        <f>IF(G13=".",G13,IF(VLOOKUP($AM13&amp;G$1+G8&amp;G13, 工作表1!$C:$V,1,) &gt; 0,G13,"ERROR"))</f>
        <v>#VALUE!</v>
      </c>
      <c r="AR13" s="188" t="e">
        <f>IF(H13=".",H13,IF(VLOOKUP($AM13&amp;H$1+H8&amp;H13, 工作表1!$C:$V,1,) &gt; 0,H13,"ERROR"))</f>
        <v>#VALUE!</v>
      </c>
      <c r="AS13" s="188" t="e">
        <f>IF(I13=".",I13,IF(VLOOKUP($AM13&amp;I$1+I8&amp;I13, 工作表1!$C:$V,1,) &gt; 0,I13,"ERROR"))</f>
        <v>#VALUE!</v>
      </c>
      <c r="AT13" s="188" t="e">
        <f>IF(J13=".",J13,IF(VLOOKUP($AM13&amp;J$1+J8&amp;J13, 工作表1!$C:$V,1,) &gt; 0,J13,"ERROR"))</f>
        <v>#VALUE!</v>
      </c>
      <c r="AU13" s="188" t="e">
        <f>IF(K13=".",K13,IF(VLOOKUP($AM13&amp;K$1+K8&amp;K13, 工作表1!$C:$V,1,) &gt; 0,K13,"ERROR"))</f>
        <v>#VALUE!</v>
      </c>
      <c r="AV13" s="188" t="e">
        <f>IF(L13=".",L13,IF(VLOOKUP($AM13&amp;L$1+L8&amp;L13, 工作表1!$C:$V,1,) &gt; 0,L13,"ERROR"))</f>
        <v>#VALUE!</v>
      </c>
      <c r="AW13" s="188" t="e">
        <f>IF(M13=".",M13,IF(VLOOKUP($AM13&amp;M$1+M8&amp;M13, 工作表1!$C:$V,1,) &gt; 0,M13,"ERROR"))</f>
        <v>#VALUE!</v>
      </c>
      <c r="AX13" s="188" t="e">
        <f>IF(N13=".",N13,IF(VLOOKUP($AM13&amp;N$1+N8&amp;N13, 工作表1!$C:$V,1,) &gt; 0,N13,"ERROR"))</f>
        <v>#VALUE!</v>
      </c>
      <c r="AY13" s="188" t="e">
        <f>IF(O13=".",O13,IF(VLOOKUP($AM13&amp;O$1+O8&amp;O13, 工作表1!$C:$V,1,) &gt; 0,O13,"ERROR"))</f>
        <v>#VALUE!</v>
      </c>
      <c r="AZ13" s="188" t="e">
        <f>IF(P13=".",P13,IF(VLOOKUP($AM13&amp;P$1+P8&amp;P13, 工作表1!$C:$V,1,) &gt; 0,P13,"ERROR"))</f>
        <v>#VALUE!</v>
      </c>
      <c r="BA13" s="188" t="e">
        <f>IF(Q13=".",Q13,IF(VLOOKUP($AM13&amp;Q$1+Q8&amp;Q13, 工作表1!$C:$V,1,) &gt; 0,Q13,"ERROR"))</f>
        <v>#VALUE!</v>
      </c>
      <c r="BB13" s="188" t="e">
        <f>IF(R13=".",R13,IF(VLOOKUP($AM13&amp;R$1+R8&amp;R13, 工作表1!$C:$V,1,) &gt; 0,R13,"ERROR"))</f>
        <v>#VALUE!</v>
      </c>
      <c r="BC13" s="188" t="e">
        <f>IF(S13=".",S13,IF(VLOOKUP($AM13&amp;S$1+S8&amp;S13, 工作表1!$C:$V,1,) &gt; 0,S13,"ERROR"))</f>
        <v>#VALUE!</v>
      </c>
      <c r="BD13" s="188" t="e">
        <f>IF(T13=".",T13,IF(VLOOKUP($AM13&amp;T$1+T8&amp;T13, 工作表1!$C:$V,1,) &gt; 0,T13,"ERROR"))</f>
        <v>#VALUE!</v>
      </c>
      <c r="BE13" s="188" t="e">
        <f>IF(U13=".",U13,IF(VLOOKUP($AM13&amp;U$1+U8&amp;U13, 工作表1!$C:$V,1,) &gt; 0,U13,"ERROR"))</f>
        <v>#VALUE!</v>
      </c>
      <c r="BF13" s="188" t="e">
        <f>IF(V13=".",V13,IF(VLOOKUP($AM13&amp;V$1+V8&amp;V13, 工作表1!$C:$V,1,) &gt; 0,V13,"ERROR"))</f>
        <v>#VALUE!</v>
      </c>
      <c r="BG13" s="188" t="e">
        <f>IF(W13=".",W13,IF(VLOOKUP($AM13&amp;W$1+W8&amp;W13, 工作表1!$C:$V,1,) &gt; 0,W13,"ERROR"))</f>
        <v>#VALUE!</v>
      </c>
      <c r="BH13" s="188" t="e">
        <f>IF(X13=".",X13,IF(VLOOKUP($AM13&amp;X$1+X8&amp;X13, 工作表1!$C:$V,1,) &gt; 0,X13,"ERROR"))</f>
        <v>#VALUE!</v>
      </c>
      <c r="BI13" s="188" t="e">
        <f>IF(Y13=".",Y13,IF(VLOOKUP($AM13&amp;Y$1+Y8&amp;Y13, 工作表1!$C:$V,1,) &gt; 0,Y13,"ERROR"))</f>
        <v>#VALUE!</v>
      </c>
      <c r="BJ13" s="188" t="e">
        <f>IF(Z13=".",Z13,IF(VLOOKUP($AM13&amp;Z$1+Z8&amp;Z13, 工作表1!$C:$V,1,) &gt; 0,Z13,"ERROR"))</f>
        <v>#VALUE!</v>
      </c>
      <c r="BK13" s="188" t="e">
        <f>IF(AA13=".",AA13,IF(VLOOKUP($AM13&amp;AA$1+AA8&amp;AA13, 工作表1!$C:$V,1,) &gt; 0,AA13,"ERROR"))</f>
        <v>#VALUE!</v>
      </c>
      <c r="BL13" s="188" t="e">
        <f>IF(AB13=".",AB13,IF(VLOOKUP($AM13&amp;AB$1+AB8&amp;AB13, 工作表1!$C:$V,1,) &gt; 0,AB13,"ERROR"))</f>
        <v>#VALUE!</v>
      </c>
      <c r="BM13" s="188" t="e">
        <f>IF(AC13=".",AC13,IF(VLOOKUP($AM13&amp;AC$1+AC8&amp;AC13, 工作表1!$C:$V,1,) &gt; 0,AC13,"ERROR"))</f>
        <v>#VALUE!</v>
      </c>
      <c r="BN13" s="188" t="e">
        <f>IF(AD13=".",AD13,IF(VLOOKUP($AM13&amp;AD$1+AD8&amp;AD13, 工作表1!$C:$V,1,) &gt; 0,AD13,"ERROR"))</f>
        <v>#VALUE!</v>
      </c>
      <c r="BO13" s="188" t="e">
        <f>IF(AE13=".",AE13,IF(VLOOKUP($AM13&amp;AE$1+AE8&amp;AE13, 工作表1!$C:$V,1,) &gt; 0,AE13,"ERROR"))</f>
        <v>#VALUE!</v>
      </c>
      <c r="BP13" s="188" t="e">
        <f>IF(AF13=".",AF13,IF(VLOOKUP($AM13&amp;AF$1+AF8&amp;AF13, 工作表1!$C:$V,1,) &gt; 0,AF13,"ERROR"))</f>
        <v>#VALUE!</v>
      </c>
      <c r="BQ13" s="188" t="e">
        <f>IF(AG13=".",AG13,IF(VLOOKUP($AM13&amp;AG$1+AG8&amp;AG13, 工作表1!$C:$V,1,) &gt; 0,AG13,"ERROR"))</f>
        <v>#VALUE!</v>
      </c>
      <c r="BR13" s="188" t="e">
        <f>IF(AH13=".",AH13,IF(VLOOKUP($AM13&amp;AH$1+AH8&amp;AH13, 工作表1!$C:$V,1,) &gt; 0,AH13,"ERROR"))</f>
        <v>#VALUE!</v>
      </c>
      <c r="BS13" s="188" t="e">
        <f>IF(#REF!=".",#REF!,IF(VLOOKUP($AM13&amp;#REF!+#REF!&amp;#REF!, 工作表1!$C:$V,1,) &gt; 0,#REF!,"ERROR"))</f>
        <v>#REF!</v>
      </c>
      <c r="BT13" s="188" t="e">
        <f>IF(#REF!=".",#REF!,IF(VLOOKUP($AM13&amp;#REF!+#REF!&amp;#REF!, 工作表1!$C:$V,1,) &gt; 0,#REF!,"ERROR"))</f>
        <v>#REF!</v>
      </c>
    </row>
    <row r="14" spans="2:72">
      <c r="B14" t="str" cm="1">
        <f t="array" ref="B14">_xlfn.LET(
    _xlpm.data, D14:AH14,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Carol</v>
      </c>
      <c r="C14" s="178" t="str">
        <v xml:space="preserve">CWB Yoho </v>
      </c>
      <c r="D14" s="186" t="str" cm="1">
        <f t="array" ref="D14">_xlfn.LET(
   _xlpm.data, 表格3_5[[Date]:[Location]],
   _xlpm.date_col, INDEX(_xlpm.data, , 1),
   _xlpm.name_col, INDEX(_xlpm.data, , 2),
   _xlpm.loc_col,  INDEX(_xlpm.data, , 3),
   _xlpm.target_date, DATE(YEAR($C$1), MONTH($C$1), D$7),
   _xlpm.filtered, _xlfn._xlws.FILTER(_xlpm.name_col, (_xlpm.date_col = _xlpm.target_date) * (_xlpm.loc_col =$C14), ""),
   IF(_xlpm.filtered="", "", _xlpm.filtered)
)</f>
        <v>Carol</v>
      </c>
      <c r="E14" s="186" t="str" cm="1">
        <f t="array" ref="E14">_xlfn.LET(
   _xlpm.data, 表格3_5[[Date]:[Location]],
   _xlpm.date_col, INDEX(_xlpm.data, , 1),
   _xlpm.name_col, INDEX(_xlpm.data, , 2),
   _xlpm.loc_col,  INDEX(_xlpm.data, , 3),
   _xlpm.target_date, DATE(YEAR($C$1), MONTH($C$1), E$7),
   _xlpm.filtered, _xlfn._xlws.FILTER(_xlpm.name_col, (_xlpm.date_col = _xlpm.target_date) * (_xlpm.loc_col =$C14), ""),
   IF(_xlpm.filtered="", "", _xlpm.filtered)
)</f>
        <v/>
      </c>
      <c r="F14" s="186" t="str" cm="1">
        <f t="array" ref="F14">_xlfn.LET(
   _xlpm.data, 表格3_5[[Date]:[Location]],
   _xlpm.date_col, INDEX(_xlpm.data, , 1),
   _xlpm.name_col, INDEX(_xlpm.data, , 2),
   _xlpm.loc_col,  INDEX(_xlpm.data, , 3),
   _xlpm.target_date, DATE(YEAR($C$1), MONTH($C$1), F$7),
   _xlpm.filtered, _xlfn._xlws.FILTER(_xlpm.name_col, (_xlpm.date_col = _xlpm.target_date) * (_xlpm.loc_col =$C14), ""),
   IF(_xlpm.filtered="", "", _xlpm.filtered)
)</f>
        <v/>
      </c>
      <c r="G14" s="186" t="str" cm="1">
        <f t="array" ref="G14">_xlfn.LET(
   _xlpm.data, 表格3_5[[Date]:[Location]],
   _xlpm.date_col, INDEX(_xlpm.data, , 1),
   _xlpm.name_col, INDEX(_xlpm.data, , 2),
   _xlpm.loc_col,  INDEX(_xlpm.data, , 3),
   _xlpm.target_date, DATE(YEAR($C$1), MONTH($C$1), G$7),
   _xlpm.filtered, _xlfn._xlws.FILTER(_xlpm.name_col, (_xlpm.date_col = _xlpm.target_date) * (_xlpm.loc_col =$C14), ""),
   IF(_xlpm.filtered="", "", _xlpm.filtered)
)</f>
        <v/>
      </c>
      <c r="H14" s="186" t="str" cm="1">
        <f t="array" ref="H14">_xlfn.LET(
   _xlpm.data, 表格3_5[[Date]:[Location]],
   _xlpm.date_col, INDEX(_xlpm.data, , 1),
   _xlpm.name_col, INDEX(_xlpm.data, , 2),
   _xlpm.loc_col,  INDEX(_xlpm.data, , 3),
   _xlpm.target_date, DATE(YEAR($C$1), MONTH($C$1), H$7),
   _xlpm.filtered, _xlfn._xlws.FILTER(_xlpm.name_col, (_xlpm.date_col = _xlpm.target_date) * (_xlpm.loc_col =$C14), ""),
   IF(_xlpm.filtered="", "", _xlpm.filtered)
)</f>
        <v/>
      </c>
      <c r="I14" s="186" t="str" cm="1">
        <f t="array" ref="I14">_xlfn.LET(
   _xlpm.data, 表格3_5[[Date]:[Location]],
   _xlpm.date_col, INDEX(_xlpm.data, , 1),
   _xlpm.name_col, INDEX(_xlpm.data, , 2),
   _xlpm.loc_col,  INDEX(_xlpm.data, , 3),
   _xlpm.target_date, DATE(YEAR($C$1), MONTH($C$1), I$7),
   _xlpm.filtered, _xlfn._xlws.FILTER(_xlpm.name_col, (_xlpm.date_col = _xlpm.target_date) * (_xlpm.loc_col =$C14), ""),
   IF(_xlpm.filtered="", "", _xlpm.filtered)
)</f>
        <v>Carol</v>
      </c>
      <c r="J14" s="186" t="str" cm="1">
        <f t="array" ref="J14">_xlfn.LET(
   _xlpm.data, 表格3_5[[Date]:[Location]],
   _xlpm.date_col, INDEX(_xlpm.data, , 1),
   _xlpm.name_col, INDEX(_xlpm.data, , 2),
   _xlpm.loc_col,  INDEX(_xlpm.data, , 3),
   _xlpm.target_date, DATE(YEAR($C$1), MONTH($C$1), J$7),
   _xlpm.filtered, _xlfn._xlws.FILTER(_xlpm.name_col, (_xlpm.date_col = _xlpm.target_date) * (_xlpm.loc_col =$C14), ""),
   IF(_xlpm.filtered="", "", _xlpm.filtered)
)</f>
        <v/>
      </c>
      <c r="K14" s="186" t="str" cm="1">
        <f t="array" ref="K14">_xlfn.LET(
   _xlpm.data, 表格3_5[[Date]:[Location]],
   _xlpm.date_col, INDEX(_xlpm.data, , 1),
   _xlpm.name_col, INDEX(_xlpm.data, , 2),
   _xlpm.loc_col,  INDEX(_xlpm.data, , 3),
   _xlpm.target_date, DATE(YEAR($C$1), MONTH($C$1), K$7),
   _xlpm.filtered, _xlfn._xlws.FILTER(_xlpm.name_col, (_xlpm.date_col = _xlpm.target_date) * (_xlpm.loc_col =$C14), ""),
   IF(_xlpm.filtered="", "", _xlpm.filtered)
)</f>
        <v>Carol</v>
      </c>
      <c r="L14" s="186" t="str" cm="1">
        <f t="array" ref="L14">_xlfn.LET(
   _xlpm.data, 表格3_5[[Date]:[Location]],
   _xlpm.date_col, INDEX(_xlpm.data, , 1),
   _xlpm.name_col, INDEX(_xlpm.data, , 2),
   _xlpm.loc_col,  INDEX(_xlpm.data, , 3),
   _xlpm.target_date, DATE(YEAR($C$1), MONTH($C$1), L$7),
   _xlpm.filtered, _xlfn._xlws.FILTER(_xlpm.name_col, (_xlpm.date_col = _xlpm.target_date) * (_xlpm.loc_col =$C14), ""),
   IF(_xlpm.filtered="", "", _xlpm.filtered)
)</f>
        <v/>
      </c>
      <c r="M14" s="186" t="str" cm="1">
        <f t="array" ref="M14">_xlfn.LET(
   _xlpm.data, 表格3_5[[Date]:[Location]],
   _xlpm.date_col, INDEX(_xlpm.data, , 1),
   _xlpm.name_col, INDEX(_xlpm.data, , 2),
   _xlpm.loc_col,  INDEX(_xlpm.data, , 3),
   _xlpm.target_date, DATE(YEAR($C$1), MONTH($C$1), M$7),
   _xlpm.filtered, _xlfn._xlws.FILTER(_xlpm.name_col, (_xlpm.date_col = _xlpm.target_date) * (_xlpm.loc_col =$C14), ""),
   IF(_xlpm.filtered="", "", _xlpm.filtered)
)</f>
        <v/>
      </c>
      <c r="N14" s="186" t="str" cm="1">
        <f t="array" ref="N14">_xlfn.LET(
   _xlpm.data, 表格3_5[[Date]:[Location]],
   _xlpm.date_col, INDEX(_xlpm.data, , 1),
   _xlpm.name_col, INDEX(_xlpm.data, , 2),
   _xlpm.loc_col,  INDEX(_xlpm.data, , 3),
   _xlpm.target_date, DATE(YEAR($C$1), MONTH($C$1), N$7),
   _xlpm.filtered, _xlfn._xlws.FILTER(_xlpm.name_col, (_xlpm.date_col = _xlpm.target_date) * (_xlpm.loc_col =$C14), ""),
   IF(_xlpm.filtered="", "", _xlpm.filtered)
)</f>
        <v/>
      </c>
      <c r="O14" s="186" t="str" cm="1">
        <f t="array" ref="O14">_xlfn.LET(
   _xlpm.data, 表格3_5[[Date]:[Location]],
   _xlpm.date_col, INDEX(_xlpm.data, , 1),
   _xlpm.name_col, INDEX(_xlpm.data, , 2),
   _xlpm.loc_col,  INDEX(_xlpm.data, , 3),
   _xlpm.target_date, DATE(YEAR($C$1), MONTH($C$1), O$7),
   _xlpm.filtered, _xlfn._xlws.FILTER(_xlpm.name_col, (_xlpm.date_col = _xlpm.target_date) * (_xlpm.loc_col =$C14), ""),
   IF(_xlpm.filtered="", "", _xlpm.filtered)
)</f>
        <v>Carol</v>
      </c>
      <c r="P14" s="186" t="str" cm="1">
        <f t="array" ref="P14">_xlfn.LET(
   _xlpm.data, 表格3_5[[Date]:[Location]],
   _xlpm.date_col, INDEX(_xlpm.data, , 1),
   _xlpm.name_col, INDEX(_xlpm.data, , 2),
   _xlpm.loc_col,  INDEX(_xlpm.data, , 3),
   _xlpm.target_date, DATE(YEAR($C$1), MONTH($C$1), P$7),
   _xlpm.filtered, _xlfn._xlws.FILTER(_xlpm.name_col, (_xlpm.date_col = _xlpm.target_date) * (_xlpm.loc_col =$C14), ""),
   IF(_xlpm.filtered="", "", _xlpm.filtered)
)</f>
        <v/>
      </c>
      <c r="Q14" s="186" t="str" cm="1">
        <f t="array" ref="Q14">_xlfn.LET(
   _xlpm.data, 表格3_5[[Date]:[Location]],
   _xlpm.date_col, INDEX(_xlpm.data, , 1),
   _xlpm.name_col, INDEX(_xlpm.data, , 2),
   _xlpm.loc_col,  INDEX(_xlpm.data, , 3),
   _xlpm.target_date, DATE(YEAR($C$1), MONTH($C$1), Q$7),
   _xlpm.filtered, _xlfn._xlws.FILTER(_xlpm.name_col, (_xlpm.date_col = _xlpm.target_date) * (_xlpm.loc_col =$C14), ""),
   IF(_xlpm.filtered="", "", _xlpm.filtered)
)</f>
        <v/>
      </c>
      <c r="R14" s="186" t="str" cm="1">
        <f t="array" ref="R14">_xlfn.LET(
   _xlpm.data, 表格3_5[[Date]:[Location]],
   _xlpm.date_col, INDEX(_xlpm.data, , 1),
   _xlpm.name_col, INDEX(_xlpm.data, , 2),
   _xlpm.loc_col,  INDEX(_xlpm.data, , 3),
   _xlpm.target_date, DATE(YEAR($C$1), MONTH($C$1), R$7),
   _xlpm.filtered, _xlfn._xlws.FILTER(_xlpm.name_col, (_xlpm.date_col = _xlpm.target_date) * (_xlpm.loc_col =$C14), ""),
   IF(_xlpm.filtered="", "", _xlpm.filtered)
)</f>
        <v>Carol</v>
      </c>
      <c r="S14" s="186" t="str" cm="1">
        <f t="array" ref="S14">_xlfn.LET(
   _xlpm.data, 表格3_5[[Date]:[Location]],
   _xlpm.date_col, INDEX(_xlpm.data, , 1),
   _xlpm.name_col, INDEX(_xlpm.data, , 2),
   _xlpm.loc_col,  INDEX(_xlpm.data, , 3),
   _xlpm.target_date, DATE(YEAR($C$1), MONTH($C$1), S$7),
   _xlpm.filtered, _xlfn._xlws.FILTER(_xlpm.name_col, (_xlpm.date_col = _xlpm.target_date) * (_xlpm.loc_col =$C14), ""),
   IF(_xlpm.filtered="", "", _xlpm.filtered)
)</f>
        <v>Carol</v>
      </c>
      <c r="T14" s="186" t="str" cm="1">
        <f t="array" ref="T14">_xlfn.LET(
   _xlpm.data, 表格3_5[[Date]:[Location]],
   _xlpm.date_col, INDEX(_xlpm.data, , 1),
   _xlpm.name_col, INDEX(_xlpm.data, , 2),
   _xlpm.loc_col,  INDEX(_xlpm.data, , 3),
   _xlpm.target_date, DATE(YEAR($C$1), MONTH($C$1), T$7),
   _xlpm.filtered, _xlfn._xlws.FILTER(_xlpm.name_col, (_xlpm.date_col = _xlpm.target_date) * (_xlpm.loc_col =$C14), ""),
   IF(_xlpm.filtered="", "", _xlpm.filtered)
)</f>
        <v/>
      </c>
      <c r="U14" s="186" t="str" cm="1">
        <f t="array" ref="U14">_xlfn.LET(
   _xlpm.data, 表格3_5[[Date]:[Location]],
   _xlpm.date_col, INDEX(_xlpm.data, , 1),
   _xlpm.name_col, INDEX(_xlpm.data, , 2),
   _xlpm.loc_col,  INDEX(_xlpm.data, , 3),
   _xlpm.target_date, DATE(YEAR($C$1), MONTH($C$1), U$7),
   _xlpm.filtered, _xlfn._xlws.FILTER(_xlpm.name_col, (_xlpm.date_col = _xlpm.target_date) * (_xlpm.loc_col =$C14), ""),
   IF(_xlpm.filtered="", "", _xlpm.filtered)
)</f>
        <v/>
      </c>
      <c r="V14" s="186" t="str" cm="1">
        <f t="array" ref="V14">_xlfn.LET(
   _xlpm.data, 表格3_5[[Date]:[Location]],
   _xlpm.date_col, INDEX(_xlpm.data, , 1),
   _xlpm.name_col, INDEX(_xlpm.data, , 2),
   _xlpm.loc_col,  INDEX(_xlpm.data, , 3),
   _xlpm.target_date, DATE(YEAR($C$1), MONTH($C$1), V$7),
   _xlpm.filtered, _xlfn._xlws.FILTER(_xlpm.name_col, (_xlpm.date_col = _xlpm.target_date) * (_xlpm.loc_col =$C14), ""),
   IF(_xlpm.filtered="", "", _xlpm.filtered)
)</f>
        <v/>
      </c>
      <c r="W14" s="186" t="str" cm="1">
        <f t="array" ref="W14">_xlfn.LET(
   _xlpm.data, 表格3_5[[Date]:[Location]],
   _xlpm.date_col, INDEX(_xlpm.data, , 1),
   _xlpm.name_col, INDEX(_xlpm.data, , 2),
   _xlpm.loc_col,  INDEX(_xlpm.data, , 3),
   _xlpm.target_date, DATE(YEAR($C$1), MONTH($C$1), W$7),
   _xlpm.filtered, _xlfn._xlws.FILTER(_xlpm.name_col, (_xlpm.date_col = _xlpm.target_date) * (_xlpm.loc_col =$C14), ""),
   IF(_xlpm.filtered="", "", _xlpm.filtered)
)</f>
        <v>Carol</v>
      </c>
      <c r="X14" s="186" t="str" cm="1">
        <f t="array" ref="X14">_xlfn.LET(
   _xlpm.data, 表格3_5[[Date]:[Location]],
   _xlpm.date_col, INDEX(_xlpm.data, , 1),
   _xlpm.name_col, INDEX(_xlpm.data, , 2),
   _xlpm.loc_col,  INDEX(_xlpm.data, , 3),
   _xlpm.target_date, DATE(YEAR($C$1), MONTH($C$1), X$7),
   _xlpm.filtered, _xlfn._xlws.FILTER(_xlpm.name_col, (_xlpm.date_col = _xlpm.target_date) * (_xlpm.loc_col =$C14), ""),
   IF(_xlpm.filtered="", "", _xlpm.filtered)
)</f>
        <v/>
      </c>
      <c r="Y14" s="186" t="str" cm="1">
        <f t="array" ref="Y14">_xlfn.LET(
   _xlpm.data, 表格3_5[[Date]:[Location]],
   _xlpm.date_col, INDEX(_xlpm.data, , 1),
   _xlpm.name_col, INDEX(_xlpm.data, , 2),
   _xlpm.loc_col,  INDEX(_xlpm.data, , 3),
   _xlpm.target_date, DATE(YEAR($C$1), MONTH($C$1), Y$7),
   _xlpm.filtered, _xlfn._xlws.FILTER(_xlpm.name_col, (_xlpm.date_col = _xlpm.target_date) * (_xlpm.loc_col =$C14), ""),
   IF(_xlpm.filtered="", "", _xlpm.filtered)
)</f>
        <v>Carol</v>
      </c>
      <c r="Z14" s="186" t="str" cm="1">
        <f t="array" ref="Z14">_xlfn.LET(
   _xlpm.data, 表格3_5[[Date]:[Location]],
   _xlpm.date_col, INDEX(_xlpm.data, , 1),
   _xlpm.name_col, INDEX(_xlpm.data, , 2),
   _xlpm.loc_col,  INDEX(_xlpm.data, , 3),
   _xlpm.target_date, DATE(YEAR($C$1), MONTH($C$1), Z$7),
   _xlpm.filtered, _xlfn._xlws.FILTER(_xlpm.name_col, (_xlpm.date_col = _xlpm.target_date) * (_xlpm.loc_col =$C14), ""),
   IF(_xlpm.filtered="", "", _xlpm.filtered)
)</f>
        <v/>
      </c>
      <c r="AA14" s="186" t="str" cm="1">
        <f t="array" ref="AA14">_xlfn.LET(
   _xlpm.data, 表格3_5[[Date]:[Location]],
   _xlpm.date_col, INDEX(_xlpm.data, , 1),
   _xlpm.name_col, INDEX(_xlpm.data, , 2),
   _xlpm.loc_col,  INDEX(_xlpm.data, , 3),
   _xlpm.target_date, DATE(YEAR($C$1), MONTH($C$1), AA$7),
   _xlpm.filtered, _xlfn._xlws.FILTER(_xlpm.name_col, (_xlpm.date_col = _xlpm.target_date) * (_xlpm.loc_col =$C14), ""),
   IF(_xlpm.filtered="", "", _xlpm.filtered)
)</f>
        <v/>
      </c>
      <c r="AB14" s="186" t="str" cm="1">
        <f t="array" ref="AB14">_xlfn.LET(
   _xlpm.data, 表格3_5[[Date]:[Location]],
   _xlpm.date_col, INDEX(_xlpm.data, , 1),
   _xlpm.name_col, INDEX(_xlpm.data, , 2),
   _xlpm.loc_col,  INDEX(_xlpm.data, , 3),
   _xlpm.target_date, DATE(YEAR($C$1), MONTH($C$1), AB$7),
   _xlpm.filtered, _xlfn._xlws.FILTER(_xlpm.name_col, (_xlpm.date_col = _xlpm.target_date) * (_xlpm.loc_col =$C14), ""),
   IF(_xlpm.filtered="", "", _xlpm.filtered)
)</f>
        <v/>
      </c>
      <c r="AC14" s="186" t="str" cm="1">
        <f t="array" ref="AC14">_xlfn.LET(
   _xlpm.data, 表格3_5[[Date]:[Location]],
   _xlpm.date_col, INDEX(_xlpm.data, , 1),
   _xlpm.name_col, INDEX(_xlpm.data, , 2),
   _xlpm.loc_col,  INDEX(_xlpm.data, , 3),
   _xlpm.target_date, DATE(YEAR($C$1), MONTH($C$1), AC$7),
   _xlpm.filtered, _xlfn._xlws.FILTER(_xlpm.name_col, (_xlpm.date_col = _xlpm.target_date) * (_xlpm.loc_col =$C14), ""),
   IF(_xlpm.filtered="", "", _xlpm.filtered)
)</f>
        <v>Carol</v>
      </c>
      <c r="AD14" s="186" t="str" cm="1">
        <f t="array" ref="AD14">_xlfn.LET(
   _xlpm.data, 表格3_5[[Date]:[Location]],
   _xlpm.date_col, INDEX(_xlpm.data, , 1),
   _xlpm.name_col, INDEX(_xlpm.data, , 2),
   _xlpm.loc_col,  INDEX(_xlpm.data, , 3),
   _xlpm.target_date, DATE(YEAR($C$1), MONTH($C$1), AD$7),
   _xlpm.filtered, _xlfn._xlws.FILTER(_xlpm.name_col, (_xlpm.date_col = _xlpm.target_date) * (_xlpm.loc_col =$C14), ""),
   IF(_xlpm.filtered="", "", _xlpm.filtered)
)</f>
        <v>Carol</v>
      </c>
      <c r="AE14" s="186" t="str" cm="1">
        <f t="array" ref="AE14">_xlfn.LET(
   _xlpm.data, 表格3_5[[Date]:[Location]],
   _xlpm.date_col, INDEX(_xlpm.data, , 1),
   _xlpm.name_col, INDEX(_xlpm.data, , 2),
   _xlpm.loc_col,  INDEX(_xlpm.data, , 3),
   _xlpm.target_date, DATE(YEAR($C$1), MONTH($C$1), AE$7),
   _xlpm.filtered, _xlfn._xlws.FILTER(_xlpm.name_col, (_xlpm.date_col = _xlpm.target_date) * (_xlpm.loc_col =$C14), ""),
   IF(_xlpm.filtered="", "", _xlpm.filtered)
)</f>
        <v>Carol</v>
      </c>
      <c r="AF14" s="186" t="str" cm="1">
        <f t="array" ref="AF14">_xlfn.LET(
   _xlpm.data, 表格3_5[[Date]:[Location]],
   _xlpm.date_col, INDEX(_xlpm.data, , 1),
   _xlpm.name_col, INDEX(_xlpm.data, , 2),
   _xlpm.loc_col,  INDEX(_xlpm.data, , 3),
   _xlpm.target_date, DATE(YEAR($C$1), MONTH($C$1), AF$7),
   _xlpm.filtered, _xlfn._xlws.FILTER(_xlpm.name_col, (_xlpm.date_col = _xlpm.target_date) * (_xlpm.loc_col =$C14), ""),
   IF(_xlpm.filtered="", "", _xlpm.filtered)
)</f>
        <v/>
      </c>
      <c r="AG14" s="186" t="str" cm="1">
        <f t="array" ref="AG14">_xlfn.LET(
   _xlpm.data, 表格3_5[[Date]:[Location]],
   _xlpm.date_col, INDEX(_xlpm.data, , 1),
   _xlpm.name_col, INDEX(_xlpm.data, , 2),
   _xlpm.loc_col,  INDEX(_xlpm.data, , 3),
   _xlpm.target_date, DATE(YEAR($C$1), MONTH($C$1), AG$7),
   _xlpm.filtered, _xlfn._xlws.FILTER(_xlpm.name_col, (_xlpm.date_col = _xlpm.target_date) * (_xlpm.loc_col =$C14), ""),
   IF(_xlpm.filtered="", "", _xlpm.filtered)
)</f>
        <v>Carol</v>
      </c>
      <c r="AH14" s="186" t="str" cm="1">
        <f t="array" ref="AH14">_xlfn.LET(
   _xlpm.data, 表格3_5[[Date]:[Location]],
   _xlpm.date_col, INDEX(_xlpm.data, , 1),
   _xlpm.name_col, INDEX(_xlpm.data, , 2),
   _xlpm.loc_col,  INDEX(_xlpm.data, , 3),
   _xlpm.target_date, DATE(YEAR($C$1), MONTH($C$1), AH$7),
   _xlpm.filtered, _xlfn._xlws.FILTER(_xlpm.name_col, (_xlpm.date_col = _xlpm.target_date) * (_xlpm.loc_col =$C14), ""),
   IF(_xlpm.filtered="", "", _xlpm.filtered)
)</f>
        <v/>
      </c>
      <c r="AI14" s="187">
        <f t="shared" si="33"/>
        <v>12</v>
      </c>
      <c r="AJ14" s="187">
        <f t="shared" si="34"/>
        <v>96</v>
      </c>
      <c r="AK14" s="177"/>
      <c r="AM14" s="181" t="str">
        <f t="shared" si="35"/>
        <v xml:space="preserve">CWB Yoho </v>
      </c>
      <c r="AN14" s="188" t="e">
        <f>IF(D14=".",D14,IF(VLOOKUP($AM14&amp;D$1+D9&amp;D14, 工作表1!$C:$V,1,) &gt; 0,D14,"ERROR"))</f>
        <v>#VALUE!</v>
      </c>
      <c r="AO14" s="188" t="e">
        <f>IF(E14=".",E14,IF(VLOOKUP($AM14&amp;E$1+E9&amp;E14, 工作表1!$C:$V,1,) &gt; 0,E14,"ERROR"))</f>
        <v>#VALUE!</v>
      </c>
      <c r="AP14" s="188" t="e">
        <f>IF(F14=".",F14,IF(VLOOKUP($AM14&amp;F$1+F9&amp;F14, 工作表1!$C:$V,1,) &gt; 0,F14,"ERROR"))</f>
        <v>#VALUE!</v>
      </c>
      <c r="AQ14" s="188" t="e">
        <f>IF(G14=".",G14,IF(VLOOKUP($AM14&amp;G$1+G9&amp;G14, 工作表1!$C:$V,1,) &gt; 0,G14,"ERROR"))</f>
        <v>#VALUE!</v>
      </c>
      <c r="AR14" s="188" t="e">
        <f>IF(H14=".",H14,IF(VLOOKUP($AM14&amp;H$1+H9&amp;H14, 工作表1!$C:$V,1,) &gt; 0,H14,"ERROR"))</f>
        <v>#VALUE!</v>
      </c>
      <c r="AS14" s="188" t="e">
        <f>IF(I14=".",I14,IF(VLOOKUP($AM14&amp;I$1+I9&amp;I14, 工作表1!$C:$V,1,) &gt; 0,I14,"ERROR"))</f>
        <v>#VALUE!</v>
      </c>
      <c r="AT14" s="188" t="e">
        <f>IF(J14=".",J14,IF(VLOOKUP($AM14&amp;J$1+J9&amp;J14, 工作表1!$C:$V,1,) &gt; 0,J14,"ERROR"))</f>
        <v>#VALUE!</v>
      </c>
      <c r="AU14" s="188" t="e">
        <f>IF(K14=".",K14,IF(VLOOKUP($AM14&amp;K$1+K9&amp;K14, 工作表1!$C:$V,1,) &gt; 0,K14,"ERROR"))</f>
        <v>#VALUE!</v>
      </c>
      <c r="AV14" s="188" t="e">
        <f>IF(L14=".",L14,IF(VLOOKUP($AM14&amp;L$1+L9&amp;L14, 工作表1!$C:$V,1,) &gt; 0,L14,"ERROR"))</f>
        <v>#VALUE!</v>
      </c>
      <c r="AW14" s="188" t="e">
        <f>IF(M14=".",M14,IF(VLOOKUP($AM14&amp;M$1+M9&amp;M14, 工作表1!$C:$V,1,) &gt; 0,M14,"ERROR"))</f>
        <v>#VALUE!</v>
      </c>
      <c r="AX14" s="188" t="e">
        <f>IF(N14=".",N14,IF(VLOOKUP($AM14&amp;N$1+N9&amp;N14, 工作表1!$C:$V,1,) &gt; 0,N14,"ERROR"))</f>
        <v>#VALUE!</v>
      </c>
      <c r="AY14" s="188" t="e">
        <f>IF(O14=".",O14,IF(VLOOKUP($AM14&amp;O$1+O9&amp;O14, 工作表1!$C:$V,1,) &gt; 0,O14,"ERROR"))</f>
        <v>#VALUE!</v>
      </c>
      <c r="AZ14" s="188" t="e">
        <f>IF(P14=".",P14,IF(VLOOKUP($AM14&amp;P$1+P9&amp;P14, 工作表1!$C:$V,1,) &gt; 0,P14,"ERROR"))</f>
        <v>#VALUE!</v>
      </c>
      <c r="BA14" s="188" t="e">
        <f>IF(Q14=".",Q14,IF(VLOOKUP($AM14&amp;Q$1+Q9&amp;Q14, 工作表1!$C:$V,1,) &gt; 0,Q14,"ERROR"))</f>
        <v>#VALUE!</v>
      </c>
      <c r="BB14" s="188" t="e">
        <f>IF(R14=".",R14,IF(VLOOKUP($AM14&amp;R$1+R9&amp;R14, 工作表1!$C:$V,1,) &gt; 0,R14,"ERROR"))</f>
        <v>#VALUE!</v>
      </c>
      <c r="BC14" s="188" t="e">
        <f>IF(S14=".",S14,IF(VLOOKUP($AM14&amp;S$1+S9&amp;S14, 工作表1!$C:$V,1,) &gt; 0,S14,"ERROR"))</f>
        <v>#VALUE!</v>
      </c>
      <c r="BD14" s="188" t="e">
        <f>IF(T14=".",T14,IF(VLOOKUP($AM14&amp;T$1+T9&amp;T14, 工作表1!$C:$V,1,) &gt; 0,T14,"ERROR"))</f>
        <v>#VALUE!</v>
      </c>
      <c r="BE14" s="188" t="e">
        <f>IF(U14=".",U14,IF(VLOOKUP($AM14&amp;U$1+U9&amp;U14, 工作表1!$C:$V,1,) &gt; 0,U14,"ERROR"))</f>
        <v>#VALUE!</v>
      </c>
      <c r="BF14" s="188" t="e">
        <f>IF(V14=".",V14,IF(VLOOKUP($AM14&amp;V$1+V9&amp;V14, 工作表1!$C:$V,1,) &gt; 0,V14,"ERROR"))</f>
        <v>#VALUE!</v>
      </c>
      <c r="BG14" s="188" t="e">
        <f>IF(W14=".",W14,IF(VLOOKUP($AM14&amp;W$1+W9&amp;W14, 工作表1!$C:$V,1,) &gt; 0,W14,"ERROR"))</f>
        <v>#VALUE!</v>
      </c>
      <c r="BH14" s="188" t="e">
        <f>IF(X14=".",X14,IF(VLOOKUP($AM14&amp;X$1+X9&amp;X14, 工作表1!$C:$V,1,) &gt; 0,X14,"ERROR"))</f>
        <v>#VALUE!</v>
      </c>
      <c r="BI14" s="188" t="e">
        <f>IF(Y14=".",Y14,IF(VLOOKUP($AM14&amp;Y$1+Y9&amp;Y14, 工作表1!$C:$V,1,) &gt; 0,Y14,"ERROR"))</f>
        <v>#VALUE!</v>
      </c>
      <c r="BJ14" s="188" t="e">
        <f>IF(Z14=".",Z14,IF(VLOOKUP($AM14&amp;Z$1+Z9&amp;Z14, 工作表1!$C:$V,1,) &gt; 0,Z14,"ERROR"))</f>
        <v>#VALUE!</v>
      </c>
      <c r="BK14" s="188" t="e">
        <f>IF(AA14=".",AA14,IF(VLOOKUP($AM14&amp;AA$1+AA9&amp;AA14, 工作表1!$C:$V,1,) &gt; 0,AA14,"ERROR"))</f>
        <v>#VALUE!</v>
      </c>
      <c r="BL14" s="188" t="e">
        <f>IF(AB14=".",AB14,IF(VLOOKUP($AM14&amp;AB$1+AB9&amp;AB14, 工作表1!$C:$V,1,) &gt; 0,AB14,"ERROR"))</f>
        <v>#VALUE!</v>
      </c>
      <c r="BM14" s="188" t="e">
        <f>IF(AC14=".",AC14,IF(VLOOKUP($AM14&amp;AC$1+AC9&amp;AC14, 工作表1!$C:$V,1,) &gt; 0,AC14,"ERROR"))</f>
        <v>#VALUE!</v>
      </c>
      <c r="BN14" s="188" t="e">
        <f>IF(AD14=".",AD14,IF(VLOOKUP($AM14&amp;AD$1+AD9&amp;AD14, 工作表1!$C:$V,1,) &gt; 0,AD14,"ERROR"))</f>
        <v>#VALUE!</v>
      </c>
      <c r="BO14" s="188" t="e">
        <f>IF(AE14=".",AE14,IF(VLOOKUP($AM14&amp;AE$1+AE9&amp;AE14, 工作表1!$C:$V,1,) &gt; 0,AE14,"ERROR"))</f>
        <v>#VALUE!</v>
      </c>
      <c r="BP14" s="188" t="e">
        <f>IF(AF14=".",AF14,IF(VLOOKUP($AM14&amp;AF$1+AF9&amp;AF14, 工作表1!$C:$V,1,) &gt; 0,AF14,"ERROR"))</f>
        <v>#VALUE!</v>
      </c>
      <c r="BQ14" s="188" t="e">
        <f>IF(AG14=".",AG14,IF(VLOOKUP($AM14&amp;AG$1+AG9&amp;AG14, 工作表1!$C:$V,1,) &gt; 0,AG14,"ERROR"))</f>
        <v>#VALUE!</v>
      </c>
      <c r="BR14" s="188" t="e">
        <f>IF(AH14=".",AH14,IF(VLOOKUP($AM14&amp;AH$1+AH9&amp;AH14, 工作表1!$C:$V,1,) &gt; 0,AH14,"ERROR"))</f>
        <v>#VALUE!</v>
      </c>
      <c r="BS14" s="188" t="e">
        <f>IF(#REF!=".",#REF!,IF(VLOOKUP($AM14&amp;#REF!+#REF!&amp;#REF!, 工作表1!$C:$V,1,) &gt; 0,#REF!,"ERROR"))</f>
        <v>#REF!</v>
      </c>
      <c r="BT14" s="188" t="e">
        <f>IF(#REF!=".",#REF!,IF(VLOOKUP($AM14&amp;#REF!+#REF!&amp;#REF!, 工作表1!$C:$V,1,) &gt; 0,#REF!,"ERROR"))</f>
        <v>#REF!</v>
      </c>
    </row>
    <row r="15" spans="2:72">
      <c r="B15" t="str" cm="1">
        <f t="array" ref="B15">_xlfn.LET(
    _xlpm.data, D15:AH15,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Carol</v>
      </c>
      <c r="C15" s="180" t="str">
        <v>Tsuen Wan Chung Yuen</v>
      </c>
      <c r="D15" s="186" t="str" cm="1">
        <f t="array" ref="D15">_xlfn.LET(
   _xlpm.data, 表格3_5[[Date]:[Location]],
   _xlpm.date_col, INDEX(_xlpm.data, , 1),
   _xlpm.name_col, INDEX(_xlpm.data, , 2),
   _xlpm.loc_col,  INDEX(_xlpm.data, , 3),
   _xlpm.target_date, DATE(YEAR($C$1), MONTH($C$1), D$7),
   _xlpm.filtered, _xlfn._xlws.FILTER(_xlpm.name_col, (_xlpm.date_col = _xlpm.target_date) * (_xlpm.loc_col =$C15), ""),
   IF(_xlpm.filtered="", "", _xlpm.filtered)
)</f>
        <v/>
      </c>
      <c r="E15" s="186" t="str" cm="1">
        <f t="array" ref="E15">_xlfn.LET(
   _xlpm.data, 表格3_5[[Date]:[Location]],
   _xlpm.date_col, INDEX(_xlpm.data, , 1),
   _xlpm.name_col, INDEX(_xlpm.data, , 2),
   _xlpm.loc_col,  INDEX(_xlpm.data, , 3),
   _xlpm.target_date, DATE(YEAR($C$1), MONTH($C$1), E$7),
   _xlpm.filtered, _xlfn._xlws.FILTER(_xlpm.name_col, (_xlpm.date_col = _xlpm.target_date) * (_xlpm.loc_col =$C15), ""),
   IF(_xlpm.filtered="", "", _xlpm.filtered)
)</f>
        <v>Carol</v>
      </c>
      <c r="F15" s="186" t="str" cm="1">
        <f t="array" ref="F15">_xlfn.LET(
   _xlpm.data, 表格3_5[[Date]:[Location]],
   _xlpm.date_col, INDEX(_xlpm.data, , 1),
   _xlpm.name_col, INDEX(_xlpm.data, , 2),
   _xlpm.loc_col,  INDEX(_xlpm.data, , 3),
   _xlpm.target_date, DATE(YEAR($C$1), MONTH($C$1), F$7),
   _xlpm.filtered, _xlfn._xlws.FILTER(_xlpm.name_col, (_xlpm.date_col = _xlpm.target_date) * (_xlpm.loc_col =$C15), ""),
   IF(_xlpm.filtered="", "", _xlpm.filtered)
)</f>
        <v/>
      </c>
      <c r="G15" s="186" t="str" cm="1">
        <f t="array" ref="G15">_xlfn.LET(
   _xlpm.data, 表格3_5[[Date]:[Location]],
   _xlpm.date_col, INDEX(_xlpm.data, , 1),
   _xlpm.name_col, INDEX(_xlpm.data, , 2),
   _xlpm.loc_col,  INDEX(_xlpm.data, , 3),
   _xlpm.target_date, DATE(YEAR($C$1), MONTH($C$1), G$7),
   _xlpm.filtered, _xlfn._xlws.FILTER(_xlpm.name_col, (_xlpm.date_col = _xlpm.target_date) * (_xlpm.loc_col =$C15), ""),
   IF(_xlpm.filtered="", "", _xlpm.filtered)
)</f>
        <v>Carol</v>
      </c>
      <c r="H15" s="186" t="str" cm="1">
        <f t="array" ref="H15">_xlfn.LET(
   _xlpm.data, 表格3_5[[Date]:[Location]],
   _xlpm.date_col, INDEX(_xlpm.data, , 1),
   _xlpm.name_col, INDEX(_xlpm.data, , 2),
   _xlpm.loc_col,  INDEX(_xlpm.data, , 3),
   _xlpm.target_date, DATE(YEAR($C$1), MONTH($C$1), H$7),
   _xlpm.filtered, _xlfn._xlws.FILTER(_xlpm.name_col, (_xlpm.date_col = _xlpm.target_date) * (_xlpm.loc_col =$C15), ""),
   IF(_xlpm.filtered="", "", _xlpm.filtered)
)</f>
        <v>Carol</v>
      </c>
      <c r="I15" s="186" t="str" cm="1">
        <f t="array" ref="I15">_xlfn.LET(
   _xlpm.data, 表格3_5[[Date]:[Location]],
   _xlpm.date_col, INDEX(_xlpm.data, , 1),
   _xlpm.name_col, INDEX(_xlpm.data, , 2),
   _xlpm.loc_col,  INDEX(_xlpm.data, , 3),
   _xlpm.target_date, DATE(YEAR($C$1), MONTH($C$1), I$7),
   _xlpm.filtered, _xlfn._xlws.FILTER(_xlpm.name_col, (_xlpm.date_col = _xlpm.target_date) * (_xlpm.loc_col =$C15), ""),
   IF(_xlpm.filtered="", "", _xlpm.filtered)
)</f>
        <v/>
      </c>
      <c r="J15" s="186" t="str" cm="1">
        <f t="array" ref="J15">_xlfn.LET(
   _xlpm.data, 表格3_5[[Date]:[Location]],
   _xlpm.date_col, INDEX(_xlpm.data, , 1),
   _xlpm.name_col, INDEX(_xlpm.data, , 2),
   _xlpm.loc_col,  INDEX(_xlpm.data, , 3),
   _xlpm.target_date, DATE(YEAR($C$1), MONTH($C$1), J$7),
   _xlpm.filtered, _xlfn._xlws.FILTER(_xlpm.name_col, (_xlpm.date_col = _xlpm.target_date) * (_xlpm.loc_col =$C15), ""),
   IF(_xlpm.filtered="", "", _xlpm.filtered)
)</f>
        <v/>
      </c>
      <c r="K15" s="186" t="str" cm="1">
        <f t="array" ref="K15">_xlfn.LET(
   _xlpm.data, 表格3_5[[Date]:[Location]],
   _xlpm.date_col, INDEX(_xlpm.data, , 1),
   _xlpm.name_col, INDEX(_xlpm.data, , 2),
   _xlpm.loc_col,  INDEX(_xlpm.data, , 3),
   _xlpm.target_date, DATE(YEAR($C$1), MONTH($C$1), K$7),
   _xlpm.filtered, _xlfn._xlws.FILTER(_xlpm.name_col, (_xlpm.date_col = _xlpm.target_date) * (_xlpm.loc_col =$C15), ""),
   IF(_xlpm.filtered="", "", _xlpm.filtered)
)</f>
        <v/>
      </c>
      <c r="L15" s="186" t="str" cm="1">
        <f t="array" ref="L15">_xlfn.LET(
   _xlpm.data, 表格3_5[[Date]:[Location]],
   _xlpm.date_col, INDEX(_xlpm.data, , 1),
   _xlpm.name_col, INDEX(_xlpm.data, , 2),
   _xlpm.loc_col,  INDEX(_xlpm.data, , 3),
   _xlpm.target_date, DATE(YEAR($C$1), MONTH($C$1), L$7),
   _xlpm.filtered, _xlfn._xlws.FILTER(_xlpm.name_col, (_xlpm.date_col = _xlpm.target_date) * (_xlpm.loc_col =$C15), ""),
   IF(_xlpm.filtered="", "", _xlpm.filtered)
)</f>
        <v>Carol</v>
      </c>
      <c r="M15" s="186" t="str" cm="1">
        <f t="array" ref="M15">_xlfn.LET(
   _xlpm.data, 表格3_5[[Date]:[Location]],
   _xlpm.date_col, INDEX(_xlpm.data, , 1),
   _xlpm.name_col, INDEX(_xlpm.data, , 2),
   _xlpm.loc_col,  INDEX(_xlpm.data, , 3),
   _xlpm.target_date, DATE(YEAR($C$1), MONTH($C$1), M$7),
   _xlpm.filtered, _xlfn._xlws.FILTER(_xlpm.name_col, (_xlpm.date_col = _xlpm.target_date) * (_xlpm.loc_col =$C15), ""),
   IF(_xlpm.filtered="", "", _xlpm.filtered)
)</f>
        <v>Carol</v>
      </c>
      <c r="N15" s="186" t="str" cm="1">
        <f t="array" ref="N15">_xlfn.LET(
   _xlpm.data, 表格3_5[[Date]:[Location]],
   _xlpm.date_col, INDEX(_xlpm.data, , 1),
   _xlpm.name_col, INDEX(_xlpm.data, , 2),
   _xlpm.loc_col,  INDEX(_xlpm.data, , 3),
   _xlpm.target_date, DATE(YEAR($C$1), MONTH($C$1), N$7),
   _xlpm.filtered, _xlfn._xlws.FILTER(_xlpm.name_col, (_xlpm.date_col = _xlpm.target_date) * (_xlpm.loc_col =$C15), ""),
   IF(_xlpm.filtered="", "", _xlpm.filtered)
)</f>
        <v>Carol</v>
      </c>
      <c r="O15" s="186" t="str" cm="1">
        <f t="array" ref="O15">_xlfn.LET(
   _xlpm.data, 表格3_5[[Date]:[Location]],
   _xlpm.date_col, INDEX(_xlpm.data, , 1),
   _xlpm.name_col, INDEX(_xlpm.data, , 2),
   _xlpm.loc_col,  INDEX(_xlpm.data, , 3),
   _xlpm.target_date, DATE(YEAR($C$1), MONTH($C$1), O$7),
   _xlpm.filtered, _xlfn._xlws.FILTER(_xlpm.name_col, (_xlpm.date_col = _xlpm.target_date) * (_xlpm.loc_col =$C15), ""),
   IF(_xlpm.filtered="", "", _xlpm.filtered)
)</f>
        <v/>
      </c>
      <c r="P15" s="186" t="str" cm="1">
        <f t="array" ref="P15">_xlfn.LET(
   _xlpm.data, 表格3_5[[Date]:[Location]],
   _xlpm.date_col, INDEX(_xlpm.data, , 1),
   _xlpm.name_col, INDEX(_xlpm.data, , 2),
   _xlpm.loc_col,  INDEX(_xlpm.data, , 3),
   _xlpm.target_date, DATE(YEAR($C$1), MONTH($C$1), P$7),
   _xlpm.filtered, _xlfn._xlws.FILTER(_xlpm.name_col, (_xlpm.date_col = _xlpm.target_date) * (_xlpm.loc_col =$C15), ""),
   IF(_xlpm.filtered="", "", _xlpm.filtered)
)</f>
        <v/>
      </c>
      <c r="Q15" s="186" t="str" cm="1">
        <f t="array" ref="Q15">_xlfn.LET(
   _xlpm.data, 表格3_5[[Date]:[Location]],
   _xlpm.date_col, INDEX(_xlpm.data, , 1),
   _xlpm.name_col, INDEX(_xlpm.data, , 2),
   _xlpm.loc_col,  INDEX(_xlpm.data, , 3),
   _xlpm.target_date, DATE(YEAR($C$1), MONTH($C$1), Q$7),
   _xlpm.filtered, _xlfn._xlws.FILTER(_xlpm.name_col, (_xlpm.date_col = _xlpm.target_date) * (_xlpm.loc_col =$C15), ""),
   IF(_xlpm.filtered="", "", _xlpm.filtered)
)</f>
        <v/>
      </c>
      <c r="R15" s="186" t="str" cm="1">
        <f t="array" ref="R15">_xlfn.LET(
   _xlpm.data, 表格3_5[[Date]:[Location]],
   _xlpm.date_col, INDEX(_xlpm.data, , 1),
   _xlpm.name_col, INDEX(_xlpm.data, , 2),
   _xlpm.loc_col,  INDEX(_xlpm.data, , 3),
   _xlpm.target_date, DATE(YEAR($C$1), MONTH($C$1), R$7),
   _xlpm.filtered, _xlfn._xlws.FILTER(_xlpm.name_col, (_xlpm.date_col = _xlpm.target_date) * (_xlpm.loc_col =$C15), ""),
   IF(_xlpm.filtered="", "", _xlpm.filtered)
)</f>
        <v/>
      </c>
      <c r="S15" s="186" t="str" cm="1">
        <f t="array" ref="S15">_xlfn.LET(
   _xlpm.data, 表格3_5[[Date]:[Location]],
   _xlpm.date_col, INDEX(_xlpm.data, , 1),
   _xlpm.name_col, INDEX(_xlpm.data, , 2),
   _xlpm.loc_col,  INDEX(_xlpm.data, , 3),
   _xlpm.target_date, DATE(YEAR($C$1), MONTH($C$1), S$7),
   _xlpm.filtered, _xlfn._xlws.FILTER(_xlpm.name_col, (_xlpm.date_col = _xlpm.target_date) * (_xlpm.loc_col =$C15), ""),
   IF(_xlpm.filtered="", "", _xlpm.filtered)
)</f>
        <v/>
      </c>
      <c r="T15" s="186" t="str" cm="1">
        <f t="array" ref="T15">_xlfn.LET(
   _xlpm.data, 表格3_5[[Date]:[Location]],
   _xlpm.date_col, INDEX(_xlpm.data, , 1),
   _xlpm.name_col, INDEX(_xlpm.data, , 2),
   _xlpm.loc_col,  INDEX(_xlpm.data, , 3),
   _xlpm.target_date, DATE(YEAR($C$1), MONTH($C$1), T$7),
   _xlpm.filtered, _xlfn._xlws.FILTER(_xlpm.name_col, (_xlpm.date_col = _xlpm.target_date) * (_xlpm.loc_col =$C15), ""),
   IF(_xlpm.filtered="", "", _xlpm.filtered)
)</f>
        <v>Carol</v>
      </c>
      <c r="U15" s="186" t="str" cm="1">
        <f t="array" ref="U15">_xlfn.LET(
   _xlpm.data, 表格3_5[[Date]:[Location]],
   _xlpm.date_col, INDEX(_xlpm.data, , 1),
   _xlpm.name_col, INDEX(_xlpm.data, , 2),
   _xlpm.loc_col,  INDEX(_xlpm.data, , 3),
   _xlpm.target_date, DATE(YEAR($C$1), MONTH($C$1), U$7),
   _xlpm.filtered, _xlfn._xlws.FILTER(_xlpm.name_col, (_xlpm.date_col = _xlpm.target_date) * (_xlpm.loc_col =$C15), ""),
   IF(_xlpm.filtered="", "", _xlpm.filtered)
)</f>
        <v/>
      </c>
      <c r="V15" s="186" t="str" cm="1">
        <f t="array" ref="V15">_xlfn.LET(
   _xlpm.data, 表格3_5[[Date]:[Location]],
   _xlpm.date_col, INDEX(_xlpm.data, , 1),
   _xlpm.name_col, INDEX(_xlpm.data, , 2),
   _xlpm.loc_col,  INDEX(_xlpm.data, , 3),
   _xlpm.target_date, DATE(YEAR($C$1), MONTH($C$1), V$7),
   _xlpm.filtered, _xlfn._xlws.FILTER(_xlpm.name_col, (_xlpm.date_col = _xlpm.target_date) * (_xlpm.loc_col =$C15), ""),
   IF(_xlpm.filtered="", "", _xlpm.filtered)
)</f>
        <v/>
      </c>
      <c r="W15" s="186" t="str" cm="1">
        <f t="array" ref="W15">_xlfn.LET(
   _xlpm.data, 表格3_5[[Date]:[Location]],
   _xlpm.date_col, INDEX(_xlpm.data, , 1),
   _xlpm.name_col, INDEX(_xlpm.data, , 2),
   _xlpm.loc_col,  INDEX(_xlpm.data, , 3),
   _xlpm.target_date, DATE(YEAR($C$1), MONTH($C$1), W$7),
   _xlpm.filtered, _xlfn._xlws.FILTER(_xlpm.name_col, (_xlpm.date_col = _xlpm.target_date) * (_xlpm.loc_col =$C15), ""),
   IF(_xlpm.filtered="", "", _xlpm.filtered)
)</f>
        <v/>
      </c>
      <c r="X15" s="186" t="str" cm="1">
        <f t="array" ref="X15">_xlfn.LET(
   _xlpm.data, 表格3_5[[Date]:[Location]],
   _xlpm.date_col, INDEX(_xlpm.data, , 1),
   _xlpm.name_col, INDEX(_xlpm.data, , 2),
   _xlpm.loc_col,  INDEX(_xlpm.data, , 3),
   _xlpm.target_date, DATE(YEAR($C$1), MONTH($C$1), X$7),
   _xlpm.filtered, _xlfn._xlws.FILTER(_xlpm.name_col, (_xlpm.date_col = _xlpm.target_date) * (_xlpm.loc_col =$C15), ""),
   IF(_xlpm.filtered="", "", _xlpm.filtered)
)</f>
        <v/>
      </c>
      <c r="Y15" s="186" t="str" cm="1">
        <f t="array" ref="Y15">_xlfn.LET(
   _xlpm.data, 表格3_5[[Date]:[Location]],
   _xlpm.date_col, INDEX(_xlpm.data, , 1),
   _xlpm.name_col, INDEX(_xlpm.data, , 2),
   _xlpm.loc_col,  INDEX(_xlpm.data, , 3),
   _xlpm.target_date, DATE(YEAR($C$1), MONTH($C$1), Y$7),
   _xlpm.filtered, _xlfn._xlws.FILTER(_xlpm.name_col, (_xlpm.date_col = _xlpm.target_date) * (_xlpm.loc_col =$C15), ""),
   IF(_xlpm.filtered="", "", _xlpm.filtered)
)</f>
        <v/>
      </c>
      <c r="Z15" s="186" t="str" cm="1">
        <f t="array" ref="Z15">_xlfn.LET(
   _xlpm.data, 表格3_5[[Date]:[Location]],
   _xlpm.date_col, INDEX(_xlpm.data, , 1),
   _xlpm.name_col, INDEX(_xlpm.data, , 2),
   _xlpm.loc_col,  INDEX(_xlpm.data, , 3),
   _xlpm.target_date, DATE(YEAR($C$1), MONTH($C$1), Z$7),
   _xlpm.filtered, _xlfn._xlws.FILTER(_xlpm.name_col, (_xlpm.date_col = _xlpm.target_date) * (_xlpm.loc_col =$C15), ""),
   IF(_xlpm.filtered="", "", _xlpm.filtered)
)</f>
        <v>Carol</v>
      </c>
      <c r="AA15" s="186" t="str" cm="1">
        <f t="array" ref="AA15">_xlfn.LET(
   _xlpm.data, 表格3_5[[Date]:[Location]],
   _xlpm.date_col, INDEX(_xlpm.data, , 1),
   _xlpm.name_col, INDEX(_xlpm.data, , 2),
   _xlpm.loc_col,  INDEX(_xlpm.data, , 3),
   _xlpm.target_date, DATE(YEAR($C$1), MONTH($C$1), AA$7),
   _xlpm.filtered, _xlfn._xlws.FILTER(_xlpm.name_col, (_xlpm.date_col = _xlpm.target_date) * (_xlpm.loc_col =$C15), ""),
   IF(_xlpm.filtered="", "", _xlpm.filtered)
)</f>
        <v>Carol</v>
      </c>
      <c r="AB15" s="186" t="str" cm="1">
        <f t="array" ref="AB15">_xlfn.LET(
   _xlpm.data, 表格3_5[[Date]:[Location]],
   _xlpm.date_col, INDEX(_xlpm.data, , 1),
   _xlpm.name_col, INDEX(_xlpm.data, , 2),
   _xlpm.loc_col,  INDEX(_xlpm.data, , 3),
   _xlpm.target_date, DATE(YEAR($C$1), MONTH($C$1), AB$7),
   _xlpm.filtered, _xlfn._xlws.FILTER(_xlpm.name_col, (_xlpm.date_col = _xlpm.target_date) * (_xlpm.loc_col =$C15), ""),
   IF(_xlpm.filtered="", "", _xlpm.filtered)
)</f>
        <v/>
      </c>
      <c r="AC15" s="186" t="str" cm="1">
        <f t="array" ref="AC15">_xlfn.LET(
   _xlpm.data, 表格3_5[[Date]:[Location]],
   _xlpm.date_col, INDEX(_xlpm.data, , 1),
   _xlpm.name_col, INDEX(_xlpm.data, , 2),
   _xlpm.loc_col,  INDEX(_xlpm.data, , 3),
   _xlpm.target_date, DATE(YEAR($C$1), MONTH($C$1), AC$7),
   _xlpm.filtered, _xlfn._xlws.FILTER(_xlpm.name_col, (_xlpm.date_col = _xlpm.target_date) * (_xlpm.loc_col =$C15), ""),
   IF(_xlpm.filtered="", "", _xlpm.filtered)
)</f>
        <v/>
      </c>
      <c r="AD15" s="186" t="str" cm="1">
        <f t="array" ref="AD15">_xlfn.LET(
   _xlpm.data, 表格3_5[[Date]:[Location]],
   _xlpm.date_col, INDEX(_xlpm.data, , 1),
   _xlpm.name_col, INDEX(_xlpm.data, , 2),
   _xlpm.loc_col,  INDEX(_xlpm.data, , 3),
   _xlpm.target_date, DATE(YEAR($C$1), MONTH($C$1), AD$7),
   _xlpm.filtered, _xlfn._xlws.FILTER(_xlpm.name_col, (_xlpm.date_col = _xlpm.target_date) * (_xlpm.loc_col =$C15), ""),
   IF(_xlpm.filtered="", "", _xlpm.filtered)
)</f>
        <v/>
      </c>
      <c r="AE15" s="186" t="str" cm="1">
        <f t="array" ref="AE15">_xlfn.LET(
   _xlpm.data, 表格3_5[[Date]:[Location]],
   _xlpm.date_col, INDEX(_xlpm.data, , 1),
   _xlpm.name_col, INDEX(_xlpm.data, , 2),
   _xlpm.loc_col,  INDEX(_xlpm.data, , 3),
   _xlpm.target_date, DATE(YEAR($C$1), MONTH($C$1), AE$7),
   _xlpm.filtered, _xlfn._xlws.FILTER(_xlpm.name_col, (_xlpm.date_col = _xlpm.target_date) * (_xlpm.loc_col =$C15), ""),
   IF(_xlpm.filtered="", "", _xlpm.filtered)
)</f>
        <v/>
      </c>
      <c r="AF15" s="186" t="str" cm="1">
        <f t="array" ref="AF15">_xlfn.LET(
   _xlpm.data, 表格3_5[[Date]:[Location]],
   _xlpm.date_col, INDEX(_xlpm.data, , 1),
   _xlpm.name_col, INDEX(_xlpm.data, , 2),
   _xlpm.loc_col,  INDEX(_xlpm.data, , 3),
   _xlpm.target_date, DATE(YEAR($C$1), MONTH($C$1), AF$7),
   _xlpm.filtered, _xlfn._xlws.FILTER(_xlpm.name_col, (_xlpm.date_col = _xlpm.target_date) * (_xlpm.loc_col =$C15), ""),
   IF(_xlpm.filtered="", "", _xlpm.filtered)
)</f>
        <v>Carol</v>
      </c>
      <c r="AG15" s="186" t="str" cm="1">
        <f t="array" ref="AG15">_xlfn.LET(
   _xlpm.data, 表格3_5[[Date]:[Location]],
   _xlpm.date_col, INDEX(_xlpm.data, , 1),
   _xlpm.name_col, INDEX(_xlpm.data, , 2),
   _xlpm.loc_col,  INDEX(_xlpm.data, , 3),
   _xlpm.target_date, DATE(YEAR($C$1), MONTH($C$1), AG$7),
   _xlpm.filtered, _xlfn._xlws.FILTER(_xlpm.name_col, (_xlpm.date_col = _xlpm.target_date) * (_xlpm.loc_col =$C15), ""),
   IF(_xlpm.filtered="", "", _xlpm.filtered)
)</f>
        <v/>
      </c>
      <c r="AH15" s="186" t="str" cm="1">
        <f t="array" ref="AH15">_xlfn.LET(
   _xlpm.data, 表格3_5[[Date]:[Location]],
   _xlpm.date_col, INDEX(_xlpm.data, , 1),
   _xlpm.name_col, INDEX(_xlpm.data, , 2),
   _xlpm.loc_col,  INDEX(_xlpm.data, , 3),
   _xlpm.target_date, DATE(YEAR($C$1), MONTH($C$1), AH$7),
   _xlpm.filtered, _xlfn._xlws.FILTER(_xlpm.name_col, (_xlpm.date_col = _xlpm.target_date) * (_xlpm.loc_col =$C15), ""),
   IF(_xlpm.filtered="", "", _xlpm.filtered)
)</f>
        <v/>
      </c>
      <c r="AI15" s="187">
        <f t="shared" si="33"/>
        <v>10</v>
      </c>
      <c r="AJ15" s="187">
        <f t="shared" si="34"/>
        <v>80</v>
      </c>
      <c r="AK15" s="177"/>
      <c r="AM15" s="181" t="str">
        <f t="shared" si="35"/>
        <v>Tsuen Wan Chung Yuen</v>
      </c>
      <c r="AN15" s="188" t="e">
        <f>IF(D15=".",D15,IF(VLOOKUP($AM15&amp;D$1+D10&amp;D15, 工作表1!$C:$V,1,) &gt; 0,D15,"ERROR"))</f>
        <v>#VALUE!</v>
      </c>
      <c r="AO15" s="188" t="e">
        <f>IF(E15=".",E15,IF(VLOOKUP($AM15&amp;E$1+E10&amp;E15, 工作表1!$C:$V,1,) &gt; 0,E15,"ERROR"))</f>
        <v>#VALUE!</v>
      </c>
      <c r="AP15" s="188" t="e">
        <f>IF(F15=".",F15,IF(VLOOKUP($AM15&amp;F$1+F10&amp;F15, 工作表1!$C:$V,1,) &gt; 0,F15,"ERROR"))</f>
        <v>#VALUE!</v>
      </c>
      <c r="AQ15" s="188" t="e">
        <f>IF(G15=".",G15,IF(VLOOKUP($AM15&amp;G$1+G10&amp;G15, 工作表1!$C:$V,1,) &gt; 0,G15,"ERROR"))</f>
        <v>#VALUE!</v>
      </c>
      <c r="AR15" s="188" t="e">
        <f>IF(H15=".",H15,IF(VLOOKUP($AM15&amp;H$1+H10&amp;H15, 工作表1!$C:$V,1,) &gt; 0,H15,"ERROR"))</f>
        <v>#VALUE!</v>
      </c>
      <c r="AS15" s="188" t="e">
        <f>IF(I15=".",I15,IF(VLOOKUP($AM15&amp;I$1+I10&amp;I15, 工作表1!$C:$V,1,) &gt; 0,I15,"ERROR"))</f>
        <v>#VALUE!</v>
      </c>
      <c r="AT15" s="188" t="e">
        <f>IF(J15=".",J15,IF(VLOOKUP($AM15&amp;J$1+J10&amp;J15, 工作表1!$C:$V,1,) &gt; 0,J15,"ERROR"))</f>
        <v>#VALUE!</v>
      </c>
      <c r="AU15" s="188" t="e">
        <f>IF(K15=".",K15,IF(VLOOKUP($AM15&amp;K$1+K10&amp;K15, 工作表1!$C:$V,1,) &gt; 0,K15,"ERROR"))</f>
        <v>#VALUE!</v>
      </c>
      <c r="AV15" s="188" t="e">
        <f>IF(L15=".",L15,IF(VLOOKUP($AM15&amp;L$1+L10&amp;L15, 工作表1!$C:$V,1,) &gt; 0,L15,"ERROR"))</f>
        <v>#VALUE!</v>
      </c>
      <c r="AW15" s="188" t="e">
        <f>IF(M15=".",M15,IF(VLOOKUP($AM15&amp;M$1+M10&amp;M15, 工作表1!$C:$V,1,) &gt; 0,M15,"ERROR"))</f>
        <v>#VALUE!</v>
      </c>
      <c r="AX15" s="188" t="e">
        <f>IF(N15=".",N15,IF(VLOOKUP($AM15&amp;N$1+N10&amp;N15, 工作表1!$C:$V,1,) &gt; 0,N15,"ERROR"))</f>
        <v>#VALUE!</v>
      </c>
      <c r="AY15" s="188" t="e">
        <f>IF(O15=".",O15,IF(VLOOKUP($AM15&amp;O$1+O10&amp;O15, 工作表1!$C:$V,1,) &gt; 0,O15,"ERROR"))</f>
        <v>#VALUE!</v>
      </c>
      <c r="AZ15" s="188" t="e">
        <f>IF(P15=".",P15,IF(VLOOKUP($AM15&amp;P$1+P10&amp;P15, 工作表1!$C:$V,1,) &gt; 0,P15,"ERROR"))</f>
        <v>#VALUE!</v>
      </c>
      <c r="BA15" s="188" t="e">
        <f>IF(Q15=".",Q15,IF(VLOOKUP($AM15&amp;Q$1+Q10&amp;Q15, 工作表1!$C:$V,1,) &gt; 0,Q15,"ERROR"))</f>
        <v>#VALUE!</v>
      </c>
      <c r="BB15" s="188" t="e">
        <f>IF(R15=".",R15,IF(VLOOKUP($AM15&amp;R$1+R10&amp;R15, 工作表1!$C:$V,1,) &gt; 0,R15,"ERROR"))</f>
        <v>#VALUE!</v>
      </c>
      <c r="BC15" s="188" t="e">
        <f>IF(S15=".",S15,IF(VLOOKUP($AM15&amp;S$1+S10&amp;S15, 工作表1!$C:$V,1,) &gt; 0,S15,"ERROR"))</f>
        <v>#VALUE!</v>
      </c>
      <c r="BD15" s="188" t="e">
        <f>IF(T15=".",T15,IF(VLOOKUP($AM15&amp;T$1+T10&amp;T15, 工作表1!$C:$V,1,) &gt; 0,T15,"ERROR"))</f>
        <v>#VALUE!</v>
      </c>
      <c r="BE15" s="188" t="e">
        <f>IF(U15=".",U15,IF(VLOOKUP($AM15&amp;U$1+U10&amp;U15, 工作表1!$C:$V,1,) &gt; 0,U15,"ERROR"))</f>
        <v>#VALUE!</v>
      </c>
      <c r="BF15" s="188" t="e">
        <f>IF(V15=".",V15,IF(VLOOKUP($AM15&amp;V$1+V10&amp;V15, 工作表1!$C:$V,1,) &gt; 0,V15,"ERROR"))</f>
        <v>#VALUE!</v>
      </c>
      <c r="BG15" s="188" t="e">
        <f>IF(W15=".",W15,IF(VLOOKUP($AM15&amp;W$1+W10&amp;W15, 工作表1!$C:$V,1,) &gt; 0,W15,"ERROR"))</f>
        <v>#VALUE!</v>
      </c>
      <c r="BH15" s="188" t="e">
        <f>IF(X15=".",X15,IF(VLOOKUP($AM15&amp;X$1+X10&amp;X15, 工作表1!$C:$V,1,) &gt; 0,X15,"ERROR"))</f>
        <v>#VALUE!</v>
      </c>
      <c r="BI15" s="188" t="e">
        <f>IF(Y15=".",Y15,IF(VLOOKUP($AM15&amp;Y$1+Y10&amp;Y15, 工作表1!$C:$V,1,) &gt; 0,Y15,"ERROR"))</f>
        <v>#VALUE!</v>
      </c>
      <c r="BJ15" s="188" t="e">
        <f>IF(Z15=".",Z15,IF(VLOOKUP($AM15&amp;Z$1+Z10&amp;Z15, 工作表1!$C:$V,1,) &gt; 0,Z15,"ERROR"))</f>
        <v>#VALUE!</v>
      </c>
      <c r="BK15" s="188" t="e">
        <f>IF(AA15=".",AA15,IF(VLOOKUP($AM15&amp;AA$1+AA10&amp;AA15, 工作表1!$C:$V,1,) &gt; 0,AA15,"ERROR"))</f>
        <v>#VALUE!</v>
      </c>
      <c r="BL15" s="188" t="e">
        <f>IF(AB15=".",AB15,IF(VLOOKUP($AM15&amp;AB$1+AB10&amp;AB15, 工作表1!$C:$V,1,) &gt; 0,AB15,"ERROR"))</f>
        <v>#VALUE!</v>
      </c>
      <c r="BM15" s="188" t="e">
        <f>IF(AC15=".",AC15,IF(VLOOKUP($AM15&amp;AC$1+AC10&amp;AC15, 工作表1!$C:$V,1,) &gt; 0,AC15,"ERROR"))</f>
        <v>#VALUE!</v>
      </c>
      <c r="BN15" s="188" t="e">
        <f>IF(AD15=".",AD15,IF(VLOOKUP($AM15&amp;AD$1+AD10&amp;AD15, 工作表1!$C:$V,1,) &gt; 0,AD15,"ERROR"))</f>
        <v>#VALUE!</v>
      </c>
      <c r="BO15" s="188" t="e">
        <f>IF(AE15=".",AE15,IF(VLOOKUP($AM15&amp;AE$1+AE10&amp;AE15, 工作表1!$C:$V,1,) &gt; 0,AE15,"ERROR"))</f>
        <v>#VALUE!</v>
      </c>
      <c r="BP15" s="188" t="e">
        <f>IF(AF15=".",AF15,IF(VLOOKUP($AM15&amp;AF$1+AF10&amp;AF15, 工作表1!$C:$V,1,) &gt; 0,AF15,"ERROR"))</f>
        <v>#VALUE!</v>
      </c>
      <c r="BQ15" s="188" t="e">
        <f>IF(AG15=".",AG15,IF(VLOOKUP($AM15&amp;AG$1+AG10&amp;AG15, 工作表1!$C:$V,1,) &gt; 0,AG15,"ERROR"))</f>
        <v>#VALUE!</v>
      </c>
      <c r="BR15" s="188" t="e">
        <f>IF(AH15=".",AH15,IF(VLOOKUP($AM15&amp;AH$1+AH10&amp;AH15, 工作表1!$C:$V,1,) &gt; 0,AH15,"ERROR"))</f>
        <v>#VALUE!</v>
      </c>
      <c r="BS15" s="188" t="e">
        <f>IF(#REF!=".",#REF!,IF(VLOOKUP($AM15&amp;#REF!+#REF!&amp;#REF!, 工作表1!$C:$V,1,) &gt; 0,#REF!,"ERROR"))</f>
        <v>#REF!</v>
      </c>
      <c r="BT15" s="188" t="e">
        <f>IF(#REF!=".",#REF!,IF(VLOOKUP($AM15&amp;#REF!+#REF!&amp;#REF!, 工作表1!$C:$V,1,) &gt; 0,#REF!,"ERROR"))</f>
        <v>#REF!</v>
      </c>
    </row>
    <row r="16" spans="2:72">
      <c r="B16" t="str" cm="1">
        <f t="array" ref="B16">_xlfn.LET(
    _xlpm.data, D16:AH16,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Hei</v>
      </c>
      <c r="C16" s="180" t="str">
        <v>Wan Chai Jingdong</v>
      </c>
      <c r="D16" s="186" t="str" cm="1">
        <f t="array" ref="D16">_xlfn.LET(
   _xlpm.data, 表格3_5[[Date]:[Location]],
   _xlpm.date_col, INDEX(_xlpm.data, , 1),
   _xlpm.name_col, INDEX(_xlpm.data, , 2),
   _xlpm.loc_col,  INDEX(_xlpm.data, , 3),
   _xlpm.target_date, DATE(YEAR($C$1), MONTH($C$1), D$7),
   _xlpm.filtered, _xlfn._xlws.FILTER(_xlpm.name_col, (_xlpm.date_col = _xlpm.target_date) * (_xlpm.loc_col =$C16), ""),
   IF(_xlpm.filtered="", "", _xlpm.filtered)
)</f>
        <v/>
      </c>
      <c r="E16" s="186" t="str" cm="1">
        <f t="array" ref="E16">_xlfn.LET(
   _xlpm.data, 表格3_5[[Date]:[Location]],
   _xlpm.date_col, INDEX(_xlpm.data, , 1),
   _xlpm.name_col, INDEX(_xlpm.data, , 2),
   _xlpm.loc_col,  INDEX(_xlpm.data, , 3),
   _xlpm.target_date, DATE(YEAR($C$1), MONTH($C$1), E$7),
   _xlpm.filtered, _xlfn._xlws.FILTER(_xlpm.name_col, (_xlpm.date_col = _xlpm.target_date) * (_xlpm.loc_col =$C16), ""),
   IF(_xlpm.filtered="", "", _xlpm.filtered)
)</f>
        <v/>
      </c>
      <c r="F16" s="186" t="str" cm="1">
        <f t="array" ref="F16">_xlfn.LET(
   _xlpm.data, 表格3_5[[Date]:[Location]],
   _xlpm.date_col, INDEX(_xlpm.data, , 1),
   _xlpm.name_col, INDEX(_xlpm.data, , 2),
   _xlpm.loc_col,  INDEX(_xlpm.data, , 3),
   _xlpm.target_date, DATE(YEAR($C$1), MONTH($C$1), F$7),
   _xlpm.filtered, _xlfn._xlws.FILTER(_xlpm.name_col, (_xlpm.date_col = _xlpm.target_date) * (_xlpm.loc_col =$C16), ""),
   IF(_xlpm.filtered="", "", _xlpm.filtered)
)</f>
        <v/>
      </c>
      <c r="G16" s="186" t="str" cm="1">
        <f t="array" ref="G16">_xlfn.LET(
   _xlpm.data, 表格3_5[[Date]:[Location]],
   _xlpm.date_col, INDEX(_xlpm.data, , 1),
   _xlpm.name_col, INDEX(_xlpm.data, , 2),
   _xlpm.loc_col,  INDEX(_xlpm.data, , 3),
   _xlpm.target_date, DATE(YEAR($C$1), MONTH($C$1), G$7),
   _xlpm.filtered, _xlfn._xlws.FILTER(_xlpm.name_col, (_xlpm.date_col = _xlpm.target_date) * (_xlpm.loc_col =$C16), ""),
   IF(_xlpm.filtered="", "", _xlpm.filtered)
)</f>
        <v>Hei</v>
      </c>
      <c r="H16" s="186" t="str" cm="1">
        <f t="array" ref="H16">_xlfn.LET(
   _xlpm.data, 表格3_5[[Date]:[Location]],
   _xlpm.date_col, INDEX(_xlpm.data, , 1),
   _xlpm.name_col, INDEX(_xlpm.data, , 2),
   _xlpm.loc_col,  INDEX(_xlpm.data, , 3),
   _xlpm.target_date, DATE(YEAR($C$1), MONTH($C$1), H$7),
   _xlpm.filtered, _xlfn._xlws.FILTER(_xlpm.name_col, (_xlpm.date_col = _xlpm.target_date) * (_xlpm.loc_col =$C16), ""),
   IF(_xlpm.filtered="", "", _xlpm.filtered)
)</f>
        <v>Hei</v>
      </c>
      <c r="I16" s="186" t="str" cm="1">
        <f t="array" ref="I16">_xlfn.LET(
   _xlpm.data, 表格3_5[[Date]:[Location]],
   _xlpm.date_col, INDEX(_xlpm.data, , 1),
   _xlpm.name_col, INDEX(_xlpm.data, , 2),
   _xlpm.loc_col,  INDEX(_xlpm.data, , 3),
   _xlpm.target_date, DATE(YEAR($C$1), MONTH($C$1), I$7),
   _xlpm.filtered, _xlfn._xlws.FILTER(_xlpm.name_col, (_xlpm.date_col = _xlpm.target_date) * (_xlpm.loc_col =$C16), ""),
   IF(_xlpm.filtered="", "", _xlpm.filtered)
)</f>
        <v>Hei</v>
      </c>
      <c r="J16" s="186" t="str" cm="1">
        <f t="array" ref="J16">_xlfn.LET(
   _xlpm.data, 表格3_5[[Date]:[Location]],
   _xlpm.date_col, INDEX(_xlpm.data, , 1),
   _xlpm.name_col, INDEX(_xlpm.data, , 2),
   _xlpm.loc_col,  INDEX(_xlpm.data, , 3),
   _xlpm.target_date, DATE(YEAR($C$1), MONTH($C$1), J$7),
   _xlpm.filtered, _xlfn._xlws.FILTER(_xlpm.name_col, (_xlpm.date_col = _xlpm.target_date) * (_xlpm.loc_col =$C16), ""),
   IF(_xlpm.filtered="", "", _xlpm.filtered)
)</f>
        <v>Hei</v>
      </c>
      <c r="K16" s="186" t="str" cm="1">
        <f t="array" ref="K16">_xlfn.LET(
   _xlpm.data, 表格3_5[[Date]:[Location]],
   _xlpm.date_col, INDEX(_xlpm.data, , 1),
   _xlpm.name_col, INDEX(_xlpm.data, , 2),
   _xlpm.loc_col,  INDEX(_xlpm.data, , 3),
   _xlpm.target_date, DATE(YEAR($C$1), MONTH($C$1), K$7),
   _xlpm.filtered, _xlfn._xlws.FILTER(_xlpm.name_col, (_xlpm.date_col = _xlpm.target_date) * (_xlpm.loc_col =$C16), ""),
   IF(_xlpm.filtered="", "", _xlpm.filtered)
)</f>
        <v/>
      </c>
      <c r="L16" s="186" t="str" cm="1">
        <f t="array" ref="L16">_xlfn.LET(
   _xlpm.data, 表格3_5[[Date]:[Location]],
   _xlpm.date_col, INDEX(_xlpm.data, , 1),
   _xlpm.name_col, INDEX(_xlpm.data, , 2),
   _xlpm.loc_col,  INDEX(_xlpm.data, , 3),
   _xlpm.target_date, DATE(YEAR($C$1), MONTH($C$1), L$7),
   _xlpm.filtered, _xlfn._xlws.FILTER(_xlpm.name_col, (_xlpm.date_col = _xlpm.target_date) * (_xlpm.loc_col =$C16), ""),
   IF(_xlpm.filtered="", "", _xlpm.filtered)
)</f>
        <v>Hei</v>
      </c>
      <c r="M16" s="186" t="str" cm="1">
        <f t="array" ref="M16">_xlfn.LET(
   _xlpm.data, 表格3_5[[Date]:[Location]],
   _xlpm.date_col, INDEX(_xlpm.data, , 1),
   _xlpm.name_col, INDEX(_xlpm.data, , 2),
   _xlpm.loc_col,  INDEX(_xlpm.data, , 3),
   _xlpm.target_date, DATE(YEAR($C$1), MONTH($C$1), M$7),
   _xlpm.filtered, _xlfn._xlws.FILTER(_xlpm.name_col, (_xlpm.date_col = _xlpm.target_date) * (_xlpm.loc_col =$C16), ""),
   IF(_xlpm.filtered="", "", _xlpm.filtered)
)</f>
        <v/>
      </c>
      <c r="N16" s="186" t="str" cm="1">
        <f t="array" ref="N16">_xlfn.LET(
   _xlpm.data, 表格3_5[[Date]:[Location]],
   _xlpm.date_col, INDEX(_xlpm.data, , 1),
   _xlpm.name_col, INDEX(_xlpm.data, , 2),
   _xlpm.loc_col,  INDEX(_xlpm.data, , 3),
   _xlpm.target_date, DATE(YEAR($C$1), MONTH($C$1), N$7),
   _xlpm.filtered, _xlfn._xlws.FILTER(_xlpm.name_col, (_xlpm.date_col = _xlpm.target_date) * (_xlpm.loc_col =$C16), ""),
   IF(_xlpm.filtered="", "", _xlpm.filtered)
)</f>
        <v>Hei</v>
      </c>
      <c r="O16" s="186" t="str" cm="1">
        <f t="array" ref="O16">_xlfn.LET(
   _xlpm.data, 表格3_5[[Date]:[Location]],
   _xlpm.date_col, INDEX(_xlpm.data, , 1),
   _xlpm.name_col, INDEX(_xlpm.data, , 2),
   _xlpm.loc_col,  INDEX(_xlpm.data, , 3),
   _xlpm.target_date, DATE(YEAR($C$1), MONTH($C$1), O$7),
   _xlpm.filtered, _xlfn._xlws.FILTER(_xlpm.name_col, (_xlpm.date_col = _xlpm.target_date) * (_xlpm.loc_col =$C16), ""),
   IF(_xlpm.filtered="", "", _xlpm.filtered)
)</f>
        <v>Hei</v>
      </c>
      <c r="P16" s="186" t="str" cm="1">
        <f t="array" ref="P16">_xlfn.LET(
   _xlpm.data, 表格3_5[[Date]:[Location]],
   _xlpm.date_col, INDEX(_xlpm.data, , 1),
   _xlpm.name_col, INDEX(_xlpm.data, , 2),
   _xlpm.loc_col,  INDEX(_xlpm.data, , 3),
   _xlpm.target_date, DATE(YEAR($C$1), MONTH($C$1), P$7),
   _xlpm.filtered, _xlfn._xlws.FILTER(_xlpm.name_col, (_xlpm.date_col = _xlpm.target_date) * (_xlpm.loc_col =$C16), ""),
   IF(_xlpm.filtered="", "", _xlpm.filtered)
)</f>
        <v>Hei</v>
      </c>
      <c r="Q16" s="186" t="str" cm="1">
        <f t="array" ref="Q16">_xlfn.LET(
   _xlpm.data, 表格3_5[[Date]:[Location]],
   _xlpm.date_col, INDEX(_xlpm.data, , 1),
   _xlpm.name_col, INDEX(_xlpm.data, , 2),
   _xlpm.loc_col,  INDEX(_xlpm.data, , 3),
   _xlpm.target_date, DATE(YEAR($C$1), MONTH($C$1), Q$7),
   _xlpm.filtered, _xlfn._xlws.FILTER(_xlpm.name_col, (_xlpm.date_col = _xlpm.target_date) * (_xlpm.loc_col =$C16), ""),
   IF(_xlpm.filtered="", "", _xlpm.filtered)
)</f>
        <v/>
      </c>
      <c r="R16" s="186" t="str" cm="1">
        <f t="array" ref="R16">_xlfn.LET(
   _xlpm.data, 表格3_5[[Date]:[Location]],
   _xlpm.date_col, INDEX(_xlpm.data, , 1),
   _xlpm.name_col, INDEX(_xlpm.data, , 2),
   _xlpm.loc_col,  INDEX(_xlpm.data, , 3),
   _xlpm.target_date, DATE(YEAR($C$1), MONTH($C$1), R$7),
   _xlpm.filtered, _xlfn._xlws.FILTER(_xlpm.name_col, (_xlpm.date_col = _xlpm.target_date) * (_xlpm.loc_col =$C16), ""),
   IF(_xlpm.filtered="", "", _xlpm.filtered)
)</f>
        <v>Hei</v>
      </c>
      <c r="S16" s="186" t="str" cm="1">
        <f t="array" ref="S16">_xlfn.LET(
   _xlpm.data, 表格3_5[[Date]:[Location]],
   _xlpm.date_col, INDEX(_xlpm.data, , 1),
   _xlpm.name_col, INDEX(_xlpm.data, , 2),
   _xlpm.loc_col,  INDEX(_xlpm.data, , 3),
   _xlpm.target_date, DATE(YEAR($C$1), MONTH($C$1), S$7),
   _xlpm.filtered, _xlfn._xlws.FILTER(_xlpm.name_col, (_xlpm.date_col = _xlpm.target_date) * (_xlpm.loc_col =$C16), ""),
   IF(_xlpm.filtered="", "", _xlpm.filtered)
)</f>
        <v>Hei</v>
      </c>
      <c r="T16" s="186" t="str" cm="1">
        <f t="array" ref="T16">_xlfn.LET(
   _xlpm.data, 表格3_5[[Date]:[Location]],
   _xlpm.date_col, INDEX(_xlpm.data, , 1),
   _xlpm.name_col, INDEX(_xlpm.data, , 2),
   _xlpm.loc_col,  INDEX(_xlpm.data, , 3),
   _xlpm.target_date, DATE(YEAR($C$1), MONTH($C$1), T$7),
   _xlpm.filtered, _xlfn._xlws.FILTER(_xlpm.name_col, (_xlpm.date_col = _xlpm.target_date) * (_xlpm.loc_col =$C16), ""),
   IF(_xlpm.filtered="", "", _xlpm.filtered)
)</f>
        <v/>
      </c>
      <c r="U16" s="186" t="str" cm="1">
        <f t="array" ref="U16">_xlfn.LET(
   _xlpm.data, 表格3_5[[Date]:[Location]],
   _xlpm.date_col, INDEX(_xlpm.data, , 1),
   _xlpm.name_col, INDEX(_xlpm.data, , 2),
   _xlpm.loc_col,  INDEX(_xlpm.data, , 3),
   _xlpm.target_date, DATE(YEAR($C$1), MONTH($C$1), U$7),
   _xlpm.filtered, _xlfn._xlws.FILTER(_xlpm.name_col, (_xlpm.date_col = _xlpm.target_date) * (_xlpm.loc_col =$C16), ""),
   IF(_xlpm.filtered="", "", _xlpm.filtered)
)</f>
        <v>Hei</v>
      </c>
      <c r="V16" s="186" t="str" cm="1">
        <f t="array" ref="V16">_xlfn.LET(
   _xlpm.data, 表格3_5[[Date]:[Location]],
   _xlpm.date_col, INDEX(_xlpm.data, , 1),
   _xlpm.name_col, INDEX(_xlpm.data, , 2),
   _xlpm.loc_col,  INDEX(_xlpm.data, , 3),
   _xlpm.target_date, DATE(YEAR($C$1), MONTH($C$1), V$7),
   _xlpm.filtered, _xlfn._xlws.FILTER(_xlpm.name_col, (_xlpm.date_col = _xlpm.target_date) * (_xlpm.loc_col =$C16), ""),
   IF(_xlpm.filtered="", "", _xlpm.filtered)
)</f>
        <v>Hei</v>
      </c>
      <c r="W16" s="186" t="str" cm="1">
        <f t="array" ref="W16">_xlfn.LET(
   _xlpm.data, 表格3_5[[Date]:[Location]],
   _xlpm.date_col, INDEX(_xlpm.data, , 1),
   _xlpm.name_col, INDEX(_xlpm.data, , 2),
   _xlpm.loc_col,  INDEX(_xlpm.data, , 3),
   _xlpm.target_date, DATE(YEAR($C$1), MONTH($C$1), W$7),
   _xlpm.filtered, _xlfn._xlws.FILTER(_xlpm.name_col, (_xlpm.date_col = _xlpm.target_date) * (_xlpm.loc_col =$C16), ""),
   IF(_xlpm.filtered="", "", _xlpm.filtered)
)</f>
        <v>Hei</v>
      </c>
      <c r="X16" s="186" t="str" cm="1">
        <f t="array" ref="X16">_xlfn.LET(
   _xlpm.data, 表格3_5[[Date]:[Location]],
   _xlpm.date_col, INDEX(_xlpm.data, , 1),
   _xlpm.name_col, INDEX(_xlpm.data, , 2),
   _xlpm.loc_col,  INDEX(_xlpm.data, , 3),
   _xlpm.target_date, DATE(YEAR($C$1), MONTH($C$1), X$7),
   _xlpm.filtered, _xlfn._xlws.FILTER(_xlpm.name_col, (_xlpm.date_col = _xlpm.target_date) * (_xlpm.loc_col =$C16), ""),
   IF(_xlpm.filtered="", "", _xlpm.filtered)
)</f>
        <v/>
      </c>
      <c r="Y16" s="186" t="str" cm="1">
        <f t="array" ref="Y16">_xlfn.LET(
   _xlpm.data, 表格3_5[[Date]:[Location]],
   _xlpm.date_col, INDEX(_xlpm.data, , 1),
   _xlpm.name_col, INDEX(_xlpm.data, , 2),
   _xlpm.loc_col,  INDEX(_xlpm.data, , 3),
   _xlpm.target_date, DATE(YEAR($C$1), MONTH($C$1), Y$7),
   _xlpm.filtered, _xlfn._xlws.FILTER(_xlpm.name_col, (_xlpm.date_col = _xlpm.target_date) * (_xlpm.loc_col =$C16), ""),
   IF(_xlpm.filtered="", "", _xlpm.filtered)
)</f>
        <v>Hei</v>
      </c>
      <c r="Z16" s="186" t="str" cm="1">
        <f t="array" ref="Z16">_xlfn.LET(
   _xlpm.data, 表格3_5[[Date]:[Location]],
   _xlpm.date_col, INDEX(_xlpm.data, , 1),
   _xlpm.name_col, INDEX(_xlpm.data, , 2),
   _xlpm.loc_col,  INDEX(_xlpm.data, , 3),
   _xlpm.target_date, DATE(YEAR($C$1), MONTH($C$1), Z$7),
   _xlpm.filtered, _xlfn._xlws.FILTER(_xlpm.name_col, (_xlpm.date_col = _xlpm.target_date) * (_xlpm.loc_col =$C16), ""),
   IF(_xlpm.filtered="", "", _xlpm.filtered)
)</f>
        <v>Hei</v>
      </c>
      <c r="AA16" s="186" t="str" cm="1">
        <f t="array" ref="AA16">_xlfn.LET(
   _xlpm.data, 表格3_5[[Date]:[Location]],
   _xlpm.date_col, INDEX(_xlpm.data, , 1),
   _xlpm.name_col, INDEX(_xlpm.data, , 2),
   _xlpm.loc_col,  INDEX(_xlpm.data, , 3),
   _xlpm.target_date, DATE(YEAR($C$1), MONTH($C$1), AA$7),
   _xlpm.filtered, _xlfn._xlws.FILTER(_xlpm.name_col, (_xlpm.date_col = _xlpm.target_date) * (_xlpm.loc_col =$C16), ""),
   IF(_xlpm.filtered="", "", _xlpm.filtered)
)</f>
        <v>Hei</v>
      </c>
      <c r="AB16" s="186" t="str" cm="1">
        <f t="array" ref="AB16">_xlfn.LET(
   _xlpm.data, 表格3_5[[Date]:[Location]],
   _xlpm.date_col, INDEX(_xlpm.data, , 1),
   _xlpm.name_col, INDEX(_xlpm.data, , 2),
   _xlpm.loc_col,  INDEX(_xlpm.data, , 3),
   _xlpm.target_date, DATE(YEAR($C$1), MONTH($C$1), AB$7),
   _xlpm.filtered, _xlfn._xlws.FILTER(_xlpm.name_col, (_xlpm.date_col = _xlpm.target_date) * (_xlpm.loc_col =$C16), ""),
   IF(_xlpm.filtered="", "", _xlpm.filtered)
)</f>
        <v/>
      </c>
      <c r="AC16" s="186" t="str" cm="1">
        <f t="array" ref="AC16">_xlfn.LET(
   _xlpm.data, 表格3_5[[Date]:[Location]],
   _xlpm.date_col, INDEX(_xlpm.data, , 1),
   _xlpm.name_col, INDEX(_xlpm.data, , 2),
   _xlpm.loc_col,  INDEX(_xlpm.data, , 3),
   _xlpm.target_date, DATE(YEAR($C$1), MONTH($C$1), AC$7),
   _xlpm.filtered, _xlfn._xlws.FILTER(_xlpm.name_col, (_xlpm.date_col = _xlpm.target_date) * (_xlpm.loc_col =$C16), ""),
   IF(_xlpm.filtered="", "", _xlpm.filtered)
)</f>
        <v/>
      </c>
      <c r="AD16" s="186" t="str" cm="1">
        <f t="array" ref="AD16">_xlfn.LET(
   _xlpm.data, 表格3_5[[Date]:[Location]],
   _xlpm.date_col, INDEX(_xlpm.data, , 1),
   _xlpm.name_col, INDEX(_xlpm.data, , 2),
   _xlpm.loc_col,  INDEX(_xlpm.data, , 3),
   _xlpm.target_date, DATE(YEAR($C$1), MONTH($C$1), AD$7),
   _xlpm.filtered, _xlfn._xlws.FILTER(_xlpm.name_col, (_xlpm.date_col = _xlpm.target_date) * (_xlpm.loc_col =$C16), ""),
   IF(_xlpm.filtered="", "", _xlpm.filtered)
)</f>
        <v>Hei</v>
      </c>
      <c r="AE16" s="186" t="str" cm="1">
        <f t="array" ref="AE16">_xlfn.LET(
   _xlpm.data, 表格3_5[[Date]:[Location]],
   _xlpm.date_col, INDEX(_xlpm.data, , 1),
   _xlpm.name_col, INDEX(_xlpm.data, , 2),
   _xlpm.loc_col,  INDEX(_xlpm.data, , 3),
   _xlpm.target_date, DATE(YEAR($C$1), MONTH($C$1), AE$7),
   _xlpm.filtered, _xlfn._xlws.FILTER(_xlpm.name_col, (_xlpm.date_col = _xlpm.target_date) * (_xlpm.loc_col =$C16), ""),
   IF(_xlpm.filtered="", "", _xlpm.filtered)
)</f>
        <v/>
      </c>
      <c r="AF16" s="186" t="str" cm="1">
        <f t="array" ref="AF16">_xlfn.LET(
   _xlpm.data, 表格3_5[[Date]:[Location]],
   _xlpm.date_col, INDEX(_xlpm.data, , 1),
   _xlpm.name_col, INDEX(_xlpm.data, , 2),
   _xlpm.loc_col,  INDEX(_xlpm.data, , 3),
   _xlpm.target_date, DATE(YEAR($C$1), MONTH($C$1), AF$7),
   _xlpm.filtered, _xlfn._xlws.FILTER(_xlpm.name_col, (_xlpm.date_col = _xlpm.target_date) * (_xlpm.loc_col =$C16), ""),
   IF(_xlpm.filtered="", "", _xlpm.filtered)
)</f>
        <v>Hei</v>
      </c>
      <c r="AG16" s="186" t="str" cm="1">
        <f t="array" ref="AG16">_xlfn.LET(
   _xlpm.data, 表格3_5[[Date]:[Location]],
   _xlpm.date_col, INDEX(_xlpm.data, , 1),
   _xlpm.name_col, INDEX(_xlpm.data, , 2),
   _xlpm.loc_col,  INDEX(_xlpm.data, , 3),
   _xlpm.target_date, DATE(YEAR($C$1), MONTH($C$1), AG$7),
   _xlpm.filtered, _xlfn._xlws.FILTER(_xlpm.name_col, (_xlpm.date_col = _xlpm.target_date) * (_xlpm.loc_col =$C16), ""),
   IF(_xlpm.filtered="", "", _xlpm.filtered)
)</f>
        <v>Hei</v>
      </c>
      <c r="AH16" s="186" t="str" cm="1">
        <f t="array" ref="AH16">_xlfn.LET(
   _xlpm.data, 表格3_5[[Date]:[Location]],
   _xlpm.date_col, INDEX(_xlpm.data, , 1),
   _xlpm.name_col, INDEX(_xlpm.data, , 2),
   _xlpm.loc_col,  INDEX(_xlpm.data, , 3),
   _xlpm.target_date, DATE(YEAR($C$1), MONTH($C$1), AH$7),
   _xlpm.filtered, _xlfn._xlws.FILTER(_xlpm.name_col, (_xlpm.date_col = _xlpm.target_date) * (_xlpm.loc_col =$C16), ""),
   IF(_xlpm.filtered="", "", _xlpm.filtered)
)</f>
        <v/>
      </c>
      <c r="AI16" s="187">
        <f t="shared" si="33"/>
        <v>19</v>
      </c>
      <c r="AJ16" s="187">
        <f t="shared" si="34"/>
        <v>152</v>
      </c>
      <c r="AK16" s="177"/>
      <c r="AM16" s="181" t="str">
        <f t="shared" si="35"/>
        <v>Wan Chai Jingdong</v>
      </c>
      <c r="AN16" s="188" t="e">
        <f>IF(D16=".",D16,IF(VLOOKUP($AM16&amp;D$1+D11&amp;D16, 工作表1!$C:$V,1,) &gt; 0,D16,"ERROR"))</f>
        <v>#VALUE!</v>
      </c>
      <c r="AO16" s="188" t="e">
        <f>IF(E16=".",E16,IF(VLOOKUP($AM16&amp;E$1+E11&amp;E16, 工作表1!$C:$V,1,) &gt; 0,E16,"ERROR"))</f>
        <v>#VALUE!</v>
      </c>
      <c r="AP16" s="188" t="e">
        <f>IF(F16=".",F16,IF(VLOOKUP($AM16&amp;F$1+F11&amp;F16, 工作表1!$C:$V,1,) &gt; 0,F16,"ERROR"))</f>
        <v>#VALUE!</v>
      </c>
      <c r="AQ16" s="188" t="e">
        <f>IF(G16=".",G16,IF(VLOOKUP($AM16&amp;G$1+G11&amp;G16, 工作表1!$C:$V,1,) &gt; 0,G16,"ERROR"))</f>
        <v>#VALUE!</v>
      </c>
      <c r="AR16" s="188" t="e">
        <f>IF(H16=".",H16,IF(VLOOKUP($AM16&amp;H$1+H11&amp;H16, 工作表1!$C:$V,1,) &gt; 0,H16,"ERROR"))</f>
        <v>#VALUE!</v>
      </c>
      <c r="AS16" s="188" t="e">
        <f>IF(I16=".",I16,IF(VLOOKUP($AM16&amp;I$1+I11&amp;I16, 工作表1!$C:$V,1,) &gt; 0,I16,"ERROR"))</f>
        <v>#VALUE!</v>
      </c>
      <c r="AT16" s="188" t="e">
        <f>IF(J16=".",J16,IF(VLOOKUP($AM16&amp;J$1+J11&amp;J16, 工作表1!$C:$V,1,) &gt; 0,J16,"ERROR"))</f>
        <v>#VALUE!</v>
      </c>
      <c r="AU16" s="188" t="e">
        <f>IF(K16=".",K16,IF(VLOOKUP($AM16&amp;K$1+K11&amp;K16, 工作表1!$C:$V,1,) &gt; 0,K16,"ERROR"))</f>
        <v>#VALUE!</v>
      </c>
      <c r="AV16" s="188" t="e">
        <f>IF(L16=".",L16,IF(VLOOKUP($AM16&amp;L$1+L11&amp;L16, 工作表1!$C:$V,1,) &gt; 0,L16,"ERROR"))</f>
        <v>#VALUE!</v>
      </c>
      <c r="AW16" s="188" t="e">
        <f>IF(M16=".",M16,IF(VLOOKUP($AM16&amp;M$1+M11&amp;M16, 工作表1!$C:$V,1,) &gt; 0,M16,"ERROR"))</f>
        <v>#VALUE!</v>
      </c>
      <c r="AX16" s="188" t="e">
        <f>IF(N16=".",N16,IF(VLOOKUP($AM16&amp;N$1+N11&amp;N16, 工作表1!$C:$V,1,) &gt; 0,N16,"ERROR"))</f>
        <v>#VALUE!</v>
      </c>
      <c r="AY16" s="188" t="e">
        <f>IF(O16=".",O16,IF(VLOOKUP($AM16&amp;O$1+O11&amp;O16, 工作表1!$C:$V,1,) &gt; 0,O16,"ERROR"))</f>
        <v>#VALUE!</v>
      </c>
      <c r="AZ16" s="188" t="e">
        <f>IF(P16=".",P16,IF(VLOOKUP($AM16&amp;P$1+P11&amp;P16, 工作表1!$C:$V,1,) &gt; 0,P16,"ERROR"))</f>
        <v>#VALUE!</v>
      </c>
      <c r="BA16" s="188" t="e">
        <f>IF(Q16=".",Q16,IF(VLOOKUP($AM16&amp;Q$1+Q11&amp;Q16, 工作表1!$C:$V,1,) &gt; 0,Q16,"ERROR"))</f>
        <v>#VALUE!</v>
      </c>
      <c r="BB16" s="188" t="e">
        <f>IF(R16=".",R16,IF(VLOOKUP($AM16&amp;R$1+R11&amp;R16, 工作表1!$C:$V,1,) &gt; 0,R16,"ERROR"))</f>
        <v>#VALUE!</v>
      </c>
      <c r="BC16" s="188" t="e">
        <f>IF(S16=".",S16,IF(VLOOKUP($AM16&amp;S$1+S11&amp;S16, 工作表1!$C:$V,1,) &gt; 0,S16,"ERROR"))</f>
        <v>#VALUE!</v>
      </c>
      <c r="BD16" s="188" t="e">
        <f>IF(T16=".",T16,IF(VLOOKUP($AM16&amp;T$1+T11&amp;T16, 工作表1!$C:$V,1,) &gt; 0,T16,"ERROR"))</f>
        <v>#VALUE!</v>
      </c>
      <c r="BE16" s="188" t="e">
        <f>IF(U16=".",U16,IF(VLOOKUP($AM16&amp;U$1+U11&amp;U16, 工作表1!$C:$V,1,) &gt; 0,U16,"ERROR"))</f>
        <v>#VALUE!</v>
      </c>
      <c r="BF16" s="188" t="e">
        <f>IF(V16=".",V16,IF(VLOOKUP($AM16&amp;V$1+V11&amp;V16, 工作表1!$C:$V,1,) &gt; 0,V16,"ERROR"))</f>
        <v>#VALUE!</v>
      </c>
      <c r="BG16" s="188" t="e">
        <f>IF(W16=".",W16,IF(VLOOKUP($AM16&amp;W$1+W11&amp;W16, 工作表1!$C:$V,1,) &gt; 0,W16,"ERROR"))</f>
        <v>#VALUE!</v>
      </c>
      <c r="BH16" s="188" t="e">
        <f>IF(X16=".",X16,IF(VLOOKUP($AM16&amp;X$1+X11&amp;X16, 工作表1!$C:$V,1,) &gt; 0,X16,"ERROR"))</f>
        <v>#VALUE!</v>
      </c>
      <c r="BI16" s="188" t="e">
        <f>IF(Y16=".",Y16,IF(VLOOKUP($AM16&amp;Y$1+Y11&amp;Y16, 工作表1!$C:$V,1,) &gt; 0,Y16,"ERROR"))</f>
        <v>#VALUE!</v>
      </c>
      <c r="BJ16" s="188" t="e">
        <f>IF(Z16=".",Z16,IF(VLOOKUP($AM16&amp;Z$1+Z11&amp;Z16, 工作表1!$C:$V,1,) &gt; 0,Z16,"ERROR"))</f>
        <v>#VALUE!</v>
      </c>
      <c r="BK16" s="188" t="e">
        <f>IF(AA16=".",AA16,IF(VLOOKUP($AM16&amp;AA$1+AA11&amp;AA16, 工作表1!$C:$V,1,) &gt; 0,AA16,"ERROR"))</f>
        <v>#VALUE!</v>
      </c>
      <c r="BL16" s="188" t="e">
        <f>IF(AB16=".",AB16,IF(VLOOKUP($AM16&amp;AB$1+AB11&amp;AB16, 工作表1!$C:$V,1,) &gt; 0,AB16,"ERROR"))</f>
        <v>#VALUE!</v>
      </c>
      <c r="BM16" s="188" t="e">
        <f>IF(AC16=".",AC16,IF(VLOOKUP($AM16&amp;AC$1+AC11&amp;AC16, 工作表1!$C:$V,1,) &gt; 0,AC16,"ERROR"))</f>
        <v>#VALUE!</v>
      </c>
      <c r="BN16" s="188" t="e">
        <f>IF(AD16=".",AD16,IF(VLOOKUP($AM16&amp;AD$1+AD11&amp;AD16, 工作表1!$C:$V,1,) &gt; 0,AD16,"ERROR"))</f>
        <v>#VALUE!</v>
      </c>
      <c r="BO16" s="188" t="e">
        <f>IF(AE16=".",AE16,IF(VLOOKUP($AM16&amp;AE$1+AE11&amp;AE16, 工作表1!$C:$V,1,) &gt; 0,AE16,"ERROR"))</f>
        <v>#VALUE!</v>
      </c>
      <c r="BP16" s="188" t="e">
        <f>IF(AF16=".",AF16,IF(VLOOKUP($AM16&amp;AF$1+AF11&amp;AF16, 工作表1!$C:$V,1,) &gt; 0,AF16,"ERROR"))</f>
        <v>#VALUE!</v>
      </c>
      <c r="BQ16" s="188" t="e">
        <f>IF(AG16=".",AG16,IF(VLOOKUP($AM16&amp;AG$1+AG11&amp;AG16, 工作表1!$C:$V,1,) &gt; 0,AG16,"ERROR"))</f>
        <v>#VALUE!</v>
      </c>
      <c r="BR16" s="188" t="e">
        <f>IF(AH16=".",AH16,IF(VLOOKUP($AM16&amp;AH$1+AH11&amp;AH16, 工作表1!$C:$V,1,) &gt; 0,AH16,"ERROR"))</f>
        <v>#VALUE!</v>
      </c>
      <c r="BS16" s="188" t="e">
        <f>IF(#REF!=".",#REF!,IF(VLOOKUP($AM16&amp;#REF!+#REF!&amp;#REF!, 工作表1!$C:$V,1,) &gt; 0,#REF!,"ERROR"))</f>
        <v>#REF!</v>
      </c>
      <c r="BT16" s="188" t="e">
        <f>IF(#REF!=".",#REF!,IF(VLOOKUP($AM16&amp;#REF!+#REF!&amp;#REF!, 工作表1!$C:$V,1,) &gt; 0,#REF!,"ERROR"))</f>
        <v>#REF!</v>
      </c>
    </row>
    <row r="17" spans="2:72">
      <c r="B17" t="e" cm="1" vm="1">
        <f t="array" ref="B17">_xlfn.LET(
    _xlpm.data, D17:AH17,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C17" s="180"/>
      <c r="D17" s="186" t="str" cm="1">
        <f t="array" ref="D17">_xlfn.LET(
   _xlpm.data, 表格3_5[[Date]:[Location]],
   _xlpm.date_col, INDEX(_xlpm.data, , 1),
   _xlpm.name_col, INDEX(_xlpm.data, , 2),
   _xlpm.loc_col,  INDEX(_xlpm.data, , 3),
   _xlpm.target_date, DATE(YEAR($C$1), MONTH($C$1), D$7),
   _xlpm.filtered, _xlfn._xlws.FILTER(_xlpm.name_col, (_xlpm.date_col = _xlpm.target_date) * (_xlpm.loc_col =$C17), ""),
   IF(_xlpm.filtered="", "", _xlpm.filtered)
)</f>
        <v/>
      </c>
      <c r="E17" s="186" t="str" cm="1">
        <f t="array" ref="E17">_xlfn.LET(
   _xlpm.data, 表格3_5[[Date]:[Location]],
   _xlpm.date_col, INDEX(_xlpm.data, , 1),
   _xlpm.name_col, INDEX(_xlpm.data, , 2),
   _xlpm.loc_col,  INDEX(_xlpm.data, , 3),
   _xlpm.target_date, DATE(YEAR($C$1), MONTH($C$1), E$7),
   _xlpm.filtered, _xlfn._xlws.FILTER(_xlpm.name_col, (_xlpm.date_col = _xlpm.target_date) * (_xlpm.loc_col =$C17), ""),
   IF(_xlpm.filtered="", "", _xlpm.filtered)
)</f>
        <v/>
      </c>
      <c r="F17" s="186" t="str" cm="1">
        <f t="array" ref="F17">_xlfn.LET(
   _xlpm.data, 表格3_5[[Date]:[Location]],
   _xlpm.date_col, INDEX(_xlpm.data, , 1),
   _xlpm.name_col, INDEX(_xlpm.data, , 2),
   _xlpm.loc_col,  INDEX(_xlpm.data, , 3),
   _xlpm.target_date, DATE(YEAR($C$1), MONTH($C$1), F$7),
   _xlpm.filtered, _xlfn._xlws.FILTER(_xlpm.name_col, (_xlpm.date_col = _xlpm.target_date) * (_xlpm.loc_col =$C17), ""),
   IF(_xlpm.filtered="", "", _xlpm.filtered)
)</f>
        <v/>
      </c>
      <c r="G17" s="186" t="str" cm="1">
        <f t="array" ref="G17">_xlfn.LET(
   _xlpm.data, 表格3_5[[Date]:[Location]],
   _xlpm.date_col, INDEX(_xlpm.data, , 1),
   _xlpm.name_col, INDEX(_xlpm.data, , 2),
   _xlpm.loc_col,  INDEX(_xlpm.data, , 3),
   _xlpm.target_date, DATE(YEAR($C$1), MONTH($C$1), G$7),
   _xlpm.filtered, _xlfn._xlws.FILTER(_xlpm.name_col, (_xlpm.date_col = _xlpm.target_date) * (_xlpm.loc_col =$C17), ""),
   IF(_xlpm.filtered="", "", _xlpm.filtered)
)</f>
        <v/>
      </c>
      <c r="H17" s="186" t="str" cm="1">
        <f t="array" ref="H17">_xlfn.LET(
   _xlpm.data, 表格3_5[[Date]:[Location]],
   _xlpm.date_col, INDEX(_xlpm.data, , 1),
   _xlpm.name_col, INDEX(_xlpm.data, , 2),
   _xlpm.loc_col,  INDEX(_xlpm.data, , 3),
   _xlpm.target_date, DATE(YEAR($C$1), MONTH($C$1), H$7),
   _xlpm.filtered, _xlfn._xlws.FILTER(_xlpm.name_col, (_xlpm.date_col = _xlpm.target_date) * (_xlpm.loc_col =$C17), ""),
   IF(_xlpm.filtered="", "", _xlpm.filtered)
)</f>
        <v/>
      </c>
      <c r="I17" s="186" t="str" cm="1">
        <f t="array" ref="I17">_xlfn.LET(
   _xlpm.data, 表格3_5[[Date]:[Location]],
   _xlpm.date_col, INDEX(_xlpm.data, , 1),
   _xlpm.name_col, INDEX(_xlpm.data, , 2),
   _xlpm.loc_col,  INDEX(_xlpm.data, , 3),
   _xlpm.target_date, DATE(YEAR($C$1), MONTH($C$1), I$7),
   _xlpm.filtered, _xlfn._xlws.FILTER(_xlpm.name_col, (_xlpm.date_col = _xlpm.target_date) * (_xlpm.loc_col =$C17), ""),
   IF(_xlpm.filtered="", "", _xlpm.filtered)
)</f>
        <v/>
      </c>
      <c r="J17" s="186" t="str" cm="1">
        <f t="array" ref="J17">_xlfn.LET(
   _xlpm.data, 表格3_5[[Date]:[Location]],
   _xlpm.date_col, INDEX(_xlpm.data, , 1),
   _xlpm.name_col, INDEX(_xlpm.data, , 2),
   _xlpm.loc_col,  INDEX(_xlpm.data, , 3),
   _xlpm.target_date, DATE(YEAR($C$1), MONTH($C$1), J$7),
   _xlpm.filtered, _xlfn._xlws.FILTER(_xlpm.name_col, (_xlpm.date_col = _xlpm.target_date) * (_xlpm.loc_col =$C17), ""),
   IF(_xlpm.filtered="", "", _xlpm.filtered)
)</f>
        <v/>
      </c>
      <c r="K17" s="186" t="str" cm="1">
        <f t="array" ref="K17">_xlfn.LET(
   _xlpm.data, 表格3_5[[Date]:[Location]],
   _xlpm.date_col, INDEX(_xlpm.data, , 1),
   _xlpm.name_col, INDEX(_xlpm.data, , 2),
   _xlpm.loc_col,  INDEX(_xlpm.data, , 3),
   _xlpm.target_date, DATE(YEAR($C$1), MONTH($C$1), K$7),
   _xlpm.filtered, _xlfn._xlws.FILTER(_xlpm.name_col, (_xlpm.date_col = _xlpm.target_date) * (_xlpm.loc_col =$C17), ""),
   IF(_xlpm.filtered="", "", _xlpm.filtered)
)</f>
        <v/>
      </c>
      <c r="L17" s="186" t="str" cm="1">
        <f t="array" ref="L17">_xlfn.LET(
   _xlpm.data, 表格3_5[[Date]:[Location]],
   _xlpm.date_col, INDEX(_xlpm.data, , 1),
   _xlpm.name_col, INDEX(_xlpm.data, , 2),
   _xlpm.loc_col,  INDEX(_xlpm.data, , 3),
   _xlpm.target_date, DATE(YEAR($C$1), MONTH($C$1), L$7),
   _xlpm.filtered, _xlfn._xlws.FILTER(_xlpm.name_col, (_xlpm.date_col = _xlpm.target_date) * (_xlpm.loc_col =$C17), ""),
   IF(_xlpm.filtered="", "", _xlpm.filtered)
)</f>
        <v/>
      </c>
      <c r="M17" s="186" t="str" cm="1">
        <f t="array" ref="M17">_xlfn.LET(
   _xlpm.data, 表格3_5[[Date]:[Location]],
   _xlpm.date_col, INDEX(_xlpm.data, , 1),
   _xlpm.name_col, INDEX(_xlpm.data, , 2),
   _xlpm.loc_col,  INDEX(_xlpm.data, , 3),
   _xlpm.target_date, DATE(YEAR($C$1), MONTH($C$1), M$7),
   _xlpm.filtered, _xlfn._xlws.FILTER(_xlpm.name_col, (_xlpm.date_col = _xlpm.target_date) * (_xlpm.loc_col =$C17), ""),
   IF(_xlpm.filtered="", "", _xlpm.filtered)
)</f>
        <v/>
      </c>
      <c r="N17" s="186" t="str" cm="1">
        <f t="array" ref="N17">_xlfn.LET(
   _xlpm.data, 表格3_5[[Date]:[Location]],
   _xlpm.date_col, INDEX(_xlpm.data, , 1),
   _xlpm.name_col, INDEX(_xlpm.data, , 2),
   _xlpm.loc_col,  INDEX(_xlpm.data, , 3),
   _xlpm.target_date, DATE(YEAR($C$1), MONTH($C$1), N$7),
   _xlpm.filtered, _xlfn._xlws.FILTER(_xlpm.name_col, (_xlpm.date_col = _xlpm.target_date) * (_xlpm.loc_col =$C17), ""),
   IF(_xlpm.filtered="", "", _xlpm.filtered)
)</f>
        <v/>
      </c>
      <c r="O17" s="186" t="str" cm="1">
        <f t="array" ref="O17">_xlfn.LET(
   _xlpm.data, 表格3_5[[Date]:[Location]],
   _xlpm.date_col, INDEX(_xlpm.data, , 1),
   _xlpm.name_col, INDEX(_xlpm.data, , 2),
   _xlpm.loc_col,  INDEX(_xlpm.data, , 3),
   _xlpm.target_date, DATE(YEAR($C$1), MONTH($C$1), O$7),
   _xlpm.filtered, _xlfn._xlws.FILTER(_xlpm.name_col, (_xlpm.date_col = _xlpm.target_date) * (_xlpm.loc_col =$C17), ""),
   IF(_xlpm.filtered="", "", _xlpm.filtered)
)</f>
        <v/>
      </c>
      <c r="P17" s="186" t="str" cm="1">
        <f t="array" ref="P17">_xlfn.LET(
   _xlpm.data, 表格3_5[[Date]:[Location]],
   _xlpm.date_col, INDEX(_xlpm.data, , 1),
   _xlpm.name_col, INDEX(_xlpm.data, , 2),
   _xlpm.loc_col,  INDEX(_xlpm.data, , 3),
   _xlpm.target_date, DATE(YEAR($C$1), MONTH($C$1), P$7),
   _xlpm.filtered, _xlfn._xlws.FILTER(_xlpm.name_col, (_xlpm.date_col = _xlpm.target_date) * (_xlpm.loc_col =$C17), ""),
   IF(_xlpm.filtered="", "", _xlpm.filtered)
)</f>
        <v/>
      </c>
      <c r="Q17" s="186" t="str" cm="1">
        <f t="array" ref="Q17">_xlfn.LET(
   _xlpm.data, 表格3_5[[Date]:[Location]],
   _xlpm.date_col, INDEX(_xlpm.data, , 1),
   _xlpm.name_col, INDEX(_xlpm.data, , 2),
   _xlpm.loc_col,  INDEX(_xlpm.data, , 3),
   _xlpm.target_date, DATE(YEAR($C$1), MONTH($C$1), Q$7),
   _xlpm.filtered, _xlfn._xlws.FILTER(_xlpm.name_col, (_xlpm.date_col = _xlpm.target_date) * (_xlpm.loc_col =$C17), ""),
   IF(_xlpm.filtered="", "", _xlpm.filtered)
)</f>
        <v/>
      </c>
      <c r="R17" s="186" t="str" cm="1">
        <f t="array" ref="R17">_xlfn.LET(
   _xlpm.data, 表格3_5[[Date]:[Location]],
   _xlpm.date_col, INDEX(_xlpm.data, , 1),
   _xlpm.name_col, INDEX(_xlpm.data, , 2),
   _xlpm.loc_col,  INDEX(_xlpm.data, , 3),
   _xlpm.target_date, DATE(YEAR($C$1), MONTH($C$1), R$7),
   _xlpm.filtered, _xlfn._xlws.FILTER(_xlpm.name_col, (_xlpm.date_col = _xlpm.target_date) * (_xlpm.loc_col =$C17), ""),
   IF(_xlpm.filtered="", "", _xlpm.filtered)
)</f>
        <v/>
      </c>
      <c r="S17" s="186" t="str" cm="1">
        <f t="array" ref="S17">_xlfn.LET(
   _xlpm.data, 表格3_5[[Date]:[Location]],
   _xlpm.date_col, INDEX(_xlpm.data, , 1),
   _xlpm.name_col, INDEX(_xlpm.data, , 2),
   _xlpm.loc_col,  INDEX(_xlpm.data, , 3),
   _xlpm.target_date, DATE(YEAR($C$1), MONTH($C$1), S$7),
   _xlpm.filtered, _xlfn._xlws.FILTER(_xlpm.name_col, (_xlpm.date_col = _xlpm.target_date) * (_xlpm.loc_col =$C17), ""),
   IF(_xlpm.filtered="", "", _xlpm.filtered)
)</f>
        <v/>
      </c>
      <c r="T17" s="186" t="str" cm="1">
        <f t="array" ref="T17">_xlfn.LET(
   _xlpm.data, 表格3_5[[Date]:[Location]],
   _xlpm.date_col, INDEX(_xlpm.data, , 1),
   _xlpm.name_col, INDEX(_xlpm.data, , 2),
   _xlpm.loc_col,  INDEX(_xlpm.data, , 3),
   _xlpm.target_date, DATE(YEAR($C$1), MONTH($C$1), T$7),
   _xlpm.filtered, _xlfn._xlws.FILTER(_xlpm.name_col, (_xlpm.date_col = _xlpm.target_date) * (_xlpm.loc_col =$C17), ""),
   IF(_xlpm.filtered="", "", _xlpm.filtered)
)</f>
        <v/>
      </c>
      <c r="U17" s="186" t="str" cm="1">
        <f t="array" ref="U17">_xlfn.LET(
   _xlpm.data, 表格3_5[[Date]:[Location]],
   _xlpm.date_col, INDEX(_xlpm.data, , 1),
   _xlpm.name_col, INDEX(_xlpm.data, , 2),
   _xlpm.loc_col,  INDEX(_xlpm.data, , 3),
   _xlpm.target_date, DATE(YEAR($C$1), MONTH($C$1), U$7),
   _xlpm.filtered, _xlfn._xlws.FILTER(_xlpm.name_col, (_xlpm.date_col = _xlpm.target_date) * (_xlpm.loc_col =$C17), ""),
   IF(_xlpm.filtered="", "", _xlpm.filtered)
)</f>
        <v/>
      </c>
      <c r="V17" s="186" t="str" cm="1">
        <f t="array" ref="V17">_xlfn.LET(
   _xlpm.data, 表格3_5[[Date]:[Location]],
   _xlpm.date_col, INDEX(_xlpm.data, , 1),
   _xlpm.name_col, INDEX(_xlpm.data, , 2),
   _xlpm.loc_col,  INDEX(_xlpm.data, , 3),
   _xlpm.target_date, DATE(YEAR($C$1), MONTH($C$1), V$7),
   _xlpm.filtered, _xlfn._xlws.FILTER(_xlpm.name_col, (_xlpm.date_col = _xlpm.target_date) * (_xlpm.loc_col =$C17), ""),
   IF(_xlpm.filtered="", "", _xlpm.filtered)
)</f>
        <v/>
      </c>
      <c r="W17" s="186" t="str" cm="1">
        <f t="array" ref="W17">_xlfn.LET(
   _xlpm.data, 表格3_5[[Date]:[Location]],
   _xlpm.date_col, INDEX(_xlpm.data, , 1),
   _xlpm.name_col, INDEX(_xlpm.data, , 2),
   _xlpm.loc_col,  INDEX(_xlpm.data, , 3),
   _xlpm.target_date, DATE(YEAR($C$1), MONTH($C$1), W$7),
   _xlpm.filtered, _xlfn._xlws.FILTER(_xlpm.name_col, (_xlpm.date_col = _xlpm.target_date) * (_xlpm.loc_col =$C17), ""),
   IF(_xlpm.filtered="", "", _xlpm.filtered)
)</f>
        <v/>
      </c>
      <c r="X17" s="186" t="str" cm="1">
        <f t="array" ref="X17">_xlfn.LET(
   _xlpm.data, 表格3_5[[Date]:[Location]],
   _xlpm.date_col, INDEX(_xlpm.data, , 1),
   _xlpm.name_col, INDEX(_xlpm.data, , 2),
   _xlpm.loc_col,  INDEX(_xlpm.data, , 3),
   _xlpm.target_date, DATE(YEAR($C$1), MONTH($C$1), X$7),
   _xlpm.filtered, _xlfn._xlws.FILTER(_xlpm.name_col, (_xlpm.date_col = _xlpm.target_date) * (_xlpm.loc_col =$C17), ""),
   IF(_xlpm.filtered="", "", _xlpm.filtered)
)</f>
        <v/>
      </c>
      <c r="Y17" s="186" t="str" cm="1">
        <f t="array" ref="Y17">_xlfn.LET(
   _xlpm.data, 表格3_5[[Date]:[Location]],
   _xlpm.date_col, INDEX(_xlpm.data, , 1),
   _xlpm.name_col, INDEX(_xlpm.data, , 2),
   _xlpm.loc_col,  INDEX(_xlpm.data, , 3),
   _xlpm.target_date, DATE(YEAR($C$1), MONTH($C$1), Y$7),
   _xlpm.filtered, _xlfn._xlws.FILTER(_xlpm.name_col, (_xlpm.date_col = _xlpm.target_date) * (_xlpm.loc_col =$C17), ""),
   IF(_xlpm.filtered="", "", _xlpm.filtered)
)</f>
        <v/>
      </c>
      <c r="Z17" s="186" t="str" cm="1">
        <f t="array" ref="Z17">_xlfn.LET(
   _xlpm.data, 表格3_5[[Date]:[Location]],
   _xlpm.date_col, INDEX(_xlpm.data, , 1),
   _xlpm.name_col, INDEX(_xlpm.data, , 2),
   _xlpm.loc_col,  INDEX(_xlpm.data, , 3),
   _xlpm.target_date, DATE(YEAR($C$1), MONTH($C$1), Z$7),
   _xlpm.filtered, _xlfn._xlws.FILTER(_xlpm.name_col, (_xlpm.date_col = _xlpm.target_date) * (_xlpm.loc_col =$C17), ""),
   IF(_xlpm.filtered="", "", _xlpm.filtered)
)</f>
        <v/>
      </c>
      <c r="AA17" s="186" t="str" cm="1">
        <f t="array" ref="AA17">_xlfn.LET(
   _xlpm.data, 表格3_5[[Date]:[Location]],
   _xlpm.date_col, INDEX(_xlpm.data, , 1),
   _xlpm.name_col, INDEX(_xlpm.data, , 2),
   _xlpm.loc_col,  INDEX(_xlpm.data, , 3),
   _xlpm.target_date, DATE(YEAR($C$1), MONTH($C$1), AA$7),
   _xlpm.filtered, _xlfn._xlws.FILTER(_xlpm.name_col, (_xlpm.date_col = _xlpm.target_date) * (_xlpm.loc_col =$C17), ""),
   IF(_xlpm.filtered="", "", _xlpm.filtered)
)</f>
        <v/>
      </c>
      <c r="AB17" s="186" t="str" cm="1">
        <f t="array" ref="AB17">_xlfn.LET(
   _xlpm.data, 表格3_5[[Date]:[Location]],
   _xlpm.date_col, INDEX(_xlpm.data, , 1),
   _xlpm.name_col, INDEX(_xlpm.data, , 2),
   _xlpm.loc_col,  INDEX(_xlpm.data, , 3),
   _xlpm.target_date, DATE(YEAR($C$1), MONTH($C$1), AB$7),
   _xlpm.filtered, _xlfn._xlws.FILTER(_xlpm.name_col, (_xlpm.date_col = _xlpm.target_date) * (_xlpm.loc_col =$C17), ""),
   IF(_xlpm.filtered="", "", _xlpm.filtered)
)</f>
        <v/>
      </c>
      <c r="AC17" s="186" t="str" cm="1">
        <f t="array" ref="AC17">_xlfn.LET(
   _xlpm.data, 表格3_5[[Date]:[Location]],
   _xlpm.date_col, INDEX(_xlpm.data, , 1),
   _xlpm.name_col, INDEX(_xlpm.data, , 2),
   _xlpm.loc_col,  INDEX(_xlpm.data, , 3),
   _xlpm.target_date, DATE(YEAR($C$1), MONTH($C$1), AC$7),
   _xlpm.filtered, _xlfn._xlws.FILTER(_xlpm.name_col, (_xlpm.date_col = _xlpm.target_date) * (_xlpm.loc_col =$C17), ""),
   IF(_xlpm.filtered="", "", _xlpm.filtered)
)</f>
        <v/>
      </c>
      <c r="AD17" s="186" t="str" cm="1">
        <f t="array" ref="AD17">_xlfn.LET(
   _xlpm.data, 表格3_5[[Date]:[Location]],
   _xlpm.date_col, INDEX(_xlpm.data, , 1),
   _xlpm.name_col, INDEX(_xlpm.data, , 2),
   _xlpm.loc_col,  INDEX(_xlpm.data, , 3),
   _xlpm.target_date, DATE(YEAR($C$1), MONTH($C$1), AD$7),
   _xlpm.filtered, _xlfn._xlws.FILTER(_xlpm.name_col, (_xlpm.date_col = _xlpm.target_date) * (_xlpm.loc_col =$C17), ""),
   IF(_xlpm.filtered="", "", _xlpm.filtered)
)</f>
        <v/>
      </c>
      <c r="AE17" s="186" t="str" cm="1">
        <f t="array" ref="AE17">_xlfn.LET(
   _xlpm.data, 表格3_5[[Date]:[Location]],
   _xlpm.date_col, INDEX(_xlpm.data, , 1),
   _xlpm.name_col, INDEX(_xlpm.data, , 2),
   _xlpm.loc_col,  INDEX(_xlpm.data, , 3),
   _xlpm.target_date, DATE(YEAR($C$1), MONTH($C$1), AE$7),
   _xlpm.filtered, _xlfn._xlws.FILTER(_xlpm.name_col, (_xlpm.date_col = _xlpm.target_date) * (_xlpm.loc_col =$C17), ""),
   IF(_xlpm.filtered="", "", _xlpm.filtered)
)</f>
        <v/>
      </c>
      <c r="AF17" s="186" t="str" cm="1">
        <f t="array" ref="AF17">_xlfn.LET(
   _xlpm.data, 表格3_5[[Date]:[Location]],
   _xlpm.date_col, INDEX(_xlpm.data, , 1),
   _xlpm.name_col, INDEX(_xlpm.data, , 2),
   _xlpm.loc_col,  INDEX(_xlpm.data, , 3),
   _xlpm.target_date, DATE(YEAR($C$1), MONTH($C$1), AF$7),
   _xlpm.filtered, _xlfn._xlws.FILTER(_xlpm.name_col, (_xlpm.date_col = _xlpm.target_date) * (_xlpm.loc_col =$C17), ""),
   IF(_xlpm.filtered="", "", _xlpm.filtered)
)</f>
        <v/>
      </c>
      <c r="AG17" s="186" t="str" cm="1">
        <f t="array" ref="AG17">_xlfn.LET(
   _xlpm.data, 表格3_5[[Date]:[Location]],
   _xlpm.date_col, INDEX(_xlpm.data, , 1),
   _xlpm.name_col, INDEX(_xlpm.data, , 2),
   _xlpm.loc_col,  INDEX(_xlpm.data, , 3),
   _xlpm.target_date, DATE(YEAR($C$1), MONTH($C$1), AG$7),
   _xlpm.filtered, _xlfn._xlws.FILTER(_xlpm.name_col, (_xlpm.date_col = _xlpm.target_date) * (_xlpm.loc_col =$C17), ""),
   IF(_xlpm.filtered="", "", _xlpm.filtered)
)</f>
        <v/>
      </c>
      <c r="AH17" s="186" t="str" cm="1">
        <f t="array" ref="AH17">_xlfn.LET(
   _xlpm.data, 表格3_5[[Date]:[Location]],
   _xlpm.date_col, INDEX(_xlpm.data, , 1),
   _xlpm.name_col, INDEX(_xlpm.data, , 2),
   _xlpm.loc_col,  INDEX(_xlpm.data, , 3),
   _xlpm.target_date, DATE(YEAR($C$1), MONTH($C$1), AH$7),
   _xlpm.filtered, _xlfn._xlws.FILTER(_xlpm.name_col, (_xlpm.date_col = _xlpm.target_date) * (_xlpm.loc_col =$C17), ""),
   IF(_xlpm.filtered="", "", _xlpm.filtered)
)</f>
        <v/>
      </c>
      <c r="AI17" s="187">
        <f t="shared" si="33"/>
        <v>0</v>
      </c>
      <c r="AJ17" s="187">
        <f t="shared" si="34"/>
        <v>0</v>
      </c>
      <c r="AK17" s="177"/>
      <c r="AM17" s="181">
        <f t="shared" si="35"/>
        <v>0</v>
      </c>
      <c r="AN17" s="188" t="e">
        <f>IF(D17=".",D17,IF(VLOOKUP($AM17&amp;D$1+D12&amp;D17, 工作表1!$C:$V,1,) &gt; 0,D17,"ERROR"))</f>
        <v>#VALUE!</v>
      </c>
      <c r="AO17" s="188" t="e">
        <f>IF(E17=".",E17,IF(VLOOKUP($AM17&amp;E$1+E12&amp;E17, 工作表1!$C:$V,1,) &gt; 0,E17,"ERROR"))</f>
        <v>#VALUE!</v>
      </c>
      <c r="AP17" s="188" t="e">
        <f>IF(F17=".",F17,IF(VLOOKUP($AM17&amp;F$1+F12&amp;F17, 工作表1!$C:$V,1,) &gt; 0,F17,"ERROR"))</f>
        <v>#VALUE!</v>
      </c>
      <c r="AQ17" s="188" t="e">
        <f>IF(G17=".",G17,IF(VLOOKUP($AM17&amp;G$1+G12&amp;G17, 工作表1!$C:$V,1,) &gt; 0,G17,"ERROR"))</f>
        <v>#VALUE!</v>
      </c>
      <c r="AR17" s="188" t="e">
        <f>IF(H17=".",H17,IF(VLOOKUP($AM17&amp;H$1+H12&amp;H17, 工作表1!$C:$V,1,) &gt; 0,H17,"ERROR"))</f>
        <v>#VALUE!</v>
      </c>
      <c r="AS17" s="188" t="e">
        <f>IF(I17=".",I17,IF(VLOOKUP($AM17&amp;I$1+I12&amp;I17, 工作表1!$C:$V,1,) &gt; 0,I17,"ERROR"))</f>
        <v>#VALUE!</v>
      </c>
      <c r="AT17" s="188" t="e">
        <f>IF(J17=".",J17,IF(VLOOKUP($AM17&amp;J$1+J12&amp;J17, 工作表1!$C:$V,1,) &gt; 0,J17,"ERROR"))</f>
        <v>#VALUE!</v>
      </c>
      <c r="AU17" s="188" t="e">
        <f>IF(K17=".",K17,IF(VLOOKUP($AM17&amp;K$1+K12&amp;K17, 工作表1!$C:$V,1,) &gt; 0,K17,"ERROR"))</f>
        <v>#VALUE!</v>
      </c>
      <c r="AV17" s="188" t="e">
        <f>IF(L17=".",L17,IF(VLOOKUP($AM17&amp;L$1+L12&amp;L17, 工作表1!$C:$V,1,) &gt; 0,L17,"ERROR"))</f>
        <v>#VALUE!</v>
      </c>
      <c r="AW17" s="188" t="e">
        <f>IF(M17=".",M17,IF(VLOOKUP($AM17&amp;M$1+M12&amp;M17, 工作表1!$C:$V,1,) &gt; 0,M17,"ERROR"))</f>
        <v>#VALUE!</v>
      </c>
      <c r="AX17" s="188" t="e">
        <f>IF(N17=".",N17,IF(VLOOKUP($AM17&amp;N$1+N12&amp;N17, 工作表1!$C:$V,1,) &gt; 0,N17,"ERROR"))</f>
        <v>#VALUE!</v>
      </c>
      <c r="AY17" s="188" t="e">
        <f>IF(O17=".",O17,IF(VLOOKUP($AM17&amp;O$1+O12&amp;O17, 工作表1!$C:$V,1,) &gt; 0,O17,"ERROR"))</f>
        <v>#VALUE!</v>
      </c>
      <c r="AZ17" s="188" t="e">
        <f>IF(P17=".",P17,IF(VLOOKUP($AM17&amp;P$1+P12&amp;P17, 工作表1!$C:$V,1,) &gt; 0,P17,"ERROR"))</f>
        <v>#VALUE!</v>
      </c>
      <c r="BA17" s="188" t="e">
        <f>IF(Q17=".",Q17,IF(VLOOKUP($AM17&amp;Q$1+Q12&amp;Q17, 工作表1!$C:$V,1,) &gt; 0,Q17,"ERROR"))</f>
        <v>#VALUE!</v>
      </c>
      <c r="BB17" s="188" t="e">
        <f>IF(R17=".",R17,IF(VLOOKUP($AM17&amp;R$1+R12&amp;R17, 工作表1!$C:$V,1,) &gt; 0,R17,"ERROR"))</f>
        <v>#VALUE!</v>
      </c>
      <c r="BC17" s="188" t="e">
        <f>IF(S17=".",S17,IF(VLOOKUP($AM17&amp;S$1+S12&amp;S17, 工作表1!$C:$V,1,) &gt; 0,S17,"ERROR"))</f>
        <v>#VALUE!</v>
      </c>
      <c r="BD17" s="188" t="e">
        <f>IF(T17=".",T17,IF(VLOOKUP($AM17&amp;T$1+T12&amp;T17, 工作表1!$C:$V,1,) &gt; 0,T17,"ERROR"))</f>
        <v>#VALUE!</v>
      </c>
      <c r="BE17" s="188" t="e">
        <f>IF(U17=".",U17,IF(VLOOKUP($AM17&amp;U$1+U12&amp;U17, 工作表1!$C:$V,1,) &gt; 0,U17,"ERROR"))</f>
        <v>#VALUE!</v>
      </c>
      <c r="BF17" s="188" t="e">
        <f>IF(V17=".",V17,IF(VLOOKUP($AM17&amp;V$1+V12&amp;V17, 工作表1!$C:$V,1,) &gt; 0,V17,"ERROR"))</f>
        <v>#VALUE!</v>
      </c>
      <c r="BG17" s="188" t="e">
        <f>IF(W17=".",W17,IF(VLOOKUP($AM17&amp;W$1+W12&amp;W17, 工作表1!$C:$V,1,) &gt; 0,W17,"ERROR"))</f>
        <v>#VALUE!</v>
      </c>
      <c r="BH17" s="188" t="e">
        <f>IF(X17=".",X17,IF(VLOOKUP($AM17&amp;X$1+X12&amp;X17, 工作表1!$C:$V,1,) &gt; 0,X17,"ERROR"))</f>
        <v>#VALUE!</v>
      </c>
      <c r="BI17" s="188" t="e">
        <f>IF(Y17=".",Y17,IF(VLOOKUP($AM17&amp;Y$1+Y12&amp;Y17, 工作表1!$C:$V,1,) &gt; 0,Y17,"ERROR"))</f>
        <v>#VALUE!</v>
      </c>
      <c r="BJ17" s="188" t="e">
        <f>IF(Z17=".",Z17,IF(VLOOKUP($AM17&amp;Z$1+Z12&amp;Z17, 工作表1!$C:$V,1,) &gt; 0,Z17,"ERROR"))</f>
        <v>#VALUE!</v>
      </c>
      <c r="BK17" s="188" t="e">
        <f>IF(AA17=".",AA17,IF(VLOOKUP($AM17&amp;AA$1+AA12&amp;AA17, 工作表1!$C:$V,1,) &gt; 0,AA17,"ERROR"))</f>
        <v>#VALUE!</v>
      </c>
      <c r="BL17" s="188" t="e">
        <f>IF(AB17=".",AB17,IF(VLOOKUP($AM17&amp;AB$1+AB12&amp;AB17, 工作表1!$C:$V,1,) &gt; 0,AB17,"ERROR"))</f>
        <v>#VALUE!</v>
      </c>
      <c r="BM17" s="188" t="e">
        <f>IF(AC17=".",AC17,IF(VLOOKUP($AM17&amp;AC$1+AC12&amp;AC17, 工作表1!$C:$V,1,) &gt; 0,AC17,"ERROR"))</f>
        <v>#VALUE!</v>
      </c>
      <c r="BN17" s="188" t="e">
        <f>IF(AD17=".",AD17,IF(VLOOKUP($AM17&amp;AD$1+AD12&amp;AD17, 工作表1!$C:$V,1,) &gt; 0,AD17,"ERROR"))</f>
        <v>#VALUE!</v>
      </c>
      <c r="BO17" s="188" t="e">
        <f>IF(AE17=".",AE17,IF(VLOOKUP($AM17&amp;AE$1+AE12&amp;AE17, 工作表1!$C:$V,1,) &gt; 0,AE17,"ERROR"))</f>
        <v>#VALUE!</v>
      </c>
      <c r="BP17" s="188" t="e">
        <f>IF(AF17=".",AF17,IF(VLOOKUP($AM17&amp;AF$1+AF12&amp;AF17, 工作表1!$C:$V,1,) &gt; 0,AF17,"ERROR"))</f>
        <v>#VALUE!</v>
      </c>
      <c r="BQ17" s="188" t="e">
        <f>IF(AG17=".",AG17,IF(VLOOKUP($AM17&amp;AG$1+AG12&amp;AG17, 工作表1!$C:$V,1,) &gt; 0,AG17,"ERROR"))</f>
        <v>#VALUE!</v>
      </c>
      <c r="BR17" s="188" t="e">
        <f>IF(AH17=".",AH17,IF(VLOOKUP($AM17&amp;AH$1+AH12&amp;AH17, 工作表1!$C:$V,1,) &gt; 0,AH17,"ERROR"))</f>
        <v>#VALUE!</v>
      </c>
      <c r="BS17" s="188" t="e">
        <f>IF(#REF!=".",#REF!,IF(VLOOKUP($AM17&amp;#REF!+#REF!&amp;#REF!, 工作表1!$C:$V,1,) &gt; 0,#REF!,"ERROR"))</f>
        <v>#REF!</v>
      </c>
      <c r="BT17" s="188" t="e">
        <f>IF(#REF!=".",#REF!,IF(VLOOKUP($AM17&amp;#REF!+#REF!&amp;#REF!, 工作表1!$C:$V,1,) &gt; 0,#REF!,"ERROR"))</f>
        <v>#REF!</v>
      </c>
    </row>
    <row r="18" spans="2:72">
      <c r="B18" t="e" cm="1" vm="1">
        <f t="array" ref="B18">_xlfn.LET(
    _xlpm.data, D18:AH18,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C18" s="180"/>
      <c r="D18" s="186" t="str" cm="1">
        <f t="array" ref="D18">_xlfn.LET(
   _xlpm.data, 表格3_5[[Date]:[Location]],
   _xlpm.date_col, INDEX(_xlpm.data, , 1),
   _xlpm.name_col, INDEX(_xlpm.data, , 2),
   _xlpm.loc_col,  INDEX(_xlpm.data, , 3),
   _xlpm.target_date, DATE(YEAR($C$1), MONTH($C$1), D$7),
   _xlpm.filtered, _xlfn._xlws.FILTER(_xlpm.name_col, (_xlpm.date_col = _xlpm.target_date) * (_xlpm.loc_col =$C18), ""),
   IF(_xlpm.filtered="", "", _xlpm.filtered)
)</f>
        <v/>
      </c>
      <c r="E18" s="186" t="str" cm="1">
        <f t="array" ref="E18">_xlfn.LET(
   _xlpm.data, 表格3_5[[Date]:[Location]],
   _xlpm.date_col, INDEX(_xlpm.data, , 1),
   _xlpm.name_col, INDEX(_xlpm.data, , 2),
   _xlpm.loc_col,  INDEX(_xlpm.data, , 3),
   _xlpm.target_date, DATE(YEAR($C$1), MONTH($C$1), E$7),
   _xlpm.filtered, _xlfn._xlws.FILTER(_xlpm.name_col, (_xlpm.date_col = _xlpm.target_date) * (_xlpm.loc_col =$C18), ""),
   IF(_xlpm.filtered="", "", _xlpm.filtered)
)</f>
        <v/>
      </c>
      <c r="F18" s="186" t="str" cm="1">
        <f t="array" ref="F18">_xlfn.LET(
   _xlpm.data, 表格3_5[[Date]:[Location]],
   _xlpm.date_col, INDEX(_xlpm.data, , 1),
   _xlpm.name_col, INDEX(_xlpm.data, , 2),
   _xlpm.loc_col,  INDEX(_xlpm.data, , 3),
   _xlpm.target_date, DATE(YEAR($C$1), MONTH($C$1), F$7),
   _xlpm.filtered, _xlfn._xlws.FILTER(_xlpm.name_col, (_xlpm.date_col = _xlpm.target_date) * (_xlpm.loc_col =$C18), ""),
   IF(_xlpm.filtered="", "", _xlpm.filtered)
)</f>
        <v/>
      </c>
      <c r="G18" s="186" t="str" cm="1">
        <f t="array" ref="G18">_xlfn.LET(
   _xlpm.data, 表格3_5[[Date]:[Location]],
   _xlpm.date_col, INDEX(_xlpm.data, , 1),
   _xlpm.name_col, INDEX(_xlpm.data, , 2),
   _xlpm.loc_col,  INDEX(_xlpm.data, , 3),
   _xlpm.target_date, DATE(YEAR($C$1), MONTH($C$1), G$7),
   _xlpm.filtered, _xlfn._xlws.FILTER(_xlpm.name_col, (_xlpm.date_col = _xlpm.target_date) * (_xlpm.loc_col =$C18), ""),
   IF(_xlpm.filtered="", "", _xlpm.filtered)
)</f>
        <v/>
      </c>
      <c r="H18" s="186" t="str" cm="1">
        <f t="array" ref="H18">_xlfn.LET(
   _xlpm.data, 表格3_5[[Date]:[Location]],
   _xlpm.date_col, INDEX(_xlpm.data, , 1),
   _xlpm.name_col, INDEX(_xlpm.data, , 2),
   _xlpm.loc_col,  INDEX(_xlpm.data, , 3),
   _xlpm.target_date, DATE(YEAR($C$1), MONTH($C$1), H$7),
   _xlpm.filtered, _xlfn._xlws.FILTER(_xlpm.name_col, (_xlpm.date_col = _xlpm.target_date) * (_xlpm.loc_col =$C18), ""),
   IF(_xlpm.filtered="", "", _xlpm.filtered)
)</f>
        <v/>
      </c>
      <c r="I18" s="186" t="str" cm="1">
        <f t="array" ref="I18">_xlfn.LET(
   _xlpm.data, 表格3_5[[Date]:[Location]],
   _xlpm.date_col, INDEX(_xlpm.data, , 1),
   _xlpm.name_col, INDEX(_xlpm.data, , 2),
   _xlpm.loc_col,  INDEX(_xlpm.data, , 3),
   _xlpm.target_date, DATE(YEAR($C$1), MONTH($C$1), I$7),
   _xlpm.filtered, _xlfn._xlws.FILTER(_xlpm.name_col, (_xlpm.date_col = _xlpm.target_date) * (_xlpm.loc_col =$C18), ""),
   IF(_xlpm.filtered="", "", _xlpm.filtered)
)</f>
        <v/>
      </c>
      <c r="J18" s="186" t="str" cm="1">
        <f t="array" ref="J18">_xlfn.LET(
   _xlpm.data, 表格3_5[[Date]:[Location]],
   _xlpm.date_col, INDEX(_xlpm.data, , 1),
   _xlpm.name_col, INDEX(_xlpm.data, , 2),
   _xlpm.loc_col,  INDEX(_xlpm.data, , 3),
   _xlpm.target_date, DATE(YEAR($C$1), MONTH($C$1), J$7),
   _xlpm.filtered, _xlfn._xlws.FILTER(_xlpm.name_col, (_xlpm.date_col = _xlpm.target_date) * (_xlpm.loc_col =$C18), ""),
   IF(_xlpm.filtered="", "", _xlpm.filtered)
)</f>
        <v/>
      </c>
      <c r="K18" s="186" t="str" cm="1">
        <f t="array" ref="K18">_xlfn.LET(
   _xlpm.data, 表格3_5[[Date]:[Location]],
   _xlpm.date_col, INDEX(_xlpm.data, , 1),
   _xlpm.name_col, INDEX(_xlpm.data, , 2),
   _xlpm.loc_col,  INDEX(_xlpm.data, , 3),
   _xlpm.target_date, DATE(YEAR($C$1), MONTH($C$1), K$7),
   _xlpm.filtered, _xlfn._xlws.FILTER(_xlpm.name_col, (_xlpm.date_col = _xlpm.target_date) * (_xlpm.loc_col =$C18), ""),
   IF(_xlpm.filtered="", "", _xlpm.filtered)
)</f>
        <v/>
      </c>
      <c r="L18" s="186" t="str" cm="1">
        <f t="array" ref="L18">_xlfn.LET(
   _xlpm.data, 表格3_5[[Date]:[Location]],
   _xlpm.date_col, INDEX(_xlpm.data, , 1),
   _xlpm.name_col, INDEX(_xlpm.data, , 2),
   _xlpm.loc_col,  INDEX(_xlpm.data, , 3),
   _xlpm.target_date, DATE(YEAR($C$1), MONTH($C$1), L$7),
   _xlpm.filtered, _xlfn._xlws.FILTER(_xlpm.name_col, (_xlpm.date_col = _xlpm.target_date) * (_xlpm.loc_col =$C18), ""),
   IF(_xlpm.filtered="", "", _xlpm.filtered)
)</f>
        <v/>
      </c>
      <c r="M18" s="186" t="str" cm="1">
        <f t="array" ref="M18">_xlfn.LET(
   _xlpm.data, 表格3_5[[Date]:[Location]],
   _xlpm.date_col, INDEX(_xlpm.data, , 1),
   _xlpm.name_col, INDEX(_xlpm.data, , 2),
   _xlpm.loc_col,  INDEX(_xlpm.data, , 3),
   _xlpm.target_date, DATE(YEAR($C$1), MONTH($C$1), M$7),
   _xlpm.filtered, _xlfn._xlws.FILTER(_xlpm.name_col, (_xlpm.date_col = _xlpm.target_date) * (_xlpm.loc_col =$C18), ""),
   IF(_xlpm.filtered="", "", _xlpm.filtered)
)</f>
        <v/>
      </c>
      <c r="N18" s="186" t="str" cm="1">
        <f t="array" ref="N18">_xlfn.LET(
   _xlpm.data, 表格3_5[[Date]:[Location]],
   _xlpm.date_col, INDEX(_xlpm.data, , 1),
   _xlpm.name_col, INDEX(_xlpm.data, , 2),
   _xlpm.loc_col,  INDEX(_xlpm.data, , 3),
   _xlpm.target_date, DATE(YEAR($C$1), MONTH($C$1), N$7),
   _xlpm.filtered, _xlfn._xlws.FILTER(_xlpm.name_col, (_xlpm.date_col = _xlpm.target_date) * (_xlpm.loc_col =$C18), ""),
   IF(_xlpm.filtered="", "", _xlpm.filtered)
)</f>
        <v/>
      </c>
      <c r="O18" s="186" t="str" cm="1">
        <f t="array" ref="O18">_xlfn.LET(
   _xlpm.data, 表格3_5[[Date]:[Location]],
   _xlpm.date_col, INDEX(_xlpm.data, , 1),
   _xlpm.name_col, INDEX(_xlpm.data, , 2),
   _xlpm.loc_col,  INDEX(_xlpm.data, , 3),
   _xlpm.target_date, DATE(YEAR($C$1), MONTH($C$1), O$7),
   _xlpm.filtered, _xlfn._xlws.FILTER(_xlpm.name_col, (_xlpm.date_col = _xlpm.target_date) * (_xlpm.loc_col =$C18), ""),
   IF(_xlpm.filtered="", "", _xlpm.filtered)
)</f>
        <v/>
      </c>
      <c r="P18" s="186" t="str" cm="1">
        <f t="array" ref="P18">_xlfn.LET(
   _xlpm.data, 表格3_5[[Date]:[Location]],
   _xlpm.date_col, INDEX(_xlpm.data, , 1),
   _xlpm.name_col, INDEX(_xlpm.data, , 2),
   _xlpm.loc_col,  INDEX(_xlpm.data, , 3),
   _xlpm.target_date, DATE(YEAR($C$1), MONTH($C$1), P$7),
   _xlpm.filtered, _xlfn._xlws.FILTER(_xlpm.name_col, (_xlpm.date_col = _xlpm.target_date) * (_xlpm.loc_col =$C18), ""),
   IF(_xlpm.filtered="", "", _xlpm.filtered)
)</f>
        <v/>
      </c>
      <c r="Q18" s="186" t="str" cm="1">
        <f t="array" ref="Q18">_xlfn.LET(
   _xlpm.data, 表格3_5[[Date]:[Location]],
   _xlpm.date_col, INDEX(_xlpm.data, , 1),
   _xlpm.name_col, INDEX(_xlpm.data, , 2),
   _xlpm.loc_col,  INDEX(_xlpm.data, , 3),
   _xlpm.target_date, DATE(YEAR($C$1), MONTH($C$1), Q$7),
   _xlpm.filtered, _xlfn._xlws.FILTER(_xlpm.name_col, (_xlpm.date_col = _xlpm.target_date) * (_xlpm.loc_col =$C18), ""),
   IF(_xlpm.filtered="", "", _xlpm.filtered)
)</f>
        <v/>
      </c>
      <c r="R18" s="186" t="str" cm="1">
        <f t="array" ref="R18">_xlfn.LET(
   _xlpm.data, 表格3_5[[Date]:[Location]],
   _xlpm.date_col, INDEX(_xlpm.data, , 1),
   _xlpm.name_col, INDEX(_xlpm.data, , 2),
   _xlpm.loc_col,  INDEX(_xlpm.data, , 3),
   _xlpm.target_date, DATE(YEAR($C$1), MONTH($C$1), R$7),
   _xlpm.filtered, _xlfn._xlws.FILTER(_xlpm.name_col, (_xlpm.date_col = _xlpm.target_date) * (_xlpm.loc_col =$C18), ""),
   IF(_xlpm.filtered="", "", _xlpm.filtered)
)</f>
        <v/>
      </c>
      <c r="S18" s="186" t="str" cm="1">
        <f t="array" ref="S18">_xlfn.LET(
   _xlpm.data, 表格3_5[[Date]:[Location]],
   _xlpm.date_col, INDEX(_xlpm.data, , 1),
   _xlpm.name_col, INDEX(_xlpm.data, , 2),
   _xlpm.loc_col,  INDEX(_xlpm.data, , 3),
   _xlpm.target_date, DATE(YEAR($C$1), MONTH($C$1), S$7),
   _xlpm.filtered, _xlfn._xlws.FILTER(_xlpm.name_col, (_xlpm.date_col = _xlpm.target_date) * (_xlpm.loc_col =$C18), ""),
   IF(_xlpm.filtered="", "", _xlpm.filtered)
)</f>
        <v/>
      </c>
      <c r="T18" s="186" t="str" cm="1">
        <f t="array" ref="T18">_xlfn.LET(
   _xlpm.data, 表格3_5[[Date]:[Location]],
   _xlpm.date_col, INDEX(_xlpm.data, , 1),
   _xlpm.name_col, INDEX(_xlpm.data, , 2),
   _xlpm.loc_col,  INDEX(_xlpm.data, , 3),
   _xlpm.target_date, DATE(YEAR($C$1), MONTH($C$1), T$7),
   _xlpm.filtered, _xlfn._xlws.FILTER(_xlpm.name_col, (_xlpm.date_col = _xlpm.target_date) * (_xlpm.loc_col =$C18), ""),
   IF(_xlpm.filtered="", "", _xlpm.filtered)
)</f>
        <v/>
      </c>
      <c r="U18" s="186" t="str" cm="1">
        <f t="array" ref="U18">_xlfn.LET(
   _xlpm.data, 表格3_5[[Date]:[Location]],
   _xlpm.date_col, INDEX(_xlpm.data, , 1),
   _xlpm.name_col, INDEX(_xlpm.data, , 2),
   _xlpm.loc_col,  INDEX(_xlpm.data, , 3),
   _xlpm.target_date, DATE(YEAR($C$1), MONTH($C$1), U$7),
   _xlpm.filtered, _xlfn._xlws.FILTER(_xlpm.name_col, (_xlpm.date_col = _xlpm.target_date) * (_xlpm.loc_col =$C18), ""),
   IF(_xlpm.filtered="", "", _xlpm.filtered)
)</f>
        <v/>
      </c>
      <c r="V18" s="186" t="str" cm="1">
        <f t="array" ref="V18">_xlfn.LET(
   _xlpm.data, 表格3_5[[Date]:[Location]],
   _xlpm.date_col, INDEX(_xlpm.data, , 1),
   _xlpm.name_col, INDEX(_xlpm.data, , 2),
   _xlpm.loc_col,  INDEX(_xlpm.data, , 3),
   _xlpm.target_date, DATE(YEAR($C$1), MONTH($C$1), V$7),
   _xlpm.filtered, _xlfn._xlws.FILTER(_xlpm.name_col, (_xlpm.date_col = _xlpm.target_date) * (_xlpm.loc_col =$C18), ""),
   IF(_xlpm.filtered="", "", _xlpm.filtered)
)</f>
        <v/>
      </c>
      <c r="W18" s="186" t="str" cm="1">
        <f t="array" ref="W18">_xlfn.LET(
   _xlpm.data, 表格3_5[[Date]:[Location]],
   _xlpm.date_col, INDEX(_xlpm.data, , 1),
   _xlpm.name_col, INDEX(_xlpm.data, , 2),
   _xlpm.loc_col,  INDEX(_xlpm.data, , 3),
   _xlpm.target_date, DATE(YEAR($C$1), MONTH($C$1), W$7),
   _xlpm.filtered, _xlfn._xlws.FILTER(_xlpm.name_col, (_xlpm.date_col = _xlpm.target_date) * (_xlpm.loc_col =$C18), ""),
   IF(_xlpm.filtered="", "", _xlpm.filtered)
)</f>
        <v/>
      </c>
      <c r="X18" s="186" t="str" cm="1">
        <f t="array" ref="X18">_xlfn.LET(
   _xlpm.data, 表格3_5[[Date]:[Location]],
   _xlpm.date_col, INDEX(_xlpm.data, , 1),
   _xlpm.name_col, INDEX(_xlpm.data, , 2),
   _xlpm.loc_col,  INDEX(_xlpm.data, , 3),
   _xlpm.target_date, DATE(YEAR($C$1), MONTH($C$1), X$7),
   _xlpm.filtered, _xlfn._xlws.FILTER(_xlpm.name_col, (_xlpm.date_col = _xlpm.target_date) * (_xlpm.loc_col =$C18), ""),
   IF(_xlpm.filtered="", "", _xlpm.filtered)
)</f>
        <v/>
      </c>
      <c r="Y18" s="186" t="str" cm="1">
        <f t="array" ref="Y18">_xlfn.LET(
   _xlpm.data, 表格3_5[[Date]:[Location]],
   _xlpm.date_col, INDEX(_xlpm.data, , 1),
   _xlpm.name_col, INDEX(_xlpm.data, , 2),
   _xlpm.loc_col,  INDEX(_xlpm.data, , 3),
   _xlpm.target_date, DATE(YEAR($C$1), MONTH($C$1), Y$7),
   _xlpm.filtered, _xlfn._xlws.FILTER(_xlpm.name_col, (_xlpm.date_col = _xlpm.target_date) * (_xlpm.loc_col =$C18), ""),
   IF(_xlpm.filtered="", "", _xlpm.filtered)
)</f>
        <v/>
      </c>
      <c r="Z18" s="186" t="str" cm="1">
        <f t="array" ref="Z18">_xlfn.LET(
   _xlpm.data, 表格3_5[[Date]:[Location]],
   _xlpm.date_col, INDEX(_xlpm.data, , 1),
   _xlpm.name_col, INDEX(_xlpm.data, , 2),
   _xlpm.loc_col,  INDEX(_xlpm.data, , 3),
   _xlpm.target_date, DATE(YEAR($C$1), MONTH($C$1), Z$7),
   _xlpm.filtered, _xlfn._xlws.FILTER(_xlpm.name_col, (_xlpm.date_col = _xlpm.target_date) * (_xlpm.loc_col =$C18), ""),
   IF(_xlpm.filtered="", "", _xlpm.filtered)
)</f>
        <v/>
      </c>
      <c r="AA18" s="186" t="str" cm="1">
        <f t="array" ref="AA18">_xlfn.LET(
   _xlpm.data, 表格3_5[[Date]:[Location]],
   _xlpm.date_col, INDEX(_xlpm.data, , 1),
   _xlpm.name_col, INDEX(_xlpm.data, , 2),
   _xlpm.loc_col,  INDEX(_xlpm.data, , 3),
   _xlpm.target_date, DATE(YEAR($C$1), MONTH($C$1), AA$7),
   _xlpm.filtered, _xlfn._xlws.FILTER(_xlpm.name_col, (_xlpm.date_col = _xlpm.target_date) * (_xlpm.loc_col =$C18), ""),
   IF(_xlpm.filtered="", "", _xlpm.filtered)
)</f>
        <v/>
      </c>
      <c r="AB18" s="186" t="str" cm="1">
        <f t="array" ref="AB18">_xlfn.LET(
   _xlpm.data, 表格3_5[[Date]:[Location]],
   _xlpm.date_col, INDEX(_xlpm.data, , 1),
   _xlpm.name_col, INDEX(_xlpm.data, , 2),
   _xlpm.loc_col,  INDEX(_xlpm.data, , 3),
   _xlpm.target_date, DATE(YEAR($C$1), MONTH($C$1), AB$7),
   _xlpm.filtered, _xlfn._xlws.FILTER(_xlpm.name_col, (_xlpm.date_col = _xlpm.target_date) * (_xlpm.loc_col =$C18), ""),
   IF(_xlpm.filtered="", "", _xlpm.filtered)
)</f>
        <v/>
      </c>
      <c r="AC18" s="186" t="str" cm="1">
        <f t="array" ref="AC18">_xlfn.LET(
   _xlpm.data, 表格3_5[[Date]:[Location]],
   _xlpm.date_col, INDEX(_xlpm.data, , 1),
   _xlpm.name_col, INDEX(_xlpm.data, , 2),
   _xlpm.loc_col,  INDEX(_xlpm.data, , 3),
   _xlpm.target_date, DATE(YEAR($C$1), MONTH($C$1), AC$7),
   _xlpm.filtered, _xlfn._xlws.FILTER(_xlpm.name_col, (_xlpm.date_col = _xlpm.target_date) * (_xlpm.loc_col =$C18), ""),
   IF(_xlpm.filtered="", "", _xlpm.filtered)
)</f>
        <v/>
      </c>
      <c r="AD18" s="186" t="str" cm="1">
        <f t="array" ref="AD18">_xlfn.LET(
   _xlpm.data, 表格3_5[[Date]:[Location]],
   _xlpm.date_col, INDEX(_xlpm.data, , 1),
   _xlpm.name_col, INDEX(_xlpm.data, , 2),
   _xlpm.loc_col,  INDEX(_xlpm.data, , 3),
   _xlpm.target_date, DATE(YEAR($C$1), MONTH($C$1), AD$7),
   _xlpm.filtered, _xlfn._xlws.FILTER(_xlpm.name_col, (_xlpm.date_col = _xlpm.target_date) * (_xlpm.loc_col =$C18), ""),
   IF(_xlpm.filtered="", "", _xlpm.filtered)
)</f>
        <v/>
      </c>
      <c r="AE18" s="186" t="str" cm="1">
        <f t="array" ref="AE18">_xlfn.LET(
   _xlpm.data, 表格3_5[[Date]:[Location]],
   _xlpm.date_col, INDEX(_xlpm.data, , 1),
   _xlpm.name_col, INDEX(_xlpm.data, , 2),
   _xlpm.loc_col,  INDEX(_xlpm.data, , 3),
   _xlpm.target_date, DATE(YEAR($C$1), MONTH($C$1), AE$7),
   _xlpm.filtered, _xlfn._xlws.FILTER(_xlpm.name_col, (_xlpm.date_col = _xlpm.target_date) * (_xlpm.loc_col =$C18), ""),
   IF(_xlpm.filtered="", "", _xlpm.filtered)
)</f>
        <v/>
      </c>
      <c r="AF18" s="186" t="str" cm="1">
        <f t="array" ref="AF18">_xlfn.LET(
   _xlpm.data, 表格3_5[[Date]:[Location]],
   _xlpm.date_col, INDEX(_xlpm.data, , 1),
   _xlpm.name_col, INDEX(_xlpm.data, , 2),
   _xlpm.loc_col,  INDEX(_xlpm.data, , 3),
   _xlpm.target_date, DATE(YEAR($C$1), MONTH($C$1), AF$7),
   _xlpm.filtered, _xlfn._xlws.FILTER(_xlpm.name_col, (_xlpm.date_col = _xlpm.target_date) * (_xlpm.loc_col =$C18), ""),
   IF(_xlpm.filtered="", "", _xlpm.filtered)
)</f>
        <v/>
      </c>
      <c r="AG18" s="186" t="str" cm="1">
        <f t="array" ref="AG18">_xlfn.LET(
   _xlpm.data, 表格3_5[[Date]:[Location]],
   _xlpm.date_col, INDEX(_xlpm.data, , 1),
   _xlpm.name_col, INDEX(_xlpm.data, , 2),
   _xlpm.loc_col,  INDEX(_xlpm.data, , 3),
   _xlpm.target_date, DATE(YEAR($C$1), MONTH($C$1), AG$7),
   _xlpm.filtered, _xlfn._xlws.FILTER(_xlpm.name_col, (_xlpm.date_col = _xlpm.target_date) * (_xlpm.loc_col =$C18), ""),
   IF(_xlpm.filtered="", "", _xlpm.filtered)
)</f>
        <v/>
      </c>
      <c r="AH18" s="186" t="str" cm="1">
        <f t="array" ref="AH18">_xlfn.LET(
   _xlpm.data, 表格3_5[[Date]:[Location]],
   _xlpm.date_col, INDEX(_xlpm.data, , 1),
   _xlpm.name_col, INDEX(_xlpm.data, , 2),
   _xlpm.loc_col,  INDEX(_xlpm.data, , 3),
   _xlpm.target_date, DATE(YEAR($C$1), MONTH($C$1), AH$7),
   _xlpm.filtered, _xlfn._xlws.FILTER(_xlpm.name_col, (_xlpm.date_col = _xlpm.target_date) * (_xlpm.loc_col =$C18), ""),
   IF(_xlpm.filtered="", "", _xlpm.filtered)
)</f>
        <v/>
      </c>
      <c r="AI18" s="187">
        <f t="shared" si="33"/>
        <v>0</v>
      </c>
      <c r="AJ18" s="187">
        <f t="shared" si="34"/>
        <v>0</v>
      </c>
      <c r="AK18" s="177"/>
      <c r="AM18" s="181">
        <f t="shared" si="35"/>
        <v>0</v>
      </c>
      <c r="AN18" s="188" t="e">
        <f>IF(D18=".",D18,IF(VLOOKUP($AM18&amp;D$1+D13&amp;D18, 工作表1!$C:$V,1,) &gt; 0,D18,"ERROR"))</f>
        <v>#VALUE!</v>
      </c>
      <c r="AO18" s="188" t="e">
        <f>IF(E18=".",E18,IF(VLOOKUP($AM18&amp;E$1+E13&amp;E18, 工作表1!$C:$V,1,) &gt; 0,E18,"ERROR"))</f>
        <v>#VALUE!</v>
      </c>
      <c r="AP18" s="188" t="e">
        <f>IF(F18=".",F18,IF(VLOOKUP($AM18&amp;F$1+F13&amp;F18, 工作表1!$C:$V,1,) &gt; 0,F18,"ERROR"))</f>
        <v>#VALUE!</v>
      </c>
      <c r="AQ18" s="188" t="e">
        <f>IF(G18=".",G18,IF(VLOOKUP($AM18&amp;G$1+G13&amp;G18, 工作表1!$C:$V,1,) &gt; 0,G18,"ERROR"))</f>
        <v>#VALUE!</v>
      </c>
      <c r="AR18" s="188" t="e">
        <f>IF(H18=".",H18,IF(VLOOKUP($AM18&amp;H$1+H13&amp;H18, 工作表1!$C:$V,1,) &gt; 0,H18,"ERROR"))</f>
        <v>#VALUE!</v>
      </c>
      <c r="AS18" s="188" t="e">
        <f>IF(I18=".",I18,IF(VLOOKUP($AM18&amp;I$1+I13&amp;I18, 工作表1!$C:$V,1,) &gt; 0,I18,"ERROR"))</f>
        <v>#VALUE!</v>
      </c>
      <c r="AT18" s="188" t="e">
        <f>IF(J18=".",J18,IF(VLOOKUP($AM18&amp;J$1+J13&amp;J18, 工作表1!$C:$V,1,) &gt; 0,J18,"ERROR"))</f>
        <v>#VALUE!</v>
      </c>
      <c r="AU18" s="188" t="e">
        <f>IF(K18=".",K18,IF(VLOOKUP($AM18&amp;K$1+K13&amp;K18, 工作表1!$C:$V,1,) &gt; 0,K18,"ERROR"))</f>
        <v>#VALUE!</v>
      </c>
      <c r="AV18" s="188" t="e">
        <f>IF(L18=".",L18,IF(VLOOKUP($AM18&amp;L$1+L13&amp;L18, 工作表1!$C:$V,1,) &gt; 0,L18,"ERROR"))</f>
        <v>#VALUE!</v>
      </c>
      <c r="AW18" s="188" t="e">
        <f>IF(M18=".",M18,IF(VLOOKUP($AM18&amp;M$1+M13&amp;M18, 工作表1!$C:$V,1,) &gt; 0,M18,"ERROR"))</f>
        <v>#VALUE!</v>
      </c>
      <c r="AX18" s="188" t="e">
        <f>IF(N18=".",N18,IF(VLOOKUP($AM18&amp;N$1+N13&amp;N18, 工作表1!$C:$V,1,) &gt; 0,N18,"ERROR"))</f>
        <v>#VALUE!</v>
      </c>
      <c r="AY18" s="188" t="e">
        <f>IF(O18=".",O18,IF(VLOOKUP($AM18&amp;O$1+O13&amp;O18, 工作表1!$C:$V,1,) &gt; 0,O18,"ERROR"))</f>
        <v>#VALUE!</v>
      </c>
      <c r="AZ18" s="188" t="e">
        <f>IF(P18=".",P18,IF(VLOOKUP($AM18&amp;P$1+P13&amp;P18, 工作表1!$C:$V,1,) &gt; 0,P18,"ERROR"))</f>
        <v>#VALUE!</v>
      </c>
      <c r="BA18" s="188" t="e">
        <f>IF(Q18=".",Q18,IF(VLOOKUP($AM18&amp;Q$1+Q13&amp;Q18, 工作表1!$C:$V,1,) &gt; 0,Q18,"ERROR"))</f>
        <v>#VALUE!</v>
      </c>
      <c r="BB18" s="188" t="e">
        <f>IF(R18=".",R18,IF(VLOOKUP($AM18&amp;R$1+R13&amp;R18, 工作表1!$C:$V,1,) &gt; 0,R18,"ERROR"))</f>
        <v>#VALUE!</v>
      </c>
      <c r="BC18" s="188" t="e">
        <f>IF(S18=".",S18,IF(VLOOKUP($AM18&amp;S$1+S13&amp;S18, 工作表1!$C:$V,1,) &gt; 0,S18,"ERROR"))</f>
        <v>#VALUE!</v>
      </c>
      <c r="BD18" s="188" t="e">
        <f>IF(T18=".",T18,IF(VLOOKUP($AM18&amp;T$1+T13&amp;T18, 工作表1!$C:$V,1,) &gt; 0,T18,"ERROR"))</f>
        <v>#VALUE!</v>
      </c>
      <c r="BE18" s="188" t="e">
        <f>IF(U18=".",U18,IF(VLOOKUP($AM18&amp;U$1+U13&amp;U18, 工作表1!$C:$V,1,) &gt; 0,U18,"ERROR"))</f>
        <v>#VALUE!</v>
      </c>
      <c r="BF18" s="188" t="e">
        <f>IF(V18=".",V18,IF(VLOOKUP($AM18&amp;V$1+V13&amp;V18, 工作表1!$C:$V,1,) &gt; 0,V18,"ERROR"))</f>
        <v>#VALUE!</v>
      </c>
      <c r="BG18" s="188" t="e">
        <f>IF(W18=".",W18,IF(VLOOKUP($AM18&amp;W$1+W13&amp;W18, 工作表1!$C:$V,1,) &gt; 0,W18,"ERROR"))</f>
        <v>#VALUE!</v>
      </c>
      <c r="BH18" s="188" t="e">
        <f>IF(X18=".",X18,IF(VLOOKUP($AM18&amp;X$1+X13&amp;X18, 工作表1!$C:$V,1,) &gt; 0,X18,"ERROR"))</f>
        <v>#VALUE!</v>
      </c>
      <c r="BI18" s="188" t="e">
        <f>IF(Y18=".",Y18,IF(VLOOKUP($AM18&amp;Y$1+Y13&amp;Y18, 工作表1!$C:$V,1,) &gt; 0,Y18,"ERROR"))</f>
        <v>#VALUE!</v>
      </c>
      <c r="BJ18" s="188" t="e">
        <f>IF(Z18=".",Z18,IF(VLOOKUP($AM18&amp;Z$1+Z13&amp;Z18, 工作表1!$C:$V,1,) &gt; 0,Z18,"ERROR"))</f>
        <v>#VALUE!</v>
      </c>
      <c r="BK18" s="188" t="e">
        <f>IF(AA18=".",AA18,IF(VLOOKUP($AM18&amp;AA$1+AA13&amp;AA18, 工作表1!$C:$V,1,) &gt; 0,AA18,"ERROR"))</f>
        <v>#VALUE!</v>
      </c>
      <c r="BL18" s="188" t="e">
        <f>IF(AB18=".",AB18,IF(VLOOKUP($AM18&amp;AB$1+AB13&amp;AB18, 工作表1!$C:$V,1,) &gt; 0,AB18,"ERROR"))</f>
        <v>#VALUE!</v>
      </c>
      <c r="BM18" s="188" t="e">
        <f>IF(AC18=".",AC18,IF(VLOOKUP($AM18&amp;AC$1+AC13&amp;AC18, 工作表1!$C:$V,1,) &gt; 0,AC18,"ERROR"))</f>
        <v>#VALUE!</v>
      </c>
      <c r="BN18" s="188" t="e">
        <f>IF(AD18=".",AD18,IF(VLOOKUP($AM18&amp;AD$1+AD13&amp;AD18, 工作表1!$C:$V,1,) &gt; 0,AD18,"ERROR"))</f>
        <v>#VALUE!</v>
      </c>
      <c r="BO18" s="188" t="e">
        <f>IF(AE18=".",AE18,IF(VLOOKUP($AM18&amp;AE$1+AE13&amp;AE18, 工作表1!$C:$V,1,) &gt; 0,AE18,"ERROR"))</f>
        <v>#VALUE!</v>
      </c>
      <c r="BP18" s="188" t="e">
        <f>IF(AF18=".",AF18,IF(VLOOKUP($AM18&amp;AF$1+AF13&amp;AF18, 工作表1!$C:$V,1,) &gt; 0,AF18,"ERROR"))</f>
        <v>#VALUE!</v>
      </c>
      <c r="BQ18" s="188" t="e">
        <f>IF(AG18=".",AG18,IF(VLOOKUP($AM18&amp;AG$1+AG13&amp;AG18, 工作表1!$C:$V,1,) &gt; 0,AG18,"ERROR"))</f>
        <v>#VALUE!</v>
      </c>
      <c r="BR18" s="188" t="e">
        <f>IF(AH18=".",AH18,IF(VLOOKUP($AM18&amp;AH$1+AH13&amp;AH18, 工作表1!$C:$V,1,) &gt; 0,AH18,"ERROR"))</f>
        <v>#VALUE!</v>
      </c>
      <c r="BS18" s="188" t="e">
        <f>IF(#REF!=".",#REF!,IF(VLOOKUP($AM18&amp;#REF!+#REF!&amp;#REF!, 工作表1!$C:$V,1,) &gt; 0,#REF!,"ERROR"))</f>
        <v>#REF!</v>
      </c>
      <c r="BT18" s="188" t="e">
        <f>IF(#REF!=".",#REF!,IF(VLOOKUP($AM18&amp;#REF!+#REF!&amp;#REF!, 工作表1!$C:$V,1,) &gt; 0,#REF!,"ERROR"))</f>
        <v>#REF!</v>
      </c>
    </row>
    <row r="19" spans="2:72">
      <c r="B19" t="e" cm="1" vm="1">
        <f t="array" ref="B19">_xlfn.LET(
    _xlpm.data, D19:AH19,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C19" s="180"/>
      <c r="D19" s="186" t="str" cm="1">
        <f t="array" ref="D19">_xlfn.LET(
   _xlpm.data, 表格3_5[[Date]:[Location]],
   _xlpm.date_col, INDEX(_xlpm.data, , 1),
   _xlpm.name_col, INDEX(_xlpm.data, , 2),
   _xlpm.loc_col,  INDEX(_xlpm.data, , 3),
   _xlpm.target_date, DATE(YEAR($C$1), MONTH($C$1), D$7),
   _xlpm.filtered, _xlfn._xlws.FILTER(_xlpm.name_col, (_xlpm.date_col = _xlpm.target_date) * (_xlpm.loc_col =$C19), ""),
   IF(_xlpm.filtered="", "", _xlpm.filtered)
)</f>
        <v/>
      </c>
      <c r="E19" s="186" t="str" cm="1">
        <f t="array" ref="E19">_xlfn.LET(
   _xlpm.data, 表格3_5[[Date]:[Location]],
   _xlpm.date_col, INDEX(_xlpm.data, , 1),
   _xlpm.name_col, INDEX(_xlpm.data, , 2),
   _xlpm.loc_col,  INDEX(_xlpm.data, , 3),
   _xlpm.target_date, DATE(YEAR($C$1), MONTH($C$1), E$7),
   _xlpm.filtered, _xlfn._xlws.FILTER(_xlpm.name_col, (_xlpm.date_col = _xlpm.target_date) * (_xlpm.loc_col =$C19), ""),
   IF(_xlpm.filtered="", "", _xlpm.filtered)
)</f>
        <v/>
      </c>
      <c r="F19" s="186" t="str" cm="1">
        <f t="array" ref="F19">_xlfn.LET(
   _xlpm.data, 表格3_5[[Date]:[Location]],
   _xlpm.date_col, INDEX(_xlpm.data, , 1),
   _xlpm.name_col, INDEX(_xlpm.data, , 2),
   _xlpm.loc_col,  INDEX(_xlpm.data, , 3),
   _xlpm.target_date, DATE(YEAR($C$1), MONTH($C$1), F$7),
   _xlpm.filtered, _xlfn._xlws.FILTER(_xlpm.name_col, (_xlpm.date_col = _xlpm.target_date) * (_xlpm.loc_col =$C19), ""),
   IF(_xlpm.filtered="", "", _xlpm.filtered)
)</f>
        <v/>
      </c>
      <c r="G19" s="186" t="str" cm="1">
        <f t="array" ref="G19">_xlfn.LET(
   _xlpm.data, 表格3_5[[Date]:[Location]],
   _xlpm.date_col, INDEX(_xlpm.data, , 1),
   _xlpm.name_col, INDEX(_xlpm.data, , 2),
   _xlpm.loc_col,  INDEX(_xlpm.data, , 3),
   _xlpm.target_date, DATE(YEAR($C$1), MONTH($C$1), G$7),
   _xlpm.filtered, _xlfn._xlws.FILTER(_xlpm.name_col, (_xlpm.date_col = _xlpm.target_date) * (_xlpm.loc_col =$C19), ""),
   IF(_xlpm.filtered="", "", _xlpm.filtered)
)</f>
        <v/>
      </c>
      <c r="H19" s="186" t="str" cm="1">
        <f t="array" ref="H19">_xlfn.LET(
   _xlpm.data, 表格3_5[[Date]:[Location]],
   _xlpm.date_col, INDEX(_xlpm.data, , 1),
   _xlpm.name_col, INDEX(_xlpm.data, , 2),
   _xlpm.loc_col,  INDEX(_xlpm.data, , 3),
   _xlpm.target_date, DATE(YEAR($C$1), MONTH($C$1), H$7),
   _xlpm.filtered, _xlfn._xlws.FILTER(_xlpm.name_col, (_xlpm.date_col = _xlpm.target_date) * (_xlpm.loc_col =$C19), ""),
   IF(_xlpm.filtered="", "", _xlpm.filtered)
)</f>
        <v/>
      </c>
      <c r="I19" s="186" t="str" cm="1">
        <f t="array" ref="I19">_xlfn.LET(
   _xlpm.data, 表格3_5[[Date]:[Location]],
   _xlpm.date_col, INDEX(_xlpm.data, , 1),
   _xlpm.name_col, INDEX(_xlpm.data, , 2),
   _xlpm.loc_col,  INDEX(_xlpm.data, , 3),
   _xlpm.target_date, DATE(YEAR($C$1), MONTH($C$1), I$7),
   _xlpm.filtered, _xlfn._xlws.FILTER(_xlpm.name_col, (_xlpm.date_col = _xlpm.target_date) * (_xlpm.loc_col =$C19), ""),
   IF(_xlpm.filtered="", "", _xlpm.filtered)
)</f>
        <v/>
      </c>
      <c r="J19" s="186" t="str" cm="1">
        <f t="array" ref="J19">_xlfn.LET(
   _xlpm.data, 表格3_5[[Date]:[Location]],
   _xlpm.date_col, INDEX(_xlpm.data, , 1),
   _xlpm.name_col, INDEX(_xlpm.data, , 2),
   _xlpm.loc_col,  INDEX(_xlpm.data, , 3),
   _xlpm.target_date, DATE(YEAR($C$1), MONTH($C$1), J$7),
   _xlpm.filtered, _xlfn._xlws.FILTER(_xlpm.name_col, (_xlpm.date_col = _xlpm.target_date) * (_xlpm.loc_col =$C19), ""),
   IF(_xlpm.filtered="", "", _xlpm.filtered)
)</f>
        <v/>
      </c>
      <c r="K19" s="186" t="str" cm="1">
        <f t="array" ref="K19">_xlfn.LET(
   _xlpm.data, 表格3_5[[Date]:[Location]],
   _xlpm.date_col, INDEX(_xlpm.data, , 1),
   _xlpm.name_col, INDEX(_xlpm.data, , 2),
   _xlpm.loc_col,  INDEX(_xlpm.data, , 3),
   _xlpm.target_date, DATE(YEAR($C$1), MONTH($C$1), K$7),
   _xlpm.filtered, _xlfn._xlws.FILTER(_xlpm.name_col, (_xlpm.date_col = _xlpm.target_date) * (_xlpm.loc_col =$C19), ""),
   IF(_xlpm.filtered="", "", _xlpm.filtered)
)</f>
        <v/>
      </c>
      <c r="L19" s="186" t="str" cm="1">
        <f t="array" ref="L19">_xlfn.LET(
   _xlpm.data, 表格3_5[[Date]:[Location]],
   _xlpm.date_col, INDEX(_xlpm.data, , 1),
   _xlpm.name_col, INDEX(_xlpm.data, , 2),
   _xlpm.loc_col,  INDEX(_xlpm.data, , 3),
   _xlpm.target_date, DATE(YEAR($C$1), MONTH($C$1), L$7),
   _xlpm.filtered, _xlfn._xlws.FILTER(_xlpm.name_col, (_xlpm.date_col = _xlpm.target_date) * (_xlpm.loc_col =$C19), ""),
   IF(_xlpm.filtered="", "", _xlpm.filtered)
)</f>
        <v/>
      </c>
      <c r="M19" s="186" t="str" cm="1">
        <f t="array" ref="M19">_xlfn.LET(
   _xlpm.data, 表格3_5[[Date]:[Location]],
   _xlpm.date_col, INDEX(_xlpm.data, , 1),
   _xlpm.name_col, INDEX(_xlpm.data, , 2),
   _xlpm.loc_col,  INDEX(_xlpm.data, , 3),
   _xlpm.target_date, DATE(YEAR($C$1), MONTH($C$1), M$7),
   _xlpm.filtered, _xlfn._xlws.FILTER(_xlpm.name_col, (_xlpm.date_col = _xlpm.target_date) * (_xlpm.loc_col =$C19), ""),
   IF(_xlpm.filtered="", "", _xlpm.filtered)
)</f>
        <v/>
      </c>
      <c r="N19" s="186" t="str" cm="1">
        <f t="array" ref="N19">_xlfn.LET(
   _xlpm.data, 表格3_5[[Date]:[Location]],
   _xlpm.date_col, INDEX(_xlpm.data, , 1),
   _xlpm.name_col, INDEX(_xlpm.data, , 2),
   _xlpm.loc_col,  INDEX(_xlpm.data, , 3),
   _xlpm.target_date, DATE(YEAR($C$1), MONTH($C$1), N$7),
   _xlpm.filtered, _xlfn._xlws.FILTER(_xlpm.name_col, (_xlpm.date_col = _xlpm.target_date) * (_xlpm.loc_col =$C19), ""),
   IF(_xlpm.filtered="", "", _xlpm.filtered)
)</f>
        <v/>
      </c>
      <c r="O19" s="186" t="str" cm="1">
        <f t="array" ref="O19">_xlfn.LET(
   _xlpm.data, 表格3_5[[Date]:[Location]],
   _xlpm.date_col, INDEX(_xlpm.data, , 1),
   _xlpm.name_col, INDEX(_xlpm.data, , 2),
   _xlpm.loc_col,  INDEX(_xlpm.data, , 3),
   _xlpm.target_date, DATE(YEAR($C$1), MONTH($C$1), O$7),
   _xlpm.filtered, _xlfn._xlws.FILTER(_xlpm.name_col, (_xlpm.date_col = _xlpm.target_date) * (_xlpm.loc_col =$C19), ""),
   IF(_xlpm.filtered="", "", _xlpm.filtered)
)</f>
        <v/>
      </c>
      <c r="P19" s="186" t="str" cm="1">
        <f t="array" ref="P19">_xlfn.LET(
   _xlpm.data, 表格3_5[[Date]:[Location]],
   _xlpm.date_col, INDEX(_xlpm.data, , 1),
   _xlpm.name_col, INDEX(_xlpm.data, , 2),
   _xlpm.loc_col,  INDEX(_xlpm.data, , 3),
   _xlpm.target_date, DATE(YEAR($C$1), MONTH($C$1), P$7),
   _xlpm.filtered, _xlfn._xlws.FILTER(_xlpm.name_col, (_xlpm.date_col = _xlpm.target_date) * (_xlpm.loc_col =$C19), ""),
   IF(_xlpm.filtered="", "", _xlpm.filtered)
)</f>
        <v/>
      </c>
      <c r="Q19" s="186" t="str" cm="1">
        <f t="array" ref="Q19">_xlfn.LET(
   _xlpm.data, 表格3_5[[Date]:[Location]],
   _xlpm.date_col, INDEX(_xlpm.data, , 1),
   _xlpm.name_col, INDEX(_xlpm.data, , 2),
   _xlpm.loc_col,  INDEX(_xlpm.data, , 3),
   _xlpm.target_date, DATE(YEAR($C$1), MONTH($C$1), Q$7),
   _xlpm.filtered, _xlfn._xlws.FILTER(_xlpm.name_col, (_xlpm.date_col = _xlpm.target_date) * (_xlpm.loc_col =$C19), ""),
   IF(_xlpm.filtered="", "", _xlpm.filtered)
)</f>
        <v/>
      </c>
      <c r="R19" s="186" t="str" cm="1">
        <f t="array" ref="R19">_xlfn.LET(
   _xlpm.data, 表格3_5[[Date]:[Location]],
   _xlpm.date_col, INDEX(_xlpm.data, , 1),
   _xlpm.name_col, INDEX(_xlpm.data, , 2),
   _xlpm.loc_col,  INDEX(_xlpm.data, , 3),
   _xlpm.target_date, DATE(YEAR($C$1), MONTH($C$1), R$7),
   _xlpm.filtered, _xlfn._xlws.FILTER(_xlpm.name_col, (_xlpm.date_col = _xlpm.target_date) * (_xlpm.loc_col =$C19), ""),
   IF(_xlpm.filtered="", "", _xlpm.filtered)
)</f>
        <v/>
      </c>
      <c r="S19" s="186" t="str" cm="1">
        <f t="array" ref="S19">_xlfn.LET(
   _xlpm.data, 表格3_5[[Date]:[Location]],
   _xlpm.date_col, INDEX(_xlpm.data, , 1),
   _xlpm.name_col, INDEX(_xlpm.data, , 2),
   _xlpm.loc_col,  INDEX(_xlpm.data, , 3),
   _xlpm.target_date, DATE(YEAR($C$1), MONTH($C$1), S$7),
   _xlpm.filtered, _xlfn._xlws.FILTER(_xlpm.name_col, (_xlpm.date_col = _xlpm.target_date) * (_xlpm.loc_col =$C19), ""),
   IF(_xlpm.filtered="", "", _xlpm.filtered)
)</f>
        <v/>
      </c>
      <c r="T19" s="186" t="str" cm="1">
        <f t="array" ref="T19">_xlfn.LET(
   _xlpm.data, 表格3_5[[Date]:[Location]],
   _xlpm.date_col, INDEX(_xlpm.data, , 1),
   _xlpm.name_col, INDEX(_xlpm.data, , 2),
   _xlpm.loc_col,  INDEX(_xlpm.data, , 3),
   _xlpm.target_date, DATE(YEAR($C$1), MONTH($C$1), T$7),
   _xlpm.filtered, _xlfn._xlws.FILTER(_xlpm.name_col, (_xlpm.date_col = _xlpm.target_date) * (_xlpm.loc_col =$C19), ""),
   IF(_xlpm.filtered="", "", _xlpm.filtered)
)</f>
        <v/>
      </c>
      <c r="U19" s="186" t="str" cm="1">
        <f t="array" ref="U19">_xlfn.LET(
   _xlpm.data, 表格3_5[[Date]:[Location]],
   _xlpm.date_col, INDEX(_xlpm.data, , 1),
   _xlpm.name_col, INDEX(_xlpm.data, , 2),
   _xlpm.loc_col,  INDEX(_xlpm.data, , 3),
   _xlpm.target_date, DATE(YEAR($C$1), MONTH($C$1), U$7),
   _xlpm.filtered, _xlfn._xlws.FILTER(_xlpm.name_col, (_xlpm.date_col = _xlpm.target_date) * (_xlpm.loc_col =$C19), ""),
   IF(_xlpm.filtered="", "", _xlpm.filtered)
)</f>
        <v/>
      </c>
      <c r="V19" s="186" t="str" cm="1">
        <f t="array" ref="V19">_xlfn.LET(
   _xlpm.data, 表格3_5[[Date]:[Location]],
   _xlpm.date_col, INDEX(_xlpm.data, , 1),
   _xlpm.name_col, INDEX(_xlpm.data, , 2),
   _xlpm.loc_col,  INDEX(_xlpm.data, , 3),
   _xlpm.target_date, DATE(YEAR($C$1), MONTH($C$1), V$7),
   _xlpm.filtered, _xlfn._xlws.FILTER(_xlpm.name_col, (_xlpm.date_col = _xlpm.target_date) * (_xlpm.loc_col =$C19), ""),
   IF(_xlpm.filtered="", "", _xlpm.filtered)
)</f>
        <v/>
      </c>
      <c r="W19" s="186" t="str" cm="1">
        <f t="array" ref="W19">_xlfn.LET(
   _xlpm.data, 表格3_5[[Date]:[Location]],
   _xlpm.date_col, INDEX(_xlpm.data, , 1),
   _xlpm.name_col, INDEX(_xlpm.data, , 2),
   _xlpm.loc_col,  INDEX(_xlpm.data, , 3),
   _xlpm.target_date, DATE(YEAR($C$1), MONTH($C$1), W$7),
   _xlpm.filtered, _xlfn._xlws.FILTER(_xlpm.name_col, (_xlpm.date_col = _xlpm.target_date) * (_xlpm.loc_col =$C19), ""),
   IF(_xlpm.filtered="", "", _xlpm.filtered)
)</f>
        <v/>
      </c>
      <c r="X19" s="186" t="str" cm="1">
        <f t="array" ref="X19">_xlfn.LET(
   _xlpm.data, 表格3_5[[Date]:[Location]],
   _xlpm.date_col, INDEX(_xlpm.data, , 1),
   _xlpm.name_col, INDEX(_xlpm.data, , 2),
   _xlpm.loc_col,  INDEX(_xlpm.data, , 3),
   _xlpm.target_date, DATE(YEAR($C$1), MONTH($C$1), X$7),
   _xlpm.filtered, _xlfn._xlws.FILTER(_xlpm.name_col, (_xlpm.date_col = _xlpm.target_date) * (_xlpm.loc_col =$C19), ""),
   IF(_xlpm.filtered="", "", _xlpm.filtered)
)</f>
        <v/>
      </c>
      <c r="Y19" s="186" t="str" cm="1">
        <f t="array" ref="Y19">_xlfn.LET(
   _xlpm.data, 表格3_5[[Date]:[Location]],
   _xlpm.date_col, INDEX(_xlpm.data, , 1),
   _xlpm.name_col, INDEX(_xlpm.data, , 2),
   _xlpm.loc_col,  INDEX(_xlpm.data, , 3),
   _xlpm.target_date, DATE(YEAR($C$1), MONTH($C$1), Y$7),
   _xlpm.filtered, _xlfn._xlws.FILTER(_xlpm.name_col, (_xlpm.date_col = _xlpm.target_date) * (_xlpm.loc_col =$C19), ""),
   IF(_xlpm.filtered="", "", _xlpm.filtered)
)</f>
        <v/>
      </c>
      <c r="Z19" s="186" t="str" cm="1">
        <f t="array" ref="Z19">_xlfn.LET(
   _xlpm.data, 表格3_5[[Date]:[Location]],
   _xlpm.date_col, INDEX(_xlpm.data, , 1),
   _xlpm.name_col, INDEX(_xlpm.data, , 2),
   _xlpm.loc_col,  INDEX(_xlpm.data, , 3),
   _xlpm.target_date, DATE(YEAR($C$1), MONTH($C$1), Z$7),
   _xlpm.filtered, _xlfn._xlws.FILTER(_xlpm.name_col, (_xlpm.date_col = _xlpm.target_date) * (_xlpm.loc_col =$C19), ""),
   IF(_xlpm.filtered="", "", _xlpm.filtered)
)</f>
        <v/>
      </c>
      <c r="AA19" s="186" t="str" cm="1">
        <f t="array" ref="AA19">_xlfn.LET(
   _xlpm.data, 表格3_5[[Date]:[Location]],
   _xlpm.date_col, INDEX(_xlpm.data, , 1),
   _xlpm.name_col, INDEX(_xlpm.data, , 2),
   _xlpm.loc_col,  INDEX(_xlpm.data, , 3),
   _xlpm.target_date, DATE(YEAR($C$1), MONTH($C$1), AA$7),
   _xlpm.filtered, _xlfn._xlws.FILTER(_xlpm.name_col, (_xlpm.date_col = _xlpm.target_date) * (_xlpm.loc_col =$C19), ""),
   IF(_xlpm.filtered="", "", _xlpm.filtered)
)</f>
        <v/>
      </c>
      <c r="AB19" s="186" t="str" cm="1">
        <f t="array" ref="AB19">_xlfn.LET(
   _xlpm.data, 表格3_5[[Date]:[Location]],
   _xlpm.date_col, INDEX(_xlpm.data, , 1),
   _xlpm.name_col, INDEX(_xlpm.data, , 2),
   _xlpm.loc_col,  INDEX(_xlpm.data, , 3),
   _xlpm.target_date, DATE(YEAR($C$1), MONTH($C$1), AB$7),
   _xlpm.filtered, _xlfn._xlws.FILTER(_xlpm.name_col, (_xlpm.date_col = _xlpm.target_date) * (_xlpm.loc_col =$C19), ""),
   IF(_xlpm.filtered="", "", _xlpm.filtered)
)</f>
        <v/>
      </c>
      <c r="AC19" s="186" t="str" cm="1">
        <f t="array" ref="AC19">_xlfn.LET(
   _xlpm.data, 表格3_5[[Date]:[Location]],
   _xlpm.date_col, INDEX(_xlpm.data, , 1),
   _xlpm.name_col, INDEX(_xlpm.data, , 2),
   _xlpm.loc_col,  INDEX(_xlpm.data, , 3),
   _xlpm.target_date, DATE(YEAR($C$1), MONTH($C$1), AC$7),
   _xlpm.filtered, _xlfn._xlws.FILTER(_xlpm.name_col, (_xlpm.date_col = _xlpm.target_date) * (_xlpm.loc_col =$C19), ""),
   IF(_xlpm.filtered="", "", _xlpm.filtered)
)</f>
        <v/>
      </c>
      <c r="AD19" s="186" t="str" cm="1">
        <f t="array" ref="AD19">_xlfn.LET(
   _xlpm.data, 表格3_5[[Date]:[Location]],
   _xlpm.date_col, INDEX(_xlpm.data, , 1),
   _xlpm.name_col, INDEX(_xlpm.data, , 2),
   _xlpm.loc_col,  INDEX(_xlpm.data, , 3),
   _xlpm.target_date, DATE(YEAR($C$1), MONTH($C$1), AD$7),
   _xlpm.filtered, _xlfn._xlws.FILTER(_xlpm.name_col, (_xlpm.date_col = _xlpm.target_date) * (_xlpm.loc_col =$C19), ""),
   IF(_xlpm.filtered="", "", _xlpm.filtered)
)</f>
        <v/>
      </c>
      <c r="AE19" s="186" t="str" cm="1">
        <f t="array" ref="AE19">_xlfn.LET(
   _xlpm.data, 表格3_5[[Date]:[Location]],
   _xlpm.date_col, INDEX(_xlpm.data, , 1),
   _xlpm.name_col, INDEX(_xlpm.data, , 2),
   _xlpm.loc_col,  INDEX(_xlpm.data, , 3),
   _xlpm.target_date, DATE(YEAR($C$1), MONTH($C$1), AE$7),
   _xlpm.filtered, _xlfn._xlws.FILTER(_xlpm.name_col, (_xlpm.date_col = _xlpm.target_date) * (_xlpm.loc_col =$C19), ""),
   IF(_xlpm.filtered="", "", _xlpm.filtered)
)</f>
        <v/>
      </c>
      <c r="AF19" s="186" t="str" cm="1">
        <f t="array" ref="AF19">_xlfn.LET(
   _xlpm.data, 表格3_5[[Date]:[Location]],
   _xlpm.date_col, INDEX(_xlpm.data, , 1),
   _xlpm.name_col, INDEX(_xlpm.data, , 2),
   _xlpm.loc_col,  INDEX(_xlpm.data, , 3),
   _xlpm.target_date, DATE(YEAR($C$1), MONTH($C$1), AF$7),
   _xlpm.filtered, _xlfn._xlws.FILTER(_xlpm.name_col, (_xlpm.date_col = _xlpm.target_date) * (_xlpm.loc_col =$C19), ""),
   IF(_xlpm.filtered="", "", _xlpm.filtered)
)</f>
        <v/>
      </c>
      <c r="AG19" s="186" t="str" cm="1">
        <f t="array" ref="AG19">_xlfn.LET(
   _xlpm.data, 表格3_5[[Date]:[Location]],
   _xlpm.date_col, INDEX(_xlpm.data, , 1),
   _xlpm.name_col, INDEX(_xlpm.data, , 2),
   _xlpm.loc_col,  INDEX(_xlpm.data, , 3),
   _xlpm.target_date, DATE(YEAR($C$1), MONTH($C$1), AG$7),
   _xlpm.filtered, _xlfn._xlws.FILTER(_xlpm.name_col, (_xlpm.date_col = _xlpm.target_date) * (_xlpm.loc_col =$C19), ""),
   IF(_xlpm.filtered="", "", _xlpm.filtered)
)</f>
        <v/>
      </c>
      <c r="AH19" s="186" t="str" cm="1">
        <f t="array" ref="AH19">_xlfn.LET(
   _xlpm.data, 表格3_5[[Date]:[Location]],
   _xlpm.date_col, INDEX(_xlpm.data, , 1),
   _xlpm.name_col, INDEX(_xlpm.data, , 2),
   _xlpm.loc_col,  INDEX(_xlpm.data, , 3),
   _xlpm.target_date, DATE(YEAR($C$1), MONTH($C$1), AH$7),
   _xlpm.filtered, _xlfn._xlws.FILTER(_xlpm.name_col, (_xlpm.date_col = _xlpm.target_date) * (_xlpm.loc_col =$C19), ""),
   IF(_xlpm.filtered="", "", _xlpm.filtered)
)</f>
        <v/>
      </c>
      <c r="AI19" s="187">
        <f t="shared" si="33"/>
        <v>0</v>
      </c>
      <c r="AJ19" s="187">
        <f t="shared" si="34"/>
        <v>0</v>
      </c>
      <c r="AK19" s="177"/>
      <c r="AM19" s="181">
        <f t="shared" si="35"/>
        <v>0</v>
      </c>
      <c r="AN19" s="188" t="e">
        <f>IF(D19=".",D19,IF(VLOOKUP($AM19&amp;D$1+D14&amp;D19, 工作表1!$C:$V,1,) &gt; 0,D19,"ERROR"))</f>
        <v>#VALUE!</v>
      </c>
      <c r="AO19" s="188" t="e">
        <f>IF(E19=".",E19,IF(VLOOKUP($AM19&amp;E$1+E14&amp;E19, 工作表1!$C:$V,1,) &gt; 0,E19,"ERROR"))</f>
        <v>#VALUE!</v>
      </c>
      <c r="AP19" s="188" t="e">
        <f>IF(F19=".",F19,IF(VLOOKUP($AM19&amp;F$1+F14&amp;F19, 工作表1!$C:$V,1,) &gt; 0,F19,"ERROR"))</f>
        <v>#VALUE!</v>
      </c>
      <c r="AQ19" s="188" t="e">
        <f>IF(G19=".",G19,IF(VLOOKUP($AM19&amp;G$1+G14&amp;G19, 工作表1!$C:$V,1,) &gt; 0,G19,"ERROR"))</f>
        <v>#VALUE!</v>
      </c>
      <c r="AR19" s="188" t="e">
        <f>IF(H19=".",H19,IF(VLOOKUP($AM19&amp;H$1+H14&amp;H19, 工作表1!$C:$V,1,) &gt; 0,H19,"ERROR"))</f>
        <v>#VALUE!</v>
      </c>
      <c r="AS19" s="188" t="e">
        <f>IF(I19=".",I19,IF(VLOOKUP($AM19&amp;I$1+I14&amp;I19, 工作表1!$C:$V,1,) &gt; 0,I19,"ERROR"))</f>
        <v>#VALUE!</v>
      </c>
      <c r="AT19" s="188" t="e">
        <f>IF(J19=".",J19,IF(VLOOKUP($AM19&amp;J$1+J14&amp;J19, 工作表1!$C:$V,1,) &gt; 0,J19,"ERROR"))</f>
        <v>#VALUE!</v>
      </c>
      <c r="AU19" s="188" t="e">
        <f>IF(K19=".",K19,IF(VLOOKUP($AM19&amp;K$1+K14&amp;K19, 工作表1!$C:$V,1,) &gt; 0,K19,"ERROR"))</f>
        <v>#VALUE!</v>
      </c>
      <c r="AV19" s="188" t="e">
        <f>IF(L19=".",L19,IF(VLOOKUP($AM19&amp;L$1+L14&amp;L19, 工作表1!$C:$V,1,) &gt; 0,L19,"ERROR"))</f>
        <v>#VALUE!</v>
      </c>
      <c r="AW19" s="188" t="e">
        <f>IF(M19=".",M19,IF(VLOOKUP($AM19&amp;M$1+M14&amp;M19, 工作表1!$C:$V,1,) &gt; 0,M19,"ERROR"))</f>
        <v>#VALUE!</v>
      </c>
      <c r="AX19" s="188" t="e">
        <f>IF(N19=".",N19,IF(VLOOKUP($AM19&amp;N$1+N14&amp;N19, 工作表1!$C:$V,1,) &gt; 0,N19,"ERROR"))</f>
        <v>#VALUE!</v>
      </c>
      <c r="AY19" s="188" t="e">
        <f>IF(O19=".",O19,IF(VLOOKUP($AM19&amp;O$1+O14&amp;O19, 工作表1!$C:$V,1,) &gt; 0,O19,"ERROR"))</f>
        <v>#VALUE!</v>
      </c>
      <c r="AZ19" s="188" t="e">
        <f>IF(P19=".",P19,IF(VLOOKUP($AM19&amp;P$1+P14&amp;P19, 工作表1!$C:$V,1,) &gt; 0,P19,"ERROR"))</f>
        <v>#VALUE!</v>
      </c>
      <c r="BA19" s="188" t="e">
        <f>IF(Q19=".",Q19,IF(VLOOKUP($AM19&amp;Q$1+Q14&amp;Q19, 工作表1!$C:$V,1,) &gt; 0,Q19,"ERROR"))</f>
        <v>#VALUE!</v>
      </c>
      <c r="BB19" s="188" t="e">
        <f>IF(R19=".",R19,IF(VLOOKUP($AM19&amp;R$1+R14&amp;R19, 工作表1!$C:$V,1,) &gt; 0,R19,"ERROR"))</f>
        <v>#VALUE!</v>
      </c>
      <c r="BC19" s="188" t="e">
        <f>IF(S19=".",S19,IF(VLOOKUP($AM19&amp;S$1+S14&amp;S19, 工作表1!$C:$V,1,) &gt; 0,S19,"ERROR"))</f>
        <v>#VALUE!</v>
      </c>
      <c r="BD19" s="188" t="e">
        <f>IF(T19=".",T19,IF(VLOOKUP($AM19&amp;T$1+T14&amp;T19, 工作表1!$C:$V,1,) &gt; 0,T19,"ERROR"))</f>
        <v>#VALUE!</v>
      </c>
      <c r="BE19" s="188" t="e">
        <f>IF(U19=".",U19,IF(VLOOKUP($AM19&amp;U$1+U14&amp;U19, 工作表1!$C:$V,1,) &gt; 0,U19,"ERROR"))</f>
        <v>#VALUE!</v>
      </c>
      <c r="BF19" s="188" t="e">
        <f>IF(V19=".",V19,IF(VLOOKUP($AM19&amp;V$1+V14&amp;V19, 工作表1!$C:$V,1,) &gt; 0,V19,"ERROR"))</f>
        <v>#VALUE!</v>
      </c>
      <c r="BG19" s="188" t="e">
        <f>IF(W19=".",W19,IF(VLOOKUP($AM19&amp;W$1+W14&amp;W19, 工作表1!$C:$V,1,) &gt; 0,W19,"ERROR"))</f>
        <v>#VALUE!</v>
      </c>
      <c r="BH19" s="188" t="e">
        <f>IF(X19=".",X19,IF(VLOOKUP($AM19&amp;X$1+X14&amp;X19, 工作表1!$C:$V,1,) &gt; 0,X19,"ERROR"))</f>
        <v>#VALUE!</v>
      </c>
      <c r="BI19" s="188" t="e">
        <f>IF(Y19=".",Y19,IF(VLOOKUP($AM19&amp;Y$1+Y14&amp;Y19, 工作表1!$C:$V,1,) &gt; 0,Y19,"ERROR"))</f>
        <v>#VALUE!</v>
      </c>
      <c r="BJ19" s="188" t="e">
        <f>IF(Z19=".",Z19,IF(VLOOKUP($AM19&amp;Z$1+Z14&amp;Z19, 工作表1!$C:$V,1,) &gt; 0,Z19,"ERROR"))</f>
        <v>#VALUE!</v>
      </c>
      <c r="BK19" s="188" t="e">
        <f>IF(AA19=".",AA19,IF(VLOOKUP($AM19&amp;AA$1+AA14&amp;AA19, 工作表1!$C:$V,1,) &gt; 0,AA19,"ERROR"))</f>
        <v>#VALUE!</v>
      </c>
      <c r="BL19" s="188" t="e">
        <f>IF(AB19=".",AB19,IF(VLOOKUP($AM19&amp;AB$1+AB14&amp;AB19, 工作表1!$C:$V,1,) &gt; 0,AB19,"ERROR"))</f>
        <v>#VALUE!</v>
      </c>
      <c r="BM19" s="188" t="e">
        <f>IF(AC19=".",AC19,IF(VLOOKUP($AM19&amp;AC$1+AC14&amp;AC19, 工作表1!$C:$V,1,) &gt; 0,AC19,"ERROR"))</f>
        <v>#VALUE!</v>
      </c>
      <c r="BN19" s="188" t="e">
        <f>IF(AD19=".",AD19,IF(VLOOKUP($AM19&amp;AD$1+AD14&amp;AD19, 工作表1!$C:$V,1,) &gt; 0,AD19,"ERROR"))</f>
        <v>#VALUE!</v>
      </c>
      <c r="BO19" s="188" t="e">
        <f>IF(AE19=".",AE19,IF(VLOOKUP($AM19&amp;AE$1+AE14&amp;AE19, 工作表1!$C:$V,1,) &gt; 0,AE19,"ERROR"))</f>
        <v>#VALUE!</v>
      </c>
      <c r="BP19" s="188" t="e">
        <f>IF(AF19=".",AF19,IF(VLOOKUP($AM19&amp;AF$1+AF14&amp;AF19, 工作表1!$C:$V,1,) &gt; 0,AF19,"ERROR"))</f>
        <v>#VALUE!</v>
      </c>
      <c r="BQ19" s="188" t="e">
        <f>IF(AG19=".",AG19,IF(VLOOKUP($AM19&amp;AG$1+AG14&amp;AG19, 工作表1!$C:$V,1,) &gt; 0,AG19,"ERROR"))</f>
        <v>#VALUE!</v>
      </c>
      <c r="BR19" s="188" t="e">
        <f>IF(AH19=".",AH19,IF(VLOOKUP($AM19&amp;AH$1+AH14&amp;AH19, 工作表1!$C:$V,1,) &gt; 0,AH19,"ERROR"))</f>
        <v>#VALUE!</v>
      </c>
      <c r="BS19" s="188" t="e">
        <f>IF(#REF!=".",#REF!,IF(VLOOKUP($AM19&amp;#REF!+#REF!&amp;#REF!, 工作表1!$C:$V,1,) &gt; 0,#REF!,"ERROR"))</f>
        <v>#REF!</v>
      </c>
      <c r="BT19" s="188" t="e">
        <f>IF(#REF!=".",#REF!,IF(VLOOKUP($AM19&amp;#REF!+#REF!&amp;#REF!, 工作表1!$C:$V,1,) &gt; 0,#REF!,"ERROR"))</f>
        <v>#REF!</v>
      </c>
    </row>
    <row r="20" spans="2:72">
      <c r="B20" t="e" cm="1" vm="1">
        <f t="array" ref="B20">_xlfn.LET(
    _xlpm.data, D20:AH20,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C20" s="180"/>
      <c r="D20" s="186" t="str" cm="1">
        <f t="array" ref="D20">_xlfn.LET(
   _xlpm.data, 表格3_5[[Date]:[Location]],
   _xlpm.date_col, INDEX(_xlpm.data, , 1),
   _xlpm.name_col, INDEX(_xlpm.data, , 2),
   _xlpm.loc_col,  INDEX(_xlpm.data, , 3),
   _xlpm.target_date, DATE(YEAR($C$1), MONTH($C$1), D$7),
   _xlpm.filtered, _xlfn._xlws.FILTER(_xlpm.name_col, (_xlpm.date_col = _xlpm.target_date) * (_xlpm.loc_col =$C20), ""),
   IF(_xlpm.filtered="", "", _xlpm.filtered)
)</f>
        <v/>
      </c>
      <c r="E20" s="186" t="str" cm="1">
        <f t="array" ref="E20">_xlfn.LET(
   _xlpm.data, 表格3_5[[Date]:[Location]],
   _xlpm.date_col, INDEX(_xlpm.data, , 1),
   _xlpm.name_col, INDEX(_xlpm.data, , 2),
   _xlpm.loc_col,  INDEX(_xlpm.data, , 3),
   _xlpm.target_date, DATE(YEAR($C$1), MONTH($C$1), E$7),
   _xlpm.filtered, _xlfn._xlws.FILTER(_xlpm.name_col, (_xlpm.date_col = _xlpm.target_date) * (_xlpm.loc_col =$C20), ""),
   IF(_xlpm.filtered="", "", _xlpm.filtered)
)</f>
        <v/>
      </c>
      <c r="F20" s="186" t="str" cm="1">
        <f t="array" ref="F20">_xlfn.LET(
   _xlpm.data, 表格3_5[[Date]:[Location]],
   _xlpm.date_col, INDEX(_xlpm.data, , 1),
   _xlpm.name_col, INDEX(_xlpm.data, , 2),
   _xlpm.loc_col,  INDEX(_xlpm.data, , 3),
   _xlpm.target_date, DATE(YEAR($C$1), MONTH($C$1), F$7),
   _xlpm.filtered, _xlfn._xlws.FILTER(_xlpm.name_col, (_xlpm.date_col = _xlpm.target_date) * (_xlpm.loc_col =$C20), ""),
   IF(_xlpm.filtered="", "", _xlpm.filtered)
)</f>
        <v/>
      </c>
      <c r="G20" s="186" t="str" cm="1">
        <f t="array" ref="G20">_xlfn.LET(
   _xlpm.data, 表格3_5[[Date]:[Location]],
   _xlpm.date_col, INDEX(_xlpm.data, , 1),
   _xlpm.name_col, INDEX(_xlpm.data, , 2),
   _xlpm.loc_col,  INDEX(_xlpm.data, , 3),
   _xlpm.target_date, DATE(YEAR($C$1), MONTH($C$1), G$7),
   _xlpm.filtered, _xlfn._xlws.FILTER(_xlpm.name_col, (_xlpm.date_col = _xlpm.target_date) * (_xlpm.loc_col =$C20), ""),
   IF(_xlpm.filtered="", "", _xlpm.filtered)
)</f>
        <v/>
      </c>
      <c r="H20" s="186" t="str" cm="1">
        <f t="array" ref="H20">_xlfn.LET(
   _xlpm.data, 表格3_5[[Date]:[Location]],
   _xlpm.date_col, INDEX(_xlpm.data, , 1),
   _xlpm.name_col, INDEX(_xlpm.data, , 2),
   _xlpm.loc_col,  INDEX(_xlpm.data, , 3),
   _xlpm.target_date, DATE(YEAR($C$1), MONTH($C$1), H$7),
   _xlpm.filtered, _xlfn._xlws.FILTER(_xlpm.name_col, (_xlpm.date_col = _xlpm.target_date) * (_xlpm.loc_col =$C20), ""),
   IF(_xlpm.filtered="", "", _xlpm.filtered)
)</f>
        <v/>
      </c>
      <c r="I20" s="186" t="str" cm="1">
        <f t="array" ref="I20">_xlfn.LET(
   _xlpm.data, 表格3_5[[Date]:[Location]],
   _xlpm.date_col, INDEX(_xlpm.data, , 1),
   _xlpm.name_col, INDEX(_xlpm.data, , 2),
   _xlpm.loc_col,  INDEX(_xlpm.data, , 3),
   _xlpm.target_date, DATE(YEAR($C$1), MONTH($C$1), I$7),
   _xlpm.filtered, _xlfn._xlws.FILTER(_xlpm.name_col, (_xlpm.date_col = _xlpm.target_date) * (_xlpm.loc_col =$C20), ""),
   IF(_xlpm.filtered="", "", _xlpm.filtered)
)</f>
        <v/>
      </c>
      <c r="J20" s="186" t="str" cm="1">
        <f t="array" ref="J20">_xlfn.LET(
   _xlpm.data, 表格3_5[[Date]:[Location]],
   _xlpm.date_col, INDEX(_xlpm.data, , 1),
   _xlpm.name_col, INDEX(_xlpm.data, , 2),
   _xlpm.loc_col,  INDEX(_xlpm.data, , 3),
   _xlpm.target_date, DATE(YEAR($C$1), MONTH($C$1), J$7),
   _xlpm.filtered, _xlfn._xlws.FILTER(_xlpm.name_col, (_xlpm.date_col = _xlpm.target_date) * (_xlpm.loc_col =$C20), ""),
   IF(_xlpm.filtered="", "", _xlpm.filtered)
)</f>
        <v/>
      </c>
      <c r="K20" s="186" t="str" cm="1">
        <f t="array" ref="K20">_xlfn.LET(
   _xlpm.data, 表格3_5[[Date]:[Location]],
   _xlpm.date_col, INDEX(_xlpm.data, , 1),
   _xlpm.name_col, INDEX(_xlpm.data, , 2),
   _xlpm.loc_col,  INDEX(_xlpm.data, , 3),
   _xlpm.target_date, DATE(YEAR($C$1), MONTH($C$1), K$7),
   _xlpm.filtered, _xlfn._xlws.FILTER(_xlpm.name_col, (_xlpm.date_col = _xlpm.target_date) * (_xlpm.loc_col =$C20), ""),
   IF(_xlpm.filtered="", "", _xlpm.filtered)
)</f>
        <v/>
      </c>
      <c r="L20" s="186" t="str" cm="1">
        <f t="array" ref="L20">_xlfn.LET(
   _xlpm.data, 表格3_5[[Date]:[Location]],
   _xlpm.date_col, INDEX(_xlpm.data, , 1),
   _xlpm.name_col, INDEX(_xlpm.data, , 2),
   _xlpm.loc_col,  INDEX(_xlpm.data, , 3),
   _xlpm.target_date, DATE(YEAR($C$1), MONTH($C$1), L$7),
   _xlpm.filtered, _xlfn._xlws.FILTER(_xlpm.name_col, (_xlpm.date_col = _xlpm.target_date) * (_xlpm.loc_col =$C20), ""),
   IF(_xlpm.filtered="", "", _xlpm.filtered)
)</f>
        <v/>
      </c>
      <c r="M20" s="186" t="str" cm="1">
        <f t="array" ref="M20">_xlfn.LET(
   _xlpm.data, 表格3_5[[Date]:[Location]],
   _xlpm.date_col, INDEX(_xlpm.data, , 1),
   _xlpm.name_col, INDEX(_xlpm.data, , 2),
   _xlpm.loc_col,  INDEX(_xlpm.data, , 3),
   _xlpm.target_date, DATE(YEAR($C$1), MONTH($C$1), M$7),
   _xlpm.filtered, _xlfn._xlws.FILTER(_xlpm.name_col, (_xlpm.date_col = _xlpm.target_date) * (_xlpm.loc_col =$C20), ""),
   IF(_xlpm.filtered="", "", _xlpm.filtered)
)</f>
        <v/>
      </c>
      <c r="N20" s="186" t="str" cm="1">
        <f t="array" ref="N20">_xlfn.LET(
   _xlpm.data, 表格3_5[[Date]:[Location]],
   _xlpm.date_col, INDEX(_xlpm.data, , 1),
   _xlpm.name_col, INDEX(_xlpm.data, , 2),
   _xlpm.loc_col,  INDEX(_xlpm.data, , 3),
   _xlpm.target_date, DATE(YEAR($C$1), MONTH($C$1), N$7),
   _xlpm.filtered, _xlfn._xlws.FILTER(_xlpm.name_col, (_xlpm.date_col = _xlpm.target_date) * (_xlpm.loc_col =$C20), ""),
   IF(_xlpm.filtered="", "", _xlpm.filtered)
)</f>
        <v/>
      </c>
      <c r="O20" s="186" t="str" cm="1">
        <f t="array" ref="O20">_xlfn.LET(
   _xlpm.data, 表格3_5[[Date]:[Location]],
   _xlpm.date_col, INDEX(_xlpm.data, , 1),
   _xlpm.name_col, INDEX(_xlpm.data, , 2),
   _xlpm.loc_col,  INDEX(_xlpm.data, , 3),
   _xlpm.target_date, DATE(YEAR($C$1), MONTH($C$1), O$7),
   _xlpm.filtered, _xlfn._xlws.FILTER(_xlpm.name_col, (_xlpm.date_col = _xlpm.target_date) * (_xlpm.loc_col =$C20), ""),
   IF(_xlpm.filtered="", "", _xlpm.filtered)
)</f>
        <v/>
      </c>
      <c r="P20" s="186" t="str" cm="1">
        <f t="array" ref="P20">_xlfn.LET(
   _xlpm.data, 表格3_5[[Date]:[Location]],
   _xlpm.date_col, INDEX(_xlpm.data, , 1),
   _xlpm.name_col, INDEX(_xlpm.data, , 2),
   _xlpm.loc_col,  INDEX(_xlpm.data, , 3),
   _xlpm.target_date, DATE(YEAR($C$1), MONTH($C$1), P$7),
   _xlpm.filtered, _xlfn._xlws.FILTER(_xlpm.name_col, (_xlpm.date_col = _xlpm.target_date) * (_xlpm.loc_col =$C20), ""),
   IF(_xlpm.filtered="", "", _xlpm.filtered)
)</f>
        <v/>
      </c>
      <c r="Q20" s="186" t="str" cm="1">
        <f t="array" ref="Q20">_xlfn.LET(
   _xlpm.data, 表格3_5[[Date]:[Location]],
   _xlpm.date_col, INDEX(_xlpm.data, , 1),
   _xlpm.name_col, INDEX(_xlpm.data, , 2),
   _xlpm.loc_col,  INDEX(_xlpm.data, , 3),
   _xlpm.target_date, DATE(YEAR($C$1), MONTH($C$1), Q$7),
   _xlpm.filtered, _xlfn._xlws.FILTER(_xlpm.name_col, (_xlpm.date_col = _xlpm.target_date) * (_xlpm.loc_col =$C20), ""),
   IF(_xlpm.filtered="", "", _xlpm.filtered)
)</f>
        <v/>
      </c>
      <c r="R20" s="186" t="str" cm="1">
        <f t="array" ref="R20">_xlfn.LET(
   _xlpm.data, 表格3_5[[Date]:[Location]],
   _xlpm.date_col, INDEX(_xlpm.data, , 1),
   _xlpm.name_col, INDEX(_xlpm.data, , 2),
   _xlpm.loc_col,  INDEX(_xlpm.data, , 3),
   _xlpm.target_date, DATE(YEAR($C$1), MONTH($C$1), R$7),
   _xlpm.filtered, _xlfn._xlws.FILTER(_xlpm.name_col, (_xlpm.date_col = _xlpm.target_date) * (_xlpm.loc_col =$C20), ""),
   IF(_xlpm.filtered="", "", _xlpm.filtered)
)</f>
        <v/>
      </c>
      <c r="S20" s="186" t="str" cm="1">
        <f t="array" ref="S20">_xlfn.LET(
   _xlpm.data, 表格3_5[[Date]:[Location]],
   _xlpm.date_col, INDEX(_xlpm.data, , 1),
   _xlpm.name_col, INDEX(_xlpm.data, , 2),
   _xlpm.loc_col,  INDEX(_xlpm.data, , 3),
   _xlpm.target_date, DATE(YEAR($C$1), MONTH($C$1), S$7),
   _xlpm.filtered, _xlfn._xlws.FILTER(_xlpm.name_col, (_xlpm.date_col = _xlpm.target_date) * (_xlpm.loc_col =$C20), ""),
   IF(_xlpm.filtered="", "", _xlpm.filtered)
)</f>
        <v/>
      </c>
      <c r="T20" s="186" t="str" cm="1">
        <f t="array" ref="T20">_xlfn.LET(
   _xlpm.data, 表格3_5[[Date]:[Location]],
   _xlpm.date_col, INDEX(_xlpm.data, , 1),
   _xlpm.name_col, INDEX(_xlpm.data, , 2),
   _xlpm.loc_col,  INDEX(_xlpm.data, , 3),
   _xlpm.target_date, DATE(YEAR($C$1), MONTH($C$1), T$7),
   _xlpm.filtered, _xlfn._xlws.FILTER(_xlpm.name_col, (_xlpm.date_col = _xlpm.target_date) * (_xlpm.loc_col =$C20), ""),
   IF(_xlpm.filtered="", "", _xlpm.filtered)
)</f>
        <v/>
      </c>
      <c r="U20" s="186" t="str" cm="1">
        <f t="array" ref="U20">_xlfn.LET(
   _xlpm.data, 表格3_5[[Date]:[Location]],
   _xlpm.date_col, INDEX(_xlpm.data, , 1),
   _xlpm.name_col, INDEX(_xlpm.data, , 2),
   _xlpm.loc_col,  INDEX(_xlpm.data, , 3),
   _xlpm.target_date, DATE(YEAR($C$1), MONTH($C$1), U$7),
   _xlpm.filtered, _xlfn._xlws.FILTER(_xlpm.name_col, (_xlpm.date_col = _xlpm.target_date) * (_xlpm.loc_col =$C20), ""),
   IF(_xlpm.filtered="", "", _xlpm.filtered)
)</f>
        <v/>
      </c>
      <c r="V20" s="186" t="str" cm="1">
        <f t="array" ref="V20">_xlfn.LET(
   _xlpm.data, 表格3_5[[Date]:[Location]],
   _xlpm.date_col, INDEX(_xlpm.data, , 1),
   _xlpm.name_col, INDEX(_xlpm.data, , 2),
   _xlpm.loc_col,  INDEX(_xlpm.data, , 3),
   _xlpm.target_date, DATE(YEAR($C$1), MONTH($C$1), V$7),
   _xlpm.filtered, _xlfn._xlws.FILTER(_xlpm.name_col, (_xlpm.date_col = _xlpm.target_date) * (_xlpm.loc_col =$C20), ""),
   IF(_xlpm.filtered="", "", _xlpm.filtered)
)</f>
        <v/>
      </c>
      <c r="W20" s="186" t="str" cm="1">
        <f t="array" ref="W20">_xlfn.LET(
   _xlpm.data, 表格3_5[[Date]:[Location]],
   _xlpm.date_col, INDEX(_xlpm.data, , 1),
   _xlpm.name_col, INDEX(_xlpm.data, , 2),
   _xlpm.loc_col,  INDEX(_xlpm.data, , 3),
   _xlpm.target_date, DATE(YEAR($C$1), MONTH($C$1), W$7),
   _xlpm.filtered, _xlfn._xlws.FILTER(_xlpm.name_col, (_xlpm.date_col = _xlpm.target_date) * (_xlpm.loc_col =$C20), ""),
   IF(_xlpm.filtered="", "", _xlpm.filtered)
)</f>
        <v/>
      </c>
      <c r="X20" s="186" t="str" cm="1">
        <f t="array" ref="X20">_xlfn.LET(
   _xlpm.data, 表格3_5[[Date]:[Location]],
   _xlpm.date_col, INDEX(_xlpm.data, , 1),
   _xlpm.name_col, INDEX(_xlpm.data, , 2),
   _xlpm.loc_col,  INDEX(_xlpm.data, , 3),
   _xlpm.target_date, DATE(YEAR($C$1), MONTH($C$1), X$7),
   _xlpm.filtered, _xlfn._xlws.FILTER(_xlpm.name_col, (_xlpm.date_col = _xlpm.target_date) * (_xlpm.loc_col =$C20), ""),
   IF(_xlpm.filtered="", "", _xlpm.filtered)
)</f>
        <v/>
      </c>
      <c r="Y20" s="186" t="str" cm="1">
        <f t="array" ref="Y20">_xlfn.LET(
   _xlpm.data, 表格3_5[[Date]:[Location]],
   _xlpm.date_col, INDEX(_xlpm.data, , 1),
   _xlpm.name_col, INDEX(_xlpm.data, , 2),
   _xlpm.loc_col,  INDEX(_xlpm.data, , 3),
   _xlpm.target_date, DATE(YEAR($C$1), MONTH($C$1), Y$7),
   _xlpm.filtered, _xlfn._xlws.FILTER(_xlpm.name_col, (_xlpm.date_col = _xlpm.target_date) * (_xlpm.loc_col =$C20), ""),
   IF(_xlpm.filtered="", "", _xlpm.filtered)
)</f>
        <v/>
      </c>
      <c r="Z20" s="186" t="str" cm="1">
        <f t="array" ref="Z20">_xlfn.LET(
   _xlpm.data, 表格3_5[[Date]:[Location]],
   _xlpm.date_col, INDEX(_xlpm.data, , 1),
   _xlpm.name_col, INDEX(_xlpm.data, , 2),
   _xlpm.loc_col,  INDEX(_xlpm.data, , 3),
   _xlpm.target_date, DATE(YEAR($C$1), MONTH($C$1), Z$7),
   _xlpm.filtered, _xlfn._xlws.FILTER(_xlpm.name_col, (_xlpm.date_col = _xlpm.target_date) * (_xlpm.loc_col =$C20), ""),
   IF(_xlpm.filtered="", "", _xlpm.filtered)
)</f>
        <v/>
      </c>
      <c r="AA20" s="186" t="str" cm="1">
        <f t="array" ref="AA20">_xlfn.LET(
   _xlpm.data, 表格3_5[[Date]:[Location]],
   _xlpm.date_col, INDEX(_xlpm.data, , 1),
   _xlpm.name_col, INDEX(_xlpm.data, , 2),
   _xlpm.loc_col,  INDEX(_xlpm.data, , 3),
   _xlpm.target_date, DATE(YEAR($C$1), MONTH($C$1), AA$7),
   _xlpm.filtered, _xlfn._xlws.FILTER(_xlpm.name_col, (_xlpm.date_col = _xlpm.target_date) * (_xlpm.loc_col =$C20), ""),
   IF(_xlpm.filtered="", "", _xlpm.filtered)
)</f>
        <v/>
      </c>
      <c r="AB20" s="186" t="str" cm="1">
        <f t="array" ref="AB20">_xlfn.LET(
   _xlpm.data, 表格3_5[[Date]:[Location]],
   _xlpm.date_col, INDEX(_xlpm.data, , 1),
   _xlpm.name_col, INDEX(_xlpm.data, , 2),
   _xlpm.loc_col,  INDEX(_xlpm.data, , 3),
   _xlpm.target_date, DATE(YEAR($C$1), MONTH($C$1), AB$7),
   _xlpm.filtered, _xlfn._xlws.FILTER(_xlpm.name_col, (_xlpm.date_col = _xlpm.target_date) * (_xlpm.loc_col =$C20), ""),
   IF(_xlpm.filtered="", "", _xlpm.filtered)
)</f>
        <v/>
      </c>
      <c r="AC20" s="186" t="str" cm="1">
        <f t="array" ref="AC20">_xlfn.LET(
   _xlpm.data, 表格3_5[[Date]:[Location]],
   _xlpm.date_col, INDEX(_xlpm.data, , 1),
   _xlpm.name_col, INDEX(_xlpm.data, , 2),
   _xlpm.loc_col,  INDEX(_xlpm.data, , 3),
   _xlpm.target_date, DATE(YEAR($C$1), MONTH($C$1), AC$7),
   _xlpm.filtered, _xlfn._xlws.FILTER(_xlpm.name_col, (_xlpm.date_col = _xlpm.target_date) * (_xlpm.loc_col =$C20), ""),
   IF(_xlpm.filtered="", "", _xlpm.filtered)
)</f>
        <v/>
      </c>
      <c r="AD20" s="186" t="str" cm="1">
        <f t="array" ref="AD20">_xlfn.LET(
   _xlpm.data, 表格3_5[[Date]:[Location]],
   _xlpm.date_col, INDEX(_xlpm.data, , 1),
   _xlpm.name_col, INDEX(_xlpm.data, , 2),
   _xlpm.loc_col,  INDEX(_xlpm.data, , 3),
   _xlpm.target_date, DATE(YEAR($C$1), MONTH($C$1), AD$7),
   _xlpm.filtered, _xlfn._xlws.FILTER(_xlpm.name_col, (_xlpm.date_col = _xlpm.target_date) * (_xlpm.loc_col =$C20), ""),
   IF(_xlpm.filtered="", "", _xlpm.filtered)
)</f>
        <v/>
      </c>
      <c r="AE20" s="186" t="str" cm="1">
        <f t="array" ref="AE20">_xlfn.LET(
   _xlpm.data, 表格3_5[[Date]:[Location]],
   _xlpm.date_col, INDEX(_xlpm.data, , 1),
   _xlpm.name_col, INDEX(_xlpm.data, , 2),
   _xlpm.loc_col,  INDEX(_xlpm.data, , 3),
   _xlpm.target_date, DATE(YEAR($C$1), MONTH($C$1), AE$7),
   _xlpm.filtered, _xlfn._xlws.FILTER(_xlpm.name_col, (_xlpm.date_col = _xlpm.target_date) * (_xlpm.loc_col =$C20), ""),
   IF(_xlpm.filtered="", "", _xlpm.filtered)
)</f>
        <v/>
      </c>
      <c r="AF20" s="186" t="str" cm="1">
        <f t="array" ref="AF20">_xlfn.LET(
   _xlpm.data, 表格3_5[[Date]:[Location]],
   _xlpm.date_col, INDEX(_xlpm.data, , 1),
   _xlpm.name_col, INDEX(_xlpm.data, , 2),
   _xlpm.loc_col,  INDEX(_xlpm.data, , 3),
   _xlpm.target_date, DATE(YEAR($C$1), MONTH($C$1), AF$7),
   _xlpm.filtered, _xlfn._xlws.FILTER(_xlpm.name_col, (_xlpm.date_col = _xlpm.target_date) * (_xlpm.loc_col =$C20), ""),
   IF(_xlpm.filtered="", "", _xlpm.filtered)
)</f>
        <v/>
      </c>
      <c r="AG20" s="186" t="str" cm="1">
        <f t="array" ref="AG20">_xlfn.LET(
   _xlpm.data, 表格3_5[[Date]:[Location]],
   _xlpm.date_col, INDEX(_xlpm.data, , 1),
   _xlpm.name_col, INDEX(_xlpm.data, , 2),
   _xlpm.loc_col,  INDEX(_xlpm.data, , 3),
   _xlpm.target_date, DATE(YEAR($C$1), MONTH($C$1), AG$7),
   _xlpm.filtered, _xlfn._xlws.FILTER(_xlpm.name_col, (_xlpm.date_col = _xlpm.target_date) * (_xlpm.loc_col =$C20), ""),
   IF(_xlpm.filtered="", "", _xlpm.filtered)
)</f>
        <v/>
      </c>
      <c r="AH20" s="186" t="str" cm="1">
        <f t="array" ref="AH20">_xlfn.LET(
   _xlpm.data, 表格3_5[[Date]:[Location]],
   _xlpm.date_col, INDEX(_xlpm.data, , 1),
   _xlpm.name_col, INDEX(_xlpm.data, , 2),
   _xlpm.loc_col,  INDEX(_xlpm.data, , 3),
   _xlpm.target_date, DATE(YEAR($C$1), MONTH($C$1), AH$7),
   _xlpm.filtered, _xlfn._xlws.FILTER(_xlpm.name_col, (_xlpm.date_col = _xlpm.target_date) * (_xlpm.loc_col =$C20), ""),
   IF(_xlpm.filtered="", "", _xlpm.filtered)
)</f>
        <v/>
      </c>
      <c r="AI20" s="187">
        <f t="shared" si="33"/>
        <v>0</v>
      </c>
      <c r="AJ20" s="187">
        <f t="shared" si="34"/>
        <v>0</v>
      </c>
      <c r="AK20" s="177"/>
      <c r="AM20" s="181">
        <f t="shared" si="35"/>
        <v>0</v>
      </c>
      <c r="AN20" s="188" t="e">
        <f>IF(D20=".",D20,IF(VLOOKUP($AM20&amp;D$1+D15&amp;D20, 工作表1!$C:$V,1,) &gt; 0,D20,"ERROR"))</f>
        <v>#VALUE!</v>
      </c>
      <c r="AO20" s="188" t="e">
        <f>IF(E20=".",E20,IF(VLOOKUP($AM20&amp;E$1+E15&amp;E20, 工作表1!$C:$V,1,) &gt; 0,E20,"ERROR"))</f>
        <v>#VALUE!</v>
      </c>
      <c r="AP20" s="188" t="e">
        <f>IF(F20=".",F20,IF(VLOOKUP($AM20&amp;F$1+F15&amp;F20, 工作表1!$C:$V,1,) &gt; 0,F20,"ERROR"))</f>
        <v>#VALUE!</v>
      </c>
      <c r="AQ20" s="188" t="e">
        <f>IF(G20=".",G20,IF(VLOOKUP($AM20&amp;G$1+G15&amp;G20, 工作表1!$C:$V,1,) &gt; 0,G20,"ERROR"))</f>
        <v>#VALUE!</v>
      </c>
      <c r="AR20" s="188" t="e">
        <f>IF(H20=".",H20,IF(VLOOKUP($AM20&amp;H$1+H15&amp;H20, 工作表1!$C:$V,1,) &gt; 0,H20,"ERROR"))</f>
        <v>#VALUE!</v>
      </c>
      <c r="AS20" s="188" t="e">
        <f>IF(I20=".",I20,IF(VLOOKUP($AM20&amp;I$1+I15&amp;I20, 工作表1!$C:$V,1,) &gt; 0,I20,"ERROR"))</f>
        <v>#VALUE!</v>
      </c>
      <c r="AT20" s="188" t="e">
        <f>IF(J20=".",J20,IF(VLOOKUP($AM20&amp;J$1+J15&amp;J20, 工作表1!$C:$V,1,) &gt; 0,J20,"ERROR"))</f>
        <v>#VALUE!</v>
      </c>
      <c r="AU20" s="188" t="e">
        <f>IF(K20=".",K20,IF(VLOOKUP($AM20&amp;K$1+K15&amp;K20, 工作表1!$C:$V,1,) &gt; 0,K20,"ERROR"))</f>
        <v>#VALUE!</v>
      </c>
      <c r="AV20" s="188" t="e">
        <f>IF(L20=".",L20,IF(VLOOKUP($AM20&amp;L$1+L15&amp;L20, 工作表1!$C:$V,1,) &gt; 0,L20,"ERROR"))</f>
        <v>#VALUE!</v>
      </c>
      <c r="AW20" s="188" t="e">
        <f>IF(M20=".",M20,IF(VLOOKUP($AM20&amp;M$1+M15&amp;M20, 工作表1!$C:$V,1,) &gt; 0,M20,"ERROR"))</f>
        <v>#VALUE!</v>
      </c>
      <c r="AX20" s="188" t="e">
        <f>IF(N20=".",N20,IF(VLOOKUP($AM20&amp;N$1+N15&amp;N20, 工作表1!$C:$V,1,) &gt; 0,N20,"ERROR"))</f>
        <v>#VALUE!</v>
      </c>
      <c r="AY20" s="188" t="e">
        <f>IF(O20=".",O20,IF(VLOOKUP($AM20&amp;O$1+O15&amp;O20, 工作表1!$C:$V,1,) &gt; 0,O20,"ERROR"))</f>
        <v>#VALUE!</v>
      </c>
      <c r="AZ20" s="188" t="e">
        <f>IF(P20=".",P20,IF(VLOOKUP($AM20&amp;P$1+P15&amp;P20, 工作表1!$C:$V,1,) &gt; 0,P20,"ERROR"))</f>
        <v>#VALUE!</v>
      </c>
      <c r="BA20" s="188" t="e">
        <f>IF(Q20=".",Q20,IF(VLOOKUP($AM20&amp;Q$1+Q15&amp;Q20, 工作表1!$C:$V,1,) &gt; 0,Q20,"ERROR"))</f>
        <v>#VALUE!</v>
      </c>
      <c r="BB20" s="188" t="e">
        <f>IF(R20=".",R20,IF(VLOOKUP($AM20&amp;R$1+R15&amp;R20, 工作表1!$C:$V,1,) &gt; 0,R20,"ERROR"))</f>
        <v>#VALUE!</v>
      </c>
      <c r="BC20" s="188" t="e">
        <f>IF(S20=".",S20,IF(VLOOKUP($AM20&amp;S$1+S15&amp;S20, 工作表1!$C:$V,1,) &gt; 0,S20,"ERROR"))</f>
        <v>#VALUE!</v>
      </c>
      <c r="BD20" s="188" t="e">
        <f>IF(T20=".",T20,IF(VLOOKUP($AM20&amp;T$1+T15&amp;T20, 工作表1!$C:$V,1,) &gt; 0,T20,"ERROR"))</f>
        <v>#VALUE!</v>
      </c>
      <c r="BE20" s="188" t="e">
        <f>IF(U20=".",U20,IF(VLOOKUP($AM20&amp;U$1+U15&amp;U20, 工作表1!$C:$V,1,) &gt; 0,U20,"ERROR"))</f>
        <v>#VALUE!</v>
      </c>
      <c r="BF20" s="188" t="e">
        <f>IF(V20=".",V20,IF(VLOOKUP($AM20&amp;V$1+V15&amp;V20, 工作表1!$C:$V,1,) &gt; 0,V20,"ERROR"))</f>
        <v>#VALUE!</v>
      </c>
      <c r="BG20" s="188" t="e">
        <f>IF(W20=".",W20,IF(VLOOKUP($AM20&amp;W$1+W15&amp;W20, 工作表1!$C:$V,1,) &gt; 0,W20,"ERROR"))</f>
        <v>#VALUE!</v>
      </c>
      <c r="BH20" s="188" t="e">
        <f>IF(X20=".",X20,IF(VLOOKUP($AM20&amp;X$1+X15&amp;X20, 工作表1!$C:$V,1,) &gt; 0,X20,"ERROR"))</f>
        <v>#VALUE!</v>
      </c>
      <c r="BI20" s="188" t="e">
        <f>IF(Y20=".",Y20,IF(VLOOKUP($AM20&amp;Y$1+Y15&amp;Y20, 工作表1!$C:$V,1,) &gt; 0,Y20,"ERROR"))</f>
        <v>#VALUE!</v>
      </c>
      <c r="BJ20" s="188" t="e">
        <f>IF(Z20=".",Z20,IF(VLOOKUP($AM20&amp;Z$1+Z15&amp;Z20, 工作表1!$C:$V,1,) &gt; 0,Z20,"ERROR"))</f>
        <v>#VALUE!</v>
      </c>
      <c r="BK20" s="188" t="e">
        <f>IF(AA20=".",AA20,IF(VLOOKUP($AM20&amp;AA$1+AA15&amp;AA20, 工作表1!$C:$V,1,) &gt; 0,AA20,"ERROR"))</f>
        <v>#VALUE!</v>
      </c>
      <c r="BL20" s="188" t="e">
        <f>IF(AB20=".",AB20,IF(VLOOKUP($AM20&amp;AB$1+AB15&amp;AB20, 工作表1!$C:$V,1,) &gt; 0,AB20,"ERROR"))</f>
        <v>#VALUE!</v>
      </c>
      <c r="BM20" s="188" t="e">
        <f>IF(AC20=".",AC20,IF(VLOOKUP($AM20&amp;AC$1+AC15&amp;AC20, 工作表1!$C:$V,1,) &gt; 0,AC20,"ERROR"))</f>
        <v>#VALUE!</v>
      </c>
      <c r="BN20" s="188" t="e">
        <f>IF(AD20=".",AD20,IF(VLOOKUP($AM20&amp;AD$1+AD15&amp;AD20, 工作表1!$C:$V,1,) &gt; 0,AD20,"ERROR"))</f>
        <v>#VALUE!</v>
      </c>
      <c r="BO20" s="188" t="e">
        <f>IF(AE20=".",AE20,IF(VLOOKUP($AM20&amp;AE$1+AE15&amp;AE20, 工作表1!$C:$V,1,) &gt; 0,AE20,"ERROR"))</f>
        <v>#VALUE!</v>
      </c>
      <c r="BP20" s="188" t="e">
        <f>IF(AF20=".",AF20,IF(VLOOKUP($AM20&amp;AF$1+AF15&amp;AF20, 工作表1!$C:$V,1,) &gt; 0,AF20,"ERROR"))</f>
        <v>#VALUE!</v>
      </c>
      <c r="BQ20" s="188" t="e">
        <f>IF(AG20=".",AG20,IF(VLOOKUP($AM20&amp;AG$1+AG15&amp;AG20, 工作表1!$C:$V,1,) &gt; 0,AG20,"ERROR"))</f>
        <v>#VALUE!</v>
      </c>
      <c r="BR20" s="188" t="e">
        <f>IF(AH20=".",AH20,IF(VLOOKUP($AM20&amp;AH$1+AH15&amp;AH20, 工作表1!$C:$V,1,) &gt; 0,AH20,"ERROR"))</f>
        <v>#VALUE!</v>
      </c>
      <c r="BS20" s="188" t="e">
        <f>IF(#REF!=".",#REF!,IF(VLOOKUP($AM20&amp;#REF!+#REF!&amp;#REF!, 工作表1!$C:$V,1,) &gt; 0,#REF!,"ERROR"))</f>
        <v>#REF!</v>
      </c>
      <c r="BT20" s="188" t="e">
        <f>IF(#REF!=".",#REF!,IF(VLOOKUP($AM20&amp;#REF!+#REF!&amp;#REF!, 工作表1!$C:$V,1,) &gt; 0,#REF!,"ERROR"))</f>
        <v>#REF!</v>
      </c>
    </row>
    <row r="21" spans="2:72">
      <c r="B21" t="e" cm="1" vm="1">
        <f t="array" ref="B21">_xlfn.LET(
    _xlpm.data, D21:AH21,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C21" s="180"/>
      <c r="D21" s="186" t="str" cm="1">
        <f t="array" ref="D21">_xlfn.LET(
   _xlpm.data, 表格3_5[[Date]:[Location]],
   _xlpm.date_col, INDEX(_xlpm.data, , 1),
   _xlpm.name_col, INDEX(_xlpm.data, , 2),
   _xlpm.loc_col,  INDEX(_xlpm.data, , 3),
   _xlpm.target_date, DATE(YEAR($C$1), MONTH($C$1), D$7),
   _xlpm.filtered, _xlfn._xlws.FILTER(_xlpm.name_col, (_xlpm.date_col = _xlpm.target_date) * (_xlpm.loc_col =$C21), ""),
   IF(_xlpm.filtered="", "", _xlpm.filtered)
)</f>
        <v/>
      </c>
      <c r="E21" s="186" t="str" cm="1">
        <f t="array" ref="E21">_xlfn.LET(
   _xlpm.data, 表格3_5[[Date]:[Location]],
   _xlpm.date_col, INDEX(_xlpm.data, , 1),
   _xlpm.name_col, INDEX(_xlpm.data, , 2),
   _xlpm.loc_col,  INDEX(_xlpm.data, , 3),
   _xlpm.target_date, DATE(YEAR($C$1), MONTH($C$1), E$7),
   _xlpm.filtered, _xlfn._xlws.FILTER(_xlpm.name_col, (_xlpm.date_col = _xlpm.target_date) * (_xlpm.loc_col =$C21), ""),
   IF(_xlpm.filtered="", "", _xlpm.filtered)
)</f>
        <v/>
      </c>
      <c r="F21" s="186" t="str" cm="1">
        <f t="array" ref="F21">_xlfn.LET(
   _xlpm.data, 表格3_5[[Date]:[Location]],
   _xlpm.date_col, INDEX(_xlpm.data, , 1),
   _xlpm.name_col, INDEX(_xlpm.data, , 2),
   _xlpm.loc_col,  INDEX(_xlpm.data, , 3),
   _xlpm.target_date, DATE(YEAR($C$1), MONTH($C$1), F$7),
   _xlpm.filtered, _xlfn._xlws.FILTER(_xlpm.name_col, (_xlpm.date_col = _xlpm.target_date) * (_xlpm.loc_col =$C21), ""),
   IF(_xlpm.filtered="", "", _xlpm.filtered)
)</f>
        <v/>
      </c>
      <c r="G21" s="186" t="str" cm="1">
        <f t="array" ref="G21">_xlfn.LET(
   _xlpm.data, 表格3_5[[Date]:[Location]],
   _xlpm.date_col, INDEX(_xlpm.data, , 1),
   _xlpm.name_col, INDEX(_xlpm.data, , 2),
   _xlpm.loc_col,  INDEX(_xlpm.data, , 3),
   _xlpm.target_date, DATE(YEAR($C$1), MONTH($C$1), G$7),
   _xlpm.filtered, _xlfn._xlws.FILTER(_xlpm.name_col, (_xlpm.date_col = _xlpm.target_date) * (_xlpm.loc_col =$C21), ""),
   IF(_xlpm.filtered="", "", _xlpm.filtered)
)</f>
        <v/>
      </c>
      <c r="H21" s="186" t="str" cm="1">
        <f t="array" ref="H21">_xlfn.LET(
   _xlpm.data, 表格3_5[[Date]:[Location]],
   _xlpm.date_col, INDEX(_xlpm.data, , 1),
   _xlpm.name_col, INDEX(_xlpm.data, , 2),
   _xlpm.loc_col,  INDEX(_xlpm.data, , 3),
   _xlpm.target_date, DATE(YEAR($C$1), MONTH($C$1), H$7),
   _xlpm.filtered, _xlfn._xlws.FILTER(_xlpm.name_col, (_xlpm.date_col = _xlpm.target_date) * (_xlpm.loc_col =$C21), ""),
   IF(_xlpm.filtered="", "", _xlpm.filtered)
)</f>
        <v/>
      </c>
      <c r="I21" s="186" t="str" cm="1">
        <f t="array" ref="I21">_xlfn.LET(
   _xlpm.data, 表格3_5[[Date]:[Location]],
   _xlpm.date_col, INDEX(_xlpm.data, , 1),
   _xlpm.name_col, INDEX(_xlpm.data, , 2),
   _xlpm.loc_col,  INDEX(_xlpm.data, , 3),
   _xlpm.target_date, DATE(YEAR($C$1), MONTH($C$1), I$7),
   _xlpm.filtered, _xlfn._xlws.FILTER(_xlpm.name_col, (_xlpm.date_col = _xlpm.target_date) * (_xlpm.loc_col =$C21), ""),
   IF(_xlpm.filtered="", "", _xlpm.filtered)
)</f>
        <v/>
      </c>
      <c r="J21" s="186" t="str" cm="1">
        <f t="array" ref="J21">_xlfn.LET(
   _xlpm.data, 表格3_5[[Date]:[Location]],
   _xlpm.date_col, INDEX(_xlpm.data, , 1),
   _xlpm.name_col, INDEX(_xlpm.data, , 2),
   _xlpm.loc_col,  INDEX(_xlpm.data, , 3),
   _xlpm.target_date, DATE(YEAR($C$1), MONTH($C$1), J$7),
   _xlpm.filtered, _xlfn._xlws.FILTER(_xlpm.name_col, (_xlpm.date_col = _xlpm.target_date) * (_xlpm.loc_col =$C21), ""),
   IF(_xlpm.filtered="", "", _xlpm.filtered)
)</f>
        <v/>
      </c>
      <c r="K21" s="186" t="str" cm="1">
        <f t="array" ref="K21">_xlfn.LET(
   _xlpm.data, 表格3_5[[Date]:[Location]],
   _xlpm.date_col, INDEX(_xlpm.data, , 1),
   _xlpm.name_col, INDEX(_xlpm.data, , 2),
   _xlpm.loc_col,  INDEX(_xlpm.data, , 3),
   _xlpm.target_date, DATE(YEAR($C$1), MONTH($C$1), K$7),
   _xlpm.filtered, _xlfn._xlws.FILTER(_xlpm.name_col, (_xlpm.date_col = _xlpm.target_date) * (_xlpm.loc_col =$C21), ""),
   IF(_xlpm.filtered="", "", _xlpm.filtered)
)</f>
        <v/>
      </c>
      <c r="L21" s="186" t="str" cm="1">
        <f t="array" ref="L21">_xlfn.LET(
   _xlpm.data, 表格3_5[[Date]:[Location]],
   _xlpm.date_col, INDEX(_xlpm.data, , 1),
   _xlpm.name_col, INDEX(_xlpm.data, , 2),
   _xlpm.loc_col,  INDEX(_xlpm.data, , 3),
   _xlpm.target_date, DATE(YEAR($C$1), MONTH($C$1), L$7),
   _xlpm.filtered, _xlfn._xlws.FILTER(_xlpm.name_col, (_xlpm.date_col = _xlpm.target_date) * (_xlpm.loc_col =$C21), ""),
   IF(_xlpm.filtered="", "", _xlpm.filtered)
)</f>
        <v/>
      </c>
      <c r="M21" s="186" t="str" cm="1">
        <f t="array" ref="M21">_xlfn.LET(
   _xlpm.data, 表格3_5[[Date]:[Location]],
   _xlpm.date_col, INDEX(_xlpm.data, , 1),
   _xlpm.name_col, INDEX(_xlpm.data, , 2),
   _xlpm.loc_col,  INDEX(_xlpm.data, , 3),
   _xlpm.target_date, DATE(YEAR($C$1), MONTH($C$1), M$7),
   _xlpm.filtered, _xlfn._xlws.FILTER(_xlpm.name_col, (_xlpm.date_col = _xlpm.target_date) * (_xlpm.loc_col =$C21), ""),
   IF(_xlpm.filtered="", "", _xlpm.filtered)
)</f>
        <v/>
      </c>
      <c r="N21" s="186" t="str" cm="1">
        <f t="array" ref="N21">_xlfn.LET(
   _xlpm.data, 表格3_5[[Date]:[Location]],
   _xlpm.date_col, INDEX(_xlpm.data, , 1),
   _xlpm.name_col, INDEX(_xlpm.data, , 2),
   _xlpm.loc_col,  INDEX(_xlpm.data, , 3),
   _xlpm.target_date, DATE(YEAR($C$1), MONTH($C$1), N$7),
   _xlpm.filtered, _xlfn._xlws.FILTER(_xlpm.name_col, (_xlpm.date_col = _xlpm.target_date) * (_xlpm.loc_col =$C21), ""),
   IF(_xlpm.filtered="", "", _xlpm.filtered)
)</f>
        <v/>
      </c>
      <c r="O21" s="186" t="str" cm="1">
        <f t="array" ref="O21">_xlfn.LET(
   _xlpm.data, 表格3_5[[Date]:[Location]],
   _xlpm.date_col, INDEX(_xlpm.data, , 1),
   _xlpm.name_col, INDEX(_xlpm.data, , 2),
   _xlpm.loc_col,  INDEX(_xlpm.data, , 3),
   _xlpm.target_date, DATE(YEAR($C$1), MONTH($C$1), O$7),
   _xlpm.filtered, _xlfn._xlws.FILTER(_xlpm.name_col, (_xlpm.date_col = _xlpm.target_date) * (_xlpm.loc_col =$C21), ""),
   IF(_xlpm.filtered="", "", _xlpm.filtered)
)</f>
        <v/>
      </c>
      <c r="P21" s="186" t="str" cm="1">
        <f t="array" ref="P21">_xlfn.LET(
   _xlpm.data, 表格3_5[[Date]:[Location]],
   _xlpm.date_col, INDEX(_xlpm.data, , 1),
   _xlpm.name_col, INDEX(_xlpm.data, , 2),
   _xlpm.loc_col,  INDEX(_xlpm.data, , 3),
   _xlpm.target_date, DATE(YEAR($C$1), MONTH($C$1), P$7),
   _xlpm.filtered, _xlfn._xlws.FILTER(_xlpm.name_col, (_xlpm.date_col = _xlpm.target_date) * (_xlpm.loc_col =$C21), ""),
   IF(_xlpm.filtered="", "", _xlpm.filtered)
)</f>
        <v/>
      </c>
      <c r="Q21" s="186" t="str" cm="1">
        <f t="array" ref="Q21">_xlfn.LET(
   _xlpm.data, 表格3_5[[Date]:[Location]],
   _xlpm.date_col, INDEX(_xlpm.data, , 1),
   _xlpm.name_col, INDEX(_xlpm.data, , 2),
   _xlpm.loc_col,  INDEX(_xlpm.data, , 3),
   _xlpm.target_date, DATE(YEAR($C$1), MONTH($C$1), Q$7),
   _xlpm.filtered, _xlfn._xlws.FILTER(_xlpm.name_col, (_xlpm.date_col = _xlpm.target_date) * (_xlpm.loc_col =$C21), ""),
   IF(_xlpm.filtered="", "", _xlpm.filtered)
)</f>
        <v/>
      </c>
      <c r="R21" s="186" t="str" cm="1">
        <f t="array" ref="R21">_xlfn.LET(
   _xlpm.data, 表格3_5[[Date]:[Location]],
   _xlpm.date_col, INDEX(_xlpm.data, , 1),
   _xlpm.name_col, INDEX(_xlpm.data, , 2),
   _xlpm.loc_col,  INDEX(_xlpm.data, , 3),
   _xlpm.target_date, DATE(YEAR($C$1), MONTH($C$1), R$7),
   _xlpm.filtered, _xlfn._xlws.FILTER(_xlpm.name_col, (_xlpm.date_col = _xlpm.target_date) * (_xlpm.loc_col =$C21), ""),
   IF(_xlpm.filtered="", "", _xlpm.filtered)
)</f>
        <v/>
      </c>
      <c r="S21" s="186" t="str" cm="1">
        <f t="array" ref="S21">_xlfn.LET(
   _xlpm.data, 表格3_5[[Date]:[Location]],
   _xlpm.date_col, INDEX(_xlpm.data, , 1),
   _xlpm.name_col, INDEX(_xlpm.data, , 2),
   _xlpm.loc_col,  INDEX(_xlpm.data, , 3),
   _xlpm.target_date, DATE(YEAR($C$1), MONTH($C$1), S$7),
   _xlpm.filtered, _xlfn._xlws.FILTER(_xlpm.name_col, (_xlpm.date_col = _xlpm.target_date) * (_xlpm.loc_col =$C21), ""),
   IF(_xlpm.filtered="", "", _xlpm.filtered)
)</f>
        <v/>
      </c>
      <c r="T21" s="186" t="str" cm="1">
        <f t="array" ref="T21">_xlfn.LET(
   _xlpm.data, 表格3_5[[Date]:[Location]],
   _xlpm.date_col, INDEX(_xlpm.data, , 1),
   _xlpm.name_col, INDEX(_xlpm.data, , 2),
   _xlpm.loc_col,  INDEX(_xlpm.data, , 3),
   _xlpm.target_date, DATE(YEAR($C$1), MONTH($C$1), T$7),
   _xlpm.filtered, _xlfn._xlws.FILTER(_xlpm.name_col, (_xlpm.date_col = _xlpm.target_date) * (_xlpm.loc_col =$C21), ""),
   IF(_xlpm.filtered="", "", _xlpm.filtered)
)</f>
        <v/>
      </c>
      <c r="U21" s="186" t="str" cm="1">
        <f t="array" ref="U21">_xlfn.LET(
   _xlpm.data, 表格3_5[[Date]:[Location]],
   _xlpm.date_col, INDEX(_xlpm.data, , 1),
   _xlpm.name_col, INDEX(_xlpm.data, , 2),
   _xlpm.loc_col,  INDEX(_xlpm.data, , 3),
   _xlpm.target_date, DATE(YEAR($C$1), MONTH($C$1), U$7),
   _xlpm.filtered, _xlfn._xlws.FILTER(_xlpm.name_col, (_xlpm.date_col = _xlpm.target_date) * (_xlpm.loc_col =$C21), ""),
   IF(_xlpm.filtered="", "", _xlpm.filtered)
)</f>
        <v/>
      </c>
      <c r="V21" s="186" t="str" cm="1">
        <f t="array" ref="V21">_xlfn.LET(
   _xlpm.data, 表格3_5[[Date]:[Location]],
   _xlpm.date_col, INDEX(_xlpm.data, , 1),
   _xlpm.name_col, INDEX(_xlpm.data, , 2),
   _xlpm.loc_col,  INDEX(_xlpm.data, , 3),
   _xlpm.target_date, DATE(YEAR($C$1), MONTH($C$1), V$7),
   _xlpm.filtered, _xlfn._xlws.FILTER(_xlpm.name_col, (_xlpm.date_col = _xlpm.target_date) * (_xlpm.loc_col =$C21), ""),
   IF(_xlpm.filtered="", "", _xlpm.filtered)
)</f>
        <v/>
      </c>
      <c r="W21" s="186" t="str" cm="1">
        <f t="array" ref="W21">_xlfn.LET(
   _xlpm.data, 表格3_5[[Date]:[Location]],
   _xlpm.date_col, INDEX(_xlpm.data, , 1),
   _xlpm.name_col, INDEX(_xlpm.data, , 2),
   _xlpm.loc_col,  INDEX(_xlpm.data, , 3),
   _xlpm.target_date, DATE(YEAR($C$1), MONTH($C$1), W$7),
   _xlpm.filtered, _xlfn._xlws.FILTER(_xlpm.name_col, (_xlpm.date_col = _xlpm.target_date) * (_xlpm.loc_col =$C21), ""),
   IF(_xlpm.filtered="", "", _xlpm.filtered)
)</f>
        <v/>
      </c>
      <c r="X21" s="186" t="str" cm="1">
        <f t="array" ref="X21">_xlfn.LET(
   _xlpm.data, 表格3_5[[Date]:[Location]],
   _xlpm.date_col, INDEX(_xlpm.data, , 1),
   _xlpm.name_col, INDEX(_xlpm.data, , 2),
   _xlpm.loc_col,  INDEX(_xlpm.data, , 3),
   _xlpm.target_date, DATE(YEAR($C$1), MONTH($C$1), X$7),
   _xlpm.filtered, _xlfn._xlws.FILTER(_xlpm.name_col, (_xlpm.date_col = _xlpm.target_date) * (_xlpm.loc_col =$C21), ""),
   IF(_xlpm.filtered="", "", _xlpm.filtered)
)</f>
        <v/>
      </c>
      <c r="Y21" s="186" t="str" cm="1">
        <f t="array" ref="Y21">_xlfn.LET(
   _xlpm.data, 表格3_5[[Date]:[Location]],
   _xlpm.date_col, INDEX(_xlpm.data, , 1),
   _xlpm.name_col, INDEX(_xlpm.data, , 2),
   _xlpm.loc_col,  INDEX(_xlpm.data, , 3),
   _xlpm.target_date, DATE(YEAR($C$1), MONTH($C$1), Y$7),
   _xlpm.filtered, _xlfn._xlws.FILTER(_xlpm.name_col, (_xlpm.date_col = _xlpm.target_date) * (_xlpm.loc_col =$C21), ""),
   IF(_xlpm.filtered="", "", _xlpm.filtered)
)</f>
        <v/>
      </c>
      <c r="Z21" s="186" t="str" cm="1">
        <f t="array" ref="Z21">_xlfn.LET(
   _xlpm.data, 表格3_5[[Date]:[Location]],
   _xlpm.date_col, INDEX(_xlpm.data, , 1),
   _xlpm.name_col, INDEX(_xlpm.data, , 2),
   _xlpm.loc_col,  INDEX(_xlpm.data, , 3),
   _xlpm.target_date, DATE(YEAR($C$1), MONTH($C$1), Z$7),
   _xlpm.filtered, _xlfn._xlws.FILTER(_xlpm.name_col, (_xlpm.date_col = _xlpm.target_date) * (_xlpm.loc_col =$C21), ""),
   IF(_xlpm.filtered="", "", _xlpm.filtered)
)</f>
        <v/>
      </c>
      <c r="AA21" s="186" t="str" cm="1">
        <f t="array" ref="AA21">_xlfn.LET(
   _xlpm.data, 表格3_5[[Date]:[Location]],
   _xlpm.date_col, INDEX(_xlpm.data, , 1),
   _xlpm.name_col, INDEX(_xlpm.data, , 2),
   _xlpm.loc_col,  INDEX(_xlpm.data, , 3),
   _xlpm.target_date, DATE(YEAR($C$1), MONTH($C$1), AA$7),
   _xlpm.filtered, _xlfn._xlws.FILTER(_xlpm.name_col, (_xlpm.date_col = _xlpm.target_date) * (_xlpm.loc_col =$C21), ""),
   IF(_xlpm.filtered="", "", _xlpm.filtered)
)</f>
        <v/>
      </c>
      <c r="AB21" s="186" t="str" cm="1">
        <f t="array" ref="AB21">_xlfn.LET(
   _xlpm.data, 表格3_5[[Date]:[Location]],
   _xlpm.date_col, INDEX(_xlpm.data, , 1),
   _xlpm.name_col, INDEX(_xlpm.data, , 2),
   _xlpm.loc_col,  INDEX(_xlpm.data, , 3),
   _xlpm.target_date, DATE(YEAR($C$1), MONTH($C$1), AB$7),
   _xlpm.filtered, _xlfn._xlws.FILTER(_xlpm.name_col, (_xlpm.date_col = _xlpm.target_date) * (_xlpm.loc_col =$C21), ""),
   IF(_xlpm.filtered="", "", _xlpm.filtered)
)</f>
        <v/>
      </c>
      <c r="AC21" s="186" t="str" cm="1">
        <f t="array" ref="AC21">_xlfn.LET(
   _xlpm.data, 表格3_5[[Date]:[Location]],
   _xlpm.date_col, INDEX(_xlpm.data, , 1),
   _xlpm.name_col, INDEX(_xlpm.data, , 2),
   _xlpm.loc_col,  INDEX(_xlpm.data, , 3),
   _xlpm.target_date, DATE(YEAR($C$1), MONTH($C$1), AC$7),
   _xlpm.filtered, _xlfn._xlws.FILTER(_xlpm.name_col, (_xlpm.date_col = _xlpm.target_date) * (_xlpm.loc_col =$C21), ""),
   IF(_xlpm.filtered="", "", _xlpm.filtered)
)</f>
        <v/>
      </c>
      <c r="AD21" s="186" t="str" cm="1">
        <f t="array" ref="AD21">_xlfn.LET(
   _xlpm.data, 表格3_5[[Date]:[Location]],
   _xlpm.date_col, INDEX(_xlpm.data, , 1),
   _xlpm.name_col, INDEX(_xlpm.data, , 2),
   _xlpm.loc_col,  INDEX(_xlpm.data, , 3),
   _xlpm.target_date, DATE(YEAR($C$1), MONTH($C$1), AD$7),
   _xlpm.filtered, _xlfn._xlws.FILTER(_xlpm.name_col, (_xlpm.date_col = _xlpm.target_date) * (_xlpm.loc_col =$C21), ""),
   IF(_xlpm.filtered="", "", _xlpm.filtered)
)</f>
        <v/>
      </c>
      <c r="AE21" s="186" t="str" cm="1">
        <f t="array" ref="AE21">_xlfn.LET(
   _xlpm.data, 表格3_5[[Date]:[Location]],
   _xlpm.date_col, INDEX(_xlpm.data, , 1),
   _xlpm.name_col, INDEX(_xlpm.data, , 2),
   _xlpm.loc_col,  INDEX(_xlpm.data, , 3),
   _xlpm.target_date, DATE(YEAR($C$1), MONTH($C$1), AE$7),
   _xlpm.filtered, _xlfn._xlws.FILTER(_xlpm.name_col, (_xlpm.date_col = _xlpm.target_date) * (_xlpm.loc_col =$C21), ""),
   IF(_xlpm.filtered="", "", _xlpm.filtered)
)</f>
        <v/>
      </c>
      <c r="AF21" s="186" t="str" cm="1">
        <f t="array" ref="AF21">_xlfn.LET(
   _xlpm.data, 表格3_5[[Date]:[Location]],
   _xlpm.date_col, INDEX(_xlpm.data, , 1),
   _xlpm.name_col, INDEX(_xlpm.data, , 2),
   _xlpm.loc_col,  INDEX(_xlpm.data, , 3),
   _xlpm.target_date, DATE(YEAR($C$1), MONTH($C$1), AF$7),
   _xlpm.filtered, _xlfn._xlws.FILTER(_xlpm.name_col, (_xlpm.date_col = _xlpm.target_date) * (_xlpm.loc_col =$C21), ""),
   IF(_xlpm.filtered="", "", _xlpm.filtered)
)</f>
        <v/>
      </c>
      <c r="AG21" s="186" t="str" cm="1">
        <f t="array" ref="AG21">_xlfn.LET(
   _xlpm.data, 表格3_5[[Date]:[Location]],
   _xlpm.date_col, INDEX(_xlpm.data, , 1),
   _xlpm.name_col, INDEX(_xlpm.data, , 2),
   _xlpm.loc_col,  INDEX(_xlpm.data, , 3),
   _xlpm.target_date, DATE(YEAR($C$1), MONTH($C$1), AG$7),
   _xlpm.filtered, _xlfn._xlws.FILTER(_xlpm.name_col, (_xlpm.date_col = _xlpm.target_date) * (_xlpm.loc_col =$C21), ""),
   IF(_xlpm.filtered="", "", _xlpm.filtered)
)</f>
        <v/>
      </c>
      <c r="AH21" s="186" t="str" cm="1">
        <f t="array" ref="AH21">_xlfn.LET(
   _xlpm.data, 表格3_5[[Date]:[Location]],
   _xlpm.date_col, INDEX(_xlpm.data, , 1),
   _xlpm.name_col, INDEX(_xlpm.data, , 2),
   _xlpm.loc_col,  INDEX(_xlpm.data, , 3),
   _xlpm.target_date, DATE(YEAR($C$1), MONTH($C$1), AH$7),
   _xlpm.filtered, _xlfn._xlws.FILTER(_xlpm.name_col, (_xlpm.date_col = _xlpm.target_date) * (_xlpm.loc_col =$C21), ""),
   IF(_xlpm.filtered="", "", _xlpm.filtered)
)</f>
        <v/>
      </c>
      <c r="AI21" s="187">
        <f t="shared" si="33"/>
        <v>0</v>
      </c>
      <c r="AJ21" s="187">
        <f t="shared" ref="AJ21:AJ31" si="36">AI21*8</f>
        <v>0</v>
      </c>
    </row>
    <row r="22" spans="2:72">
      <c r="B22" t="e" cm="1" vm="1">
        <f t="array" ref="B22">_xlfn.LET(
    _xlpm.data, D22:AH22,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C22" s="180"/>
      <c r="D22" s="186" t="str" cm="1">
        <f t="array" ref="D22">_xlfn.LET(
   _xlpm.data, 表格3_5[[Date]:[Location]],
   _xlpm.date_col, INDEX(_xlpm.data, , 1),
   _xlpm.name_col, INDEX(_xlpm.data, , 2),
   _xlpm.loc_col,  INDEX(_xlpm.data, , 3),
   _xlpm.target_date, DATE(YEAR($C$1), MONTH($C$1), D$7),
   _xlpm.filtered, _xlfn._xlws.FILTER(_xlpm.name_col, (_xlpm.date_col = _xlpm.target_date) * (_xlpm.loc_col =$C22), ""),
   IF(_xlpm.filtered="", "", _xlpm.filtered)
)</f>
        <v/>
      </c>
      <c r="E22" s="186" t="str" cm="1">
        <f t="array" ref="E22">_xlfn.LET(
   _xlpm.data, 表格3_5[[Date]:[Location]],
   _xlpm.date_col, INDEX(_xlpm.data, , 1),
   _xlpm.name_col, INDEX(_xlpm.data, , 2),
   _xlpm.loc_col,  INDEX(_xlpm.data, , 3),
   _xlpm.target_date, DATE(YEAR($C$1), MONTH($C$1), E$7),
   _xlpm.filtered, _xlfn._xlws.FILTER(_xlpm.name_col, (_xlpm.date_col = _xlpm.target_date) * (_xlpm.loc_col =$C22), ""),
   IF(_xlpm.filtered="", "", _xlpm.filtered)
)</f>
        <v/>
      </c>
      <c r="F22" s="186" t="str" cm="1">
        <f t="array" ref="F22">_xlfn.LET(
   _xlpm.data, 表格3_5[[Date]:[Location]],
   _xlpm.date_col, INDEX(_xlpm.data, , 1),
   _xlpm.name_col, INDEX(_xlpm.data, , 2),
   _xlpm.loc_col,  INDEX(_xlpm.data, , 3),
   _xlpm.target_date, DATE(YEAR($C$1), MONTH($C$1), F$7),
   _xlpm.filtered, _xlfn._xlws.FILTER(_xlpm.name_col, (_xlpm.date_col = _xlpm.target_date) * (_xlpm.loc_col =$C22), ""),
   IF(_xlpm.filtered="", "", _xlpm.filtered)
)</f>
        <v/>
      </c>
      <c r="G22" s="186" t="str" cm="1">
        <f t="array" ref="G22">_xlfn.LET(
   _xlpm.data, 表格3_5[[Date]:[Location]],
   _xlpm.date_col, INDEX(_xlpm.data, , 1),
   _xlpm.name_col, INDEX(_xlpm.data, , 2),
   _xlpm.loc_col,  INDEX(_xlpm.data, , 3),
   _xlpm.target_date, DATE(YEAR($C$1), MONTH($C$1), G$7),
   _xlpm.filtered, _xlfn._xlws.FILTER(_xlpm.name_col, (_xlpm.date_col = _xlpm.target_date) * (_xlpm.loc_col =$C22), ""),
   IF(_xlpm.filtered="", "", _xlpm.filtered)
)</f>
        <v/>
      </c>
      <c r="H22" s="186" t="str" cm="1">
        <f t="array" ref="H22">_xlfn.LET(
   _xlpm.data, 表格3_5[[Date]:[Location]],
   _xlpm.date_col, INDEX(_xlpm.data, , 1),
   _xlpm.name_col, INDEX(_xlpm.data, , 2),
   _xlpm.loc_col,  INDEX(_xlpm.data, , 3),
   _xlpm.target_date, DATE(YEAR($C$1), MONTH($C$1), H$7),
   _xlpm.filtered, _xlfn._xlws.FILTER(_xlpm.name_col, (_xlpm.date_col = _xlpm.target_date) * (_xlpm.loc_col =$C22), ""),
   IF(_xlpm.filtered="", "", _xlpm.filtered)
)</f>
        <v/>
      </c>
      <c r="I22" s="186" t="str" cm="1">
        <f t="array" ref="I22">_xlfn.LET(
   _xlpm.data, 表格3_5[[Date]:[Location]],
   _xlpm.date_col, INDEX(_xlpm.data, , 1),
   _xlpm.name_col, INDEX(_xlpm.data, , 2),
   _xlpm.loc_col,  INDEX(_xlpm.data, , 3),
   _xlpm.target_date, DATE(YEAR($C$1), MONTH($C$1), I$7),
   _xlpm.filtered, _xlfn._xlws.FILTER(_xlpm.name_col, (_xlpm.date_col = _xlpm.target_date) * (_xlpm.loc_col =$C22), ""),
   IF(_xlpm.filtered="", "", _xlpm.filtered)
)</f>
        <v/>
      </c>
      <c r="J22" s="186" t="str" cm="1">
        <f t="array" ref="J22">_xlfn.LET(
   _xlpm.data, 表格3_5[[Date]:[Location]],
   _xlpm.date_col, INDEX(_xlpm.data, , 1),
   _xlpm.name_col, INDEX(_xlpm.data, , 2),
   _xlpm.loc_col,  INDEX(_xlpm.data, , 3),
   _xlpm.target_date, DATE(YEAR($C$1), MONTH($C$1), J$7),
   _xlpm.filtered, _xlfn._xlws.FILTER(_xlpm.name_col, (_xlpm.date_col = _xlpm.target_date) * (_xlpm.loc_col =$C22), ""),
   IF(_xlpm.filtered="", "", _xlpm.filtered)
)</f>
        <v/>
      </c>
      <c r="K22" s="186" t="str" cm="1">
        <f t="array" ref="K22">_xlfn.LET(
   _xlpm.data, 表格3_5[[Date]:[Location]],
   _xlpm.date_col, INDEX(_xlpm.data, , 1),
   _xlpm.name_col, INDEX(_xlpm.data, , 2),
   _xlpm.loc_col,  INDEX(_xlpm.data, , 3),
   _xlpm.target_date, DATE(YEAR($C$1), MONTH($C$1), K$7),
   _xlpm.filtered, _xlfn._xlws.FILTER(_xlpm.name_col, (_xlpm.date_col = _xlpm.target_date) * (_xlpm.loc_col =$C22), ""),
   IF(_xlpm.filtered="", "", _xlpm.filtered)
)</f>
        <v/>
      </c>
      <c r="L22" s="186" t="str" cm="1">
        <f t="array" ref="L22">_xlfn.LET(
   _xlpm.data, 表格3_5[[Date]:[Location]],
   _xlpm.date_col, INDEX(_xlpm.data, , 1),
   _xlpm.name_col, INDEX(_xlpm.data, , 2),
   _xlpm.loc_col,  INDEX(_xlpm.data, , 3),
   _xlpm.target_date, DATE(YEAR($C$1), MONTH($C$1), L$7),
   _xlpm.filtered, _xlfn._xlws.FILTER(_xlpm.name_col, (_xlpm.date_col = _xlpm.target_date) * (_xlpm.loc_col =$C22), ""),
   IF(_xlpm.filtered="", "", _xlpm.filtered)
)</f>
        <v/>
      </c>
      <c r="M22" s="186" t="str" cm="1">
        <f t="array" ref="M22">_xlfn.LET(
   _xlpm.data, 表格3_5[[Date]:[Location]],
   _xlpm.date_col, INDEX(_xlpm.data, , 1),
   _xlpm.name_col, INDEX(_xlpm.data, , 2),
   _xlpm.loc_col,  INDEX(_xlpm.data, , 3),
   _xlpm.target_date, DATE(YEAR($C$1), MONTH($C$1), M$7),
   _xlpm.filtered, _xlfn._xlws.FILTER(_xlpm.name_col, (_xlpm.date_col = _xlpm.target_date) * (_xlpm.loc_col =$C22), ""),
   IF(_xlpm.filtered="", "", _xlpm.filtered)
)</f>
        <v/>
      </c>
      <c r="N22" s="186" t="str" cm="1">
        <f t="array" ref="N22">_xlfn.LET(
   _xlpm.data, 表格3_5[[Date]:[Location]],
   _xlpm.date_col, INDEX(_xlpm.data, , 1),
   _xlpm.name_col, INDEX(_xlpm.data, , 2),
   _xlpm.loc_col,  INDEX(_xlpm.data, , 3),
   _xlpm.target_date, DATE(YEAR($C$1), MONTH($C$1), N$7),
   _xlpm.filtered, _xlfn._xlws.FILTER(_xlpm.name_col, (_xlpm.date_col = _xlpm.target_date) * (_xlpm.loc_col =$C22), ""),
   IF(_xlpm.filtered="", "", _xlpm.filtered)
)</f>
        <v/>
      </c>
      <c r="O22" s="186" t="str" cm="1">
        <f t="array" ref="O22">_xlfn.LET(
   _xlpm.data, 表格3_5[[Date]:[Location]],
   _xlpm.date_col, INDEX(_xlpm.data, , 1),
   _xlpm.name_col, INDEX(_xlpm.data, , 2),
   _xlpm.loc_col,  INDEX(_xlpm.data, , 3),
   _xlpm.target_date, DATE(YEAR($C$1), MONTH($C$1), O$7),
   _xlpm.filtered, _xlfn._xlws.FILTER(_xlpm.name_col, (_xlpm.date_col = _xlpm.target_date) * (_xlpm.loc_col =$C22), ""),
   IF(_xlpm.filtered="", "", _xlpm.filtered)
)</f>
        <v/>
      </c>
      <c r="P22" s="186" t="str" cm="1">
        <f t="array" ref="P22">_xlfn.LET(
   _xlpm.data, 表格3_5[[Date]:[Location]],
   _xlpm.date_col, INDEX(_xlpm.data, , 1),
   _xlpm.name_col, INDEX(_xlpm.data, , 2),
   _xlpm.loc_col,  INDEX(_xlpm.data, , 3),
   _xlpm.target_date, DATE(YEAR($C$1), MONTH($C$1), P$7),
   _xlpm.filtered, _xlfn._xlws.FILTER(_xlpm.name_col, (_xlpm.date_col = _xlpm.target_date) * (_xlpm.loc_col =$C22), ""),
   IF(_xlpm.filtered="", "", _xlpm.filtered)
)</f>
        <v/>
      </c>
      <c r="Q22" s="186" t="str" cm="1">
        <f t="array" ref="Q22">_xlfn.LET(
   _xlpm.data, 表格3_5[[Date]:[Location]],
   _xlpm.date_col, INDEX(_xlpm.data, , 1),
   _xlpm.name_col, INDEX(_xlpm.data, , 2),
   _xlpm.loc_col,  INDEX(_xlpm.data, , 3),
   _xlpm.target_date, DATE(YEAR($C$1), MONTH($C$1), Q$7),
   _xlpm.filtered, _xlfn._xlws.FILTER(_xlpm.name_col, (_xlpm.date_col = _xlpm.target_date) * (_xlpm.loc_col =$C22), ""),
   IF(_xlpm.filtered="", "", _xlpm.filtered)
)</f>
        <v/>
      </c>
      <c r="R22" s="186" t="str" cm="1">
        <f t="array" ref="R22">_xlfn.LET(
   _xlpm.data, 表格3_5[[Date]:[Location]],
   _xlpm.date_col, INDEX(_xlpm.data, , 1),
   _xlpm.name_col, INDEX(_xlpm.data, , 2),
   _xlpm.loc_col,  INDEX(_xlpm.data, , 3),
   _xlpm.target_date, DATE(YEAR($C$1), MONTH($C$1), R$7),
   _xlpm.filtered, _xlfn._xlws.FILTER(_xlpm.name_col, (_xlpm.date_col = _xlpm.target_date) * (_xlpm.loc_col =$C22), ""),
   IF(_xlpm.filtered="", "", _xlpm.filtered)
)</f>
        <v/>
      </c>
      <c r="S22" s="186" t="str" cm="1">
        <f t="array" ref="S22">_xlfn.LET(
   _xlpm.data, 表格3_5[[Date]:[Location]],
   _xlpm.date_col, INDEX(_xlpm.data, , 1),
   _xlpm.name_col, INDEX(_xlpm.data, , 2),
   _xlpm.loc_col,  INDEX(_xlpm.data, , 3),
   _xlpm.target_date, DATE(YEAR($C$1), MONTH($C$1), S$7),
   _xlpm.filtered, _xlfn._xlws.FILTER(_xlpm.name_col, (_xlpm.date_col = _xlpm.target_date) * (_xlpm.loc_col =$C22), ""),
   IF(_xlpm.filtered="", "", _xlpm.filtered)
)</f>
        <v/>
      </c>
      <c r="T22" s="186" t="str" cm="1">
        <f t="array" ref="T22">_xlfn.LET(
   _xlpm.data, 表格3_5[[Date]:[Location]],
   _xlpm.date_col, INDEX(_xlpm.data, , 1),
   _xlpm.name_col, INDEX(_xlpm.data, , 2),
   _xlpm.loc_col,  INDEX(_xlpm.data, , 3),
   _xlpm.target_date, DATE(YEAR($C$1), MONTH($C$1), T$7),
   _xlpm.filtered, _xlfn._xlws.FILTER(_xlpm.name_col, (_xlpm.date_col = _xlpm.target_date) * (_xlpm.loc_col =$C22), ""),
   IF(_xlpm.filtered="", "", _xlpm.filtered)
)</f>
        <v/>
      </c>
      <c r="U22" s="186" t="str" cm="1">
        <f t="array" ref="U22">_xlfn.LET(
   _xlpm.data, 表格3_5[[Date]:[Location]],
   _xlpm.date_col, INDEX(_xlpm.data, , 1),
   _xlpm.name_col, INDEX(_xlpm.data, , 2),
   _xlpm.loc_col,  INDEX(_xlpm.data, , 3),
   _xlpm.target_date, DATE(YEAR($C$1), MONTH($C$1), U$7),
   _xlpm.filtered, _xlfn._xlws.FILTER(_xlpm.name_col, (_xlpm.date_col = _xlpm.target_date) * (_xlpm.loc_col =$C22), ""),
   IF(_xlpm.filtered="", "", _xlpm.filtered)
)</f>
        <v/>
      </c>
      <c r="V22" s="186" t="str" cm="1">
        <f t="array" ref="V22">_xlfn.LET(
   _xlpm.data, 表格3_5[[Date]:[Location]],
   _xlpm.date_col, INDEX(_xlpm.data, , 1),
   _xlpm.name_col, INDEX(_xlpm.data, , 2),
   _xlpm.loc_col,  INDEX(_xlpm.data, , 3),
   _xlpm.target_date, DATE(YEAR($C$1), MONTH($C$1), V$7),
   _xlpm.filtered, _xlfn._xlws.FILTER(_xlpm.name_col, (_xlpm.date_col = _xlpm.target_date) * (_xlpm.loc_col =$C22), ""),
   IF(_xlpm.filtered="", "", _xlpm.filtered)
)</f>
        <v/>
      </c>
      <c r="W22" s="186" t="str" cm="1">
        <f t="array" ref="W22">_xlfn.LET(
   _xlpm.data, 表格3_5[[Date]:[Location]],
   _xlpm.date_col, INDEX(_xlpm.data, , 1),
   _xlpm.name_col, INDEX(_xlpm.data, , 2),
   _xlpm.loc_col,  INDEX(_xlpm.data, , 3),
   _xlpm.target_date, DATE(YEAR($C$1), MONTH($C$1), W$7),
   _xlpm.filtered, _xlfn._xlws.FILTER(_xlpm.name_col, (_xlpm.date_col = _xlpm.target_date) * (_xlpm.loc_col =$C22), ""),
   IF(_xlpm.filtered="", "", _xlpm.filtered)
)</f>
        <v/>
      </c>
      <c r="X22" s="186" t="str" cm="1">
        <f t="array" ref="X22">_xlfn.LET(
   _xlpm.data, 表格3_5[[Date]:[Location]],
   _xlpm.date_col, INDEX(_xlpm.data, , 1),
   _xlpm.name_col, INDEX(_xlpm.data, , 2),
   _xlpm.loc_col,  INDEX(_xlpm.data, , 3),
   _xlpm.target_date, DATE(YEAR($C$1), MONTH($C$1), X$7),
   _xlpm.filtered, _xlfn._xlws.FILTER(_xlpm.name_col, (_xlpm.date_col = _xlpm.target_date) * (_xlpm.loc_col =$C22), ""),
   IF(_xlpm.filtered="", "", _xlpm.filtered)
)</f>
        <v/>
      </c>
      <c r="Y22" s="186" t="str" cm="1">
        <f t="array" ref="Y22">_xlfn.LET(
   _xlpm.data, 表格3_5[[Date]:[Location]],
   _xlpm.date_col, INDEX(_xlpm.data, , 1),
   _xlpm.name_col, INDEX(_xlpm.data, , 2),
   _xlpm.loc_col,  INDEX(_xlpm.data, , 3),
   _xlpm.target_date, DATE(YEAR($C$1), MONTH($C$1), Y$7),
   _xlpm.filtered, _xlfn._xlws.FILTER(_xlpm.name_col, (_xlpm.date_col = _xlpm.target_date) * (_xlpm.loc_col =$C22), ""),
   IF(_xlpm.filtered="", "", _xlpm.filtered)
)</f>
        <v/>
      </c>
      <c r="Z22" s="186" t="str" cm="1">
        <f t="array" ref="Z22">_xlfn.LET(
   _xlpm.data, 表格3_5[[Date]:[Location]],
   _xlpm.date_col, INDEX(_xlpm.data, , 1),
   _xlpm.name_col, INDEX(_xlpm.data, , 2),
   _xlpm.loc_col,  INDEX(_xlpm.data, , 3),
   _xlpm.target_date, DATE(YEAR($C$1), MONTH($C$1), Z$7),
   _xlpm.filtered, _xlfn._xlws.FILTER(_xlpm.name_col, (_xlpm.date_col = _xlpm.target_date) * (_xlpm.loc_col =$C22), ""),
   IF(_xlpm.filtered="", "", _xlpm.filtered)
)</f>
        <v/>
      </c>
      <c r="AA22" s="186" t="str" cm="1">
        <f t="array" ref="AA22">_xlfn.LET(
   _xlpm.data, 表格3_5[[Date]:[Location]],
   _xlpm.date_col, INDEX(_xlpm.data, , 1),
   _xlpm.name_col, INDEX(_xlpm.data, , 2),
   _xlpm.loc_col,  INDEX(_xlpm.data, , 3),
   _xlpm.target_date, DATE(YEAR($C$1), MONTH($C$1), AA$7),
   _xlpm.filtered, _xlfn._xlws.FILTER(_xlpm.name_col, (_xlpm.date_col = _xlpm.target_date) * (_xlpm.loc_col =$C22), ""),
   IF(_xlpm.filtered="", "", _xlpm.filtered)
)</f>
        <v/>
      </c>
      <c r="AB22" s="186" t="str" cm="1">
        <f t="array" ref="AB22">_xlfn.LET(
   _xlpm.data, 表格3_5[[Date]:[Location]],
   _xlpm.date_col, INDEX(_xlpm.data, , 1),
   _xlpm.name_col, INDEX(_xlpm.data, , 2),
   _xlpm.loc_col,  INDEX(_xlpm.data, , 3),
   _xlpm.target_date, DATE(YEAR($C$1), MONTH($C$1), AB$7),
   _xlpm.filtered, _xlfn._xlws.FILTER(_xlpm.name_col, (_xlpm.date_col = _xlpm.target_date) * (_xlpm.loc_col =$C22), ""),
   IF(_xlpm.filtered="", "", _xlpm.filtered)
)</f>
        <v/>
      </c>
      <c r="AC22" s="186" t="str" cm="1">
        <f t="array" ref="AC22">_xlfn.LET(
   _xlpm.data, 表格3_5[[Date]:[Location]],
   _xlpm.date_col, INDEX(_xlpm.data, , 1),
   _xlpm.name_col, INDEX(_xlpm.data, , 2),
   _xlpm.loc_col,  INDEX(_xlpm.data, , 3),
   _xlpm.target_date, DATE(YEAR($C$1), MONTH($C$1), AC$7),
   _xlpm.filtered, _xlfn._xlws.FILTER(_xlpm.name_col, (_xlpm.date_col = _xlpm.target_date) * (_xlpm.loc_col =$C22), ""),
   IF(_xlpm.filtered="", "", _xlpm.filtered)
)</f>
        <v/>
      </c>
      <c r="AD22" s="186" t="str" cm="1">
        <f t="array" ref="AD22">_xlfn.LET(
   _xlpm.data, 表格3_5[[Date]:[Location]],
   _xlpm.date_col, INDEX(_xlpm.data, , 1),
   _xlpm.name_col, INDEX(_xlpm.data, , 2),
   _xlpm.loc_col,  INDEX(_xlpm.data, , 3),
   _xlpm.target_date, DATE(YEAR($C$1), MONTH($C$1), AD$7),
   _xlpm.filtered, _xlfn._xlws.FILTER(_xlpm.name_col, (_xlpm.date_col = _xlpm.target_date) * (_xlpm.loc_col =$C22), ""),
   IF(_xlpm.filtered="", "", _xlpm.filtered)
)</f>
        <v/>
      </c>
      <c r="AE22" s="186" t="str" cm="1">
        <f t="array" ref="AE22">_xlfn.LET(
   _xlpm.data, 表格3_5[[Date]:[Location]],
   _xlpm.date_col, INDEX(_xlpm.data, , 1),
   _xlpm.name_col, INDEX(_xlpm.data, , 2),
   _xlpm.loc_col,  INDEX(_xlpm.data, , 3),
   _xlpm.target_date, DATE(YEAR($C$1), MONTH($C$1), AE$7),
   _xlpm.filtered, _xlfn._xlws.FILTER(_xlpm.name_col, (_xlpm.date_col = _xlpm.target_date) * (_xlpm.loc_col =$C22), ""),
   IF(_xlpm.filtered="", "", _xlpm.filtered)
)</f>
        <v/>
      </c>
      <c r="AF22" s="186" t="str" cm="1">
        <f t="array" ref="AF22">_xlfn.LET(
   _xlpm.data, 表格3_5[[Date]:[Location]],
   _xlpm.date_col, INDEX(_xlpm.data, , 1),
   _xlpm.name_col, INDEX(_xlpm.data, , 2),
   _xlpm.loc_col,  INDEX(_xlpm.data, , 3),
   _xlpm.target_date, DATE(YEAR($C$1), MONTH($C$1), AF$7),
   _xlpm.filtered, _xlfn._xlws.FILTER(_xlpm.name_col, (_xlpm.date_col = _xlpm.target_date) * (_xlpm.loc_col =$C22), ""),
   IF(_xlpm.filtered="", "", _xlpm.filtered)
)</f>
        <v/>
      </c>
      <c r="AG22" s="186" t="str" cm="1">
        <f t="array" ref="AG22">_xlfn.LET(
   _xlpm.data, 表格3_5[[Date]:[Location]],
   _xlpm.date_col, INDEX(_xlpm.data, , 1),
   _xlpm.name_col, INDEX(_xlpm.data, , 2),
   _xlpm.loc_col,  INDEX(_xlpm.data, , 3),
   _xlpm.target_date, DATE(YEAR($C$1), MONTH($C$1), AG$7),
   _xlpm.filtered, _xlfn._xlws.FILTER(_xlpm.name_col, (_xlpm.date_col = _xlpm.target_date) * (_xlpm.loc_col =$C22), ""),
   IF(_xlpm.filtered="", "", _xlpm.filtered)
)</f>
        <v/>
      </c>
      <c r="AH22" s="186" t="str" cm="1">
        <f t="array" ref="AH22">_xlfn.LET(
   _xlpm.data, 表格3_5[[Date]:[Location]],
   _xlpm.date_col, INDEX(_xlpm.data, , 1),
   _xlpm.name_col, INDEX(_xlpm.data, , 2),
   _xlpm.loc_col,  INDEX(_xlpm.data, , 3),
   _xlpm.target_date, DATE(YEAR($C$1), MONTH($C$1), AH$7),
   _xlpm.filtered, _xlfn._xlws.FILTER(_xlpm.name_col, (_xlpm.date_col = _xlpm.target_date) * (_xlpm.loc_col =$C22), ""),
   IF(_xlpm.filtered="", "", _xlpm.filtered)
)</f>
        <v/>
      </c>
      <c r="AI22" s="187">
        <f t="shared" si="33"/>
        <v>0</v>
      </c>
      <c r="AJ22" s="187">
        <f t="shared" si="36"/>
        <v>0</v>
      </c>
      <c r="AN22" t="str">
        <f>IF(OR(D8="."), D8,"ERROR")</f>
        <v>ERROR</v>
      </c>
    </row>
    <row r="23" spans="2:72">
      <c r="B23" t="e" cm="1" vm="1">
        <f t="array" ref="B23">_xlfn.LET(
    _xlpm.data, D23:AH23,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C23" s="180"/>
      <c r="D23" s="186" t="str" cm="1">
        <f t="array" ref="D23">_xlfn.LET(
   _xlpm.data, 表格3_5[[Date]:[Location]],
   _xlpm.date_col, INDEX(_xlpm.data, , 1),
   _xlpm.name_col, INDEX(_xlpm.data, , 2),
   _xlpm.loc_col,  INDEX(_xlpm.data, , 3),
   _xlpm.target_date, DATE(YEAR($C$1), MONTH($C$1), D$7),
   _xlpm.filtered, _xlfn._xlws.FILTER(_xlpm.name_col, (_xlpm.date_col = _xlpm.target_date) * (_xlpm.loc_col =$C23), ""),
   IF(_xlpm.filtered="", "", _xlpm.filtered)
)</f>
        <v/>
      </c>
      <c r="E23" s="186" t="str" cm="1">
        <f t="array" ref="E23">_xlfn.LET(
   _xlpm.data, 表格3_5[[Date]:[Location]],
   _xlpm.date_col, INDEX(_xlpm.data, , 1),
   _xlpm.name_col, INDEX(_xlpm.data, , 2),
   _xlpm.loc_col,  INDEX(_xlpm.data, , 3),
   _xlpm.target_date, DATE(YEAR($C$1), MONTH($C$1), E$7),
   _xlpm.filtered, _xlfn._xlws.FILTER(_xlpm.name_col, (_xlpm.date_col = _xlpm.target_date) * (_xlpm.loc_col =$C23), ""),
   IF(_xlpm.filtered="", "", _xlpm.filtered)
)</f>
        <v/>
      </c>
      <c r="F23" s="186" t="str" cm="1">
        <f t="array" ref="F23">_xlfn.LET(
   _xlpm.data, 表格3_5[[Date]:[Location]],
   _xlpm.date_col, INDEX(_xlpm.data, , 1),
   _xlpm.name_col, INDEX(_xlpm.data, , 2),
   _xlpm.loc_col,  INDEX(_xlpm.data, , 3),
   _xlpm.target_date, DATE(YEAR($C$1), MONTH($C$1), F$7),
   _xlpm.filtered, _xlfn._xlws.FILTER(_xlpm.name_col, (_xlpm.date_col = _xlpm.target_date) * (_xlpm.loc_col =$C23), ""),
   IF(_xlpm.filtered="", "", _xlpm.filtered)
)</f>
        <v/>
      </c>
      <c r="G23" s="186" t="str" cm="1">
        <f t="array" ref="G23">_xlfn.LET(
   _xlpm.data, 表格3_5[[Date]:[Location]],
   _xlpm.date_col, INDEX(_xlpm.data, , 1),
   _xlpm.name_col, INDEX(_xlpm.data, , 2),
   _xlpm.loc_col,  INDEX(_xlpm.data, , 3),
   _xlpm.target_date, DATE(YEAR($C$1), MONTH($C$1), G$7),
   _xlpm.filtered, _xlfn._xlws.FILTER(_xlpm.name_col, (_xlpm.date_col = _xlpm.target_date) * (_xlpm.loc_col =$C23), ""),
   IF(_xlpm.filtered="", "", _xlpm.filtered)
)</f>
        <v/>
      </c>
      <c r="H23" s="186" t="str" cm="1">
        <f t="array" ref="H23">_xlfn.LET(
   _xlpm.data, 表格3_5[[Date]:[Location]],
   _xlpm.date_col, INDEX(_xlpm.data, , 1),
   _xlpm.name_col, INDEX(_xlpm.data, , 2),
   _xlpm.loc_col,  INDEX(_xlpm.data, , 3),
   _xlpm.target_date, DATE(YEAR($C$1), MONTH($C$1), H$7),
   _xlpm.filtered, _xlfn._xlws.FILTER(_xlpm.name_col, (_xlpm.date_col = _xlpm.target_date) * (_xlpm.loc_col =$C23), ""),
   IF(_xlpm.filtered="", "", _xlpm.filtered)
)</f>
        <v/>
      </c>
      <c r="I23" s="186" t="str" cm="1">
        <f t="array" ref="I23">_xlfn.LET(
   _xlpm.data, 表格3_5[[Date]:[Location]],
   _xlpm.date_col, INDEX(_xlpm.data, , 1),
   _xlpm.name_col, INDEX(_xlpm.data, , 2),
   _xlpm.loc_col,  INDEX(_xlpm.data, , 3),
   _xlpm.target_date, DATE(YEAR($C$1), MONTH($C$1), I$7),
   _xlpm.filtered, _xlfn._xlws.FILTER(_xlpm.name_col, (_xlpm.date_col = _xlpm.target_date) * (_xlpm.loc_col =$C23), ""),
   IF(_xlpm.filtered="", "", _xlpm.filtered)
)</f>
        <v/>
      </c>
      <c r="J23" s="186" t="str" cm="1">
        <f t="array" ref="J23">_xlfn.LET(
   _xlpm.data, 表格3_5[[Date]:[Location]],
   _xlpm.date_col, INDEX(_xlpm.data, , 1),
   _xlpm.name_col, INDEX(_xlpm.data, , 2),
   _xlpm.loc_col,  INDEX(_xlpm.data, , 3),
   _xlpm.target_date, DATE(YEAR($C$1), MONTH($C$1), J$7),
   _xlpm.filtered, _xlfn._xlws.FILTER(_xlpm.name_col, (_xlpm.date_col = _xlpm.target_date) * (_xlpm.loc_col =$C23), ""),
   IF(_xlpm.filtered="", "", _xlpm.filtered)
)</f>
        <v/>
      </c>
      <c r="K23" s="186" t="str" cm="1">
        <f t="array" ref="K23">_xlfn.LET(
   _xlpm.data, 表格3_5[[Date]:[Location]],
   _xlpm.date_col, INDEX(_xlpm.data, , 1),
   _xlpm.name_col, INDEX(_xlpm.data, , 2),
   _xlpm.loc_col,  INDEX(_xlpm.data, , 3),
   _xlpm.target_date, DATE(YEAR($C$1), MONTH($C$1), K$7),
   _xlpm.filtered, _xlfn._xlws.FILTER(_xlpm.name_col, (_xlpm.date_col = _xlpm.target_date) * (_xlpm.loc_col =$C23), ""),
   IF(_xlpm.filtered="", "", _xlpm.filtered)
)</f>
        <v/>
      </c>
      <c r="L23" s="186" t="str" cm="1">
        <f t="array" ref="L23">_xlfn.LET(
   _xlpm.data, 表格3_5[[Date]:[Location]],
   _xlpm.date_col, INDEX(_xlpm.data, , 1),
   _xlpm.name_col, INDEX(_xlpm.data, , 2),
   _xlpm.loc_col,  INDEX(_xlpm.data, , 3),
   _xlpm.target_date, DATE(YEAR($C$1), MONTH($C$1), L$7),
   _xlpm.filtered, _xlfn._xlws.FILTER(_xlpm.name_col, (_xlpm.date_col = _xlpm.target_date) * (_xlpm.loc_col =$C23), ""),
   IF(_xlpm.filtered="", "", _xlpm.filtered)
)</f>
        <v/>
      </c>
      <c r="M23" s="186" t="str" cm="1">
        <f t="array" ref="M23">_xlfn.LET(
   _xlpm.data, 表格3_5[[Date]:[Location]],
   _xlpm.date_col, INDEX(_xlpm.data, , 1),
   _xlpm.name_col, INDEX(_xlpm.data, , 2),
   _xlpm.loc_col,  INDEX(_xlpm.data, , 3),
   _xlpm.target_date, DATE(YEAR($C$1), MONTH($C$1), M$7),
   _xlpm.filtered, _xlfn._xlws.FILTER(_xlpm.name_col, (_xlpm.date_col = _xlpm.target_date) * (_xlpm.loc_col =$C23), ""),
   IF(_xlpm.filtered="", "", _xlpm.filtered)
)</f>
        <v/>
      </c>
      <c r="N23" s="186" t="str" cm="1">
        <f t="array" ref="N23">_xlfn.LET(
   _xlpm.data, 表格3_5[[Date]:[Location]],
   _xlpm.date_col, INDEX(_xlpm.data, , 1),
   _xlpm.name_col, INDEX(_xlpm.data, , 2),
   _xlpm.loc_col,  INDEX(_xlpm.data, , 3),
   _xlpm.target_date, DATE(YEAR($C$1), MONTH($C$1), N$7),
   _xlpm.filtered, _xlfn._xlws.FILTER(_xlpm.name_col, (_xlpm.date_col = _xlpm.target_date) * (_xlpm.loc_col =$C23), ""),
   IF(_xlpm.filtered="", "", _xlpm.filtered)
)</f>
        <v/>
      </c>
      <c r="O23" s="186" t="str" cm="1">
        <f t="array" ref="O23">_xlfn.LET(
   _xlpm.data, 表格3_5[[Date]:[Location]],
   _xlpm.date_col, INDEX(_xlpm.data, , 1),
   _xlpm.name_col, INDEX(_xlpm.data, , 2),
   _xlpm.loc_col,  INDEX(_xlpm.data, , 3),
   _xlpm.target_date, DATE(YEAR($C$1), MONTH($C$1), O$7),
   _xlpm.filtered, _xlfn._xlws.FILTER(_xlpm.name_col, (_xlpm.date_col = _xlpm.target_date) * (_xlpm.loc_col =$C23), ""),
   IF(_xlpm.filtered="", "", _xlpm.filtered)
)</f>
        <v/>
      </c>
      <c r="P23" s="186" t="str" cm="1">
        <f t="array" ref="P23">_xlfn.LET(
   _xlpm.data, 表格3_5[[Date]:[Location]],
   _xlpm.date_col, INDEX(_xlpm.data, , 1),
   _xlpm.name_col, INDEX(_xlpm.data, , 2),
   _xlpm.loc_col,  INDEX(_xlpm.data, , 3),
   _xlpm.target_date, DATE(YEAR($C$1), MONTH($C$1), P$7),
   _xlpm.filtered, _xlfn._xlws.FILTER(_xlpm.name_col, (_xlpm.date_col = _xlpm.target_date) * (_xlpm.loc_col =$C23), ""),
   IF(_xlpm.filtered="", "", _xlpm.filtered)
)</f>
        <v/>
      </c>
      <c r="Q23" s="186" t="str" cm="1">
        <f t="array" ref="Q23">_xlfn.LET(
   _xlpm.data, 表格3_5[[Date]:[Location]],
   _xlpm.date_col, INDEX(_xlpm.data, , 1),
   _xlpm.name_col, INDEX(_xlpm.data, , 2),
   _xlpm.loc_col,  INDEX(_xlpm.data, , 3),
   _xlpm.target_date, DATE(YEAR($C$1), MONTH($C$1), Q$7),
   _xlpm.filtered, _xlfn._xlws.FILTER(_xlpm.name_col, (_xlpm.date_col = _xlpm.target_date) * (_xlpm.loc_col =$C23), ""),
   IF(_xlpm.filtered="", "", _xlpm.filtered)
)</f>
        <v/>
      </c>
      <c r="R23" s="186" t="str" cm="1">
        <f t="array" ref="R23">_xlfn.LET(
   _xlpm.data, 表格3_5[[Date]:[Location]],
   _xlpm.date_col, INDEX(_xlpm.data, , 1),
   _xlpm.name_col, INDEX(_xlpm.data, , 2),
   _xlpm.loc_col,  INDEX(_xlpm.data, , 3),
   _xlpm.target_date, DATE(YEAR($C$1), MONTH($C$1), R$7),
   _xlpm.filtered, _xlfn._xlws.FILTER(_xlpm.name_col, (_xlpm.date_col = _xlpm.target_date) * (_xlpm.loc_col =$C23), ""),
   IF(_xlpm.filtered="", "", _xlpm.filtered)
)</f>
        <v/>
      </c>
      <c r="S23" s="186" t="str" cm="1">
        <f t="array" ref="S23">_xlfn.LET(
   _xlpm.data, 表格3_5[[Date]:[Location]],
   _xlpm.date_col, INDEX(_xlpm.data, , 1),
   _xlpm.name_col, INDEX(_xlpm.data, , 2),
   _xlpm.loc_col,  INDEX(_xlpm.data, , 3),
   _xlpm.target_date, DATE(YEAR($C$1), MONTH($C$1), S$7),
   _xlpm.filtered, _xlfn._xlws.FILTER(_xlpm.name_col, (_xlpm.date_col = _xlpm.target_date) * (_xlpm.loc_col =$C23), ""),
   IF(_xlpm.filtered="", "", _xlpm.filtered)
)</f>
        <v/>
      </c>
      <c r="T23" s="186" t="str" cm="1">
        <f t="array" ref="T23">_xlfn.LET(
   _xlpm.data, 表格3_5[[Date]:[Location]],
   _xlpm.date_col, INDEX(_xlpm.data, , 1),
   _xlpm.name_col, INDEX(_xlpm.data, , 2),
   _xlpm.loc_col,  INDEX(_xlpm.data, , 3),
   _xlpm.target_date, DATE(YEAR($C$1), MONTH($C$1), T$7),
   _xlpm.filtered, _xlfn._xlws.FILTER(_xlpm.name_col, (_xlpm.date_col = _xlpm.target_date) * (_xlpm.loc_col =$C23), ""),
   IF(_xlpm.filtered="", "", _xlpm.filtered)
)</f>
        <v/>
      </c>
      <c r="U23" s="186" t="str" cm="1">
        <f t="array" ref="U23">_xlfn.LET(
   _xlpm.data, 表格3_5[[Date]:[Location]],
   _xlpm.date_col, INDEX(_xlpm.data, , 1),
   _xlpm.name_col, INDEX(_xlpm.data, , 2),
   _xlpm.loc_col,  INDEX(_xlpm.data, , 3),
   _xlpm.target_date, DATE(YEAR($C$1), MONTH($C$1), U$7),
   _xlpm.filtered, _xlfn._xlws.FILTER(_xlpm.name_col, (_xlpm.date_col = _xlpm.target_date) * (_xlpm.loc_col =$C23), ""),
   IF(_xlpm.filtered="", "", _xlpm.filtered)
)</f>
        <v/>
      </c>
      <c r="V23" s="186" t="str" cm="1">
        <f t="array" ref="V23">_xlfn.LET(
   _xlpm.data, 表格3_5[[Date]:[Location]],
   _xlpm.date_col, INDEX(_xlpm.data, , 1),
   _xlpm.name_col, INDEX(_xlpm.data, , 2),
   _xlpm.loc_col,  INDEX(_xlpm.data, , 3),
   _xlpm.target_date, DATE(YEAR($C$1), MONTH($C$1), V$7),
   _xlpm.filtered, _xlfn._xlws.FILTER(_xlpm.name_col, (_xlpm.date_col = _xlpm.target_date) * (_xlpm.loc_col =$C23), ""),
   IF(_xlpm.filtered="", "", _xlpm.filtered)
)</f>
        <v/>
      </c>
      <c r="W23" s="186" t="str" cm="1">
        <f t="array" ref="W23">_xlfn.LET(
   _xlpm.data, 表格3_5[[Date]:[Location]],
   _xlpm.date_col, INDEX(_xlpm.data, , 1),
   _xlpm.name_col, INDEX(_xlpm.data, , 2),
   _xlpm.loc_col,  INDEX(_xlpm.data, , 3),
   _xlpm.target_date, DATE(YEAR($C$1), MONTH($C$1), W$7),
   _xlpm.filtered, _xlfn._xlws.FILTER(_xlpm.name_col, (_xlpm.date_col = _xlpm.target_date) * (_xlpm.loc_col =$C23), ""),
   IF(_xlpm.filtered="", "", _xlpm.filtered)
)</f>
        <v/>
      </c>
      <c r="X23" s="186" t="str" cm="1">
        <f t="array" ref="X23">_xlfn.LET(
   _xlpm.data, 表格3_5[[Date]:[Location]],
   _xlpm.date_col, INDEX(_xlpm.data, , 1),
   _xlpm.name_col, INDEX(_xlpm.data, , 2),
   _xlpm.loc_col,  INDEX(_xlpm.data, , 3),
   _xlpm.target_date, DATE(YEAR($C$1), MONTH($C$1), X$7),
   _xlpm.filtered, _xlfn._xlws.FILTER(_xlpm.name_col, (_xlpm.date_col = _xlpm.target_date) * (_xlpm.loc_col =$C23), ""),
   IF(_xlpm.filtered="", "", _xlpm.filtered)
)</f>
        <v/>
      </c>
      <c r="Y23" s="186" t="str" cm="1">
        <f t="array" ref="Y23">_xlfn.LET(
   _xlpm.data, 表格3_5[[Date]:[Location]],
   _xlpm.date_col, INDEX(_xlpm.data, , 1),
   _xlpm.name_col, INDEX(_xlpm.data, , 2),
   _xlpm.loc_col,  INDEX(_xlpm.data, , 3),
   _xlpm.target_date, DATE(YEAR($C$1), MONTH($C$1), Y$7),
   _xlpm.filtered, _xlfn._xlws.FILTER(_xlpm.name_col, (_xlpm.date_col = _xlpm.target_date) * (_xlpm.loc_col =$C23), ""),
   IF(_xlpm.filtered="", "", _xlpm.filtered)
)</f>
        <v/>
      </c>
      <c r="Z23" s="186" t="str" cm="1">
        <f t="array" ref="Z23">_xlfn.LET(
   _xlpm.data, 表格3_5[[Date]:[Location]],
   _xlpm.date_col, INDEX(_xlpm.data, , 1),
   _xlpm.name_col, INDEX(_xlpm.data, , 2),
   _xlpm.loc_col,  INDEX(_xlpm.data, , 3),
   _xlpm.target_date, DATE(YEAR($C$1), MONTH($C$1), Z$7),
   _xlpm.filtered, _xlfn._xlws.FILTER(_xlpm.name_col, (_xlpm.date_col = _xlpm.target_date) * (_xlpm.loc_col =$C23), ""),
   IF(_xlpm.filtered="", "", _xlpm.filtered)
)</f>
        <v/>
      </c>
      <c r="AA23" s="186" t="str" cm="1">
        <f t="array" ref="AA23">_xlfn.LET(
   _xlpm.data, 表格3_5[[Date]:[Location]],
   _xlpm.date_col, INDEX(_xlpm.data, , 1),
   _xlpm.name_col, INDEX(_xlpm.data, , 2),
   _xlpm.loc_col,  INDEX(_xlpm.data, , 3),
   _xlpm.target_date, DATE(YEAR($C$1), MONTH($C$1), AA$7),
   _xlpm.filtered, _xlfn._xlws.FILTER(_xlpm.name_col, (_xlpm.date_col = _xlpm.target_date) * (_xlpm.loc_col =$C23), ""),
   IF(_xlpm.filtered="", "", _xlpm.filtered)
)</f>
        <v/>
      </c>
      <c r="AB23" s="186" t="str" cm="1">
        <f t="array" ref="AB23">_xlfn.LET(
   _xlpm.data, 表格3_5[[Date]:[Location]],
   _xlpm.date_col, INDEX(_xlpm.data, , 1),
   _xlpm.name_col, INDEX(_xlpm.data, , 2),
   _xlpm.loc_col,  INDEX(_xlpm.data, , 3),
   _xlpm.target_date, DATE(YEAR($C$1), MONTH($C$1), AB$7),
   _xlpm.filtered, _xlfn._xlws.FILTER(_xlpm.name_col, (_xlpm.date_col = _xlpm.target_date) * (_xlpm.loc_col =$C23), ""),
   IF(_xlpm.filtered="", "", _xlpm.filtered)
)</f>
        <v/>
      </c>
      <c r="AC23" s="186" t="str" cm="1">
        <f t="array" ref="AC23">_xlfn.LET(
   _xlpm.data, 表格3_5[[Date]:[Location]],
   _xlpm.date_col, INDEX(_xlpm.data, , 1),
   _xlpm.name_col, INDEX(_xlpm.data, , 2),
   _xlpm.loc_col,  INDEX(_xlpm.data, , 3),
   _xlpm.target_date, DATE(YEAR($C$1), MONTH($C$1), AC$7),
   _xlpm.filtered, _xlfn._xlws.FILTER(_xlpm.name_col, (_xlpm.date_col = _xlpm.target_date) * (_xlpm.loc_col =$C23), ""),
   IF(_xlpm.filtered="", "", _xlpm.filtered)
)</f>
        <v/>
      </c>
      <c r="AD23" s="186" t="str" cm="1">
        <f t="array" ref="AD23">_xlfn.LET(
   _xlpm.data, 表格3_5[[Date]:[Location]],
   _xlpm.date_col, INDEX(_xlpm.data, , 1),
   _xlpm.name_col, INDEX(_xlpm.data, , 2),
   _xlpm.loc_col,  INDEX(_xlpm.data, , 3),
   _xlpm.target_date, DATE(YEAR($C$1), MONTH($C$1), AD$7),
   _xlpm.filtered, _xlfn._xlws.FILTER(_xlpm.name_col, (_xlpm.date_col = _xlpm.target_date) * (_xlpm.loc_col =$C23), ""),
   IF(_xlpm.filtered="", "", _xlpm.filtered)
)</f>
        <v/>
      </c>
      <c r="AE23" s="186" t="str" cm="1">
        <f t="array" ref="AE23">_xlfn.LET(
   _xlpm.data, 表格3_5[[Date]:[Location]],
   _xlpm.date_col, INDEX(_xlpm.data, , 1),
   _xlpm.name_col, INDEX(_xlpm.data, , 2),
   _xlpm.loc_col,  INDEX(_xlpm.data, , 3),
   _xlpm.target_date, DATE(YEAR($C$1), MONTH($C$1), AE$7),
   _xlpm.filtered, _xlfn._xlws.FILTER(_xlpm.name_col, (_xlpm.date_col = _xlpm.target_date) * (_xlpm.loc_col =$C23), ""),
   IF(_xlpm.filtered="", "", _xlpm.filtered)
)</f>
        <v/>
      </c>
      <c r="AF23" s="186" t="str" cm="1">
        <f t="array" ref="AF23">_xlfn.LET(
   _xlpm.data, 表格3_5[[Date]:[Location]],
   _xlpm.date_col, INDEX(_xlpm.data, , 1),
   _xlpm.name_col, INDEX(_xlpm.data, , 2),
   _xlpm.loc_col,  INDEX(_xlpm.data, , 3),
   _xlpm.target_date, DATE(YEAR($C$1), MONTH($C$1), AF$7),
   _xlpm.filtered, _xlfn._xlws.FILTER(_xlpm.name_col, (_xlpm.date_col = _xlpm.target_date) * (_xlpm.loc_col =$C23), ""),
   IF(_xlpm.filtered="", "", _xlpm.filtered)
)</f>
        <v/>
      </c>
      <c r="AG23" s="186" t="str" cm="1">
        <f t="array" ref="AG23">_xlfn.LET(
   _xlpm.data, 表格3_5[[Date]:[Location]],
   _xlpm.date_col, INDEX(_xlpm.data, , 1),
   _xlpm.name_col, INDEX(_xlpm.data, , 2),
   _xlpm.loc_col,  INDEX(_xlpm.data, , 3),
   _xlpm.target_date, DATE(YEAR($C$1), MONTH($C$1), AG$7),
   _xlpm.filtered, _xlfn._xlws.FILTER(_xlpm.name_col, (_xlpm.date_col = _xlpm.target_date) * (_xlpm.loc_col =$C23), ""),
   IF(_xlpm.filtered="", "", _xlpm.filtered)
)</f>
        <v/>
      </c>
      <c r="AH23" s="186" t="str" cm="1">
        <f t="array" ref="AH23">_xlfn.LET(
   _xlpm.data, 表格3_5[[Date]:[Location]],
   _xlpm.date_col, INDEX(_xlpm.data, , 1),
   _xlpm.name_col, INDEX(_xlpm.data, , 2),
   _xlpm.loc_col,  INDEX(_xlpm.data, , 3),
   _xlpm.target_date, DATE(YEAR($C$1), MONTH($C$1), AH$7),
   _xlpm.filtered, _xlfn._xlws.FILTER(_xlpm.name_col, (_xlpm.date_col = _xlpm.target_date) * (_xlpm.loc_col =$C23), ""),
   IF(_xlpm.filtered="", "", _xlpm.filtered)
)</f>
        <v/>
      </c>
      <c r="AI23" s="187">
        <f t="shared" si="33"/>
        <v>0</v>
      </c>
      <c r="AJ23" s="187">
        <f t="shared" si="36"/>
        <v>0</v>
      </c>
    </row>
    <row r="24" spans="2:72">
      <c r="B24" t="e" cm="1" vm="1">
        <f t="array" ref="B24">_xlfn.LET(
    _xlpm.data, D24:AH24,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C24" s="180"/>
      <c r="D24" s="186" t="str" cm="1">
        <f t="array" ref="D24">_xlfn.LET(
   _xlpm.data, 表格3_5[[Date]:[Location]],
   _xlpm.date_col, INDEX(_xlpm.data, , 1),
   _xlpm.name_col, INDEX(_xlpm.data, , 2),
   _xlpm.loc_col,  INDEX(_xlpm.data, , 3),
   _xlpm.target_date, DATE(YEAR($C$1), MONTH($C$1), D$7),
   _xlpm.filtered, _xlfn._xlws.FILTER(_xlpm.name_col, (_xlpm.date_col = _xlpm.target_date) * (_xlpm.loc_col =$C24), ""),
   IF(_xlpm.filtered="", "", _xlpm.filtered)
)</f>
        <v/>
      </c>
      <c r="E24" s="186" t="str" cm="1">
        <f t="array" ref="E24">_xlfn.LET(
   _xlpm.data, 表格3_5[[Date]:[Location]],
   _xlpm.date_col, INDEX(_xlpm.data, , 1),
   _xlpm.name_col, INDEX(_xlpm.data, , 2),
   _xlpm.loc_col,  INDEX(_xlpm.data, , 3),
   _xlpm.target_date, DATE(YEAR($C$1), MONTH($C$1), E$7),
   _xlpm.filtered, _xlfn._xlws.FILTER(_xlpm.name_col, (_xlpm.date_col = _xlpm.target_date) * (_xlpm.loc_col =$C24), ""),
   IF(_xlpm.filtered="", "", _xlpm.filtered)
)</f>
        <v/>
      </c>
      <c r="F24" s="186" t="str" cm="1">
        <f t="array" ref="F24">_xlfn.LET(
   _xlpm.data, 表格3_5[[Date]:[Location]],
   _xlpm.date_col, INDEX(_xlpm.data, , 1),
   _xlpm.name_col, INDEX(_xlpm.data, , 2),
   _xlpm.loc_col,  INDEX(_xlpm.data, , 3),
   _xlpm.target_date, DATE(YEAR($C$1), MONTH($C$1), F$7),
   _xlpm.filtered, _xlfn._xlws.FILTER(_xlpm.name_col, (_xlpm.date_col = _xlpm.target_date) * (_xlpm.loc_col =$C24), ""),
   IF(_xlpm.filtered="", "", _xlpm.filtered)
)</f>
        <v/>
      </c>
      <c r="G24" s="186" t="str" cm="1">
        <f t="array" ref="G24">_xlfn.LET(
   _xlpm.data, 表格3_5[[Date]:[Location]],
   _xlpm.date_col, INDEX(_xlpm.data, , 1),
   _xlpm.name_col, INDEX(_xlpm.data, , 2),
   _xlpm.loc_col,  INDEX(_xlpm.data, , 3),
   _xlpm.target_date, DATE(YEAR($C$1), MONTH($C$1), G$7),
   _xlpm.filtered, _xlfn._xlws.FILTER(_xlpm.name_col, (_xlpm.date_col = _xlpm.target_date) * (_xlpm.loc_col =$C24), ""),
   IF(_xlpm.filtered="", "", _xlpm.filtered)
)</f>
        <v/>
      </c>
      <c r="H24" s="186" t="str" cm="1">
        <f t="array" ref="H24">_xlfn.LET(
   _xlpm.data, 表格3_5[[Date]:[Location]],
   _xlpm.date_col, INDEX(_xlpm.data, , 1),
   _xlpm.name_col, INDEX(_xlpm.data, , 2),
   _xlpm.loc_col,  INDEX(_xlpm.data, , 3),
   _xlpm.target_date, DATE(YEAR($C$1), MONTH($C$1), H$7),
   _xlpm.filtered, _xlfn._xlws.FILTER(_xlpm.name_col, (_xlpm.date_col = _xlpm.target_date) * (_xlpm.loc_col =$C24), ""),
   IF(_xlpm.filtered="", "", _xlpm.filtered)
)</f>
        <v/>
      </c>
      <c r="I24" s="186" t="str" cm="1">
        <f t="array" ref="I24">_xlfn.LET(
   _xlpm.data, 表格3_5[[Date]:[Location]],
   _xlpm.date_col, INDEX(_xlpm.data, , 1),
   _xlpm.name_col, INDEX(_xlpm.data, , 2),
   _xlpm.loc_col,  INDEX(_xlpm.data, , 3),
   _xlpm.target_date, DATE(YEAR($C$1), MONTH($C$1), I$7),
   _xlpm.filtered, _xlfn._xlws.FILTER(_xlpm.name_col, (_xlpm.date_col = _xlpm.target_date) * (_xlpm.loc_col =$C24), ""),
   IF(_xlpm.filtered="", "", _xlpm.filtered)
)</f>
        <v/>
      </c>
      <c r="J24" s="186" t="str" cm="1">
        <f t="array" ref="J24">_xlfn.LET(
   _xlpm.data, 表格3_5[[Date]:[Location]],
   _xlpm.date_col, INDEX(_xlpm.data, , 1),
   _xlpm.name_col, INDEX(_xlpm.data, , 2),
   _xlpm.loc_col,  INDEX(_xlpm.data, , 3),
   _xlpm.target_date, DATE(YEAR($C$1), MONTH($C$1), J$7),
   _xlpm.filtered, _xlfn._xlws.FILTER(_xlpm.name_col, (_xlpm.date_col = _xlpm.target_date) * (_xlpm.loc_col =$C24), ""),
   IF(_xlpm.filtered="", "", _xlpm.filtered)
)</f>
        <v/>
      </c>
      <c r="K24" s="186" t="str" cm="1">
        <f t="array" ref="K24">_xlfn.LET(
   _xlpm.data, 表格3_5[[Date]:[Location]],
   _xlpm.date_col, INDEX(_xlpm.data, , 1),
   _xlpm.name_col, INDEX(_xlpm.data, , 2),
   _xlpm.loc_col,  INDEX(_xlpm.data, , 3),
   _xlpm.target_date, DATE(YEAR($C$1), MONTH($C$1), K$7),
   _xlpm.filtered, _xlfn._xlws.FILTER(_xlpm.name_col, (_xlpm.date_col = _xlpm.target_date) * (_xlpm.loc_col =$C24), ""),
   IF(_xlpm.filtered="", "", _xlpm.filtered)
)</f>
        <v/>
      </c>
      <c r="L24" s="186" t="str" cm="1">
        <f t="array" ref="L24">_xlfn.LET(
   _xlpm.data, 表格3_5[[Date]:[Location]],
   _xlpm.date_col, INDEX(_xlpm.data, , 1),
   _xlpm.name_col, INDEX(_xlpm.data, , 2),
   _xlpm.loc_col,  INDEX(_xlpm.data, , 3),
   _xlpm.target_date, DATE(YEAR($C$1), MONTH($C$1), L$7),
   _xlpm.filtered, _xlfn._xlws.FILTER(_xlpm.name_col, (_xlpm.date_col = _xlpm.target_date) * (_xlpm.loc_col =$C24), ""),
   IF(_xlpm.filtered="", "", _xlpm.filtered)
)</f>
        <v/>
      </c>
      <c r="M24" s="186" t="str" cm="1">
        <f t="array" ref="M24">_xlfn.LET(
   _xlpm.data, 表格3_5[[Date]:[Location]],
   _xlpm.date_col, INDEX(_xlpm.data, , 1),
   _xlpm.name_col, INDEX(_xlpm.data, , 2),
   _xlpm.loc_col,  INDEX(_xlpm.data, , 3),
   _xlpm.target_date, DATE(YEAR($C$1), MONTH($C$1), M$7),
   _xlpm.filtered, _xlfn._xlws.FILTER(_xlpm.name_col, (_xlpm.date_col = _xlpm.target_date) * (_xlpm.loc_col =$C24), ""),
   IF(_xlpm.filtered="", "", _xlpm.filtered)
)</f>
        <v/>
      </c>
      <c r="N24" s="186" t="str" cm="1">
        <f t="array" ref="N24">_xlfn.LET(
   _xlpm.data, 表格3_5[[Date]:[Location]],
   _xlpm.date_col, INDEX(_xlpm.data, , 1),
   _xlpm.name_col, INDEX(_xlpm.data, , 2),
   _xlpm.loc_col,  INDEX(_xlpm.data, , 3),
   _xlpm.target_date, DATE(YEAR($C$1), MONTH($C$1), N$7),
   _xlpm.filtered, _xlfn._xlws.FILTER(_xlpm.name_col, (_xlpm.date_col = _xlpm.target_date) * (_xlpm.loc_col =$C24), ""),
   IF(_xlpm.filtered="", "", _xlpm.filtered)
)</f>
        <v/>
      </c>
      <c r="O24" s="186" t="str" cm="1">
        <f t="array" ref="O24">_xlfn.LET(
   _xlpm.data, 表格3_5[[Date]:[Location]],
   _xlpm.date_col, INDEX(_xlpm.data, , 1),
   _xlpm.name_col, INDEX(_xlpm.data, , 2),
   _xlpm.loc_col,  INDEX(_xlpm.data, , 3),
   _xlpm.target_date, DATE(YEAR($C$1), MONTH($C$1), O$7),
   _xlpm.filtered, _xlfn._xlws.FILTER(_xlpm.name_col, (_xlpm.date_col = _xlpm.target_date) * (_xlpm.loc_col =$C24), ""),
   IF(_xlpm.filtered="", "", _xlpm.filtered)
)</f>
        <v/>
      </c>
      <c r="P24" s="186" t="str" cm="1">
        <f t="array" ref="P24">_xlfn.LET(
   _xlpm.data, 表格3_5[[Date]:[Location]],
   _xlpm.date_col, INDEX(_xlpm.data, , 1),
   _xlpm.name_col, INDEX(_xlpm.data, , 2),
   _xlpm.loc_col,  INDEX(_xlpm.data, , 3),
   _xlpm.target_date, DATE(YEAR($C$1), MONTH($C$1), P$7),
   _xlpm.filtered, _xlfn._xlws.FILTER(_xlpm.name_col, (_xlpm.date_col = _xlpm.target_date) * (_xlpm.loc_col =$C24), ""),
   IF(_xlpm.filtered="", "", _xlpm.filtered)
)</f>
        <v/>
      </c>
      <c r="Q24" s="186" t="str" cm="1">
        <f t="array" ref="Q24">_xlfn.LET(
   _xlpm.data, 表格3_5[[Date]:[Location]],
   _xlpm.date_col, INDEX(_xlpm.data, , 1),
   _xlpm.name_col, INDEX(_xlpm.data, , 2),
   _xlpm.loc_col,  INDEX(_xlpm.data, , 3),
   _xlpm.target_date, DATE(YEAR($C$1), MONTH($C$1), Q$7),
   _xlpm.filtered, _xlfn._xlws.FILTER(_xlpm.name_col, (_xlpm.date_col = _xlpm.target_date) * (_xlpm.loc_col =$C24), ""),
   IF(_xlpm.filtered="", "", _xlpm.filtered)
)</f>
        <v/>
      </c>
      <c r="R24" s="186" t="str" cm="1">
        <f t="array" ref="R24">_xlfn.LET(
   _xlpm.data, 表格3_5[[Date]:[Location]],
   _xlpm.date_col, INDEX(_xlpm.data, , 1),
   _xlpm.name_col, INDEX(_xlpm.data, , 2),
   _xlpm.loc_col,  INDEX(_xlpm.data, , 3),
   _xlpm.target_date, DATE(YEAR($C$1), MONTH($C$1), R$7),
   _xlpm.filtered, _xlfn._xlws.FILTER(_xlpm.name_col, (_xlpm.date_col = _xlpm.target_date) * (_xlpm.loc_col =$C24), ""),
   IF(_xlpm.filtered="", "", _xlpm.filtered)
)</f>
        <v/>
      </c>
      <c r="S24" s="186" t="str" cm="1">
        <f t="array" ref="S24">_xlfn.LET(
   _xlpm.data, 表格3_5[[Date]:[Location]],
   _xlpm.date_col, INDEX(_xlpm.data, , 1),
   _xlpm.name_col, INDEX(_xlpm.data, , 2),
   _xlpm.loc_col,  INDEX(_xlpm.data, , 3),
   _xlpm.target_date, DATE(YEAR($C$1), MONTH($C$1), S$7),
   _xlpm.filtered, _xlfn._xlws.FILTER(_xlpm.name_col, (_xlpm.date_col = _xlpm.target_date) * (_xlpm.loc_col =$C24), ""),
   IF(_xlpm.filtered="", "", _xlpm.filtered)
)</f>
        <v/>
      </c>
      <c r="T24" s="186" t="str" cm="1">
        <f t="array" ref="T24">_xlfn.LET(
   _xlpm.data, 表格3_5[[Date]:[Location]],
   _xlpm.date_col, INDEX(_xlpm.data, , 1),
   _xlpm.name_col, INDEX(_xlpm.data, , 2),
   _xlpm.loc_col,  INDEX(_xlpm.data, , 3),
   _xlpm.target_date, DATE(YEAR($C$1), MONTH($C$1), T$7),
   _xlpm.filtered, _xlfn._xlws.FILTER(_xlpm.name_col, (_xlpm.date_col = _xlpm.target_date) * (_xlpm.loc_col =$C24), ""),
   IF(_xlpm.filtered="", "", _xlpm.filtered)
)</f>
        <v/>
      </c>
      <c r="U24" s="186" t="str" cm="1">
        <f t="array" ref="U24">_xlfn.LET(
   _xlpm.data, 表格3_5[[Date]:[Location]],
   _xlpm.date_col, INDEX(_xlpm.data, , 1),
   _xlpm.name_col, INDEX(_xlpm.data, , 2),
   _xlpm.loc_col,  INDEX(_xlpm.data, , 3),
   _xlpm.target_date, DATE(YEAR($C$1), MONTH($C$1), U$7),
   _xlpm.filtered, _xlfn._xlws.FILTER(_xlpm.name_col, (_xlpm.date_col = _xlpm.target_date) * (_xlpm.loc_col =$C24), ""),
   IF(_xlpm.filtered="", "", _xlpm.filtered)
)</f>
        <v/>
      </c>
      <c r="V24" s="186" t="str" cm="1">
        <f t="array" ref="V24">_xlfn.LET(
   _xlpm.data, 表格3_5[[Date]:[Location]],
   _xlpm.date_col, INDEX(_xlpm.data, , 1),
   _xlpm.name_col, INDEX(_xlpm.data, , 2),
   _xlpm.loc_col,  INDEX(_xlpm.data, , 3),
   _xlpm.target_date, DATE(YEAR($C$1), MONTH($C$1), V$7),
   _xlpm.filtered, _xlfn._xlws.FILTER(_xlpm.name_col, (_xlpm.date_col = _xlpm.target_date) * (_xlpm.loc_col =$C24), ""),
   IF(_xlpm.filtered="", "", _xlpm.filtered)
)</f>
        <v/>
      </c>
      <c r="W24" s="186" t="str" cm="1">
        <f t="array" ref="W24">_xlfn.LET(
   _xlpm.data, 表格3_5[[Date]:[Location]],
   _xlpm.date_col, INDEX(_xlpm.data, , 1),
   _xlpm.name_col, INDEX(_xlpm.data, , 2),
   _xlpm.loc_col,  INDEX(_xlpm.data, , 3),
   _xlpm.target_date, DATE(YEAR($C$1), MONTH($C$1), W$7),
   _xlpm.filtered, _xlfn._xlws.FILTER(_xlpm.name_col, (_xlpm.date_col = _xlpm.target_date) * (_xlpm.loc_col =$C24), ""),
   IF(_xlpm.filtered="", "", _xlpm.filtered)
)</f>
        <v/>
      </c>
      <c r="X24" s="186" t="str" cm="1">
        <f t="array" ref="X24">_xlfn.LET(
   _xlpm.data, 表格3_5[[Date]:[Location]],
   _xlpm.date_col, INDEX(_xlpm.data, , 1),
   _xlpm.name_col, INDEX(_xlpm.data, , 2),
   _xlpm.loc_col,  INDEX(_xlpm.data, , 3),
   _xlpm.target_date, DATE(YEAR($C$1), MONTH($C$1), X$7),
   _xlpm.filtered, _xlfn._xlws.FILTER(_xlpm.name_col, (_xlpm.date_col = _xlpm.target_date) * (_xlpm.loc_col =$C24), ""),
   IF(_xlpm.filtered="", "", _xlpm.filtered)
)</f>
        <v/>
      </c>
      <c r="Y24" s="186" t="str" cm="1">
        <f t="array" ref="Y24">_xlfn.LET(
   _xlpm.data, 表格3_5[[Date]:[Location]],
   _xlpm.date_col, INDEX(_xlpm.data, , 1),
   _xlpm.name_col, INDEX(_xlpm.data, , 2),
   _xlpm.loc_col,  INDEX(_xlpm.data, , 3),
   _xlpm.target_date, DATE(YEAR($C$1), MONTH($C$1), Y$7),
   _xlpm.filtered, _xlfn._xlws.FILTER(_xlpm.name_col, (_xlpm.date_col = _xlpm.target_date) * (_xlpm.loc_col =$C24), ""),
   IF(_xlpm.filtered="", "", _xlpm.filtered)
)</f>
        <v/>
      </c>
      <c r="Z24" s="186" t="str" cm="1">
        <f t="array" ref="Z24">_xlfn.LET(
   _xlpm.data, 表格3_5[[Date]:[Location]],
   _xlpm.date_col, INDEX(_xlpm.data, , 1),
   _xlpm.name_col, INDEX(_xlpm.data, , 2),
   _xlpm.loc_col,  INDEX(_xlpm.data, , 3),
   _xlpm.target_date, DATE(YEAR($C$1), MONTH($C$1), Z$7),
   _xlpm.filtered, _xlfn._xlws.FILTER(_xlpm.name_col, (_xlpm.date_col = _xlpm.target_date) * (_xlpm.loc_col =$C24), ""),
   IF(_xlpm.filtered="", "", _xlpm.filtered)
)</f>
        <v/>
      </c>
      <c r="AA24" s="186" t="str" cm="1">
        <f t="array" ref="AA24">_xlfn.LET(
   _xlpm.data, 表格3_5[[Date]:[Location]],
   _xlpm.date_col, INDEX(_xlpm.data, , 1),
   _xlpm.name_col, INDEX(_xlpm.data, , 2),
   _xlpm.loc_col,  INDEX(_xlpm.data, , 3),
   _xlpm.target_date, DATE(YEAR($C$1), MONTH($C$1), AA$7),
   _xlpm.filtered, _xlfn._xlws.FILTER(_xlpm.name_col, (_xlpm.date_col = _xlpm.target_date) * (_xlpm.loc_col =$C24), ""),
   IF(_xlpm.filtered="", "", _xlpm.filtered)
)</f>
        <v/>
      </c>
      <c r="AB24" s="186" t="str" cm="1">
        <f t="array" ref="AB24">_xlfn.LET(
   _xlpm.data, 表格3_5[[Date]:[Location]],
   _xlpm.date_col, INDEX(_xlpm.data, , 1),
   _xlpm.name_col, INDEX(_xlpm.data, , 2),
   _xlpm.loc_col,  INDEX(_xlpm.data, , 3),
   _xlpm.target_date, DATE(YEAR($C$1), MONTH($C$1), AB$7),
   _xlpm.filtered, _xlfn._xlws.FILTER(_xlpm.name_col, (_xlpm.date_col = _xlpm.target_date) * (_xlpm.loc_col =$C24), ""),
   IF(_xlpm.filtered="", "", _xlpm.filtered)
)</f>
        <v/>
      </c>
      <c r="AC24" s="186" t="str" cm="1">
        <f t="array" ref="AC24">_xlfn.LET(
   _xlpm.data, 表格3_5[[Date]:[Location]],
   _xlpm.date_col, INDEX(_xlpm.data, , 1),
   _xlpm.name_col, INDEX(_xlpm.data, , 2),
   _xlpm.loc_col,  INDEX(_xlpm.data, , 3),
   _xlpm.target_date, DATE(YEAR($C$1), MONTH($C$1), AC$7),
   _xlpm.filtered, _xlfn._xlws.FILTER(_xlpm.name_col, (_xlpm.date_col = _xlpm.target_date) * (_xlpm.loc_col =$C24), ""),
   IF(_xlpm.filtered="", "", _xlpm.filtered)
)</f>
        <v/>
      </c>
      <c r="AD24" s="186" t="str" cm="1">
        <f t="array" ref="AD24">_xlfn.LET(
   _xlpm.data, 表格3_5[[Date]:[Location]],
   _xlpm.date_col, INDEX(_xlpm.data, , 1),
   _xlpm.name_col, INDEX(_xlpm.data, , 2),
   _xlpm.loc_col,  INDEX(_xlpm.data, , 3),
   _xlpm.target_date, DATE(YEAR($C$1), MONTH($C$1), AD$7),
   _xlpm.filtered, _xlfn._xlws.FILTER(_xlpm.name_col, (_xlpm.date_col = _xlpm.target_date) * (_xlpm.loc_col =$C24), ""),
   IF(_xlpm.filtered="", "", _xlpm.filtered)
)</f>
        <v/>
      </c>
      <c r="AE24" s="186" t="str" cm="1">
        <f t="array" ref="AE24">_xlfn.LET(
   _xlpm.data, 表格3_5[[Date]:[Location]],
   _xlpm.date_col, INDEX(_xlpm.data, , 1),
   _xlpm.name_col, INDEX(_xlpm.data, , 2),
   _xlpm.loc_col,  INDEX(_xlpm.data, , 3),
   _xlpm.target_date, DATE(YEAR($C$1), MONTH($C$1), AE$7),
   _xlpm.filtered, _xlfn._xlws.FILTER(_xlpm.name_col, (_xlpm.date_col = _xlpm.target_date) * (_xlpm.loc_col =$C24), ""),
   IF(_xlpm.filtered="", "", _xlpm.filtered)
)</f>
        <v/>
      </c>
      <c r="AF24" s="186" t="str" cm="1">
        <f t="array" ref="AF24">_xlfn.LET(
   _xlpm.data, 表格3_5[[Date]:[Location]],
   _xlpm.date_col, INDEX(_xlpm.data, , 1),
   _xlpm.name_col, INDEX(_xlpm.data, , 2),
   _xlpm.loc_col,  INDEX(_xlpm.data, , 3),
   _xlpm.target_date, DATE(YEAR($C$1), MONTH($C$1), AF$7),
   _xlpm.filtered, _xlfn._xlws.FILTER(_xlpm.name_col, (_xlpm.date_col = _xlpm.target_date) * (_xlpm.loc_col =$C24), ""),
   IF(_xlpm.filtered="", "", _xlpm.filtered)
)</f>
        <v/>
      </c>
      <c r="AG24" s="186" t="str" cm="1">
        <f t="array" ref="AG24">_xlfn.LET(
   _xlpm.data, 表格3_5[[Date]:[Location]],
   _xlpm.date_col, INDEX(_xlpm.data, , 1),
   _xlpm.name_col, INDEX(_xlpm.data, , 2),
   _xlpm.loc_col,  INDEX(_xlpm.data, , 3),
   _xlpm.target_date, DATE(YEAR($C$1), MONTH($C$1), AG$7),
   _xlpm.filtered, _xlfn._xlws.FILTER(_xlpm.name_col, (_xlpm.date_col = _xlpm.target_date) * (_xlpm.loc_col =$C24), ""),
   IF(_xlpm.filtered="", "", _xlpm.filtered)
)</f>
        <v/>
      </c>
      <c r="AH24" s="186" t="str" cm="1">
        <f t="array" ref="AH24">_xlfn.LET(
   _xlpm.data, 表格3_5[[Date]:[Location]],
   _xlpm.date_col, INDEX(_xlpm.data, , 1),
   _xlpm.name_col, INDEX(_xlpm.data, , 2),
   _xlpm.loc_col,  INDEX(_xlpm.data, , 3),
   _xlpm.target_date, DATE(YEAR($C$1), MONTH($C$1), AH$7),
   _xlpm.filtered, _xlfn._xlws.FILTER(_xlpm.name_col, (_xlpm.date_col = _xlpm.target_date) * (_xlpm.loc_col =$C24), ""),
   IF(_xlpm.filtered="", "", _xlpm.filtered)
)</f>
        <v/>
      </c>
      <c r="AI24" s="187">
        <f t="shared" si="33"/>
        <v>0</v>
      </c>
      <c r="AJ24" s="187">
        <f t="shared" si="36"/>
        <v>0</v>
      </c>
    </row>
    <row r="25" spans="2:72">
      <c r="B25" t="e" cm="1" vm="1">
        <f t="array" ref="B25">_xlfn.LET(
    _xlpm.data, D25:AH25,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C25" s="180"/>
      <c r="D25" s="186" t="str" cm="1">
        <f t="array" ref="D25">_xlfn.LET(
   _xlpm.data, 表格3_5[[Date]:[Location]],
   _xlpm.date_col, INDEX(_xlpm.data, , 1),
   _xlpm.name_col, INDEX(_xlpm.data, , 2),
   _xlpm.loc_col,  INDEX(_xlpm.data, , 3),
   _xlpm.target_date, DATE(YEAR($C$1), MONTH($C$1), D$7),
   _xlpm.filtered, _xlfn._xlws.FILTER(_xlpm.name_col, (_xlpm.date_col = _xlpm.target_date) * (_xlpm.loc_col =$C25), ""),
   IF(_xlpm.filtered="", "", _xlpm.filtered)
)</f>
        <v/>
      </c>
      <c r="E25" s="186" t="str" cm="1">
        <f t="array" ref="E25">_xlfn.LET(
   _xlpm.data, 表格3_5[[Date]:[Location]],
   _xlpm.date_col, INDEX(_xlpm.data, , 1),
   _xlpm.name_col, INDEX(_xlpm.data, , 2),
   _xlpm.loc_col,  INDEX(_xlpm.data, , 3),
   _xlpm.target_date, DATE(YEAR($C$1), MONTH($C$1), E$7),
   _xlpm.filtered, _xlfn._xlws.FILTER(_xlpm.name_col, (_xlpm.date_col = _xlpm.target_date) * (_xlpm.loc_col =$C25), ""),
   IF(_xlpm.filtered="", "", _xlpm.filtered)
)</f>
        <v/>
      </c>
      <c r="F25" s="186" t="str" cm="1">
        <f t="array" ref="F25">_xlfn.LET(
   _xlpm.data, 表格3_5[[Date]:[Location]],
   _xlpm.date_col, INDEX(_xlpm.data, , 1),
   _xlpm.name_col, INDEX(_xlpm.data, , 2),
   _xlpm.loc_col,  INDEX(_xlpm.data, , 3),
   _xlpm.target_date, DATE(YEAR($C$1), MONTH($C$1), F$7),
   _xlpm.filtered, _xlfn._xlws.FILTER(_xlpm.name_col, (_xlpm.date_col = _xlpm.target_date) * (_xlpm.loc_col =$C25), ""),
   IF(_xlpm.filtered="", "", _xlpm.filtered)
)</f>
        <v/>
      </c>
      <c r="G25" s="186" t="str" cm="1">
        <f t="array" ref="G25">_xlfn.LET(
   _xlpm.data, 表格3_5[[Date]:[Location]],
   _xlpm.date_col, INDEX(_xlpm.data, , 1),
   _xlpm.name_col, INDEX(_xlpm.data, , 2),
   _xlpm.loc_col,  INDEX(_xlpm.data, , 3),
   _xlpm.target_date, DATE(YEAR($C$1), MONTH($C$1), G$7),
   _xlpm.filtered, _xlfn._xlws.FILTER(_xlpm.name_col, (_xlpm.date_col = _xlpm.target_date) * (_xlpm.loc_col =$C25), ""),
   IF(_xlpm.filtered="", "", _xlpm.filtered)
)</f>
        <v/>
      </c>
      <c r="H25" s="186" t="str" cm="1">
        <f t="array" ref="H25">_xlfn.LET(
   _xlpm.data, 表格3_5[[Date]:[Location]],
   _xlpm.date_col, INDEX(_xlpm.data, , 1),
   _xlpm.name_col, INDEX(_xlpm.data, , 2),
   _xlpm.loc_col,  INDEX(_xlpm.data, , 3),
   _xlpm.target_date, DATE(YEAR($C$1), MONTH($C$1), H$7),
   _xlpm.filtered, _xlfn._xlws.FILTER(_xlpm.name_col, (_xlpm.date_col = _xlpm.target_date) * (_xlpm.loc_col =$C25), ""),
   IF(_xlpm.filtered="", "", _xlpm.filtered)
)</f>
        <v/>
      </c>
      <c r="I25" s="186" t="str" cm="1">
        <f t="array" ref="I25">_xlfn.LET(
   _xlpm.data, 表格3_5[[Date]:[Location]],
   _xlpm.date_col, INDEX(_xlpm.data, , 1),
   _xlpm.name_col, INDEX(_xlpm.data, , 2),
   _xlpm.loc_col,  INDEX(_xlpm.data, , 3),
   _xlpm.target_date, DATE(YEAR($C$1), MONTH($C$1), I$7),
   _xlpm.filtered, _xlfn._xlws.FILTER(_xlpm.name_col, (_xlpm.date_col = _xlpm.target_date) * (_xlpm.loc_col =$C25), ""),
   IF(_xlpm.filtered="", "", _xlpm.filtered)
)</f>
        <v/>
      </c>
      <c r="J25" s="186" t="str" cm="1">
        <f t="array" ref="J25">_xlfn.LET(
   _xlpm.data, 表格3_5[[Date]:[Location]],
   _xlpm.date_col, INDEX(_xlpm.data, , 1),
   _xlpm.name_col, INDEX(_xlpm.data, , 2),
   _xlpm.loc_col,  INDEX(_xlpm.data, , 3),
   _xlpm.target_date, DATE(YEAR($C$1), MONTH($C$1), J$7),
   _xlpm.filtered, _xlfn._xlws.FILTER(_xlpm.name_col, (_xlpm.date_col = _xlpm.target_date) * (_xlpm.loc_col =$C25), ""),
   IF(_xlpm.filtered="", "", _xlpm.filtered)
)</f>
        <v/>
      </c>
      <c r="K25" s="186" t="str" cm="1">
        <f t="array" ref="K25">_xlfn.LET(
   _xlpm.data, 表格3_5[[Date]:[Location]],
   _xlpm.date_col, INDEX(_xlpm.data, , 1),
   _xlpm.name_col, INDEX(_xlpm.data, , 2),
   _xlpm.loc_col,  INDEX(_xlpm.data, , 3),
   _xlpm.target_date, DATE(YEAR($C$1), MONTH($C$1), K$7),
   _xlpm.filtered, _xlfn._xlws.FILTER(_xlpm.name_col, (_xlpm.date_col = _xlpm.target_date) * (_xlpm.loc_col =$C25), ""),
   IF(_xlpm.filtered="", "", _xlpm.filtered)
)</f>
        <v/>
      </c>
      <c r="L25" s="186" t="str" cm="1">
        <f t="array" ref="L25">_xlfn.LET(
   _xlpm.data, 表格3_5[[Date]:[Location]],
   _xlpm.date_col, INDEX(_xlpm.data, , 1),
   _xlpm.name_col, INDEX(_xlpm.data, , 2),
   _xlpm.loc_col,  INDEX(_xlpm.data, , 3),
   _xlpm.target_date, DATE(YEAR($C$1), MONTH($C$1), L$7),
   _xlpm.filtered, _xlfn._xlws.FILTER(_xlpm.name_col, (_xlpm.date_col = _xlpm.target_date) * (_xlpm.loc_col =$C25), ""),
   IF(_xlpm.filtered="", "", _xlpm.filtered)
)</f>
        <v/>
      </c>
      <c r="M25" s="186" t="str" cm="1">
        <f t="array" ref="M25">_xlfn.LET(
   _xlpm.data, 表格3_5[[Date]:[Location]],
   _xlpm.date_col, INDEX(_xlpm.data, , 1),
   _xlpm.name_col, INDEX(_xlpm.data, , 2),
   _xlpm.loc_col,  INDEX(_xlpm.data, , 3),
   _xlpm.target_date, DATE(YEAR($C$1), MONTH($C$1), M$7),
   _xlpm.filtered, _xlfn._xlws.FILTER(_xlpm.name_col, (_xlpm.date_col = _xlpm.target_date) * (_xlpm.loc_col =$C25), ""),
   IF(_xlpm.filtered="", "", _xlpm.filtered)
)</f>
        <v/>
      </c>
      <c r="N25" s="186" t="str" cm="1">
        <f t="array" ref="N25">_xlfn.LET(
   _xlpm.data, 表格3_5[[Date]:[Location]],
   _xlpm.date_col, INDEX(_xlpm.data, , 1),
   _xlpm.name_col, INDEX(_xlpm.data, , 2),
   _xlpm.loc_col,  INDEX(_xlpm.data, , 3),
   _xlpm.target_date, DATE(YEAR($C$1), MONTH($C$1), N$7),
   _xlpm.filtered, _xlfn._xlws.FILTER(_xlpm.name_col, (_xlpm.date_col = _xlpm.target_date) * (_xlpm.loc_col =$C25), ""),
   IF(_xlpm.filtered="", "", _xlpm.filtered)
)</f>
        <v/>
      </c>
      <c r="O25" s="186" t="str" cm="1">
        <f t="array" ref="O25">_xlfn.LET(
   _xlpm.data, 表格3_5[[Date]:[Location]],
   _xlpm.date_col, INDEX(_xlpm.data, , 1),
   _xlpm.name_col, INDEX(_xlpm.data, , 2),
   _xlpm.loc_col,  INDEX(_xlpm.data, , 3),
   _xlpm.target_date, DATE(YEAR($C$1), MONTH($C$1), O$7),
   _xlpm.filtered, _xlfn._xlws.FILTER(_xlpm.name_col, (_xlpm.date_col = _xlpm.target_date) * (_xlpm.loc_col =$C25), ""),
   IF(_xlpm.filtered="", "", _xlpm.filtered)
)</f>
        <v/>
      </c>
      <c r="P25" s="186" t="str" cm="1">
        <f t="array" ref="P25">_xlfn.LET(
   _xlpm.data, 表格3_5[[Date]:[Location]],
   _xlpm.date_col, INDEX(_xlpm.data, , 1),
   _xlpm.name_col, INDEX(_xlpm.data, , 2),
   _xlpm.loc_col,  INDEX(_xlpm.data, , 3),
   _xlpm.target_date, DATE(YEAR($C$1), MONTH($C$1), P$7),
   _xlpm.filtered, _xlfn._xlws.FILTER(_xlpm.name_col, (_xlpm.date_col = _xlpm.target_date) * (_xlpm.loc_col =$C25), ""),
   IF(_xlpm.filtered="", "", _xlpm.filtered)
)</f>
        <v/>
      </c>
      <c r="Q25" s="186" t="str" cm="1">
        <f t="array" ref="Q25">_xlfn.LET(
   _xlpm.data, 表格3_5[[Date]:[Location]],
   _xlpm.date_col, INDEX(_xlpm.data, , 1),
   _xlpm.name_col, INDEX(_xlpm.data, , 2),
   _xlpm.loc_col,  INDEX(_xlpm.data, , 3),
   _xlpm.target_date, DATE(YEAR($C$1), MONTH($C$1), Q$7),
   _xlpm.filtered, _xlfn._xlws.FILTER(_xlpm.name_col, (_xlpm.date_col = _xlpm.target_date) * (_xlpm.loc_col =$C25), ""),
   IF(_xlpm.filtered="", "", _xlpm.filtered)
)</f>
        <v/>
      </c>
      <c r="R25" s="186" t="str" cm="1">
        <f t="array" ref="R25">_xlfn.LET(
   _xlpm.data, 表格3_5[[Date]:[Location]],
   _xlpm.date_col, INDEX(_xlpm.data, , 1),
   _xlpm.name_col, INDEX(_xlpm.data, , 2),
   _xlpm.loc_col,  INDEX(_xlpm.data, , 3),
   _xlpm.target_date, DATE(YEAR($C$1), MONTH($C$1), R$7),
   _xlpm.filtered, _xlfn._xlws.FILTER(_xlpm.name_col, (_xlpm.date_col = _xlpm.target_date) * (_xlpm.loc_col =$C25), ""),
   IF(_xlpm.filtered="", "", _xlpm.filtered)
)</f>
        <v/>
      </c>
      <c r="S25" s="186" t="str" cm="1">
        <f t="array" ref="S25">_xlfn.LET(
   _xlpm.data, 表格3_5[[Date]:[Location]],
   _xlpm.date_col, INDEX(_xlpm.data, , 1),
   _xlpm.name_col, INDEX(_xlpm.data, , 2),
   _xlpm.loc_col,  INDEX(_xlpm.data, , 3),
   _xlpm.target_date, DATE(YEAR($C$1), MONTH($C$1), S$7),
   _xlpm.filtered, _xlfn._xlws.FILTER(_xlpm.name_col, (_xlpm.date_col = _xlpm.target_date) * (_xlpm.loc_col =$C25), ""),
   IF(_xlpm.filtered="", "", _xlpm.filtered)
)</f>
        <v/>
      </c>
      <c r="T25" s="186" t="str" cm="1">
        <f t="array" ref="T25">_xlfn.LET(
   _xlpm.data, 表格3_5[[Date]:[Location]],
   _xlpm.date_col, INDEX(_xlpm.data, , 1),
   _xlpm.name_col, INDEX(_xlpm.data, , 2),
   _xlpm.loc_col,  INDEX(_xlpm.data, , 3),
   _xlpm.target_date, DATE(YEAR($C$1), MONTH($C$1), T$7),
   _xlpm.filtered, _xlfn._xlws.FILTER(_xlpm.name_col, (_xlpm.date_col = _xlpm.target_date) * (_xlpm.loc_col =$C25), ""),
   IF(_xlpm.filtered="", "", _xlpm.filtered)
)</f>
        <v/>
      </c>
      <c r="U25" s="186" t="str" cm="1">
        <f t="array" ref="U25">_xlfn.LET(
   _xlpm.data, 表格3_5[[Date]:[Location]],
   _xlpm.date_col, INDEX(_xlpm.data, , 1),
   _xlpm.name_col, INDEX(_xlpm.data, , 2),
   _xlpm.loc_col,  INDEX(_xlpm.data, , 3),
   _xlpm.target_date, DATE(YEAR($C$1), MONTH($C$1), U$7),
   _xlpm.filtered, _xlfn._xlws.FILTER(_xlpm.name_col, (_xlpm.date_col = _xlpm.target_date) * (_xlpm.loc_col =$C25), ""),
   IF(_xlpm.filtered="", "", _xlpm.filtered)
)</f>
        <v/>
      </c>
      <c r="V25" s="186" t="str" cm="1">
        <f t="array" ref="V25">_xlfn.LET(
   _xlpm.data, 表格3_5[[Date]:[Location]],
   _xlpm.date_col, INDEX(_xlpm.data, , 1),
   _xlpm.name_col, INDEX(_xlpm.data, , 2),
   _xlpm.loc_col,  INDEX(_xlpm.data, , 3),
   _xlpm.target_date, DATE(YEAR($C$1), MONTH($C$1), V$7),
   _xlpm.filtered, _xlfn._xlws.FILTER(_xlpm.name_col, (_xlpm.date_col = _xlpm.target_date) * (_xlpm.loc_col =$C25), ""),
   IF(_xlpm.filtered="", "", _xlpm.filtered)
)</f>
        <v/>
      </c>
      <c r="W25" s="186" t="str" cm="1">
        <f t="array" ref="W25">_xlfn.LET(
   _xlpm.data, 表格3_5[[Date]:[Location]],
   _xlpm.date_col, INDEX(_xlpm.data, , 1),
   _xlpm.name_col, INDEX(_xlpm.data, , 2),
   _xlpm.loc_col,  INDEX(_xlpm.data, , 3),
   _xlpm.target_date, DATE(YEAR($C$1), MONTH($C$1), W$7),
   _xlpm.filtered, _xlfn._xlws.FILTER(_xlpm.name_col, (_xlpm.date_col = _xlpm.target_date) * (_xlpm.loc_col =$C25), ""),
   IF(_xlpm.filtered="", "", _xlpm.filtered)
)</f>
        <v/>
      </c>
      <c r="X25" s="186" t="str" cm="1">
        <f t="array" ref="X25">_xlfn.LET(
   _xlpm.data, 表格3_5[[Date]:[Location]],
   _xlpm.date_col, INDEX(_xlpm.data, , 1),
   _xlpm.name_col, INDEX(_xlpm.data, , 2),
   _xlpm.loc_col,  INDEX(_xlpm.data, , 3),
   _xlpm.target_date, DATE(YEAR($C$1), MONTH($C$1), X$7),
   _xlpm.filtered, _xlfn._xlws.FILTER(_xlpm.name_col, (_xlpm.date_col = _xlpm.target_date) * (_xlpm.loc_col =$C25), ""),
   IF(_xlpm.filtered="", "", _xlpm.filtered)
)</f>
        <v/>
      </c>
      <c r="Y25" s="186" t="str" cm="1">
        <f t="array" ref="Y25">_xlfn.LET(
   _xlpm.data, 表格3_5[[Date]:[Location]],
   _xlpm.date_col, INDEX(_xlpm.data, , 1),
   _xlpm.name_col, INDEX(_xlpm.data, , 2),
   _xlpm.loc_col,  INDEX(_xlpm.data, , 3),
   _xlpm.target_date, DATE(YEAR($C$1), MONTH($C$1), Y$7),
   _xlpm.filtered, _xlfn._xlws.FILTER(_xlpm.name_col, (_xlpm.date_col = _xlpm.target_date) * (_xlpm.loc_col =$C25), ""),
   IF(_xlpm.filtered="", "", _xlpm.filtered)
)</f>
        <v/>
      </c>
      <c r="Z25" s="186" t="str" cm="1">
        <f t="array" ref="Z25">_xlfn.LET(
   _xlpm.data, 表格3_5[[Date]:[Location]],
   _xlpm.date_col, INDEX(_xlpm.data, , 1),
   _xlpm.name_col, INDEX(_xlpm.data, , 2),
   _xlpm.loc_col,  INDEX(_xlpm.data, , 3),
   _xlpm.target_date, DATE(YEAR($C$1), MONTH($C$1), Z$7),
   _xlpm.filtered, _xlfn._xlws.FILTER(_xlpm.name_col, (_xlpm.date_col = _xlpm.target_date) * (_xlpm.loc_col =$C25), ""),
   IF(_xlpm.filtered="", "", _xlpm.filtered)
)</f>
        <v/>
      </c>
      <c r="AA25" s="186" t="str" cm="1">
        <f t="array" ref="AA25">_xlfn.LET(
   _xlpm.data, 表格3_5[[Date]:[Location]],
   _xlpm.date_col, INDEX(_xlpm.data, , 1),
   _xlpm.name_col, INDEX(_xlpm.data, , 2),
   _xlpm.loc_col,  INDEX(_xlpm.data, , 3),
   _xlpm.target_date, DATE(YEAR($C$1), MONTH($C$1), AA$7),
   _xlpm.filtered, _xlfn._xlws.FILTER(_xlpm.name_col, (_xlpm.date_col = _xlpm.target_date) * (_xlpm.loc_col =$C25), ""),
   IF(_xlpm.filtered="", "", _xlpm.filtered)
)</f>
        <v/>
      </c>
      <c r="AB25" s="186" t="str" cm="1">
        <f t="array" ref="AB25">_xlfn.LET(
   _xlpm.data, 表格3_5[[Date]:[Location]],
   _xlpm.date_col, INDEX(_xlpm.data, , 1),
   _xlpm.name_col, INDEX(_xlpm.data, , 2),
   _xlpm.loc_col,  INDEX(_xlpm.data, , 3),
   _xlpm.target_date, DATE(YEAR($C$1), MONTH($C$1), AB$7),
   _xlpm.filtered, _xlfn._xlws.FILTER(_xlpm.name_col, (_xlpm.date_col = _xlpm.target_date) * (_xlpm.loc_col =$C25), ""),
   IF(_xlpm.filtered="", "", _xlpm.filtered)
)</f>
        <v/>
      </c>
      <c r="AC25" s="186" t="str" cm="1">
        <f t="array" ref="AC25">_xlfn.LET(
   _xlpm.data, 表格3_5[[Date]:[Location]],
   _xlpm.date_col, INDEX(_xlpm.data, , 1),
   _xlpm.name_col, INDEX(_xlpm.data, , 2),
   _xlpm.loc_col,  INDEX(_xlpm.data, , 3),
   _xlpm.target_date, DATE(YEAR($C$1), MONTH($C$1), AC$7),
   _xlpm.filtered, _xlfn._xlws.FILTER(_xlpm.name_col, (_xlpm.date_col = _xlpm.target_date) * (_xlpm.loc_col =$C25), ""),
   IF(_xlpm.filtered="", "", _xlpm.filtered)
)</f>
        <v/>
      </c>
      <c r="AD25" s="186" t="str" cm="1">
        <f t="array" ref="AD25">_xlfn.LET(
   _xlpm.data, 表格3_5[[Date]:[Location]],
   _xlpm.date_col, INDEX(_xlpm.data, , 1),
   _xlpm.name_col, INDEX(_xlpm.data, , 2),
   _xlpm.loc_col,  INDEX(_xlpm.data, , 3),
   _xlpm.target_date, DATE(YEAR($C$1), MONTH($C$1), AD$7),
   _xlpm.filtered, _xlfn._xlws.FILTER(_xlpm.name_col, (_xlpm.date_col = _xlpm.target_date) * (_xlpm.loc_col =$C25), ""),
   IF(_xlpm.filtered="", "", _xlpm.filtered)
)</f>
        <v/>
      </c>
      <c r="AE25" s="186" t="str" cm="1">
        <f t="array" ref="AE25">_xlfn.LET(
   _xlpm.data, 表格3_5[[Date]:[Location]],
   _xlpm.date_col, INDEX(_xlpm.data, , 1),
   _xlpm.name_col, INDEX(_xlpm.data, , 2),
   _xlpm.loc_col,  INDEX(_xlpm.data, , 3),
   _xlpm.target_date, DATE(YEAR($C$1), MONTH($C$1), AE$7),
   _xlpm.filtered, _xlfn._xlws.FILTER(_xlpm.name_col, (_xlpm.date_col = _xlpm.target_date) * (_xlpm.loc_col =$C25), ""),
   IF(_xlpm.filtered="", "", _xlpm.filtered)
)</f>
        <v/>
      </c>
      <c r="AF25" s="186" t="str" cm="1">
        <f t="array" ref="AF25">_xlfn.LET(
   _xlpm.data, 表格3_5[[Date]:[Location]],
   _xlpm.date_col, INDEX(_xlpm.data, , 1),
   _xlpm.name_col, INDEX(_xlpm.data, , 2),
   _xlpm.loc_col,  INDEX(_xlpm.data, , 3),
   _xlpm.target_date, DATE(YEAR($C$1), MONTH($C$1), AF$7),
   _xlpm.filtered, _xlfn._xlws.FILTER(_xlpm.name_col, (_xlpm.date_col = _xlpm.target_date) * (_xlpm.loc_col =$C25), ""),
   IF(_xlpm.filtered="", "", _xlpm.filtered)
)</f>
        <v/>
      </c>
      <c r="AG25" s="186" t="str" cm="1">
        <f t="array" ref="AG25">_xlfn.LET(
   _xlpm.data, 表格3_5[[Date]:[Location]],
   _xlpm.date_col, INDEX(_xlpm.data, , 1),
   _xlpm.name_col, INDEX(_xlpm.data, , 2),
   _xlpm.loc_col,  INDEX(_xlpm.data, , 3),
   _xlpm.target_date, DATE(YEAR($C$1), MONTH($C$1), AG$7),
   _xlpm.filtered, _xlfn._xlws.FILTER(_xlpm.name_col, (_xlpm.date_col = _xlpm.target_date) * (_xlpm.loc_col =$C25), ""),
   IF(_xlpm.filtered="", "", _xlpm.filtered)
)</f>
        <v/>
      </c>
      <c r="AH25" s="186" t="str" cm="1">
        <f t="array" ref="AH25">_xlfn.LET(
   _xlpm.data, 表格3_5[[Date]:[Location]],
   _xlpm.date_col, INDEX(_xlpm.data, , 1),
   _xlpm.name_col, INDEX(_xlpm.data, , 2),
   _xlpm.loc_col,  INDEX(_xlpm.data, , 3),
   _xlpm.target_date, DATE(YEAR($C$1), MONTH($C$1), AH$7),
   _xlpm.filtered, _xlfn._xlws.FILTER(_xlpm.name_col, (_xlpm.date_col = _xlpm.target_date) * (_xlpm.loc_col =$C25), ""),
   IF(_xlpm.filtered="", "", _xlpm.filtered)
)</f>
        <v/>
      </c>
      <c r="AI25" s="187">
        <f t="shared" si="33"/>
        <v>0</v>
      </c>
      <c r="AJ25" s="187">
        <f t="shared" si="36"/>
        <v>0</v>
      </c>
    </row>
    <row r="26" spans="2:72">
      <c r="B26" t="e" cm="1" vm="1">
        <f t="array" ref="B26">_xlfn.LET(
    _xlpm.data, D26:AH26,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C26" s="180"/>
      <c r="D26" s="186" t="str" cm="1">
        <f t="array" ref="D26">_xlfn.LET(
   _xlpm.data, 表格3_5[[Date]:[Location]],
   _xlpm.date_col, INDEX(_xlpm.data, , 1),
   _xlpm.name_col, INDEX(_xlpm.data, , 2),
   _xlpm.loc_col,  INDEX(_xlpm.data, , 3),
   _xlpm.target_date, DATE(YEAR($C$1), MONTH($C$1), D$7),
   _xlpm.filtered, _xlfn._xlws.FILTER(_xlpm.name_col, (_xlpm.date_col = _xlpm.target_date) * (_xlpm.loc_col =$C26), ""),
   IF(_xlpm.filtered="", "", _xlpm.filtered)
)</f>
        <v/>
      </c>
      <c r="E26" s="186" t="str" cm="1">
        <f t="array" ref="E26">_xlfn.LET(
   _xlpm.data, 表格3_5[[Date]:[Location]],
   _xlpm.date_col, INDEX(_xlpm.data, , 1),
   _xlpm.name_col, INDEX(_xlpm.data, , 2),
   _xlpm.loc_col,  INDEX(_xlpm.data, , 3),
   _xlpm.target_date, DATE(YEAR($C$1), MONTH($C$1), E$7),
   _xlpm.filtered, _xlfn._xlws.FILTER(_xlpm.name_col, (_xlpm.date_col = _xlpm.target_date) * (_xlpm.loc_col =$C26), ""),
   IF(_xlpm.filtered="", "", _xlpm.filtered)
)</f>
        <v/>
      </c>
      <c r="F26" s="186" t="str" cm="1">
        <f t="array" ref="F26">_xlfn.LET(
   _xlpm.data, 表格3_5[[Date]:[Location]],
   _xlpm.date_col, INDEX(_xlpm.data, , 1),
   _xlpm.name_col, INDEX(_xlpm.data, , 2),
   _xlpm.loc_col,  INDEX(_xlpm.data, , 3),
   _xlpm.target_date, DATE(YEAR($C$1), MONTH($C$1), F$7),
   _xlpm.filtered, _xlfn._xlws.FILTER(_xlpm.name_col, (_xlpm.date_col = _xlpm.target_date) * (_xlpm.loc_col =$C26), ""),
   IF(_xlpm.filtered="", "", _xlpm.filtered)
)</f>
        <v/>
      </c>
      <c r="G26" s="186" t="str" cm="1">
        <f t="array" ref="G26">_xlfn.LET(
   _xlpm.data, 表格3_5[[Date]:[Location]],
   _xlpm.date_col, INDEX(_xlpm.data, , 1),
   _xlpm.name_col, INDEX(_xlpm.data, , 2),
   _xlpm.loc_col,  INDEX(_xlpm.data, , 3),
   _xlpm.target_date, DATE(YEAR($C$1), MONTH($C$1), G$7),
   _xlpm.filtered, _xlfn._xlws.FILTER(_xlpm.name_col, (_xlpm.date_col = _xlpm.target_date) * (_xlpm.loc_col =$C26), ""),
   IF(_xlpm.filtered="", "", _xlpm.filtered)
)</f>
        <v/>
      </c>
      <c r="H26" s="186" t="str" cm="1">
        <f t="array" ref="H26">_xlfn.LET(
   _xlpm.data, 表格3_5[[Date]:[Location]],
   _xlpm.date_col, INDEX(_xlpm.data, , 1),
   _xlpm.name_col, INDEX(_xlpm.data, , 2),
   _xlpm.loc_col,  INDEX(_xlpm.data, , 3),
   _xlpm.target_date, DATE(YEAR($C$1), MONTH($C$1), H$7),
   _xlpm.filtered, _xlfn._xlws.FILTER(_xlpm.name_col, (_xlpm.date_col = _xlpm.target_date) * (_xlpm.loc_col =$C26), ""),
   IF(_xlpm.filtered="", "", _xlpm.filtered)
)</f>
        <v/>
      </c>
      <c r="I26" s="186" t="str" cm="1">
        <f t="array" ref="I26">_xlfn.LET(
   _xlpm.data, 表格3_5[[Date]:[Location]],
   _xlpm.date_col, INDEX(_xlpm.data, , 1),
   _xlpm.name_col, INDEX(_xlpm.data, , 2),
   _xlpm.loc_col,  INDEX(_xlpm.data, , 3),
   _xlpm.target_date, DATE(YEAR($C$1), MONTH($C$1), I$7),
   _xlpm.filtered, _xlfn._xlws.FILTER(_xlpm.name_col, (_xlpm.date_col = _xlpm.target_date) * (_xlpm.loc_col =$C26), ""),
   IF(_xlpm.filtered="", "", _xlpm.filtered)
)</f>
        <v/>
      </c>
      <c r="J26" s="186" t="str" cm="1">
        <f t="array" ref="J26">_xlfn.LET(
   _xlpm.data, 表格3_5[[Date]:[Location]],
   _xlpm.date_col, INDEX(_xlpm.data, , 1),
   _xlpm.name_col, INDEX(_xlpm.data, , 2),
   _xlpm.loc_col,  INDEX(_xlpm.data, , 3),
   _xlpm.target_date, DATE(YEAR($C$1), MONTH($C$1), J$7),
   _xlpm.filtered, _xlfn._xlws.FILTER(_xlpm.name_col, (_xlpm.date_col = _xlpm.target_date) * (_xlpm.loc_col =$C26), ""),
   IF(_xlpm.filtered="", "", _xlpm.filtered)
)</f>
        <v/>
      </c>
      <c r="K26" s="186" t="str" cm="1">
        <f t="array" ref="K26">_xlfn.LET(
   _xlpm.data, 表格3_5[[Date]:[Location]],
   _xlpm.date_col, INDEX(_xlpm.data, , 1),
   _xlpm.name_col, INDEX(_xlpm.data, , 2),
   _xlpm.loc_col,  INDEX(_xlpm.data, , 3),
   _xlpm.target_date, DATE(YEAR($C$1), MONTH($C$1), K$7),
   _xlpm.filtered, _xlfn._xlws.FILTER(_xlpm.name_col, (_xlpm.date_col = _xlpm.target_date) * (_xlpm.loc_col =$C26), ""),
   IF(_xlpm.filtered="", "", _xlpm.filtered)
)</f>
        <v/>
      </c>
      <c r="L26" s="186" t="str" cm="1">
        <f t="array" ref="L26">_xlfn.LET(
   _xlpm.data, 表格3_5[[Date]:[Location]],
   _xlpm.date_col, INDEX(_xlpm.data, , 1),
   _xlpm.name_col, INDEX(_xlpm.data, , 2),
   _xlpm.loc_col,  INDEX(_xlpm.data, , 3),
   _xlpm.target_date, DATE(YEAR($C$1), MONTH($C$1), L$7),
   _xlpm.filtered, _xlfn._xlws.FILTER(_xlpm.name_col, (_xlpm.date_col = _xlpm.target_date) * (_xlpm.loc_col =$C26), ""),
   IF(_xlpm.filtered="", "", _xlpm.filtered)
)</f>
        <v/>
      </c>
      <c r="M26" s="186" t="str" cm="1">
        <f t="array" ref="M26">_xlfn.LET(
   _xlpm.data, 表格3_5[[Date]:[Location]],
   _xlpm.date_col, INDEX(_xlpm.data, , 1),
   _xlpm.name_col, INDEX(_xlpm.data, , 2),
   _xlpm.loc_col,  INDEX(_xlpm.data, , 3),
   _xlpm.target_date, DATE(YEAR($C$1), MONTH($C$1), M$7),
   _xlpm.filtered, _xlfn._xlws.FILTER(_xlpm.name_col, (_xlpm.date_col = _xlpm.target_date) * (_xlpm.loc_col =$C26), ""),
   IF(_xlpm.filtered="", "", _xlpm.filtered)
)</f>
        <v/>
      </c>
      <c r="N26" s="186" t="str" cm="1">
        <f t="array" ref="N26">_xlfn.LET(
   _xlpm.data, 表格3_5[[Date]:[Location]],
   _xlpm.date_col, INDEX(_xlpm.data, , 1),
   _xlpm.name_col, INDEX(_xlpm.data, , 2),
   _xlpm.loc_col,  INDEX(_xlpm.data, , 3),
   _xlpm.target_date, DATE(YEAR($C$1), MONTH($C$1), N$7),
   _xlpm.filtered, _xlfn._xlws.FILTER(_xlpm.name_col, (_xlpm.date_col = _xlpm.target_date) * (_xlpm.loc_col =$C26), ""),
   IF(_xlpm.filtered="", "", _xlpm.filtered)
)</f>
        <v/>
      </c>
      <c r="O26" s="186" t="str" cm="1">
        <f t="array" ref="O26">_xlfn.LET(
   _xlpm.data, 表格3_5[[Date]:[Location]],
   _xlpm.date_col, INDEX(_xlpm.data, , 1),
   _xlpm.name_col, INDEX(_xlpm.data, , 2),
   _xlpm.loc_col,  INDEX(_xlpm.data, , 3),
   _xlpm.target_date, DATE(YEAR($C$1), MONTH($C$1), O$7),
   _xlpm.filtered, _xlfn._xlws.FILTER(_xlpm.name_col, (_xlpm.date_col = _xlpm.target_date) * (_xlpm.loc_col =$C26), ""),
   IF(_xlpm.filtered="", "", _xlpm.filtered)
)</f>
        <v/>
      </c>
      <c r="P26" s="186" t="str" cm="1">
        <f t="array" ref="P26">_xlfn.LET(
   _xlpm.data, 表格3_5[[Date]:[Location]],
   _xlpm.date_col, INDEX(_xlpm.data, , 1),
   _xlpm.name_col, INDEX(_xlpm.data, , 2),
   _xlpm.loc_col,  INDEX(_xlpm.data, , 3),
   _xlpm.target_date, DATE(YEAR($C$1), MONTH($C$1), P$7),
   _xlpm.filtered, _xlfn._xlws.FILTER(_xlpm.name_col, (_xlpm.date_col = _xlpm.target_date) * (_xlpm.loc_col =$C26), ""),
   IF(_xlpm.filtered="", "", _xlpm.filtered)
)</f>
        <v/>
      </c>
      <c r="Q26" s="186" t="str" cm="1">
        <f t="array" ref="Q26">_xlfn.LET(
   _xlpm.data, 表格3_5[[Date]:[Location]],
   _xlpm.date_col, INDEX(_xlpm.data, , 1),
   _xlpm.name_col, INDEX(_xlpm.data, , 2),
   _xlpm.loc_col,  INDEX(_xlpm.data, , 3),
   _xlpm.target_date, DATE(YEAR($C$1), MONTH($C$1), Q$7),
   _xlpm.filtered, _xlfn._xlws.FILTER(_xlpm.name_col, (_xlpm.date_col = _xlpm.target_date) * (_xlpm.loc_col =$C26), ""),
   IF(_xlpm.filtered="", "", _xlpm.filtered)
)</f>
        <v/>
      </c>
      <c r="R26" s="186" t="str" cm="1">
        <f t="array" ref="R26">_xlfn.LET(
   _xlpm.data, 表格3_5[[Date]:[Location]],
   _xlpm.date_col, INDEX(_xlpm.data, , 1),
   _xlpm.name_col, INDEX(_xlpm.data, , 2),
   _xlpm.loc_col,  INDEX(_xlpm.data, , 3),
   _xlpm.target_date, DATE(YEAR($C$1), MONTH($C$1), R$7),
   _xlpm.filtered, _xlfn._xlws.FILTER(_xlpm.name_col, (_xlpm.date_col = _xlpm.target_date) * (_xlpm.loc_col =$C26), ""),
   IF(_xlpm.filtered="", "", _xlpm.filtered)
)</f>
        <v/>
      </c>
      <c r="S26" s="186" t="str" cm="1">
        <f t="array" ref="S26">_xlfn.LET(
   _xlpm.data, 表格3_5[[Date]:[Location]],
   _xlpm.date_col, INDEX(_xlpm.data, , 1),
   _xlpm.name_col, INDEX(_xlpm.data, , 2),
   _xlpm.loc_col,  INDEX(_xlpm.data, , 3),
   _xlpm.target_date, DATE(YEAR($C$1), MONTH($C$1), S$7),
   _xlpm.filtered, _xlfn._xlws.FILTER(_xlpm.name_col, (_xlpm.date_col = _xlpm.target_date) * (_xlpm.loc_col =$C26), ""),
   IF(_xlpm.filtered="", "", _xlpm.filtered)
)</f>
        <v/>
      </c>
      <c r="T26" s="186" t="str" cm="1">
        <f t="array" ref="T26">_xlfn.LET(
   _xlpm.data, 表格3_5[[Date]:[Location]],
   _xlpm.date_col, INDEX(_xlpm.data, , 1),
   _xlpm.name_col, INDEX(_xlpm.data, , 2),
   _xlpm.loc_col,  INDEX(_xlpm.data, , 3),
   _xlpm.target_date, DATE(YEAR($C$1), MONTH($C$1), T$7),
   _xlpm.filtered, _xlfn._xlws.FILTER(_xlpm.name_col, (_xlpm.date_col = _xlpm.target_date) * (_xlpm.loc_col =$C26), ""),
   IF(_xlpm.filtered="", "", _xlpm.filtered)
)</f>
        <v/>
      </c>
      <c r="U26" s="186" t="str" cm="1">
        <f t="array" ref="U26">_xlfn.LET(
   _xlpm.data, 表格3_5[[Date]:[Location]],
   _xlpm.date_col, INDEX(_xlpm.data, , 1),
   _xlpm.name_col, INDEX(_xlpm.data, , 2),
   _xlpm.loc_col,  INDEX(_xlpm.data, , 3),
   _xlpm.target_date, DATE(YEAR($C$1), MONTH($C$1), U$7),
   _xlpm.filtered, _xlfn._xlws.FILTER(_xlpm.name_col, (_xlpm.date_col = _xlpm.target_date) * (_xlpm.loc_col =$C26), ""),
   IF(_xlpm.filtered="", "", _xlpm.filtered)
)</f>
        <v/>
      </c>
      <c r="V26" s="186" t="str" cm="1">
        <f t="array" ref="V26">_xlfn.LET(
   _xlpm.data, 表格3_5[[Date]:[Location]],
   _xlpm.date_col, INDEX(_xlpm.data, , 1),
   _xlpm.name_col, INDEX(_xlpm.data, , 2),
   _xlpm.loc_col,  INDEX(_xlpm.data, , 3),
   _xlpm.target_date, DATE(YEAR($C$1), MONTH($C$1), V$7),
   _xlpm.filtered, _xlfn._xlws.FILTER(_xlpm.name_col, (_xlpm.date_col = _xlpm.target_date) * (_xlpm.loc_col =$C26), ""),
   IF(_xlpm.filtered="", "", _xlpm.filtered)
)</f>
        <v/>
      </c>
      <c r="W26" s="186" t="str" cm="1">
        <f t="array" ref="W26">_xlfn.LET(
   _xlpm.data, 表格3_5[[Date]:[Location]],
   _xlpm.date_col, INDEX(_xlpm.data, , 1),
   _xlpm.name_col, INDEX(_xlpm.data, , 2),
   _xlpm.loc_col,  INDEX(_xlpm.data, , 3),
   _xlpm.target_date, DATE(YEAR($C$1), MONTH($C$1), W$7),
   _xlpm.filtered, _xlfn._xlws.FILTER(_xlpm.name_col, (_xlpm.date_col = _xlpm.target_date) * (_xlpm.loc_col =$C26), ""),
   IF(_xlpm.filtered="", "", _xlpm.filtered)
)</f>
        <v/>
      </c>
      <c r="X26" s="186" t="str" cm="1">
        <f t="array" ref="X26">_xlfn.LET(
   _xlpm.data, 表格3_5[[Date]:[Location]],
   _xlpm.date_col, INDEX(_xlpm.data, , 1),
   _xlpm.name_col, INDEX(_xlpm.data, , 2),
   _xlpm.loc_col,  INDEX(_xlpm.data, , 3),
   _xlpm.target_date, DATE(YEAR($C$1), MONTH($C$1), X$7),
   _xlpm.filtered, _xlfn._xlws.FILTER(_xlpm.name_col, (_xlpm.date_col = _xlpm.target_date) * (_xlpm.loc_col =$C26), ""),
   IF(_xlpm.filtered="", "", _xlpm.filtered)
)</f>
        <v/>
      </c>
      <c r="Y26" s="186" t="str" cm="1">
        <f t="array" ref="Y26">_xlfn.LET(
   _xlpm.data, 表格3_5[[Date]:[Location]],
   _xlpm.date_col, INDEX(_xlpm.data, , 1),
   _xlpm.name_col, INDEX(_xlpm.data, , 2),
   _xlpm.loc_col,  INDEX(_xlpm.data, , 3),
   _xlpm.target_date, DATE(YEAR($C$1), MONTH($C$1), Y$7),
   _xlpm.filtered, _xlfn._xlws.FILTER(_xlpm.name_col, (_xlpm.date_col = _xlpm.target_date) * (_xlpm.loc_col =$C26), ""),
   IF(_xlpm.filtered="", "", _xlpm.filtered)
)</f>
        <v/>
      </c>
      <c r="Z26" s="186" t="str" cm="1">
        <f t="array" ref="Z26">_xlfn.LET(
   _xlpm.data, 表格3_5[[Date]:[Location]],
   _xlpm.date_col, INDEX(_xlpm.data, , 1),
   _xlpm.name_col, INDEX(_xlpm.data, , 2),
   _xlpm.loc_col,  INDEX(_xlpm.data, , 3),
   _xlpm.target_date, DATE(YEAR($C$1), MONTH($C$1), Z$7),
   _xlpm.filtered, _xlfn._xlws.FILTER(_xlpm.name_col, (_xlpm.date_col = _xlpm.target_date) * (_xlpm.loc_col =$C26), ""),
   IF(_xlpm.filtered="", "", _xlpm.filtered)
)</f>
        <v/>
      </c>
      <c r="AA26" s="186" t="str" cm="1">
        <f t="array" ref="AA26">_xlfn.LET(
   _xlpm.data, 表格3_5[[Date]:[Location]],
   _xlpm.date_col, INDEX(_xlpm.data, , 1),
   _xlpm.name_col, INDEX(_xlpm.data, , 2),
   _xlpm.loc_col,  INDEX(_xlpm.data, , 3),
   _xlpm.target_date, DATE(YEAR($C$1), MONTH($C$1), AA$7),
   _xlpm.filtered, _xlfn._xlws.FILTER(_xlpm.name_col, (_xlpm.date_col = _xlpm.target_date) * (_xlpm.loc_col =$C26), ""),
   IF(_xlpm.filtered="", "", _xlpm.filtered)
)</f>
        <v/>
      </c>
      <c r="AB26" s="186" t="str" cm="1">
        <f t="array" ref="AB26">_xlfn.LET(
   _xlpm.data, 表格3_5[[Date]:[Location]],
   _xlpm.date_col, INDEX(_xlpm.data, , 1),
   _xlpm.name_col, INDEX(_xlpm.data, , 2),
   _xlpm.loc_col,  INDEX(_xlpm.data, , 3),
   _xlpm.target_date, DATE(YEAR($C$1), MONTH($C$1), AB$7),
   _xlpm.filtered, _xlfn._xlws.FILTER(_xlpm.name_col, (_xlpm.date_col = _xlpm.target_date) * (_xlpm.loc_col =$C26), ""),
   IF(_xlpm.filtered="", "", _xlpm.filtered)
)</f>
        <v/>
      </c>
      <c r="AC26" s="186" t="str" cm="1">
        <f t="array" ref="AC26">_xlfn.LET(
   _xlpm.data, 表格3_5[[Date]:[Location]],
   _xlpm.date_col, INDEX(_xlpm.data, , 1),
   _xlpm.name_col, INDEX(_xlpm.data, , 2),
   _xlpm.loc_col,  INDEX(_xlpm.data, , 3),
   _xlpm.target_date, DATE(YEAR($C$1), MONTH($C$1), AC$7),
   _xlpm.filtered, _xlfn._xlws.FILTER(_xlpm.name_col, (_xlpm.date_col = _xlpm.target_date) * (_xlpm.loc_col =$C26), ""),
   IF(_xlpm.filtered="", "", _xlpm.filtered)
)</f>
        <v/>
      </c>
      <c r="AD26" s="186" t="str" cm="1">
        <f t="array" ref="AD26">_xlfn.LET(
   _xlpm.data, 表格3_5[[Date]:[Location]],
   _xlpm.date_col, INDEX(_xlpm.data, , 1),
   _xlpm.name_col, INDEX(_xlpm.data, , 2),
   _xlpm.loc_col,  INDEX(_xlpm.data, , 3),
   _xlpm.target_date, DATE(YEAR($C$1), MONTH($C$1), AD$7),
   _xlpm.filtered, _xlfn._xlws.FILTER(_xlpm.name_col, (_xlpm.date_col = _xlpm.target_date) * (_xlpm.loc_col =$C26), ""),
   IF(_xlpm.filtered="", "", _xlpm.filtered)
)</f>
        <v/>
      </c>
      <c r="AE26" s="186" t="str" cm="1">
        <f t="array" ref="AE26">_xlfn.LET(
   _xlpm.data, 表格3_5[[Date]:[Location]],
   _xlpm.date_col, INDEX(_xlpm.data, , 1),
   _xlpm.name_col, INDEX(_xlpm.data, , 2),
   _xlpm.loc_col,  INDEX(_xlpm.data, , 3),
   _xlpm.target_date, DATE(YEAR($C$1), MONTH($C$1), AE$7),
   _xlpm.filtered, _xlfn._xlws.FILTER(_xlpm.name_col, (_xlpm.date_col = _xlpm.target_date) * (_xlpm.loc_col =$C26), ""),
   IF(_xlpm.filtered="", "", _xlpm.filtered)
)</f>
        <v/>
      </c>
      <c r="AF26" s="186" t="str" cm="1">
        <f t="array" ref="AF26">_xlfn.LET(
   _xlpm.data, 表格3_5[[Date]:[Location]],
   _xlpm.date_col, INDEX(_xlpm.data, , 1),
   _xlpm.name_col, INDEX(_xlpm.data, , 2),
   _xlpm.loc_col,  INDEX(_xlpm.data, , 3),
   _xlpm.target_date, DATE(YEAR($C$1), MONTH($C$1), AF$7),
   _xlpm.filtered, _xlfn._xlws.FILTER(_xlpm.name_col, (_xlpm.date_col = _xlpm.target_date) * (_xlpm.loc_col =$C26), ""),
   IF(_xlpm.filtered="", "", _xlpm.filtered)
)</f>
        <v/>
      </c>
      <c r="AG26" s="186" t="str" cm="1">
        <f t="array" ref="AG26">_xlfn.LET(
   _xlpm.data, 表格3_5[[Date]:[Location]],
   _xlpm.date_col, INDEX(_xlpm.data, , 1),
   _xlpm.name_col, INDEX(_xlpm.data, , 2),
   _xlpm.loc_col,  INDEX(_xlpm.data, , 3),
   _xlpm.target_date, DATE(YEAR($C$1), MONTH($C$1), AG$7),
   _xlpm.filtered, _xlfn._xlws.FILTER(_xlpm.name_col, (_xlpm.date_col = _xlpm.target_date) * (_xlpm.loc_col =$C26), ""),
   IF(_xlpm.filtered="", "", _xlpm.filtered)
)</f>
        <v/>
      </c>
      <c r="AH26" s="186" t="str" cm="1">
        <f t="array" ref="AH26">_xlfn.LET(
   _xlpm.data, 表格3_5[[Date]:[Location]],
   _xlpm.date_col, INDEX(_xlpm.data, , 1),
   _xlpm.name_col, INDEX(_xlpm.data, , 2),
   _xlpm.loc_col,  INDEX(_xlpm.data, , 3),
   _xlpm.target_date, DATE(YEAR($C$1), MONTH($C$1), AH$7),
   _xlpm.filtered, _xlfn._xlws.FILTER(_xlpm.name_col, (_xlpm.date_col = _xlpm.target_date) * (_xlpm.loc_col =$C26), ""),
   IF(_xlpm.filtered="", "", _xlpm.filtered)
)</f>
        <v/>
      </c>
      <c r="AI26" s="187">
        <f t="shared" si="33"/>
        <v>0</v>
      </c>
      <c r="AJ26" s="187">
        <f t="shared" si="36"/>
        <v>0</v>
      </c>
    </row>
    <row r="27" spans="2:72">
      <c r="B27" t="e" cm="1" vm="1">
        <f t="array" ref="B27">_xlfn.LET(
    _xlpm.data, D27:AH27,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C27" s="180"/>
      <c r="D27" s="186" t="str" cm="1">
        <f t="array" ref="D27">_xlfn.LET(
   _xlpm.data, 表格3_5[[Date]:[Location]],
   _xlpm.date_col, INDEX(_xlpm.data, , 1),
   _xlpm.name_col, INDEX(_xlpm.data, , 2),
   _xlpm.loc_col,  INDEX(_xlpm.data, , 3),
   _xlpm.target_date, DATE(YEAR($C$1), MONTH($C$1), D$7),
   _xlpm.filtered, _xlfn._xlws.FILTER(_xlpm.name_col, (_xlpm.date_col = _xlpm.target_date) * (_xlpm.loc_col =$C27), ""),
   IF(_xlpm.filtered="", "", _xlpm.filtered)
)</f>
        <v/>
      </c>
      <c r="E27" s="186" t="str" cm="1">
        <f t="array" ref="E27">_xlfn.LET(
   _xlpm.data, 表格3_5[[Date]:[Location]],
   _xlpm.date_col, INDEX(_xlpm.data, , 1),
   _xlpm.name_col, INDEX(_xlpm.data, , 2),
   _xlpm.loc_col,  INDEX(_xlpm.data, , 3),
   _xlpm.target_date, DATE(YEAR($C$1), MONTH($C$1), E$7),
   _xlpm.filtered, _xlfn._xlws.FILTER(_xlpm.name_col, (_xlpm.date_col = _xlpm.target_date) * (_xlpm.loc_col =$C27), ""),
   IF(_xlpm.filtered="", "", _xlpm.filtered)
)</f>
        <v/>
      </c>
      <c r="F27" s="186" t="str" cm="1">
        <f t="array" ref="F27">_xlfn.LET(
   _xlpm.data, 表格3_5[[Date]:[Location]],
   _xlpm.date_col, INDEX(_xlpm.data, , 1),
   _xlpm.name_col, INDEX(_xlpm.data, , 2),
   _xlpm.loc_col,  INDEX(_xlpm.data, , 3),
   _xlpm.target_date, DATE(YEAR($C$1), MONTH($C$1), F$7),
   _xlpm.filtered, _xlfn._xlws.FILTER(_xlpm.name_col, (_xlpm.date_col = _xlpm.target_date) * (_xlpm.loc_col =$C27), ""),
   IF(_xlpm.filtered="", "", _xlpm.filtered)
)</f>
        <v/>
      </c>
      <c r="G27" s="186" t="str" cm="1">
        <f t="array" ref="G27">_xlfn.LET(
   _xlpm.data, 表格3_5[[Date]:[Location]],
   _xlpm.date_col, INDEX(_xlpm.data, , 1),
   _xlpm.name_col, INDEX(_xlpm.data, , 2),
   _xlpm.loc_col,  INDEX(_xlpm.data, , 3),
   _xlpm.target_date, DATE(YEAR($C$1), MONTH($C$1), G$7),
   _xlpm.filtered, _xlfn._xlws.FILTER(_xlpm.name_col, (_xlpm.date_col = _xlpm.target_date) * (_xlpm.loc_col =$C27), ""),
   IF(_xlpm.filtered="", "", _xlpm.filtered)
)</f>
        <v/>
      </c>
      <c r="H27" s="186" t="str" cm="1">
        <f t="array" ref="H27">_xlfn.LET(
   _xlpm.data, 表格3_5[[Date]:[Location]],
   _xlpm.date_col, INDEX(_xlpm.data, , 1),
   _xlpm.name_col, INDEX(_xlpm.data, , 2),
   _xlpm.loc_col,  INDEX(_xlpm.data, , 3),
   _xlpm.target_date, DATE(YEAR($C$1), MONTH($C$1), H$7),
   _xlpm.filtered, _xlfn._xlws.FILTER(_xlpm.name_col, (_xlpm.date_col = _xlpm.target_date) * (_xlpm.loc_col =$C27), ""),
   IF(_xlpm.filtered="", "", _xlpm.filtered)
)</f>
        <v/>
      </c>
      <c r="I27" s="186" t="str" cm="1">
        <f t="array" ref="I27">_xlfn.LET(
   _xlpm.data, 表格3_5[[Date]:[Location]],
   _xlpm.date_col, INDEX(_xlpm.data, , 1),
   _xlpm.name_col, INDEX(_xlpm.data, , 2),
   _xlpm.loc_col,  INDEX(_xlpm.data, , 3),
   _xlpm.target_date, DATE(YEAR($C$1), MONTH($C$1), I$7),
   _xlpm.filtered, _xlfn._xlws.FILTER(_xlpm.name_col, (_xlpm.date_col = _xlpm.target_date) * (_xlpm.loc_col =$C27), ""),
   IF(_xlpm.filtered="", "", _xlpm.filtered)
)</f>
        <v/>
      </c>
      <c r="J27" s="186" t="str" cm="1">
        <f t="array" ref="J27">_xlfn.LET(
   _xlpm.data, 表格3_5[[Date]:[Location]],
   _xlpm.date_col, INDEX(_xlpm.data, , 1),
   _xlpm.name_col, INDEX(_xlpm.data, , 2),
   _xlpm.loc_col,  INDEX(_xlpm.data, , 3),
   _xlpm.target_date, DATE(YEAR($C$1), MONTH($C$1), J$7),
   _xlpm.filtered, _xlfn._xlws.FILTER(_xlpm.name_col, (_xlpm.date_col = _xlpm.target_date) * (_xlpm.loc_col =$C27), ""),
   IF(_xlpm.filtered="", "", _xlpm.filtered)
)</f>
        <v/>
      </c>
      <c r="K27" s="186" t="str" cm="1">
        <f t="array" ref="K27">_xlfn.LET(
   _xlpm.data, 表格3_5[[Date]:[Location]],
   _xlpm.date_col, INDEX(_xlpm.data, , 1),
   _xlpm.name_col, INDEX(_xlpm.data, , 2),
   _xlpm.loc_col,  INDEX(_xlpm.data, , 3),
   _xlpm.target_date, DATE(YEAR($C$1), MONTH($C$1), K$7),
   _xlpm.filtered, _xlfn._xlws.FILTER(_xlpm.name_col, (_xlpm.date_col = _xlpm.target_date) * (_xlpm.loc_col =$C27), ""),
   IF(_xlpm.filtered="", "", _xlpm.filtered)
)</f>
        <v/>
      </c>
      <c r="L27" s="186" t="str" cm="1">
        <f t="array" ref="L27">_xlfn.LET(
   _xlpm.data, 表格3_5[[Date]:[Location]],
   _xlpm.date_col, INDEX(_xlpm.data, , 1),
   _xlpm.name_col, INDEX(_xlpm.data, , 2),
   _xlpm.loc_col,  INDEX(_xlpm.data, , 3),
   _xlpm.target_date, DATE(YEAR($C$1), MONTH($C$1), L$7),
   _xlpm.filtered, _xlfn._xlws.FILTER(_xlpm.name_col, (_xlpm.date_col = _xlpm.target_date) * (_xlpm.loc_col =$C27), ""),
   IF(_xlpm.filtered="", "", _xlpm.filtered)
)</f>
        <v/>
      </c>
      <c r="M27" s="186" t="str" cm="1">
        <f t="array" ref="M27">_xlfn.LET(
   _xlpm.data, 表格3_5[[Date]:[Location]],
   _xlpm.date_col, INDEX(_xlpm.data, , 1),
   _xlpm.name_col, INDEX(_xlpm.data, , 2),
   _xlpm.loc_col,  INDEX(_xlpm.data, , 3),
   _xlpm.target_date, DATE(YEAR($C$1), MONTH($C$1), M$7),
   _xlpm.filtered, _xlfn._xlws.FILTER(_xlpm.name_col, (_xlpm.date_col = _xlpm.target_date) * (_xlpm.loc_col =$C27), ""),
   IF(_xlpm.filtered="", "", _xlpm.filtered)
)</f>
        <v/>
      </c>
      <c r="N27" s="186" t="str" cm="1">
        <f t="array" ref="N27">_xlfn.LET(
   _xlpm.data, 表格3_5[[Date]:[Location]],
   _xlpm.date_col, INDEX(_xlpm.data, , 1),
   _xlpm.name_col, INDEX(_xlpm.data, , 2),
   _xlpm.loc_col,  INDEX(_xlpm.data, , 3),
   _xlpm.target_date, DATE(YEAR($C$1), MONTH($C$1), N$7),
   _xlpm.filtered, _xlfn._xlws.FILTER(_xlpm.name_col, (_xlpm.date_col = _xlpm.target_date) * (_xlpm.loc_col =$C27), ""),
   IF(_xlpm.filtered="", "", _xlpm.filtered)
)</f>
        <v/>
      </c>
      <c r="O27" s="186" t="str" cm="1">
        <f t="array" ref="O27">_xlfn.LET(
   _xlpm.data, 表格3_5[[Date]:[Location]],
   _xlpm.date_col, INDEX(_xlpm.data, , 1),
   _xlpm.name_col, INDEX(_xlpm.data, , 2),
   _xlpm.loc_col,  INDEX(_xlpm.data, , 3),
   _xlpm.target_date, DATE(YEAR($C$1), MONTH($C$1), O$7),
   _xlpm.filtered, _xlfn._xlws.FILTER(_xlpm.name_col, (_xlpm.date_col = _xlpm.target_date) * (_xlpm.loc_col =$C27), ""),
   IF(_xlpm.filtered="", "", _xlpm.filtered)
)</f>
        <v/>
      </c>
      <c r="P27" s="186" t="str" cm="1">
        <f t="array" ref="P27">_xlfn.LET(
   _xlpm.data, 表格3_5[[Date]:[Location]],
   _xlpm.date_col, INDEX(_xlpm.data, , 1),
   _xlpm.name_col, INDEX(_xlpm.data, , 2),
   _xlpm.loc_col,  INDEX(_xlpm.data, , 3),
   _xlpm.target_date, DATE(YEAR($C$1), MONTH($C$1), P$7),
   _xlpm.filtered, _xlfn._xlws.FILTER(_xlpm.name_col, (_xlpm.date_col = _xlpm.target_date) * (_xlpm.loc_col =$C27), ""),
   IF(_xlpm.filtered="", "", _xlpm.filtered)
)</f>
        <v/>
      </c>
      <c r="Q27" s="186" t="str" cm="1">
        <f t="array" ref="Q27">_xlfn.LET(
   _xlpm.data, 表格3_5[[Date]:[Location]],
   _xlpm.date_col, INDEX(_xlpm.data, , 1),
   _xlpm.name_col, INDEX(_xlpm.data, , 2),
   _xlpm.loc_col,  INDEX(_xlpm.data, , 3),
   _xlpm.target_date, DATE(YEAR($C$1), MONTH($C$1), Q$7),
   _xlpm.filtered, _xlfn._xlws.FILTER(_xlpm.name_col, (_xlpm.date_col = _xlpm.target_date) * (_xlpm.loc_col =$C27), ""),
   IF(_xlpm.filtered="", "", _xlpm.filtered)
)</f>
        <v/>
      </c>
      <c r="R27" s="186" t="str" cm="1">
        <f t="array" ref="R27">_xlfn.LET(
   _xlpm.data, 表格3_5[[Date]:[Location]],
   _xlpm.date_col, INDEX(_xlpm.data, , 1),
   _xlpm.name_col, INDEX(_xlpm.data, , 2),
   _xlpm.loc_col,  INDEX(_xlpm.data, , 3),
   _xlpm.target_date, DATE(YEAR($C$1), MONTH($C$1), R$7),
   _xlpm.filtered, _xlfn._xlws.FILTER(_xlpm.name_col, (_xlpm.date_col = _xlpm.target_date) * (_xlpm.loc_col =$C27), ""),
   IF(_xlpm.filtered="", "", _xlpm.filtered)
)</f>
        <v/>
      </c>
      <c r="S27" s="186" t="str" cm="1">
        <f t="array" ref="S27">_xlfn.LET(
   _xlpm.data, 表格3_5[[Date]:[Location]],
   _xlpm.date_col, INDEX(_xlpm.data, , 1),
   _xlpm.name_col, INDEX(_xlpm.data, , 2),
   _xlpm.loc_col,  INDEX(_xlpm.data, , 3),
   _xlpm.target_date, DATE(YEAR($C$1), MONTH($C$1), S$7),
   _xlpm.filtered, _xlfn._xlws.FILTER(_xlpm.name_col, (_xlpm.date_col = _xlpm.target_date) * (_xlpm.loc_col =$C27), ""),
   IF(_xlpm.filtered="", "", _xlpm.filtered)
)</f>
        <v/>
      </c>
      <c r="T27" s="186" t="str" cm="1">
        <f t="array" ref="T27">_xlfn.LET(
   _xlpm.data, 表格3_5[[Date]:[Location]],
   _xlpm.date_col, INDEX(_xlpm.data, , 1),
   _xlpm.name_col, INDEX(_xlpm.data, , 2),
   _xlpm.loc_col,  INDEX(_xlpm.data, , 3),
   _xlpm.target_date, DATE(YEAR($C$1), MONTH($C$1), T$7),
   _xlpm.filtered, _xlfn._xlws.FILTER(_xlpm.name_col, (_xlpm.date_col = _xlpm.target_date) * (_xlpm.loc_col =$C27), ""),
   IF(_xlpm.filtered="", "", _xlpm.filtered)
)</f>
        <v/>
      </c>
      <c r="U27" s="186" t="str" cm="1">
        <f t="array" ref="U27">_xlfn.LET(
   _xlpm.data, 表格3_5[[Date]:[Location]],
   _xlpm.date_col, INDEX(_xlpm.data, , 1),
   _xlpm.name_col, INDEX(_xlpm.data, , 2),
   _xlpm.loc_col,  INDEX(_xlpm.data, , 3),
   _xlpm.target_date, DATE(YEAR($C$1), MONTH($C$1), U$7),
   _xlpm.filtered, _xlfn._xlws.FILTER(_xlpm.name_col, (_xlpm.date_col = _xlpm.target_date) * (_xlpm.loc_col =$C27), ""),
   IF(_xlpm.filtered="", "", _xlpm.filtered)
)</f>
        <v/>
      </c>
      <c r="V27" s="186" t="str" cm="1">
        <f t="array" ref="V27">_xlfn.LET(
   _xlpm.data, 表格3_5[[Date]:[Location]],
   _xlpm.date_col, INDEX(_xlpm.data, , 1),
   _xlpm.name_col, INDEX(_xlpm.data, , 2),
   _xlpm.loc_col,  INDEX(_xlpm.data, , 3),
   _xlpm.target_date, DATE(YEAR($C$1), MONTH($C$1), V$7),
   _xlpm.filtered, _xlfn._xlws.FILTER(_xlpm.name_col, (_xlpm.date_col = _xlpm.target_date) * (_xlpm.loc_col =$C27), ""),
   IF(_xlpm.filtered="", "", _xlpm.filtered)
)</f>
        <v/>
      </c>
      <c r="W27" s="186" t="str" cm="1">
        <f t="array" ref="W27">_xlfn.LET(
   _xlpm.data, 表格3_5[[Date]:[Location]],
   _xlpm.date_col, INDEX(_xlpm.data, , 1),
   _xlpm.name_col, INDEX(_xlpm.data, , 2),
   _xlpm.loc_col,  INDEX(_xlpm.data, , 3),
   _xlpm.target_date, DATE(YEAR($C$1), MONTH($C$1), W$7),
   _xlpm.filtered, _xlfn._xlws.FILTER(_xlpm.name_col, (_xlpm.date_col = _xlpm.target_date) * (_xlpm.loc_col =$C27), ""),
   IF(_xlpm.filtered="", "", _xlpm.filtered)
)</f>
        <v/>
      </c>
      <c r="X27" s="186" t="str" cm="1">
        <f t="array" ref="X27">_xlfn.LET(
   _xlpm.data, 表格3_5[[Date]:[Location]],
   _xlpm.date_col, INDEX(_xlpm.data, , 1),
   _xlpm.name_col, INDEX(_xlpm.data, , 2),
   _xlpm.loc_col,  INDEX(_xlpm.data, , 3),
   _xlpm.target_date, DATE(YEAR($C$1), MONTH($C$1), X$7),
   _xlpm.filtered, _xlfn._xlws.FILTER(_xlpm.name_col, (_xlpm.date_col = _xlpm.target_date) * (_xlpm.loc_col =$C27), ""),
   IF(_xlpm.filtered="", "", _xlpm.filtered)
)</f>
        <v/>
      </c>
      <c r="Y27" s="186" t="str" cm="1">
        <f t="array" ref="Y27">_xlfn.LET(
   _xlpm.data, 表格3_5[[Date]:[Location]],
   _xlpm.date_col, INDEX(_xlpm.data, , 1),
   _xlpm.name_col, INDEX(_xlpm.data, , 2),
   _xlpm.loc_col,  INDEX(_xlpm.data, , 3),
   _xlpm.target_date, DATE(YEAR($C$1), MONTH($C$1), Y$7),
   _xlpm.filtered, _xlfn._xlws.FILTER(_xlpm.name_col, (_xlpm.date_col = _xlpm.target_date) * (_xlpm.loc_col =$C27), ""),
   IF(_xlpm.filtered="", "", _xlpm.filtered)
)</f>
        <v/>
      </c>
      <c r="Z27" s="186" t="str" cm="1">
        <f t="array" ref="Z27">_xlfn.LET(
   _xlpm.data, 表格3_5[[Date]:[Location]],
   _xlpm.date_col, INDEX(_xlpm.data, , 1),
   _xlpm.name_col, INDEX(_xlpm.data, , 2),
   _xlpm.loc_col,  INDEX(_xlpm.data, , 3),
   _xlpm.target_date, DATE(YEAR($C$1), MONTH($C$1), Z$7),
   _xlpm.filtered, _xlfn._xlws.FILTER(_xlpm.name_col, (_xlpm.date_col = _xlpm.target_date) * (_xlpm.loc_col =$C27), ""),
   IF(_xlpm.filtered="", "", _xlpm.filtered)
)</f>
        <v/>
      </c>
      <c r="AA27" s="186" t="str" cm="1">
        <f t="array" ref="AA27">_xlfn.LET(
   _xlpm.data, 表格3_5[[Date]:[Location]],
   _xlpm.date_col, INDEX(_xlpm.data, , 1),
   _xlpm.name_col, INDEX(_xlpm.data, , 2),
   _xlpm.loc_col,  INDEX(_xlpm.data, , 3),
   _xlpm.target_date, DATE(YEAR($C$1), MONTH($C$1), AA$7),
   _xlpm.filtered, _xlfn._xlws.FILTER(_xlpm.name_col, (_xlpm.date_col = _xlpm.target_date) * (_xlpm.loc_col =$C27), ""),
   IF(_xlpm.filtered="", "", _xlpm.filtered)
)</f>
        <v/>
      </c>
      <c r="AB27" s="186" t="str" cm="1">
        <f t="array" ref="AB27">_xlfn.LET(
   _xlpm.data, 表格3_5[[Date]:[Location]],
   _xlpm.date_col, INDEX(_xlpm.data, , 1),
   _xlpm.name_col, INDEX(_xlpm.data, , 2),
   _xlpm.loc_col,  INDEX(_xlpm.data, , 3),
   _xlpm.target_date, DATE(YEAR($C$1), MONTH($C$1), AB$7),
   _xlpm.filtered, _xlfn._xlws.FILTER(_xlpm.name_col, (_xlpm.date_col = _xlpm.target_date) * (_xlpm.loc_col =$C27), ""),
   IF(_xlpm.filtered="", "", _xlpm.filtered)
)</f>
        <v/>
      </c>
      <c r="AC27" s="186" t="str" cm="1">
        <f t="array" ref="AC27">_xlfn.LET(
   _xlpm.data, 表格3_5[[Date]:[Location]],
   _xlpm.date_col, INDEX(_xlpm.data, , 1),
   _xlpm.name_col, INDEX(_xlpm.data, , 2),
   _xlpm.loc_col,  INDEX(_xlpm.data, , 3),
   _xlpm.target_date, DATE(YEAR($C$1), MONTH($C$1), AC$7),
   _xlpm.filtered, _xlfn._xlws.FILTER(_xlpm.name_col, (_xlpm.date_col = _xlpm.target_date) * (_xlpm.loc_col =$C27), ""),
   IF(_xlpm.filtered="", "", _xlpm.filtered)
)</f>
        <v/>
      </c>
      <c r="AD27" s="186" t="str" cm="1">
        <f t="array" ref="AD27">_xlfn.LET(
   _xlpm.data, 表格3_5[[Date]:[Location]],
   _xlpm.date_col, INDEX(_xlpm.data, , 1),
   _xlpm.name_col, INDEX(_xlpm.data, , 2),
   _xlpm.loc_col,  INDEX(_xlpm.data, , 3),
   _xlpm.target_date, DATE(YEAR($C$1), MONTH($C$1), AD$7),
   _xlpm.filtered, _xlfn._xlws.FILTER(_xlpm.name_col, (_xlpm.date_col = _xlpm.target_date) * (_xlpm.loc_col =$C27), ""),
   IF(_xlpm.filtered="", "", _xlpm.filtered)
)</f>
        <v/>
      </c>
      <c r="AE27" s="186" t="str" cm="1">
        <f t="array" ref="AE27">_xlfn.LET(
   _xlpm.data, 表格3_5[[Date]:[Location]],
   _xlpm.date_col, INDEX(_xlpm.data, , 1),
   _xlpm.name_col, INDEX(_xlpm.data, , 2),
   _xlpm.loc_col,  INDEX(_xlpm.data, , 3),
   _xlpm.target_date, DATE(YEAR($C$1), MONTH($C$1), AE$7),
   _xlpm.filtered, _xlfn._xlws.FILTER(_xlpm.name_col, (_xlpm.date_col = _xlpm.target_date) * (_xlpm.loc_col =$C27), ""),
   IF(_xlpm.filtered="", "", _xlpm.filtered)
)</f>
        <v/>
      </c>
      <c r="AF27" s="186" t="str" cm="1">
        <f t="array" ref="AF27">_xlfn.LET(
   _xlpm.data, 表格3_5[[Date]:[Location]],
   _xlpm.date_col, INDEX(_xlpm.data, , 1),
   _xlpm.name_col, INDEX(_xlpm.data, , 2),
   _xlpm.loc_col,  INDEX(_xlpm.data, , 3),
   _xlpm.target_date, DATE(YEAR($C$1), MONTH($C$1), AF$7),
   _xlpm.filtered, _xlfn._xlws.FILTER(_xlpm.name_col, (_xlpm.date_col = _xlpm.target_date) * (_xlpm.loc_col =$C27), ""),
   IF(_xlpm.filtered="", "", _xlpm.filtered)
)</f>
        <v/>
      </c>
      <c r="AG27" s="186" t="str" cm="1">
        <f t="array" ref="AG27">_xlfn.LET(
   _xlpm.data, 表格3_5[[Date]:[Location]],
   _xlpm.date_col, INDEX(_xlpm.data, , 1),
   _xlpm.name_col, INDEX(_xlpm.data, , 2),
   _xlpm.loc_col,  INDEX(_xlpm.data, , 3),
   _xlpm.target_date, DATE(YEAR($C$1), MONTH($C$1), AG$7),
   _xlpm.filtered, _xlfn._xlws.FILTER(_xlpm.name_col, (_xlpm.date_col = _xlpm.target_date) * (_xlpm.loc_col =$C27), ""),
   IF(_xlpm.filtered="", "", _xlpm.filtered)
)</f>
        <v/>
      </c>
      <c r="AH27" s="186" t="str" cm="1">
        <f t="array" ref="AH27">_xlfn.LET(
   _xlpm.data, 表格3_5[[Date]:[Location]],
   _xlpm.date_col, INDEX(_xlpm.data, , 1),
   _xlpm.name_col, INDEX(_xlpm.data, , 2),
   _xlpm.loc_col,  INDEX(_xlpm.data, , 3),
   _xlpm.target_date, DATE(YEAR($C$1), MONTH($C$1), AH$7),
   _xlpm.filtered, _xlfn._xlws.FILTER(_xlpm.name_col, (_xlpm.date_col = _xlpm.target_date) * (_xlpm.loc_col =$C27), ""),
   IF(_xlpm.filtered="", "", _xlpm.filtered)
)</f>
        <v/>
      </c>
      <c r="AI27" s="187">
        <f t="shared" si="33"/>
        <v>0</v>
      </c>
      <c r="AJ27" s="187">
        <f t="shared" si="36"/>
        <v>0</v>
      </c>
    </row>
    <row r="28" spans="2:72">
      <c r="B28" t="e" cm="1" vm="1">
        <f t="array" ref="B28">_xlfn.LET(
    _xlpm.data, D28:AH28,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C28" s="180"/>
      <c r="D28" s="186" t="str" cm="1">
        <f t="array" ref="D28">_xlfn.LET(
   _xlpm.data, 表格3_5[[Date]:[Location]],
   _xlpm.date_col, INDEX(_xlpm.data, , 1),
   _xlpm.name_col, INDEX(_xlpm.data, , 2),
   _xlpm.loc_col,  INDEX(_xlpm.data, , 3),
   _xlpm.target_date, DATE(YEAR($C$1), MONTH($C$1), D$7),
   _xlpm.filtered, _xlfn._xlws.FILTER(_xlpm.name_col, (_xlpm.date_col = _xlpm.target_date) * (_xlpm.loc_col =$C28), ""),
   IF(_xlpm.filtered="", "", _xlpm.filtered)
)</f>
        <v/>
      </c>
      <c r="E28" s="186" t="str" cm="1">
        <f t="array" ref="E28">_xlfn.LET(
   _xlpm.data, 表格3_5[[Date]:[Location]],
   _xlpm.date_col, INDEX(_xlpm.data, , 1),
   _xlpm.name_col, INDEX(_xlpm.data, , 2),
   _xlpm.loc_col,  INDEX(_xlpm.data, , 3),
   _xlpm.target_date, DATE(YEAR($C$1), MONTH($C$1), E$7),
   _xlpm.filtered, _xlfn._xlws.FILTER(_xlpm.name_col, (_xlpm.date_col = _xlpm.target_date) * (_xlpm.loc_col =$C28), ""),
   IF(_xlpm.filtered="", "", _xlpm.filtered)
)</f>
        <v/>
      </c>
      <c r="F28" s="186" t="str" cm="1">
        <f t="array" ref="F28">_xlfn.LET(
   _xlpm.data, 表格3_5[[Date]:[Location]],
   _xlpm.date_col, INDEX(_xlpm.data, , 1),
   _xlpm.name_col, INDEX(_xlpm.data, , 2),
   _xlpm.loc_col,  INDEX(_xlpm.data, , 3),
   _xlpm.target_date, DATE(YEAR($C$1), MONTH($C$1), F$7),
   _xlpm.filtered, _xlfn._xlws.FILTER(_xlpm.name_col, (_xlpm.date_col = _xlpm.target_date) * (_xlpm.loc_col =$C28), ""),
   IF(_xlpm.filtered="", "", _xlpm.filtered)
)</f>
        <v/>
      </c>
      <c r="G28" s="186" t="str" cm="1">
        <f t="array" ref="G28">_xlfn.LET(
   _xlpm.data, 表格3_5[[Date]:[Location]],
   _xlpm.date_col, INDEX(_xlpm.data, , 1),
   _xlpm.name_col, INDEX(_xlpm.data, , 2),
   _xlpm.loc_col,  INDEX(_xlpm.data, , 3),
   _xlpm.target_date, DATE(YEAR($C$1), MONTH($C$1), G$7),
   _xlpm.filtered, _xlfn._xlws.FILTER(_xlpm.name_col, (_xlpm.date_col = _xlpm.target_date) * (_xlpm.loc_col =$C28), ""),
   IF(_xlpm.filtered="", "", _xlpm.filtered)
)</f>
        <v/>
      </c>
      <c r="H28" s="186" t="str" cm="1">
        <f t="array" ref="H28">_xlfn.LET(
   _xlpm.data, 表格3_5[[Date]:[Location]],
   _xlpm.date_col, INDEX(_xlpm.data, , 1),
   _xlpm.name_col, INDEX(_xlpm.data, , 2),
   _xlpm.loc_col,  INDEX(_xlpm.data, , 3),
   _xlpm.target_date, DATE(YEAR($C$1), MONTH($C$1), H$7),
   _xlpm.filtered, _xlfn._xlws.FILTER(_xlpm.name_col, (_xlpm.date_col = _xlpm.target_date) * (_xlpm.loc_col =$C28), ""),
   IF(_xlpm.filtered="", "", _xlpm.filtered)
)</f>
        <v/>
      </c>
      <c r="I28" s="186" t="str" cm="1">
        <f t="array" ref="I28">_xlfn.LET(
   _xlpm.data, 表格3_5[[Date]:[Location]],
   _xlpm.date_col, INDEX(_xlpm.data, , 1),
   _xlpm.name_col, INDEX(_xlpm.data, , 2),
   _xlpm.loc_col,  INDEX(_xlpm.data, , 3),
   _xlpm.target_date, DATE(YEAR($C$1), MONTH($C$1), I$7),
   _xlpm.filtered, _xlfn._xlws.FILTER(_xlpm.name_col, (_xlpm.date_col = _xlpm.target_date) * (_xlpm.loc_col =$C28), ""),
   IF(_xlpm.filtered="", "", _xlpm.filtered)
)</f>
        <v/>
      </c>
      <c r="J28" s="186" t="str" cm="1">
        <f t="array" ref="J28">_xlfn.LET(
   _xlpm.data, 表格3_5[[Date]:[Location]],
   _xlpm.date_col, INDEX(_xlpm.data, , 1),
   _xlpm.name_col, INDEX(_xlpm.data, , 2),
   _xlpm.loc_col,  INDEX(_xlpm.data, , 3),
   _xlpm.target_date, DATE(YEAR($C$1), MONTH($C$1), J$7),
   _xlpm.filtered, _xlfn._xlws.FILTER(_xlpm.name_col, (_xlpm.date_col = _xlpm.target_date) * (_xlpm.loc_col =$C28), ""),
   IF(_xlpm.filtered="", "", _xlpm.filtered)
)</f>
        <v/>
      </c>
      <c r="K28" s="186" t="str" cm="1">
        <f t="array" ref="K28">_xlfn.LET(
   _xlpm.data, 表格3_5[[Date]:[Location]],
   _xlpm.date_col, INDEX(_xlpm.data, , 1),
   _xlpm.name_col, INDEX(_xlpm.data, , 2),
   _xlpm.loc_col,  INDEX(_xlpm.data, , 3),
   _xlpm.target_date, DATE(YEAR($C$1), MONTH($C$1), K$7),
   _xlpm.filtered, _xlfn._xlws.FILTER(_xlpm.name_col, (_xlpm.date_col = _xlpm.target_date) * (_xlpm.loc_col =$C28), ""),
   IF(_xlpm.filtered="", "", _xlpm.filtered)
)</f>
        <v/>
      </c>
      <c r="L28" s="186" t="str" cm="1">
        <f t="array" ref="L28">_xlfn.LET(
   _xlpm.data, 表格3_5[[Date]:[Location]],
   _xlpm.date_col, INDEX(_xlpm.data, , 1),
   _xlpm.name_col, INDEX(_xlpm.data, , 2),
   _xlpm.loc_col,  INDEX(_xlpm.data, , 3),
   _xlpm.target_date, DATE(YEAR($C$1), MONTH($C$1), L$7),
   _xlpm.filtered, _xlfn._xlws.FILTER(_xlpm.name_col, (_xlpm.date_col = _xlpm.target_date) * (_xlpm.loc_col =$C28), ""),
   IF(_xlpm.filtered="", "", _xlpm.filtered)
)</f>
        <v/>
      </c>
      <c r="M28" s="186" t="str" cm="1">
        <f t="array" ref="M28">_xlfn.LET(
   _xlpm.data, 表格3_5[[Date]:[Location]],
   _xlpm.date_col, INDEX(_xlpm.data, , 1),
   _xlpm.name_col, INDEX(_xlpm.data, , 2),
   _xlpm.loc_col,  INDEX(_xlpm.data, , 3),
   _xlpm.target_date, DATE(YEAR($C$1), MONTH($C$1), M$7),
   _xlpm.filtered, _xlfn._xlws.FILTER(_xlpm.name_col, (_xlpm.date_col = _xlpm.target_date) * (_xlpm.loc_col =$C28), ""),
   IF(_xlpm.filtered="", "", _xlpm.filtered)
)</f>
        <v/>
      </c>
      <c r="N28" s="186" t="str" cm="1">
        <f t="array" ref="N28">_xlfn.LET(
   _xlpm.data, 表格3_5[[Date]:[Location]],
   _xlpm.date_col, INDEX(_xlpm.data, , 1),
   _xlpm.name_col, INDEX(_xlpm.data, , 2),
   _xlpm.loc_col,  INDEX(_xlpm.data, , 3),
   _xlpm.target_date, DATE(YEAR($C$1), MONTH($C$1), N$7),
   _xlpm.filtered, _xlfn._xlws.FILTER(_xlpm.name_col, (_xlpm.date_col = _xlpm.target_date) * (_xlpm.loc_col =$C28), ""),
   IF(_xlpm.filtered="", "", _xlpm.filtered)
)</f>
        <v/>
      </c>
      <c r="O28" s="186" t="str" cm="1">
        <f t="array" ref="O28">_xlfn.LET(
   _xlpm.data, 表格3_5[[Date]:[Location]],
   _xlpm.date_col, INDEX(_xlpm.data, , 1),
   _xlpm.name_col, INDEX(_xlpm.data, , 2),
   _xlpm.loc_col,  INDEX(_xlpm.data, , 3),
   _xlpm.target_date, DATE(YEAR($C$1), MONTH($C$1), O$7),
   _xlpm.filtered, _xlfn._xlws.FILTER(_xlpm.name_col, (_xlpm.date_col = _xlpm.target_date) * (_xlpm.loc_col =$C28), ""),
   IF(_xlpm.filtered="", "", _xlpm.filtered)
)</f>
        <v/>
      </c>
      <c r="P28" s="186" t="str" cm="1">
        <f t="array" ref="P28">_xlfn.LET(
   _xlpm.data, 表格3_5[[Date]:[Location]],
   _xlpm.date_col, INDEX(_xlpm.data, , 1),
   _xlpm.name_col, INDEX(_xlpm.data, , 2),
   _xlpm.loc_col,  INDEX(_xlpm.data, , 3),
   _xlpm.target_date, DATE(YEAR($C$1), MONTH($C$1), P$7),
   _xlpm.filtered, _xlfn._xlws.FILTER(_xlpm.name_col, (_xlpm.date_col = _xlpm.target_date) * (_xlpm.loc_col =$C28), ""),
   IF(_xlpm.filtered="", "", _xlpm.filtered)
)</f>
        <v/>
      </c>
      <c r="Q28" s="186" t="str" cm="1">
        <f t="array" ref="Q28">_xlfn.LET(
   _xlpm.data, 表格3_5[[Date]:[Location]],
   _xlpm.date_col, INDEX(_xlpm.data, , 1),
   _xlpm.name_col, INDEX(_xlpm.data, , 2),
   _xlpm.loc_col,  INDEX(_xlpm.data, , 3),
   _xlpm.target_date, DATE(YEAR($C$1), MONTH($C$1), Q$7),
   _xlpm.filtered, _xlfn._xlws.FILTER(_xlpm.name_col, (_xlpm.date_col = _xlpm.target_date) * (_xlpm.loc_col =$C28), ""),
   IF(_xlpm.filtered="", "", _xlpm.filtered)
)</f>
        <v/>
      </c>
      <c r="R28" s="186" t="str" cm="1">
        <f t="array" ref="R28">_xlfn.LET(
   _xlpm.data, 表格3_5[[Date]:[Location]],
   _xlpm.date_col, INDEX(_xlpm.data, , 1),
   _xlpm.name_col, INDEX(_xlpm.data, , 2),
   _xlpm.loc_col,  INDEX(_xlpm.data, , 3),
   _xlpm.target_date, DATE(YEAR($C$1), MONTH($C$1), R$7),
   _xlpm.filtered, _xlfn._xlws.FILTER(_xlpm.name_col, (_xlpm.date_col = _xlpm.target_date) * (_xlpm.loc_col =$C28), ""),
   IF(_xlpm.filtered="", "", _xlpm.filtered)
)</f>
        <v/>
      </c>
      <c r="S28" s="186" t="str" cm="1">
        <f t="array" ref="S28">_xlfn.LET(
   _xlpm.data, 表格3_5[[Date]:[Location]],
   _xlpm.date_col, INDEX(_xlpm.data, , 1),
   _xlpm.name_col, INDEX(_xlpm.data, , 2),
   _xlpm.loc_col,  INDEX(_xlpm.data, , 3),
   _xlpm.target_date, DATE(YEAR($C$1), MONTH($C$1), S$7),
   _xlpm.filtered, _xlfn._xlws.FILTER(_xlpm.name_col, (_xlpm.date_col = _xlpm.target_date) * (_xlpm.loc_col =$C28), ""),
   IF(_xlpm.filtered="", "", _xlpm.filtered)
)</f>
        <v/>
      </c>
      <c r="T28" s="186" t="str" cm="1">
        <f t="array" ref="T28">_xlfn.LET(
   _xlpm.data, 表格3_5[[Date]:[Location]],
   _xlpm.date_col, INDEX(_xlpm.data, , 1),
   _xlpm.name_col, INDEX(_xlpm.data, , 2),
   _xlpm.loc_col,  INDEX(_xlpm.data, , 3),
   _xlpm.target_date, DATE(YEAR($C$1), MONTH($C$1), T$7),
   _xlpm.filtered, _xlfn._xlws.FILTER(_xlpm.name_col, (_xlpm.date_col = _xlpm.target_date) * (_xlpm.loc_col =$C28), ""),
   IF(_xlpm.filtered="", "", _xlpm.filtered)
)</f>
        <v/>
      </c>
      <c r="U28" s="186" t="str" cm="1">
        <f t="array" ref="U28">_xlfn.LET(
   _xlpm.data, 表格3_5[[Date]:[Location]],
   _xlpm.date_col, INDEX(_xlpm.data, , 1),
   _xlpm.name_col, INDEX(_xlpm.data, , 2),
   _xlpm.loc_col,  INDEX(_xlpm.data, , 3),
   _xlpm.target_date, DATE(YEAR($C$1), MONTH($C$1), U$7),
   _xlpm.filtered, _xlfn._xlws.FILTER(_xlpm.name_col, (_xlpm.date_col = _xlpm.target_date) * (_xlpm.loc_col =$C28), ""),
   IF(_xlpm.filtered="", "", _xlpm.filtered)
)</f>
        <v/>
      </c>
      <c r="V28" s="186" t="str" cm="1">
        <f t="array" ref="V28">_xlfn.LET(
   _xlpm.data, 表格3_5[[Date]:[Location]],
   _xlpm.date_col, INDEX(_xlpm.data, , 1),
   _xlpm.name_col, INDEX(_xlpm.data, , 2),
   _xlpm.loc_col,  INDEX(_xlpm.data, , 3),
   _xlpm.target_date, DATE(YEAR($C$1), MONTH($C$1), V$7),
   _xlpm.filtered, _xlfn._xlws.FILTER(_xlpm.name_col, (_xlpm.date_col = _xlpm.target_date) * (_xlpm.loc_col =$C28), ""),
   IF(_xlpm.filtered="", "", _xlpm.filtered)
)</f>
        <v/>
      </c>
      <c r="W28" s="186" t="str" cm="1">
        <f t="array" ref="W28">_xlfn.LET(
   _xlpm.data, 表格3_5[[Date]:[Location]],
   _xlpm.date_col, INDEX(_xlpm.data, , 1),
   _xlpm.name_col, INDEX(_xlpm.data, , 2),
   _xlpm.loc_col,  INDEX(_xlpm.data, , 3),
   _xlpm.target_date, DATE(YEAR($C$1), MONTH($C$1), W$7),
   _xlpm.filtered, _xlfn._xlws.FILTER(_xlpm.name_col, (_xlpm.date_col = _xlpm.target_date) * (_xlpm.loc_col =$C28), ""),
   IF(_xlpm.filtered="", "", _xlpm.filtered)
)</f>
        <v/>
      </c>
      <c r="X28" s="186" t="str" cm="1">
        <f t="array" ref="X28">_xlfn.LET(
   _xlpm.data, 表格3_5[[Date]:[Location]],
   _xlpm.date_col, INDEX(_xlpm.data, , 1),
   _xlpm.name_col, INDEX(_xlpm.data, , 2),
   _xlpm.loc_col,  INDEX(_xlpm.data, , 3),
   _xlpm.target_date, DATE(YEAR($C$1), MONTH($C$1), X$7),
   _xlpm.filtered, _xlfn._xlws.FILTER(_xlpm.name_col, (_xlpm.date_col = _xlpm.target_date) * (_xlpm.loc_col =$C28), ""),
   IF(_xlpm.filtered="", "", _xlpm.filtered)
)</f>
        <v/>
      </c>
      <c r="Y28" s="186" t="str" cm="1">
        <f t="array" ref="Y28">_xlfn.LET(
   _xlpm.data, 表格3_5[[Date]:[Location]],
   _xlpm.date_col, INDEX(_xlpm.data, , 1),
   _xlpm.name_col, INDEX(_xlpm.data, , 2),
   _xlpm.loc_col,  INDEX(_xlpm.data, , 3),
   _xlpm.target_date, DATE(YEAR($C$1), MONTH($C$1), Y$7),
   _xlpm.filtered, _xlfn._xlws.FILTER(_xlpm.name_col, (_xlpm.date_col = _xlpm.target_date) * (_xlpm.loc_col =$C28), ""),
   IF(_xlpm.filtered="", "", _xlpm.filtered)
)</f>
        <v/>
      </c>
      <c r="Z28" s="186" t="str" cm="1">
        <f t="array" ref="Z28">_xlfn.LET(
   _xlpm.data, 表格3_5[[Date]:[Location]],
   _xlpm.date_col, INDEX(_xlpm.data, , 1),
   _xlpm.name_col, INDEX(_xlpm.data, , 2),
   _xlpm.loc_col,  INDEX(_xlpm.data, , 3),
   _xlpm.target_date, DATE(YEAR($C$1), MONTH($C$1), Z$7),
   _xlpm.filtered, _xlfn._xlws.FILTER(_xlpm.name_col, (_xlpm.date_col = _xlpm.target_date) * (_xlpm.loc_col =$C28), ""),
   IF(_xlpm.filtered="", "", _xlpm.filtered)
)</f>
        <v/>
      </c>
      <c r="AA28" s="186" t="str" cm="1">
        <f t="array" ref="AA28">_xlfn.LET(
   _xlpm.data, 表格3_5[[Date]:[Location]],
   _xlpm.date_col, INDEX(_xlpm.data, , 1),
   _xlpm.name_col, INDEX(_xlpm.data, , 2),
   _xlpm.loc_col,  INDEX(_xlpm.data, , 3),
   _xlpm.target_date, DATE(YEAR($C$1), MONTH($C$1), AA$7),
   _xlpm.filtered, _xlfn._xlws.FILTER(_xlpm.name_col, (_xlpm.date_col = _xlpm.target_date) * (_xlpm.loc_col =$C28), ""),
   IF(_xlpm.filtered="", "", _xlpm.filtered)
)</f>
        <v/>
      </c>
      <c r="AB28" s="186" t="str" cm="1">
        <f t="array" ref="AB28">_xlfn.LET(
   _xlpm.data, 表格3_5[[Date]:[Location]],
   _xlpm.date_col, INDEX(_xlpm.data, , 1),
   _xlpm.name_col, INDEX(_xlpm.data, , 2),
   _xlpm.loc_col,  INDEX(_xlpm.data, , 3),
   _xlpm.target_date, DATE(YEAR($C$1), MONTH($C$1), AB$7),
   _xlpm.filtered, _xlfn._xlws.FILTER(_xlpm.name_col, (_xlpm.date_col = _xlpm.target_date) * (_xlpm.loc_col =$C28), ""),
   IF(_xlpm.filtered="", "", _xlpm.filtered)
)</f>
        <v/>
      </c>
      <c r="AC28" s="186" t="str" cm="1">
        <f t="array" ref="AC28">_xlfn.LET(
   _xlpm.data, 表格3_5[[Date]:[Location]],
   _xlpm.date_col, INDEX(_xlpm.data, , 1),
   _xlpm.name_col, INDEX(_xlpm.data, , 2),
   _xlpm.loc_col,  INDEX(_xlpm.data, , 3),
   _xlpm.target_date, DATE(YEAR($C$1), MONTH($C$1), AC$7),
   _xlpm.filtered, _xlfn._xlws.FILTER(_xlpm.name_col, (_xlpm.date_col = _xlpm.target_date) * (_xlpm.loc_col =$C28), ""),
   IF(_xlpm.filtered="", "", _xlpm.filtered)
)</f>
        <v/>
      </c>
      <c r="AD28" s="186" t="str" cm="1">
        <f t="array" ref="AD28">_xlfn.LET(
   _xlpm.data, 表格3_5[[Date]:[Location]],
   _xlpm.date_col, INDEX(_xlpm.data, , 1),
   _xlpm.name_col, INDEX(_xlpm.data, , 2),
   _xlpm.loc_col,  INDEX(_xlpm.data, , 3),
   _xlpm.target_date, DATE(YEAR($C$1), MONTH($C$1), AD$7),
   _xlpm.filtered, _xlfn._xlws.FILTER(_xlpm.name_col, (_xlpm.date_col = _xlpm.target_date) * (_xlpm.loc_col =$C28), ""),
   IF(_xlpm.filtered="", "", _xlpm.filtered)
)</f>
        <v/>
      </c>
      <c r="AE28" s="186" t="str" cm="1">
        <f t="array" ref="AE28">_xlfn.LET(
   _xlpm.data, 表格3_5[[Date]:[Location]],
   _xlpm.date_col, INDEX(_xlpm.data, , 1),
   _xlpm.name_col, INDEX(_xlpm.data, , 2),
   _xlpm.loc_col,  INDEX(_xlpm.data, , 3),
   _xlpm.target_date, DATE(YEAR($C$1), MONTH($C$1), AE$7),
   _xlpm.filtered, _xlfn._xlws.FILTER(_xlpm.name_col, (_xlpm.date_col = _xlpm.target_date) * (_xlpm.loc_col =$C28), ""),
   IF(_xlpm.filtered="", "", _xlpm.filtered)
)</f>
        <v/>
      </c>
      <c r="AF28" s="186" t="str" cm="1">
        <f t="array" ref="AF28">_xlfn.LET(
   _xlpm.data, 表格3_5[[Date]:[Location]],
   _xlpm.date_col, INDEX(_xlpm.data, , 1),
   _xlpm.name_col, INDEX(_xlpm.data, , 2),
   _xlpm.loc_col,  INDEX(_xlpm.data, , 3),
   _xlpm.target_date, DATE(YEAR($C$1), MONTH($C$1), AF$7),
   _xlpm.filtered, _xlfn._xlws.FILTER(_xlpm.name_col, (_xlpm.date_col = _xlpm.target_date) * (_xlpm.loc_col =$C28), ""),
   IF(_xlpm.filtered="", "", _xlpm.filtered)
)</f>
        <v/>
      </c>
      <c r="AG28" s="186" t="str" cm="1">
        <f t="array" ref="AG28">_xlfn.LET(
   _xlpm.data, 表格3_5[[Date]:[Location]],
   _xlpm.date_col, INDEX(_xlpm.data, , 1),
   _xlpm.name_col, INDEX(_xlpm.data, , 2),
   _xlpm.loc_col,  INDEX(_xlpm.data, , 3),
   _xlpm.target_date, DATE(YEAR($C$1), MONTH($C$1), AG$7),
   _xlpm.filtered, _xlfn._xlws.FILTER(_xlpm.name_col, (_xlpm.date_col = _xlpm.target_date) * (_xlpm.loc_col =$C28), ""),
   IF(_xlpm.filtered="", "", _xlpm.filtered)
)</f>
        <v/>
      </c>
      <c r="AH28" s="186" t="str" cm="1">
        <f t="array" ref="AH28">_xlfn.LET(
   _xlpm.data, 表格3_5[[Date]:[Location]],
   _xlpm.date_col, INDEX(_xlpm.data, , 1),
   _xlpm.name_col, INDEX(_xlpm.data, , 2),
   _xlpm.loc_col,  INDEX(_xlpm.data, , 3),
   _xlpm.target_date, DATE(YEAR($C$1), MONTH($C$1), AH$7),
   _xlpm.filtered, _xlfn._xlws.FILTER(_xlpm.name_col, (_xlpm.date_col = _xlpm.target_date) * (_xlpm.loc_col =$C28), ""),
   IF(_xlpm.filtered="", "", _xlpm.filtered)
)</f>
        <v/>
      </c>
      <c r="AI28" s="187">
        <f t="shared" si="33"/>
        <v>0</v>
      </c>
      <c r="AJ28" s="187">
        <f t="shared" si="36"/>
        <v>0</v>
      </c>
    </row>
    <row r="29" spans="2:72">
      <c r="B29" t="e" cm="1" vm="1">
        <f t="array" ref="B29">_xlfn.LET(
    _xlpm.data, D29:AH29,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C29" s="180"/>
      <c r="D29" s="186" t="str" cm="1">
        <f t="array" ref="D29">_xlfn.LET(
   _xlpm.data, 表格3_5[[Date]:[Location]],
   _xlpm.date_col, INDEX(_xlpm.data, , 1),
   _xlpm.name_col, INDEX(_xlpm.data, , 2),
   _xlpm.loc_col,  INDEX(_xlpm.data, , 3),
   _xlpm.target_date, DATE(YEAR($C$1), MONTH($C$1), D$7),
   _xlpm.filtered, _xlfn._xlws.FILTER(_xlpm.name_col, (_xlpm.date_col = _xlpm.target_date) * (_xlpm.loc_col =$C29), ""),
   IF(_xlpm.filtered="", "", _xlpm.filtered)
)</f>
        <v/>
      </c>
      <c r="E29" s="186" t="str" cm="1">
        <f t="array" ref="E29">_xlfn.LET(
   _xlpm.data, 表格3_5[[Date]:[Location]],
   _xlpm.date_col, INDEX(_xlpm.data, , 1),
   _xlpm.name_col, INDEX(_xlpm.data, , 2),
   _xlpm.loc_col,  INDEX(_xlpm.data, , 3),
   _xlpm.target_date, DATE(YEAR($C$1), MONTH($C$1), E$7),
   _xlpm.filtered, _xlfn._xlws.FILTER(_xlpm.name_col, (_xlpm.date_col = _xlpm.target_date) * (_xlpm.loc_col =$C29), ""),
   IF(_xlpm.filtered="", "", _xlpm.filtered)
)</f>
        <v/>
      </c>
      <c r="F29" s="186" t="str" cm="1">
        <f t="array" ref="F29">_xlfn.LET(
   _xlpm.data, 表格3_5[[Date]:[Location]],
   _xlpm.date_col, INDEX(_xlpm.data, , 1),
   _xlpm.name_col, INDEX(_xlpm.data, , 2),
   _xlpm.loc_col,  INDEX(_xlpm.data, , 3),
   _xlpm.target_date, DATE(YEAR($C$1), MONTH($C$1), F$7),
   _xlpm.filtered, _xlfn._xlws.FILTER(_xlpm.name_col, (_xlpm.date_col = _xlpm.target_date) * (_xlpm.loc_col =$C29), ""),
   IF(_xlpm.filtered="", "", _xlpm.filtered)
)</f>
        <v/>
      </c>
      <c r="G29" s="186" t="str" cm="1">
        <f t="array" ref="G29">_xlfn.LET(
   _xlpm.data, 表格3_5[[Date]:[Location]],
   _xlpm.date_col, INDEX(_xlpm.data, , 1),
   _xlpm.name_col, INDEX(_xlpm.data, , 2),
   _xlpm.loc_col,  INDEX(_xlpm.data, , 3),
   _xlpm.target_date, DATE(YEAR($C$1), MONTH($C$1), G$7),
   _xlpm.filtered, _xlfn._xlws.FILTER(_xlpm.name_col, (_xlpm.date_col = _xlpm.target_date) * (_xlpm.loc_col =$C29), ""),
   IF(_xlpm.filtered="", "", _xlpm.filtered)
)</f>
        <v/>
      </c>
      <c r="H29" s="186" t="str" cm="1">
        <f t="array" ref="H29">_xlfn.LET(
   _xlpm.data, 表格3_5[[Date]:[Location]],
   _xlpm.date_col, INDEX(_xlpm.data, , 1),
   _xlpm.name_col, INDEX(_xlpm.data, , 2),
   _xlpm.loc_col,  INDEX(_xlpm.data, , 3),
   _xlpm.target_date, DATE(YEAR($C$1), MONTH($C$1), H$7),
   _xlpm.filtered, _xlfn._xlws.FILTER(_xlpm.name_col, (_xlpm.date_col = _xlpm.target_date) * (_xlpm.loc_col =$C29), ""),
   IF(_xlpm.filtered="", "", _xlpm.filtered)
)</f>
        <v/>
      </c>
      <c r="I29" s="186" t="str" cm="1">
        <f t="array" ref="I29">_xlfn.LET(
   _xlpm.data, 表格3_5[[Date]:[Location]],
   _xlpm.date_col, INDEX(_xlpm.data, , 1),
   _xlpm.name_col, INDEX(_xlpm.data, , 2),
   _xlpm.loc_col,  INDEX(_xlpm.data, , 3),
   _xlpm.target_date, DATE(YEAR($C$1), MONTH($C$1), I$7),
   _xlpm.filtered, _xlfn._xlws.FILTER(_xlpm.name_col, (_xlpm.date_col = _xlpm.target_date) * (_xlpm.loc_col =$C29), ""),
   IF(_xlpm.filtered="", "", _xlpm.filtered)
)</f>
        <v/>
      </c>
      <c r="J29" s="186" t="str" cm="1">
        <f t="array" ref="J29">_xlfn.LET(
   _xlpm.data, 表格3_5[[Date]:[Location]],
   _xlpm.date_col, INDEX(_xlpm.data, , 1),
   _xlpm.name_col, INDEX(_xlpm.data, , 2),
   _xlpm.loc_col,  INDEX(_xlpm.data, , 3),
   _xlpm.target_date, DATE(YEAR($C$1), MONTH($C$1), J$7),
   _xlpm.filtered, _xlfn._xlws.FILTER(_xlpm.name_col, (_xlpm.date_col = _xlpm.target_date) * (_xlpm.loc_col =$C29), ""),
   IF(_xlpm.filtered="", "", _xlpm.filtered)
)</f>
        <v/>
      </c>
      <c r="K29" s="186" t="str" cm="1">
        <f t="array" ref="K29">_xlfn.LET(
   _xlpm.data, 表格3_5[[Date]:[Location]],
   _xlpm.date_col, INDEX(_xlpm.data, , 1),
   _xlpm.name_col, INDEX(_xlpm.data, , 2),
   _xlpm.loc_col,  INDEX(_xlpm.data, , 3),
   _xlpm.target_date, DATE(YEAR($C$1), MONTH($C$1), K$7),
   _xlpm.filtered, _xlfn._xlws.FILTER(_xlpm.name_col, (_xlpm.date_col = _xlpm.target_date) * (_xlpm.loc_col =$C29), ""),
   IF(_xlpm.filtered="", "", _xlpm.filtered)
)</f>
        <v/>
      </c>
      <c r="L29" s="186" t="str" cm="1">
        <f t="array" ref="L29">_xlfn.LET(
   _xlpm.data, 表格3_5[[Date]:[Location]],
   _xlpm.date_col, INDEX(_xlpm.data, , 1),
   _xlpm.name_col, INDEX(_xlpm.data, , 2),
   _xlpm.loc_col,  INDEX(_xlpm.data, , 3),
   _xlpm.target_date, DATE(YEAR($C$1), MONTH($C$1), L$7),
   _xlpm.filtered, _xlfn._xlws.FILTER(_xlpm.name_col, (_xlpm.date_col = _xlpm.target_date) * (_xlpm.loc_col =$C29), ""),
   IF(_xlpm.filtered="", "", _xlpm.filtered)
)</f>
        <v/>
      </c>
      <c r="M29" s="186" t="str" cm="1">
        <f t="array" ref="M29">_xlfn.LET(
   _xlpm.data, 表格3_5[[Date]:[Location]],
   _xlpm.date_col, INDEX(_xlpm.data, , 1),
   _xlpm.name_col, INDEX(_xlpm.data, , 2),
   _xlpm.loc_col,  INDEX(_xlpm.data, , 3),
   _xlpm.target_date, DATE(YEAR($C$1), MONTH($C$1), M$7),
   _xlpm.filtered, _xlfn._xlws.FILTER(_xlpm.name_col, (_xlpm.date_col = _xlpm.target_date) * (_xlpm.loc_col =$C29), ""),
   IF(_xlpm.filtered="", "", _xlpm.filtered)
)</f>
        <v/>
      </c>
      <c r="N29" s="186" t="str" cm="1">
        <f t="array" ref="N29">_xlfn.LET(
   _xlpm.data, 表格3_5[[Date]:[Location]],
   _xlpm.date_col, INDEX(_xlpm.data, , 1),
   _xlpm.name_col, INDEX(_xlpm.data, , 2),
   _xlpm.loc_col,  INDEX(_xlpm.data, , 3),
   _xlpm.target_date, DATE(YEAR($C$1), MONTH($C$1), N$7),
   _xlpm.filtered, _xlfn._xlws.FILTER(_xlpm.name_col, (_xlpm.date_col = _xlpm.target_date) * (_xlpm.loc_col =$C29), ""),
   IF(_xlpm.filtered="", "", _xlpm.filtered)
)</f>
        <v/>
      </c>
      <c r="O29" s="186" t="str" cm="1">
        <f t="array" ref="O29">_xlfn.LET(
   _xlpm.data, 表格3_5[[Date]:[Location]],
   _xlpm.date_col, INDEX(_xlpm.data, , 1),
   _xlpm.name_col, INDEX(_xlpm.data, , 2),
   _xlpm.loc_col,  INDEX(_xlpm.data, , 3),
   _xlpm.target_date, DATE(YEAR($C$1), MONTH($C$1), O$7),
   _xlpm.filtered, _xlfn._xlws.FILTER(_xlpm.name_col, (_xlpm.date_col = _xlpm.target_date) * (_xlpm.loc_col =$C29), ""),
   IF(_xlpm.filtered="", "", _xlpm.filtered)
)</f>
        <v/>
      </c>
      <c r="P29" s="186" t="str" cm="1">
        <f t="array" ref="P29">_xlfn.LET(
   _xlpm.data, 表格3_5[[Date]:[Location]],
   _xlpm.date_col, INDEX(_xlpm.data, , 1),
   _xlpm.name_col, INDEX(_xlpm.data, , 2),
   _xlpm.loc_col,  INDEX(_xlpm.data, , 3),
   _xlpm.target_date, DATE(YEAR($C$1), MONTH($C$1), P$7),
   _xlpm.filtered, _xlfn._xlws.FILTER(_xlpm.name_col, (_xlpm.date_col = _xlpm.target_date) * (_xlpm.loc_col =$C29), ""),
   IF(_xlpm.filtered="", "", _xlpm.filtered)
)</f>
        <v/>
      </c>
      <c r="Q29" s="186" t="str" cm="1">
        <f t="array" ref="Q29">_xlfn.LET(
   _xlpm.data, 表格3_5[[Date]:[Location]],
   _xlpm.date_col, INDEX(_xlpm.data, , 1),
   _xlpm.name_col, INDEX(_xlpm.data, , 2),
   _xlpm.loc_col,  INDEX(_xlpm.data, , 3),
   _xlpm.target_date, DATE(YEAR($C$1), MONTH($C$1), Q$7),
   _xlpm.filtered, _xlfn._xlws.FILTER(_xlpm.name_col, (_xlpm.date_col = _xlpm.target_date) * (_xlpm.loc_col =$C29), ""),
   IF(_xlpm.filtered="", "", _xlpm.filtered)
)</f>
        <v/>
      </c>
      <c r="R29" s="186" t="str" cm="1">
        <f t="array" ref="R29">_xlfn.LET(
   _xlpm.data, 表格3_5[[Date]:[Location]],
   _xlpm.date_col, INDEX(_xlpm.data, , 1),
   _xlpm.name_col, INDEX(_xlpm.data, , 2),
   _xlpm.loc_col,  INDEX(_xlpm.data, , 3),
   _xlpm.target_date, DATE(YEAR($C$1), MONTH($C$1), R$7),
   _xlpm.filtered, _xlfn._xlws.FILTER(_xlpm.name_col, (_xlpm.date_col = _xlpm.target_date) * (_xlpm.loc_col =$C29), ""),
   IF(_xlpm.filtered="", "", _xlpm.filtered)
)</f>
        <v/>
      </c>
      <c r="S29" s="186" t="str" cm="1">
        <f t="array" ref="S29">_xlfn.LET(
   _xlpm.data, 表格3_5[[Date]:[Location]],
   _xlpm.date_col, INDEX(_xlpm.data, , 1),
   _xlpm.name_col, INDEX(_xlpm.data, , 2),
   _xlpm.loc_col,  INDEX(_xlpm.data, , 3),
   _xlpm.target_date, DATE(YEAR($C$1), MONTH($C$1), S$7),
   _xlpm.filtered, _xlfn._xlws.FILTER(_xlpm.name_col, (_xlpm.date_col = _xlpm.target_date) * (_xlpm.loc_col =$C29), ""),
   IF(_xlpm.filtered="", "", _xlpm.filtered)
)</f>
        <v/>
      </c>
      <c r="T29" s="186" t="str" cm="1">
        <f t="array" ref="T29">_xlfn.LET(
   _xlpm.data, 表格3_5[[Date]:[Location]],
   _xlpm.date_col, INDEX(_xlpm.data, , 1),
   _xlpm.name_col, INDEX(_xlpm.data, , 2),
   _xlpm.loc_col,  INDEX(_xlpm.data, , 3),
   _xlpm.target_date, DATE(YEAR($C$1), MONTH($C$1), T$7),
   _xlpm.filtered, _xlfn._xlws.FILTER(_xlpm.name_col, (_xlpm.date_col = _xlpm.target_date) * (_xlpm.loc_col =$C29), ""),
   IF(_xlpm.filtered="", "", _xlpm.filtered)
)</f>
        <v/>
      </c>
      <c r="U29" s="186" t="str" cm="1">
        <f t="array" ref="U29">_xlfn.LET(
   _xlpm.data, 表格3_5[[Date]:[Location]],
   _xlpm.date_col, INDEX(_xlpm.data, , 1),
   _xlpm.name_col, INDEX(_xlpm.data, , 2),
   _xlpm.loc_col,  INDEX(_xlpm.data, , 3),
   _xlpm.target_date, DATE(YEAR($C$1), MONTH($C$1), U$7),
   _xlpm.filtered, _xlfn._xlws.FILTER(_xlpm.name_col, (_xlpm.date_col = _xlpm.target_date) * (_xlpm.loc_col =$C29), ""),
   IF(_xlpm.filtered="", "", _xlpm.filtered)
)</f>
        <v/>
      </c>
      <c r="V29" s="186" t="str" cm="1">
        <f t="array" ref="V29">_xlfn.LET(
   _xlpm.data, 表格3_5[[Date]:[Location]],
   _xlpm.date_col, INDEX(_xlpm.data, , 1),
   _xlpm.name_col, INDEX(_xlpm.data, , 2),
   _xlpm.loc_col,  INDEX(_xlpm.data, , 3),
   _xlpm.target_date, DATE(YEAR($C$1), MONTH($C$1), V$7),
   _xlpm.filtered, _xlfn._xlws.FILTER(_xlpm.name_col, (_xlpm.date_col = _xlpm.target_date) * (_xlpm.loc_col =$C29), ""),
   IF(_xlpm.filtered="", "", _xlpm.filtered)
)</f>
        <v/>
      </c>
      <c r="W29" s="186" t="str" cm="1">
        <f t="array" ref="W29">_xlfn.LET(
   _xlpm.data, 表格3_5[[Date]:[Location]],
   _xlpm.date_col, INDEX(_xlpm.data, , 1),
   _xlpm.name_col, INDEX(_xlpm.data, , 2),
   _xlpm.loc_col,  INDEX(_xlpm.data, , 3),
   _xlpm.target_date, DATE(YEAR($C$1), MONTH($C$1), W$7),
   _xlpm.filtered, _xlfn._xlws.FILTER(_xlpm.name_col, (_xlpm.date_col = _xlpm.target_date) * (_xlpm.loc_col =$C29), ""),
   IF(_xlpm.filtered="", "", _xlpm.filtered)
)</f>
        <v/>
      </c>
      <c r="X29" s="186" t="str" cm="1">
        <f t="array" ref="X29">_xlfn.LET(
   _xlpm.data, 表格3_5[[Date]:[Location]],
   _xlpm.date_col, INDEX(_xlpm.data, , 1),
   _xlpm.name_col, INDEX(_xlpm.data, , 2),
   _xlpm.loc_col,  INDEX(_xlpm.data, , 3),
   _xlpm.target_date, DATE(YEAR($C$1), MONTH($C$1), X$7),
   _xlpm.filtered, _xlfn._xlws.FILTER(_xlpm.name_col, (_xlpm.date_col = _xlpm.target_date) * (_xlpm.loc_col =$C29), ""),
   IF(_xlpm.filtered="", "", _xlpm.filtered)
)</f>
        <v/>
      </c>
      <c r="Y29" s="186" t="str" cm="1">
        <f t="array" ref="Y29">_xlfn.LET(
   _xlpm.data, 表格3_5[[Date]:[Location]],
   _xlpm.date_col, INDEX(_xlpm.data, , 1),
   _xlpm.name_col, INDEX(_xlpm.data, , 2),
   _xlpm.loc_col,  INDEX(_xlpm.data, , 3),
   _xlpm.target_date, DATE(YEAR($C$1), MONTH($C$1), Y$7),
   _xlpm.filtered, _xlfn._xlws.FILTER(_xlpm.name_col, (_xlpm.date_col = _xlpm.target_date) * (_xlpm.loc_col =$C29), ""),
   IF(_xlpm.filtered="", "", _xlpm.filtered)
)</f>
        <v/>
      </c>
      <c r="Z29" s="186" t="str" cm="1">
        <f t="array" ref="Z29">_xlfn.LET(
   _xlpm.data, 表格3_5[[Date]:[Location]],
   _xlpm.date_col, INDEX(_xlpm.data, , 1),
   _xlpm.name_col, INDEX(_xlpm.data, , 2),
   _xlpm.loc_col,  INDEX(_xlpm.data, , 3),
   _xlpm.target_date, DATE(YEAR($C$1), MONTH($C$1), Z$7),
   _xlpm.filtered, _xlfn._xlws.FILTER(_xlpm.name_col, (_xlpm.date_col = _xlpm.target_date) * (_xlpm.loc_col =$C29), ""),
   IF(_xlpm.filtered="", "", _xlpm.filtered)
)</f>
        <v/>
      </c>
      <c r="AA29" s="186" t="str" cm="1">
        <f t="array" ref="AA29">_xlfn.LET(
   _xlpm.data, 表格3_5[[Date]:[Location]],
   _xlpm.date_col, INDEX(_xlpm.data, , 1),
   _xlpm.name_col, INDEX(_xlpm.data, , 2),
   _xlpm.loc_col,  INDEX(_xlpm.data, , 3),
   _xlpm.target_date, DATE(YEAR($C$1), MONTH($C$1), AA$7),
   _xlpm.filtered, _xlfn._xlws.FILTER(_xlpm.name_col, (_xlpm.date_col = _xlpm.target_date) * (_xlpm.loc_col =$C29), ""),
   IF(_xlpm.filtered="", "", _xlpm.filtered)
)</f>
        <v/>
      </c>
      <c r="AB29" s="186" t="str" cm="1">
        <f t="array" ref="AB29">_xlfn.LET(
   _xlpm.data, 表格3_5[[Date]:[Location]],
   _xlpm.date_col, INDEX(_xlpm.data, , 1),
   _xlpm.name_col, INDEX(_xlpm.data, , 2),
   _xlpm.loc_col,  INDEX(_xlpm.data, , 3),
   _xlpm.target_date, DATE(YEAR($C$1), MONTH($C$1), AB$7),
   _xlpm.filtered, _xlfn._xlws.FILTER(_xlpm.name_col, (_xlpm.date_col = _xlpm.target_date) * (_xlpm.loc_col =$C29), ""),
   IF(_xlpm.filtered="", "", _xlpm.filtered)
)</f>
        <v/>
      </c>
      <c r="AC29" s="186" t="str" cm="1">
        <f t="array" ref="AC29">_xlfn.LET(
   _xlpm.data, 表格3_5[[Date]:[Location]],
   _xlpm.date_col, INDEX(_xlpm.data, , 1),
   _xlpm.name_col, INDEX(_xlpm.data, , 2),
   _xlpm.loc_col,  INDEX(_xlpm.data, , 3),
   _xlpm.target_date, DATE(YEAR($C$1), MONTH($C$1), AC$7),
   _xlpm.filtered, _xlfn._xlws.FILTER(_xlpm.name_col, (_xlpm.date_col = _xlpm.target_date) * (_xlpm.loc_col =$C29), ""),
   IF(_xlpm.filtered="", "", _xlpm.filtered)
)</f>
        <v/>
      </c>
      <c r="AD29" s="186" t="str" cm="1">
        <f t="array" ref="AD29">_xlfn.LET(
   _xlpm.data, 表格3_5[[Date]:[Location]],
   _xlpm.date_col, INDEX(_xlpm.data, , 1),
   _xlpm.name_col, INDEX(_xlpm.data, , 2),
   _xlpm.loc_col,  INDEX(_xlpm.data, , 3),
   _xlpm.target_date, DATE(YEAR($C$1), MONTH($C$1), AD$7),
   _xlpm.filtered, _xlfn._xlws.FILTER(_xlpm.name_col, (_xlpm.date_col = _xlpm.target_date) * (_xlpm.loc_col =$C29), ""),
   IF(_xlpm.filtered="", "", _xlpm.filtered)
)</f>
        <v/>
      </c>
      <c r="AE29" s="186" t="str" cm="1">
        <f t="array" ref="AE29">_xlfn.LET(
   _xlpm.data, 表格3_5[[Date]:[Location]],
   _xlpm.date_col, INDEX(_xlpm.data, , 1),
   _xlpm.name_col, INDEX(_xlpm.data, , 2),
   _xlpm.loc_col,  INDEX(_xlpm.data, , 3),
   _xlpm.target_date, DATE(YEAR($C$1), MONTH($C$1), AE$7),
   _xlpm.filtered, _xlfn._xlws.FILTER(_xlpm.name_col, (_xlpm.date_col = _xlpm.target_date) * (_xlpm.loc_col =$C29), ""),
   IF(_xlpm.filtered="", "", _xlpm.filtered)
)</f>
        <v/>
      </c>
      <c r="AF29" s="186" t="str" cm="1">
        <f t="array" ref="AF29">_xlfn.LET(
   _xlpm.data, 表格3_5[[Date]:[Location]],
   _xlpm.date_col, INDEX(_xlpm.data, , 1),
   _xlpm.name_col, INDEX(_xlpm.data, , 2),
   _xlpm.loc_col,  INDEX(_xlpm.data, , 3),
   _xlpm.target_date, DATE(YEAR($C$1), MONTH($C$1), AF$7),
   _xlpm.filtered, _xlfn._xlws.FILTER(_xlpm.name_col, (_xlpm.date_col = _xlpm.target_date) * (_xlpm.loc_col =$C29), ""),
   IF(_xlpm.filtered="", "", _xlpm.filtered)
)</f>
        <v/>
      </c>
      <c r="AG29" s="186" t="str" cm="1">
        <f t="array" ref="AG29">_xlfn.LET(
   _xlpm.data, 表格3_5[[Date]:[Location]],
   _xlpm.date_col, INDEX(_xlpm.data, , 1),
   _xlpm.name_col, INDEX(_xlpm.data, , 2),
   _xlpm.loc_col,  INDEX(_xlpm.data, , 3),
   _xlpm.target_date, DATE(YEAR($C$1), MONTH($C$1), AG$7),
   _xlpm.filtered, _xlfn._xlws.FILTER(_xlpm.name_col, (_xlpm.date_col = _xlpm.target_date) * (_xlpm.loc_col =$C29), ""),
   IF(_xlpm.filtered="", "", _xlpm.filtered)
)</f>
        <v/>
      </c>
      <c r="AH29" s="186" t="str" cm="1">
        <f t="array" ref="AH29">_xlfn.LET(
   _xlpm.data, 表格3_5[[Date]:[Location]],
   _xlpm.date_col, INDEX(_xlpm.data, , 1),
   _xlpm.name_col, INDEX(_xlpm.data, , 2),
   _xlpm.loc_col,  INDEX(_xlpm.data, , 3),
   _xlpm.target_date, DATE(YEAR($C$1), MONTH($C$1), AH$7),
   _xlpm.filtered, _xlfn._xlws.FILTER(_xlpm.name_col, (_xlpm.date_col = _xlpm.target_date) * (_xlpm.loc_col =$C29), ""),
   IF(_xlpm.filtered="", "", _xlpm.filtered)
)</f>
        <v/>
      </c>
      <c r="AI29" s="187">
        <f t="shared" si="33"/>
        <v>0</v>
      </c>
      <c r="AJ29" s="187">
        <f t="shared" si="36"/>
        <v>0</v>
      </c>
    </row>
    <row r="30" spans="2:72">
      <c r="B30" t="e" cm="1" vm="1">
        <f t="array" ref="B30">_xlfn.LET(
    _xlpm.data, D30:AH30,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C30" s="180"/>
      <c r="D30" s="186" t="str" cm="1">
        <f t="array" ref="D30">_xlfn.LET(
   _xlpm.data, 表格3_5[[Date]:[Location]],
   _xlpm.date_col, INDEX(_xlpm.data, , 1),
   _xlpm.name_col, INDEX(_xlpm.data, , 2),
   _xlpm.loc_col,  INDEX(_xlpm.data, , 3),
   _xlpm.target_date, DATE(YEAR($C$1), MONTH($C$1), D$7),
   _xlpm.filtered, _xlfn._xlws.FILTER(_xlpm.name_col, (_xlpm.date_col = _xlpm.target_date) * (_xlpm.loc_col =$C30), ""),
   IF(_xlpm.filtered="", "", _xlpm.filtered)
)</f>
        <v/>
      </c>
      <c r="E30" s="186" t="str" cm="1">
        <f t="array" ref="E30">_xlfn.LET(
   _xlpm.data, 表格3_5[[Date]:[Location]],
   _xlpm.date_col, INDEX(_xlpm.data, , 1),
   _xlpm.name_col, INDEX(_xlpm.data, , 2),
   _xlpm.loc_col,  INDEX(_xlpm.data, , 3),
   _xlpm.target_date, DATE(YEAR($C$1), MONTH($C$1), E$7),
   _xlpm.filtered, _xlfn._xlws.FILTER(_xlpm.name_col, (_xlpm.date_col = _xlpm.target_date) * (_xlpm.loc_col =$C30), ""),
   IF(_xlpm.filtered="", "", _xlpm.filtered)
)</f>
        <v/>
      </c>
      <c r="F30" s="186" t="str" cm="1">
        <f t="array" ref="F30">_xlfn.LET(
   _xlpm.data, 表格3_5[[Date]:[Location]],
   _xlpm.date_col, INDEX(_xlpm.data, , 1),
   _xlpm.name_col, INDEX(_xlpm.data, , 2),
   _xlpm.loc_col,  INDEX(_xlpm.data, , 3),
   _xlpm.target_date, DATE(YEAR($C$1), MONTH($C$1), F$7),
   _xlpm.filtered, _xlfn._xlws.FILTER(_xlpm.name_col, (_xlpm.date_col = _xlpm.target_date) * (_xlpm.loc_col =$C30), ""),
   IF(_xlpm.filtered="", "", _xlpm.filtered)
)</f>
        <v/>
      </c>
      <c r="G30" s="186" t="str" cm="1">
        <f t="array" ref="G30">_xlfn.LET(
   _xlpm.data, 表格3_5[[Date]:[Location]],
   _xlpm.date_col, INDEX(_xlpm.data, , 1),
   _xlpm.name_col, INDEX(_xlpm.data, , 2),
   _xlpm.loc_col,  INDEX(_xlpm.data, , 3),
   _xlpm.target_date, DATE(YEAR($C$1), MONTH($C$1), G$7),
   _xlpm.filtered, _xlfn._xlws.FILTER(_xlpm.name_col, (_xlpm.date_col = _xlpm.target_date) * (_xlpm.loc_col =$C30), ""),
   IF(_xlpm.filtered="", "", _xlpm.filtered)
)</f>
        <v/>
      </c>
      <c r="H30" s="186" t="str" cm="1">
        <f t="array" ref="H30">_xlfn.LET(
   _xlpm.data, 表格3_5[[Date]:[Location]],
   _xlpm.date_col, INDEX(_xlpm.data, , 1),
   _xlpm.name_col, INDEX(_xlpm.data, , 2),
   _xlpm.loc_col,  INDEX(_xlpm.data, , 3),
   _xlpm.target_date, DATE(YEAR($C$1), MONTH($C$1), H$7),
   _xlpm.filtered, _xlfn._xlws.FILTER(_xlpm.name_col, (_xlpm.date_col = _xlpm.target_date) * (_xlpm.loc_col =$C30), ""),
   IF(_xlpm.filtered="", "", _xlpm.filtered)
)</f>
        <v/>
      </c>
      <c r="I30" s="186" t="str" cm="1">
        <f t="array" ref="I30">_xlfn.LET(
   _xlpm.data, 表格3_5[[Date]:[Location]],
   _xlpm.date_col, INDEX(_xlpm.data, , 1),
   _xlpm.name_col, INDEX(_xlpm.data, , 2),
   _xlpm.loc_col,  INDEX(_xlpm.data, , 3),
   _xlpm.target_date, DATE(YEAR($C$1), MONTH($C$1), I$7),
   _xlpm.filtered, _xlfn._xlws.FILTER(_xlpm.name_col, (_xlpm.date_col = _xlpm.target_date) * (_xlpm.loc_col =$C30), ""),
   IF(_xlpm.filtered="", "", _xlpm.filtered)
)</f>
        <v/>
      </c>
      <c r="J30" s="186" t="str" cm="1">
        <f t="array" ref="J30">_xlfn.LET(
   _xlpm.data, 表格3_5[[Date]:[Location]],
   _xlpm.date_col, INDEX(_xlpm.data, , 1),
   _xlpm.name_col, INDEX(_xlpm.data, , 2),
   _xlpm.loc_col,  INDEX(_xlpm.data, , 3),
   _xlpm.target_date, DATE(YEAR($C$1), MONTH($C$1), J$7),
   _xlpm.filtered, _xlfn._xlws.FILTER(_xlpm.name_col, (_xlpm.date_col = _xlpm.target_date) * (_xlpm.loc_col =$C30), ""),
   IF(_xlpm.filtered="", "", _xlpm.filtered)
)</f>
        <v/>
      </c>
      <c r="K30" s="186" t="str" cm="1">
        <f t="array" ref="K30">_xlfn.LET(
   _xlpm.data, 表格3_5[[Date]:[Location]],
   _xlpm.date_col, INDEX(_xlpm.data, , 1),
   _xlpm.name_col, INDEX(_xlpm.data, , 2),
   _xlpm.loc_col,  INDEX(_xlpm.data, , 3),
   _xlpm.target_date, DATE(YEAR($C$1), MONTH($C$1), K$7),
   _xlpm.filtered, _xlfn._xlws.FILTER(_xlpm.name_col, (_xlpm.date_col = _xlpm.target_date) * (_xlpm.loc_col =$C30), ""),
   IF(_xlpm.filtered="", "", _xlpm.filtered)
)</f>
        <v/>
      </c>
      <c r="L30" s="186" t="str" cm="1">
        <f t="array" ref="L30">_xlfn.LET(
   _xlpm.data, 表格3_5[[Date]:[Location]],
   _xlpm.date_col, INDEX(_xlpm.data, , 1),
   _xlpm.name_col, INDEX(_xlpm.data, , 2),
   _xlpm.loc_col,  INDEX(_xlpm.data, , 3),
   _xlpm.target_date, DATE(YEAR($C$1), MONTH($C$1), L$7),
   _xlpm.filtered, _xlfn._xlws.FILTER(_xlpm.name_col, (_xlpm.date_col = _xlpm.target_date) * (_xlpm.loc_col =$C30), ""),
   IF(_xlpm.filtered="", "", _xlpm.filtered)
)</f>
        <v/>
      </c>
      <c r="M30" s="186" t="str" cm="1">
        <f t="array" ref="M30">_xlfn.LET(
   _xlpm.data, 表格3_5[[Date]:[Location]],
   _xlpm.date_col, INDEX(_xlpm.data, , 1),
   _xlpm.name_col, INDEX(_xlpm.data, , 2),
   _xlpm.loc_col,  INDEX(_xlpm.data, , 3),
   _xlpm.target_date, DATE(YEAR($C$1), MONTH($C$1), M$7),
   _xlpm.filtered, _xlfn._xlws.FILTER(_xlpm.name_col, (_xlpm.date_col = _xlpm.target_date) * (_xlpm.loc_col =$C30), ""),
   IF(_xlpm.filtered="", "", _xlpm.filtered)
)</f>
        <v/>
      </c>
      <c r="N30" s="186" t="str" cm="1">
        <f t="array" ref="N30">_xlfn.LET(
   _xlpm.data, 表格3_5[[Date]:[Location]],
   _xlpm.date_col, INDEX(_xlpm.data, , 1),
   _xlpm.name_col, INDEX(_xlpm.data, , 2),
   _xlpm.loc_col,  INDEX(_xlpm.data, , 3),
   _xlpm.target_date, DATE(YEAR($C$1), MONTH($C$1), N$7),
   _xlpm.filtered, _xlfn._xlws.FILTER(_xlpm.name_col, (_xlpm.date_col = _xlpm.target_date) * (_xlpm.loc_col =$C30), ""),
   IF(_xlpm.filtered="", "", _xlpm.filtered)
)</f>
        <v/>
      </c>
      <c r="O30" s="186" t="str" cm="1">
        <f t="array" ref="O30">_xlfn.LET(
   _xlpm.data, 表格3_5[[Date]:[Location]],
   _xlpm.date_col, INDEX(_xlpm.data, , 1),
   _xlpm.name_col, INDEX(_xlpm.data, , 2),
   _xlpm.loc_col,  INDEX(_xlpm.data, , 3),
   _xlpm.target_date, DATE(YEAR($C$1), MONTH($C$1), O$7),
   _xlpm.filtered, _xlfn._xlws.FILTER(_xlpm.name_col, (_xlpm.date_col = _xlpm.target_date) * (_xlpm.loc_col =$C30), ""),
   IF(_xlpm.filtered="", "", _xlpm.filtered)
)</f>
        <v/>
      </c>
      <c r="P30" s="186" t="str" cm="1">
        <f t="array" ref="P30">_xlfn.LET(
   _xlpm.data, 表格3_5[[Date]:[Location]],
   _xlpm.date_col, INDEX(_xlpm.data, , 1),
   _xlpm.name_col, INDEX(_xlpm.data, , 2),
   _xlpm.loc_col,  INDEX(_xlpm.data, , 3),
   _xlpm.target_date, DATE(YEAR($C$1), MONTH($C$1), P$7),
   _xlpm.filtered, _xlfn._xlws.FILTER(_xlpm.name_col, (_xlpm.date_col = _xlpm.target_date) * (_xlpm.loc_col =$C30), ""),
   IF(_xlpm.filtered="", "", _xlpm.filtered)
)</f>
        <v/>
      </c>
      <c r="Q30" s="186" t="str" cm="1">
        <f t="array" ref="Q30">_xlfn.LET(
   _xlpm.data, 表格3_5[[Date]:[Location]],
   _xlpm.date_col, INDEX(_xlpm.data, , 1),
   _xlpm.name_col, INDEX(_xlpm.data, , 2),
   _xlpm.loc_col,  INDEX(_xlpm.data, , 3),
   _xlpm.target_date, DATE(YEAR($C$1), MONTH($C$1), Q$7),
   _xlpm.filtered, _xlfn._xlws.FILTER(_xlpm.name_col, (_xlpm.date_col = _xlpm.target_date) * (_xlpm.loc_col =$C30), ""),
   IF(_xlpm.filtered="", "", _xlpm.filtered)
)</f>
        <v/>
      </c>
      <c r="R30" s="186" t="str" cm="1">
        <f t="array" ref="R30">_xlfn.LET(
   _xlpm.data, 表格3_5[[Date]:[Location]],
   _xlpm.date_col, INDEX(_xlpm.data, , 1),
   _xlpm.name_col, INDEX(_xlpm.data, , 2),
   _xlpm.loc_col,  INDEX(_xlpm.data, , 3),
   _xlpm.target_date, DATE(YEAR($C$1), MONTH($C$1), R$7),
   _xlpm.filtered, _xlfn._xlws.FILTER(_xlpm.name_col, (_xlpm.date_col = _xlpm.target_date) * (_xlpm.loc_col =$C30), ""),
   IF(_xlpm.filtered="", "", _xlpm.filtered)
)</f>
        <v/>
      </c>
      <c r="S30" s="186" t="str" cm="1">
        <f t="array" ref="S30">_xlfn.LET(
   _xlpm.data, 表格3_5[[Date]:[Location]],
   _xlpm.date_col, INDEX(_xlpm.data, , 1),
   _xlpm.name_col, INDEX(_xlpm.data, , 2),
   _xlpm.loc_col,  INDEX(_xlpm.data, , 3),
   _xlpm.target_date, DATE(YEAR($C$1), MONTH($C$1), S$7),
   _xlpm.filtered, _xlfn._xlws.FILTER(_xlpm.name_col, (_xlpm.date_col = _xlpm.target_date) * (_xlpm.loc_col =$C30), ""),
   IF(_xlpm.filtered="", "", _xlpm.filtered)
)</f>
        <v/>
      </c>
      <c r="T30" s="186" t="str" cm="1">
        <f t="array" ref="T30">_xlfn.LET(
   _xlpm.data, 表格3_5[[Date]:[Location]],
   _xlpm.date_col, INDEX(_xlpm.data, , 1),
   _xlpm.name_col, INDEX(_xlpm.data, , 2),
   _xlpm.loc_col,  INDEX(_xlpm.data, , 3),
   _xlpm.target_date, DATE(YEAR($C$1), MONTH($C$1), T$7),
   _xlpm.filtered, _xlfn._xlws.FILTER(_xlpm.name_col, (_xlpm.date_col = _xlpm.target_date) * (_xlpm.loc_col =$C30), ""),
   IF(_xlpm.filtered="", "", _xlpm.filtered)
)</f>
        <v/>
      </c>
      <c r="U30" s="186" t="str" cm="1">
        <f t="array" ref="U30">_xlfn.LET(
   _xlpm.data, 表格3_5[[Date]:[Location]],
   _xlpm.date_col, INDEX(_xlpm.data, , 1),
   _xlpm.name_col, INDEX(_xlpm.data, , 2),
   _xlpm.loc_col,  INDEX(_xlpm.data, , 3),
   _xlpm.target_date, DATE(YEAR($C$1), MONTH($C$1), U$7),
   _xlpm.filtered, _xlfn._xlws.FILTER(_xlpm.name_col, (_xlpm.date_col = _xlpm.target_date) * (_xlpm.loc_col =$C30), ""),
   IF(_xlpm.filtered="", "", _xlpm.filtered)
)</f>
        <v/>
      </c>
      <c r="V30" s="186" t="str" cm="1">
        <f t="array" ref="V30">_xlfn.LET(
   _xlpm.data, 表格3_5[[Date]:[Location]],
   _xlpm.date_col, INDEX(_xlpm.data, , 1),
   _xlpm.name_col, INDEX(_xlpm.data, , 2),
   _xlpm.loc_col,  INDEX(_xlpm.data, , 3),
   _xlpm.target_date, DATE(YEAR($C$1), MONTH($C$1), V$7),
   _xlpm.filtered, _xlfn._xlws.FILTER(_xlpm.name_col, (_xlpm.date_col = _xlpm.target_date) * (_xlpm.loc_col =$C30), ""),
   IF(_xlpm.filtered="", "", _xlpm.filtered)
)</f>
        <v/>
      </c>
      <c r="W30" s="186" t="str" cm="1">
        <f t="array" ref="W30">_xlfn.LET(
   _xlpm.data, 表格3_5[[Date]:[Location]],
   _xlpm.date_col, INDEX(_xlpm.data, , 1),
   _xlpm.name_col, INDEX(_xlpm.data, , 2),
   _xlpm.loc_col,  INDEX(_xlpm.data, , 3),
   _xlpm.target_date, DATE(YEAR($C$1), MONTH($C$1), W$7),
   _xlpm.filtered, _xlfn._xlws.FILTER(_xlpm.name_col, (_xlpm.date_col = _xlpm.target_date) * (_xlpm.loc_col =$C30), ""),
   IF(_xlpm.filtered="", "", _xlpm.filtered)
)</f>
        <v/>
      </c>
      <c r="X30" s="186" t="str" cm="1">
        <f t="array" ref="X30">_xlfn.LET(
   _xlpm.data, 表格3_5[[Date]:[Location]],
   _xlpm.date_col, INDEX(_xlpm.data, , 1),
   _xlpm.name_col, INDEX(_xlpm.data, , 2),
   _xlpm.loc_col,  INDEX(_xlpm.data, , 3),
   _xlpm.target_date, DATE(YEAR($C$1), MONTH($C$1), X$7),
   _xlpm.filtered, _xlfn._xlws.FILTER(_xlpm.name_col, (_xlpm.date_col = _xlpm.target_date) * (_xlpm.loc_col =$C30), ""),
   IF(_xlpm.filtered="", "", _xlpm.filtered)
)</f>
        <v/>
      </c>
      <c r="Y30" s="186" t="str" cm="1">
        <f t="array" ref="Y30">_xlfn.LET(
   _xlpm.data, 表格3_5[[Date]:[Location]],
   _xlpm.date_col, INDEX(_xlpm.data, , 1),
   _xlpm.name_col, INDEX(_xlpm.data, , 2),
   _xlpm.loc_col,  INDEX(_xlpm.data, , 3),
   _xlpm.target_date, DATE(YEAR($C$1), MONTH($C$1), Y$7),
   _xlpm.filtered, _xlfn._xlws.FILTER(_xlpm.name_col, (_xlpm.date_col = _xlpm.target_date) * (_xlpm.loc_col =$C30), ""),
   IF(_xlpm.filtered="", "", _xlpm.filtered)
)</f>
        <v/>
      </c>
      <c r="Z30" s="186" t="str" cm="1">
        <f t="array" ref="Z30">_xlfn.LET(
   _xlpm.data, 表格3_5[[Date]:[Location]],
   _xlpm.date_col, INDEX(_xlpm.data, , 1),
   _xlpm.name_col, INDEX(_xlpm.data, , 2),
   _xlpm.loc_col,  INDEX(_xlpm.data, , 3),
   _xlpm.target_date, DATE(YEAR($C$1), MONTH($C$1), Z$7),
   _xlpm.filtered, _xlfn._xlws.FILTER(_xlpm.name_col, (_xlpm.date_col = _xlpm.target_date) * (_xlpm.loc_col =$C30), ""),
   IF(_xlpm.filtered="", "", _xlpm.filtered)
)</f>
        <v/>
      </c>
      <c r="AA30" s="186" t="str" cm="1">
        <f t="array" ref="AA30">_xlfn.LET(
   _xlpm.data, 表格3_5[[Date]:[Location]],
   _xlpm.date_col, INDEX(_xlpm.data, , 1),
   _xlpm.name_col, INDEX(_xlpm.data, , 2),
   _xlpm.loc_col,  INDEX(_xlpm.data, , 3),
   _xlpm.target_date, DATE(YEAR($C$1), MONTH($C$1), AA$7),
   _xlpm.filtered, _xlfn._xlws.FILTER(_xlpm.name_col, (_xlpm.date_col = _xlpm.target_date) * (_xlpm.loc_col =$C30), ""),
   IF(_xlpm.filtered="", "", _xlpm.filtered)
)</f>
        <v/>
      </c>
      <c r="AB30" s="186" t="str" cm="1">
        <f t="array" ref="AB30">_xlfn.LET(
   _xlpm.data, 表格3_5[[Date]:[Location]],
   _xlpm.date_col, INDEX(_xlpm.data, , 1),
   _xlpm.name_col, INDEX(_xlpm.data, , 2),
   _xlpm.loc_col,  INDEX(_xlpm.data, , 3),
   _xlpm.target_date, DATE(YEAR($C$1), MONTH($C$1), AB$7),
   _xlpm.filtered, _xlfn._xlws.FILTER(_xlpm.name_col, (_xlpm.date_col = _xlpm.target_date) * (_xlpm.loc_col =$C30), ""),
   IF(_xlpm.filtered="", "", _xlpm.filtered)
)</f>
        <v/>
      </c>
      <c r="AC30" s="186" t="str" cm="1">
        <f t="array" ref="AC30">_xlfn.LET(
   _xlpm.data, 表格3_5[[Date]:[Location]],
   _xlpm.date_col, INDEX(_xlpm.data, , 1),
   _xlpm.name_col, INDEX(_xlpm.data, , 2),
   _xlpm.loc_col,  INDEX(_xlpm.data, , 3),
   _xlpm.target_date, DATE(YEAR($C$1), MONTH($C$1), AC$7),
   _xlpm.filtered, _xlfn._xlws.FILTER(_xlpm.name_col, (_xlpm.date_col = _xlpm.target_date) * (_xlpm.loc_col =$C30), ""),
   IF(_xlpm.filtered="", "", _xlpm.filtered)
)</f>
        <v/>
      </c>
      <c r="AD30" s="186" t="str" cm="1">
        <f t="array" ref="AD30">_xlfn.LET(
   _xlpm.data, 表格3_5[[Date]:[Location]],
   _xlpm.date_col, INDEX(_xlpm.data, , 1),
   _xlpm.name_col, INDEX(_xlpm.data, , 2),
   _xlpm.loc_col,  INDEX(_xlpm.data, , 3),
   _xlpm.target_date, DATE(YEAR($C$1), MONTH($C$1), AD$7),
   _xlpm.filtered, _xlfn._xlws.FILTER(_xlpm.name_col, (_xlpm.date_col = _xlpm.target_date) * (_xlpm.loc_col =$C30), ""),
   IF(_xlpm.filtered="", "", _xlpm.filtered)
)</f>
        <v/>
      </c>
      <c r="AE30" s="186" t="str" cm="1">
        <f t="array" ref="AE30">_xlfn.LET(
   _xlpm.data, 表格3_5[[Date]:[Location]],
   _xlpm.date_col, INDEX(_xlpm.data, , 1),
   _xlpm.name_col, INDEX(_xlpm.data, , 2),
   _xlpm.loc_col,  INDEX(_xlpm.data, , 3),
   _xlpm.target_date, DATE(YEAR($C$1), MONTH($C$1), AE$7),
   _xlpm.filtered, _xlfn._xlws.FILTER(_xlpm.name_col, (_xlpm.date_col = _xlpm.target_date) * (_xlpm.loc_col =$C30), ""),
   IF(_xlpm.filtered="", "", _xlpm.filtered)
)</f>
        <v/>
      </c>
      <c r="AF30" s="186" t="str" cm="1">
        <f t="array" ref="AF30">_xlfn.LET(
   _xlpm.data, 表格3_5[[Date]:[Location]],
   _xlpm.date_col, INDEX(_xlpm.data, , 1),
   _xlpm.name_col, INDEX(_xlpm.data, , 2),
   _xlpm.loc_col,  INDEX(_xlpm.data, , 3),
   _xlpm.target_date, DATE(YEAR($C$1), MONTH($C$1), AF$7),
   _xlpm.filtered, _xlfn._xlws.FILTER(_xlpm.name_col, (_xlpm.date_col = _xlpm.target_date) * (_xlpm.loc_col =$C30), ""),
   IF(_xlpm.filtered="", "", _xlpm.filtered)
)</f>
        <v/>
      </c>
      <c r="AG30" s="186" t="str" cm="1">
        <f t="array" ref="AG30">_xlfn.LET(
   _xlpm.data, 表格3_5[[Date]:[Location]],
   _xlpm.date_col, INDEX(_xlpm.data, , 1),
   _xlpm.name_col, INDEX(_xlpm.data, , 2),
   _xlpm.loc_col,  INDEX(_xlpm.data, , 3),
   _xlpm.target_date, DATE(YEAR($C$1), MONTH($C$1), AG$7),
   _xlpm.filtered, _xlfn._xlws.FILTER(_xlpm.name_col, (_xlpm.date_col = _xlpm.target_date) * (_xlpm.loc_col =$C30), ""),
   IF(_xlpm.filtered="", "", _xlpm.filtered)
)</f>
        <v/>
      </c>
      <c r="AH30" s="186" t="str" cm="1">
        <f t="array" ref="AH30">_xlfn.LET(
   _xlpm.data, 表格3_5[[Date]:[Location]],
   _xlpm.date_col, INDEX(_xlpm.data, , 1),
   _xlpm.name_col, INDEX(_xlpm.data, , 2),
   _xlpm.loc_col,  INDEX(_xlpm.data, , 3),
   _xlpm.target_date, DATE(YEAR($C$1), MONTH($C$1), AH$7),
   _xlpm.filtered, _xlfn._xlws.FILTER(_xlpm.name_col, (_xlpm.date_col = _xlpm.target_date) * (_xlpm.loc_col =$C30), ""),
   IF(_xlpm.filtered="", "", _xlpm.filtered)
)</f>
        <v/>
      </c>
      <c r="AI30" s="187">
        <f t="shared" si="33"/>
        <v>0</v>
      </c>
      <c r="AJ30" s="187">
        <f t="shared" si="36"/>
        <v>0</v>
      </c>
    </row>
    <row r="31" spans="2:72">
      <c r="B31" t="e" cm="1" vm="1">
        <f t="array" ref="B31">_xlfn.LET(
    _xlpm.data, D31:AH31,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C31" s="180"/>
      <c r="D31" s="186" t="str" cm="1">
        <f t="array" ref="D31">_xlfn.LET(
   _xlpm.data, 表格3_5[[Date]:[Location]],
   _xlpm.date_col, INDEX(_xlpm.data, , 1),
   _xlpm.name_col, INDEX(_xlpm.data, , 2),
   _xlpm.loc_col,  INDEX(_xlpm.data, , 3),
   _xlpm.target_date, DATE(YEAR($C$1), MONTH($C$1), D$7),
   _xlpm.filtered, _xlfn._xlws.FILTER(_xlpm.name_col, (_xlpm.date_col = _xlpm.target_date) * (_xlpm.loc_col =$C31), ""),
   IF(_xlpm.filtered="", "", _xlpm.filtered)
)</f>
        <v/>
      </c>
      <c r="E31" s="186" t="str" cm="1">
        <f t="array" ref="E31">_xlfn.LET(
   _xlpm.data, 表格3_5[[Date]:[Location]],
   _xlpm.date_col, INDEX(_xlpm.data, , 1),
   _xlpm.name_col, INDEX(_xlpm.data, , 2),
   _xlpm.loc_col,  INDEX(_xlpm.data, , 3),
   _xlpm.target_date, DATE(YEAR($C$1), MONTH($C$1), E$7),
   _xlpm.filtered, _xlfn._xlws.FILTER(_xlpm.name_col, (_xlpm.date_col = _xlpm.target_date) * (_xlpm.loc_col =$C31), ""),
   IF(_xlpm.filtered="", "", _xlpm.filtered)
)</f>
        <v/>
      </c>
      <c r="F31" s="186" t="str" cm="1">
        <f t="array" ref="F31">_xlfn.LET(
   _xlpm.data, 表格3_5[[Date]:[Location]],
   _xlpm.date_col, INDEX(_xlpm.data, , 1),
   _xlpm.name_col, INDEX(_xlpm.data, , 2),
   _xlpm.loc_col,  INDEX(_xlpm.data, , 3),
   _xlpm.target_date, DATE(YEAR($C$1), MONTH($C$1), F$7),
   _xlpm.filtered, _xlfn._xlws.FILTER(_xlpm.name_col, (_xlpm.date_col = _xlpm.target_date) * (_xlpm.loc_col =$C31), ""),
   IF(_xlpm.filtered="", "", _xlpm.filtered)
)</f>
        <v/>
      </c>
      <c r="G31" s="186" t="str" cm="1">
        <f t="array" ref="G31">_xlfn.LET(
   _xlpm.data, 表格3_5[[Date]:[Location]],
   _xlpm.date_col, INDEX(_xlpm.data, , 1),
   _xlpm.name_col, INDEX(_xlpm.data, , 2),
   _xlpm.loc_col,  INDEX(_xlpm.data, , 3),
   _xlpm.target_date, DATE(YEAR($C$1), MONTH($C$1), G$7),
   _xlpm.filtered, _xlfn._xlws.FILTER(_xlpm.name_col, (_xlpm.date_col = _xlpm.target_date) * (_xlpm.loc_col =$C31), ""),
   IF(_xlpm.filtered="", "", _xlpm.filtered)
)</f>
        <v/>
      </c>
      <c r="H31" s="186" t="str" cm="1">
        <f t="array" ref="H31">_xlfn.LET(
   _xlpm.data, 表格3_5[[Date]:[Location]],
   _xlpm.date_col, INDEX(_xlpm.data, , 1),
   _xlpm.name_col, INDEX(_xlpm.data, , 2),
   _xlpm.loc_col,  INDEX(_xlpm.data, , 3),
   _xlpm.target_date, DATE(YEAR($C$1), MONTH($C$1), H$7),
   _xlpm.filtered, _xlfn._xlws.FILTER(_xlpm.name_col, (_xlpm.date_col = _xlpm.target_date) * (_xlpm.loc_col =$C31), ""),
   IF(_xlpm.filtered="", "", _xlpm.filtered)
)</f>
        <v/>
      </c>
      <c r="I31" s="186" t="str" cm="1">
        <f t="array" ref="I31">_xlfn.LET(
   _xlpm.data, 表格3_5[[Date]:[Location]],
   _xlpm.date_col, INDEX(_xlpm.data, , 1),
   _xlpm.name_col, INDEX(_xlpm.data, , 2),
   _xlpm.loc_col,  INDEX(_xlpm.data, , 3),
   _xlpm.target_date, DATE(YEAR($C$1), MONTH($C$1), I$7),
   _xlpm.filtered, _xlfn._xlws.FILTER(_xlpm.name_col, (_xlpm.date_col = _xlpm.target_date) * (_xlpm.loc_col =$C31), ""),
   IF(_xlpm.filtered="", "", _xlpm.filtered)
)</f>
        <v/>
      </c>
      <c r="J31" s="186" t="str" cm="1">
        <f t="array" ref="J31">_xlfn.LET(
   _xlpm.data, 表格3_5[[Date]:[Location]],
   _xlpm.date_col, INDEX(_xlpm.data, , 1),
   _xlpm.name_col, INDEX(_xlpm.data, , 2),
   _xlpm.loc_col,  INDEX(_xlpm.data, , 3),
   _xlpm.target_date, DATE(YEAR($C$1), MONTH($C$1), J$7),
   _xlpm.filtered, _xlfn._xlws.FILTER(_xlpm.name_col, (_xlpm.date_col = _xlpm.target_date) * (_xlpm.loc_col =$C31), ""),
   IF(_xlpm.filtered="", "", _xlpm.filtered)
)</f>
        <v/>
      </c>
      <c r="K31" s="186" t="str" cm="1">
        <f t="array" ref="K31">_xlfn.LET(
   _xlpm.data, 表格3_5[[Date]:[Location]],
   _xlpm.date_col, INDEX(_xlpm.data, , 1),
   _xlpm.name_col, INDEX(_xlpm.data, , 2),
   _xlpm.loc_col,  INDEX(_xlpm.data, , 3),
   _xlpm.target_date, DATE(YEAR($C$1), MONTH($C$1), K$7),
   _xlpm.filtered, _xlfn._xlws.FILTER(_xlpm.name_col, (_xlpm.date_col = _xlpm.target_date) * (_xlpm.loc_col =$C31), ""),
   IF(_xlpm.filtered="", "", _xlpm.filtered)
)</f>
        <v/>
      </c>
      <c r="L31" s="186" t="str" cm="1">
        <f t="array" ref="L31">_xlfn.LET(
   _xlpm.data, 表格3_5[[Date]:[Location]],
   _xlpm.date_col, INDEX(_xlpm.data, , 1),
   _xlpm.name_col, INDEX(_xlpm.data, , 2),
   _xlpm.loc_col,  INDEX(_xlpm.data, , 3),
   _xlpm.target_date, DATE(YEAR($C$1), MONTH($C$1), L$7),
   _xlpm.filtered, _xlfn._xlws.FILTER(_xlpm.name_col, (_xlpm.date_col = _xlpm.target_date) * (_xlpm.loc_col =$C31), ""),
   IF(_xlpm.filtered="", "", _xlpm.filtered)
)</f>
        <v/>
      </c>
      <c r="M31" s="186" t="str" cm="1">
        <f t="array" ref="M31">_xlfn.LET(
   _xlpm.data, 表格3_5[[Date]:[Location]],
   _xlpm.date_col, INDEX(_xlpm.data, , 1),
   _xlpm.name_col, INDEX(_xlpm.data, , 2),
   _xlpm.loc_col,  INDEX(_xlpm.data, , 3),
   _xlpm.target_date, DATE(YEAR($C$1), MONTH($C$1), M$7),
   _xlpm.filtered, _xlfn._xlws.FILTER(_xlpm.name_col, (_xlpm.date_col = _xlpm.target_date) * (_xlpm.loc_col =$C31), ""),
   IF(_xlpm.filtered="", "", _xlpm.filtered)
)</f>
        <v/>
      </c>
      <c r="N31" s="186" t="str" cm="1">
        <f t="array" ref="N31">_xlfn.LET(
   _xlpm.data, 表格3_5[[Date]:[Location]],
   _xlpm.date_col, INDEX(_xlpm.data, , 1),
   _xlpm.name_col, INDEX(_xlpm.data, , 2),
   _xlpm.loc_col,  INDEX(_xlpm.data, , 3),
   _xlpm.target_date, DATE(YEAR($C$1), MONTH($C$1), N$7),
   _xlpm.filtered, _xlfn._xlws.FILTER(_xlpm.name_col, (_xlpm.date_col = _xlpm.target_date) * (_xlpm.loc_col =$C31), ""),
   IF(_xlpm.filtered="", "", _xlpm.filtered)
)</f>
        <v/>
      </c>
      <c r="O31" s="186" t="str" cm="1">
        <f t="array" ref="O31">_xlfn.LET(
   _xlpm.data, 表格3_5[[Date]:[Location]],
   _xlpm.date_col, INDEX(_xlpm.data, , 1),
   _xlpm.name_col, INDEX(_xlpm.data, , 2),
   _xlpm.loc_col,  INDEX(_xlpm.data, , 3),
   _xlpm.target_date, DATE(YEAR($C$1), MONTH($C$1), O$7),
   _xlpm.filtered, _xlfn._xlws.FILTER(_xlpm.name_col, (_xlpm.date_col = _xlpm.target_date) * (_xlpm.loc_col =$C31), ""),
   IF(_xlpm.filtered="", "", _xlpm.filtered)
)</f>
        <v/>
      </c>
      <c r="P31" s="186" t="str" cm="1">
        <f t="array" ref="P31">_xlfn.LET(
   _xlpm.data, 表格3_5[[Date]:[Location]],
   _xlpm.date_col, INDEX(_xlpm.data, , 1),
   _xlpm.name_col, INDEX(_xlpm.data, , 2),
   _xlpm.loc_col,  INDEX(_xlpm.data, , 3),
   _xlpm.target_date, DATE(YEAR($C$1), MONTH($C$1), P$7),
   _xlpm.filtered, _xlfn._xlws.FILTER(_xlpm.name_col, (_xlpm.date_col = _xlpm.target_date) * (_xlpm.loc_col =$C31), ""),
   IF(_xlpm.filtered="", "", _xlpm.filtered)
)</f>
        <v/>
      </c>
      <c r="Q31" s="186" t="str" cm="1">
        <f t="array" ref="Q31">_xlfn.LET(
   _xlpm.data, 表格3_5[[Date]:[Location]],
   _xlpm.date_col, INDEX(_xlpm.data, , 1),
   _xlpm.name_col, INDEX(_xlpm.data, , 2),
   _xlpm.loc_col,  INDEX(_xlpm.data, , 3),
   _xlpm.target_date, DATE(YEAR($C$1), MONTH($C$1), Q$7),
   _xlpm.filtered, _xlfn._xlws.FILTER(_xlpm.name_col, (_xlpm.date_col = _xlpm.target_date) * (_xlpm.loc_col =$C31), ""),
   IF(_xlpm.filtered="", "", _xlpm.filtered)
)</f>
        <v/>
      </c>
      <c r="R31" s="186" t="str" cm="1">
        <f t="array" ref="R31">_xlfn.LET(
   _xlpm.data, 表格3_5[[Date]:[Location]],
   _xlpm.date_col, INDEX(_xlpm.data, , 1),
   _xlpm.name_col, INDEX(_xlpm.data, , 2),
   _xlpm.loc_col,  INDEX(_xlpm.data, , 3),
   _xlpm.target_date, DATE(YEAR($C$1), MONTH($C$1), R$7),
   _xlpm.filtered, _xlfn._xlws.FILTER(_xlpm.name_col, (_xlpm.date_col = _xlpm.target_date) * (_xlpm.loc_col =$C31), ""),
   IF(_xlpm.filtered="", "", _xlpm.filtered)
)</f>
        <v/>
      </c>
      <c r="S31" s="186" t="str" cm="1">
        <f t="array" ref="S31">_xlfn.LET(
   _xlpm.data, 表格3_5[[Date]:[Location]],
   _xlpm.date_col, INDEX(_xlpm.data, , 1),
   _xlpm.name_col, INDEX(_xlpm.data, , 2),
   _xlpm.loc_col,  INDEX(_xlpm.data, , 3),
   _xlpm.target_date, DATE(YEAR($C$1), MONTH($C$1), S$7),
   _xlpm.filtered, _xlfn._xlws.FILTER(_xlpm.name_col, (_xlpm.date_col = _xlpm.target_date) * (_xlpm.loc_col =$C31), ""),
   IF(_xlpm.filtered="", "", _xlpm.filtered)
)</f>
        <v/>
      </c>
      <c r="T31" s="186" t="str" cm="1">
        <f t="array" ref="T31">_xlfn.LET(
   _xlpm.data, 表格3_5[[Date]:[Location]],
   _xlpm.date_col, INDEX(_xlpm.data, , 1),
   _xlpm.name_col, INDEX(_xlpm.data, , 2),
   _xlpm.loc_col,  INDEX(_xlpm.data, , 3),
   _xlpm.target_date, DATE(YEAR($C$1), MONTH($C$1), T$7),
   _xlpm.filtered, _xlfn._xlws.FILTER(_xlpm.name_col, (_xlpm.date_col = _xlpm.target_date) * (_xlpm.loc_col =$C31), ""),
   IF(_xlpm.filtered="", "", _xlpm.filtered)
)</f>
        <v/>
      </c>
      <c r="U31" s="186" t="str" cm="1">
        <f t="array" ref="U31">_xlfn.LET(
   _xlpm.data, 表格3_5[[Date]:[Location]],
   _xlpm.date_col, INDEX(_xlpm.data, , 1),
   _xlpm.name_col, INDEX(_xlpm.data, , 2),
   _xlpm.loc_col,  INDEX(_xlpm.data, , 3),
   _xlpm.target_date, DATE(YEAR($C$1), MONTH($C$1), U$7),
   _xlpm.filtered, _xlfn._xlws.FILTER(_xlpm.name_col, (_xlpm.date_col = _xlpm.target_date) * (_xlpm.loc_col =$C31), ""),
   IF(_xlpm.filtered="", "", _xlpm.filtered)
)</f>
        <v/>
      </c>
      <c r="V31" s="186" t="str" cm="1">
        <f t="array" ref="V31">_xlfn.LET(
   _xlpm.data, 表格3_5[[Date]:[Location]],
   _xlpm.date_col, INDEX(_xlpm.data, , 1),
   _xlpm.name_col, INDEX(_xlpm.data, , 2),
   _xlpm.loc_col,  INDEX(_xlpm.data, , 3),
   _xlpm.target_date, DATE(YEAR($C$1), MONTH($C$1), V$7),
   _xlpm.filtered, _xlfn._xlws.FILTER(_xlpm.name_col, (_xlpm.date_col = _xlpm.target_date) * (_xlpm.loc_col =$C31), ""),
   IF(_xlpm.filtered="", "", _xlpm.filtered)
)</f>
        <v/>
      </c>
      <c r="W31" s="186" t="str" cm="1">
        <f t="array" ref="W31">_xlfn.LET(
   _xlpm.data, 表格3_5[[Date]:[Location]],
   _xlpm.date_col, INDEX(_xlpm.data, , 1),
   _xlpm.name_col, INDEX(_xlpm.data, , 2),
   _xlpm.loc_col,  INDEX(_xlpm.data, , 3),
   _xlpm.target_date, DATE(YEAR($C$1), MONTH($C$1), W$7),
   _xlpm.filtered, _xlfn._xlws.FILTER(_xlpm.name_col, (_xlpm.date_col = _xlpm.target_date) * (_xlpm.loc_col =$C31), ""),
   IF(_xlpm.filtered="", "", _xlpm.filtered)
)</f>
        <v/>
      </c>
      <c r="X31" s="186" t="str" cm="1">
        <f t="array" ref="X31">_xlfn.LET(
   _xlpm.data, 表格3_5[[Date]:[Location]],
   _xlpm.date_col, INDEX(_xlpm.data, , 1),
   _xlpm.name_col, INDEX(_xlpm.data, , 2),
   _xlpm.loc_col,  INDEX(_xlpm.data, , 3),
   _xlpm.target_date, DATE(YEAR($C$1), MONTH($C$1), X$7),
   _xlpm.filtered, _xlfn._xlws.FILTER(_xlpm.name_col, (_xlpm.date_col = _xlpm.target_date) * (_xlpm.loc_col =$C31), ""),
   IF(_xlpm.filtered="", "", _xlpm.filtered)
)</f>
        <v/>
      </c>
      <c r="Y31" s="186" t="str" cm="1">
        <f t="array" ref="Y31">_xlfn.LET(
   _xlpm.data, 表格3_5[[Date]:[Location]],
   _xlpm.date_col, INDEX(_xlpm.data, , 1),
   _xlpm.name_col, INDEX(_xlpm.data, , 2),
   _xlpm.loc_col,  INDEX(_xlpm.data, , 3),
   _xlpm.target_date, DATE(YEAR($C$1), MONTH($C$1), Y$7),
   _xlpm.filtered, _xlfn._xlws.FILTER(_xlpm.name_col, (_xlpm.date_col = _xlpm.target_date) * (_xlpm.loc_col =$C31), ""),
   IF(_xlpm.filtered="", "", _xlpm.filtered)
)</f>
        <v/>
      </c>
      <c r="Z31" s="186" t="str" cm="1">
        <f t="array" ref="Z31">_xlfn.LET(
   _xlpm.data, 表格3_5[[Date]:[Location]],
   _xlpm.date_col, INDEX(_xlpm.data, , 1),
   _xlpm.name_col, INDEX(_xlpm.data, , 2),
   _xlpm.loc_col,  INDEX(_xlpm.data, , 3),
   _xlpm.target_date, DATE(YEAR($C$1), MONTH($C$1), Z$7),
   _xlpm.filtered, _xlfn._xlws.FILTER(_xlpm.name_col, (_xlpm.date_col = _xlpm.target_date) * (_xlpm.loc_col =$C31), ""),
   IF(_xlpm.filtered="", "", _xlpm.filtered)
)</f>
        <v/>
      </c>
      <c r="AA31" s="186" t="str" cm="1">
        <f t="array" ref="AA31">_xlfn.LET(
   _xlpm.data, 表格3_5[[Date]:[Location]],
   _xlpm.date_col, INDEX(_xlpm.data, , 1),
   _xlpm.name_col, INDEX(_xlpm.data, , 2),
   _xlpm.loc_col,  INDEX(_xlpm.data, , 3),
   _xlpm.target_date, DATE(YEAR($C$1), MONTH($C$1), AA$7),
   _xlpm.filtered, _xlfn._xlws.FILTER(_xlpm.name_col, (_xlpm.date_col = _xlpm.target_date) * (_xlpm.loc_col =$C31), ""),
   IF(_xlpm.filtered="", "", _xlpm.filtered)
)</f>
        <v/>
      </c>
      <c r="AB31" s="186" t="str" cm="1">
        <f t="array" ref="AB31">_xlfn.LET(
   _xlpm.data, 表格3_5[[Date]:[Location]],
   _xlpm.date_col, INDEX(_xlpm.data, , 1),
   _xlpm.name_col, INDEX(_xlpm.data, , 2),
   _xlpm.loc_col,  INDEX(_xlpm.data, , 3),
   _xlpm.target_date, DATE(YEAR($C$1), MONTH($C$1), AB$7),
   _xlpm.filtered, _xlfn._xlws.FILTER(_xlpm.name_col, (_xlpm.date_col = _xlpm.target_date) * (_xlpm.loc_col =$C31), ""),
   IF(_xlpm.filtered="", "", _xlpm.filtered)
)</f>
        <v/>
      </c>
      <c r="AC31" s="186" t="str" cm="1">
        <f t="array" ref="AC31">_xlfn.LET(
   _xlpm.data, 表格3_5[[Date]:[Location]],
   _xlpm.date_col, INDEX(_xlpm.data, , 1),
   _xlpm.name_col, INDEX(_xlpm.data, , 2),
   _xlpm.loc_col,  INDEX(_xlpm.data, , 3),
   _xlpm.target_date, DATE(YEAR($C$1), MONTH($C$1), AC$7),
   _xlpm.filtered, _xlfn._xlws.FILTER(_xlpm.name_col, (_xlpm.date_col = _xlpm.target_date) * (_xlpm.loc_col =$C31), ""),
   IF(_xlpm.filtered="", "", _xlpm.filtered)
)</f>
        <v/>
      </c>
      <c r="AD31" s="186" t="str" cm="1">
        <f t="array" ref="AD31">_xlfn.LET(
   _xlpm.data, 表格3_5[[Date]:[Location]],
   _xlpm.date_col, INDEX(_xlpm.data, , 1),
   _xlpm.name_col, INDEX(_xlpm.data, , 2),
   _xlpm.loc_col,  INDEX(_xlpm.data, , 3),
   _xlpm.target_date, DATE(YEAR($C$1), MONTH($C$1), AD$7),
   _xlpm.filtered, _xlfn._xlws.FILTER(_xlpm.name_col, (_xlpm.date_col = _xlpm.target_date) * (_xlpm.loc_col =$C31), ""),
   IF(_xlpm.filtered="", "", _xlpm.filtered)
)</f>
        <v/>
      </c>
      <c r="AE31" s="186" t="str" cm="1">
        <f t="array" ref="AE31">_xlfn.LET(
   _xlpm.data, 表格3_5[[Date]:[Location]],
   _xlpm.date_col, INDEX(_xlpm.data, , 1),
   _xlpm.name_col, INDEX(_xlpm.data, , 2),
   _xlpm.loc_col,  INDEX(_xlpm.data, , 3),
   _xlpm.target_date, DATE(YEAR($C$1), MONTH($C$1), AE$7),
   _xlpm.filtered, _xlfn._xlws.FILTER(_xlpm.name_col, (_xlpm.date_col = _xlpm.target_date) * (_xlpm.loc_col =$C31), ""),
   IF(_xlpm.filtered="", "", _xlpm.filtered)
)</f>
        <v/>
      </c>
      <c r="AF31" s="186" t="str" cm="1">
        <f t="array" ref="AF31">_xlfn.LET(
   _xlpm.data, 表格3_5[[Date]:[Location]],
   _xlpm.date_col, INDEX(_xlpm.data, , 1),
   _xlpm.name_col, INDEX(_xlpm.data, , 2),
   _xlpm.loc_col,  INDEX(_xlpm.data, , 3),
   _xlpm.target_date, DATE(YEAR($C$1), MONTH($C$1), AF$7),
   _xlpm.filtered, _xlfn._xlws.FILTER(_xlpm.name_col, (_xlpm.date_col = _xlpm.target_date) * (_xlpm.loc_col =$C31), ""),
   IF(_xlpm.filtered="", "", _xlpm.filtered)
)</f>
        <v/>
      </c>
      <c r="AG31" s="186" t="str" cm="1">
        <f t="array" ref="AG31">_xlfn.LET(
   _xlpm.data, 表格3_5[[Date]:[Location]],
   _xlpm.date_col, INDEX(_xlpm.data, , 1),
   _xlpm.name_col, INDEX(_xlpm.data, , 2),
   _xlpm.loc_col,  INDEX(_xlpm.data, , 3),
   _xlpm.target_date, DATE(YEAR($C$1), MONTH($C$1), AG$7),
   _xlpm.filtered, _xlfn._xlws.FILTER(_xlpm.name_col, (_xlpm.date_col = _xlpm.target_date) * (_xlpm.loc_col =$C31), ""),
   IF(_xlpm.filtered="", "", _xlpm.filtered)
)</f>
        <v/>
      </c>
      <c r="AH31" s="186" t="str" cm="1">
        <f t="array" ref="AH31">_xlfn.LET(
   _xlpm.data, 表格3_5[[Date]:[Location]],
   _xlpm.date_col, INDEX(_xlpm.data, , 1),
   _xlpm.name_col, INDEX(_xlpm.data, , 2),
   _xlpm.loc_col,  INDEX(_xlpm.data, , 3),
   _xlpm.target_date, DATE(YEAR($C$1), MONTH($C$1), AH$7),
   _xlpm.filtered, _xlfn._xlws.FILTER(_xlpm.name_col, (_xlpm.date_col = _xlpm.target_date) * (_xlpm.loc_col =$C31), ""),
   IF(_xlpm.filtered="", "", _xlpm.filtered)
)</f>
        <v/>
      </c>
      <c r="AI31" s="187">
        <f t="shared" si="33"/>
        <v>0</v>
      </c>
      <c r="AJ31" s="187">
        <f t="shared" si="36"/>
        <v>0</v>
      </c>
    </row>
    <row r="32" spans="2:72">
      <c r="B32" t="e" cm="1" vm="1">
        <f t="array" ref="B32">_xlfn.LET(
    _xlpm.data, D32:AH32,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D32" s="186" t="str" cm="1">
        <f t="array" ref="D32">_xlfn.LET(
   _xlpm.data, 表格3_5[[Date]:[Location]],
   _xlpm.date_col, INDEX(_xlpm.data, , 1),
   _xlpm.name_col, INDEX(_xlpm.data, , 2),
   _xlpm.loc_col,  INDEX(_xlpm.data, , 3),
   _xlpm.target_date, DATE(YEAR($C$1), MONTH($C$1), D$7),
   _xlpm.filtered, _xlfn._xlws.FILTER(_xlpm.name_col, (_xlpm.date_col = _xlpm.target_date) * (_xlpm.loc_col =$C32), ""),
   IF(_xlpm.filtered="", "", _xlpm.filtered)
)</f>
        <v/>
      </c>
      <c r="E32" s="186" t="str" cm="1">
        <f t="array" ref="E32">_xlfn.LET(
   _xlpm.data, 表格3_5[[Date]:[Location]],
   _xlpm.date_col, INDEX(_xlpm.data, , 1),
   _xlpm.name_col, INDEX(_xlpm.data, , 2),
   _xlpm.loc_col,  INDEX(_xlpm.data, , 3),
   _xlpm.target_date, DATE(YEAR($C$1), MONTH($C$1), E$7),
   _xlpm.filtered, _xlfn._xlws.FILTER(_xlpm.name_col, (_xlpm.date_col = _xlpm.target_date) * (_xlpm.loc_col =$C32), ""),
   IF(_xlpm.filtered="", "", _xlpm.filtered)
)</f>
        <v/>
      </c>
      <c r="F32" s="186" t="str" cm="1">
        <f t="array" ref="F32">_xlfn.LET(
   _xlpm.data, 表格3_5[[Date]:[Location]],
   _xlpm.date_col, INDEX(_xlpm.data, , 1),
   _xlpm.name_col, INDEX(_xlpm.data, , 2),
   _xlpm.loc_col,  INDEX(_xlpm.data, , 3),
   _xlpm.target_date, DATE(YEAR($C$1), MONTH($C$1), F$7),
   _xlpm.filtered, _xlfn._xlws.FILTER(_xlpm.name_col, (_xlpm.date_col = _xlpm.target_date) * (_xlpm.loc_col =$C32), ""),
   IF(_xlpm.filtered="", "", _xlpm.filtered)
)</f>
        <v/>
      </c>
      <c r="G32" s="186" t="str" cm="1">
        <f t="array" ref="G32">_xlfn.LET(
   _xlpm.data, 表格3_5[[Date]:[Location]],
   _xlpm.date_col, INDEX(_xlpm.data, , 1),
   _xlpm.name_col, INDEX(_xlpm.data, , 2),
   _xlpm.loc_col,  INDEX(_xlpm.data, , 3),
   _xlpm.target_date, DATE(YEAR($C$1), MONTH($C$1), G$7),
   _xlpm.filtered, _xlfn._xlws.FILTER(_xlpm.name_col, (_xlpm.date_col = _xlpm.target_date) * (_xlpm.loc_col =$C32), ""),
   IF(_xlpm.filtered="", "", _xlpm.filtered)
)</f>
        <v/>
      </c>
      <c r="H32" s="186" t="str" cm="1">
        <f t="array" ref="H32">_xlfn.LET(
   _xlpm.data, 表格3_5[[Date]:[Location]],
   _xlpm.date_col, INDEX(_xlpm.data, , 1),
   _xlpm.name_col, INDEX(_xlpm.data, , 2),
   _xlpm.loc_col,  INDEX(_xlpm.data, , 3),
   _xlpm.target_date, DATE(YEAR($C$1), MONTH($C$1), H$7),
   _xlpm.filtered, _xlfn._xlws.FILTER(_xlpm.name_col, (_xlpm.date_col = _xlpm.target_date) * (_xlpm.loc_col =$C32), ""),
   IF(_xlpm.filtered="", "", _xlpm.filtered)
)</f>
        <v/>
      </c>
      <c r="I32" s="186" t="str" cm="1">
        <f t="array" ref="I32">_xlfn.LET(
   _xlpm.data, 表格3_5[[Date]:[Location]],
   _xlpm.date_col, INDEX(_xlpm.data, , 1),
   _xlpm.name_col, INDEX(_xlpm.data, , 2),
   _xlpm.loc_col,  INDEX(_xlpm.data, , 3),
   _xlpm.target_date, DATE(YEAR($C$1), MONTH($C$1), I$7),
   _xlpm.filtered, _xlfn._xlws.FILTER(_xlpm.name_col, (_xlpm.date_col = _xlpm.target_date) * (_xlpm.loc_col =$C32), ""),
   IF(_xlpm.filtered="", "", _xlpm.filtered)
)</f>
        <v/>
      </c>
      <c r="J32" s="186" t="str" cm="1">
        <f t="array" ref="J32">_xlfn.LET(
   _xlpm.data, 表格3_5[[Date]:[Location]],
   _xlpm.date_col, INDEX(_xlpm.data, , 1),
   _xlpm.name_col, INDEX(_xlpm.data, , 2),
   _xlpm.loc_col,  INDEX(_xlpm.data, , 3),
   _xlpm.target_date, DATE(YEAR($C$1), MONTH($C$1), J$7),
   _xlpm.filtered, _xlfn._xlws.FILTER(_xlpm.name_col, (_xlpm.date_col = _xlpm.target_date) * (_xlpm.loc_col =$C32), ""),
   IF(_xlpm.filtered="", "", _xlpm.filtered)
)</f>
        <v/>
      </c>
      <c r="K32" s="186" t="str" cm="1">
        <f t="array" ref="K32">_xlfn.LET(
   _xlpm.data, 表格3_5[[Date]:[Location]],
   _xlpm.date_col, INDEX(_xlpm.data, , 1),
   _xlpm.name_col, INDEX(_xlpm.data, , 2),
   _xlpm.loc_col,  INDEX(_xlpm.data, , 3),
   _xlpm.target_date, DATE(YEAR($C$1), MONTH($C$1), K$7),
   _xlpm.filtered, _xlfn._xlws.FILTER(_xlpm.name_col, (_xlpm.date_col = _xlpm.target_date) * (_xlpm.loc_col =$C32), ""),
   IF(_xlpm.filtered="", "", _xlpm.filtered)
)</f>
        <v/>
      </c>
      <c r="L32" s="186" t="str" cm="1">
        <f t="array" ref="L32">_xlfn.LET(
   _xlpm.data, 表格3_5[[Date]:[Location]],
   _xlpm.date_col, INDEX(_xlpm.data, , 1),
   _xlpm.name_col, INDEX(_xlpm.data, , 2),
   _xlpm.loc_col,  INDEX(_xlpm.data, , 3),
   _xlpm.target_date, DATE(YEAR($C$1), MONTH($C$1), L$7),
   _xlpm.filtered, _xlfn._xlws.FILTER(_xlpm.name_col, (_xlpm.date_col = _xlpm.target_date) * (_xlpm.loc_col =$C32), ""),
   IF(_xlpm.filtered="", "", _xlpm.filtered)
)</f>
        <v/>
      </c>
      <c r="M32" s="186" t="str" cm="1">
        <f t="array" ref="M32">_xlfn.LET(
   _xlpm.data, 表格3_5[[Date]:[Location]],
   _xlpm.date_col, INDEX(_xlpm.data, , 1),
   _xlpm.name_col, INDEX(_xlpm.data, , 2),
   _xlpm.loc_col,  INDEX(_xlpm.data, , 3),
   _xlpm.target_date, DATE(YEAR($C$1), MONTH($C$1), M$7),
   _xlpm.filtered, _xlfn._xlws.FILTER(_xlpm.name_col, (_xlpm.date_col = _xlpm.target_date) * (_xlpm.loc_col =$C32), ""),
   IF(_xlpm.filtered="", "", _xlpm.filtered)
)</f>
        <v/>
      </c>
      <c r="N32" s="186" t="str" cm="1">
        <f t="array" ref="N32">_xlfn.LET(
   _xlpm.data, 表格3_5[[Date]:[Location]],
   _xlpm.date_col, INDEX(_xlpm.data, , 1),
   _xlpm.name_col, INDEX(_xlpm.data, , 2),
   _xlpm.loc_col,  INDEX(_xlpm.data, , 3),
   _xlpm.target_date, DATE(YEAR($C$1), MONTH($C$1), N$7),
   _xlpm.filtered, _xlfn._xlws.FILTER(_xlpm.name_col, (_xlpm.date_col = _xlpm.target_date) * (_xlpm.loc_col =$C32), ""),
   IF(_xlpm.filtered="", "", _xlpm.filtered)
)</f>
        <v/>
      </c>
      <c r="O32" s="186" t="str" cm="1">
        <f t="array" ref="O32">_xlfn.LET(
   _xlpm.data, 表格3_5[[Date]:[Location]],
   _xlpm.date_col, INDEX(_xlpm.data, , 1),
   _xlpm.name_col, INDEX(_xlpm.data, , 2),
   _xlpm.loc_col,  INDEX(_xlpm.data, , 3),
   _xlpm.target_date, DATE(YEAR($C$1), MONTH($C$1), O$7),
   _xlpm.filtered, _xlfn._xlws.FILTER(_xlpm.name_col, (_xlpm.date_col = _xlpm.target_date) * (_xlpm.loc_col =$C32), ""),
   IF(_xlpm.filtered="", "", _xlpm.filtered)
)</f>
        <v/>
      </c>
      <c r="P32" s="186" t="str" cm="1">
        <f t="array" ref="P32">_xlfn.LET(
   _xlpm.data, 表格3_5[[Date]:[Location]],
   _xlpm.date_col, INDEX(_xlpm.data, , 1),
   _xlpm.name_col, INDEX(_xlpm.data, , 2),
   _xlpm.loc_col,  INDEX(_xlpm.data, , 3),
   _xlpm.target_date, DATE(YEAR($C$1), MONTH($C$1), P$7),
   _xlpm.filtered, _xlfn._xlws.FILTER(_xlpm.name_col, (_xlpm.date_col = _xlpm.target_date) * (_xlpm.loc_col =$C32), ""),
   IF(_xlpm.filtered="", "", _xlpm.filtered)
)</f>
        <v/>
      </c>
      <c r="Q32" s="186" t="str" cm="1">
        <f t="array" ref="Q32">_xlfn.LET(
   _xlpm.data, 表格3_5[[Date]:[Location]],
   _xlpm.date_col, INDEX(_xlpm.data, , 1),
   _xlpm.name_col, INDEX(_xlpm.data, , 2),
   _xlpm.loc_col,  INDEX(_xlpm.data, , 3),
   _xlpm.target_date, DATE(YEAR($C$1), MONTH($C$1), Q$7),
   _xlpm.filtered, _xlfn._xlws.FILTER(_xlpm.name_col, (_xlpm.date_col = _xlpm.target_date) * (_xlpm.loc_col =$C32), ""),
   IF(_xlpm.filtered="", "", _xlpm.filtered)
)</f>
        <v/>
      </c>
      <c r="R32" s="186" t="str" cm="1">
        <f t="array" ref="R32">_xlfn.LET(
   _xlpm.data, 表格3_5[[Date]:[Location]],
   _xlpm.date_col, INDEX(_xlpm.data, , 1),
   _xlpm.name_col, INDEX(_xlpm.data, , 2),
   _xlpm.loc_col,  INDEX(_xlpm.data, , 3),
   _xlpm.target_date, DATE(YEAR($C$1), MONTH($C$1), R$7),
   _xlpm.filtered, _xlfn._xlws.FILTER(_xlpm.name_col, (_xlpm.date_col = _xlpm.target_date) * (_xlpm.loc_col =$C32), ""),
   IF(_xlpm.filtered="", "", _xlpm.filtered)
)</f>
        <v/>
      </c>
      <c r="S32" s="186" t="str" cm="1">
        <f t="array" ref="S32">_xlfn.LET(
   _xlpm.data, 表格3_5[[Date]:[Location]],
   _xlpm.date_col, INDEX(_xlpm.data, , 1),
   _xlpm.name_col, INDEX(_xlpm.data, , 2),
   _xlpm.loc_col,  INDEX(_xlpm.data, , 3),
   _xlpm.target_date, DATE(YEAR($C$1), MONTH($C$1), S$7),
   _xlpm.filtered, _xlfn._xlws.FILTER(_xlpm.name_col, (_xlpm.date_col = _xlpm.target_date) * (_xlpm.loc_col =$C32), ""),
   IF(_xlpm.filtered="", "", _xlpm.filtered)
)</f>
        <v/>
      </c>
      <c r="T32" s="186" t="str" cm="1">
        <f t="array" ref="T32">_xlfn.LET(
   _xlpm.data, 表格3_5[[Date]:[Location]],
   _xlpm.date_col, INDEX(_xlpm.data, , 1),
   _xlpm.name_col, INDEX(_xlpm.data, , 2),
   _xlpm.loc_col,  INDEX(_xlpm.data, , 3),
   _xlpm.target_date, DATE(YEAR($C$1), MONTH($C$1), T$7),
   _xlpm.filtered, _xlfn._xlws.FILTER(_xlpm.name_col, (_xlpm.date_col = _xlpm.target_date) * (_xlpm.loc_col =$C32), ""),
   IF(_xlpm.filtered="", "", _xlpm.filtered)
)</f>
        <v/>
      </c>
      <c r="U32" s="186" t="str" cm="1">
        <f t="array" ref="U32">_xlfn.LET(
   _xlpm.data, 表格3_5[[Date]:[Location]],
   _xlpm.date_col, INDEX(_xlpm.data, , 1),
   _xlpm.name_col, INDEX(_xlpm.data, , 2),
   _xlpm.loc_col,  INDEX(_xlpm.data, , 3),
   _xlpm.target_date, DATE(YEAR($C$1), MONTH($C$1), U$7),
   _xlpm.filtered, _xlfn._xlws.FILTER(_xlpm.name_col, (_xlpm.date_col = _xlpm.target_date) * (_xlpm.loc_col =$C32), ""),
   IF(_xlpm.filtered="", "", _xlpm.filtered)
)</f>
        <v/>
      </c>
      <c r="V32" s="186" t="str" cm="1">
        <f t="array" ref="V32">_xlfn.LET(
   _xlpm.data, 表格3_5[[Date]:[Location]],
   _xlpm.date_col, INDEX(_xlpm.data, , 1),
   _xlpm.name_col, INDEX(_xlpm.data, , 2),
   _xlpm.loc_col,  INDEX(_xlpm.data, , 3),
   _xlpm.target_date, DATE(YEAR($C$1), MONTH($C$1), V$7),
   _xlpm.filtered, _xlfn._xlws.FILTER(_xlpm.name_col, (_xlpm.date_col = _xlpm.target_date) * (_xlpm.loc_col =$C32), ""),
   IF(_xlpm.filtered="", "", _xlpm.filtered)
)</f>
        <v/>
      </c>
      <c r="W32" s="186" t="str" cm="1">
        <f t="array" ref="W32">_xlfn.LET(
   _xlpm.data, 表格3_5[[Date]:[Location]],
   _xlpm.date_col, INDEX(_xlpm.data, , 1),
   _xlpm.name_col, INDEX(_xlpm.data, , 2),
   _xlpm.loc_col,  INDEX(_xlpm.data, , 3),
   _xlpm.target_date, DATE(YEAR($C$1), MONTH($C$1), W$7),
   _xlpm.filtered, _xlfn._xlws.FILTER(_xlpm.name_col, (_xlpm.date_col = _xlpm.target_date) * (_xlpm.loc_col =$C32), ""),
   IF(_xlpm.filtered="", "", _xlpm.filtered)
)</f>
        <v/>
      </c>
      <c r="X32" s="186" t="str" cm="1">
        <f t="array" ref="X32">_xlfn.LET(
   _xlpm.data, 表格3_5[[Date]:[Location]],
   _xlpm.date_col, INDEX(_xlpm.data, , 1),
   _xlpm.name_col, INDEX(_xlpm.data, , 2),
   _xlpm.loc_col,  INDEX(_xlpm.data, , 3),
   _xlpm.target_date, DATE(YEAR($C$1), MONTH($C$1), X$7),
   _xlpm.filtered, _xlfn._xlws.FILTER(_xlpm.name_col, (_xlpm.date_col = _xlpm.target_date) * (_xlpm.loc_col =$C32), ""),
   IF(_xlpm.filtered="", "", _xlpm.filtered)
)</f>
        <v/>
      </c>
      <c r="Y32" s="186" t="str" cm="1">
        <f t="array" ref="Y32">_xlfn.LET(
   _xlpm.data, 表格3_5[[Date]:[Location]],
   _xlpm.date_col, INDEX(_xlpm.data, , 1),
   _xlpm.name_col, INDEX(_xlpm.data, , 2),
   _xlpm.loc_col,  INDEX(_xlpm.data, , 3),
   _xlpm.target_date, DATE(YEAR($C$1), MONTH($C$1), Y$7),
   _xlpm.filtered, _xlfn._xlws.FILTER(_xlpm.name_col, (_xlpm.date_col = _xlpm.target_date) * (_xlpm.loc_col =$C32), ""),
   IF(_xlpm.filtered="", "", _xlpm.filtered)
)</f>
        <v/>
      </c>
      <c r="Z32" s="186" t="str" cm="1">
        <f t="array" ref="Z32">_xlfn.LET(
   _xlpm.data, 表格3_5[[Date]:[Location]],
   _xlpm.date_col, INDEX(_xlpm.data, , 1),
   _xlpm.name_col, INDEX(_xlpm.data, , 2),
   _xlpm.loc_col,  INDEX(_xlpm.data, , 3),
   _xlpm.target_date, DATE(YEAR($C$1), MONTH($C$1), Z$7),
   _xlpm.filtered, _xlfn._xlws.FILTER(_xlpm.name_col, (_xlpm.date_col = _xlpm.target_date) * (_xlpm.loc_col =$C32), ""),
   IF(_xlpm.filtered="", "", _xlpm.filtered)
)</f>
        <v/>
      </c>
      <c r="AA32" s="186" t="str" cm="1">
        <f t="array" ref="AA32">_xlfn.LET(
   _xlpm.data, 表格3_5[[Date]:[Location]],
   _xlpm.date_col, INDEX(_xlpm.data, , 1),
   _xlpm.name_col, INDEX(_xlpm.data, , 2),
   _xlpm.loc_col,  INDEX(_xlpm.data, , 3),
   _xlpm.target_date, DATE(YEAR($C$1), MONTH($C$1), AA$7),
   _xlpm.filtered, _xlfn._xlws.FILTER(_xlpm.name_col, (_xlpm.date_col = _xlpm.target_date) * (_xlpm.loc_col =$C32), ""),
   IF(_xlpm.filtered="", "", _xlpm.filtered)
)</f>
        <v/>
      </c>
      <c r="AB32" s="186" t="str" cm="1">
        <f t="array" ref="AB32">_xlfn.LET(
   _xlpm.data, 表格3_5[[Date]:[Location]],
   _xlpm.date_col, INDEX(_xlpm.data, , 1),
   _xlpm.name_col, INDEX(_xlpm.data, , 2),
   _xlpm.loc_col,  INDEX(_xlpm.data, , 3),
   _xlpm.target_date, DATE(YEAR($C$1), MONTH($C$1), AB$7),
   _xlpm.filtered, _xlfn._xlws.FILTER(_xlpm.name_col, (_xlpm.date_col = _xlpm.target_date) * (_xlpm.loc_col =$C32), ""),
   IF(_xlpm.filtered="", "", _xlpm.filtered)
)</f>
        <v/>
      </c>
      <c r="AC32" s="186" t="str" cm="1">
        <f t="array" ref="AC32">_xlfn.LET(
   _xlpm.data, 表格3_5[[Date]:[Location]],
   _xlpm.date_col, INDEX(_xlpm.data, , 1),
   _xlpm.name_col, INDEX(_xlpm.data, , 2),
   _xlpm.loc_col,  INDEX(_xlpm.data, , 3),
   _xlpm.target_date, DATE(YEAR($C$1), MONTH($C$1), AC$7),
   _xlpm.filtered, _xlfn._xlws.FILTER(_xlpm.name_col, (_xlpm.date_col = _xlpm.target_date) * (_xlpm.loc_col =$C32), ""),
   IF(_xlpm.filtered="", "", _xlpm.filtered)
)</f>
        <v/>
      </c>
      <c r="AD32" s="186" t="str" cm="1">
        <f t="array" ref="AD32">_xlfn.LET(
   _xlpm.data, 表格3_5[[Date]:[Location]],
   _xlpm.date_col, INDEX(_xlpm.data, , 1),
   _xlpm.name_col, INDEX(_xlpm.data, , 2),
   _xlpm.loc_col,  INDEX(_xlpm.data, , 3),
   _xlpm.target_date, DATE(YEAR($C$1), MONTH($C$1), AD$7),
   _xlpm.filtered, _xlfn._xlws.FILTER(_xlpm.name_col, (_xlpm.date_col = _xlpm.target_date) * (_xlpm.loc_col =$C32), ""),
   IF(_xlpm.filtered="", "", _xlpm.filtered)
)</f>
        <v/>
      </c>
      <c r="AE32" s="186" t="str" cm="1">
        <f t="array" ref="AE32">_xlfn.LET(
   _xlpm.data, 表格3_5[[Date]:[Location]],
   _xlpm.date_col, INDEX(_xlpm.data, , 1),
   _xlpm.name_col, INDEX(_xlpm.data, , 2),
   _xlpm.loc_col,  INDEX(_xlpm.data, , 3),
   _xlpm.target_date, DATE(YEAR($C$1), MONTH($C$1), AE$7),
   _xlpm.filtered, _xlfn._xlws.FILTER(_xlpm.name_col, (_xlpm.date_col = _xlpm.target_date) * (_xlpm.loc_col =$C32), ""),
   IF(_xlpm.filtered="", "", _xlpm.filtered)
)</f>
        <v/>
      </c>
      <c r="AF32" s="186" t="str" cm="1">
        <f t="array" ref="AF32">_xlfn.LET(
   _xlpm.data, 表格3_5[[Date]:[Location]],
   _xlpm.date_col, INDEX(_xlpm.data, , 1),
   _xlpm.name_col, INDEX(_xlpm.data, , 2),
   _xlpm.loc_col,  INDEX(_xlpm.data, , 3),
   _xlpm.target_date, DATE(YEAR($C$1), MONTH($C$1), AF$7),
   _xlpm.filtered, _xlfn._xlws.FILTER(_xlpm.name_col, (_xlpm.date_col = _xlpm.target_date) * (_xlpm.loc_col =$C32), ""),
   IF(_xlpm.filtered="", "", _xlpm.filtered)
)</f>
        <v/>
      </c>
      <c r="AG32" s="186" t="str" cm="1">
        <f t="array" ref="AG32">_xlfn.LET(
   _xlpm.data, 表格3_5[[Date]:[Location]],
   _xlpm.date_col, INDEX(_xlpm.data, , 1),
   _xlpm.name_col, INDEX(_xlpm.data, , 2),
   _xlpm.loc_col,  INDEX(_xlpm.data, , 3),
   _xlpm.target_date, DATE(YEAR($C$1), MONTH($C$1), AG$7),
   _xlpm.filtered, _xlfn._xlws.FILTER(_xlpm.name_col, (_xlpm.date_col = _xlpm.target_date) * (_xlpm.loc_col =$C32), ""),
   IF(_xlpm.filtered="", "", _xlpm.filtered)
)</f>
        <v/>
      </c>
      <c r="AH32" s="186" t="str" cm="1">
        <f t="array" ref="AH32">_xlfn.LET(
   _xlpm.data, 表格3_5[[Date]:[Location]],
   _xlpm.date_col, INDEX(_xlpm.data, , 1),
   _xlpm.name_col, INDEX(_xlpm.data, , 2),
   _xlpm.loc_col,  INDEX(_xlpm.data, , 3),
   _xlpm.target_date, DATE(YEAR($C$1), MONTH($C$1), AH$7),
   _xlpm.filtered, _xlfn._xlws.FILTER(_xlpm.name_col, (_xlpm.date_col = _xlpm.target_date) * (_xlpm.loc_col =$C32), ""),
   IF(_xlpm.filtered="", "", _xlpm.filtered)
)</f>
        <v/>
      </c>
    </row>
    <row r="33" spans="2:34">
      <c r="B33" t="e" cm="1" vm="1">
        <f t="array" ref="B33">_xlfn.LET(
    _xlpm.data, D33:AH33,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D33" s="186" t="str" cm="1">
        <f t="array" ref="D33">_xlfn.LET(
   _xlpm.data, 表格3_5[[Date]:[Location]],
   _xlpm.date_col, INDEX(_xlpm.data, , 1),
   _xlpm.name_col, INDEX(_xlpm.data, , 2),
   _xlpm.loc_col,  INDEX(_xlpm.data, , 3),
   _xlpm.target_date, DATE(YEAR($C$1), MONTH($C$1), D$7),
   _xlpm.filtered, _xlfn._xlws.FILTER(_xlpm.name_col, (_xlpm.date_col = _xlpm.target_date) * (_xlpm.loc_col =$C33), ""),
   IF(_xlpm.filtered="", "", _xlpm.filtered)
)</f>
        <v/>
      </c>
      <c r="E33" s="186" t="str" cm="1">
        <f t="array" ref="E33">_xlfn.LET(
   _xlpm.data, 表格3_5[[Date]:[Location]],
   _xlpm.date_col, INDEX(_xlpm.data, , 1),
   _xlpm.name_col, INDEX(_xlpm.data, , 2),
   _xlpm.loc_col,  INDEX(_xlpm.data, , 3),
   _xlpm.target_date, DATE(YEAR($C$1), MONTH($C$1), E$7),
   _xlpm.filtered, _xlfn._xlws.FILTER(_xlpm.name_col, (_xlpm.date_col = _xlpm.target_date) * (_xlpm.loc_col =$C33), ""),
   IF(_xlpm.filtered="", "", _xlpm.filtered)
)</f>
        <v/>
      </c>
      <c r="F33" s="186" t="str" cm="1">
        <f t="array" ref="F33">_xlfn.LET(
   _xlpm.data, 表格3_5[[Date]:[Location]],
   _xlpm.date_col, INDEX(_xlpm.data, , 1),
   _xlpm.name_col, INDEX(_xlpm.data, , 2),
   _xlpm.loc_col,  INDEX(_xlpm.data, , 3),
   _xlpm.target_date, DATE(YEAR($C$1), MONTH($C$1), F$7),
   _xlpm.filtered, _xlfn._xlws.FILTER(_xlpm.name_col, (_xlpm.date_col = _xlpm.target_date) * (_xlpm.loc_col =$C33), ""),
   IF(_xlpm.filtered="", "", _xlpm.filtered)
)</f>
        <v/>
      </c>
      <c r="G33" s="186" t="str" cm="1">
        <f t="array" ref="G33">_xlfn.LET(
   _xlpm.data, 表格3_5[[Date]:[Location]],
   _xlpm.date_col, INDEX(_xlpm.data, , 1),
   _xlpm.name_col, INDEX(_xlpm.data, , 2),
   _xlpm.loc_col,  INDEX(_xlpm.data, , 3),
   _xlpm.target_date, DATE(YEAR($C$1), MONTH($C$1), G$7),
   _xlpm.filtered, _xlfn._xlws.FILTER(_xlpm.name_col, (_xlpm.date_col = _xlpm.target_date) * (_xlpm.loc_col =$C33), ""),
   IF(_xlpm.filtered="", "", _xlpm.filtered)
)</f>
        <v/>
      </c>
      <c r="H33" s="186" t="str" cm="1">
        <f t="array" ref="H33">_xlfn.LET(
   _xlpm.data, 表格3_5[[Date]:[Location]],
   _xlpm.date_col, INDEX(_xlpm.data, , 1),
   _xlpm.name_col, INDEX(_xlpm.data, , 2),
   _xlpm.loc_col,  INDEX(_xlpm.data, , 3),
   _xlpm.target_date, DATE(YEAR($C$1), MONTH($C$1), H$7),
   _xlpm.filtered, _xlfn._xlws.FILTER(_xlpm.name_col, (_xlpm.date_col = _xlpm.target_date) * (_xlpm.loc_col =$C33), ""),
   IF(_xlpm.filtered="", "", _xlpm.filtered)
)</f>
        <v/>
      </c>
      <c r="I33" s="186" t="str" cm="1">
        <f t="array" ref="I33">_xlfn.LET(
   _xlpm.data, 表格3_5[[Date]:[Location]],
   _xlpm.date_col, INDEX(_xlpm.data, , 1),
   _xlpm.name_col, INDEX(_xlpm.data, , 2),
   _xlpm.loc_col,  INDEX(_xlpm.data, , 3),
   _xlpm.target_date, DATE(YEAR($C$1), MONTH($C$1), I$7),
   _xlpm.filtered, _xlfn._xlws.FILTER(_xlpm.name_col, (_xlpm.date_col = _xlpm.target_date) * (_xlpm.loc_col =$C33), ""),
   IF(_xlpm.filtered="", "", _xlpm.filtered)
)</f>
        <v/>
      </c>
      <c r="J33" s="186" t="str" cm="1">
        <f t="array" ref="J33">_xlfn.LET(
   _xlpm.data, 表格3_5[[Date]:[Location]],
   _xlpm.date_col, INDEX(_xlpm.data, , 1),
   _xlpm.name_col, INDEX(_xlpm.data, , 2),
   _xlpm.loc_col,  INDEX(_xlpm.data, , 3),
   _xlpm.target_date, DATE(YEAR($C$1), MONTH($C$1), J$7),
   _xlpm.filtered, _xlfn._xlws.FILTER(_xlpm.name_col, (_xlpm.date_col = _xlpm.target_date) * (_xlpm.loc_col =$C33), ""),
   IF(_xlpm.filtered="", "", _xlpm.filtered)
)</f>
        <v/>
      </c>
      <c r="K33" s="186" t="str" cm="1">
        <f t="array" ref="K33">_xlfn.LET(
   _xlpm.data, 表格3_5[[Date]:[Location]],
   _xlpm.date_col, INDEX(_xlpm.data, , 1),
   _xlpm.name_col, INDEX(_xlpm.data, , 2),
   _xlpm.loc_col,  INDEX(_xlpm.data, , 3),
   _xlpm.target_date, DATE(YEAR($C$1), MONTH($C$1), K$7),
   _xlpm.filtered, _xlfn._xlws.FILTER(_xlpm.name_col, (_xlpm.date_col = _xlpm.target_date) * (_xlpm.loc_col =$C33), ""),
   IF(_xlpm.filtered="", "", _xlpm.filtered)
)</f>
        <v/>
      </c>
      <c r="L33" s="186" t="str" cm="1">
        <f t="array" ref="L33">_xlfn.LET(
   _xlpm.data, 表格3_5[[Date]:[Location]],
   _xlpm.date_col, INDEX(_xlpm.data, , 1),
   _xlpm.name_col, INDEX(_xlpm.data, , 2),
   _xlpm.loc_col,  INDEX(_xlpm.data, , 3),
   _xlpm.target_date, DATE(YEAR($C$1), MONTH($C$1), L$7),
   _xlpm.filtered, _xlfn._xlws.FILTER(_xlpm.name_col, (_xlpm.date_col = _xlpm.target_date) * (_xlpm.loc_col =$C33), ""),
   IF(_xlpm.filtered="", "", _xlpm.filtered)
)</f>
        <v/>
      </c>
      <c r="M33" s="186" t="str" cm="1">
        <f t="array" ref="M33">_xlfn.LET(
   _xlpm.data, 表格3_5[[Date]:[Location]],
   _xlpm.date_col, INDEX(_xlpm.data, , 1),
   _xlpm.name_col, INDEX(_xlpm.data, , 2),
   _xlpm.loc_col,  INDEX(_xlpm.data, , 3),
   _xlpm.target_date, DATE(YEAR($C$1), MONTH($C$1), M$7),
   _xlpm.filtered, _xlfn._xlws.FILTER(_xlpm.name_col, (_xlpm.date_col = _xlpm.target_date) * (_xlpm.loc_col =$C33), ""),
   IF(_xlpm.filtered="", "", _xlpm.filtered)
)</f>
        <v/>
      </c>
      <c r="N33" s="186" t="str" cm="1">
        <f t="array" ref="N33">_xlfn.LET(
   _xlpm.data, 表格3_5[[Date]:[Location]],
   _xlpm.date_col, INDEX(_xlpm.data, , 1),
   _xlpm.name_col, INDEX(_xlpm.data, , 2),
   _xlpm.loc_col,  INDEX(_xlpm.data, , 3),
   _xlpm.target_date, DATE(YEAR($C$1), MONTH($C$1), N$7),
   _xlpm.filtered, _xlfn._xlws.FILTER(_xlpm.name_col, (_xlpm.date_col = _xlpm.target_date) * (_xlpm.loc_col =$C33), ""),
   IF(_xlpm.filtered="", "", _xlpm.filtered)
)</f>
        <v/>
      </c>
      <c r="O33" s="186" t="str" cm="1">
        <f t="array" ref="O33">_xlfn.LET(
   _xlpm.data, 表格3_5[[Date]:[Location]],
   _xlpm.date_col, INDEX(_xlpm.data, , 1),
   _xlpm.name_col, INDEX(_xlpm.data, , 2),
   _xlpm.loc_col,  INDEX(_xlpm.data, , 3),
   _xlpm.target_date, DATE(YEAR($C$1), MONTH($C$1), O$7),
   _xlpm.filtered, _xlfn._xlws.FILTER(_xlpm.name_col, (_xlpm.date_col = _xlpm.target_date) * (_xlpm.loc_col =$C33), ""),
   IF(_xlpm.filtered="", "", _xlpm.filtered)
)</f>
        <v/>
      </c>
      <c r="P33" s="186" t="str" cm="1">
        <f t="array" ref="P33">_xlfn.LET(
   _xlpm.data, 表格3_5[[Date]:[Location]],
   _xlpm.date_col, INDEX(_xlpm.data, , 1),
   _xlpm.name_col, INDEX(_xlpm.data, , 2),
   _xlpm.loc_col,  INDEX(_xlpm.data, , 3),
   _xlpm.target_date, DATE(YEAR($C$1), MONTH($C$1), P$7),
   _xlpm.filtered, _xlfn._xlws.FILTER(_xlpm.name_col, (_xlpm.date_col = _xlpm.target_date) * (_xlpm.loc_col =$C33), ""),
   IF(_xlpm.filtered="", "", _xlpm.filtered)
)</f>
        <v/>
      </c>
      <c r="Q33" s="186" t="str" cm="1">
        <f t="array" ref="Q33">_xlfn.LET(
   _xlpm.data, 表格3_5[[Date]:[Location]],
   _xlpm.date_col, INDEX(_xlpm.data, , 1),
   _xlpm.name_col, INDEX(_xlpm.data, , 2),
   _xlpm.loc_col,  INDEX(_xlpm.data, , 3),
   _xlpm.target_date, DATE(YEAR($C$1), MONTH($C$1), Q$7),
   _xlpm.filtered, _xlfn._xlws.FILTER(_xlpm.name_col, (_xlpm.date_col = _xlpm.target_date) * (_xlpm.loc_col =$C33), ""),
   IF(_xlpm.filtered="", "", _xlpm.filtered)
)</f>
        <v/>
      </c>
      <c r="R33" s="186" t="str" cm="1">
        <f t="array" ref="R33">_xlfn.LET(
   _xlpm.data, 表格3_5[[Date]:[Location]],
   _xlpm.date_col, INDEX(_xlpm.data, , 1),
   _xlpm.name_col, INDEX(_xlpm.data, , 2),
   _xlpm.loc_col,  INDEX(_xlpm.data, , 3),
   _xlpm.target_date, DATE(YEAR($C$1), MONTH($C$1), R$7),
   _xlpm.filtered, _xlfn._xlws.FILTER(_xlpm.name_col, (_xlpm.date_col = _xlpm.target_date) * (_xlpm.loc_col =$C33), ""),
   IF(_xlpm.filtered="", "", _xlpm.filtered)
)</f>
        <v/>
      </c>
      <c r="S33" s="186" t="str" cm="1">
        <f t="array" ref="S33">_xlfn.LET(
   _xlpm.data, 表格3_5[[Date]:[Location]],
   _xlpm.date_col, INDEX(_xlpm.data, , 1),
   _xlpm.name_col, INDEX(_xlpm.data, , 2),
   _xlpm.loc_col,  INDEX(_xlpm.data, , 3),
   _xlpm.target_date, DATE(YEAR($C$1), MONTH($C$1), S$7),
   _xlpm.filtered, _xlfn._xlws.FILTER(_xlpm.name_col, (_xlpm.date_col = _xlpm.target_date) * (_xlpm.loc_col =$C33), ""),
   IF(_xlpm.filtered="", "", _xlpm.filtered)
)</f>
        <v/>
      </c>
      <c r="T33" s="186" t="str" cm="1">
        <f t="array" ref="T33">_xlfn.LET(
   _xlpm.data, 表格3_5[[Date]:[Location]],
   _xlpm.date_col, INDEX(_xlpm.data, , 1),
   _xlpm.name_col, INDEX(_xlpm.data, , 2),
   _xlpm.loc_col,  INDEX(_xlpm.data, , 3),
   _xlpm.target_date, DATE(YEAR($C$1), MONTH($C$1), T$7),
   _xlpm.filtered, _xlfn._xlws.FILTER(_xlpm.name_col, (_xlpm.date_col = _xlpm.target_date) * (_xlpm.loc_col =$C33), ""),
   IF(_xlpm.filtered="", "", _xlpm.filtered)
)</f>
        <v/>
      </c>
      <c r="U33" s="186" t="str" cm="1">
        <f t="array" ref="U33">_xlfn.LET(
   _xlpm.data, 表格3_5[[Date]:[Location]],
   _xlpm.date_col, INDEX(_xlpm.data, , 1),
   _xlpm.name_col, INDEX(_xlpm.data, , 2),
   _xlpm.loc_col,  INDEX(_xlpm.data, , 3),
   _xlpm.target_date, DATE(YEAR($C$1), MONTH($C$1), U$7),
   _xlpm.filtered, _xlfn._xlws.FILTER(_xlpm.name_col, (_xlpm.date_col = _xlpm.target_date) * (_xlpm.loc_col =$C33), ""),
   IF(_xlpm.filtered="", "", _xlpm.filtered)
)</f>
        <v/>
      </c>
      <c r="V33" s="186" t="str" cm="1">
        <f t="array" ref="V33">_xlfn.LET(
   _xlpm.data, 表格3_5[[Date]:[Location]],
   _xlpm.date_col, INDEX(_xlpm.data, , 1),
   _xlpm.name_col, INDEX(_xlpm.data, , 2),
   _xlpm.loc_col,  INDEX(_xlpm.data, , 3),
   _xlpm.target_date, DATE(YEAR($C$1), MONTH($C$1), V$7),
   _xlpm.filtered, _xlfn._xlws.FILTER(_xlpm.name_col, (_xlpm.date_col = _xlpm.target_date) * (_xlpm.loc_col =$C33), ""),
   IF(_xlpm.filtered="", "", _xlpm.filtered)
)</f>
        <v/>
      </c>
      <c r="W33" s="186" t="str" cm="1">
        <f t="array" ref="W33">_xlfn.LET(
   _xlpm.data, 表格3_5[[Date]:[Location]],
   _xlpm.date_col, INDEX(_xlpm.data, , 1),
   _xlpm.name_col, INDEX(_xlpm.data, , 2),
   _xlpm.loc_col,  INDEX(_xlpm.data, , 3),
   _xlpm.target_date, DATE(YEAR($C$1), MONTH($C$1), W$7),
   _xlpm.filtered, _xlfn._xlws.FILTER(_xlpm.name_col, (_xlpm.date_col = _xlpm.target_date) * (_xlpm.loc_col =$C33), ""),
   IF(_xlpm.filtered="", "", _xlpm.filtered)
)</f>
        <v/>
      </c>
      <c r="X33" s="186" t="str" cm="1">
        <f t="array" ref="X33">_xlfn.LET(
   _xlpm.data, 表格3_5[[Date]:[Location]],
   _xlpm.date_col, INDEX(_xlpm.data, , 1),
   _xlpm.name_col, INDEX(_xlpm.data, , 2),
   _xlpm.loc_col,  INDEX(_xlpm.data, , 3),
   _xlpm.target_date, DATE(YEAR($C$1), MONTH($C$1), X$7),
   _xlpm.filtered, _xlfn._xlws.FILTER(_xlpm.name_col, (_xlpm.date_col = _xlpm.target_date) * (_xlpm.loc_col =$C33), ""),
   IF(_xlpm.filtered="", "", _xlpm.filtered)
)</f>
        <v/>
      </c>
      <c r="Y33" s="186" t="str" cm="1">
        <f t="array" ref="Y33">_xlfn.LET(
   _xlpm.data, 表格3_5[[Date]:[Location]],
   _xlpm.date_col, INDEX(_xlpm.data, , 1),
   _xlpm.name_col, INDEX(_xlpm.data, , 2),
   _xlpm.loc_col,  INDEX(_xlpm.data, , 3),
   _xlpm.target_date, DATE(YEAR($C$1), MONTH($C$1), Y$7),
   _xlpm.filtered, _xlfn._xlws.FILTER(_xlpm.name_col, (_xlpm.date_col = _xlpm.target_date) * (_xlpm.loc_col =$C33), ""),
   IF(_xlpm.filtered="", "", _xlpm.filtered)
)</f>
        <v/>
      </c>
      <c r="Z33" s="186" t="str" cm="1">
        <f t="array" ref="Z33">_xlfn.LET(
   _xlpm.data, 表格3_5[[Date]:[Location]],
   _xlpm.date_col, INDEX(_xlpm.data, , 1),
   _xlpm.name_col, INDEX(_xlpm.data, , 2),
   _xlpm.loc_col,  INDEX(_xlpm.data, , 3),
   _xlpm.target_date, DATE(YEAR($C$1), MONTH($C$1), Z$7),
   _xlpm.filtered, _xlfn._xlws.FILTER(_xlpm.name_col, (_xlpm.date_col = _xlpm.target_date) * (_xlpm.loc_col =$C33), ""),
   IF(_xlpm.filtered="", "", _xlpm.filtered)
)</f>
        <v/>
      </c>
      <c r="AA33" s="186" t="str" cm="1">
        <f t="array" ref="AA33">_xlfn.LET(
   _xlpm.data, 表格3_5[[Date]:[Location]],
   _xlpm.date_col, INDEX(_xlpm.data, , 1),
   _xlpm.name_col, INDEX(_xlpm.data, , 2),
   _xlpm.loc_col,  INDEX(_xlpm.data, , 3),
   _xlpm.target_date, DATE(YEAR($C$1), MONTH($C$1), AA$7),
   _xlpm.filtered, _xlfn._xlws.FILTER(_xlpm.name_col, (_xlpm.date_col = _xlpm.target_date) * (_xlpm.loc_col =$C33), ""),
   IF(_xlpm.filtered="", "", _xlpm.filtered)
)</f>
        <v/>
      </c>
      <c r="AB33" s="186" t="str" cm="1">
        <f t="array" ref="AB33">_xlfn.LET(
   _xlpm.data, 表格3_5[[Date]:[Location]],
   _xlpm.date_col, INDEX(_xlpm.data, , 1),
   _xlpm.name_col, INDEX(_xlpm.data, , 2),
   _xlpm.loc_col,  INDEX(_xlpm.data, , 3),
   _xlpm.target_date, DATE(YEAR($C$1), MONTH($C$1), AB$7),
   _xlpm.filtered, _xlfn._xlws.FILTER(_xlpm.name_col, (_xlpm.date_col = _xlpm.target_date) * (_xlpm.loc_col =$C33), ""),
   IF(_xlpm.filtered="", "", _xlpm.filtered)
)</f>
        <v/>
      </c>
      <c r="AC33" s="186" t="str" cm="1">
        <f t="array" ref="AC33">_xlfn.LET(
   _xlpm.data, 表格3_5[[Date]:[Location]],
   _xlpm.date_col, INDEX(_xlpm.data, , 1),
   _xlpm.name_col, INDEX(_xlpm.data, , 2),
   _xlpm.loc_col,  INDEX(_xlpm.data, , 3),
   _xlpm.target_date, DATE(YEAR($C$1), MONTH($C$1), AC$7),
   _xlpm.filtered, _xlfn._xlws.FILTER(_xlpm.name_col, (_xlpm.date_col = _xlpm.target_date) * (_xlpm.loc_col =$C33), ""),
   IF(_xlpm.filtered="", "", _xlpm.filtered)
)</f>
        <v/>
      </c>
      <c r="AD33" s="186" t="str" cm="1">
        <f t="array" ref="AD33">_xlfn.LET(
   _xlpm.data, 表格3_5[[Date]:[Location]],
   _xlpm.date_col, INDEX(_xlpm.data, , 1),
   _xlpm.name_col, INDEX(_xlpm.data, , 2),
   _xlpm.loc_col,  INDEX(_xlpm.data, , 3),
   _xlpm.target_date, DATE(YEAR($C$1), MONTH($C$1), AD$7),
   _xlpm.filtered, _xlfn._xlws.FILTER(_xlpm.name_col, (_xlpm.date_col = _xlpm.target_date) * (_xlpm.loc_col =$C33), ""),
   IF(_xlpm.filtered="", "", _xlpm.filtered)
)</f>
        <v/>
      </c>
      <c r="AE33" s="186" t="str" cm="1">
        <f t="array" ref="AE33">_xlfn.LET(
   _xlpm.data, 表格3_5[[Date]:[Location]],
   _xlpm.date_col, INDEX(_xlpm.data, , 1),
   _xlpm.name_col, INDEX(_xlpm.data, , 2),
   _xlpm.loc_col,  INDEX(_xlpm.data, , 3),
   _xlpm.target_date, DATE(YEAR($C$1), MONTH($C$1), AE$7),
   _xlpm.filtered, _xlfn._xlws.FILTER(_xlpm.name_col, (_xlpm.date_col = _xlpm.target_date) * (_xlpm.loc_col =$C33), ""),
   IF(_xlpm.filtered="", "", _xlpm.filtered)
)</f>
        <v/>
      </c>
      <c r="AF33" s="186" t="str" cm="1">
        <f t="array" ref="AF33">_xlfn.LET(
   _xlpm.data, 表格3_5[[Date]:[Location]],
   _xlpm.date_col, INDEX(_xlpm.data, , 1),
   _xlpm.name_col, INDEX(_xlpm.data, , 2),
   _xlpm.loc_col,  INDEX(_xlpm.data, , 3),
   _xlpm.target_date, DATE(YEAR($C$1), MONTH($C$1), AF$7),
   _xlpm.filtered, _xlfn._xlws.FILTER(_xlpm.name_col, (_xlpm.date_col = _xlpm.target_date) * (_xlpm.loc_col =$C33), ""),
   IF(_xlpm.filtered="", "", _xlpm.filtered)
)</f>
        <v/>
      </c>
      <c r="AG33" s="186" t="str" cm="1">
        <f t="array" ref="AG33">_xlfn.LET(
   _xlpm.data, 表格3_5[[Date]:[Location]],
   _xlpm.date_col, INDEX(_xlpm.data, , 1),
   _xlpm.name_col, INDEX(_xlpm.data, , 2),
   _xlpm.loc_col,  INDEX(_xlpm.data, , 3),
   _xlpm.target_date, DATE(YEAR($C$1), MONTH($C$1), AG$7),
   _xlpm.filtered, _xlfn._xlws.FILTER(_xlpm.name_col, (_xlpm.date_col = _xlpm.target_date) * (_xlpm.loc_col =$C33), ""),
   IF(_xlpm.filtered="", "", _xlpm.filtered)
)</f>
        <v/>
      </c>
      <c r="AH33" s="186" t="str" cm="1">
        <f t="array" ref="AH33">_xlfn.LET(
   _xlpm.data, 表格3_5[[Date]:[Location]],
   _xlpm.date_col, INDEX(_xlpm.data, , 1),
   _xlpm.name_col, INDEX(_xlpm.data, , 2),
   _xlpm.loc_col,  INDEX(_xlpm.data, , 3),
   _xlpm.target_date, DATE(YEAR($C$1), MONTH($C$1), AH$7),
   _xlpm.filtered, _xlfn._xlws.FILTER(_xlpm.name_col, (_xlpm.date_col = _xlpm.target_date) * (_xlpm.loc_col =$C33), ""),
   IF(_xlpm.filtered="", "", _xlpm.filtered)
)</f>
        <v/>
      </c>
    </row>
    <row r="34" spans="2:34">
      <c r="B34" t="e" cm="1" vm="1">
        <f t="array" ref="B34">_xlfn.LET(
    _xlpm.data, D34:AH34,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D34" s="186" t="str" cm="1">
        <f t="array" ref="D34">_xlfn.LET(
   _xlpm.data, 表格3_5[[Date]:[Location]],
   _xlpm.date_col, INDEX(_xlpm.data, , 1),
   _xlpm.name_col, INDEX(_xlpm.data, , 2),
   _xlpm.loc_col,  INDEX(_xlpm.data, , 3),
   _xlpm.target_date, DATE(YEAR($C$1), MONTH($C$1), D$7),
   _xlpm.filtered, _xlfn._xlws.FILTER(_xlpm.name_col, (_xlpm.date_col = _xlpm.target_date) * (_xlpm.loc_col =$C34), ""),
   IF(_xlpm.filtered="", "", _xlpm.filtered)
)</f>
        <v/>
      </c>
      <c r="E34" s="186" t="str" cm="1">
        <f t="array" ref="E34">_xlfn.LET(
   _xlpm.data, 表格3_5[[Date]:[Location]],
   _xlpm.date_col, INDEX(_xlpm.data, , 1),
   _xlpm.name_col, INDEX(_xlpm.data, , 2),
   _xlpm.loc_col,  INDEX(_xlpm.data, , 3),
   _xlpm.target_date, DATE(YEAR($C$1), MONTH($C$1), E$7),
   _xlpm.filtered, _xlfn._xlws.FILTER(_xlpm.name_col, (_xlpm.date_col = _xlpm.target_date) * (_xlpm.loc_col =$C34), ""),
   IF(_xlpm.filtered="", "", _xlpm.filtered)
)</f>
        <v/>
      </c>
      <c r="F34" s="186" t="str" cm="1">
        <f t="array" ref="F34">_xlfn.LET(
   _xlpm.data, 表格3_5[[Date]:[Location]],
   _xlpm.date_col, INDEX(_xlpm.data, , 1),
   _xlpm.name_col, INDEX(_xlpm.data, , 2),
   _xlpm.loc_col,  INDEX(_xlpm.data, , 3),
   _xlpm.target_date, DATE(YEAR($C$1), MONTH($C$1), F$7),
   _xlpm.filtered, _xlfn._xlws.FILTER(_xlpm.name_col, (_xlpm.date_col = _xlpm.target_date) * (_xlpm.loc_col =$C34), ""),
   IF(_xlpm.filtered="", "", _xlpm.filtered)
)</f>
        <v/>
      </c>
      <c r="G34" s="186" t="str" cm="1">
        <f t="array" ref="G34">_xlfn.LET(
   _xlpm.data, 表格3_5[[Date]:[Location]],
   _xlpm.date_col, INDEX(_xlpm.data, , 1),
   _xlpm.name_col, INDEX(_xlpm.data, , 2),
   _xlpm.loc_col,  INDEX(_xlpm.data, , 3),
   _xlpm.target_date, DATE(YEAR($C$1), MONTH($C$1), G$7),
   _xlpm.filtered, _xlfn._xlws.FILTER(_xlpm.name_col, (_xlpm.date_col = _xlpm.target_date) * (_xlpm.loc_col =$C34), ""),
   IF(_xlpm.filtered="", "", _xlpm.filtered)
)</f>
        <v/>
      </c>
      <c r="H34" s="186" t="str" cm="1">
        <f t="array" ref="H34">_xlfn.LET(
   _xlpm.data, 表格3_5[[Date]:[Location]],
   _xlpm.date_col, INDEX(_xlpm.data, , 1),
   _xlpm.name_col, INDEX(_xlpm.data, , 2),
   _xlpm.loc_col,  INDEX(_xlpm.data, , 3),
   _xlpm.target_date, DATE(YEAR($C$1), MONTH($C$1), H$7),
   _xlpm.filtered, _xlfn._xlws.FILTER(_xlpm.name_col, (_xlpm.date_col = _xlpm.target_date) * (_xlpm.loc_col =$C34), ""),
   IF(_xlpm.filtered="", "", _xlpm.filtered)
)</f>
        <v/>
      </c>
      <c r="I34" s="186" t="str" cm="1">
        <f t="array" ref="I34">_xlfn.LET(
   _xlpm.data, 表格3_5[[Date]:[Location]],
   _xlpm.date_col, INDEX(_xlpm.data, , 1),
   _xlpm.name_col, INDEX(_xlpm.data, , 2),
   _xlpm.loc_col,  INDEX(_xlpm.data, , 3),
   _xlpm.target_date, DATE(YEAR($C$1), MONTH($C$1), I$7),
   _xlpm.filtered, _xlfn._xlws.FILTER(_xlpm.name_col, (_xlpm.date_col = _xlpm.target_date) * (_xlpm.loc_col =$C34), ""),
   IF(_xlpm.filtered="", "", _xlpm.filtered)
)</f>
        <v/>
      </c>
      <c r="J34" s="186" t="str" cm="1">
        <f t="array" ref="J34">_xlfn.LET(
   _xlpm.data, 表格3_5[[Date]:[Location]],
   _xlpm.date_col, INDEX(_xlpm.data, , 1),
   _xlpm.name_col, INDEX(_xlpm.data, , 2),
   _xlpm.loc_col,  INDEX(_xlpm.data, , 3),
   _xlpm.target_date, DATE(YEAR($C$1), MONTH($C$1), J$7),
   _xlpm.filtered, _xlfn._xlws.FILTER(_xlpm.name_col, (_xlpm.date_col = _xlpm.target_date) * (_xlpm.loc_col =$C34), ""),
   IF(_xlpm.filtered="", "", _xlpm.filtered)
)</f>
        <v/>
      </c>
      <c r="K34" s="186" t="str" cm="1">
        <f t="array" ref="K34">_xlfn.LET(
   _xlpm.data, 表格3_5[[Date]:[Location]],
   _xlpm.date_col, INDEX(_xlpm.data, , 1),
   _xlpm.name_col, INDEX(_xlpm.data, , 2),
   _xlpm.loc_col,  INDEX(_xlpm.data, , 3),
   _xlpm.target_date, DATE(YEAR($C$1), MONTH($C$1), K$7),
   _xlpm.filtered, _xlfn._xlws.FILTER(_xlpm.name_col, (_xlpm.date_col = _xlpm.target_date) * (_xlpm.loc_col =$C34), ""),
   IF(_xlpm.filtered="", "", _xlpm.filtered)
)</f>
        <v/>
      </c>
      <c r="L34" s="186" t="str" cm="1">
        <f t="array" ref="L34">_xlfn.LET(
   _xlpm.data, 表格3_5[[Date]:[Location]],
   _xlpm.date_col, INDEX(_xlpm.data, , 1),
   _xlpm.name_col, INDEX(_xlpm.data, , 2),
   _xlpm.loc_col,  INDEX(_xlpm.data, , 3),
   _xlpm.target_date, DATE(YEAR($C$1), MONTH($C$1), L$7),
   _xlpm.filtered, _xlfn._xlws.FILTER(_xlpm.name_col, (_xlpm.date_col = _xlpm.target_date) * (_xlpm.loc_col =$C34), ""),
   IF(_xlpm.filtered="", "", _xlpm.filtered)
)</f>
        <v/>
      </c>
      <c r="M34" s="186" t="str" cm="1">
        <f t="array" ref="M34">_xlfn.LET(
   _xlpm.data, 表格3_5[[Date]:[Location]],
   _xlpm.date_col, INDEX(_xlpm.data, , 1),
   _xlpm.name_col, INDEX(_xlpm.data, , 2),
   _xlpm.loc_col,  INDEX(_xlpm.data, , 3),
   _xlpm.target_date, DATE(YEAR($C$1), MONTH($C$1), M$7),
   _xlpm.filtered, _xlfn._xlws.FILTER(_xlpm.name_col, (_xlpm.date_col = _xlpm.target_date) * (_xlpm.loc_col =$C34), ""),
   IF(_xlpm.filtered="", "", _xlpm.filtered)
)</f>
        <v/>
      </c>
      <c r="N34" s="186" t="str" cm="1">
        <f t="array" ref="N34">_xlfn.LET(
   _xlpm.data, 表格3_5[[Date]:[Location]],
   _xlpm.date_col, INDEX(_xlpm.data, , 1),
   _xlpm.name_col, INDEX(_xlpm.data, , 2),
   _xlpm.loc_col,  INDEX(_xlpm.data, , 3),
   _xlpm.target_date, DATE(YEAR($C$1), MONTH($C$1), N$7),
   _xlpm.filtered, _xlfn._xlws.FILTER(_xlpm.name_col, (_xlpm.date_col = _xlpm.target_date) * (_xlpm.loc_col =$C34), ""),
   IF(_xlpm.filtered="", "", _xlpm.filtered)
)</f>
        <v/>
      </c>
      <c r="O34" s="186" t="str" cm="1">
        <f t="array" ref="O34">_xlfn.LET(
   _xlpm.data, 表格3_5[[Date]:[Location]],
   _xlpm.date_col, INDEX(_xlpm.data, , 1),
   _xlpm.name_col, INDEX(_xlpm.data, , 2),
   _xlpm.loc_col,  INDEX(_xlpm.data, , 3),
   _xlpm.target_date, DATE(YEAR($C$1), MONTH($C$1), O$7),
   _xlpm.filtered, _xlfn._xlws.FILTER(_xlpm.name_col, (_xlpm.date_col = _xlpm.target_date) * (_xlpm.loc_col =$C34), ""),
   IF(_xlpm.filtered="", "", _xlpm.filtered)
)</f>
        <v/>
      </c>
      <c r="P34" s="186" t="str" cm="1">
        <f t="array" ref="P34">_xlfn.LET(
   _xlpm.data, 表格3_5[[Date]:[Location]],
   _xlpm.date_col, INDEX(_xlpm.data, , 1),
   _xlpm.name_col, INDEX(_xlpm.data, , 2),
   _xlpm.loc_col,  INDEX(_xlpm.data, , 3),
   _xlpm.target_date, DATE(YEAR($C$1), MONTH($C$1), P$7),
   _xlpm.filtered, _xlfn._xlws.FILTER(_xlpm.name_col, (_xlpm.date_col = _xlpm.target_date) * (_xlpm.loc_col =$C34), ""),
   IF(_xlpm.filtered="", "", _xlpm.filtered)
)</f>
        <v/>
      </c>
      <c r="Q34" s="186" t="str" cm="1">
        <f t="array" ref="Q34">_xlfn.LET(
   _xlpm.data, 表格3_5[[Date]:[Location]],
   _xlpm.date_col, INDEX(_xlpm.data, , 1),
   _xlpm.name_col, INDEX(_xlpm.data, , 2),
   _xlpm.loc_col,  INDEX(_xlpm.data, , 3),
   _xlpm.target_date, DATE(YEAR($C$1), MONTH($C$1), Q$7),
   _xlpm.filtered, _xlfn._xlws.FILTER(_xlpm.name_col, (_xlpm.date_col = _xlpm.target_date) * (_xlpm.loc_col =$C34), ""),
   IF(_xlpm.filtered="", "", _xlpm.filtered)
)</f>
        <v/>
      </c>
      <c r="R34" s="186" t="str" cm="1">
        <f t="array" ref="R34">_xlfn.LET(
   _xlpm.data, 表格3_5[[Date]:[Location]],
   _xlpm.date_col, INDEX(_xlpm.data, , 1),
   _xlpm.name_col, INDEX(_xlpm.data, , 2),
   _xlpm.loc_col,  INDEX(_xlpm.data, , 3),
   _xlpm.target_date, DATE(YEAR($C$1), MONTH($C$1), R$7),
   _xlpm.filtered, _xlfn._xlws.FILTER(_xlpm.name_col, (_xlpm.date_col = _xlpm.target_date) * (_xlpm.loc_col =$C34), ""),
   IF(_xlpm.filtered="", "", _xlpm.filtered)
)</f>
        <v/>
      </c>
      <c r="S34" s="186" t="str" cm="1">
        <f t="array" ref="S34">_xlfn.LET(
   _xlpm.data, 表格3_5[[Date]:[Location]],
   _xlpm.date_col, INDEX(_xlpm.data, , 1),
   _xlpm.name_col, INDEX(_xlpm.data, , 2),
   _xlpm.loc_col,  INDEX(_xlpm.data, , 3),
   _xlpm.target_date, DATE(YEAR($C$1), MONTH($C$1), S$7),
   _xlpm.filtered, _xlfn._xlws.FILTER(_xlpm.name_col, (_xlpm.date_col = _xlpm.target_date) * (_xlpm.loc_col =$C34), ""),
   IF(_xlpm.filtered="", "", _xlpm.filtered)
)</f>
        <v/>
      </c>
      <c r="T34" s="186" t="str" cm="1">
        <f t="array" ref="T34">_xlfn.LET(
   _xlpm.data, 表格3_5[[Date]:[Location]],
   _xlpm.date_col, INDEX(_xlpm.data, , 1),
   _xlpm.name_col, INDEX(_xlpm.data, , 2),
   _xlpm.loc_col,  INDEX(_xlpm.data, , 3),
   _xlpm.target_date, DATE(YEAR($C$1), MONTH($C$1), T$7),
   _xlpm.filtered, _xlfn._xlws.FILTER(_xlpm.name_col, (_xlpm.date_col = _xlpm.target_date) * (_xlpm.loc_col =$C34), ""),
   IF(_xlpm.filtered="", "", _xlpm.filtered)
)</f>
        <v/>
      </c>
      <c r="U34" s="186" t="str" cm="1">
        <f t="array" ref="U34">_xlfn.LET(
   _xlpm.data, 表格3_5[[Date]:[Location]],
   _xlpm.date_col, INDEX(_xlpm.data, , 1),
   _xlpm.name_col, INDEX(_xlpm.data, , 2),
   _xlpm.loc_col,  INDEX(_xlpm.data, , 3),
   _xlpm.target_date, DATE(YEAR($C$1), MONTH($C$1), U$7),
   _xlpm.filtered, _xlfn._xlws.FILTER(_xlpm.name_col, (_xlpm.date_col = _xlpm.target_date) * (_xlpm.loc_col =$C34), ""),
   IF(_xlpm.filtered="", "", _xlpm.filtered)
)</f>
        <v/>
      </c>
      <c r="V34" s="186" t="str" cm="1">
        <f t="array" ref="V34">_xlfn.LET(
   _xlpm.data, 表格3_5[[Date]:[Location]],
   _xlpm.date_col, INDEX(_xlpm.data, , 1),
   _xlpm.name_col, INDEX(_xlpm.data, , 2),
   _xlpm.loc_col,  INDEX(_xlpm.data, , 3),
   _xlpm.target_date, DATE(YEAR($C$1), MONTH($C$1), V$7),
   _xlpm.filtered, _xlfn._xlws.FILTER(_xlpm.name_col, (_xlpm.date_col = _xlpm.target_date) * (_xlpm.loc_col =$C34), ""),
   IF(_xlpm.filtered="", "", _xlpm.filtered)
)</f>
        <v/>
      </c>
      <c r="W34" s="186" t="str" cm="1">
        <f t="array" ref="W34">_xlfn.LET(
   _xlpm.data, 表格3_5[[Date]:[Location]],
   _xlpm.date_col, INDEX(_xlpm.data, , 1),
   _xlpm.name_col, INDEX(_xlpm.data, , 2),
   _xlpm.loc_col,  INDEX(_xlpm.data, , 3),
   _xlpm.target_date, DATE(YEAR($C$1), MONTH($C$1), W$7),
   _xlpm.filtered, _xlfn._xlws.FILTER(_xlpm.name_col, (_xlpm.date_col = _xlpm.target_date) * (_xlpm.loc_col =$C34), ""),
   IF(_xlpm.filtered="", "", _xlpm.filtered)
)</f>
        <v/>
      </c>
      <c r="X34" s="186" t="str" cm="1">
        <f t="array" ref="X34">_xlfn.LET(
   _xlpm.data, 表格3_5[[Date]:[Location]],
   _xlpm.date_col, INDEX(_xlpm.data, , 1),
   _xlpm.name_col, INDEX(_xlpm.data, , 2),
   _xlpm.loc_col,  INDEX(_xlpm.data, , 3),
   _xlpm.target_date, DATE(YEAR($C$1), MONTH($C$1), X$7),
   _xlpm.filtered, _xlfn._xlws.FILTER(_xlpm.name_col, (_xlpm.date_col = _xlpm.target_date) * (_xlpm.loc_col =$C34), ""),
   IF(_xlpm.filtered="", "", _xlpm.filtered)
)</f>
        <v/>
      </c>
      <c r="Y34" s="186" t="str" cm="1">
        <f t="array" ref="Y34">_xlfn.LET(
   _xlpm.data, 表格3_5[[Date]:[Location]],
   _xlpm.date_col, INDEX(_xlpm.data, , 1),
   _xlpm.name_col, INDEX(_xlpm.data, , 2),
   _xlpm.loc_col,  INDEX(_xlpm.data, , 3),
   _xlpm.target_date, DATE(YEAR($C$1), MONTH($C$1), Y$7),
   _xlpm.filtered, _xlfn._xlws.FILTER(_xlpm.name_col, (_xlpm.date_col = _xlpm.target_date) * (_xlpm.loc_col =$C34), ""),
   IF(_xlpm.filtered="", "", _xlpm.filtered)
)</f>
        <v/>
      </c>
      <c r="Z34" s="186" t="str" cm="1">
        <f t="array" ref="Z34">_xlfn.LET(
   _xlpm.data, 表格3_5[[Date]:[Location]],
   _xlpm.date_col, INDEX(_xlpm.data, , 1),
   _xlpm.name_col, INDEX(_xlpm.data, , 2),
   _xlpm.loc_col,  INDEX(_xlpm.data, , 3),
   _xlpm.target_date, DATE(YEAR($C$1), MONTH($C$1), Z$7),
   _xlpm.filtered, _xlfn._xlws.FILTER(_xlpm.name_col, (_xlpm.date_col = _xlpm.target_date) * (_xlpm.loc_col =$C34), ""),
   IF(_xlpm.filtered="", "", _xlpm.filtered)
)</f>
        <v/>
      </c>
      <c r="AA34" s="186" t="str" cm="1">
        <f t="array" ref="AA34">_xlfn.LET(
   _xlpm.data, 表格3_5[[Date]:[Location]],
   _xlpm.date_col, INDEX(_xlpm.data, , 1),
   _xlpm.name_col, INDEX(_xlpm.data, , 2),
   _xlpm.loc_col,  INDEX(_xlpm.data, , 3),
   _xlpm.target_date, DATE(YEAR($C$1), MONTH($C$1), AA$7),
   _xlpm.filtered, _xlfn._xlws.FILTER(_xlpm.name_col, (_xlpm.date_col = _xlpm.target_date) * (_xlpm.loc_col =$C34), ""),
   IF(_xlpm.filtered="", "", _xlpm.filtered)
)</f>
        <v/>
      </c>
      <c r="AB34" s="186" t="str" cm="1">
        <f t="array" ref="AB34">_xlfn.LET(
   _xlpm.data, 表格3_5[[Date]:[Location]],
   _xlpm.date_col, INDEX(_xlpm.data, , 1),
   _xlpm.name_col, INDEX(_xlpm.data, , 2),
   _xlpm.loc_col,  INDEX(_xlpm.data, , 3),
   _xlpm.target_date, DATE(YEAR($C$1), MONTH($C$1), AB$7),
   _xlpm.filtered, _xlfn._xlws.FILTER(_xlpm.name_col, (_xlpm.date_col = _xlpm.target_date) * (_xlpm.loc_col =$C34), ""),
   IF(_xlpm.filtered="", "", _xlpm.filtered)
)</f>
        <v/>
      </c>
      <c r="AC34" s="186" t="str" cm="1">
        <f t="array" ref="AC34">_xlfn.LET(
   _xlpm.data, 表格3_5[[Date]:[Location]],
   _xlpm.date_col, INDEX(_xlpm.data, , 1),
   _xlpm.name_col, INDEX(_xlpm.data, , 2),
   _xlpm.loc_col,  INDEX(_xlpm.data, , 3),
   _xlpm.target_date, DATE(YEAR($C$1), MONTH($C$1), AC$7),
   _xlpm.filtered, _xlfn._xlws.FILTER(_xlpm.name_col, (_xlpm.date_col = _xlpm.target_date) * (_xlpm.loc_col =$C34), ""),
   IF(_xlpm.filtered="", "", _xlpm.filtered)
)</f>
        <v/>
      </c>
      <c r="AD34" s="186" t="str" cm="1">
        <f t="array" ref="AD34">_xlfn.LET(
   _xlpm.data, 表格3_5[[Date]:[Location]],
   _xlpm.date_col, INDEX(_xlpm.data, , 1),
   _xlpm.name_col, INDEX(_xlpm.data, , 2),
   _xlpm.loc_col,  INDEX(_xlpm.data, , 3),
   _xlpm.target_date, DATE(YEAR($C$1), MONTH($C$1), AD$7),
   _xlpm.filtered, _xlfn._xlws.FILTER(_xlpm.name_col, (_xlpm.date_col = _xlpm.target_date) * (_xlpm.loc_col =$C34), ""),
   IF(_xlpm.filtered="", "", _xlpm.filtered)
)</f>
        <v/>
      </c>
      <c r="AE34" s="186" t="str" cm="1">
        <f t="array" ref="AE34">_xlfn.LET(
   _xlpm.data, 表格3_5[[Date]:[Location]],
   _xlpm.date_col, INDEX(_xlpm.data, , 1),
   _xlpm.name_col, INDEX(_xlpm.data, , 2),
   _xlpm.loc_col,  INDEX(_xlpm.data, , 3),
   _xlpm.target_date, DATE(YEAR($C$1), MONTH($C$1), AE$7),
   _xlpm.filtered, _xlfn._xlws.FILTER(_xlpm.name_col, (_xlpm.date_col = _xlpm.target_date) * (_xlpm.loc_col =$C34), ""),
   IF(_xlpm.filtered="", "", _xlpm.filtered)
)</f>
        <v/>
      </c>
      <c r="AF34" s="186" t="str" cm="1">
        <f t="array" ref="AF34">_xlfn.LET(
   _xlpm.data, 表格3_5[[Date]:[Location]],
   _xlpm.date_col, INDEX(_xlpm.data, , 1),
   _xlpm.name_col, INDEX(_xlpm.data, , 2),
   _xlpm.loc_col,  INDEX(_xlpm.data, , 3),
   _xlpm.target_date, DATE(YEAR($C$1), MONTH($C$1), AF$7),
   _xlpm.filtered, _xlfn._xlws.FILTER(_xlpm.name_col, (_xlpm.date_col = _xlpm.target_date) * (_xlpm.loc_col =$C34), ""),
   IF(_xlpm.filtered="", "", _xlpm.filtered)
)</f>
        <v/>
      </c>
      <c r="AG34" s="186" t="str" cm="1">
        <f t="array" ref="AG34">_xlfn.LET(
   _xlpm.data, 表格3_5[[Date]:[Location]],
   _xlpm.date_col, INDEX(_xlpm.data, , 1),
   _xlpm.name_col, INDEX(_xlpm.data, , 2),
   _xlpm.loc_col,  INDEX(_xlpm.data, , 3),
   _xlpm.target_date, DATE(YEAR($C$1), MONTH($C$1), AG$7),
   _xlpm.filtered, _xlfn._xlws.FILTER(_xlpm.name_col, (_xlpm.date_col = _xlpm.target_date) * (_xlpm.loc_col =$C34), ""),
   IF(_xlpm.filtered="", "", _xlpm.filtered)
)</f>
        <v/>
      </c>
      <c r="AH34" s="186" t="str" cm="1">
        <f t="array" ref="AH34">_xlfn.LET(
   _xlpm.data, 表格3_5[[Date]:[Location]],
   _xlpm.date_col, INDEX(_xlpm.data, , 1),
   _xlpm.name_col, INDEX(_xlpm.data, , 2),
   _xlpm.loc_col,  INDEX(_xlpm.data, , 3),
   _xlpm.target_date, DATE(YEAR($C$1), MONTH($C$1), AH$7),
   _xlpm.filtered, _xlfn._xlws.FILTER(_xlpm.name_col, (_xlpm.date_col = _xlpm.target_date) * (_xlpm.loc_col =$C34), ""),
   IF(_xlpm.filtered="", "", _xlpm.filtered)
)</f>
        <v/>
      </c>
    </row>
    <row r="35" spans="2:34">
      <c r="B35" t="e" cm="1" vm="1">
        <f t="array" ref="B35">_xlfn.LET(
    _xlpm.data, D35:AH35,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D35" s="186" t="str" cm="1">
        <f t="array" ref="D35">_xlfn.LET(
   _xlpm.data, 表格3_5[[Date]:[Location]],
   _xlpm.date_col, INDEX(_xlpm.data, , 1),
   _xlpm.name_col, INDEX(_xlpm.data, , 2),
   _xlpm.loc_col,  INDEX(_xlpm.data, , 3),
   _xlpm.target_date, DATE(YEAR($C$1), MONTH($C$1), D$7),
   _xlpm.filtered, _xlfn._xlws.FILTER(_xlpm.name_col, (_xlpm.date_col = _xlpm.target_date) * (_xlpm.loc_col =$C35), ""),
   IF(_xlpm.filtered="", "", _xlpm.filtered)
)</f>
        <v/>
      </c>
      <c r="E35" s="186" t="str" cm="1">
        <f t="array" ref="E35">_xlfn.LET(
   _xlpm.data, 表格3_5[[Date]:[Location]],
   _xlpm.date_col, INDEX(_xlpm.data, , 1),
   _xlpm.name_col, INDEX(_xlpm.data, , 2),
   _xlpm.loc_col,  INDEX(_xlpm.data, , 3),
   _xlpm.target_date, DATE(YEAR($C$1), MONTH($C$1), E$7),
   _xlpm.filtered, _xlfn._xlws.FILTER(_xlpm.name_col, (_xlpm.date_col = _xlpm.target_date) * (_xlpm.loc_col =$C35), ""),
   IF(_xlpm.filtered="", "", _xlpm.filtered)
)</f>
        <v/>
      </c>
      <c r="F35" s="186" t="str" cm="1">
        <f t="array" ref="F35">_xlfn.LET(
   _xlpm.data, 表格3_5[[Date]:[Location]],
   _xlpm.date_col, INDEX(_xlpm.data, , 1),
   _xlpm.name_col, INDEX(_xlpm.data, , 2),
   _xlpm.loc_col,  INDEX(_xlpm.data, , 3),
   _xlpm.target_date, DATE(YEAR($C$1), MONTH($C$1), F$7),
   _xlpm.filtered, _xlfn._xlws.FILTER(_xlpm.name_col, (_xlpm.date_col = _xlpm.target_date) * (_xlpm.loc_col =$C35), ""),
   IF(_xlpm.filtered="", "", _xlpm.filtered)
)</f>
        <v/>
      </c>
      <c r="G35" s="186" t="str" cm="1">
        <f t="array" ref="G35">_xlfn.LET(
   _xlpm.data, 表格3_5[[Date]:[Location]],
   _xlpm.date_col, INDEX(_xlpm.data, , 1),
   _xlpm.name_col, INDEX(_xlpm.data, , 2),
   _xlpm.loc_col,  INDEX(_xlpm.data, , 3),
   _xlpm.target_date, DATE(YEAR($C$1), MONTH($C$1), G$7),
   _xlpm.filtered, _xlfn._xlws.FILTER(_xlpm.name_col, (_xlpm.date_col = _xlpm.target_date) * (_xlpm.loc_col =$C35), ""),
   IF(_xlpm.filtered="", "", _xlpm.filtered)
)</f>
        <v/>
      </c>
      <c r="H35" s="186" t="str" cm="1">
        <f t="array" ref="H35">_xlfn.LET(
   _xlpm.data, 表格3_5[[Date]:[Location]],
   _xlpm.date_col, INDEX(_xlpm.data, , 1),
   _xlpm.name_col, INDEX(_xlpm.data, , 2),
   _xlpm.loc_col,  INDEX(_xlpm.data, , 3),
   _xlpm.target_date, DATE(YEAR($C$1), MONTH($C$1), H$7),
   _xlpm.filtered, _xlfn._xlws.FILTER(_xlpm.name_col, (_xlpm.date_col = _xlpm.target_date) * (_xlpm.loc_col =$C35), ""),
   IF(_xlpm.filtered="", "", _xlpm.filtered)
)</f>
        <v/>
      </c>
      <c r="I35" s="186" t="str" cm="1">
        <f t="array" ref="I35">_xlfn.LET(
   _xlpm.data, 表格3_5[[Date]:[Location]],
   _xlpm.date_col, INDEX(_xlpm.data, , 1),
   _xlpm.name_col, INDEX(_xlpm.data, , 2),
   _xlpm.loc_col,  INDEX(_xlpm.data, , 3),
   _xlpm.target_date, DATE(YEAR($C$1), MONTH($C$1), I$7),
   _xlpm.filtered, _xlfn._xlws.FILTER(_xlpm.name_col, (_xlpm.date_col = _xlpm.target_date) * (_xlpm.loc_col =$C35), ""),
   IF(_xlpm.filtered="", "", _xlpm.filtered)
)</f>
        <v/>
      </c>
      <c r="J35" s="186" t="str" cm="1">
        <f t="array" ref="J35">_xlfn.LET(
   _xlpm.data, 表格3_5[[Date]:[Location]],
   _xlpm.date_col, INDEX(_xlpm.data, , 1),
   _xlpm.name_col, INDEX(_xlpm.data, , 2),
   _xlpm.loc_col,  INDEX(_xlpm.data, , 3),
   _xlpm.target_date, DATE(YEAR($C$1), MONTH($C$1), J$7),
   _xlpm.filtered, _xlfn._xlws.FILTER(_xlpm.name_col, (_xlpm.date_col = _xlpm.target_date) * (_xlpm.loc_col =$C35), ""),
   IF(_xlpm.filtered="", "", _xlpm.filtered)
)</f>
        <v/>
      </c>
      <c r="K35" s="186" t="str" cm="1">
        <f t="array" ref="K35">_xlfn.LET(
   _xlpm.data, 表格3_5[[Date]:[Location]],
   _xlpm.date_col, INDEX(_xlpm.data, , 1),
   _xlpm.name_col, INDEX(_xlpm.data, , 2),
   _xlpm.loc_col,  INDEX(_xlpm.data, , 3),
   _xlpm.target_date, DATE(YEAR($C$1), MONTH($C$1), K$7),
   _xlpm.filtered, _xlfn._xlws.FILTER(_xlpm.name_col, (_xlpm.date_col = _xlpm.target_date) * (_xlpm.loc_col =$C35), ""),
   IF(_xlpm.filtered="", "", _xlpm.filtered)
)</f>
        <v/>
      </c>
      <c r="L35" s="186" t="str" cm="1">
        <f t="array" ref="L35">_xlfn.LET(
   _xlpm.data, 表格3_5[[Date]:[Location]],
   _xlpm.date_col, INDEX(_xlpm.data, , 1),
   _xlpm.name_col, INDEX(_xlpm.data, , 2),
   _xlpm.loc_col,  INDEX(_xlpm.data, , 3),
   _xlpm.target_date, DATE(YEAR($C$1), MONTH($C$1), L$7),
   _xlpm.filtered, _xlfn._xlws.FILTER(_xlpm.name_col, (_xlpm.date_col = _xlpm.target_date) * (_xlpm.loc_col =$C35), ""),
   IF(_xlpm.filtered="", "", _xlpm.filtered)
)</f>
        <v/>
      </c>
      <c r="M35" s="186" t="str" cm="1">
        <f t="array" ref="M35">_xlfn.LET(
   _xlpm.data, 表格3_5[[Date]:[Location]],
   _xlpm.date_col, INDEX(_xlpm.data, , 1),
   _xlpm.name_col, INDEX(_xlpm.data, , 2),
   _xlpm.loc_col,  INDEX(_xlpm.data, , 3),
   _xlpm.target_date, DATE(YEAR($C$1), MONTH($C$1), M$7),
   _xlpm.filtered, _xlfn._xlws.FILTER(_xlpm.name_col, (_xlpm.date_col = _xlpm.target_date) * (_xlpm.loc_col =$C35), ""),
   IF(_xlpm.filtered="", "", _xlpm.filtered)
)</f>
        <v/>
      </c>
      <c r="N35" s="186" t="str" cm="1">
        <f t="array" ref="N35">_xlfn.LET(
   _xlpm.data, 表格3_5[[Date]:[Location]],
   _xlpm.date_col, INDEX(_xlpm.data, , 1),
   _xlpm.name_col, INDEX(_xlpm.data, , 2),
   _xlpm.loc_col,  INDEX(_xlpm.data, , 3),
   _xlpm.target_date, DATE(YEAR($C$1), MONTH($C$1), N$7),
   _xlpm.filtered, _xlfn._xlws.FILTER(_xlpm.name_col, (_xlpm.date_col = _xlpm.target_date) * (_xlpm.loc_col =$C35), ""),
   IF(_xlpm.filtered="", "", _xlpm.filtered)
)</f>
        <v/>
      </c>
      <c r="O35" s="186" t="str" cm="1">
        <f t="array" ref="O35">_xlfn.LET(
   _xlpm.data, 表格3_5[[Date]:[Location]],
   _xlpm.date_col, INDEX(_xlpm.data, , 1),
   _xlpm.name_col, INDEX(_xlpm.data, , 2),
   _xlpm.loc_col,  INDEX(_xlpm.data, , 3),
   _xlpm.target_date, DATE(YEAR($C$1), MONTH($C$1), O$7),
   _xlpm.filtered, _xlfn._xlws.FILTER(_xlpm.name_col, (_xlpm.date_col = _xlpm.target_date) * (_xlpm.loc_col =$C35), ""),
   IF(_xlpm.filtered="", "", _xlpm.filtered)
)</f>
        <v/>
      </c>
      <c r="P35" s="186" t="str" cm="1">
        <f t="array" ref="P35">_xlfn.LET(
   _xlpm.data, 表格3_5[[Date]:[Location]],
   _xlpm.date_col, INDEX(_xlpm.data, , 1),
   _xlpm.name_col, INDEX(_xlpm.data, , 2),
   _xlpm.loc_col,  INDEX(_xlpm.data, , 3),
   _xlpm.target_date, DATE(YEAR($C$1), MONTH($C$1), P$7),
   _xlpm.filtered, _xlfn._xlws.FILTER(_xlpm.name_col, (_xlpm.date_col = _xlpm.target_date) * (_xlpm.loc_col =$C35), ""),
   IF(_xlpm.filtered="", "", _xlpm.filtered)
)</f>
        <v/>
      </c>
      <c r="Q35" s="186" t="str" cm="1">
        <f t="array" ref="Q35">_xlfn.LET(
   _xlpm.data, 表格3_5[[Date]:[Location]],
   _xlpm.date_col, INDEX(_xlpm.data, , 1),
   _xlpm.name_col, INDEX(_xlpm.data, , 2),
   _xlpm.loc_col,  INDEX(_xlpm.data, , 3),
   _xlpm.target_date, DATE(YEAR($C$1), MONTH($C$1), Q$7),
   _xlpm.filtered, _xlfn._xlws.FILTER(_xlpm.name_col, (_xlpm.date_col = _xlpm.target_date) * (_xlpm.loc_col =$C35), ""),
   IF(_xlpm.filtered="", "", _xlpm.filtered)
)</f>
        <v/>
      </c>
      <c r="R35" s="186" t="str" cm="1">
        <f t="array" ref="R35">_xlfn.LET(
   _xlpm.data, 表格3_5[[Date]:[Location]],
   _xlpm.date_col, INDEX(_xlpm.data, , 1),
   _xlpm.name_col, INDEX(_xlpm.data, , 2),
   _xlpm.loc_col,  INDEX(_xlpm.data, , 3),
   _xlpm.target_date, DATE(YEAR($C$1), MONTH($C$1), R$7),
   _xlpm.filtered, _xlfn._xlws.FILTER(_xlpm.name_col, (_xlpm.date_col = _xlpm.target_date) * (_xlpm.loc_col =$C35), ""),
   IF(_xlpm.filtered="", "", _xlpm.filtered)
)</f>
        <v/>
      </c>
      <c r="S35" s="186" t="str" cm="1">
        <f t="array" ref="S35">_xlfn.LET(
   _xlpm.data, 表格3_5[[Date]:[Location]],
   _xlpm.date_col, INDEX(_xlpm.data, , 1),
   _xlpm.name_col, INDEX(_xlpm.data, , 2),
   _xlpm.loc_col,  INDEX(_xlpm.data, , 3),
   _xlpm.target_date, DATE(YEAR($C$1), MONTH($C$1), S$7),
   _xlpm.filtered, _xlfn._xlws.FILTER(_xlpm.name_col, (_xlpm.date_col = _xlpm.target_date) * (_xlpm.loc_col =$C35), ""),
   IF(_xlpm.filtered="", "", _xlpm.filtered)
)</f>
        <v/>
      </c>
      <c r="T35" s="186" t="str" cm="1">
        <f t="array" ref="T35">_xlfn.LET(
   _xlpm.data, 表格3_5[[Date]:[Location]],
   _xlpm.date_col, INDEX(_xlpm.data, , 1),
   _xlpm.name_col, INDEX(_xlpm.data, , 2),
   _xlpm.loc_col,  INDEX(_xlpm.data, , 3),
   _xlpm.target_date, DATE(YEAR($C$1), MONTH($C$1), T$7),
   _xlpm.filtered, _xlfn._xlws.FILTER(_xlpm.name_col, (_xlpm.date_col = _xlpm.target_date) * (_xlpm.loc_col =$C35), ""),
   IF(_xlpm.filtered="", "", _xlpm.filtered)
)</f>
        <v/>
      </c>
      <c r="U35" s="186" t="str" cm="1">
        <f t="array" ref="U35">_xlfn.LET(
   _xlpm.data, 表格3_5[[Date]:[Location]],
   _xlpm.date_col, INDEX(_xlpm.data, , 1),
   _xlpm.name_col, INDEX(_xlpm.data, , 2),
   _xlpm.loc_col,  INDEX(_xlpm.data, , 3),
   _xlpm.target_date, DATE(YEAR($C$1), MONTH($C$1), U$7),
   _xlpm.filtered, _xlfn._xlws.FILTER(_xlpm.name_col, (_xlpm.date_col = _xlpm.target_date) * (_xlpm.loc_col =$C35), ""),
   IF(_xlpm.filtered="", "", _xlpm.filtered)
)</f>
        <v/>
      </c>
      <c r="V35" s="186" t="str" cm="1">
        <f t="array" ref="V35">_xlfn.LET(
   _xlpm.data, 表格3_5[[Date]:[Location]],
   _xlpm.date_col, INDEX(_xlpm.data, , 1),
   _xlpm.name_col, INDEX(_xlpm.data, , 2),
   _xlpm.loc_col,  INDEX(_xlpm.data, , 3),
   _xlpm.target_date, DATE(YEAR($C$1), MONTH($C$1), V$7),
   _xlpm.filtered, _xlfn._xlws.FILTER(_xlpm.name_col, (_xlpm.date_col = _xlpm.target_date) * (_xlpm.loc_col =$C35), ""),
   IF(_xlpm.filtered="", "", _xlpm.filtered)
)</f>
        <v/>
      </c>
      <c r="W35" s="186" t="str" cm="1">
        <f t="array" ref="W35">_xlfn.LET(
   _xlpm.data, 表格3_5[[Date]:[Location]],
   _xlpm.date_col, INDEX(_xlpm.data, , 1),
   _xlpm.name_col, INDEX(_xlpm.data, , 2),
   _xlpm.loc_col,  INDEX(_xlpm.data, , 3),
   _xlpm.target_date, DATE(YEAR($C$1), MONTH($C$1), W$7),
   _xlpm.filtered, _xlfn._xlws.FILTER(_xlpm.name_col, (_xlpm.date_col = _xlpm.target_date) * (_xlpm.loc_col =$C35), ""),
   IF(_xlpm.filtered="", "", _xlpm.filtered)
)</f>
        <v/>
      </c>
      <c r="X35" s="186" t="str" cm="1">
        <f t="array" ref="X35">_xlfn.LET(
   _xlpm.data, 表格3_5[[Date]:[Location]],
   _xlpm.date_col, INDEX(_xlpm.data, , 1),
   _xlpm.name_col, INDEX(_xlpm.data, , 2),
   _xlpm.loc_col,  INDEX(_xlpm.data, , 3),
   _xlpm.target_date, DATE(YEAR($C$1), MONTH($C$1), X$7),
   _xlpm.filtered, _xlfn._xlws.FILTER(_xlpm.name_col, (_xlpm.date_col = _xlpm.target_date) * (_xlpm.loc_col =$C35), ""),
   IF(_xlpm.filtered="", "", _xlpm.filtered)
)</f>
        <v/>
      </c>
      <c r="Y35" s="186" t="str" cm="1">
        <f t="array" ref="Y35">_xlfn.LET(
   _xlpm.data, 表格3_5[[Date]:[Location]],
   _xlpm.date_col, INDEX(_xlpm.data, , 1),
   _xlpm.name_col, INDEX(_xlpm.data, , 2),
   _xlpm.loc_col,  INDEX(_xlpm.data, , 3),
   _xlpm.target_date, DATE(YEAR($C$1), MONTH($C$1), Y$7),
   _xlpm.filtered, _xlfn._xlws.FILTER(_xlpm.name_col, (_xlpm.date_col = _xlpm.target_date) * (_xlpm.loc_col =$C35), ""),
   IF(_xlpm.filtered="", "", _xlpm.filtered)
)</f>
        <v/>
      </c>
      <c r="Z35" s="186" t="str" cm="1">
        <f t="array" ref="Z35">_xlfn.LET(
   _xlpm.data, 表格3_5[[Date]:[Location]],
   _xlpm.date_col, INDEX(_xlpm.data, , 1),
   _xlpm.name_col, INDEX(_xlpm.data, , 2),
   _xlpm.loc_col,  INDEX(_xlpm.data, , 3),
   _xlpm.target_date, DATE(YEAR($C$1), MONTH($C$1), Z$7),
   _xlpm.filtered, _xlfn._xlws.FILTER(_xlpm.name_col, (_xlpm.date_col = _xlpm.target_date) * (_xlpm.loc_col =$C35), ""),
   IF(_xlpm.filtered="", "", _xlpm.filtered)
)</f>
        <v/>
      </c>
      <c r="AA35" s="186" t="str" cm="1">
        <f t="array" ref="AA35">_xlfn.LET(
   _xlpm.data, 表格3_5[[Date]:[Location]],
   _xlpm.date_col, INDEX(_xlpm.data, , 1),
   _xlpm.name_col, INDEX(_xlpm.data, , 2),
   _xlpm.loc_col,  INDEX(_xlpm.data, , 3),
   _xlpm.target_date, DATE(YEAR($C$1), MONTH($C$1), AA$7),
   _xlpm.filtered, _xlfn._xlws.FILTER(_xlpm.name_col, (_xlpm.date_col = _xlpm.target_date) * (_xlpm.loc_col =$C35), ""),
   IF(_xlpm.filtered="", "", _xlpm.filtered)
)</f>
        <v/>
      </c>
      <c r="AB35" s="186" t="str" cm="1">
        <f t="array" ref="AB35">_xlfn.LET(
   _xlpm.data, 表格3_5[[Date]:[Location]],
   _xlpm.date_col, INDEX(_xlpm.data, , 1),
   _xlpm.name_col, INDEX(_xlpm.data, , 2),
   _xlpm.loc_col,  INDEX(_xlpm.data, , 3),
   _xlpm.target_date, DATE(YEAR($C$1), MONTH($C$1), AB$7),
   _xlpm.filtered, _xlfn._xlws.FILTER(_xlpm.name_col, (_xlpm.date_col = _xlpm.target_date) * (_xlpm.loc_col =$C35), ""),
   IF(_xlpm.filtered="", "", _xlpm.filtered)
)</f>
        <v/>
      </c>
      <c r="AC35" s="186" t="str" cm="1">
        <f t="array" ref="AC35">_xlfn.LET(
   _xlpm.data, 表格3_5[[Date]:[Location]],
   _xlpm.date_col, INDEX(_xlpm.data, , 1),
   _xlpm.name_col, INDEX(_xlpm.data, , 2),
   _xlpm.loc_col,  INDEX(_xlpm.data, , 3),
   _xlpm.target_date, DATE(YEAR($C$1), MONTH($C$1), AC$7),
   _xlpm.filtered, _xlfn._xlws.FILTER(_xlpm.name_col, (_xlpm.date_col = _xlpm.target_date) * (_xlpm.loc_col =$C35), ""),
   IF(_xlpm.filtered="", "", _xlpm.filtered)
)</f>
        <v/>
      </c>
      <c r="AD35" s="186" t="str" cm="1">
        <f t="array" ref="AD35">_xlfn.LET(
   _xlpm.data, 表格3_5[[Date]:[Location]],
   _xlpm.date_col, INDEX(_xlpm.data, , 1),
   _xlpm.name_col, INDEX(_xlpm.data, , 2),
   _xlpm.loc_col,  INDEX(_xlpm.data, , 3),
   _xlpm.target_date, DATE(YEAR($C$1), MONTH($C$1), AD$7),
   _xlpm.filtered, _xlfn._xlws.FILTER(_xlpm.name_col, (_xlpm.date_col = _xlpm.target_date) * (_xlpm.loc_col =$C35), ""),
   IF(_xlpm.filtered="", "", _xlpm.filtered)
)</f>
        <v/>
      </c>
      <c r="AE35" s="186" t="str" cm="1">
        <f t="array" ref="AE35">_xlfn.LET(
   _xlpm.data, 表格3_5[[Date]:[Location]],
   _xlpm.date_col, INDEX(_xlpm.data, , 1),
   _xlpm.name_col, INDEX(_xlpm.data, , 2),
   _xlpm.loc_col,  INDEX(_xlpm.data, , 3),
   _xlpm.target_date, DATE(YEAR($C$1), MONTH($C$1), AE$7),
   _xlpm.filtered, _xlfn._xlws.FILTER(_xlpm.name_col, (_xlpm.date_col = _xlpm.target_date) * (_xlpm.loc_col =$C35), ""),
   IF(_xlpm.filtered="", "", _xlpm.filtered)
)</f>
        <v/>
      </c>
      <c r="AF35" s="186" t="str" cm="1">
        <f t="array" ref="AF35">_xlfn.LET(
   _xlpm.data, 表格3_5[[Date]:[Location]],
   _xlpm.date_col, INDEX(_xlpm.data, , 1),
   _xlpm.name_col, INDEX(_xlpm.data, , 2),
   _xlpm.loc_col,  INDEX(_xlpm.data, , 3),
   _xlpm.target_date, DATE(YEAR($C$1), MONTH($C$1), AF$7),
   _xlpm.filtered, _xlfn._xlws.FILTER(_xlpm.name_col, (_xlpm.date_col = _xlpm.target_date) * (_xlpm.loc_col =$C35), ""),
   IF(_xlpm.filtered="", "", _xlpm.filtered)
)</f>
        <v/>
      </c>
      <c r="AG35" s="186" t="str" cm="1">
        <f t="array" ref="AG35">_xlfn.LET(
   _xlpm.data, 表格3_5[[Date]:[Location]],
   _xlpm.date_col, INDEX(_xlpm.data, , 1),
   _xlpm.name_col, INDEX(_xlpm.data, , 2),
   _xlpm.loc_col,  INDEX(_xlpm.data, , 3),
   _xlpm.target_date, DATE(YEAR($C$1), MONTH($C$1), AG$7),
   _xlpm.filtered, _xlfn._xlws.FILTER(_xlpm.name_col, (_xlpm.date_col = _xlpm.target_date) * (_xlpm.loc_col =$C35), ""),
   IF(_xlpm.filtered="", "", _xlpm.filtered)
)</f>
        <v/>
      </c>
      <c r="AH35" s="186" t="str" cm="1">
        <f t="array" ref="AH35">_xlfn.LET(
   _xlpm.data, 表格3_5[[Date]:[Location]],
   _xlpm.date_col, INDEX(_xlpm.data, , 1),
   _xlpm.name_col, INDEX(_xlpm.data, , 2),
   _xlpm.loc_col,  INDEX(_xlpm.data, , 3),
   _xlpm.target_date, DATE(YEAR($C$1), MONTH($C$1), AH$7),
   _xlpm.filtered, _xlfn._xlws.FILTER(_xlpm.name_col, (_xlpm.date_col = _xlpm.target_date) * (_xlpm.loc_col =$C35), ""),
   IF(_xlpm.filtered="", "", _xlpm.filtered)
)</f>
        <v/>
      </c>
    </row>
    <row r="36" spans="2:34">
      <c r="B36" t="e" cm="1" vm="1">
        <f t="array" ref="B36">_xlfn.LET(
    _xlpm.data, D36:AH36,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D36" s="186" t="str" cm="1">
        <f t="array" ref="D36">_xlfn.LET(
   _xlpm.data, 表格3_5[[Date]:[Location]],
   _xlpm.date_col, INDEX(_xlpm.data, , 1),
   _xlpm.name_col, INDEX(_xlpm.data, , 2),
   _xlpm.loc_col,  INDEX(_xlpm.data, , 3),
   _xlpm.target_date, DATE(YEAR($C$1), MONTH($C$1), D$7),
   _xlpm.filtered, _xlfn._xlws.FILTER(_xlpm.name_col, (_xlpm.date_col = _xlpm.target_date) * (_xlpm.loc_col =$C36), ""),
   IF(_xlpm.filtered="", "", _xlpm.filtered)
)</f>
        <v/>
      </c>
      <c r="E36" s="186" t="str" cm="1">
        <f t="array" ref="E36">_xlfn.LET(
   _xlpm.data, 表格3_5[[Date]:[Location]],
   _xlpm.date_col, INDEX(_xlpm.data, , 1),
   _xlpm.name_col, INDEX(_xlpm.data, , 2),
   _xlpm.loc_col,  INDEX(_xlpm.data, , 3),
   _xlpm.target_date, DATE(YEAR($C$1), MONTH($C$1), E$7),
   _xlpm.filtered, _xlfn._xlws.FILTER(_xlpm.name_col, (_xlpm.date_col = _xlpm.target_date) * (_xlpm.loc_col =$C36), ""),
   IF(_xlpm.filtered="", "", _xlpm.filtered)
)</f>
        <v/>
      </c>
      <c r="F36" s="186" t="str" cm="1">
        <f t="array" ref="F36">_xlfn.LET(
   _xlpm.data, 表格3_5[[Date]:[Location]],
   _xlpm.date_col, INDEX(_xlpm.data, , 1),
   _xlpm.name_col, INDEX(_xlpm.data, , 2),
   _xlpm.loc_col,  INDEX(_xlpm.data, , 3),
   _xlpm.target_date, DATE(YEAR($C$1), MONTH($C$1), F$7),
   _xlpm.filtered, _xlfn._xlws.FILTER(_xlpm.name_col, (_xlpm.date_col = _xlpm.target_date) * (_xlpm.loc_col =$C36), ""),
   IF(_xlpm.filtered="", "", _xlpm.filtered)
)</f>
        <v/>
      </c>
      <c r="G36" s="186" t="str" cm="1">
        <f t="array" ref="G36">_xlfn.LET(
   _xlpm.data, 表格3_5[[Date]:[Location]],
   _xlpm.date_col, INDEX(_xlpm.data, , 1),
   _xlpm.name_col, INDEX(_xlpm.data, , 2),
   _xlpm.loc_col,  INDEX(_xlpm.data, , 3),
   _xlpm.target_date, DATE(YEAR($C$1), MONTH($C$1), G$7),
   _xlpm.filtered, _xlfn._xlws.FILTER(_xlpm.name_col, (_xlpm.date_col = _xlpm.target_date) * (_xlpm.loc_col =$C36), ""),
   IF(_xlpm.filtered="", "", _xlpm.filtered)
)</f>
        <v/>
      </c>
      <c r="H36" s="186" t="str" cm="1">
        <f t="array" ref="H36">_xlfn.LET(
   _xlpm.data, 表格3_5[[Date]:[Location]],
   _xlpm.date_col, INDEX(_xlpm.data, , 1),
   _xlpm.name_col, INDEX(_xlpm.data, , 2),
   _xlpm.loc_col,  INDEX(_xlpm.data, , 3),
   _xlpm.target_date, DATE(YEAR($C$1), MONTH($C$1), H$7),
   _xlpm.filtered, _xlfn._xlws.FILTER(_xlpm.name_col, (_xlpm.date_col = _xlpm.target_date) * (_xlpm.loc_col =$C36), ""),
   IF(_xlpm.filtered="", "", _xlpm.filtered)
)</f>
        <v/>
      </c>
      <c r="I36" s="186" t="str" cm="1">
        <f t="array" ref="I36">_xlfn.LET(
   _xlpm.data, 表格3_5[[Date]:[Location]],
   _xlpm.date_col, INDEX(_xlpm.data, , 1),
   _xlpm.name_col, INDEX(_xlpm.data, , 2),
   _xlpm.loc_col,  INDEX(_xlpm.data, , 3),
   _xlpm.target_date, DATE(YEAR($C$1), MONTH($C$1), I$7),
   _xlpm.filtered, _xlfn._xlws.FILTER(_xlpm.name_col, (_xlpm.date_col = _xlpm.target_date) * (_xlpm.loc_col =$C36), ""),
   IF(_xlpm.filtered="", "", _xlpm.filtered)
)</f>
        <v/>
      </c>
      <c r="J36" s="186" t="str" cm="1">
        <f t="array" ref="J36">_xlfn.LET(
   _xlpm.data, 表格3_5[[Date]:[Location]],
   _xlpm.date_col, INDEX(_xlpm.data, , 1),
   _xlpm.name_col, INDEX(_xlpm.data, , 2),
   _xlpm.loc_col,  INDEX(_xlpm.data, , 3),
   _xlpm.target_date, DATE(YEAR($C$1), MONTH($C$1), J$7),
   _xlpm.filtered, _xlfn._xlws.FILTER(_xlpm.name_col, (_xlpm.date_col = _xlpm.target_date) * (_xlpm.loc_col =$C36), ""),
   IF(_xlpm.filtered="", "", _xlpm.filtered)
)</f>
        <v/>
      </c>
      <c r="K36" s="186" t="str" cm="1">
        <f t="array" ref="K36">_xlfn.LET(
   _xlpm.data, 表格3_5[[Date]:[Location]],
   _xlpm.date_col, INDEX(_xlpm.data, , 1),
   _xlpm.name_col, INDEX(_xlpm.data, , 2),
   _xlpm.loc_col,  INDEX(_xlpm.data, , 3),
   _xlpm.target_date, DATE(YEAR($C$1), MONTH($C$1), K$7),
   _xlpm.filtered, _xlfn._xlws.FILTER(_xlpm.name_col, (_xlpm.date_col = _xlpm.target_date) * (_xlpm.loc_col =$C36), ""),
   IF(_xlpm.filtered="", "", _xlpm.filtered)
)</f>
        <v/>
      </c>
      <c r="L36" s="186" t="str" cm="1">
        <f t="array" ref="L36">_xlfn.LET(
   _xlpm.data, 表格3_5[[Date]:[Location]],
   _xlpm.date_col, INDEX(_xlpm.data, , 1),
   _xlpm.name_col, INDEX(_xlpm.data, , 2),
   _xlpm.loc_col,  INDEX(_xlpm.data, , 3),
   _xlpm.target_date, DATE(YEAR($C$1), MONTH($C$1), L$7),
   _xlpm.filtered, _xlfn._xlws.FILTER(_xlpm.name_col, (_xlpm.date_col = _xlpm.target_date) * (_xlpm.loc_col =$C36), ""),
   IF(_xlpm.filtered="", "", _xlpm.filtered)
)</f>
        <v/>
      </c>
      <c r="M36" s="186" t="str" cm="1">
        <f t="array" ref="M36">_xlfn.LET(
   _xlpm.data, 表格3_5[[Date]:[Location]],
   _xlpm.date_col, INDEX(_xlpm.data, , 1),
   _xlpm.name_col, INDEX(_xlpm.data, , 2),
   _xlpm.loc_col,  INDEX(_xlpm.data, , 3),
   _xlpm.target_date, DATE(YEAR($C$1), MONTH($C$1), M$7),
   _xlpm.filtered, _xlfn._xlws.FILTER(_xlpm.name_col, (_xlpm.date_col = _xlpm.target_date) * (_xlpm.loc_col =$C36), ""),
   IF(_xlpm.filtered="", "", _xlpm.filtered)
)</f>
        <v/>
      </c>
      <c r="N36" s="186" t="str" cm="1">
        <f t="array" ref="N36">_xlfn.LET(
   _xlpm.data, 表格3_5[[Date]:[Location]],
   _xlpm.date_col, INDEX(_xlpm.data, , 1),
   _xlpm.name_col, INDEX(_xlpm.data, , 2),
   _xlpm.loc_col,  INDEX(_xlpm.data, , 3),
   _xlpm.target_date, DATE(YEAR($C$1), MONTH($C$1), N$7),
   _xlpm.filtered, _xlfn._xlws.FILTER(_xlpm.name_col, (_xlpm.date_col = _xlpm.target_date) * (_xlpm.loc_col =$C36), ""),
   IF(_xlpm.filtered="", "", _xlpm.filtered)
)</f>
        <v/>
      </c>
      <c r="O36" s="186" t="str" cm="1">
        <f t="array" ref="O36">_xlfn.LET(
   _xlpm.data, 表格3_5[[Date]:[Location]],
   _xlpm.date_col, INDEX(_xlpm.data, , 1),
   _xlpm.name_col, INDEX(_xlpm.data, , 2),
   _xlpm.loc_col,  INDEX(_xlpm.data, , 3),
   _xlpm.target_date, DATE(YEAR($C$1), MONTH($C$1), O$7),
   _xlpm.filtered, _xlfn._xlws.FILTER(_xlpm.name_col, (_xlpm.date_col = _xlpm.target_date) * (_xlpm.loc_col =$C36), ""),
   IF(_xlpm.filtered="", "", _xlpm.filtered)
)</f>
        <v/>
      </c>
      <c r="P36" s="186" t="str" cm="1">
        <f t="array" ref="P36">_xlfn.LET(
   _xlpm.data, 表格3_5[[Date]:[Location]],
   _xlpm.date_col, INDEX(_xlpm.data, , 1),
   _xlpm.name_col, INDEX(_xlpm.data, , 2),
   _xlpm.loc_col,  INDEX(_xlpm.data, , 3),
   _xlpm.target_date, DATE(YEAR($C$1), MONTH($C$1), P$7),
   _xlpm.filtered, _xlfn._xlws.FILTER(_xlpm.name_col, (_xlpm.date_col = _xlpm.target_date) * (_xlpm.loc_col =$C36), ""),
   IF(_xlpm.filtered="", "", _xlpm.filtered)
)</f>
        <v/>
      </c>
      <c r="Q36" s="186" t="str" cm="1">
        <f t="array" ref="Q36">_xlfn.LET(
   _xlpm.data, 表格3_5[[Date]:[Location]],
   _xlpm.date_col, INDEX(_xlpm.data, , 1),
   _xlpm.name_col, INDEX(_xlpm.data, , 2),
   _xlpm.loc_col,  INDEX(_xlpm.data, , 3),
   _xlpm.target_date, DATE(YEAR($C$1), MONTH($C$1), Q$7),
   _xlpm.filtered, _xlfn._xlws.FILTER(_xlpm.name_col, (_xlpm.date_col = _xlpm.target_date) * (_xlpm.loc_col =$C36), ""),
   IF(_xlpm.filtered="", "", _xlpm.filtered)
)</f>
        <v/>
      </c>
      <c r="R36" s="186" t="str" cm="1">
        <f t="array" ref="R36">_xlfn.LET(
   _xlpm.data, 表格3_5[[Date]:[Location]],
   _xlpm.date_col, INDEX(_xlpm.data, , 1),
   _xlpm.name_col, INDEX(_xlpm.data, , 2),
   _xlpm.loc_col,  INDEX(_xlpm.data, , 3),
   _xlpm.target_date, DATE(YEAR($C$1), MONTH($C$1), R$7),
   _xlpm.filtered, _xlfn._xlws.FILTER(_xlpm.name_col, (_xlpm.date_col = _xlpm.target_date) * (_xlpm.loc_col =$C36), ""),
   IF(_xlpm.filtered="", "", _xlpm.filtered)
)</f>
        <v/>
      </c>
      <c r="S36" s="186" t="str" cm="1">
        <f t="array" ref="S36">_xlfn.LET(
   _xlpm.data, 表格3_5[[Date]:[Location]],
   _xlpm.date_col, INDEX(_xlpm.data, , 1),
   _xlpm.name_col, INDEX(_xlpm.data, , 2),
   _xlpm.loc_col,  INDEX(_xlpm.data, , 3),
   _xlpm.target_date, DATE(YEAR($C$1), MONTH($C$1), S$7),
   _xlpm.filtered, _xlfn._xlws.FILTER(_xlpm.name_col, (_xlpm.date_col = _xlpm.target_date) * (_xlpm.loc_col =$C36), ""),
   IF(_xlpm.filtered="", "", _xlpm.filtered)
)</f>
        <v/>
      </c>
      <c r="T36" s="186" t="str" cm="1">
        <f t="array" ref="T36">_xlfn.LET(
   _xlpm.data, 表格3_5[[Date]:[Location]],
   _xlpm.date_col, INDEX(_xlpm.data, , 1),
   _xlpm.name_col, INDEX(_xlpm.data, , 2),
   _xlpm.loc_col,  INDEX(_xlpm.data, , 3),
   _xlpm.target_date, DATE(YEAR($C$1), MONTH($C$1), T$7),
   _xlpm.filtered, _xlfn._xlws.FILTER(_xlpm.name_col, (_xlpm.date_col = _xlpm.target_date) * (_xlpm.loc_col =$C36), ""),
   IF(_xlpm.filtered="", "", _xlpm.filtered)
)</f>
        <v/>
      </c>
      <c r="U36" s="186" t="str" cm="1">
        <f t="array" ref="U36">_xlfn.LET(
   _xlpm.data, 表格3_5[[Date]:[Location]],
   _xlpm.date_col, INDEX(_xlpm.data, , 1),
   _xlpm.name_col, INDEX(_xlpm.data, , 2),
   _xlpm.loc_col,  INDEX(_xlpm.data, , 3),
   _xlpm.target_date, DATE(YEAR($C$1), MONTH($C$1), U$7),
   _xlpm.filtered, _xlfn._xlws.FILTER(_xlpm.name_col, (_xlpm.date_col = _xlpm.target_date) * (_xlpm.loc_col =$C36), ""),
   IF(_xlpm.filtered="", "", _xlpm.filtered)
)</f>
        <v/>
      </c>
      <c r="V36" s="186" t="str" cm="1">
        <f t="array" ref="V36">_xlfn.LET(
   _xlpm.data, 表格3_5[[Date]:[Location]],
   _xlpm.date_col, INDEX(_xlpm.data, , 1),
   _xlpm.name_col, INDEX(_xlpm.data, , 2),
   _xlpm.loc_col,  INDEX(_xlpm.data, , 3),
   _xlpm.target_date, DATE(YEAR($C$1), MONTH($C$1), V$7),
   _xlpm.filtered, _xlfn._xlws.FILTER(_xlpm.name_col, (_xlpm.date_col = _xlpm.target_date) * (_xlpm.loc_col =$C36), ""),
   IF(_xlpm.filtered="", "", _xlpm.filtered)
)</f>
        <v/>
      </c>
      <c r="W36" s="186" t="str" cm="1">
        <f t="array" ref="W36">_xlfn.LET(
   _xlpm.data, 表格3_5[[Date]:[Location]],
   _xlpm.date_col, INDEX(_xlpm.data, , 1),
   _xlpm.name_col, INDEX(_xlpm.data, , 2),
   _xlpm.loc_col,  INDEX(_xlpm.data, , 3),
   _xlpm.target_date, DATE(YEAR($C$1), MONTH($C$1), W$7),
   _xlpm.filtered, _xlfn._xlws.FILTER(_xlpm.name_col, (_xlpm.date_col = _xlpm.target_date) * (_xlpm.loc_col =$C36), ""),
   IF(_xlpm.filtered="", "", _xlpm.filtered)
)</f>
        <v/>
      </c>
      <c r="X36" s="186" t="str" cm="1">
        <f t="array" ref="X36">_xlfn.LET(
   _xlpm.data, 表格3_5[[Date]:[Location]],
   _xlpm.date_col, INDEX(_xlpm.data, , 1),
   _xlpm.name_col, INDEX(_xlpm.data, , 2),
   _xlpm.loc_col,  INDEX(_xlpm.data, , 3),
   _xlpm.target_date, DATE(YEAR($C$1), MONTH($C$1), X$7),
   _xlpm.filtered, _xlfn._xlws.FILTER(_xlpm.name_col, (_xlpm.date_col = _xlpm.target_date) * (_xlpm.loc_col =$C36), ""),
   IF(_xlpm.filtered="", "", _xlpm.filtered)
)</f>
        <v/>
      </c>
      <c r="Y36" s="186" t="str" cm="1">
        <f t="array" ref="Y36">_xlfn.LET(
   _xlpm.data, 表格3_5[[Date]:[Location]],
   _xlpm.date_col, INDEX(_xlpm.data, , 1),
   _xlpm.name_col, INDEX(_xlpm.data, , 2),
   _xlpm.loc_col,  INDEX(_xlpm.data, , 3),
   _xlpm.target_date, DATE(YEAR($C$1), MONTH($C$1), Y$7),
   _xlpm.filtered, _xlfn._xlws.FILTER(_xlpm.name_col, (_xlpm.date_col = _xlpm.target_date) * (_xlpm.loc_col =$C36), ""),
   IF(_xlpm.filtered="", "", _xlpm.filtered)
)</f>
        <v/>
      </c>
      <c r="Z36" s="186" t="str" cm="1">
        <f t="array" ref="Z36">_xlfn.LET(
   _xlpm.data, 表格3_5[[Date]:[Location]],
   _xlpm.date_col, INDEX(_xlpm.data, , 1),
   _xlpm.name_col, INDEX(_xlpm.data, , 2),
   _xlpm.loc_col,  INDEX(_xlpm.data, , 3),
   _xlpm.target_date, DATE(YEAR($C$1), MONTH($C$1), Z$7),
   _xlpm.filtered, _xlfn._xlws.FILTER(_xlpm.name_col, (_xlpm.date_col = _xlpm.target_date) * (_xlpm.loc_col =$C36), ""),
   IF(_xlpm.filtered="", "", _xlpm.filtered)
)</f>
        <v/>
      </c>
      <c r="AA36" s="186" t="str" cm="1">
        <f t="array" ref="AA36">_xlfn.LET(
   _xlpm.data, 表格3_5[[Date]:[Location]],
   _xlpm.date_col, INDEX(_xlpm.data, , 1),
   _xlpm.name_col, INDEX(_xlpm.data, , 2),
   _xlpm.loc_col,  INDEX(_xlpm.data, , 3),
   _xlpm.target_date, DATE(YEAR($C$1), MONTH($C$1), AA$7),
   _xlpm.filtered, _xlfn._xlws.FILTER(_xlpm.name_col, (_xlpm.date_col = _xlpm.target_date) * (_xlpm.loc_col =$C36), ""),
   IF(_xlpm.filtered="", "", _xlpm.filtered)
)</f>
        <v/>
      </c>
      <c r="AB36" s="186" t="str" cm="1">
        <f t="array" ref="AB36">_xlfn.LET(
   _xlpm.data, 表格3_5[[Date]:[Location]],
   _xlpm.date_col, INDEX(_xlpm.data, , 1),
   _xlpm.name_col, INDEX(_xlpm.data, , 2),
   _xlpm.loc_col,  INDEX(_xlpm.data, , 3),
   _xlpm.target_date, DATE(YEAR($C$1), MONTH($C$1), AB$7),
   _xlpm.filtered, _xlfn._xlws.FILTER(_xlpm.name_col, (_xlpm.date_col = _xlpm.target_date) * (_xlpm.loc_col =$C36), ""),
   IF(_xlpm.filtered="", "", _xlpm.filtered)
)</f>
        <v/>
      </c>
      <c r="AC36" s="186" t="str" cm="1">
        <f t="array" ref="AC36">_xlfn.LET(
   _xlpm.data, 表格3_5[[Date]:[Location]],
   _xlpm.date_col, INDEX(_xlpm.data, , 1),
   _xlpm.name_col, INDEX(_xlpm.data, , 2),
   _xlpm.loc_col,  INDEX(_xlpm.data, , 3),
   _xlpm.target_date, DATE(YEAR($C$1), MONTH($C$1), AC$7),
   _xlpm.filtered, _xlfn._xlws.FILTER(_xlpm.name_col, (_xlpm.date_col = _xlpm.target_date) * (_xlpm.loc_col =$C36), ""),
   IF(_xlpm.filtered="", "", _xlpm.filtered)
)</f>
        <v/>
      </c>
      <c r="AD36" s="186" t="str" cm="1">
        <f t="array" ref="AD36">_xlfn.LET(
   _xlpm.data, 表格3_5[[Date]:[Location]],
   _xlpm.date_col, INDEX(_xlpm.data, , 1),
   _xlpm.name_col, INDEX(_xlpm.data, , 2),
   _xlpm.loc_col,  INDEX(_xlpm.data, , 3),
   _xlpm.target_date, DATE(YEAR($C$1), MONTH($C$1), AD$7),
   _xlpm.filtered, _xlfn._xlws.FILTER(_xlpm.name_col, (_xlpm.date_col = _xlpm.target_date) * (_xlpm.loc_col =$C36), ""),
   IF(_xlpm.filtered="", "", _xlpm.filtered)
)</f>
        <v/>
      </c>
      <c r="AE36" s="186" t="str" cm="1">
        <f t="array" ref="AE36">_xlfn.LET(
   _xlpm.data, 表格3_5[[Date]:[Location]],
   _xlpm.date_col, INDEX(_xlpm.data, , 1),
   _xlpm.name_col, INDEX(_xlpm.data, , 2),
   _xlpm.loc_col,  INDEX(_xlpm.data, , 3),
   _xlpm.target_date, DATE(YEAR($C$1), MONTH($C$1), AE$7),
   _xlpm.filtered, _xlfn._xlws.FILTER(_xlpm.name_col, (_xlpm.date_col = _xlpm.target_date) * (_xlpm.loc_col =$C36), ""),
   IF(_xlpm.filtered="", "", _xlpm.filtered)
)</f>
        <v/>
      </c>
      <c r="AF36" s="186" t="str" cm="1">
        <f t="array" ref="AF36">_xlfn.LET(
   _xlpm.data, 表格3_5[[Date]:[Location]],
   _xlpm.date_col, INDEX(_xlpm.data, , 1),
   _xlpm.name_col, INDEX(_xlpm.data, , 2),
   _xlpm.loc_col,  INDEX(_xlpm.data, , 3),
   _xlpm.target_date, DATE(YEAR($C$1), MONTH($C$1), AF$7),
   _xlpm.filtered, _xlfn._xlws.FILTER(_xlpm.name_col, (_xlpm.date_col = _xlpm.target_date) * (_xlpm.loc_col =$C36), ""),
   IF(_xlpm.filtered="", "", _xlpm.filtered)
)</f>
        <v/>
      </c>
      <c r="AG36" s="186" t="str" cm="1">
        <f t="array" ref="AG36">_xlfn.LET(
   _xlpm.data, 表格3_5[[Date]:[Location]],
   _xlpm.date_col, INDEX(_xlpm.data, , 1),
   _xlpm.name_col, INDEX(_xlpm.data, , 2),
   _xlpm.loc_col,  INDEX(_xlpm.data, , 3),
   _xlpm.target_date, DATE(YEAR($C$1), MONTH($C$1), AG$7),
   _xlpm.filtered, _xlfn._xlws.FILTER(_xlpm.name_col, (_xlpm.date_col = _xlpm.target_date) * (_xlpm.loc_col =$C36), ""),
   IF(_xlpm.filtered="", "", _xlpm.filtered)
)</f>
        <v/>
      </c>
      <c r="AH36" s="186" t="str" cm="1">
        <f t="array" ref="AH36">_xlfn.LET(
   _xlpm.data, 表格3_5[[Date]:[Location]],
   _xlpm.date_col, INDEX(_xlpm.data, , 1),
   _xlpm.name_col, INDEX(_xlpm.data, , 2),
   _xlpm.loc_col,  INDEX(_xlpm.data, , 3),
   _xlpm.target_date, DATE(YEAR($C$1), MONTH($C$1), AH$7),
   _xlpm.filtered, _xlfn._xlws.FILTER(_xlpm.name_col, (_xlpm.date_col = _xlpm.target_date) * (_xlpm.loc_col =$C36), ""),
   IF(_xlpm.filtered="", "", _xlpm.filtered)
)</f>
        <v/>
      </c>
    </row>
    <row r="37" spans="2:34">
      <c r="B37" t="e" cm="1" vm="1">
        <f t="array" ref="B37">_xlfn.LET(
    _xlpm.data, D37:AH37,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D37" s="186" t="str" cm="1">
        <f t="array" ref="D37">_xlfn.LET(
   _xlpm.data, 表格3_5[[Date]:[Location]],
   _xlpm.date_col, INDEX(_xlpm.data, , 1),
   _xlpm.name_col, INDEX(_xlpm.data, , 2),
   _xlpm.loc_col,  INDEX(_xlpm.data, , 3),
   _xlpm.target_date, DATE(YEAR($C$1), MONTH($C$1), D$7),
   _xlpm.filtered, _xlfn._xlws.FILTER(_xlpm.name_col, (_xlpm.date_col = _xlpm.target_date) * (_xlpm.loc_col =$C37), ""),
   IF(_xlpm.filtered="", "", _xlpm.filtered)
)</f>
        <v/>
      </c>
      <c r="E37" s="186" t="str" cm="1">
        <f t="array" ref="E37">_xlfn.LET(
   _xlpm.data, 表格3_5[[Date]:[Location]],
   _xlpm.date_col, INDEX(_xlpm.data, , 1),
   _xlpm.name_col, INDEX(_xlpm.data, , 2),
   _xlpm.loc_col,  INDEX(_xlpm.data, , 3),
   _xlpm.target_date, DATE(YEAR($C$1), MONTH($C$1), E$7),
   _xlpm.filtered, _xlfn._xlws.FILTER(_xlpm.name_col, (_xlpm.date_col = _xlpm.target_date) * (_xlpm.loc_col =$C37), ""),
   IF(_xlpm.filtered="", "", _xlpm.filtered)
)</f>
        <v/>
      </c>
      <c r="F37" s="186" t="str" cm="1">
        <f t="array" ref="F37">_xlfn.LET(
   _xlpm.data, 表格3_5[[Date]:[Location]],
   _xlpm.date_col, INDEX(_xlpm.data, , 1),
   _xlpm.name_col, INDEX(_xlpm.data, , 2),
   _xlpm.loc_col,  INDEX(_xlpm.data, , 3),
   _xlpm.target_date, DATE(YEAR($C$1), MONTH($C$1), F$7),
   _xlpm.filtered, _xlfn._xlws.FILTER(_xlpm.name_col, (_xlpm.date_col = _xlpm.target_date) * (_xlpm.loc_col =$C37), ""),
   IF(_xlpm.filtered="", "", _xlpm.filtered)
)</f>
        <v/>
      </c>
      <c r="G37" s="186" t="str" cm="1">
        <f t="array" ref="G37">_xlfn.LET(
   _xlpm.data, 表格3_5[[Date]:[Location]],
   _xlpm.date_col, INDEX(_xlpm.data, , 1),
   _xlpm.name_col, INDEX(_xlpm.data, , 2),
   _xlpm.loc_col,  INDEX(_xlpm.data, , 3),
   _xlpm.target_date, DATE(YEAR($C$1), MONTH($C$1), G$7),
   _xlpm.filtered, _xlfn._xlws.FILTER(_xlpm.name_col, (_xlpm.date_col = _xlpm.target_date) * (_xlpm.loc_col =$C37), ""),
   IF(_xlpm.filtered="", "", _xlpm.filtered)
)</f>
        <v/>
      </c>
      <c r="H37" s="186" t="str" cm="1">
        <f t="array" ref="H37">_xlfn.LET(
   _xlpm.data, 表格3_5[[Date]:[Location]],
   _xlpm.date_col, INDEX(_xlpm.data, , 1),
   _xlpm.name_col, INDEX(_xlpm.data, , 2),
   _xlpm.loc_col,  INDEX(_xlpm.data, , 3),
   _xlpm.target_date, DATE(YEAR($C$1), MONTH($C$1), H$7),
   _xlpm.filtered, _xlfn._xlws.FILTER(_xlpm.name_col, (_xlpm.date_col = _xlpm.target_date) * (_xlpm.loc_col =$C37), ""),
   IF(_xlpm.filtered="", "", _xlpm.filtered)
)</f>
        <v/>
      </c>
      <c r="I37" s="186" t="str" cm="1">
        <f t="array" ref="I37">_xlfn.LET(
   _xlpm.data, 表格3_5[[Date]:[Location]],
   _xlpm.date_col, INDEX(_xlpm.data, , 1),
   _xlpm.name_col, INDEX(_xlpm.data, , 2),
   _xlpm.loc_col,  INDEX(_xlpm.data, , 3),
   _xlpm.target_date, DATE(YEAR($C$1), MONTH($C$1), I$7),
   _xlpm.filtered, _xlfn._xlws.FILTER(_xlpm.name_col, (_xlpm.date_col = _xlpm.target_date) * (_xlpm.loc_col =$C37), ""),
   IF(_xlpm.filtered="", "", _xlpm.filtered)
)</f>
        <v/>
      </c>
      <c r="J37" s="186" t="str" cm="1">
        <f t="array" ref="J37">_xlfn.LET(
   _xlpm.data, 表格3_5[[Date]:[Location]],
   _xlpm.date_col, INDEX(_xlpm.data, , 1),
   _xlpm.name_col, INDEX(_xlpm.data, , 2),
   _xlpm.loc_col,  INDEX(_xlpm.data, , 3),
   _xlpm.target_date, DATE(YEAR($C$1), MONTH($C$1), J$7),
   _xlpm.filtered, _xlfn._xlws.FILTER(_xlpm.name_col, (_xlpm.date_col = _xlpm.target_date) * (_xlpm.loc_col =$C37), ""),
   IF(_xlpm.filtered="", "", _xlpm.filtered)
)</f>
        <v/>
      </c>
      <c r="K37" s="186" t="str" cm="1">
        <f t="array" ref="K37">_xlfn.LET(
   _xlpm.data, 表格3_5[[Date]:[Location]],
   _xlpm.date_col, INDEX(_xlpm.data, , 1),
   _xlpm.name_col, INDEX(_xlpm.data, , 2),
   _xlpm.loc_col,  INDEX(_xlpm.data, , 3),
   _xlpm.target_date, DATE(YEAR($C$1), MONTH($C$1), K$7),
   _xlpm.filtered, _xlfn._xlws.FILTER(_xlpm.name_col, (_xlpm.date_col = _xlpm.target_date) * (_xlpm.loc_col =$C37), ""),
   IF(_xlpm.filtered="", "", _xlpm.filtered)
)</f>
        <v/>
      </c>
      <c r="L37" s="186" t="str" cm="1">
        <f t="array" ref="L37">_xlfn.LET(
   _xlpm.data, 表格3_5[[Date]:[Location]],
   _xlpm.date_col, INDEX(_xlpm.data, , 1),
   _xlpm.name_col, INDEX(_xlpm.data, , 2),
   _xlpm.loc_col,  INDEX(_xlpm.data, , 3),
   _xlpm.target_date, DATE(YEAR($C$1), MONTH($C$1), L$7),
   _xlpm.filtered, _xlfn._xlws.FILTER(_xlpm.name_col, (_xlpm.date_col = _xlpm.target_date) * (_xlpm.loc_col =$C37), ""),
   IF(_xlpm.filtered="", "", _xlpm.filtered)
)</f>
        <v/>
      </c>
      <c r="M37" s="186" t="str" cm="1">
        <f t="array" ref="M37">_xlfn.LET(
   _xlpm.data, 表格3_5[[Date]:[Location]],
   _xlpm.date_col, INDEX(_xlpm.data, , 1),
   _xlpm.name_col, INDEX(_xlpm.data, , 2),
   _xlpm.loc_col,  INDEX(_xlpm.data, , 3),
   _xlpm.target_date, DATE(YEAR($C$1), MONTH($C$1), M$7),
   _xlpm.filtered, _xlfn._xlws.FILTER(_xlpm.name_col, (_xlpm.date_col = _xlpm.target_date) * (_xlpm.loc_col =$C37), ""),
   IF(_xlpm.filtered="", "", _xlpm.filtered)
)</f>
        <v/>
      </c>
      <c r="N37" s="186" t="str" cm="1">
        <f t="array" ref="N37">_xlfn.LET(
   _xlpm.data, 表格3_5[[Date]:[Location]],
   _xlpm.date_col, INDEX(_xlpm.data, , 1),
   _xlpm.name_col, INDEX(_xlpm.data, , 2),
   _xlpm.loc_col,  INDEX(_xlpm.data, , 3),
   _xlpm.target_date, DATE(YEAR($C$1), MONTH($C$1), N$7),
   _xlpm.filtered, _xlfn._xlws.FILTER(_xlpm.name_col, (_xlpm.date_col = _xlpm.target_date) * (_xlpm.loc_col =$C37), ""),
   IF(_xlpm.filtered="", "", _xlpm.filtered)
)</f>
        <v/>
      </c>
      <c r="O37" s="186" t="str" cm="1">
        <f t="array" ref="O37">_xlfn.LET(
   _xlpm.data, 表格3_5[[Date]:[Location]],
   _xlpm.date_col, INDEX(_xlpm.data, , 1),
   _xlpm.name_col, INDEX(_xlpm.data, , 2),
   _xlpm.loc_col,  INDEX(_xlpm.data, , 3),
   _xlpm.target_date, DATE(YEAR($C$1), MONTH($C$1), O$7),
   _xlpm.filtered, _xlfn._xlws.FILTER(_xlpm.name_col, (_xlpm.date_col = _xlpm.target_date) * (_xlpm.loc_col =$C37), ""),
   IF(_xlpm.filtered="", "", _xlpm.filtered)
)</f>
        <v/>
      </c>
      <c r="P37" s="186" t="str" cm="1">
        <f t="array" ref="P37">_xlfn.LET(
   _xlpm.data, 表格3_5[[Date]:[Location]],
   _xlpm.date_col, INDEX(_xlpm.data, , 1),
   _xlpm.name_col, INDEX(_xlpm.data, , 2),
   _xlpm.loc_col,  INDEX(_xlpm.data, , 3),
   _xlpm.target_date, DATE(YEAR($C$1), MONTH($C$1), P$7),
   _xlpm.filtered, _xlfn._xlws.FILTER(_xlpm.name_col, (_xlpm.date_col = _xlpm.target_date) * (_xlpm.loc_col =$C37), ""),
   IF(_xlpm.filtered="", "", _xlpm.filtered)
)</f>
        <v/>
      </c>
      <c r="Q37" s="186" t="str" cm="1">
        <f t="array" ref="Q37">_xlfn.LET(
   _xlpm.data, 表格3_5[[Date]:[Location]],
   _xlpm.date_col, INDEX(_xlpm.data, , 1),
   _xlpm.name_col, INDEX(_xlpm.data, , 2),
   _xlpm.loc_col,  INDEX(_xlpm.data, , 3),
   _xlpm.target_date, DATE(YEAR($C$1), MONTH($C$1), Q$7),
   _xlpm.filtered, _xlfn._xlws.FILTER(_xlpm.name_col, (_xlpm.date_col = _xlpm.target_date) * (_xlpm.loc_col =$C37), ""),
   IF(_xlpm.filtered="", "", _xlpm.filtered)
)</f>
        <v/>
      </c>
      <c r="R37" s="186" t="str" cm="1">
        <f t="array" ref="R37">_xlfn.LET(
   _xlpm.data, 表格3_5[[Date]:[Location]],
   _xlpm.date_col, INDEX(_xlpm.data, , 1),
   _xlpm.name_col, INDEX(_xlpm.data, , 2),
   _xlpm.loc_col,  INDEX(_xlpm.data, , 3),
   _xlpm.target_date, DATE(YEAR($C$1), MONTH($C$1), R$7),
   _xlpm.filtered, _xlfn._xlws.FILTER(_xlpm.name_col, (_xlpm.date_col = _xlpm.target_date) * (_xlpm.loc_col =$C37), ""),
   IF(_xlpm.filtered="", "", _xlpm.filtered)
)</f>
        <v/>
      </c>
      <c r="S37" s="186" t="str" cm="1">
        <f t="array" ref="S37">_xlfn.LET(
   _xlpm.data, 表格3_5[[Date]:[Location]],
   _xlpm.date_col, INDEX(_xlpm.data, , 1),
   _xlpm.name_col, INDEX(_xlpm.data, , 2),
   _xlpm.loc_col,  INDEX(_xlpm.data, , 3),
   _xlpm.target_date, DATE(YEAR($C$1), MONTH($C$1), S$7),
   _xlpm.filtered, _xlfn._xlws.FILTER(_xlpm.name_col, (_xlpm.date_col = _xlpm.target_date) * (_xlpm.loc_col =$C37), ""),
   IF(_xlpm.filtered="", "", _xlpm.filtered)
)</f>
        <v/>
      </c>
      <c r="T37" s="186" t="str" cm="1">
        <f t="array" ref="T37">_xlfn.LET(
   _xlpm.data, 表格3_5[[Date]:[Location]],
   _xlpm.date_col, INDEX(_xlpm.data, , 1),
   _xlpm.name_col, INDEX(_xlpm.data, , 2),
   _xlpm.loc_col,  INDEX(_xlpm.data, , 3),
   _xlpm.target_date, DATE(YEAR($C$1), MONTH($C$1), T$7),
   _xlpm.filtered, _xlfn._xlws.FILTER(_xlpm.name_col, (_xlpm.date_col = _xlpm.target_date) * (_xlpm.loc_col =$C37), ""),
   IF(_xlpm.filtered="", "", _xlpm.filtered)
)</f>
        <v/>
      </c>
      <c r="U37" s="186" t="str" cm="1">
        <f t="array" ref="U37">_xlfn.LET(
   _xlpm.data, 表格3_5[[Date]:[Location]],
   _xlpm.date_col, INDEX(_xlpm.data, , 1),
   _xlpm.name_col, INDEX(_xlpm.data, , 2),
   _xlpm.loc_col,  INDEX(_xlpm.data, , 3),
   _xlpm.target_date, DATE(YEAR($C$1), MONTH($C$1), U$7),
   _xlpm.filtered, _xlfn._xlws.FILTER(_xlpm.name_col, (_xlpm.date_col = _xlpm.target_date) * (_xlpm.loc_col =$C37), ""),
   IF(_xlpm.filtered="", "", _xlpm.filtered)
)</f>
        <v/>
      </c>
      <c r="V37" s="186" t="str" cm="1">
        <f t="array" ref="V37">_xlfn.LET(
   _xlpm.data, 表格3_5[[Date]:[Location]],
   _xlpm.date_col, INDEX(_xlpm.data, , 1),
   _xlpm.name_col, INDEX(_xlpm.data, , 2),
   _xlpm.loc_col,  INDEX(_xlpm.data, , 3),
   _xlpm.target_date, DATE(YEAR($C$1), MONTH($C$1), V$7),
   _xlpm.filtered, _xlfn._xlws.FILTER(_xlpm.name_col, (_xlpm.date_col = _xlpm.target_date) * (_xlpm.loc_col =$C37), ""),
   IF(_xlpm.filtered="", "", _xlpm.filtered)
)</f>
        <v/>
      </c>
      <c r="W37" s="186" t="str" cm="1">
        <f t="array" ref="W37">_xlfn.LET(
   _xlpm.data, 表格3_5[[Date]:[Location]],
   _xlpm.date_col, INDEX(_xlpm.data, , 1),
   _xlpm.name_col, INDEX(_xlpm.data, , 2),
   _xlpm.loc_col,  INDEX(_xlpm.data, , 3),
   _xlpm.target_date, DATE(YEAR($C$1), MONTH($C$1), W$7),
   _xlpm.filtered, _xlfn._xlws.FILTER(_xlpm.name_col, (_xlpm.date_col = _xlpm.target_date) * (_xlpm.loc_col =$C37), ""),
   IF(_xlpm.filtered="", "", _xlpm.filtered)
)</f>
        <v/>
      </c>
      <c r="X37" s="186" t="str" cm="1">
        <f t="array" ref="X37">_xlfn.LET(
   _xlpm.data, 表格3_5[[Date]:[Location]],
   _xlpm.date_col, INDEX(_xlpm.data, , 1),
   _xlpm.name_col, INDEX(_xlpm.data, , 2),
   _xlpm.loc_col,  INDEX(_xlpm.data, , 3),
   _xlpm.target_date, DATE(YEAR($C$1), MONTH($C$1), X$7),
   _xlpm.filtered, _xlfn._xlws.FILTER(_xlpm.name_col, (_xlpm.date_col = _xlpm.target_date) * (_xlpm.loc_col =$C37), ""),
   IF(_xlpm.filtered="", "", _xlpm.filtered)
)</f>
        <v/>
      </c>
      <c r="Y37" s="186" t="str" cm="1">
        <f t="array" ref="Y37">_xlfn.LET(
   _xlpm.data, 表格3_5[[Date]:[Location]],
   _xlpm.date_col, INDEX(_xlpm.data, , 1),
   _xlpm.name_col, INDEX(_xlpm.data, , 2),
   _xlpm.loc_col,  INDEX(_xlpm.data, , 3),
   _xlpm.target_date, DATE(YEAR($C$1), MONTH($C$1), Y$7),
   _xlpm.filtered, _xlfn._xlws.FILTER(_xlpm.name_col, (_xlpm.date_col = _xlpm.target_date) * (_xlpm.loc_col =$C37), ""),
   IF(_xlpm.filtered="", "", _xlpm.filtered)
)</f>
        <v/>
      </c>
      <c r="Z37" s="186" t="str" cm="1">
        <f t="array" ref="Z37">_xlfn.LET(
   _xlpm.data, 表格3_5[[Date]:[Location]],
   _xlpm.date_col, INDEX(_xlpm.data, , 1),
   _xlpm.name_col, INDEX(_xlpm.data, , 2),
   _xlpm.loc_col,  INDEX(_xlpm.data, , 3),
   _xlpm.target_date, DATE(YEAR($C$1), MONTH($C$1), Z$7),
   _xlpm.filtered, _xlfn._xlws.FILTER(_xlpm.name_col, (_xlpm.date_col = _xlpm.target_date) * (_xlpm.loc_col =$C37), ""),
   IF(_xlpm.filtered="", "", _xlpm.filtered)
)</f>
        <v/>
      </c>
      <c r="AA37" s="186" t="str" cm="1">
        <f t="array" ref="AA37">_xlfn.LET(
   _xlpm.data, 表格3_5[[Date]:[Location]],
   _xlpm.date_col, INDEX(_xlpm.data, , 1),
   _xlpm.name_col, INDEX(_xlpm.data, , 2),
   _xlpm.loc_col,  INDEX(_xlpm.data, , 3),
   _xlpm.target_date, DATE(YEAR($C$1), MONTH($C$1), AA$7),
   _xlpm.filtered, _xlfn._xlws.FILTER(_xlpm.name_col, (_xlpm.date_col = _xlpm.target_date) * (_xlpm.loc_col =$C37), ""),
   IF(_xlpm.filtered="", "", _xlpm.filtered)
)</f>
        <v/>
      </c>
      <c r="AB37" s="186" t="str" cm="1">
        <f t="array" ref="AB37">_xlfn.LET(
   _xlpm.data, 表格3_5[[Date]:[Location]],
   _xlpm.date_col, INDEX(_xlpm.data, , 1),
   _xlpm.name_col, INDEX(_xlpm.data, , 2),
   _xlpm.loc_col,  INDEX(_xlpm.data, , 3),
   _xlpm.target_date, DATE(YEAR($C$1), MONTH($C$1), AB$7),
   _xlpm.filtered, _xlfn._xlws.FILTER(_xlpm.name_col, (_xlpm.date_col = _xlpm.target_date) * (_xlpm.loc_col =$C37), ""),
   IF(_xlpm.filtered="", "", _xlpm.filtered)
)</f>
        <v/>
      </c>
      <c r="AC37" s="186" t="str" cm="1">
        <f t="array" ref="AC37">_xlfn.LET(
   _xlpm.data, 表格3_5[[Date]:[Location]],
   _xlpm.date_col, INDEX(_xlpm.data, , 1),
   _xlpm.name_col, INDEX(_xlpm.data, , 2),
   _xlpm.loc_col,  INDEX(_xlpm.data, , 3),
   _xlpm.target_date, DATE(YEAR($C$1), MONTH($C$1), AC$7),
   _xlpm.filtered, _xlfn._xlws.FILTER(_xlpm.name_col, (_xlpm.date_col = _xlpm.target_date) * (_xlpm.loc_col =$C37), ""),
   IF(_xlpm.filtered="", "", _xlpm.filtered)
)</f>
        <v/>
      </c>
      <c r="AD37" s="186" t="str" cm="1">
        <f t="array" ref="AD37">_xlfn.LET(
   _xlpm.data, 表格3_5[[Date]:[Location]],
   _xlpm.date_col, INDEX(_xlpm.data, , 1),
   _xlpm.name_col, INDEX(_xlpm.data, , 2),
   _xlpm.loc_col,  INDEX(_xlpm.data, , 3),
   _xlpm.target_date, DATE(YEAR($C$1), MONTH($C$1), AD$7),
   _xlpm.filtered, _xlfn._xlws.FILTER(_xlpm.name_col, (_xlpm.date_col = _xlpm.target_date) * (_xlpm.loc_col =$C37), ""),
   IF(_xlpm.filtered="", "", _xlpm.filtered)
)</f>
        <v/>
      </c>
      <c r="AE37" s="186" t="str" cm="1">
        <f t="array" ref="AE37">_xlfn.LET(
   _xlpm.data, 表格3_5[[Date]:[Location]],
   _xlpm.date_col, INDEX(_xlpm.data, , 1),
   _xlpm.name_col, INDEX(_xlpm.data, , 2),
   _xlpm.loc_col,  INDEX(_xlpm.data, , 3),
   _xlpm.target_date, DATE(YEAR($C$1), MONTH($C$1), AE$7),
   _xlpm.filtered, _xlfn._xlws.FILTER(_xlpm.name_col, (_xlpm.date_col = _xlpm.target_date) * (_xlpm.loc_col =$C37), ""),
   IF(_xlpm.filtered="", "", _xlpm.filtered)
)</f>
        <v/>
      </c>
      <c r="AF37" s="186" t="str" cm="1">
        <f t="array" ref="AF37">_xlfn.LET(
   _xlpm.data, 表格3_5[[Date]:[Location]],
   _xlpm.date_col, INDEX(_xlpm.data, , 1),
   _xlpm.name_col, INDEX(_xlpm.data, , 2),
   _xlpm.loc_col,  INDEX(_xlpm.data, , 3),
   _xlpm.target_date, DATE(YEAR($C$1), MONTH($C$1), AF$7),
   _xlpm.filtered, _xlfn._xlws.FILTER(_xlpm.name_col, (_xlpm.date_col = _xlpm.target_date) * (_xlpm.loc_col =$C37), ""),
   IF(_xlpm.filtered="", "", _xlpm.filtered)
)</f>
        <v/>
      </c>
      <c r="AG37" s="186" t="str" cm="1">
        <f t="array" ref="AG37">_xlfn.LET(
   _xlpm.data, 表格3_5[[Date]:[Location]],
   _xlpm.date_col, INDEX(_xlpm.data, , 1),
   _xlpm.name_col, INDEX(_xlpm.data, , 2),
   _xlpm.loc_col,  INDEX(_xlpm.data, , 3),
   _xlpm.target_date, DATE(YEAR($C$1), MONTH($C$1), AG$7),
   _xlpm.filtered, _xlfn._xlws.FILTER(_xlpm.name_col, (_xlpm.date_col = _xlpm.target_date) * (_xlpm.loc_col =$C37), ""),
   IF(_xlpm.filtered="", "", _xlpm.filtered)
)</f>
        <v/>
      </c>
      <c r="AH37" s="186" t="str" cm="1">
        <f t="array" ref="AH37">_xlfn.LET(
   _xlpm.data, 表格3_5[[Date]:[Location]],
   _xlpm.date_col, INDEX(_xlpm.data, , 1),
   _xlpm.name_col, INDEX(_xlpm.data, , 2),
   _xlpm.loc_col,  INDEX(_xlpm.data, , 3),
   _xlpm.target_date, DATE(YEAR($C$1), MONTH($C$1), AH$7),
   _xlpm.filtered, _xlfn._xlws.FILTER(_xlpm.name_col, (_xlpm.date_col = _xlpm.target_date) * (_xlpm.loc_col =$C37), ""),
   IF(_xlpm.filtered="", "", _xlpm.filtered)
)</f>
        <v/>
      </c>
    </row>
    <row r="38" spans="2:34">
      <c r="B38" t="e" cm="1" vm="1">
        <f t="array" ref="B38">_xlfn.LET(
    _xlpm.data, D38:AH38,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D38" s="186" t="str" cm="1">
        <f t="array" ref="D38">_xlfn.LET(
   _xlpm.data, 表格3_5[[Date]:[Location]],
   _xlpm.date_col, INDEX(_xlpm.data, , 1),
   _xlpm.name_col, INDEX(_xlpm.data, , 2),
   _xlpm.loc_col,  INDEX(_xlpm.data, , 3),
   _xlpm.target_date, DATE(YEAR($C$1), MONTH($C$1), D$7),
   _xlpm.filtered, _xlfn._xlws.FILTER(_xlpm.name_col, (_xlpm.date_col = _xlpm.target_date) * (_xlpm.loc_col =$C38), ""),
   IF(_xlpm.filtered="", "", _xlpm.filtered)
)</f>
        <v/>
      </c>
      <c r="E38" s="186" t="str" cm="1">
        <f t="array" ref="E38">_xlfn.LET(
   _xlpm.data, 表格3_5[[Date]:[Location]],
   _xlpm.date_col, INDEX(_xlpm.data, , 1),
   _xlpm.name_col, INDEX(_xlpm.data, , 2),
   _xlpm.loc_col,  INDEX(_xlpm.data, , 3),
   _xlpm.target_date, DATE(YEAR($C$1), MONTH($C$1), E$7),
   _xlpm.filtered, _xlfn._xlws.FILTER(_xlpm.name_col, (_xlpm.date_col = _xlpm.target_date) * (_xlpm.loc_col =$C38), ""),
   IF(_xlpm.filtered="", "", _xlpm.filtered)
)</f>
        <v/>
      </c>
      <c r="F38" s="186" t="str" cm="1">
        <f t="array" ref="F38">_xlfn.LET(
   _xlpm.data, 表格3_5[[Date]:[Location]],
   _xlpm.date_col, INDEX(_xlpm.data, , 1),
   _xlpm.name_col, INDEX(_xlpm.data, , 2),
   _xlpm.loc_col,  INDEX(_xlpm.data, , 3),
   _xlpm.target_date, DATE(YEAR($C$1), MONTH($C$1), F$7),
   _xlpm.filtered, _xlfn._xlws.FILTER(_xlpm.name_col, (_xlpm.date_col = _xlpm.target_date) * (_xlpm.loc_col =$C38), ""),
   IF(_xlpm.filtered="", "", _xlpm.filtered)
)</f>
        <v/>
      </c>
      <c r="G38" s="186" t="str" cm="1">
        <f t="array" ref="G38">_xlfn.LET(
   _xlpm.data, 表格3_5[[Date]:[Location]],
   _xlpm.date_col, INDEX(_xlpm.data, , 1),
   _xlpm.name_col, INDEX(_xlpm.data, , 2),
   _xlpm.loc_col,  INDEX(_xlpm.data, , 3),
   _xlpm.target_date, DATE(YEAR($C$1), MONTH($C$1), G$7),
   _xlpm.filtered, _xlfn._xlws.FILTER(_xlpm.name_col, (_xlpm.date_col = _xlpm.target_date) * (_xlpm.loc_col =$C38), ""),
   IF(_xlpm.filtered="", "", _xlpm.filtered)
)</f>
        <v/>
      </c>
      <c r="H38" s="186" t="str" cm="1">
        <f t="array" ref="H38">_xlfn.LET(
   _xlpm.data, 表格3_5[[Date]:[Location]],
   _xlpm.date_col, INDEX(_xlpm.data, , 1),
   _xlpm.name_col, INDEX(_xlpm.data, , 2),
   _xlpm.loc_col,  INDEX(_xlpm.data, , 3),
   _xlpm.target_date, DATE(YEAR($C$1), MONTH($C$1), H$7),
   _xlpm.filtered, _xlfn._xlws.FILTER(_xlpm.name_col, (_xlpm.date_col = _xlpm.target_date) * (_xlpm.loc_col =$C38), ""),
   IF(_xlpm.filtered="", "", _xlpm.filtered)
)</f>
        <v/>
      </c>
      <c r="I38" s="186" t="str" cm="1">
        <f t="array" ref="I38">_xlfn.LET(
   _xlpm.data, 表格3_5[[Date]:[Location]],
   _xlpm.date_col, INDEX(_xlpm.data, , 1),
   _xlpm.name_col, INDEX(_xlpm.data, , 2),
   _xlpm.loc_col,  INDEX(_xlpm.data, , 3),
   _xlpm.target_date, DATE(YEAR($C$1), MONTH($C$1), I$7),
   _xlpm.filtered, _xlfn._xlws.FILTER(_xlpm.name_col, (_xlpm.date_col = _xlpm.target_date) * (_xlpm.loc_col =$C38), ""),
   IF(_xlpm.filtered="", "", _xlpm.filtered)
)</f>
        <v/>
      </c>
      <c r="J38" s="186" t="str" cm="1">
        <f t="array" ref="J38">_xlfn.LET(
   _xlpm.data, 表格3_5[[Date]:[Location]],
   _xlpm.date_col, INDEX(_xlpm.data, , 1),
   _xlpm.name_col, INDEX(_xlpm.data, , 2),
   _xlpm.loc_col,  INDEX(_xlpm.data, , 3),
   _xlpm.target_date, DATE(YEAR($C$1), MONTH($C$1), J$7),
   _xlpm.filtered, _xlfn._xlws.FILTER(_xlpm.name_col, (_xlpm.date_col = _xlpm.target_date) * (_xlpm.loc_col =$C38), ""),
   IF(_xlpm.filtered="", "", _xlpm.filtered)
)</f>
        <v/>
      </c>
      <c r="K38" s="186" t="str" cm="1">
        <f t="array" ref="K38">_xlfn.LET(
   _xlpm.data, 表格3_5[[Date]:[Location]],
   _xlpm.date_col, INDEX(_xlpm.data, , 1),
   _xlpm.name_col, INDEX(_xlpm.data, , 2),
   _xlpm.loc_col,  INDEX(_xlpm.data, , 3),
   _xlpm.target_date, DATE(YEAR($C$1), MONTH($C$1), K$7),
   _xlpm.filtered, _xlfn._xlws.FILTER(_xlpm.name_col, (_xlpm.date_col = _xlpm.target_date) * (_xlpm.loc_col =$C38), ""),
   IF(_xlpm.filtered="", "", _xlpm.filtered)
)</f>
        <v/>
      </c>
      <c r="L38" s="186" t="str" cm="1">
        <f t="array" ref="L38">_xlfn.LET(
   _xlpm.data, 表格3_5[[Date]:[Location]],
   _xlpm.date_col, INDEX(_xlpm.data, , 1),
   _xlpm.name_col, INDEX(_xlpm.data, , 2),
   _xlpm.loc_col,  INDEX(_xlpm.data, , 3),
   _xlpm.target_date, DATE(YEAR($C$1), MONTH($C$1), L$7),
   _xlpm.filtered, _xlfn._xlws.FILTER(_xlpm.name_col, (_xlpm.date_col = _xlpm.target_date) * (_xlpm.loc_col =$C38), ""),
   IF(_xlpm.filtered="", "", _xlpm.filtered)
)</f>
        <v/>
      </c>
      <c r="M38" s="186" t="str" cm="1">
        <f t="array" ref="M38">_xlfn.LET(
   _xlpm.data, 表格3_5[[Date]:[Location]],
   _xlpm.date_col, INDEX(_xlpm.data, , 1),
   _xlpm.name_col, INDEX(_xlpm.data, , 2),
   _xlpm.loc_col,  INDEX(_xlpm.data, , 3),
   _xlpm.target_date, DATE(YEAR($C$1), MONTH($C$1), M$7),
   _xlpm.filtered, _xlfn._xlws.FILTER(_xlpm.name_col, (_xlpm.date_col = _xlpm.target_date) * (_xlpm.loc_col =$C38), ""),
   IF(_xlpm.filtered="", "", _xlpm.filtered)
)</f>
        <v/>
      </c>
      <c r="N38" s="186" t="str" cm="1">
        <f t="array" ref="N38">_xlfn.LET(
   _xlpm.data, 表格3_5[[Date]:[Location]],
   _xlpm.date_col, INDEX(_xlpm.data, , 1),
   _xlpm.name_col, INDEX(_xlpm.data, , 2),
   _xlpm.loc_col,  INDEX(_xlpm.data, , 3),
   _xlpm.target_date, DATE(YEAR($C$1), MONTH($C$1), N$7),
   _xlpm.filtered, _xlfn._xlws.FILTER(_xlpm.name_col, (_xlpm.date_col = _xlpm.target_date) * (_xlpm.loc_col =$C38), ""),
   IF(_xlpm.filtered="", "", _xlpm.filtered)
)</f>
        <v/>
      </c>
      <c r="O38" s="186" t="str" cm="1">
        <f t="array" ref="O38">_xlfn.LET(
   _xlpm.data, 表格3_5[[Date]:[Location]],
   _xlpm.date_col, INDEX(_xlpm.data, , 1),
   _xlpm.name_col, INDEX(_xlpm.data, , 2),
   _xlpm.loc_col,  INDEX(_xlpm.data, , 3),
   _xlpm.target_date, DATE(YEAR($C$1), MONTH($C$1), O$7),
   _xlpm.filtered, _xlfn._xlws.FILTER(_xlpm.name_col, (_xlpm.date_col = _xlpm.target_date) * (_xlpm.loc_col =$C38), ""),
   IF(_xlpm.filtered="", "", _xlpm.filtered)
)</f>
        <v/>
      </c>
      <c r="P38" s="186" t="str" cm="1">
        <f t="array" ref="P38">_xlfn.LET(
   _xlpm.data, 表格3_5[[Date]:[Location]],
   _xlpm.date_col, INDEX(_xlpm.data, , 1),
   _xlpm.name_col, INDEX(_xlpm.data, , 2),
   _xlpm.loc_col,  INDEX(_xlpm.data, , 3),
   _xlpm.target_date, DATE(YEAR($C$1), MONTH($C$1), P$7),
   _xlpm.filtered, _xlfn._xlws.FILTER(_xlpm.name_col, (_xlpm.date_col = _xlpm.target_date) * (_xlpm.loc_col =$C38), ""),
   IF(_xlpm.filtered="", "", _xlpm.filtered)
)</f>
        <v/>
      </c>
      <c r="Q38" s="186" t="str" cm="1">
        <f t="array" ref="Q38">_xlfn.LET(
   _xlpm.data, 表格3_5[[Date]:[Location]],
   _xlpm.date_col, INDEX(_xlpm.data, , 1),
   _xlpm.name_col, INDEX(_xlpm.data, , 2),
   _xlpm.loc_col,  INDEX(_xlpm.data, , 3),
   _xlpm.target_date, DATE(YEAR($C$1), MONTH($C$1), Q$7),
   _xlpm.filtered, _xlfn._xlws.FILTER(_xlpm.name_col, (_xlpm.date_col = _xlpm.target_date) * (_xlpm.loc_col =$C38), ""),
   IF(_xlpm.filtered="", "", _xlpm.filtered)
)</f>
        <v/>
      </c>
      <c r="R38" s="186" t="str" cm="1">
        <f t="array" ref="R38">_xlfn.LET(
   _xlpm.data, 表格3_5[[Date]:[Location]],
   _xlpm.date_col, INDEX(_xlpm.data, , 1),
   _xlpm.name_col, INDEX(_xlpm.data, , 2),
   _xlpm.loc_col,  INDEX(_xlpm.data, , 3),
   _xlpm.target_date, DATE(YEAR($C$1), MONTH($C$1), R$7),
   _xlpm.filtered, _xlfn._xlws.FILTER(_xlpm.name_col, (_xlpm.date_col = _xlpm.target_date) * (_xlpm.loc_col =$C38), ""),
   IF(_xlpm.filtered="", "", _xlpm.filtered)
)</f>
        <v/>
      </c>
      <c r="S38" s="186" t="str" cm="1">
        <f t="array" ref="S38">_xlfn.LET(
   _xlpm.data, 表格3_5[[Date]:[Location]],
   _xlpm.date_col, INDEX(_xlpm.data, , 1),
   _xlpm.name_col, INDEX(_xlpm.data, , 2),
   _xlpm.loc_col,  INDEX(_xlpm.data, , 3),
   _xlpm.target_date, DATE(YEAR($C$1), MONTH($C$1), S$7),
   _xlpm.filtered, _xlfn._xlws.FILTER(_xlpm.name_col, (_xlpm.date_col = _xlpm.target_date) * (_xlpm.loc_col =$C38), ""),
   IF(_xlpm.filtered="", "", _xlpm.filtered)
)</f>
        <v/>
      </c>
      <c r="T38" s="186" t="str" cm="1">
        <f t="array" ref="T38">_xlfn.LET(
   _xlpm.data, 表格3_5[[Date]:[Location]],
   _xlpm.date_col, INDEX(_xlpm.data, , 1),
   _xlpm.name_col, INDEX(_xlpm.data, , 2),
   _xlpm.loc_col,  INDEX(_xlpm.data, , 3),
   _xlpm.target_date, DATE(YEAR($C$1), MONTH($C$1), T$7),
   _xlpm.filtered, _xlfn._xlws.FILTER(_xlpm.name_col, (_xlpm.date_col = _xlpm.target_date) * (_xlpm.loc_col =$C38), ""),
   IF(_xlpm.filtered="", "", _xlpm.filtered)
)</f>
        <v/>
      </c>
      <c r="U38" s="186" t="str" cm="1">
        <f t="array" ref="U38">_xlfn.LET(
   _xlpm.data, 表格3_5[[Date]:[Location]],
   _xlpm.date_col, INDEX(_xlpm.data, , 1),
   _xlpm.name_col, INDEX(_xlpm.data, , 2),
   _xlpm.loc_col,  INDEX(_xlpm.data, , 3),
   _xlpm.target_date, DATE(YEAR($C$1), MONTH($C$1), U$7),
   _xlpm.filtered, _xlfn._xlws.FILTER(_xlpm.name_col, (_xlpm.date_col = _xlpm.target_date) * (_xlpm.loc_col =$C38), ""),
   IF(_xlpm.filtered="", "", _xlpm.filtered)
)</f>
        <v/>
      </c>
      <c r="V38" s="186" t="str" cm="1">
        <f t="array" ref="V38">_xlfn.LET(
   _xlpm.data, 表格3_5[[Date]:[Location]],
   _xlpm.date_col, INDEX(_xlpm.data, , 1),
   _xlpm.name_col, INDEX(_xlpm.data, , 2),
   _xlpm.loc_col,  INDEX(_xlpm.data, , 3),
   _xlpm.target_date, DATE(YEAR($C$1), MONTH($C$1), V$7),
   _xlpm.filtered, _xlfn._xlws.FILTER(_xlpm.name_col, (_xlpm.date_col = _xlpm.target_date) * (_xlpm.loc_col =$C38), ""),
   IF(_xlpm.filtered="", "", _xlpm.filtered)
)</f>
        <v/>
      </c>
      <c r="W38" s="186" t="str" cm="1">
        <f t="array" ref="W38">_xlfn.LET(
   _xlpm.data, 表格3_5[[Date]:[Location]],
   _xlpm.date_col, INDEX(_xlpm.data, , 1),
   _xlpm.name_col, INDEX(_xlpm.data, , 2),
   _xlpm.loc_col,  INDEX(_xlpm.data, , 3),
   _xlpm.target_date, DATE(YEAR($C$1), MONTH($C$1), W$7),
   _xlpm.filtered, _xlfn._xlws.FILTER(_xlpm.name_col, (_xlpm.date_col = _xlpm.target_date) * (_xlpm.loc_col =$C38), ""),
   IF(_xlpm.filtered="", "", _xlpm.filtered)
)</f>
        <v/>
      </c>
      <c r="X38" s="186" t="str" cm="1">
        <f t="array" ref="X38">_xlfn.LET(
   _xlpm.data, 表格3_5[[Date]:[Location]],
   _xlpm.date_col, INDEX(_xlpm.data, , 1),
   _xlpm.name_col, INDEX(_xlpm.data, , 2),
   _xlpm.loc_col,  INDEX(_xlpm.data, , 3),
   _xlpm.target_date, DATE(YEAR($C$1), MONTH($C$1), X$7),
   _xlpm.filtered, _xlfn._xlws.FILTER(_xlpm.name_col, (_xlpm.date_col = _xlpm.target_date) * (_xlpm.loc_col =$C38), ""),
   IF(_xlpm.filtered="", "", _xlpm.filtered)
)</f>
        <v/>
      </c>
      <c r="Y38" s="186" t="str" cm="1">
        <f t="array" ref="Y38">_xlfn.LET(
   _xlpm.data, 表格3_5[[Date]:[Location]],
   _xlpm.date_col, INDEX(_xlpm.data, , 1),
   _xlpm.name_col, INDEX(_xlpm.data, , 2),
   _xlpm.loc_col,  INDEX(_xlpm.data, , 3),
   _xlpm.target_date, DATE(YEAR($C$1), MONTH($C$1), Y$7),
   _xlpm.filtered, _xlfn._xlws.FILTER(_xlpm.name_col, (_xlpm.date_col = _xlpm.target_date) * (_xlpm.loc_col =$C38), ""),
   IF(_xlpm.filtered="", "", _xlpm.filtered)
)</f>
        <v/>
      </c>
      <c r="Z38" s="186" t="str" cm="1">
        <f t="array" ref="Z38">_xlfn.LET(
   _xlpm.data, 表格3_5[[Date]:[Location]],
   _xlpm.date_col, INDEX(_xlpm.data, , 1),
   _xlpm.name_col, INDEX(_xlpm.data, , 2),
   _xlpm.loc_col,  INDEX(_xlpm.data, , 3),
   _xlpm.target_date, DATE(YEAR($C$1), MONTH($C$1), Z$7),
   _xlpm.filtered, _xlfn._xlws.FILTER(_xlpm.name_col, (_xlpm.date_col = _xlpm.target_date) * (_xlpm.loc_col =$C38), ""),
   IF(_xlpm.filtered="", "", _xlpm.filtered)
)</f>
        <v/>
      </c>
      <c r="AA38" s="186" t="str" cm="1">
        <f t="array" ref="AA38">_xlfn.LET(
   _xlpm.data, 表格3_5[[Date]:[Location]],
   _xlpm.date_col, INDEX(_xlpm.data, , 1),
   _xlpm.name_col, INDEX(_xlpm.data, , 2),
   _xlpm.loc_col,  INDEX(_xlpm.data, , 3),
   _xlpm.target_date, DATE(YEAR($C$1), MONTH($C$1), AA$7),
   _xlpm.filtered, _xlfn._xlws.FILTER(_xlpm.name_col, (_xlpm.date_col = _xlpm.target_date) * (_xlpm.loc_col =$C38), ""),
   IF(_xlpm.filtered="", "", _xlpm.filtered)
)</f>
        <v/>
      </c>
      <c r="AB38" s="186" t="str" cm="1">
        <f t="array" ref="AB38">_xlfn.LET(
   _xlpm.data, 表格3_5[[Date]:[Location]],
   _xlpm.date_col, INDEX(_xlpm.data, , 1),
   _xlpm.name_col, INDEX(_xlpm.data, , 2),
   _xlpm.loc_col,  INDEX(_xlpm.data, , 3),
   _xlpm.target_date, DATE(YEAR($C$1), MONTH($C$1), AB$7),
   _xlpm.filtered, _xlfn._xlws.FILTER(_xlpm.name_col, (_xlpm.date_col = _xlpm.target_date) * (_xlpm.loc_col =$C38), ""),
   IF(_xlpm.filtered="", "", _xlpm.filtered)
)</f>
        <v/>
      </c>
      <c r="AC38" s="186" t="str" cm="1">
        <f t="array" ref="AC38">_xlfn.LET(
   _xlpm.data, 表格3_5[[Date]:[Location]],
   _xlpm.date_col, INDEX(_xlpm.data, , 1),
   _xlpm.name_col, INDEX(_xlpm.data, , 2),
   _xlpm.loc_col,  INDEX(_xlpm.data, , 3),
   _xlpm.target_date, DATE(YEAR($C$1), MONTH($C$1), AC$7),
   _xlpm.filtered, _xlfn._xlws.FILTER(_xlpm.name_col, (_xlpm.date_col = _xlpm.target_date) * (_xlpm.loc_col =$C38), ""),
   IF(_xlpm.filtered="", "", _xlpm.filtered)
)</f>
        <v/>
      </c>
      <c r="AD38" s="186" t="str" cm="1">
        <f t="array" ref="AD38">_xlfn.LET(
   _xlpm.data, 表格3_5[[Date]:[Location]],
   _xlpm.date_col, INDEX(_xlpm.data, , 1),
   _xlpm.name_col, INDEX(_xlpm.data, , 2),
   _xlpm.loc_col,  INDEX(_xlpm.data, , 3),
   _xlpm.target_date, DATE(YEAR($C$1), MONTH($C$1), AD$7),
   _xlpm.filtered, _xlfn._xlws.FILTER(_xlpm.name_col, (_xlpm.date_col = _xlpm.target_date) * (_xlpm.loc_col =$C38), ""),
   IF(_xlpm.filtered="", "", _xlpm.filtered)
)</f>
        <v/>
      </c>
      <c r="AE38" s="186" t="str" cm="1">
        <f t="array" ref="AE38">_xlfn.LET(
   _xlpm.data, 表格3_5[[Date]:[Location]],
   _xlpm.date_col, INDEX(_xlpm.data, , 1),
   _xlpm.name_col, INDEX(_xlpm.data, , 2),
   _xlpm.loc_col,  INDEX(_xlpm.data, , 3),
   _xlpm.target_date, DATE(YEAR($C$1), MONTH($C$1), AE$7),
   _xlpm.filtered, _xlfn._xlws.FILTER(_xlpm.name_col, (_xlpm.date_col = _xlpm.target_date) * (_xlpm.loc_col =$C38), ""),
   IF(_xlpm.filtered="", "", _xlpm.filtered)
)</f>
        <v/>
      </c>
      <c r="AF38" s="186" t="str" cm="1">
        <f t="array" ref="AF38">_xlfn.LET(
   _xlpm.data, 表格3_5[[Date]:[Location]],
   _xlpm.date_col, INDEX(_xlpm.data, , 1),
   _xlpm.name_col, INDEX(_xlpm.data, , 2),
   _xlpm.loc_col,  INDEX(_xlpm.data, , 3),
   _xlpm.target_date, DATE(YEAR($C$1), MONTH($C$1), AF$7),
   _xlpm.filtered, _xlfn._xlws.FILTER(_xlpm.name_col, (_xlpm.date_col = _xlpm.target_date) * (_xlpm.loc_col =$C38), ""),
   IF(_xlpm.filtered="", "", _xlpm.filtered)
)</f>
        <v/>
      </c>
      <c r="AG38" s="186" t="str" cm="1">
        <f t="array" ref="AG38">_xlfn.LET(
   _xlpm.data, 表格3_5[[Date]:[Location]],
   _xlpm.date_col, INDEX(_xlpm.data, , 1),
   _xlpm.name_col, INDEX(_xlpm.data, , 2),
   _xlpm.loc_col,  INDEX(_xlpm.data, , 3),
   _xlpm.target_date, DATE(YEAR($C$1), MONTH($C$1), AG$7),
   _xlpm.filtered, _xlfn._xlws.FILTER(_xlpm.name_col, (_xlpm.date_col = _xlpm.target_date) * (_xlpm.loc_col =$C38), ""),
   IF(_xlpm.filtered="", "", _xlpm.filtered)
)</f>
        <v/>
      </c>
      <c r="AH38" s="186" t="str" cm="1">
        <f t="array" ref="AH38">_xlfn.LET(
   _xlpm.data, 表格3_5[[Date]:[Location]],
   _xlpm.date_col, INDEX(_xlpm.data, , 1),
   _xlpm.name_col, INDEX(_xlpm.data, , 2),
   _xlpm.loc_col,  INDEX(_xlpm.data, , 3),
   _xlpm.target_date, DATE(YEAR($C$1), MONTH($C$1), AH$7),
   _xlpm.filtered, _xlfn._xlws.FILTER(_xlpm.name_col, (_xlpm.date_col = _xlpm.target_date) * (_xlpm.loc_col =$C38), ""),
   IF(_xlpm.filtered="", "", _xlpm.filtered)
)</f>
        <v/>
      </c>
    </row>
    <row r="39" spans="2:34">
      <c r="B39" t="e" cm="1" vm="1">
        <f t="array" ref="B39">_xlfn.LET(
    _xlpm.data, D39:AH39,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D39" s="186" t="str" cm="1">
        <f t="array" ref="D39">_xlfn.LET(
   _xlpm.data, 表格3_5[[Date]:[Location]],
   _xlpm.date_col, INDEX(_xlpm.data, , 1),
   _xlpm.name_col, INDEX(_xlpm.data, , 2),
   _xlpm.loc_col,  INDEX(_xlpm.data, , 3),
   _xlpm.target_date, DATE(YEAR($C$1), MONTH($C$1), D$7),
   _xlpm.filtered, _xlfn._xlws.FILTER(_xlpm.name_col, (_xlpm.date_col = _xlpm.target_date) * (_xlpm.loc_col =$C39), ""),
   IF(_xlpm.filtered="", "", _xlpm.filtered)
)</f>
        <v/>
      </c>
      <c r="E39" s="186" t="str" cm="1">
        <f t="array" ref="E39">_xlfn.LET(
   _xlpm.data, 表格3_5[[Date]:[Location]],
   _xlpm.date_col, INDEX(_xlpm.data, , 1),
   _xlpm.name_col, INDEX(_xlpm.data, , 2),
   _xlpm.loc_col,  INDEX(_xlpm.data, , 3),
   _xlpm.target_date, DATE(YEAR($C$1), MONTH($C$1), E$7),
   _xlpm.filtered, _xlfn._xlws.FILTER(_xlpm.name_col, (_xlpm.date_col = _xlpm.target_date) * (_xlpm.loc_col =$C39), ""),
   IF(_xlpm.filtered="", "", _xlpm.filtered)
)</f>
        <v/>
      </c>
      <c r="F39" s="186" t="str" cm="1">
        <f t="array" ref="F39">_xlfn.LET(
   _xlpm.data, 表格3_5[[Date]:[Location]],
   _xlpm.date_col, INDEX(_xlpm.data, , 1),
   _xlpm.name_col, INDEX(_xlpm.data, , 2),
   _xlpm.loc_col,  INDEX(_xlpm.data, , 3),
   _xlpm.target_date, DATE(YEAR($C$1), MONTH($C$1), F$7),
   _xlpm.filtered, _xlfn._xlws.FILTER(_xlpm.name_col, (_xlpm.date_col = _xlpm.target_date) * (_xlpm.loc_col =$C39), ""),
   IF(_xlpm.filtered="", "", _xlpm.filtered)
)</f>
        <v/>
      </c>
      <c r="G39" s="186" t="str" cm="1">
        <f t="array" ref="G39">_xlfn.LET(
   _xlpm.data, 表格3_5[[Date]:[Location]],
   _xlpm.date_col, INDEX(_xlpm.data, , 1),
   _xlpm.name_col, INDEX(_xlpm.data, , 2),
   _xlpm.loc_col,  INDEX(_xlpm.data, , 3),
   _xlpm.target_date, DATE(YEAR($C$1), MONTH($C$1), G$7),
   _xlpm.filtered, _xlfn._xlws.FILTER(_xlpm.name_col, (_xlpm.date_col = _xlpm.target_date) * (_xlpm.loc_col =$C39), ""),
   IF(_xlpm.filtered="", "", _xlpm.filtered)
)</f>
        <v/>
      </c>
      <c r="H39" s="186" t="str" cm="1">
        <f t="array" ref="H39">_xlfn.LET(
   _xlpm.data, 表格3_5[[Date]:[Location]],
   _xlpm.date_col, INDEX(_xlpm.data, , 1),
   _xlpm.name_col, INDEX(_xlpm.data, , 2),
   _xlpm.loc_col,  INDEX(_xlpm.data, , 3),
   _xlpm.target_date, DATE(YEAR($C$1), MONTH($C$1), H$7),
   _xlpm.filtered, _xlfn._xlws.FILTER(_xlpm.name_col, (_xlpm.date_col = _xlpm.target_date) * (_xlpm.loc_col =$C39), ""),
   IF(_xlpm.filtered="", "", _xlpm.filtered)
)</f>
        <v/>
      </c>
      <c r="I39" s="186" t="str" cm="1">
        <f t="array" ref="I39">_xlfn.LET(
   _xlpm.data, 表格3_5[[Date]:[Location]],
   _xlpm.date_col, INDEX(_xlpm.data, , 1),
   _xlpm.name_col, INDEX(_xlpm.data, , 2),
   _xlpm.loc_col,  INDEX(_xlpm.data, , 3),
   _xlpm.target_date, DATE(YEAR($C$1), MONTH($C$1), I$7),
   _xlpm.filtered, _xlfn._xlws.FILTER(_xlpm.name_col, (_xlpm.date_col = _xlpm.target_date) * (_xlpm.loc_col =$C39), ""),
   IF(_xlpm.filtered="", "", _xlpm.filtered)
)</f>
        <v/>
      </c>
      <c r="J39" s="186" t="str" cm="1">
        <f t="array" ref="J39">_xlfn.LET(
   _xlpm.data, 表格3_5[[Date]:[Location]],
   _xlpm.date_col, INDEX(_xlpm.data, , 1),
   _xlpm.name_col, INDEX(_xlpm.data, , 2),
   _xlpm.loc_col,  INDEX(_xlpm.data, , 3),
   _xlpm.target_date, DATE(YEAR($C$1), MONTH($C$1), J$7),
   _xlpm.filtered, _xlfn._xlws.FILTER(_xlpm.name_col, (_xlpm.date_col = _xlpm.target_date) * (_xlpm.loc_col =$C39), ""),
   IF(_xlpm.filtered="", "", _xlpm.filtered)
)</f>
        <v/>
      </c>
      <c r="K39" s="186" t="str" cm="1">
        <f t="array" ref="K39">_xlfn.LET(
   _xlpm.data, 表格3_5[[Date]:[Location]],
   _xlpm.date_col, INDEX(_xlpm.data, , 1),
   _xlpm.name_col, INDEX(_xlpm.data, , 2),
   _xlpm.loc_col,  INDEX(_xlpm.data, , 3),
   _xlpm.target_date, DATE(YEAR($C$1), MONTH($C$1), K$7),
   _xlpm.filtered, _xlfn._xlws.FILTER(_xlpm.name_col, (_xlpm.date_col = _xlpm.target_date) * (_xlpm.loc_col =$C39), ""),
   IF(_xlpm.filtered="", "", _xlpm.filtered)
)</f>
        <v/>
      </c>
      <c r="L39" s="186" t="str" cm="1">
        <f t="array" ref="L39">_xlfn.LET(
   _xlpm.data, 表格3_5[[Date]:[Location]],
   _xlpm.date_col, INDEX(_xlpm.data, , 1),
   _xlpm.name_col, INDEX(_xlpm.data, , 2),
   _xlpm.loc_col,  INDEX(_xlpm.data, , 3),
   _xlpm.target_date, DATE(YEAR($C$1), MONTH($C$1), L$7),
   _xlpm.filtered, _xlfn._xlws.FILTER(_xlpm.name_col, (_xlpm.date_col = _xlpm.target_date) * (_xlpm.loc_col =$C39), ""),
   IF(_xlpm.filtered="", "", _xlpm.filtered)
)</f>
        <v/>
      </c>
      <c r="M39" s="186" t="str" cm="1">
        <f t="array" ref="M39">_xlfn.LET(
   _xlpm.data, 表格3_5[[Date]:[Location]],
   _xlpm.date_col, INDEX(_xlpm.data, , 1),
   _xlpm.name_col, INDEX(_xlpm.data, , 2),
   _xlpm.loc_col,  INDEX(_xlpm.data, , 3),
   _xlpm.target_date, DATE(YEAR($C$1), MONTH($C$1), M$7),
   _xlpm.filtered, _xlfn._xlws.FILTER(_xlpm.name_col, (_xlpm.date_col = _xlpm.target_date) * (_xlpm.loc_col =$C39), ""),
   IF(_xlpm.filtered="", "", _xlpm.filtered)
)</f>
        <v/>
      </c>
      <c r="N39" s="186" t="str" cm="1">
        <f t="array" ref="N39">_xlfn.LET(
   _xlpm.data, 表格3_5[[Date]:[Location]],
   _xlpm.date_col, INDEX(_xlpm.data, , 1),
   _xlpm.name_col, INDEX(_xlpm.data, , 2),
   _xlpm.loc_col,  INDEX(_xlpm.data, , 3),
   _xlpm.target_date, DATE(YEAR($C$1), MONTH($C$1), N$7),
   _xlpm.filtered, _xlfn._xlws.FILTER(_xlpm.name_col, (_xlpm.date_col = _xlpm.target_date) * (_xlpm.loc_col =$C39), ""),
   IF(_xlpm.filtered="", "", _xlpm.filtered)
)</f>
        <v/>
      </c>
      <c r="O39" s="186" t="str" cm="1">
        <f t="array" ref="O39">_xlfn.LET(
   _xlpm.data, 表格3_5[[Date]:[Location]],
   _xlpm.date_col, INDEX(_xlpm.data, , 1),
   _xlpm.name_col, INDEX(_xlpm.data, , 2),
   _xlpm.loc_col,  INDEX(_xlpm.data, , 3),
   _xlpm.target_date, DATE(YEAR($C$1), MONTH($C$1), O$7),
   _xlpm.filtered, _xlfn._xlws.FILTER(_xlpm.name_col, (_xlpm.date_col = _xlpm.target_date) * (_xlpm.loc_col =$C39), ""),
   IF(_xlpm.filtered="", "", _xlpm.filtered)
)</f>
        <v/>
      </c>
      <c r="P39" s="186" t="str" cm="1">
        <f t="array" ref="P39">_xlfn.LET(
   _xlpm.data, 表格3_5[[Date]:[Location]],
   _xlpm.date_col, INDEX(_xlpm.data, , 1),
   _xlpm.name_col, INDEX(_xlpm.data, , 2),
   _xlpm.loc_col,  INDEX(_xlpm.data, , 3),
   _xlpm.target_date, DATE(YEAR($C$1), MONTH($C$1), P$7),
   _xlpm.filtered, _xlfn._xlws.FILTER(_xlpm.name_col, (_xlpm.date_col = _xlpm.target_date) * (_xlpm.loc_col =$C39), ""),
   IF(_xlpm.filtered="", "", _xlpm.filtered)
)</f>
        <v/>
      </c>
      <c r="Q39" s="186" t="str" cm="1">
        <f t="array" ref="Q39">_xlfn.LET(
   _xlpm.data, 表格3_5[[Date]:[Location]],
   _xlpm.date_col, INDEX(_xlpm.data, , 1),
   _xlpm.name_col, INDEX(_xlpm.data, , 2),
   _xlpm.loc_col,  INDEX(_xlpm.data, , 3),
   _xlpm.target_date, DATE(YEAR($C$1), MONTH($C$1), Q$7),
   _xlpm.filtered, _xlfn._xlws.FILTER(_xlpm.name_col, (_xlpm.date_col = _xlpm.target_date) * (_xlpm.loc_col =$C39), ""),
   IF(_xlpm.filtered="", "", _xlpm.filtered)
)</f>
        <v/>
      </c>
      <c r="R39" s="186" t="str" cm="1">
        <f t="array" ref="R39">_xlfn.LET(
   _xlpm.data, 表格3_5[[Date]:[Location]],
   _xlpm.date_col, INDEX(_xlpm.data, , 1),
   _xlpm.name_col, INDEX(_xlpm.data, , 2),
   _xlpm.loc_col,  INDEX(_xlpm.data, , 3),
   _xlpm.target_date, DATE(YEAR($C$1), MONTH($C$1), R$7),
   _xlpm.filtered, _xlfn._xlws.FILTER(_xlpm.name_col, (_xlpm.date_col = _xlpm.target_date) * (_xlpm.loc_col =$C39), ""),
   IF(_xlpm.filtered="", "", _xlpm.filtered)
)</f>
        <v/>
      </c>
      <c r="S39" s="186" t="str" cm="1">
        <f t="array" ref="S39">_xlfn.LET(
   _xlpm.data, 表格3_5[[Date]:[Location]],
   _xlpm.date_col, INDEX(_xlpm.data, , 1),
   _xlpm.name_col, INDEX(_xlpm.data, , 2),
   _xlpm.loc_col,  INDEX(_xlpm.data, , 3),
   _xlpm.target_date, DATE(YEAR($C$1), MONTH($C$1), S$7),
   _xlpm.filtered, _xlfn._xlws.FILTER(_xlpm.name_col, (_xlpm.date_col = _xlpm.target_date) * (_xlpm.loc_col =$C39), ""),
   IF(_xlpm.filtered="", "", _xlpm.filtered)
)</f>
        <v/>
      </c>
      <c r="T39" s="186" t="str" cm="1">
        <f t="array" ref="T39">_xlfn.LET(
   _xlpm.data, 表格3_5[[Date]:[Location]],
   _xlpm.date_col, INDEX(_xlpm.data, , 1),
   _xlpm.name_col, INDEX(_xlpm.data, , 2),
   _xlpm.loc_col,  INDEX(_xlpm.data, , 3),
   _xlpm.target_date, DATE(YEAR($C$1), MONTH($C$1), T$7),
   _xlpm.filtered, _xlfn._xlws.FILTER(_xlpm.name_col, (_xlpm.date_col = _xlpm.target_date) * (_xlpm.loc_col =$C39), ""),
   IF(_xlpm.filtered="", "", _xlpm.filtered)
)</f>
        <v/>
      </c>
      <c r="U39" s="186" t="str" cm="1">
        <f t="array" ref="U39">_xlfn.LET(
   _xlpm.data, 表格3_5[[Date]:[Location]],
   _xlpm.date_col, INDEX(_xlpm.data, , 1),
   _xlpm.name_col, INDEX(_xlpm.data, , 2),
   _xlpm.loc_col,  INDEX(_xlpm.data, , 3),
   _xlpm.target_date, DATE(YEAR($C$1), MONTH($C$1), U$7),
   _xlpm.filtered, _xlfn._xlws.FILTER(_xlpm.name_col, (_xlpm.date_col = _xlpm.target_date) * (_xlpm.loc_col =$C39), ""),
   IF(_xlpm.filtered="", "", _xlpm.filtered)
)</f>
        <v/>
      </c>
      <c r="V39" s="186" t="str" cm="1">
        <f t="array" ref="V39">_xlfn.LET(
   _xlpm.data, 表格3_5[[Date]:[Location]],
   _xlpm.date_col, INDEX(_xlpm.data, , 1),
   _xlpm.name_col, INDEX(_xlpm.data, , 2),
   _xlpm.loc_col,  INDEX(_xlpm.data, , 3),
   _xlpm.target_date, DATE(YEAR($C$1), MONTH($C$1), V$7),
   _xlpm.filtered, _xlfn._xlws.FILTER(_xlpm.name_col, (_xlpm.date_col = _xlpm.target_date) * (_xlpm.loc_col =$C39), ""),
   IF(_xlpm.filtered="", "", _xlpm.filtered)
)</f>
        <v/>
      </c>
      <c r="W39" s="186" t="str" cm="1">
        <f t="array" ref="W39">_xlfn.LET(
   _xlpm.data, 表格3_5[[Date]:[Location]],
   _xlpm.date_col, INDEX(_xlpm.data, , 1),
   _xlpm.name_col, INDEX(_xlpm.data, , 2),
   _xlpm.loc_col,  INDEX(_xlpm.data, , 3),
   _xlpm.target_date, DATE(YEAR($C$1), MONTH($C$1), W$7),
   _xlpm.filtered, _xlfn._xlws.FILTER(_xlpm.name_col, (_xlpm.date_col = _xlpm.target_date) * (_xlpm.loc_col =$C39), ""),
   IF(_xlpm.filtered="", "", _xlpm.filtered)
)</f>
        <v/>
      </c>
      <c r="X39" s="186" t="str" cm="1">
        <f t="array" ref="X39">_xlfn.LET(
   _xlpm.data, 表格3_5[[Date]:[Location]],
   _xlpm.date_col, INDEX(_xlpm.data, , 1),
   _xlpm.name_col, INDEX(_xlpm.data, , 2),
   _xlpm.loc_col,  INDEX(_xlpm.data, , 3),
   _xlpm.target_date, DATE(YEAR($C$1), MONTH($C$1), X$7),
   _xlpm.filtered, _xlfn._xlws.FILTER(_xlpm.name_col, (_xlpm.date_col = _xlpm.target_date) * (_xlpm.loc_col =$C39), ""),
   IF(_xlpm.filtered="", "", _xlpm.filtered)
)</f>
        <v/>
      </c>
      <c r="Y39" s="186" t="str" cm="1">
        <f t="array" ref="Y39">_xlfn.LET(
   _xlpm.data, 表格3_5[[Date]:[Location]],
   _xlpm.date_col, INDEX(_xlpm.data, , 1),
   _xlpm.name_col, INDEX(_xlpm.data, , 2),
   _xlpm.loc_col,  INDEX(_xlpm.data, , 3),
   _xlpm.target_date, DATE(YEAR($C$1), MONTH($C$1), Y$7),
   _xlpm.filtered, _xlfn._xlws.FILTER(_xlpm.name_col, (_xlpm.date_col = _xlpm.target_date) * (_xlpm.loc_col =$C39), ""),
   IF(_xlpm.filtered="", "", _xlpm.filtered)
)</f>
        <v/>
      </c>
      <c r="Z39" s="186" t="str" cm="1">
        <f t="array" ref="Z39">_xlfn.LET(
   _xlpm.data, 表格3_5[[Date]:[Location]],
   _xlpm.date_col, INDEX(_xlpm.data, , 1),
   _xlpm.name_col, INDEX(_xlpm.data, , 2),
   _xlpm.loc_col,  INDEX(_xlpm.data, , 3),
   _xlpm.target_date, DATE(YEAR($C$1), MONTH($C$1), Z$7),
   _xlpm.filtered, _xlfn._xlws.FILTER(_xlpm.name_col, (_xlpm.date_col = _xlpm.target_date) * (_xlpm.loc_col =$C39), ""),
   IF(_xlpm.filtered="", "", _xlpm.filtered)
)</f>
        <v/>
      </c>
      <c r="AA39" s="186" t="str" cm="1">
        <f t="array" ref="AA39">_xlfn.LET(
   _xlpm.data, 表格3_5[[Date]:[Location]],
   _xlpm.date_col, INDEX(_xlpm.data, , 1),
   _xlpm.name_col, INDEX(_xlpm.data, , 2),
   _xlpm.loc_col,  INDEX(_xlpm.data, , 3),
   _xlpm.target_date, DATE(YEAR($C$1), MONTH($C$1), AA$7),
   _xlpm.filtered, _xlfn._xlws.FILTER(_xlpm.name_col, (_xlpm.date_col = _xlpm.target_date) * (_xlpm.loc_col =$C39), ""),
   IF(_xlpm.filtered="", "", _xlpm.filtered)
)</f>
        <v/>
      </c>
      <c r="AB39" s="186" t="str" cm="1">
        <f t="array" ref="AB39">_xlfn.LET(
   _xlpm.data, 表格3_5[[Date]:[Location]],
   _xlpm.date_col, INDEX(_xlpm.data, , 1),
   _xlpm.name_col, INDEX(_xlpm.data, , 2),
   _xlpm.loc_col,  INDEX(_xlpm.data, , 3),
   _xlpm.target_date, DATE(YEAR($C$1), MONTH($C$1), AB$7),
   _xlpm.filtered, _xlfn._xlws.FILTER(_xlpm.name_col, (_xlpm.date_col = _xlpm.target_date) * (_xlpm.loc_col =$C39), ""),
   IF(_xlpm.filtered="", "", _xlpm.filtered)
)</f>
        <v/>
      </c>
      <c r="AC39" s="186" t="str" cm="1">
        <f t="array" ref="AC39">_xlfn.LET(
   _xlpm.data, 表格3_5[[Date]:[Location]],
   _xlpm.date_col, INDEX(_xlpm.data, , 1),
   _xlpm.name_col, INDEX(_xlpm.data, , 2),
   _xlpm.loc_col,  INDEX(_xlpm.data, , 3),
   _xlpm.target_date, DATE(YEAR($C$1), MONTH($C$1), AC$7),
   _xlpm.filtered, _xlfn._xlws.FILTER(_xlpm.name_col, (_xlpm.date_col = _xlpm.target_date) * (_xlpm.loc_col =$C39), ""),
   IF(_xlpm.filtered="", "", _xlpm.filtered)
)</f>
        <v/>
      </c>
      <c r="AD39" s="186" t="str" cm="1">
        <f t="array" ref="AD39">_xlfn.LET(
   _xlpm.data, 表格3_5[[Date]:[Location]],
   _xlpm.date_col, INDEX(_xlpm.data, , 1),
   _xlpm.name_col, INDEX(_xlpm.data, , 2),
   _xlpm.loc_col,  INDEX(_xlpm.data, , 3),
   _xlpm.target_date, DATE(YEAR($C$1), MONTH($C$1), AD$7),
   _xlpm.filtered, _xlfn._xlws.FILTER(_xlpm.name_col, (_xlpm.date_col = _xlpm.target_date) * (_xlpm.loc_col =$C39), ""),
   IF(_xlpm.filtered="", "", _xlpm.filtered)
)</f>
        <v/>
      </c>
      <c r="AE39" s="186" t="str" cm="1">
        <f t="array" ref="AE39">_xlfn.LET(
   _xlpm.data, 表格3_5[[Date]:[Location]],
   _xlpm.date_col, INDEX(_xlpm.data, , 1),
   _xlpm.name_col, INDEX(_xlpm.data, , 2),
   _xlpm.loc_col,  INDEX(_xlpm.data, , 3),
   _xlpm.target_date, DATE(YEAR($C$1), MONTH($C$1), AE$7),
   _xlpm.filtered, _xlfn._xlws.FILTER(_xlpm.name_col, (_xlpm.date_col = _xlpm.target_date) * (_xlpm.loc_col =$C39), ""),
   IF(_xlpm.filtered="", "", _xlpm.filtered)
)</f>
        <v/>
      </c>
      <c r="AF39" s="186" t="str" cm="1">
        <f t="array" ref="AF39">_xlfn.LET(
   _xlpm.data, 表格3_5[[Date]:[Location]],
   _xlpm.date_col, INDEX(_xlpm.data, , 1),
   _xlpm.name_col, INDEX(_xlpm.data, , 2),
   _xlpm.loc_col,  INDEX(_xlpm.data, , 3),
   _xlpm.target_date, DATE(YEAR($C$1), MONTH($C$1), AF$7),
   _xlpm.filtered, _xlfn._xlws.FILTER(_xlpm.name_col, (_xlpm.date_col = _xlpm.target_date) * (_xlpm.loc_col =$C39), ""),
   IF(_xlpm.filtered="", "", _xlpm.filtered)
)</f>
        <v/>
      </c>
      <c r="AG39" s="186" t="str" cm="1">
        <f t="array" ref="AG39">_xlfn.LET(
   _xlpm.data, 表格3_5[[Date]:[Location]],
   _xlpm.date_col, INDEX(_xlpm.data, , 1),
   _xlpm.name_col, INDEX(_xlpm.data, , 2),
   _xlpm.loc_col,  INDEX(_xlpm.data, , 3),
   _xlpm.target_date, DATE(YEAR($C$1), MONTH($C$1), AG$7),
   _xlpm.filtered, _xlfn._xlws.FILTER(_xlpm.name_col, (_xlpm.date_col = _xlpm.target_date) * (_xlpm.loc_col =$C39), ""),
   IF(_xlpm.filtered="", "", _xlpm.filtered)
)</f>
        <v/>
      </c>
      <c r="AH39" s="186" t="str" cm="1">
        <f t="array" ref="AH39">_xlfn.LET(
   _xlpm.data, 表格3_5[[Date]:[Location]],
   _xlpm.date_col, INDEX(_xlpm.data, , 1),
   _xlpm.name_col, INDEX(_xlpm.data, , 2),
   _xlpm.loc_col,  INDEX(_xlpm.data, , 3),
   _xlpm.target_date, DATE(YEAR($C$1), MONTH($C$1), AH$7),
   _xlpm.filtered, _xlfn._xlws.FILTER(_xlpm.name_col, (_xlpm.date_col = _xlpm.target_date) * (_xlpm.loc_col =$C39), ""),
   IF(_xlpm.filtered="", "", _xlpm.filtered)
)</f>
        <v/>
      </c>
    </row>
    <row r="40" spans="2:34">
      <c r="B40" t="e" cm="1" vm="1">
        <f t="array" ref="B40">_xlfn.LET(
    _xlpm.data, D40:AH40,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D40" s="186" t="str" cm="1">
        <f t="array" ref="D40">_xlfn.LET(
   _xlpm.data, 表格3_5[[Date]:[Location]],
   _xlpm.date_col, INDEX(_xlpm.data, , 1),
   _xlpm.name_col, INDEX(_xlpm.data, , 2),
   _xlpm.loc_col,  INDEX(_xlpm.data, , 3),
   _xlpm.target_date, DATE(YEAR($C$1), MONTH($C$1), D$7),
   _xlpm.filtered, _xlfn._xlws.FILTER(_xlpm.name_col, (_xlpm.date_col = _xlpm.target_date) * (_xlpm.loc_col =$C40), ""),
   IF(_xlpm.filtered="", "", _xlpm.filtered)
)</f>
        <v/>
      </c>
      <c r="E40" s="186" t="str" cm="1">
        <f t="array" ref="E40">_xlfn.LET(
   _xlpm.data, 表格3_5[[Date]:[Location]],
   _xlpm.date_col, INDEX(_xlpm.data, , 1),
   _xlpm.name_col, INDEX(_xlpm.data, , 2),
   _xlpm.loc_col,  INDEX(_xlpm.data, , 3),
   _xlpm.target_date, DATE(YEAR($C$1), MONTH($C$1), E$7),
   _xlpm.filtered, _xlfn._xlws.FILTER(_xlpm.name_col, (_xlpm.date_col = _xlpm.target_date) * (_xlpm.loc_col =$C40), ""),
   IF(_xlpm.filtered="", "", _xlpm.filtered)
)</f>
        <v/>
      </c>
      <c r="F40" s="186" t="str" cm="1">
        <f t="array" ref="F40">_xlfn.LET(
   _xlpm.data, 表格3_5[[Date]:[Location]],
   _xlpm.date_col, INDEX(_xlpm.data, , 1),
   _xlpm.name_col, INDEX(_xlpm.data, , 2),
   _xlpm.loc_col,  INDEX(_xlpm.data, , 3),
   _xlpm.target_date, DATE(YEAR($C$1), MONTH($C$1), F$7),
   _xlpm.filtered, _xlfn._xlws.FILTER(_xlpm.name_col, (_xlpm.date_col = _xlpm.target_date) * (_xlpm.loc_col =$C40), ""),
   IF(_xlpm.filtered="", "", _xlpm.filtered)
)</f>
        <v/>
      </c>
      <c r="G40" s="186" t="str" cm="1">
        <f t="array" ref="G40">_xlfn.LET(
   _xlpm.data, 表格3_5[[Date]:[Location]],
   _xlpm.date_col, INDEX(_xlpm.data, , 1),
   _xlpm.name_col, INDEX(_xlpm.data, , 2),
   _xlpm.loc_col,  INDEX(_xlpm.data, , 3),
   _xlpm.target_date, DATE(YEAR($C$1), MONTH($C$1), G$7),
   _xlpm.filtered, _xlfn._xlws.FILTER(_xlpm.name_col, (_xlpm.date_col = _xlpm.target_date) * (_xlpm.loc_col =$C40), ""),
   IF(_xlpm.filtered="", "", _xlpm.filtered)
)</f>
        <v/>
      </c>
      <c r="H40" s="186" t="str" cm="1">
        <f t="array" ref="H40">_xlfn.LET(
   _xlpm.data, 表格3_5[[Date]:[Location]],
   _xlpm.date_col, INDEX(_xlpm.data, , 1),
   _xlpm.name_col, INDEX(_xlpm.data, , 2),
   _xlpm.loc_col,  INDEX(_xlpm.data, , 3),
   _xlpm.target_date, DATE(YEAR($C$1), MONTH($C$1), H$7),
   _xlpm.filtered, _xlfn._xlws.FILTER(_xlpm.name_col, (_xlpm.date_col = _xlpm.target_date) * (_xlpm.loc_col =$C40), ""),
   IF(_xlpm.filtered="", "", _xlpm.filtered)
)</f>
        <v/>
      </c>
      <c r="I40" s="186" t="str" cm="1">
        <f t="array" ref="I40">_xlfn.LET(
   _xlpm.data, 表格3_5[[Date]:[Location]],
   _xlpm.date_col, INDEX(_xlpm.data, , 1),
   _xlpm.name_col, INDEX(_xlpm.data, , 2),
   _xlpm.loc_col,  INDEX(_xlpm.data, , 3),
   _xlpm.target_date, DATE(YEAR($C$1), MONTH($C$1), I$7),
   _xlpm.filtered, _xlfn._xlws.FILTER(_xlpm.name_col, (_xlpm.date_col = _xlpm.target_date) * (_xlpm.loc_col =$C40), ""),
   IF(_xlpm.filtered="", "", _xlpm.filtered)
)</f>
        <v/>
      </c>
      <c r="J40" s="186" t="str" cm="1">
        <f t="array" ref="J40">_xlfn.LET(
   _xlpm.data, 表格3_5[[Date]:[Location]],
   _xlpm.date_col, INDEX(_xlpm.data, , 1),
   _xlpm.name_col, INDEX(_xlpm.data, , 2),
   _xlpm.loc_col,  INDEX(_xlpm.data, , 3),
   _xlpm.target_date, DATE(YEAR($C$1), MONTH($C$1), J$7),
   _xlpm.filtered, _xlfn._xlws.FILTER(_xlpm.name_col, (_xlpm.date_col = _xlpm.target_date) * (_xlpm.loc_col =$C40), ""),
   IF(_xlpm.filtered="", "", _xlpm.filtered)
)</f>
        <v/>
      </c>
      <c r="K40" s="186" t="str" cm="1">
        <f t="array" ref="K40">_xlfn.LET(
   _xlpm.data, 表格3_5[[Date]:[Location]],
   _xlpm.date_col, INDEX(_xlpm.data, , 1),
   _xlpm.name_col, INDEX(_xlpm.data, , 2),
   _xlpm.loc_col,  INDEX(_xlpm.data, , 3),
   _xlpm.target_date, DATE(YEAR($C$1), MONTH($C$1), K$7),
   _xlpm.filtered, _xlfn._xlws.FILTER(_xlpm.name_col, (_xlpm.date_col = _xlpm.target_date) * (_xlpm.loc_col =$C40), ""),
   IF(_xlpm.filtered="", "", _xlpm.filtered)
)</f>
        <v/>
      </c>
      <c r="L40" s="186" t="str" cm="1">
        <f t="array" ref="L40">_xlfn.LET(
   _xlpm.data, 表格3_5[[Date]:[Location]],
   _xlpm.date_col, INDEX(_xlpm.data, , 1),
   _xlpm.name_col, INDEX(_xlpm.data, , 2),
   _xlpm.loc_col,  INDEX(_xlpm.data, , 3),
   _xlpm.target_date, DATE(YEAR($C$1), MONTH($C$1), L$7),
   _xlpm.filtered, _xlfn._xlws.FILTER(_xlpm.name_col, (_xlpm.date_col = _xlpm.target_date) * (_xlpm.loc_col =$C40), ""),
   IF(_xlpm.filtered="", "", _xlpm.filtered)
)</f>
        <v/>
      </c>
      <c r="M40" s="186" t="str" cm="1">
        <f t="array" ref="M40">_xlfn.LET(
   _xlpm.data, 表格3_5[[Date]:[Location]],
   _xlpm.date_col, INDEX(_xlpm.data, , 1),
   _xlpm.name_col, INDEX(_xlpm.data, , 2),
   _xlpm.loc_col,  INDEX(_xlpm.data, , 3),
   _xlpm.target_date, DATE(YEAR($C$1), MONTH($C$1), M$7),
   _xlpm.filtered, _xlfn._xlws.FILTER(_xlpm.name_col, (_xlpm.date_col = _xlpm.target_date) * (_xlpm.loc_col =$C40), ""),
   IF(_xlpm.filtered="", "", _xlpm.filtered)
)</f>
        <v/>
      </c>
      <c r="N40" s="186" t="str" cm="1">
        <f t="array" ref="N40">_xlfn.LET(
   _xlpm.data, 表格3_5[[Date]:[Location]],
   _xlpm.date_col, INDEX(_xlpm.data, , 1),
   _xlpm.name_col, INDEX(_xlpm.data, , 2),
   _xlpm.loc_col,  INDEX(_xlpm.data, , 3),
   _xlpm.target_date, DATE(YEAR($C$1), MONTH($C$1), N$7),
   _xlpm.filtered, _xlfn._xlws.FILTER(_xlpm.name_col, (_xlpm.date_col = _xlpm.target_date) * (_xlpm.loc_col =$C40), ""),
   IF(_xlpm.filtered="", "", _xlpm.filtered)
)</f>
        <v/>
      </c>
      <c r="O40" s="186" t="str" cm="1">
        <f t="array" ref="O40">_xlfn.LET(
   _xlpm.data, 表格3_5[[Date]:[Location]],
   _xlpm.date_col, INDEX(_xlpm.data, , 1),
   _xlpm.name_col, INDEX(_xlpm.data, , 2),
   _xlpm.loc_col,  INDEX(_xlpm.data, , 3),
   _xlpm.target_date, DATE(YEAR($C$1), MONTH($C$1), O$7),
   _xlpm.filtered, _xlfn._xlws.FILTER(_xlpm.name_col, (_xlpm.date_col = _xlpm.target_date) * (_xlpm.loc_col =$C40), ""),
   IF(_xlpm.filtered="", "", _xlpm.filtered)
)</f>
        <v/>
      </c>
      <c r="P40" s="186" t="str" cm="1">
        <f t="array" ref="P40">_xlfn.LET(
   _xlpm.data, 表格3_5[[Date]:[Location]],
   _xlpm.date_col, INDEX(_xlpm.data, , 1),
   _xlpm.name_col, INDEX(_xlpm.data, , 2),
   _xlpm.loc_col,  INDEX(_xlpm.data, , 3),
   _xlpm.target_date, DATE(YEAR($C$1), MONTH($C$1), P$7),
   _xlpm.filtered, _xlfn._xlws.FILTER(_xlpm.name_col, (_xlpm.date_col = _xlpm.target_date) * (_xlpm.loc_col =$C40), ""),
   IF(_xlpm.filtered="", "", _xlpm.filtered)
)</f>
        <v/>
      </c>
      <c r="Q40" s="186" t="str" cm="1">
        <f t="array" ref="Q40">_xlfn.LET(
   _xlpm.data, 表格3_5[[Date]:[Location]],
   _xlpm.date_col, INDEX(_xlpm.data, , 1),
   _xlpm.name_col, INDEX(_xlpm.data, , 2),
   _xlpm.loc_col,  INDEX(_xlpm.data, , 3),
   _xlpm.target_date, DATE(YEAR($C$1), MONTH($C$1), Q$7),
   _xlpm.filtered, _xlfn._xlws.FILTER(_xlpm.name_col, (_xlpm.date_col = _xlpm.target_date) * (_xlpm.loc_col =$C40), ""),
   IF(_xlpm.filtered="", "", _xlpm.filtered)
)</f>
        <v/>
      </c>
      <c r="R40" s="186" t="str" cm="1">
        <f t="array" ref="R40">_xlfn.LET(
   _xlpm.data, 表格3_5[[Date]:[Location]],
   _xlpm.date_col, INDEX(_xlpm.data, , 1),
   _xlpm.name_col, INDEX(_xlpm.data, , 2),
   _xlpm.loc_col,  INDEX(_xlpm.data, , 3),
   _xlpm.target_date, DATE(YEAR($C$1), MONTH($C$1), R$7),
   _xlpm.filtered, _xlfn._xlws.FILTER(_xlpm.name_col, (_xlpm.date_col = _xlpm.target_date) * (_xlpm.loc_col =$C40), ""),
   IF(_xlpm.filtered="", "", _xlpm.filtered)
)</f>
        <v/>
      </c>
      <c r="S40" s="186" t="str" cm="1">
        <f t="array" ref="S40">_xlfn.LET(
   _xlpm.data, 表格3_5[[Date]:[Location]],
   _xlpm.date_col, INDEX(_xlpm.data, , 1),
   _xlpm.name_col, INDEX(_xlpm.data, , 2),
   _xlpm.loc_col,  INDEX(_xlpm.data, , 3),
   _xlpm.target_date, DATE(YEAR($C$1), MONTH($C$1), S$7),
   _xlpm.filtered, _xlfn._xlws.FILTER(_xlpm.name_col, (_xlpm.date_col = _xlpm.target_date) * (_xlpm.loc_col =$C40), ""),
   IF(_xlpm.filtered="", "", _xlpm.filtered)
)</f>
        <v/>
      </c>
      <c r="T40" s="186" t="str" cm="1">
        <f t="array" ref="T40">_xlfn.LET(
   _xlpm.data, 表格3_5[[Date]:[Location]],
   _xlpm.date_col, INDEX(_xlpm.data, , 1),
   _xlpm.name_col, INDEX(_xlpm.data, , 2),
   _xlpm.loc_col,  INDEX(_xlpm.data, , 3),
   _xlpm.target_date, DATE(YEAR($C$1), MONTH($C$1), T$7),
   _xlpm.filtered, _xlfn._xlws.FILTER(_xlpm.name_col, (_xlpm.date_col = _xlpm.target_date) * (_xlpm.loc_col =$C40), ""),
   IF(_xlpm.filtered="", "", _xlpm.filtered)
)</f>
        <v/>
      </c>
      <c r="U40" s="186" t="str" cm="1">
        <f t="array" ref="U40">_xlfn.LET(
   _xlpm.data, 表格3_5[[Date]:[Location]],
   _xlpm.date_col, INDEX(_xlpm.data, , 1),
   _xlpm.name_col, INDEX(_xlpm.data, , 2),
   _xlpm.loc_col,  INDEX(_xlpm.data, , 3),
   _xlpm.target_date, DATE(YEAR($C$1), MONTH($C$1), U$7),
   _xlpm.filtered, _xlfn._xlws.FILTER(_xlpm.name_col, (_xlpm.date_col = _xlpm.target_date) * (_xlpm.loc_col =$C40), ""),
   IF(_xlpm.filtered="", "", _xlpm.filtered)
)</f>
        <v/>
      </c>
      <c r="V40" s="186" t="str" cm="1">
        <f t="array" ref="V40">_xlfn.LET(
   _xlpm.data, 表格3_5[[Date]:[Location]],
   _xlpm.date_col, INDEX(_xlpm.data, , 1),
   _xlpm.name_col, INDEX(_xlpm.data, , 2),
   _xlpm.loc_col,  INDEX(_xlpm.data, , 3),
   _xlpm.target_date, DATE(YEAR($C$1), MONTH($C$1), V$7),
   _xlpm.filtered, _xlfn._xlws.FILTER(_xlpm.name_col, (_xlpm.date_col = _xlpm.target_date) * (_xlpm.loc_col =$C40), ""),
   IF(_xlpm.filtered="", "", _xlpm.filtered)
)</f>
        <v/>
      </c>
      <c r="W40" s="186" t="str" cm="1">
        <f t="array" ref="W40">_xlfn.LET(
   _xlpm.data, 表格3_5[[Date]:[Location]],
   _xlpm.date_col, INDEX(_xlpm.data, , 1),
   _xlpm.name_col, INDEX(_xlpm.data, , 2),
   _xlpm.loc_col,  INDEX(_xlpm.data, , 3),
   _xlpm.target_date, DATE(YEAR($C$1), MONTH($C$1), W$7),
   _xlpm.filtered, _xlfn._xlws.FILTER(_xlpm.name_col, (_xlpm.date_col = _xlpm.target_date) * (_xlpm.loc_col =$C40), ""),
   IF(_xlpm.filtered="", "", _xlpm.filtered)
)</f>
        <v/>
      </c>
      <c r="X40" s="186" t="str" cm="1">
        <f t="array" ref="X40">_xlfn.LET(
   _xlpm.data, 表格3_5[[Date]:[Location]],
   _xlpm.date_col, INDEX(_xlpm.data, , 1),
   _xlpm.name_col, INDEX(_xlpm.data, , 2),
   _xlpm.loc_col,  INDEX(_xlpm.data, , 3),
   _xlpm.target_date, DATE(YEAR($C$1), MONTH($C$1), X$7),
   _xlpm.filtered, _xlfn._xlws.FILTER(_xlpm.name_col, (_xlpm.date_col = _xlpm.target_date) * (_xlpm.loc_col =$C40), ""),
   IF(_xlpm.filtered="", "", _xlpm.filtered)
)</f>
        <v/>
      </c>
      <c r="Y40" s="186" t="str" cm="1">
        <f t="array" ref="Y40">_xlfn.LET(
   _xlpm.data, 表格3_5[[Date]:[Location]],
   _xlpm.date_col, INDEX(_xlpm.data, , 1),
   _xlpm.name_col, INDEX(_xlpm.data, , 2),
   _xlpm.loc_col,  INDEX(_xlpm.data, , 3),
   _xlpm.target_date, DATE(YEAR($C$1), MONTH($C$1), Y$7),
   _xlpm.filtered, _xlfn._xlws.FILTER(_xlpm.name_col, (_xlpm.date_col = _xlpm.target_date) * (_xlpm.loc_col =$C40), ""),
   IF(_xlpm.filtered="", "", _xlpm.filtered)
)</f>
        <v/>
      </c>
      <c r="Z40" s="186" t="str" cm="1">
        <f t="array" ref="Z40">_xlfn.LET(
   _xlpm.data, 表格3_5[[Date]:[Location]],
   _xlpm.date_col, INDEX(_xlpm.data, , 1),
   _xlpm.name_col, INDEX(_xlpm.data, , 2),
   _xlpm.loc_col,  INDEX(_xlpm.data, , 3),
   _xlpm.target_date, DATE(YEAR($C$1), MONTH($C$1), Z$7),
   _xlpm.filtered, _xlfn._xlws.FILTER(_xlpm.name_col, (_xlpm.date_col = _xlpm.target_date) * (_xlpm.loc_col =$C40), ""),
   IF(_xlpm.filtered="", "", _xlpm.filtered)
)</f>
        <v/>
      </c>
      <c r="AA40" s="186" t="str" cm="1">
        <f t="array" ref="AA40">_xlfn.LET(
   _xlpm.data, 表格3_5[[Date]:[Location]],
   _xlpm.date_col, INDEX(_xlpm.data, , 1),
   _xlpm.name_col, INDEX(_xlpm.data, , 2),
   _xlpm.loc_col,  INDEX(_xlpm.data, , 3),
   _xlpm.target_date, DATE(YEAR($C$1), MONTH($C$1), AA$7),
   _xlpm.filtered, _xlfn._xlws.FILTER(_xlpm.name_col, (_xlpm.date_col = _xlpm.target_date) * (_xlpm.loc_col =$C40), ""),
   IF(_xlpm.filtered="", "", _xlpm.filtered)
)</f>
        <v/>
      </c>
      <c r="AB40" s="186" t="str" cm="1">
        <f t="array" ref="AB40">_xlfn.LET(
   _xlpm.data, 表格3_5[[Date]:[Location]],
   _xlpm.date_col, INDEX(_xlpm.data, , 1),
   _xlpm.name_col, INDEX(_xlpm.data, , 2),
   _xlpm.loc_col,  INDEX(_xlpm.data, , 3),
   _xlpm.target_date, DATE(YEAR($C$1), MONTH($C$1), AB$7),
   _xlpm.filtered, _xlfn._xlws.FILTER(_xlpm.name_col, (_xlpm.date_col = _xlpm.target_date) * (_xlpm.loc_col =$C40), ""),
   IF(_xlpm.filtered="", "", _xlpm.filtered)
)</f>
        <v/>
      </c>
      <c r="AC40" s="186" t="str" cm="1">
        <f t="array" ref="AC40">_xlfn.LET(
   _xlpm.data, 表格3_5[[Date]:[Location]],
   _xlpm.date_col, INDEX(_xlpm.data, , 1),
   _xlpm.name_col, INDEX(_xlpm.data, , 2),
   _xlpm.loc_col,  INDEX(_xlpm.data, , 3),
   _xlpm.target_date, DATE(YEAR($C$1), MONTH($C$1), AC$7),
   _xlpm.filtered, _xlfn._xlws.FILTER(_xlpm.name_col, (_xlpm.date_col = _xlpm.target_date) * (_xlpm.loc_col =$C40), ""),
   IF(_xlpm.filtered="", "", _xlpm.filtered)
)</f>
        <v/>
      </c>
      <c r="AD40" s="186" t="str" cm="1">
        <f t="array" ref="AD40">_xlfn.LET(
   _xlpm.data, 表格3_5[[Date]:[Location]],
   _xlpm.date_col, INDEX(_xlpm.data, , 1),
   _xlpm.name_col, INDEX(_xlpm.data, , 2),
   _xlpm.loc_col,  INDEX(_xlpm.data, , 3),
   _xlpm.target_date, DATE(YEAR($C$1), MONTH($C$1), AD$7),
   _xlpm.filtered, _xlfn._xlws.FILTER(_xlpm.name_col, (_xlpm.date_col = _xlpm.target_date) * (_xlpm.loc_col =$C40), ""),
   IF(_xlpm.filtered="", "", _xlpm.filtered)
)</f>
        <v/>
      </c>
      <c r="AE40" s="186" t="str" cm="1">
        <f t="array" ref="AE40">_xlfn.LET(
   _xlpm.data, 表格3_5[[Date]:[Location]],
   _xlpm.date_col, INDEX(_xlpm.data, , 1),
   _xlpm.name_col, INDEX(_xlpm.data, , 2),
   _xlpm.loc_col,  INDEX(_xlpm.data, , 3),
   _xlpm.target_date, DATE(YEAR($C$1), MONTH($C$1), AE$7),
   _xlpm.filtered, _xlfn._xlws.FILTER(_xlpm.name_col, (_xlpm.date_col = _xlpm.target_date) * (_xlpm.loc_col =$C40), ""),
   IF(_xlpm.filtered="", "", _xlpm.filtered)
)</f>
        <v/>
      </c>
      <c r="AF40" s="186" t="str" cm="1">
        <f t="array" ref="AF40">_xlfn.LET(
   _xlpm.data, 表格3_5[[Date]:[Location]],
   _xlpm.date_col, INDEX(_xlpm.data, , 1),
   _xlpm.name_col, INDEX(_xlpm.data, , 2),
   _xlpm.loc_col,  INDEX(_xlpm.data, , 3),
   _xlpm.target_date, DATE(YEAR($C$1), MONTH($C$1), AF$7),
   _xlpm.filtered, _xlfn._xlws.FILTER(_xlpm.name_col, (_xlpm.date_col = _xlpm.target_date) * (_xlpm.loc_col =$C40), ""),
   IF(_xlpm.filtered="", "", _xlpm.filtered)
)</f>
        <v/>
      </c>
      <c r="AG40" s="186" t="str" cm="1">
        <f t="array" ref="AG40">_xlfn.LET(
   _xlpm.data, 表格3_5[[Date]:[Location]],
   _xlpm.date_col, INDEX(_xlpm.data, , 1),
   _xlpm.name_col, INDEX(_xlpm.data, , 2),
   _xlpm.loc_col,  INDEX(_xlpm.data, , 3),
   _xlpm.target_date, DATE(YEAR($C$1), MONTH($C$1), AG$7),
   _xlpm.filtered, _xlfn._xlws.FILTER(_xlpm.name_col, (_xlpm.date_col = _xlpm.target_date) * (_xlpm.loc_col =$C40), ""),
   IF(_xlpm.filtered="", "", _xlpm.filtered)
)</f>
        <v/>
      </c>
      <c r="AH40" s="186" t="str" cm="1">
        <f t="array" ref="AH40">_xlfn.LET(
   _xlpm.data, 表格3_5[[Date]:[Location]],
   _xlpm.date_col, INDEX(_xlpm.data, , 1),
   _xlpm.name_col, INDEX(_xlpm.data, , 2),
   _xlpm.loc_col,  INDEX(_xlpm.data, , 3),
   _xlpm.target_date, DATE(YEAR($C$1), MONTH($C$1), AH$7),
   _xlpm.filtered, _xlfn._xlws.FILTER(_xlpm.name_col, (_xlpm.date_col = _xlpm.target_date) * (_xlpm.loc_col =$C40), ""),
   IF(_xlpm.filtered="", "", _xlpm.filtered)
)</f>
        <v/>
      </c>
    </row>
    <row r="41" spans="2:34">
      <c r="B41" t="e" cm="1" vm="1">
        <f t="array" ref="B41">_xlfn.LET(
    _xlpm.data, D41:AH41,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D41" s="186" t="str" cm="1">
        <f t="array" ref="D41">_xlfn.LET(
   _xlpm.data, 表格3_5[[Date]:[Location]],
   _xlpm.date_col, INDEX(_xlpm.data, , 1),
   _xlpm.name_col, INDEX(_xlpm.data, , 2),
   _xlpm.loc_col,  INDEX(_xlpm.data, , 3),
   _xlpm.target_date, DATE(YEAR($C$1), MONTH($C$1), D$7),
   _xlpm.filtered, _xlfn._xlws.FILTER(_xlpm.name_col, (_xlpm.date_col = _xlpm.target_date) * (_xlpm.loc_col =$C41), ""),
   IF(_xlpm.filtered="", "", _xlpm.filtered)
)</f>
        <v/>
      </c>
      <c r="E41" s="186" t="str" cm="1">
        <f t="array" ref="E41">_xlfn.LET(
   _xlpm.data, 表格3_5[[Date]:[Location]],
   _xlpm.date_col, INDEX(_xlpm.data, , 1),
   _xlpm.name_col, INDEX(_xlpm.data, , 2),
   _xlpm.loc_col,  INDEX(_xlpm.data, , 3),
   _xlpm.target_date, DATE(YEAR($C$1), MONTH($C$1), E$7),
   _xlpm.filtered, _xlfn._xlws.FILTER(_xlpm.name_col, (_xlpm.date_col = _xlpm.target_date) * (_xlpm.loc_col =$C41), ""),
   IF(_xlpm.filtered="", "", _xlpm.filtered)
)</f>
        <v/>
      </c>
      <c r="F41" s="186" t="str" cm="1">
        <f t="array" ref="F41">_xlfn.LET(
   _xlpm.data, 表格3_5[[Date]:[Location]],
   _xlpm.date_col, INDEX(_xlpm.data, , 1),
   _xlpm.name_col, INDEX(_xlpm.data, , 2),
   _xlpm.loc_col,  INDEX(_xlpm.data, , 3),
   _xlpm.target_date, DATE(YEAR($C$1), MONTH($C$1), F$7),
   _xlpm.filtered, _xlfn._xlws.FILTER(_xlpm.name_col, (_xlpm.date_col = _xlpm.target_date) * (_xlpm.loc_col =$C41), ""),
   IF(_xlpm.filtered="", "", _xlpm.filtered)
)</f>
        <v/>
      </c>
      <c r="G41" s="186" t="str" cm="1">
        <f t="array" ref="G41">_xlfn.LET(
   _xlpm.data, 表格3_5[[Date]:[Location]],
   _xlpm.date_col, INDEX(_xlpm.data, , 1),
   _xlpm.name_col, INDEX(_xlpm.data, , 2),
   _xlpm.loc_col,  INDEX(_xlpm.data, , 3),
   _xlpm.target_date, DATE(YEAR($C$1), MONTH($C$1), G$7),
   _xlpm.filtered, _xlfn._xlws.FILTER(_xlpm.name_col, (_xlpm.date_col = _xlpm.target_date) * (_xlpm.loc_col =$C41), ""),
   IF(_xlpm.filtered="", "", _xlpm.filtered)
)</f>
        <v/>
      </c>
      <c r="H41" s="186" t="str" cm="1">
        <f t="array" ref="H41">_xlfn.LET(
   _xlpm.data, 表格3_5[[Date]:[Location]],
   _xlpm.date_col, INDEX(_xlpm.data, , 1),
   _xlpm.name_col, INDEX(_xlpm.data, , 2),
   _xlpm.loc_col,  INDEX(_xlpm.data, , 3),
   _xlpm.target_date, DATE(YEAR($C$1), MONTH($C$1), H$7),
   _xlpm.filtered, _xlfn._xlws.FILTER(_xlpm.name_col, (_xlpm.date_col = _xlpm.target_date) * (_xlpm.loc_col =$C41), ""),
   IF(_xlpm.filtered="", "", _xlpm.filtered)
)</f>
        <v/>
      </c>
      <c r="I41" s="186" t="str" cm="1">
        <f t="array" ref="I41">_xlfn.LET(
   _xlpm.data, 表格3_5[[Date]:[Location]],
   _xlpm.date_col, INDEX(_xlpm.data, , 1),
   _xlpm.name_col, INDEX(_xlpm.data, , 2),
   _xlpm.loc_col,  INDEX(_xlpm.data, , 3),
   _xlpm.target_date, DATE(YEAR($C$1), MONTH($C$1), I$7),
   _xlpm.filtered, _xlfn._xlws.FILTER(_xlpm.name_col, (_xlpm.date_col = _xlpm.target_date) * (_xlpm.loc_col =$C41), ""),
   IF(_xlpm.filtered="", "", _xlpm.filtered)
)</f>
        <v/>
      </c>
      <c r="J41" s="186" t="str" cm="1">
        <f t="array" ref="J41">_xlfn.LET(
   _xlpm.data, 表格3_5[[Date]:[Location]],
   _xlpm.date_col, INDEX(_xlpm.data, , 1),
   _xlpm.name_col, INDEX(_xlpm.data, , 2),
   _xlpm.loc_col,  INDEX(_xlpm.data, , 3),
   _xlpm.target_date, DATE(YEAR($C$1), MONTH($C$1), J$7),
   _xlpm.filtered, _xlfn._xlws.FILTER(_xlpm.name_col, (_xlpm.date_col = _xlpm.target_date) * (_xlpm.loc_col =$C41), ""),
   IF(_xlpm.filtered="", "", _xlpm.filtered)
)</f>
        <v/>
      </c>
      <c r="K41" s="186" t="str" cm="1">
        <f t="array" ref="K41">_xlfn.LET(
   _xlpm.data, 表格3_5[[Date]:[Location]],
   _xlpm.date_col, INDEX(_xlpm.data, , 1),
   _xlpm.name_col, INDEX(_xlpm.data, , 2),
   _xlpm.loc_col,  INDEX(_xlpm.data, , 3),
   _xlpm.target_date, DATE(YEAR($C$1), MONTH($C$1), K$7),
   _xlpm.filtered, _xlfn._xlws.FILTER(_xlpm.name_col, (_xlpm.date_col = _xlpm.target_date) * (_xlpm.loc_col =$C41), ""),
   IF(_xlpm.filtered="", "", _xlpm.filtered)
)</f>
        <v/>
      </c>
      <c r="L41" s="186" t="str" cm="1">
        <f t="array" ref="L41">_xlfn.LET(
   _xlpm.data, 表格3_5[[Date]:[Location]],
   _xlpm.date_col, INDEX(_xlpm.data, , 1),
   _xlpm.name_col, INDEX(_xlpm.data, , 2),
   _xlpm.loc_col,  INDEX(_xlpm.data, , 3),
   _xlpm.target_date, DATE(YEAR($C$1), MONTH($C$1), L$7),
   _xlpm.filtered, _xlfn._xlws.FILTER(_xlpm.name_col, (_xlpm.date_col = _xlpm.target_date) * (_xlpm.loc_col =$C41), ""),
   IF(_xlpm.filtered="", "", _xlpm.filtered)
)</f>
        <v/>
      </c>
      <c r="M41" s="186" t="str" cm="1">
        <f t="array" ref="M41">_xlfn.LET(
   _xlpm.data, 表格3_5[[Date]:[Location]],
   _xlpm.date_col, INDEX(_xlpm.data, , 1),
   _xlpm.name_col, INDEX(_xlpm.data, , 2),
   _xlpm.loc_col,  INDEX(_xlpm.data, , 3),
   _xlpm.target_date, DATE(YEAR($C$1), MONTH($C$1), M$7),
   _xlpm.filtered, _xlfn._xlws.FILTER(_xlpm.name_col, (_xlpm.date_col = _xlpm.target_date) * (_xlpm.loc_col =$C41), ""),
   IF(_xlpm.filtered="", "", _xlpm.filtered)
)</f>
        <v/>
      </c>
      <c r="N41" s="186" t="str" cm="1">
        <f t="array" ref="N41">_xlfn.LET(
   _xlpm.data, 表格3_5[[Date]:[Location]],
   _xlpm.date_col, INDEX(_xlpm.data, , 1),
   _xlpm.name_col, INDEX(_xlpm.data, , 2),
   _xlpm.loc_col,  INDEX(_xlpm.data, , 3),
   _xlpm.target_date, DATE(YEAR($C$1), MONTH($C$1), N$7),
   _xlpm.filtered, _xlfn._xlws.FILTER(_xlpm.name_col, (_xlpm.date_col = _xlpm.target_date) * (_xlpm.loc_col =$C41), ""),
   IF(_xlpm.filtered="", "", _xlpm.filtered)
)</f>
        <v/>
      </c>
      <c r="O41" s="186" t="str" cm="1">
        <f t="array" ref="O41">_xlfn.LET(
   _xlpm.data, 表格3_5[[Date]:[Location]],
   _xlpm.date_col, INDEX(_xlpm.data, , 1),
   _xlpm.name_col, INDEX(_xlpm.data, , 2),
   _xlpm.loc_col,  INDEX(_xlpm.data, , 3),
   _xlpm.target_date, DATE(YEAR($C$1), MONTH($C$1), O$7),
   _xlpm.filtered, _xlfn._xlws.FILTER(_xlpm.name_col, (_xlpm.date_col = _xlpm.target_date) * (_xlpm.loc_col =$C41), ""),
   IF(_xlpm.filtered="", "", _xlpm.filtered)
)</f>
        <v/>
      </c>
      <c r="P41" s="186" t="str" cm="1">
        <f t="array" ref="P41">_xlfn.LET(
   _xlpm.data, 表格3_5[[Date]:[Location]],
   _xlpm.date_col, INDEX(_xlpm.data, , 1),
   _xlpm.name_col, INDEX(_xlpm.data, , 2),
   _xlpm.loc_col,  INDEX(_xlpm.data, , 3),
   _xlpm.target_date, DATE(YEAR($C$1), MONTH($C$1), P$7),
   _xlpm.filtered, _xlfn._xlws.FILTER(_xlpm.name_col, (_xlpm.date_col = _xlpm.target_date) * (_xlpm.loc_col =$C41), ""),
   IF(_xlpm.filtered="", "", _xlpm.filtered)
)</f>
        <v/>
      </c>
      <c r="Q41" s="186" t="str" cm="1">
        <f t="array" ref="Q41">_xlfn.LET(
   _xlpm.data, 表格3_5[[Date]:[Location]],
   _xlpm.date_col, INDEX(_xlpm.data, , 1),
   _xlpm.name_col, INDEX(_xlpm.data, , 2),
   _xlpm.loc_col,  INDEX(_xlpm.data, , 3),
   _xlpm.target_date, DATE(YEAR($C$1), MONTH($C$1), Q$7),
   _xlpm.filtered, _xlfn._xlws.FILTER(_xlpm.name_col, (_xlpm.date_col = _xlpm.target_date) * (_xlpm.loc_col =$C41), ""),
   IF(_xlpm.filtered="", "", _xlpm.filtered)
)</f>
        <v/>
      </c>
      <c r="R41" s="186" t="str" cm="1">
        <f t="array" ref="R41">_xlfn.LET(
   _xlpm.data, 表格3_5[[Date]:[Location]],
   _xlpm.date_col, INDEX(_xlpm.data, , 1),
   _xlpm.name_col, INDEX(_xlpm.data, , 2),
   _xlpm.loc_col,  INDEX(_xlpm.data, , 3),
   _xlpm.target_date, DATE(YEAR($C$1), MONTH($C$1), R$7),
   _xlpm.filtered, _xlfn._xlws.FILTER(_xlpm.name_col, (_xlpm.date_col = _xlpm.target_date) * (_xlpm.loc_col =$C41), ""),
   IF(_xlpm.filtered="", "", _xlpm.filtered)
)</f>
        <v/>
      </c>
      <c r="S41" s="186" t="str" cm="1">
        <f t="array" ref="S41">_xlfn.LET(
   _xlpm.data, 表格3_5[[Date]:[Location]],
   _xlpm.date_col, INDEX(_xlpm.data, , 1),
   _xlpm.name_col, INDEX(_xlpm.data, , 2),
   _xlpm.loc_col,  INDEX(_xlpm.data, , 3),
   _xlpm.target_date, DATE(YEAR($C$1), MONTH($C$1), S$7),
   _xlpm.filtered, _xlfn._xlws.FILTER(_xlpm.name_col, (_xlpm.date_col = _xlpm.target_date) * (_xlpm.loc_col =$C41), ""),
   IF(_xlpm.filtered="", "", _xlpm.filtered)
)</f>
        <v/>
      </c>
      <c r="T41" s="186" t="str" cm="1">
        <f t="array" ref="T41">_xlfn.LET(
   _xlpm.data, 表格3_5[[Date]:[Location]],
   _xlpm.date_col, INDEX(_xlpm.data, , 1),
   _xlpm.name_col, INDEX(_xlpm.data, , 2),
   _xlpm.loc_col,  INDEX(_xlpm.data, , 3),
   _xlpm.target_date, DATE(YEAR($C$1), MONTH($C$1), T$7),
   _xlpm.filtered, _xlfn._xlws.FILTER(_xlpm.name_col, (_xlpm.date_col = _xlpm.target_date) * (_xlpm.loc_col =$C41), ""),
   IF(_xlpm.filtered="", "", _xlpm.filtered)
)</f>
        <v/>
      </c>
      <c r="U41" s="186" t="str" cm="1">
        <f t="array" ref="U41">_xlfn.LET(
   _xlpm.data, 表格3_5[[Date]:[Location]],
   _xlpm.date_col, INDEX(_xlpm.data, , 1),
   _xlpm.name_col, INDEX(_xlpm.data, , 2),
   _xlpm.loc_col,  INDEX(_xlpm.data, , 3),
   _xlpm.target_date, DATE(YEAR($C$1), MONTH($C$1), U$7),
   _xlpm.filtered, _xlfn._xlws.FILTER(_xlpm.name_col, (_xlpm.date_col = _xlpm.target_date) * (_xlpm.loc_col =$C41), ""),
   IF(_xlpm.filtered="", "", _xlpm.filtered)
)</f>
        <v/>
      </c>
      <c r="V41" s="186" t="str" cm="1">
        <f t="array" ref="V41">_xlfn.LET(
   _xlpm.data, 表格3_5[[Date]:[Location]],
   _xlpm.date_col, INDEX(_xlpm.data, , 1),
   _xlpm.name_col, INDEX(_xlpm.data, , 2),
   _xlpm.loc_col,  INDEX(_xlpm.data, , 3),
   _xlpm.target_date, DATE(YEAR($C$1), MONTH($C$1), V$7),
   _xlpm.filtered, _xlfn._xlws.FILTER(_xlpm.name_col, (_xlpm.date_col = _xlpm.target_date) * (_xlpm.loc_col =$C41), ""),
   IF(_xlpm.filtered="", "", _xlpm.filtered)
)</f>
        <v/>
      </c>
      <c r="W41" s="186" t="str" cm="1">
        <f t="array" ref="W41">_xlfn.LET(
   _xlpm.data, 表格3_5[[Date]:[Location]],
   _xlpm.date_col, INDEX(_xlpm.data, , 1),
   _xlpm.name_col, INDEX(_xlpm.data, , 2),
   _xlpm.loc_col,  INDEX(_xlpm.data, , 3),
   _xlpm.target_date, DATE(YEAR($C$1), MONTH($C$1), W$7),
   _xlpm.filtered, _xlfn._xlws.FILTER(_xlpm.name_col, (_xlpm.date_col = _xlpm.target_date) * (_xlpm.loc_col =$C41), ""),
   IF(_xlpm.filtered="", "", _xlpm.filtered)
)</f>
        <v/>
      </c>
      <c r="X41" s="186" t="str" cm="1">
        <f t="array" ref="X41">_xlfn.LET(
   _xlpm.data, 表格3_5[[Date]:[Location]],
   _xlpm.date_col, INDEX(_xlpm.data, , 1),
   _xlpm.name_col, INDEX(_xlpm.data, , 2),
   _xlpm.loc_col,  INDEX(_xlpm.data, , 3),
   _xlpm.target_date, DATE(YEAR($C$1), MONTH($C$1), X$7),
   _xlpm.filtered, _xlfn._xlws.FILTER(_xlpm.name_col, (_xlpm.date_col = _xlpm.target_date) * (_xlpm.loc_col =$C41), ""),
   IF(_xlpm.filtered="", "", _xlpm.filtered)
)</f>
        <v/>
      </c>
      <c r="Y41" s="186" t="str" cm="1">
        <f t="array" ref="Y41">_xlfn.LET(
   _xlpm.data, 表格3_5[[Date]:[Location]],
   _xlpm.date_col, INDEX(_xlpm.data, , 1),
   _xlpm.name_col, INDEX(_xlpm.data, , 2),
   _xlpm.loc_col,  INDEX(_xlpm.data, , 3),
   _xlpm.target_date, DATE(YEAR($C$1), MONTH($C$1), Y$7),
   _xlpm.filtered, _xlfn._xlws.FILTER(_xlpm.name_col, (_xlpm.date_col = _xlpm.target_date) * (_xlpm.loc_col =$C41), ""),
   IF(_xlpm.filtered="", "", _xlpm.filtered)
)</f>
        <v/>
      </c>
      <c r="Z41" s="186" t="str" cm="1">
        <f t="array" ref="Z41">_xlfn.LET(
   _xlpm.data, 表格3_5[[Date]:[Location]],
   _xlpm.date_col, INDEX(_xlpm.data, , 1),
   _xlpm.name_col, INDEX(_xlpm.data, , 2),
   _xlpm.loc_col,  INDEX(_xlpm.data, , 3),
   _xlpm.target_date, DATE(YEAR($C$1), MONTH($C$1), Z$7),
   _xlpm.filtered, _xlfn._xlws.FILTER(_xlpm.name_col, (_xlpm.date_col = _xlpm.target_date) * (_xlpm.loc_col =$C41), ""),
   IF(_xlpm.filtered="", "", _xlpm.filtered)
)</f>
        <v/>
      </c>
      <c r="AA41" s="186" t="str" cm="1">
        <f t="array" ref="AA41">_xlfn.LET(
   _xlpm.data, 表格3_5[[Date]:[Location]],
   _xlpm.date_col, INDEX(_xlpm.data, , 1),
   _xlpm.name_col, INDEX(_xlpm.data, , 2),
   _xlpm.loc_col,  INDEX(_xlpm.data, , 3),
   _xlpm.target_date, DATE(YEAR($C$1), MONTH($C$1), AA$7),
   _xlpm.filtered, _xlfn._xlws.FILTER(_xlpm.name_col, (_xlpm.date_col = _xlpm.target_date) * (_xlpm.loc_col =$C41), ""),
   IF(_xlpm.filtered="", "", _xlpm.filtered)
)</f>
        <v/>
      </c>
      <c r="AB41" s="186" t="str" cm="1">
        <f t="array" ref="AB41">_xlfn.LET(
   _xlpm.data, 表格3_5[[Date]:[Location]],
   _xlpm.date_col, INDEX(_xlpm.data, , 1),
   _xlpm.name_col, INDEX(_xlpm.data, , 2),
   _xlpm.loc_col,  INDEX(_xlpm.data, , 3),
   _xlpm.target_date, DATE(YEAR($C$1), MONTH($C$1), AB$7),
   _xlpm.filtered, _xlfn._xlws.FILTER(_xlpm.name_col, (_xlpm.date_col = _xlpm.target_date) * (_xlpm.loc_col =$C41), ""),
   IF(_xlpm.filtered="", "", _xlpm.filtered)
)</f>
        <v/>
      </c>
      <c r="AC41" s="186" t="str" cm="1">
        <f t="array" ref="AC41">_xlfn.LET(
   _xlpm.data, 表格3_5[[Date]:[Location]],
   _xlpm.date_col, INDEX(_xlpm.data, , 1),
   _xlpm.name_col, INDEX(_xlpm.data, , 2),
   _xlpm.loc_col,  INDEX(_xlpm.data, , 3),
   _xlpm.target_date, DATE(YEAR($C$1), MONTH($C$1), AC$7),
   _xlpm.filtered, _xlfn._xlws.FILTER(_xlpm.name_col, (_xlpm.date_col = _xlpm.target_date) * (_xlpm.loc_col =$C41), ""),
   IF(_xlpm.filtered="", "", _xlpm.filtered)
)</f>
        <v/>
      </c>
      <c r="AD41" s="186" t="str" cm="1">
        <f t="array" ref="AD41">_xlfn.LET(
   _xlpm.data, 表格3_5[[Date]:[Location]],
   _xlpm.date_col, INDEX(_xlpm.data, , 1),
   _xlpm.name_col, INDEX(_xlpm.data, , 2),
   _xlpm.loc_col,  INDEX(_xlpm.data, , 3),
   _xlpm.target_date, DATE(YEAR($C$1), MONTH($C$1), AD$7),
   _xlpm.filtered, _xlfn._xlws.FILTER(_xlpm.name_col, (_xlpm.date_col = _xlpm.target_date) * (_xlpm.loc_col =$C41), ""),
   IF(_xlpm.filtered="", "", _xlpm.filtered)
)</f>
        <v/>
      </c>
      <c r="AE41" s="186" t="str" cm="1">
        <f t="array" ref="AE41">_xlfn.LET(
   _xlpm.data, 表格3_5[[Date]:[Location]],
   _xlpm.date_col, INDEX(_xlpm.data, , 1),
   _xlpm.name_col, INDEX(_xlpm.data, , 2),
   _xlpm.loc_col,  INDEX(_xlpm.data, , 3),
   _xlpm.target_date, DATE(YEAR($C$1), MONTH($C$1), AE$7),
   _xlpm.filtered, _xlfn._xlws.FILTER(_xlpm.name_col, (_xlpm.date_col = _xlpm.target_date) * (_xlpm.loc_col =$C41), ""),
   IF(_xlpm.filtered="", "", _xlpm.filtered)
)</f>
        <v/>
      </c>
      <c r="AF41" s="186" t="str" cm="1">
        <f t="array" ref="AF41">_xlfn.LET(
   _xlpm.data, 表格3_5[[Date]:[Location]],
   _xlpm.date_col, INDEX(_xlpm.data, , 1),
   _xlpm.name_col, INDEX(_xlpm.data, , 2),
   _xlpm.loc_col,  INDEX(_xlpm.data, , 3),
   _xlpm.target_date, DATE(YEAR($C$1), MONTH($C$1), AF$7),
   _xlpm.filtered, _xlfn._xlws.FILTER(_xlpm.name_col, (_xlpm.date_col = _xlpm.target_date) * (_xlpm.loc_col =$C41), ""),
   IF(_xlpm.filtered="", "", _xlpm.filtered)
)</f>
        <v/>
      </c>
      <c r="AG41" s="186" t="str" cm="1">
        <f t="array" ref="AG41">_xlfn.LET(
   _xlpm.data, 表格3_5[[Date]:[Location]],
   _xlpm.date_col, INDEX(_xlpm.data, , 1),
   _xlpm.name_col, INDEX(_xlpm.data, , 2),
   _xlpm.loc_col,  INDEX(_xlpm.data, , 3),
   _xlpm.target_date, DATE(YEAR($C$1), MONTH($C$1), AG$7),
   _xlpm.filtered, _xlfn._xlws.FILTER(_xlpm.name_col, (_xlpm.date_col = _xlpm.target_date) * (_xlpm.loc_col =$C41), ""),
   IF(_xlpm.filtered="", "", _xlpm.filtered)
)</f>
        <v/>
      </c>
      <c r="AH41" s="186" t="str" cm="1">
        <f t="array" ref="AH41">_xlfn.LET(
   _xlpm.data, 表格3_5[[Date]:[Location]],
   _xlpm.date_col, INDEX(_xlpm.data, , 1),
   _xlpm.name_col, INDEX(_xlpm.data, , 2),
   _xlpm.loc_col,  INDEX(_xlpm.data, , 3),
   _xlpm.target_date, DATE(YEAR($C$1), MONTH($C$1), AH$7),
   _xlpm.filtered, _xlfn._xlws.FILTER(_xlpm.name_col, (_xlpm.date_col = _xlpm.target_date) * (_xlpm.loc_col =$C41), ""),
   IF(_xlpm.filtered="", "", _xlpm.filtered)
)</f>
        <v/>
      </c>
    </row>
    <row r="42" spans="2:34">
      <c r="B42" t="e" cm="1" vm="1">
        <f t="array" ref="B42">_xlfn.LET(
    _xlpm.data, D42:AH42,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D42" s="186" t="str" cm="1">
        <f t="array" ref="D42">_xlfn.LET(
   _xlpm.data, 表格3_5[[Date]:[Location]],
   _xlpm.date_col, INDEX(_xlpm.data, , 1),
   _xlpm.name_col, INDEX(_xlpm.data, , 2),
   _xlpm.loc_col,  INDEX(_xlpm.data, , 3),
   _xlpm.target_date, DATE(YEAR($C$1), MONTH($C$1), D$7),
   _xlpm.filtered, _xlfn._xlws.FILTER(_xlpm.name_col, (_xlpm.date_col = _xlpm.target_date) * (_xlpm.loc_col =$C42), ""),
   IF(_xlpm.filtered="", "", _xlpm.filtered)
)</f>
        <v/>
      </c>
      <c r="E42" s="186" t="str" cm="1">
        <f t="array" ref="E42">_xlfn.LET(
   _xlpm.data, 表格3_5[[Date]:[Location]],
   _xlpm.date_col, INDEX(_xlpm.data, , 1),
   _xlpm.name_col, INDEX(_xlpm.data, , 2),
   _xlpm.loc_col,  INDEX(_xlpm.data, , 3),
   _xlpm.target_date, DATE(YEAR($C$1), MONTH($C$1), E$7),
   _xlpm.filtered, _xlfn._xlws.FILTER(_xlpm.name_col, (_xlpm.date_col = _xlpm.target_date) * (_xlpm.loc_col =$C42), ""),
   IF(_xlpm.filtered="", "", _xlpm.filtered)
)</f>
        <v/>
      </c>
      <c r="F42" s="186" t="str" cm="1">
        <f t="array" ref="F42">_xlfn.LET(
   _xlpm.data, 表格3_5[[Date]:[Location]],
   _xlpm.date_col, INDEX(_xlpm.data, , 1),
   _xlpm.name_col, INDEX(_xlpm.data, , 2),
   _xlpm.loc_col,  INDEX(_xlpm.data, , 3),
   _xlpm.target_date, DATE(YEAR($C$1), MONTH($C$1), F$7),
   _xlpm.filtered, _xlfn._xlws.FILTER(_xlpm.name_col, (_xlpm.date_col = _xlpm.target_date) * (_xlpm.loc_col =$C42), ""),
   IF(_xlpm.filtered="", "", _xlpm.filtered)
)</f>
        <v/>
      </c>
      <c r="G42" s="186" t="str" cm="1">
        <f t="array" ref="G42">_xlfn.LET(
   _xlpm.data, 表格3_5[[Date]:[Location]],
   _xlpm.date_col, INDEX(_xlpm.data, , 1),
   _xlpm.name_col, INDEX(_xlpm.data, , 2),
   _xlpm.loc_col,  INDEX(_xlpm.data, , 3),
   _xlpm.target_date, DATE(YEAR($C$1), MONTH($C$1), G$7),
   _xlpm.filtered, _xlfn._xlws.FILTER(_xlpm.name_col, (_xlpm.date_col = _xlpm.target_date) * (_xlpm.loc_col =$C42), ""),
   IF(_xlpm.filtered="", "", _xlpm.filtered)
)</f>
        <v/>
      </c>
      <c r="H42" s="186" t="str" cm="1">
        <f t="array" ref="H42">_xlfn.LET(
   _xlpm.data, 表格3_5[[Date]:[Location]],
   _xlpm.date_col, INDEX(_xlpm.data, , 1),
   _xlpm.name_col, INDEX(_xlpm.data, , 2),
   _xlpm.loc_col,  INDEX(_xlpm.data, , 3),
   _xlpm.target_date, DATE(YEAR($C$1), MONTH($C$1), H$7),
   _xlpm.filtered, _xlfn._xlws.FILTER(_xlpm.name_col, (_xlpm.date_col = _xlpm.target_date) * (_xlpm.loc_col =$C42), ""),
   IF(_xlpm.filtered="", "", _xlpm.filtered)
)</f>
        <v/>
      </c>
      <c r="I42" s="186" t="str" cm="1">
        <f t="array" ref="I42">_xlfn.LET(
   _xlpm.data, 表格3_5[[Date]:[Location]],
   _xlpm.date_col, INDEX(_xlpm.data, , 1),
   _xlpm.name_col, INDEX(_xlpm.data, , 2),
   _xlpm.loc_col,  INDEX(_xlpm.data, , 3),
   _xlpm.target_date, DATE(YEAR($C$1), MONTH($C$1), I$7),
   _xlpm.filtered, _xlfn._xlws.FILTER(_xlpm.name_col, (_xlpm.date_col = _xlpm.target_date) * (_xlpm.loc_col =$C42), ""),
   IF(_xlpm.filtered="", "", _xlpm.filtered)
)</f>
        <v/>
      </c>
      <c r="J42" s="186" t="str" cm="1">
        <f t="array" ref="J42">_xlfn.LET(
   _xlpm.data, 表格3_5[[Date]:[Location]],
   _xlpm.date_col, INDEX(_xlpm.data, , 1),
   _xlpm.name_col, INDEX(_xlpm.data, , 2),
   _xlpm.loc_col,  INDEX(_xlpm.data, , 3),
   _xlpm.target_date, DATE(YEAR($C$1), MONTH($C$1), J$7),
   _xlpm.filtered, _xlfn._xlws.FILTER(_xlpm.name_col, (_xlpm.date_col = _xlpm.target_date) * (_xlpm.loc_col =$C42), ""),
   IF(_xlpm.filtered="", "", _xlpm.filtered)
)</f>
        <v/>
      </c>
      <c r="K42" s="186" t="str" cm="1">
        <f t="array" ref="K42">_xlfn.LET(
   _xlpm.data, 表格3_5[[Date]:[Location]],
   _xlpm.date_col, INDEX(_xlpm.data, , 1),
   _xlpm.name_col, INDEX(_xlpm.data, , 2),
   _xlpm.loc_col,  INDEX(_xlpm.data, , 3),
   _xlpm.target_date, DATE(YEAR($C$1), MONTH($C$1), K$7),
   _xlpm.filtered, _xlfn._xlws.FILTER(_xlpm.name_col, (_xlpm.date_col = _xlpm.target_date) * (_xlpm.loc_col =$C42), ""),
   IF(_xlpm.filtered="", "", _xlpm.filtered)
)</f>
        <v/>
      </c>
      <c r="L42" s="186" t="str" cm="1">
        <f t="array" ref="L42">_xlfn.LET(
   _xlpm.data, 表格3_5[[Date]:[Location]],
   _xlpm.date_col, INDEX(_xlpm.data, , 1),
   _xlpm.name_col, INDEX(_xlpm.data, , 2),
   _xlpm.loc_col,  INDEX(_xlpm.data, , 3),
   _xlpm.target_date, DATE(YEAR($C$1), MONTH($C$1), L$7),
   _xlpm.filtered, _xlfn._xlws.FILTER(_xlpm.name_col, (_xlpm.date_col = _xlpm.target_date) * (_xlpm.loc_col =$C42), ""),
   IF(_xlpm.filtered="", "", _xlpm.filtered)
)</f>
        <v/>
      </c>
      <c r="M42" s="186" t="str" cm="1">
        <f t="array" ref="M42">_xlfn.LET(
   _xlpm.data, 表格3_5[[Date]:[Location]],
   _xlpm.date_col, INDEX(_xlpm.data, , 1),
   _xlpm.name_col, INDEX(_xlpm.data, , 2),
   _xlpm.loc_col,  INDEX(_xlpm.data, , 3),
   _xlpm.target_date, DATE(YEAR($C$1), MONTH($C$1), M$7),
   _xlpm.filtered, _xlfn._xlws.FILTER(_xlpm.name_col, (_xlpm.date_col = _xlpm.target_date) * (_xlpm.loc_col =$C42), ""),
   IF(_xlpm.filtered="", "", _xlpm.filtered)
)</f>
        <v/>
      </c>
      <c r="N42" s="186" t="str" cm="1">
        <f t="array" ref="N42">_xlfn.LET(
   _xlpm.data, 表格3_5[[Date]:[Location]],
   _xlpm.date_col, INDEX(_xlpm.data, , 1),
   _xlpm.name_col, INDEX(_xlpm.data, , 2),
   _xlpm.loc_col,  INDEX(_xlpm.data, , 3),
   _xlpm.target_date, DATE(YEAR($C$1), MONTH($C$1), N$7),
   _xlpm.filtered, _xlfn._xlws.FILTER(_xlpm.name_col, (_xlpm.date_col = _xlpm.target_date) * (_xlpm.loc_col =$C42), ""),
   IF(_xlpm.filtered="", "", _xlpm.filtered)
)</f>
        <v/>
      </c>
      <c r="O42" s="186" t="str" cm="1">
        <f t="array" ref="O42">_xlfn.LET(
   _xlpm.data, 表格3_5[[Date]:[Location]],
   _xlpm.date_col, INDEX(_xlpm.data, , 1),
   _xlpm.name_col, INDEX(_xlpm.data, , 2),
   _xlpm.loc_col,  INDEX(_xlpm.data, , 3),
   _xlpm.target_date, DATE(YEAR($C$1), MONTH($C$1), O$7),
   _xlpm.filtered, _xlfn._xlws.FILTER(_xlpm.name_col, (_xlpm.date_col = _xlpm.target_date) * (_xlpm.loc_col =$C42), ""),
   IF(_xlpm.filtered="", "", _xlpm.filtered)
)</f>
        <v/>
      </c>
      <c r="P42" s="186" t="str" cm="1">
        <f t="array" ref="P42">_xlfn.LET(
   _xlpm.data, 表格3_5[[Date]:[Location]],
   _xlpm.date_col, INDEX(_xlpm.data, , 1),
   _xlpm.name_col, INDEX(_xlpm.data, , 2),
   _xlpm.loc_col,  INDEX(_xlpm.data, , 3),
   _xlpm.target_date, DATE(YEAR($C$1), MONTH($C$1), P$7),
   _xlpm.filtered, _xlfn._xlws.FILTER(_xlpm.name_col, (_xlpm.date_col = _xlpm.target_date) * (_xlpm.loc_col =$C42), ""),
   IF(_xlpm.filtered="", "", _xlpm.filtered)
)</f>
        <v/>
      </c>
      <c r="Q42" s="186" t="str" cm="1">
        <f t="array" ref="Q42">_xlfn.LET(
   _xlpm.data, 表格3_5[[Date]:[Location]],
   _xlpm.date_col, INDEX(_xlpm.data, , 1),
   _xlpm.name_col, INDEX(_xlpm.data, , 2),
   _xlpm.loc_col,  INDEX(_xlpm.data, , 3),
   _xlpm.target_date, DATE(YEAR($C$1), MONTH($C$1), Q$7),
   _xlpm.filtered, _xlfn._xlws.FILTER(_xlpm.name_col, (_xlpm.date_col = _xlpm.target_date) * (_xlpm.loc_col =$C42), ""),
   IF(_xlpm.filtered="", "", _xlpm.filtered)
)</f>
        <v/>
      </c>
      <c r="R42" s="186" t="str" cm="1">
        <f t="array" ref="R42">_xlfn.LET(
   _xlpm.data, 表格3_5[[Date]:[Location]],
   _xlpm.date_col, INDEX(_xlpm.data, , 1),
   _xlpm.name_col, INDEX(_xlpm.data, , 2),
   _xlpm.loc_col,  INDEX(_xlpm.data, , 3),
   _xlpm.target_date, DATE(YEAR($C$1), MONTH($C$1), R$7),
   _xlpm.filtered, _xlfn._xlws.FILTER(_xlpm.name_col, (_xlpm.date_col = _xlpm.target_date) * (_xlpm.loc_col =$C42), ""),
   IF(_xlpm.filtered="", "", _xlpm.filtered)
)</f>
        <v/>
      </c>
      <c r="S42" s="186" t="str" cm="1">
        <f t="array" ref="S42">_xlfn.LET(
   _xlpm.data, 表格3_5[[Date]:[Location]],
   _xlpm.date_col, INDEX(_xlpm.data, , 1),
   _xlpm.name_col, INDEX(_xlpm.data, , 2),
   _xlpm.loc_col,  INDEX(_xlpm.data, , 3),
   _xlpm.target_date, DATE(YEAR($C$1), MONTH($C$1), S$7),
   _xlpm.filtered, _xlfn._xlws.FILTER(_xlpm.name_col, (_xlpm.date_col = _xlpm.target_date) * (_xlpm.loc_col =$C42), ""),
   IF(_xlpm.filtered="", "", _xlpm.filtered)
)</f>
        <v/>
      </c>
      <c r="T42" s="186" t="str" cm="1">
        <f t="array" ref="T42">_xlfn.LET(
   _xlpm.data, 表格3_5[[Date]:[Location]],
   _xlpm.date_col, INDEX(_xlpm.data, , 1),
   _xlpm.name_col, INDEX(_xlpm.data, , 2),
   _xlpm.loc_col,  INDEX(_xlpm.data, , 3),
   _xlpm.target_date, DATE(YEAR($C$1), MONTH($C$1), T$7),
   _xlpm.filtered, _xlfn._xlws.FILTER(_xlpm.name_col, (_xlpm.date_col = _xlpm.target_date) * (_xlpm.loc_col =$C42), ""),
   IF(_xlpm.filtered="", "", _xlpm.filtered)
)</f>
        <v/>
      </c>
      <c r="U42" s="186" t="str" cm="1">
        <f t="array" ref="U42">_xlfn.LET(
   _xlpm.data, 表格3_5[[Date]:[Location]],
   _xlpm.date_col, INDEX(_xlpm.data, , 1),
   _xlpm.name_col, INDEX(_xlpm.data, , 2),
   _xlpm.loc_col,  INDEX(_xlpm.data, , 3),
   _xlpm.target_date, DATE(YEAR($C$1), MONTH($C$1), U$7),
   _xlpm.filtered, _xlfn._xlws.FILTER(_xlpm.name_col, (_xlpm.date_col = _xlpm.target_date) * (_xlpm.loc_col =$C42), ""),
   IF(_xlpm.filtered="", "", _xlpm.filtered)
)</f>
        <v/>
      </c>
      <c r="V42" s="186" t="str" cm="1">
        <f t="array" ref="V42">_xlfn.LET(
   _xlpm.data, 表格3_5[[Date]:[Location]],
   _xlpm.date_col, INDEX(_xlpm.data, , 1),
   _xlpm.name_col, INDEX(_xlpm.data, , 2),
   _xlpm.loc_col,  INDEX(_xlpm.data, , 3),
   _xlpm.target_date, DATE(YEAR($C$1), MONTH($C$1), V$7),
   _xlpm.filtered, _xlfn._xlws.FILTER(_xlpm.name_col, (_xlpm.date_col = _xlpm.target_date) * (_xlpm.loc_col =$C42), ""),
   IF(_xlpm.filtered="", "", _xlpm.filtered)
)</f>
        <v/>
      </c>
      <c r="W42" s="186" t="str" cm="1">
        <f t="array" ref="W42">_xlfn.LET(
   _xlpm.data, 表格3_5[[Date]:[Location]],
   _xlpm.date_col, INDEX(_xlpm.data, , 1),
   _xlpm.name_col, INDEX(_xlpm.data, , 2),
   _xlpm.loc_col,  INDEX(_xlpm.data, , 3),
   _xlpm.target_date, DATE(YEAR($C$1), MONTH($C$1), W$7),
   _xlpm.filtered, _xlfn._xlws.FILTER(_xlpm.name_col, (_xlpm.date_col = _xlpm.target_date) * (_xlpm.loc_col =$C42), ""),
   IF(_xlpm.filtered="", "", _xlpm.filtered)
)</f>
        <v/>
      </c>
      <c r="X42" s="186" t="str" cm="1">
        <f t="array" ref="X42">_xlfn.LET(
   _xlpm.data, 表格3_5[[Date]:[Location]],
   _xlpm.date_col, INDEX(_xlpm.data, , 1),
   _xlpm.name_col, INDEX(_xlpm.data, , 2),
   _xlpm.loc_col,  INDEX(_xlpm.data, , 3),
   _xlpm.target_date, DATE(YEAR($C$1), MONTH($C$1), X$7),
   _xlpm.filtered, _xlfn._xlws.FILTER(_xlpm.name_col, (_xlpm.date_col = _xlpm.target_date) * (_xlpm.loc_col =$C42), ""),
   IF(_xlpm.filtered="", "", _xlpm.filtered)
)</f>
        <v/>
      </c>
      <c r="Y42" s="186" t="str" cm="1">
        <f t="array" ref="Y42">_xlfn.LET(
   _xlpm.data, 表格3_5[[Date]:[Location]],
   _xlpm.date_col, INDEX(_xlpm.data, , 1),
   _xlpm.name_col, INDEX(_xlpm.data, , 2),
   _xlpm.loc_col,  INDEX(_xlpm.data, , 3),
   _xlpm.target_date, DATE(YEAR($C$1), MONTH($C$1), Y$7),
   _xlpm.filtered, _xlfn._xlws.FILTER(_xlpm.name_col, (_xlpm.date_col = _xlpm.target_date) * (_xlpm.loc_col =$C42), ""),
   IF(_xlpm.filtered="", "", _xlpm.filtered)
)</f>
        <v/>
      </c>
      <c r="Z42" s="186" t="str" cm="1">
        <f t="array" ref="Z42">_xlfn.LET(
   _xlpm.data, 表格3_5[[Date]:[Location]],
   _xlpm.date_col, INDEX(_xlpm.data, , 1),
   _xlpm.name_col, INDEX(_xlpm.data, , 2),
   _xlpm.loc_col,  INDEX(_xlpm.data, , 3),
   _xlpm.target_date, DATE(YEAR($C$1), MONTH($C$1), Z$7),
   _xlpm.filtered, _xlfn._xlws.FILTER(_xlpm.name_col, (_xlpm.date_col = _xlpm.target_date) * (_xlpm.loc_col =$C42), ""),
   IF(_xlpm.filtered="", "", _xlpm.filtered)
)</f>
        <v/>
      </c>
      <c r="AA42" s="186" t="str" cm="1">
        <f t="array" ref="AA42">_xlfn.LET(
   _xlpm.data, 表格3_5[[Date]:[Location]],
   _xlpm.date_col, INDEX(_xlpm.data, , 1),
   _xlpm.name_col, INDEX(_xlpm.data, , 2),
   _xlpm.loc_col,  INDEX(_xlpm.data, , 3),
   _xlpm.target_date, DATE(YEAR($C$1), MONTH($C$1), AA$7),
   _xlpm.filtered, _xlfn._xlws.FILTER(_xlpm.name_col, (_xlpm.date_col = _xlpm.target_date) * (_xlpm.loc_col =$C42), ""),
   IF(_xlpm.filtered="", "", _xlpm.filtered)
)</f>
        <v/>
      </c>
      <c r="AB42" s="186" t="str" cm="1">
        <f t="array" ref="AB42">_xlfn.LET(
   _xlpm.data, 表格3_5[[Date]:[Location]],
   _xlpm.date_col, INDEX(_xlpm.data, , 1),
   _xlpm.name_col, INDEX(_xlpm.data, , 2),
   _xlpm.loc_col,  INDEX(_xlpm.data, , 3),
   _xlpm.target_date, DATE(YEAR($C$1), MONTH($C$1), AB$7),
   _xlpm.filtered, _xlfn._xlws.FILTER(_xlpm.name_col, (_xlpm.date_col = _xlpm.target_date) * (_xlpm.loc_col =$C42), ""),
   IF(_xlpm.filtered="", "", _xlpm.filtered)
)</f>
        <v/>
      </c>
      <c r="AC42" s="186" t="str" cm="1">
        <f t="array" ref="AC42">_xlfn.LET(
   _xlpm.data, 表格3_5[[Date]:[Location]],
   _xlpm.date_col, INDEX(_xlpm.data, , 1),
   _xlpm.name_col, INDEX(_xlpm.data, , 2),
   _xlpm.loc_col,  INDEX(_xlpm.data, , 3),
   _xlpm.target_date, DATE(YEAR($C$1), MONTH($C$1), AC$7),
   _xlpm.filtered, _xlfn._xlws.FILTER(_xlpm.name_col, (_xlpm.date_col = _xlpm.target_date) * (_xlpm.loc_col =$C42), ""),
   IF(_xlpm.filtered="", "", _xlpm.filtered)
)</f>
        <v/>
      </c>
      <c r="AD42" s="186" t="str" cm="1">
        <f t="array" ref="AD42">_xlfn.LET(
   _xlpm.data, 表格3_5[[Date]:[Location]],
   _xlpm.date_col, INDEX(_xlpm.data, , 1),
   _xlpm.name_col, INDEX(_xlpm.data, , 2),
   _xlpm.loc_col,  INDEX(_xlpm.data, , 3),
   _xlpm.target_date, DATE(YEAR($C$1), MONTH($C$1), AD$7),
   _xlpm.filtered, _xlfn._xlws.FILTER(_xlpm.name_col, (_xlpm.date_col = _xlpm.target_date) * (_xlpm.loc_col =$C42), ""),
   IF(_xlpm.filtered="", "", _xlpm.filtered)
)</f>
        <v/>
      </c>
      <c r="AE42" s="186" t="str" cm="1">
        <f t="array" ref="AE42">_xlfn.LET(
   _xlpm.data, 表格3_5[[Date]:[Location]],
   _xlpm.date_col, INDEX(_xlpm.data, , 1),
   _xlpm.name_col, INDEX(_xlpm.data, , 2),
   _xlpm.loc_col,  INDEX(_xlpm.data, , 3),
   _xlpm.target_date, DATE(YEAR($C$1), MONTH($C$1), AE$7),
   _xlpm.filtered, _xlfn._xlws.FILTER(_xlpm.name_col, (_xlpm.date_col = _xlpm.target_date) * (_xlpm.loc_col =$C42), ""),
   IF(_xlpm.filtered="", "", _xlpm.filtered)
)</f>
        <v/>
      </c>
      <c r="AF42" s="186" t="str" cm="1">
        <f t="array" ref="AF42">_xlfn.LET(
   _xlpm.data, 表格3_5[[Date]:[Location]],
   _xlpm.date_col, INDEX(_xlpm.data, , 1),
   _xlpm.name_col, INDEX(_xlpm.data, , 2),
   _xlpm.loc_col,  INDEX(_xlpm.data, , 3),
   _xlpm.target_date, DATE(YEAR($C$1), MONTH($C$1), AF$7),
   _xlpm.filtered, _xlfn._xlws.FILTER(_xlpm.name_col, (_xlpm.date_col = _xlpm.target_date) * (_xlpm.loc_col =$C42), ""),
   IF(_xlpm.filtered="", "", _xlpm.filtered)
)</f>
        <v/>
      </c>
      <c r="AG42" s="186" t="str" cm="1">
        <f t="array" ref="AG42">_xlfn.LET(
   _xlpm.data, 表格3_5[[Date]:[Location]],
   _xlpm.date_col, INDEX(_xlpm.data, , 1),
   _xlpm.name_col, INDEX(_xlpm.data, , 2),
   _xlpm.loc_col,  INDEX(_xlpm.data, , 3),
   _xlpm.target_date, DATE(YEAR($C$1), MONTH($C$1), AG$7),
   _xlpm.filtered, _xlfn._xlws.FILTER(_xlpm.name_col, (_xlpm.date_col = _xlpm.target_date) * (_xlpm.loc_col =$C42), ""),
   IF(_xlpm.filtered="", "", _xlpm.filtered)
)</f>
        <v/>
      </c>
      <c r="AH42" s="186" t="str" cm="1">
        <f t="array" ref="AH42">_xlfn.LET(
   _xlpm.data, 表格3_5[[Date]:[Location]],
   _xlpm.date_col, INDEX(_xlpm.data, , 1),
   _xlpm.name_col, INDEX(_xlpm.data, , 2),
   _xlpm.loc_col,  INDEX(_xlpm.data, , 3),
   _xlpm.target_date, DATE(YEAR($C$1), MONTH($C$1), AH$7),
   _xlpm.filtered, _xlfn._xlws.FILTER(_xlpm.name_col, (_xlpm.date_col = _xlpm.target_date) * (_xlpm.loc_col =$C42), ""),
   IF(_xlpm.filtered="", "", _xlpm.filtered)
)</f>
        <v/>
      </c>
    </row>
    <row r="43" spans="2:34">
      <c r="B43" t="e" cm="1" vm="1">
        <f t="array" ref="B43">_xlfn.LET(
    _xlpm.data, D43:AH43,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D43" s="186" t="str" cm="1">
        <f t="array" ref="D43">_xlfn.LET(
   _xlpm.data, 表格3_5[[Date]:[Location]],
   _xlpm.date_col, INDEX(_xlpm.data, , 1),
   _xlpm.name_col, INDEX(_xlpm.data, , 2),
   _xlpm.loc_col,  INDEX(_xlpm.data, , 3),
   _xlpm.target_date, DATE(YEAR($C$1), MONTH($C$1), D$7),
   _xlpm.filtered, _xlfn._xlws.FILTER(_xlpm.name_col, (_xlpm.date_col = _xlpm.target_date) * (_xlpm.loc_col =$C43), ""),
   IF(_xlpm.filtered="", "", _xlpm.filtered)
)</f>
        <v/>
      </c>
      <c r="E43" s="186" t="str" cm="1">
        <f t="array" ref="E43">_xlfn.LET(
   _xlpm.data, 表格3_5[[Date]:[Location]],
   _xlpm.date_col, INDEX(_xlpm.data, , 1),
   _xlpm.name_col, INDEX(_xlpm.data, , 2),
   _xlpm.loc_col,  INDEX(_xlpm.data, , 3),
   _xlpm.target_date, DATE(YEAR($C$1), MONTH($C$1), E$7),
   _xlpm.filtered, _xlfn._xlws.FILTER(_xlpm.name_col, (_xlpm.date_col = _xlpm.target_date) * (_xlpm.loc_col =$C43), ""),
   IF(_xlpm.filtered="", "", _xlpm.filtered)
)</f>
        <v/>
      </c>
      <c r="F43" s="186" t="str" cm="1">
        <f t="array" ref="F43">_xlfn.LET(
   _xlpm.data, 表格3_5[[Date]:[Location]],
   _xlpm.date_col, INDEX(_xlpm.data, , 1),
   _xlpm.name_col, INDEX(_xlpm.data, , 2),
   _xlpm.loc_col,  INDEX(_xlpm.data, , 3),
   _xlpm.target_date, DATE(YEAR($C$1), MONTH($C$1), F$7),
   _xlpm.filtered, _xlfn._xlws.FILTER(_xlpm.name_col, (_xlpm.date_col = _xlpm.target_date) * (_xlpm.loc_col =$C43), ""),
   IF(_xlpm.filtered="", "", _xlpm.filtered)
)</f>
        <v/>
      </c>
      <c r="G43" s="186" t="str" cm="1">
        <f t="array" ref="G43">_xlfn.LET(
   _xlpm.data, 表格3_5[[Date]:[Location]],
   _xlpm.date_col, INDEX(_xlpm.data, , 1),
   _xlpm.name_col, INDEX(_xlpm.data, , 2),
   _xlpm.loc_col,  INDEX(_xlpm.data, , 3),
   _xlpm.target_date, DATE(YEAR($C$1), MONTH($C$1), G$7),
   _xlpm.filtered, _xlfn._xlws.FILTER(_xlpm.name_col, (_xlpm.date_col = _xlpm.target_date) * (_xlpm.loc_col =$C43), ""),
   IF(_xlpm.filtered="", "", _xlpm.filtered)
)</f>
        <v/>
      </c>
      <c r="H43" s="186" t="str" cm="1">
        <f t="array" ref="H43">_xlfn.LET(
   _xlpm.data, 表格3_5[[Date]:[Location]],
   _xlpm.date_col, INDEX(_xlpm.data, , 1),
   _xlpm.name_col, INDEX(_xlpm.data, , 2),
   _xlpm.loc_col,  INDEX(_xlpm.data, , 3),
   _xlpm.target_date, DATE(YEAR($C$1), MONTH($C$1), H$7),
   _xlpm.filtered, _xlfn._xlws.FILTER(_xlpm.name_col, (_xlpm.date_col = _xlpm.target_date) * (_xlpm.loc_col =$C43), ""),
   IF(_xlpm.filtered="", "", _xlpm.filtered)
)</f>
        <v/>
      </c>
      <c r="I43" s="186" t="str" cm="1">
        <f t="array" ref="I43">_xlfn.LET(
   _xlpm.data, 表格3_5[[Date]:[Location]],
   _xlpm.date_col, INDEX(_xlpm.data, , 1),
   _xlpm.name_col, INDEX(_xlpm.data, , 2),
   _xlpm.loc_col,  INDEX(_xlpm.data, , 3),
   _xlpm.target_date, DATE(YEAR($C$1), MONTH($C$1), I$7),
   _xlpm.filtered, _xlfn._xlws.FILTER(_xlpm.name_col, (_xlpm.date_col = _xlpm.target_date) * (_xlpm.loc_col =$C43), ""),
   IF(_xlpm.filtered="", "", _xlpm.filtered)
)</f>
        <v/>
      </c>
      <c r="J43" s="186" t="str" cm="1">
        <f t="array" ref="J43">_xlfn.LET(
   _xlpm.data, 表格3_5[[Date]:[Location]],
   _xlpm.date_col, INDEX(_xlpm.data, , 1),
   _xlpm.name_col, INDEX(_xlpm.data, , 2),
   _xlpm.loc_col,  INDEX(_xlpm.data, , 3),
   _xlpm.target_date, DATE(YEAR($C$1), MONTH($C$1), J$7),
   _xlpm.filtered, _xlfn._xlws.FILTER(_xlpm.name_col, (_xlpm.date_col = _xlpm.target_date) * (_xlpm.loc_col =$C43), ""),
   IF(_xlpm.filtered="", "", _xlpm.filtered)
)</f>
        <v/>
      </c>
      <c r="K43" s="186" t="str" cm="1">
        <f t="array" ref="K43">_xlfn.LET(
   _xlpm.data, 表格3_5[[Date]:[Location]],
   _xlpm.date_col, INDEX(_xlpm.data, , 1),
   _xlpm.name_col, INDEX(_xlpm.data, , 2),
   _xlpm.loc_col,  INDEX(_xlpm.data, , 3),
   _xlpm.target_date, DATE(YEAR($C$1), MONTH($C$1), K$7),
   _xlpm.filtered, _xlfn._xlws.FILTER(_xlpm.name_col, (_xlpm.date_col = _xlpm.target_date) * (_xlpm.loc_col =$C43), ""),
   IF(_xlpm.filtered="", "", _xlpm.filtered)
)</f>
        <v/>
      </c>
      <c r="L43" s="186" t="str" cm="1">
        <f t="array" ref="L43">_xlfn.LET(
   _xlpm.data, 表格3_5[[Date]:[Location]],
   _xlpm.date_col, INDEX(_xlpm.data, , 1),
   _xlpm.name_col, INDEX(_xlpm.data, , 2),
   _xlpm.loc_col,  INDEX(_xlpm.data, , 3),
   _xlpm.target_date, DATE(YEAR($C$1), MONTH($C$1), L$7),
   _xlpm.filtered, _xlfn._xlws.FILTER(_xlpm.name_col, (_xlpm.date_col = _xlpm.target_date) * (_xlpm.loc_col =$C43), ""),
   IF(_xlpm.filtered="", "", _xlpm.filtered)
)</f>
        <v/>
      </c>
      <c r="M43" s="186" t="str" cm="1">
        <f t="array" ref="M43">_xlfn.LET(
   _xlpm.data, 表格3_5[[Date]:[Location]],
   _xlpm.date_col, INDEX(_xlpm.data, , 1),
   _xlpm.name_col, INDEX(_xlpm.data, , 2),
   _xlpm.loc_col,  INDEX(_xlpm.data, , 3),
   _xlpm.target_date, DATE(YEAR($C$1), MONTH($C$1), M$7),
   _xlpm.filtered, _xlfn._xlws.FILTER(_xlpm.name_col, (_xlpm.date_col = _xlpm.target_date) * (_xlpm.loc_col =$C43), ""),
   IF(_xlpm.filtered="", "", _xlpm.filtered)
)</f>
        <v/>
      </c>
      <c r="N43" s="186" t="str" cm="1">
        <f t="array" ref="N43">_xlfn.LET(
   _xlpm.data, 表格3_5[[Date]:[Location]],
   _xlpm.date_col, INDEX(_xlpm.data, , 1),
   _xlpm.name_col, INDEX(_xlpm.data, , 2),
   _xlpm.loc_col,  INDEX(_xlpm.data, , 3),
   _xlpm.target_date, DATE(YEAR($C$1), MONTH($C$1), N$7),
   _xlpm.filtered, _xlfn._xlws.FILTER(_xlpm.name_col, (_xlpm.date_col = _xlpm.target_date) * (_xlpm.loc_col =$C43), ""),
   IF(_xlpm.filtered="", "", _xlpm.filtered)
)</f>
        <v/>
      </c>
      <c r="O43" s="186" t="str" cm="1">
        <f t="array" ref="O43">_xlfn.LET(
   _xlpm.data, 表格3_5[[Date]:[Location]],
   _xlpm.date_col, INDEX(_xlpm.data, , 1),
   _xlpm.name_col, INDEX(_xlpm.data, , 2),
   _xlpm.loc_col,  INDEX(_xlpm.data, , 3),
   _xlpm.target_date, DATE(YEAR($C$1), MONTH($C$1), O$7),
   _xlpm.filtered, _xlfn._xlws.FILTER(_xlpm.name_col, (_xlpm.date_col = _xlpm.target_date) * (_xlpm.loc_col =$C43), ""),
   IF(_xlpm.filtered="", "", _xlpm.filtered)
)</f>
        <v/>
      </c>
      <c r="P43" s="186" t="str" cm="1">
        <f t="array" ref="P43">_xlfn.LET(
   _xlpm.data, 表格3_5[[Date]:[Location]],
   _xlpm.date_col, INDEX(_xlpm.data, , 1),
   _xlpm.name_col, INDEX(_xlpm.data, , 2),
   _xlpm.loc_col,  INDEX(_xlpm.data, , 3),
   _xlpm.target_date, DATE(YEAR($C$1), MONTH($C$1), P$7),
   _xlpm.filtered, _xlfn._xlws.FILTER(_xlpm.name_col, (_xlpm.date_col = _xlpm.target_date) * (_xlpm.loc_col =$C43), ""),
   IF(_xlpm.filtered="", "", _xlpm.filtered)
)</f>
        <v/>
      </c>
      <c r="Q43" s="186" t="str" cm="1">
        <f t="array" ref="Q43">_xlfn.LET(
   _xlpm.data, 表格3_5[[Date]:[Location]],
   _xlpm.date_col, INDEX(_xlpm.data, , 1),
   _xlpm.name_col, INDEX(_xlpm.data, , 2),
   _xlpm.loc_col,  INDEX(_xlpm.data, , 3),
   _xlpm.target_date, DATE(YEAR($C$1), MONTH($C$1), Q$7),
   _xlpm.filtered, _xlfn._xlws.FILTER(_xlpm.name_col, (_xlpm.date_col = _xlpm.target_date) * (_xlpm.loc_col =$C43), ""),
   IF(_xlpm.filtered="", "", _xlpm.filtered)
)</f>
        <v/>
      </c>
      <c r="R43" s="186" t="str" cm="1">
        <f t="array" ref="R43">_xlfn.LET(
   _xlpm.data, 表格3_5[[Date]:[Location]],
   _xlpm.date_col, INDEX(_xlpm.data, , 1),
   _xlpm.name_col, INDEX(_xlpm.data, , 2),
   _xlpm.loc_col,  INDEX(_xlpm.data, , 3),
   _xlpm.target_date, DATE(YEAR($C$1), MONTH($C$1), R$7),
   _xlpm.filtered, _xlfn._xlws.FILTER(_xlpm.name_col, (_xlpm.date_col = _xlpm.target_date) * (_xlpm.loc_col =$C43), ""),
   IF(_xlpm.filtered="", "", _xlpm.filtered)
)</f>
        <v/>
      </c>
      <c r="S43" s="186" t="str" cm="1">
        <f t="array" ref="S43">_xlfn.LET(
   _xlpm.data, 表格3_5[[Date]:[Location]],
   _xlpm.date_col, INDEX(_xlpm.data, , 1),
   _xlpm.name_col, INDEX(_xlpm.data, , 2),
   _xlpm.loc_col,  INDEX(_xlpm.data, , 3),
   _xlpm.target_date, DATE(YEAR($C$1), MONTH($C$1), S$7),
   _xlpm.filtered, _xlfn._xlws.FILTER(_xlpm.name_col, (_xlpm.date_col = _xlpm.target_date) * (_xlpm.loc_col =$C43), ""),
   IF(_xlpm.filtered="", "", _xlpm.filtered)
)</f>
        <v/>
      </c>
      <c r="T43" s="186" t="str" cm="1">
        <f t="array" ref="T43">_xlfn.LET(
   _xlpm.data, 表格3_5[[Date]:[Location]],
   _xlpm.date_col, INDEX(_xlpm.data, , 1),
   _xlpm.name_col, INDEX(_xlpm.data, , 2),
   _xlpm.loc_col,  INDEX(_xlpm.data, , 3),
   _xlpm.target_date, DATE(YEAR($C$1), MONTH($C$1), T$7),
   _xlpm.filtered, _xlfn._xlws.FILTER(_xlpm.name_col, (_xlpm.date_col = _xlpm.target_date) * (_xlpm.loc_col =$C43), ""),
   IF(_xlpm.filtered="", "", _xlpm.filtered)
)</f>
        <v/>
      </c>
      <c r="U43" s="186" t="str" cm="1">
        <f t="array" ref="U43">_xlfn.LET(
   _xlpm.data, 表格3_5[[Date]:[Location]],
   _xlpm.date_col, INDEX(_xlpm.data, , 1),
   _xlpm.name_col, INDEX(_xlpm.data, , 2),
   _xlpm.loc_col,  INDEX(_xlpm.data, , 3),
   _xlpm.target_date, DATE(YEAR($C$1), MONTH($C$1), U$7),
   _xlpm.filtered, _xlfn._xlws.FILTER(_xlpm.name_col, (_xlpm.date_col = _xlpm.target_date) * (_xlpm.loc_col =$C43), ""),
   IF(_xlpm.filtered="", "", _xlpm.filtered)
)</f>
        <v/>
      </c>
      <c r="V43" s="186" t="str" cm="1">
        <f t="array" ref="V43">_xlfn.LET(
   _xlpm.data, 表格3_5[[Date]:[Location]],
   _xlpm.date_col, INDEX(_xlpm.data, , 1),
   _xlpm.name_col, INDEX(_xlpm.data, , 2),
   _xlpm.loc_col,  INDEX(_xlpm.data, , 3),
   _xlpm.target_date, DATE(YEAR($C$1), MONTH($C$1), V$7),
   _xlpm.filtered, _xlfn._xlws.FILTER(_xlpm.name_col, (_xlpm.date_col = _xlpm.target_date) * (_xlpm.loc_col =$C43), ""),
   IF(_xlpm.filtered="", "", _xlpm.filtered)
)</f>
        <v/>
      </c>
      <c r="W43" s="186" t="str" cm="1">
        <f t="array" ref="W43">_xlfn.LET(
   _xlpm.data, 表格3_5[[Date]:[Location]],
   _xlpm.date_col, INDEX(_xlpm.data, , 1),
   _xlpm.name_col, INDEX(_xlpm.data, , 2),
   _xlpm.loc_col,  INDEX(_xlpm.data, , 3),
   _xlpm.target_date, DATE(YEAR($C$1), MONTH($C$1), W$7),
   _xlpm.filtered, _xlfn._xlws.FILTER(_xlpm.name_col, (_xlpm.date_col = _xlpm.target_date) * (_xlpm.loc_col =$C43), ""),
   IF(_xlpm.filtered="", "", _xlpm.filtered)
)</f>
        <v/>
      </c>
      <c r="X43" s="186" t="str" cm="1">
        <f t="array" ref="X43">_xlfn.LET(
   _xlpm.data, 表格3_5[[Date]:[Location]],
   _xlpm.date_col, INDEX(_xlpm.data, , 1),
   _xlpm.name_col, INDEX(_xlpm.data, , 2),
   _xlpm.loc_col,  INDEX(_xlpm.data, , 3),
   _xlpm.target_date, DATE(YEAR($C$1), MONTH($C$1), X$7),
   _xlpm.filtered, _xlfn._xlws.FILTER(_xlpm.name_col, (_xlpm.date_col = _xlpm.target_date) * (_xlpm.loc_col =$C43), ""),
   IF(_xlpm.filtered="", "", _xlpm.filtered)
)</f>
        <v/>
      </c>
      <c r="Y43" s="186" t="str" cm="1">
        <f t="array" ref="Y43">_xlfn.LET(
   _xlpm.data, 表格3_5[[Date]:[Location]],
   _xlpm.date_col, INDEX(_xlpm.data, , 1),
   _xlpm.name_col, INDEX(_xlpm.data, , 2),
   _xlpm.loc_col,  INDEX(_xlpm.data, , 3),
   _xlpm.target_date, DATE(YEAR($C$1), MONTH($C$1), Y$7),
   _xlpm.filtered, _xlfn._xlws.FILTER(_xlpm.name_col, (_xlpm.date_col = _xlpm.target_date) * (_xlpm.loc_col =$C43), ""),
   IF(_xlpm.filtered="", "", _xlpm.filtered)
)</f>
        <v/>
      </c>
      <c r="Z43" s="186" t="str" cm="1">
        <f t="array" ref="Z43">_xlfn.LET(
   _xlpm.data, 表格3_5[[Date]:[Location]],
   _xlpm.date_col, INDEX(_xlpm.data, , 1),
   _xlpm.name_col, INDEX(_xlpm.data, , 2),
   _xlpm.loc_col,  INDEX(_xlpm.data, , 3),
   _xlpm.target_date, DATE(YEAR($C$1), MONTH($C$1), Z$7),
   _xlpm.filtered, _xlfn._xlws.FILTER(_xlpm.name_col, (_xlpm.date_col = _xlpm.target_date) * (_xlpm.loc_col =$C43), ""),
   IF(_xlpm.filtered="", "", _xlpm.filtered)
)</f>
        <v/>
      </c>
      <c r="AA43" s="186" t="str" cm="1">
        <f t="array" ref="AA43">_xlfn.LET(
   _xlpm.data, 表格3_5[[Date]:[Location]],
   _xlpm.date_col, INDEX(_xlpm.data, , 1),
   _xlpm.name_col, INDEX(_xlpm.data, , 2),
   _xlpm.loc_col,  INDEX(_xlpm.data, , 3),
   _xlpm.target_date, DATE(YEAR($C$1), MONTH($C$1), AA$7),
   _xlpm.filtered, _xlfn._xlws.FILTER(_xlpm.name_col, (_xlpm.date_col = _xlpm.target_date) * (_xlpm.loc_col =$C43), ""),
   IF(_xlpm.filtered="", "", _xlpm.filtered)
)</f>
        <v/>
      </c>
      <c r="AB43" s="186" t="str" cm="1">
        <f t="array" ref="AB43">_xlfn.LET(
   _xlpm.data, 表格3_5[[Date]:[Location]],
   _xlpm.date_col, INDEX(_xlpm.data, , 1),
   _xlpm.name_col, INDEX(_xlpm.data, , 2),
   _xlpm.loc_col,  INDEX(_xlpm.data, , 3),
   _xlpm.target_date, DATE(YEAR($C$1), MONTH($C$1), AB$7),
   _xlpm.filtered, _xlfn._xlws.FILTER(_xlpm.name_col, (_xlpm.date_col = _xlpm.target_date) * (_xlpm.loc_col =$C43), ""),
   IF(_xlpm.filtered="", "", _xlpm.filtered)
)</f>
        <v/>
      </c>
      <c r="AC43" s="186" t="str" cm="1">
        <f t="array" ref="AC43">_xlfn.LET(
   _xlpm.data, 表格3_5[[Date]:[Location]],
   _xlpm.date_col, INDEX(_xlpm.data, , 1),
   _xlpm.name_col, INDEX(_xlpm.data, , 2),
   _xlpm.loc_col,  INDEX(_xlpm.data, , 3),
   _xlpm.target_date, DATE(YEAR($C$1), MONTH($C$1), AC$7),
   _xlpm.filtered, _xlfn._xlws.FILTER(_xlpm.name_col, (_xlpm.date_col = _xlpm.target_date) * (_xlpm.loc_col =$C43), ""),
   IF(_xlpm.filtered="", "", _xlpm.filtered)
)</f>
        <v/>
      </c>
      <c r="AD43" s="186" t="str" cm="1">
        <f t="array" ref="AD43">_xlfn.LET(
   _xlpm.data, 表格3_5[[Date]:[Location]],
   _xlpm.date_col, INDEX(_xlpm.data, , 1),
   _xlpm.name_col, INDEX(_xlpm.data, , 2),
   _xlpm.loc_col,  INDEX(_xlpm.data, , 3),
   _xlpm.target_date, DATE(YEAR($C$1), MONTH($C$1), AD$7),
   _xlpm.filtered, _xlfn._xlws.FILTER(_xlpm.name_col, (_xlpm.date_col = _xlpm.target_date) * (_xlpm.loc_col =$C43), ""),
   IF(_xlpm.filtered="", "", _xlpm.filtered)
)</f>
        <v/>
      </c>
      <c r="AE43" s="186" t="str" cm="1">
        <f t="array" ref="AE43">_xlfn.LET(
   _xlpm.data, 表格3_5[[Date]:[Location]],
   _xlpm.date_col, INDEX(_xlpm.data, , 1),
   _xlpm.name_col, INDEX(_xlpm.data, , 2),
   _xlpm.loc_col,  INDEX(_xlpm.data, , 3),
   _xlpm.target_date, DATE(YEAR($C$1), MONTH($C$1), AE$7),
   _xlpm.filtered, _xlfn._xlws.FILTER(_xlpm.name_col, (_xlpm.date_col = _xlpm.target_date) * (_xlpm.loc_col =$C43), ""),
   IF(_xlpm.filtered="", "", _xlpm.filtered)
)</f>
        <v/>
      </c>
      <c r="AF43" s="186" t="str" cm="1">
        <f t="array" ref="AF43">_xlfn.LET(
   _xlpm.data, 表格3_5[[Date]:[Location]],
   _xlpm.date_col, INDEX(_xlpm.data, , 1),
   _xlpm.name_col, INDEX(_xlpm.data, , 2),
   _xlpm.loc_col,  INDEX(_xlpm.data, , 3),
   _xlpm.target_date, DATE(YEAR($C$1), MONTH($C$1), AF$7),
   _xlpm.filtered, _xlfn._xlws.FILTER(_xlpm.name_col, (_xlpm.date_col = _xlpm.target_date) * (_xlpm.loc_col =$C43), ""),
   IF(_xlpm.filtered="", "", _xlpm.filtered)
)</f>
        <v/>
      </c>
      <c r="AG43" s="186" t="str" cm="1">
        <f t="array" ref="AG43">_xlfn.LET(
   _xlpm.data, 表格3_5[[Date]:[Location]],
   _xlpm.date_col, INDEX(_xlpm.data, , 1),
   _xlpm.name_col, INDEX(_xlpm.data, , 2),
   _xlpm.loc_col,  INDEX(_xlpm.data, , 3),
   _xlpm.target_date, DATE(YEAR($C$1), MONTH($C$1), AG$7),
   _xlpm.filtered, _xlfn._xlws.FILTER(_xlpm.name_col, (_xlpm.date_col = _xlpm.target_date) * (_xlpm.loc_col =$C43), ""),
   IF(_xlpm.filtered="", "", _xlpm.filtered)
)</f>
        <v/>
      </c>
      <c r="AH43" s="186" t="str" cm="1">
        <f t="array" ref="AH43">_xlfn.LET(
   _xlpm.data, 表格3_5[[Date]:[Location]],
   _xlpm.date_col, INDEX(_xlpm.data, , 1),
   _xlpm.name_col, INDEX(_xlpm.data, , 2),
   _xlpm.loc_col,  INDEX(_xlpm.data, , 3),
   _xlpm.target_date, DATE(YEAR($C$1), MONTH($C$1), AH$7),
   _xlpm.filtered, _xlfn._xlws.FILTER(_xlpm.name_col, (_xlpm.date_col = _xlpm.target_date) * (_xlpm.loc_col =$C43), ""),
   IF(_xlpm.filtered="", "", _xlpm.filtered)
)</f>
        <v/>
      </c>
    </row>
    <row r="44" spans="2:34">
      <c r="B44" t="e" cm="1" vm="1">
        <f t="array" ref="B44">_xlfn.LET(
    _xlpm.data, D44:AH44,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D44" s="186" t="str" cm="1">
        <f t="array" ref="D44">_xlfn.LET(
   _xlpm.data, 表格3_5[[Date]:[Location]],
   _xlpm.date_col, INDEX(_xlpm.data, , 1),
   _xlpm.name_col, INDEX(_xlpm.data, , 2),
   _xlpm.loc_col,  INDEX(_xlpm.data, , 3),
   _xlpm.target_date, DATE(YEAR($C$1), MONTH($C$1), D$7),
   _xlpm.filtered, _xlfn._xlws.FILTER(_xlpm.name_col, (_xlpm.date_col = _xlpm.target_date) * (_xlpm.loc_col =$C44), ""),
   IF(_xlpm.filtered="", "", _xlpm.filtered)
)</f>
        <v/>
      </c>
      <c r="E44" s="186" t="str" cm="1">
        <f t="array" ref="E44">_xlfn.LET(
   _xlpm.data, 表格3_5[[Date]:[Location]],
   _xlpm.date_col, INDEX(_xlpm.data, , 1),
   _xlpm.name_col, INDEX(_xlpm.data, , 2),
   _xlpm.loc_col,  INDEX(_xlpm.data, , 3),
   _xlpm.target_date, DATE(YEAR($C$1), MONTH($C$1), E$7),
   _xlpm.filtered, _xlfn._xlws.FILTER(_xlpm.name_col, (_xlpm.date_col = _xlpm.target_date) * (_xlpm.loc_col =$C44), ""),
   IF(_xlpm.filtered="", "", _xlpm.filtered)
)</f>
        <v/>
      </c>
      <c r="F44" s="186" t="str" cm="1">
        <f t="array" ref="F44">_xlfn.LET(
   _xlpm.data, 表格3_5[[Date]:[Location]],
   _xlpm.date_col, INDEX(_xlpm.data, , 1),
   _xlpm.name_col, INDEX(_xlpm.data, , 2),
   _xlpm.loc_col,  INDEX(_xlpm.data, , 3),
   _xlpm.target_date, DATE(YEAR($C$1), MONTH($C$1), F$7),
   _xlpm.filtered, _xlfn._xlws.FILTER(_xlpm.name_col, (_xlpm.date_col = _xlpm.target_date) * (_xlpm.loc_col =$C44), ""),
   IF(_xlpm.filtered="", "", _xlpm.filtered)
)</f>
        <v/>
      </c>
      <c r="G44" s="186" t="str" cm="1">
        <f t="array" ref="G44">_xlfn.LET(
   _xlpm.data, 表格3_5[[Date]:[Location]],
   _xlpm.date_col, INDEX(_xlpm.data, , 1),
   _xlpm.name_col, INDEX(_xlpm.data, , 2),
   _xlpm.loc_col,  INDEX(_xlpm.data, , 3),
   _xlpm.target_date, DATE(YEAR($C$1), MONTH($C$1), G$7),
   _xlpm.filtered, _xlfn._xlws.FILTER(_xlpm.name_col, (_xlpm.date_col = _xlpm.target_date) * (_xlpm.loc_col =$C44), ""),
   IF(_xlpm.filtered="", "", _xlpm.filtered)
)</f>
        <v/>
      </c>
      <c r="H44" s="186" t="str" cm="1">
        <f t="array" ref="H44">_xlfn.LET(
   _xlpm.data, 表格3_5[[Date]:[Location]],
   _xlpm.date_col, INDEX(_xlpm.data, , 1),
   _xlpm.name_col, INDEX(_xlpm.data, , 2),
   _xlpm.loc_col,  INDEX(_xlpm.data, , 3),
   _xlpm.target_date, DATE(YEAR($C$1), MONTH($C$1), H$7),
   _xlpm.filtered, _xlfn._xlws.FILTER(_xlpm.name_col, (_xlpm.date_col = _xlpm.target_date) * (_xlpm.loc_col =$C44), ""),
   IF(_xlpm.filtered="", "", _xlpm.filtered)
)</f>
        <v/>
      </c>
      <c r="I44" s="186" t="str" cm="1">
        <f t="array" ref="I44">_xlfn.LET(
   _xlpm.data, 表格3_5[[Date]:[Location]],
   _xlpm.date_col, INDEX(_xlpm.data, , 1),
   _xlpm.name_col, INDEX(_xlpm.data, , 2),
   _xlpm.loc_col,  INDEX(_xlpm.data, , 3),
   _xlpm.target_date, DATE(YEAR($C$1), MONTH($C$1), I$7),
   _xlpm.filtered, _xlfn._xlws.FILTER(_xlpm.name_col, (_xlpm.date_col = _xlpm.target_date) * (_xlpm.loc_col =$C44), ""),
   IF(_xlpm.filtered="", "", _xlpm.filtered)
)</f>
        <v/>
      </c>
      <c r="J44" s="186" t="str" cm="1">
        <f t="array" ref="J44">_xlfn.LET(
   _xlpm.data, 表格3_5[[Date]:[Location]],
   _xlpm.date_col, INDEX(_xlpm.data, , 1),
   _xlpm.name_col, INDEX(_xlpm.data, , 2),
   _xlpm.loc_col,  INDEX(_xlpm.data, , 3),
   _xlpm.target_date, DATE(YEAR($C$1), MONTH($C$1), J$7),
   _xlpm.filtered, _xlfn._xlws.FILTER(_xlpm.name_col, (_xlpm.date_col = _xlpm.target_date) * (_xlpm.loc_col =$C44), ""),
   IF(_xlpm.filtered="", "", _xlpm.filtered)
)</f>
        <v/>
      </c>
      <c r="K44" s="186" t="str" cm="1">
        <f t="array" ref="K44">_xlfn.LET(
   _xlpm.data, 表格3_5[[Date]:[Location]],
   _xlpm.date_col, INDEX(_xlpm.data, , 1),
   _xlpm.name_col, INDEX(_xlpm.data, , 2),
   _xlpm.loc_col,  INDEX(_xlpm.data, , 3),
   _xlpm.target_date, DATE(YEAR($C$1), MONTH($C$1), K$7),
   _xlpm.filtered, _xlfn._xlws.FILTER(_xlpm.name_col, (_xlpm.date_col = _xlpm.target_date) * (_xlpm.loc_col =$C44), ""),
   IF(_xlpm.filtered="", "", _xlpm.filtered)
)</f>
        <v/>
      </c>
      <c r="L44" s="186" t="str" cm="1">
        <f t="array" ref="L44">_xlfn.LET(
   _xlpm.data, 表格3_5[[Date]:[Location]],
   _xlpm.date_col, INDEX(_xlpm.data, , 1),
   _xlpm.name_col, INDEX(_xlpm.data, , 2),
   _xlpm.loc_col,  INDEX(_xlpm.data, , 3),
   _xlpm.target_date, DATE(YEAR($C$1), MONTH($C$1), L$7),
   _xlpm.filtered, _xlfn._xlws.FILTER(_xlpm.name_col, (_xlpm.date_col = _xlpm.target_date) * (_xlpm.loc_col =$C44), ""),
   IF(_xlpm.filtered="", "", _xlpm.filtered)
)</f>
        <v/>
      </c>
      <c r="M44" s="186" t="str" cm="1">
        <f t="array" ref="M44">_xlfn.LET(
   _xlpm.data, 表格3_5[[Date]:[Location]],
   _xlpm.date_col, INDEX(_xlpm.data, , 1),
   _xlpm.name_col, INDEX(_xlpm.data, , 2),
   _xlpm.loc_col,  INDEX(_xlpm.data, , 3),
   _xlpm.target_date, DATE(YEAR($C$1), MONTH($C$1), M$7),
   _xlpm.filtered, _xlfn._xlws.FILTER(_xlpm.name_col, (_xlpm.date_col = _xlpm.target_date) * (_xlpm.loc_col =$C44), ""),
   IF(_xlpm.filtered="", "", _xlpm.filtered)
)</f>
        <v/>
      </c>
      <c r="N44" s="186" t="str" cm="1">
        <f t="array" ref="N44">_xlfn.LET(
   _xlpm.data, 表格3_5[[Date]:[Location]],
   _xlpm.date_col, INDEX(_xlpm.data, , 1),
   _xlpm.name_col, INDEX(_xlpm.data, , 2),
   _xlpm.loc_col,  INDEX(_xlpm.data, , 3),
   _xlpm.target_date, DATE(YEAR($C$1), MONTH($C$1), N$7),
   _xlpm.filtered, _xlfn._xlws.FILTER(_xlpm.name_col, (_xlpm.date_col = _xlpm.target_date) * (_xlpm.loc_col =$C44), ""),
   IF(_xlpm.filtered="", "", _xlpm.filtered)
)</f>
        <v/>
      </c>
      <c r="O44" s="186" t="str" cm="1">
        <f t="array" ref="O44">_xlfn.LET(
   _xlpm.data, 表格3_5[[Date]:[Location]],
   _xlpm.date_col, INDEX(_xlpm.data, , 1),
   _xlpm.name_col, INDEX(_xlpm.data, , 2),
   _xlpm.loc_col,  INDEX(_xlpm.data, , 3),
   _xlpm.target_date, DATE(YEAR($C$1), MONTH($C$1), O$7),
   _xlpm.filtered, _xlfn._xlws.FILTER(_xlpm.name_col, (_xlpm.date_col = _xlpm.target_date) * (_xlpm.loc_col =$C44), ""),
   IF(_xlpm.filtered="", "", _xlpm.filtered)
)</f>
        <v/>
      </c>
      <c r="P44" s="186" t="str" cm="1">
        <f t="array" ref="P44">_xlfn.LET(
   _xlpm.data, 表格3_5[[Date]:[Location]],
   _xlpm.date_col, INDEX(_xlpm.data, , 1),
   _xlpm.name_col, INDEX(_xlpm.data, , 2),
   _xlpm.loc_col,  INDEX(_xlpm.data, , 3),
   _xlpm.target_date, DATE(YEAR($C$1), MONTH($C$1), P$7),
   _xlpm.filtered, _xlfn._xlws.FILTER(_xlpm.name_col, (_xlpm.date_col = _xlpm.target_date) * (_xlpm.loc_col =$C44), ""),
   IF(_xlpm.filtered="", "", _xlpm.filtered)
)</f>
        <v/>
      </c>
      <c r="Q44" s="186" t="str" cm="1">
        <f t="array" ref="Q44">_xlfn.LET(
   _xlpm.data, 表格3_5[[Date]:[Location]],
   _xlpm.date_col, INDEX(_xlpm.data, , 1),
   _xlpm.name_col, INDEX(_xlpm.data, , 2),
   _xlpm.loc_col,  INDEX(_xlpm.data, , 3),
   _xlpm.target_date, DATE(YEAR($C$1), MONTH($C$1), Q$7),
   _xlpm.filtered, _xlfn._xlws.FILTER(_xlpm.name_col, (_xlpm.date_col = _xlpm.target_date) * (_xlpm.loc_col =$C44), ""),
   IF(_xlpm.filtered="", "", _xlpm.filtered)
)</f>
        <v/>
      </c>
      <c r="R44" s="186" t="str" cm="1">
        <f t="array" ref="R44">_xlfn.LET(
   _xlpm.data, 表格3_5[[Date]:[Location]],
   _xlpm.date_col, INDEX(_xlpm.data, , 1),
   _xlpm.name_col, INDEX(_xlpm.data, , 2),
   _xlpm.loc_col,  INDEX(_xlpm.data, , 3),
   _xlpm.target_date, DATE(YEAR($C$1), MONTH($C$1), R$7),
   _xlpm.filtered, _xlfn._xlws.FILTER(_xlpm.name_col, (_xlpm.date_col = _xlpm.target_date) * (_xlpm.loc_col =$C44), ""),
   IF(_xlpm.filtered="", "", _xlpm.filtered)
)</f>
        <v/>
      </c>
      <c r="S44" s="186" t="str" cm="1">
        <f t="array" ref="S44">_xlfn.LET(
   _xlpm.data, 表格3_5[[Date]:[Location]],
   _xlpm.date_col, INDEX(_xlpm.data, , 1),
   _xlpm.name_col, INDEX(_xlpm.data, , 2),
   _xlpm.loc_col,  INDEX(_xlpm.data, , 3),
   _xlpm.target_date, DATE(YEAR($C$1), MONTH($C$1), S$7),
   _xlpm.filtered, _xlfn._xlws.FILTER(_xlpm.name_col, (_xlpm.date_col = _xlpm.target_date) * (_xlpm.loc_col =$C44), ""),
   IF(_xlpm.filtered="", "", _xlpm.filtered)
)</f>
        <v/>
      </c>
      <c r="T44" s="186" t="str" cm="1">
        <f t="array" ref="T44">_xlfn.LET(
   _xlpm.data, 表格3_5[[Date]:[Location]],
   _xlpm.date_col, INDEX(_xlpm.data, , 1),
   _xlpm.name_col, INDEX(_xlpm.data, , 2),
   _xlpm.loc_col,  INDEX(_xlpm.data, , 3),
   _xlpm.target_date, DATE(YEAR($C$1), MONTH($C$1), T$7),
   _xlpm.filtered, _xlfn._xlws.FILTER(_xlpm.name_col, (_xlpm.date_col = _xlpm.target_date) * (_xlpm.loc_col =$C44), ""),
   IF(_xlpm.filtered="", "", _xlpm.filtered)
)</f>
        <v/>
      </c>
      <c r="U44" s="186" t="str" cm="1">
        <f t="array" ref="U44">_xlfn.LET(
   _xlpm.data, 表格3_5[[Date]:[Location]],
   _xlpm.date_col, INDEX(_xlpm.data, , 1),
   _xlpm.name_col, INDEX(_xlpm.data, , 2),
   _xlpm.loc_col,  INDEX(_xlpm.data, , 3),
   _xlpm.target_date, DATE(YEAR($C$1), MONTH($C$1), U$7),
   _xlpm.filtered, _xlfn._xlws.FILTER(_xlpm.name_col, (_xlpm.date_col = _xlpm.target_date) * (_xlpm.loc_col =$C44), ""),
   IF(_xlpm.filtered="", "", _xlpm.filtered)
)</f>
        <v/>
      </c>
      <c r="V44" s="186" t="str" cm="1">
        <f t="array" ref="V44">_xlfn.LET(
   _xlpm.data, 表格3_5[[Date]:[Location]],
   _xlpm.date_col, INDEX(_xlpm.data, , 1),
   _xlpm.name_col, INDEX(_xlpm.data, , 2),
   _xlpm.loc_col,  INDEX(_xlpm.data, , 3),
   _xlpm.target_date, DATE(YEAR($C$1), MONTH($C$1), V$7),
   _xlpm.filtered, _xlfn._xlws.FILTER(_xlpm.name_col, (_xlpm.date_col = _xlpm.target_date) * (_xlpm.loc_col =$C44), ""),
   IF(_xlpm.filtered="", "", _xlpm.filtered)
)</f>
        <v/>
      </c>
      <c r="W44" s="186" t="str" cm="1">
        <f t="array" ref="W44">_xlfn.LET(
   _xlpm.data, 表格3_5[[Date]:[Location]],
   _xlpm.date_col, INDEX(_xlpm.data, , 1),
   _xlpm.name_col, INDEX(_xlpm.data, , 2),
   _xlpm.loc_col,  INDEX(_xlpm.data, , 3),
   _xlpm.target_date, DATE(YEAR($C$1), MONTH($C$1), W$7),
   _xlpm.filtered, _xlfn._xlws.FILTER(_xlpm.name_col, (_xlpm.date_col = _xlpm.target_date) * (_xlpm.loc_col =$C44), ""),
   IF(_xlpm.filtered="", "", _xlpm.filtered)
)</f>
        <v/>
      </c>
      <c r="X44" s="186" t="str" cm="1">
        <f t="array" ref="X44">_xlfn.LET(
   _xlpm.data, 表格3_5[[Date]:[Location]],
   _xlpm.date_col, INDEX(_xlpm.data, , 1),
   _xlpm.name_col, INDEX(_xlpm.data, , 2),
   _xlpm.loc_col,  INDEX(_xlpm.data, , 3),
   _xlpm.target_date, DATE(YEAR($C$1), MONTH($C$1), X$7),
   _xlpm.filtered, _xlfn._xlws.FILTER(_xlpm.name_col, (_xlpm.date_col = _xlpm.target_date) * (_xlpm.loc_col =$C44), ""),
   IF(_xlpm.filtered="", "", _xlpm.filtered)
)</f>
        <v/>
      </c>
      <c r="Y44" s="186" t="str" cm="1">
        <f t="array" ref="Y44">_xlfn.LET(
   _xlpm.data, 表格3_5[[Date]:[Location]],
   _xlpm.date_col, INDEX(_xlpm.data, , 1),
   _xlpm.name_col, INDEX(_xlpm.data, , 2),
   _xlpm.loc_col,  INDEX(_xlpm.data, , 3),
   _xlpm.target_date, DATE(YEAR($C$1), MONTH($C$1), Y$7),
   _xlpm.filtered, _xlfn._xlws.FILTER(_xlpm.name_col, (_xlpm.date_col = _xlpm.target_date) * (_xlpm.loc_col =$C44), ""),
   IF(_xlpm.filtered="", "", _xlpm.filtered)
)</f>
        <v/>
      </c>
      <c r="Z44" s="186" t="str" cm="1">
        <f t="array" ref="Z44">_xlfn.LET(
   _xlpm.data, 表格3_5[[Date]:[Location]],
   _xlpm.date_col, INDEX(_xlpm.data, , 1),
   _xlpm.name_col, INDEX(_xlpm.data, , 2),
   _xlpm.loc_col,  INDEX(_xlpm.data, , 3),
   _xlpm.target_date, DATE(YEAR($C$1), MONTH($C$1), Z$7),
   _xlpm.filtered, _xlfn._xlws.FILTER(_xlpm.name_col, (_xlpm.date_col = _xlpm.target_date) * (_xlpm.loc_col =$C44), ""),
   IF(_xlpm.filtered="", "", _xlpm.filtered)
)</f>
        <v/>
      </c>
      <c r="AA44" s="186" t="str" cm="1">
        <f t="array" ref="AA44">_xlfn.LET(
   _xlpm.data, 表格3_5[[Date]:[Location]],
   _xlpm.date_col, INDEX(_xlpm.data, , 1),
   _xlpm.name_col, INDEX(_xlpm.data, , 2),
   _xlpm.loc_col,  INDEX(_xlpm.data, , 3),
   _xlpm.target_date, DATE(YEAR($C$1), MONTH($C$1), AA$7),
   _xlpm.filtered, _xlfn._xlws.FILTER(_xlpm.name_col, (_xlpm.date_col = _xlpm.target_date) * (_xlpm.loc_col =$C44), ""),
   IF(_xlpm.filtered="", "", _xlpm.filtered)
)</f>
        <v/>
      </c>
      <c r="AB44" s="186" t="str" cm="1">
        <f t="array" ref="AB44">_xlfn.LET(
   _xlpm.data, 表格3_5[[Date]:[Location]],
   _xlpm.date_col, INDEX(_xlpm.data, , 1),
   _xlpm.name_col, INDEX(_xlpm.data, , 2),
   _xlpm.loc_col,  INDEX(_xlpm.data, , 3),
   _xlpm.target_date, DATE(YEAR($C$1), MONTH($C$1), AB$7),
   _xlpm.filtered, _xlfn._xlws.FILTER(_xlpm.name_col, (_xlpm.date_col = _xlpm.target_date) * (_xlpm.loc_col =$C44), ""),
   IF(_xlpm.filtered="", "", _xlpm.filtered)
)</f>
        <v/>
      </c>
      <c r="AC44" s="186" t="str" cm="1">
        <f t="array" ref="AC44">_xlfn.LET(
   _xlpm.data, 表格3_5[[Date]:[Location]],
   _xlpm.date_col, INDEX(_xlpm.data, , 1),
   _xlpm.name_col, INDEX(_xlpm.data, , 2),
   _xlpm.loc_col,  INDEX(_xlpm.data, , 3),
   _xlpm.target_date, DATE(YEAR($C$1), MONTH($C$1), AC$7),
   _xlpm.filtered, _xlfn._xlws.FILTER(_xlpm.name_col, (_xlpm.date_col = _xlpm.target_date) * (_xlpm.loc_col =$C44), ""),
   IF(_xlpm.filtered="", "", _xlpm.filtered)
)</f>
        <v/>
      </c>
      <c r="AD44" s="186" t="str" cm="1">
        <f t="array" ref="AD44">_xlfn.LET(
   _xlpm.data, 表格3_5[[Date]:[Location]],
   _xlpm.date_col, INDEX(_xlpm.data, , 1),
   _xlpm.name_col, INDEX(_xlpm.data, , 2),
   _xlpm.loc_col,  INDEX(_xlpm.data, , 3),
   _xlpm.target_date, DATE(YEAR($C$1), MONTH($C$1), AD$7),
   _xlpm.filtered, _xlfn._xlws.FILTER(_xlpm.name_col, (_xlpm.date_col = _xlpm.target_date) * (_xlpm.loc_col =$C44), ""),
   IF(_xlpm.filtered="", "", _xlpm.filtered)
)</f>
        <v/>
      </c>
      <c r="AE44" s="186" t="str" cm="1">
        <f t="array" ref="AE44">_xlfn.LET(
   _xlpm.data, 表格3_5[[Date]:[Location]],
   _xlpm.date_col, INDEX(_xlpm.data, , 1),
   _xlpm.name_col, INDEX(_xlpm.data, , 2),
   _xlpm.loc_col,  INDEX(_xlpm.data, , 3),
   _xlpm.target_date, DATE(YEAR($C$1), MONTH($C$1), AE$7),
   _xlpm.filtered, _xlfn._xlws.FILTER(_xlpm.name_col, (_xlpm.date_col = _xlpm.target_date) * (_xlpm.loc_col =$C44), ""),
   IF(_xlpm.filtered="", "", _xlpm.filtered)
)</f>
        <v/>
      </c>
      <c r="AF44" s="186" t="str" cm="1">
        <f t="array" ref="AF44">_xlfn.LET(
   _xlpm.data, 表格3_5[[Date]:[Location]],
   _xlpm.date_col, INDEX(_xlpm.data, , 1),
   _xlpm.name_col, INDEX(_xlpm.data, , 2),
   _xlpm.loc_col,  INDEX(_xlpm.data, , 3),
   _xlpm.target_date, DATE(YEAR($C$1), MONTH($C$1), AF$7),
   _xlpm.filtered, _xlfn._xlws.FILTER(_xlpm.name_col, (_xlpm.date_col = _xlpm.target_date) * (_xlpm.loc_col =$C44), ""),
   IF(_xlpm.filtered="", "", _xlpm.filtered)
)</f>
        <v/>
      </c>
      <c r="AG44" s="186" t="str" cm="1">
        <f t="array" ref="AG44">_xlfn.LET(
   _xlpm.data, 表格3_5[[Date]:[Location]],
   _xlpm.date_col, INDEX(_xlpm.data, , 1),
   _xlpm.name_col, INDEX(_xlpm.data, , 2),
   _xlpm.loc_col,  INDEX(_xlpm.data, , 3),
   _xlpm.target_date, DATE(YEAR($C$1), MONTH($C$1), AG$7),
   _xlpm.filtered, _xlfn._xlws.FILTER(_xlpm.name_col, (_xlpm.date_col = _xlpm.target_date) * (_xlpm.loc_col =$C44), ""),
   IF(_xlpm.filtered="", "", _xlpm.filtered)
)</f>
        <v/>
      </c>
      <c r="AH44" s="186" t="str" cm="1">
        <f t="array" ref="AH44">_xlfn.LET(
   _xlpm.data, 表格3_5[[Date]:[Location]],
   _xlpm.date_col, INDEX(_xlpm.data, , 1),
   _xlpm.name_col, INDEX(_xlpm.data, , 2),
   _xlpm.loc_col,  INDEX(_xlpm.data, , 3),
   _xlpm.target_date, DATE(YEAR($C$1), MONTH($C$1), AH$7),
   _xlpm.filtered, _xlfn._xlws.FILTER(_xlpm.name_col, (_xlpm.date_col = _xlpm.target_date) * (_xlpm.loc_col =$C44), ""),
   IF(_xlpm.filtered="", "", _xlpm.filtered)
)</f>
        <v/>
      </c>
    </row>
    <row r="45" spans="2:34">
      <c r="B45" t="e" cm="1" vm="1">
        <f t="array" ref="B45">_xlfn.LET(
    _xlpm.data, D45:AH45,
    _xlpm.removeList, {" off","."," SL","xxx"},
    _xlpm.cleaned, TRIM(_xlfn.REDUCE(_xlpm.data, _xlpm.removeList, _xlfn.LAMBDA(_xlpm.arr,_xlpm.str, SUBSTITUTE(_xlpm.arr, _xlpm.str, "")))),
    _xlpm.first, _xlfn._xlws.FILTER(_xlpm.cleaned, _xlpm.cleaned &lt;&gt; ""),
    INDEX(_xlpm.first, 1)
)</f>
        <v>#VALUE!</v>
      </c>
      <c r="D45" s="186" t="str" cm="1">
        <f t="array" ref="D45">_xlfn.LET(
   _xlpm.data, 表格3_5[[Date]:[Location]],
   _xlpm.date_col, INDEX(_xlpm.data, , 1),
   _xlpm.name_col, INDEX(_xlpm.data, , 2),
   _xlpm.loc_col,  INDEX(_xlpm.data, , 3),
   _xlpm.target_date, DATE(YEAR($C$1), MONTH($C$1), D$7),
   _xlpm.filtered, _xlfn._xlws.FILTER(_xlpm.name_col, (_xlpm.date_col = _xlpm.target_date) * (_xlpm.loc_col =$C45), ""),
   IF(_xlpm.filtered="", "", _xlpm.filtered)
)</f>
        <v/>
      </c>
      <c r="E45" s="186" t="str" cm="1">
        <f t="array" ref="E45">_xlfn.LET(
   _xlpm.data, 表格3_5[[Date]:[Location]],
   _xlpm.date_col, INDEX(_xlpm.data, , 1),
   _xlpm.name_col, INDEX(_xlpm.data, , 2),
   _xlpm.loc_col,  INDEX(_xlpm.data, , 3),
   _xlpm.target_date, DATE(YEAR($C$1), MONTH($C$1), E$7),
   _xlpm.filtered, _xlfn._xlws.FILTER(_xlpm.name_col, (_xlpm.date_col = _xlpm.target_date) * (_xlpm.loc_col =$C45), ""),
   IF(_xlpm.filtered="", "", _xlpm.filtered)
)</f>
        <v/>
      </c>
      <c r="F45" s="186" t="str" cm="1">
        <f t="array" ref="F45">_xlfn.LET(
   _xlpm.data, 表格3_5[[Date]:[Location]],
   _xlpm.date_col, INDEX(_xlpm.data, , 1),
   _xlpm.name_col, INDEX(_xlpm.data, , 2),
   _xlpm.loc_col,  INDEX(_xlpm.data, , 3),
   _xlpm.target_date, DATE(YEAR($C$1), MONTH($C$1), F$7),
   _xlpm.filtered, _xlfn._xlws.FILTER(_xlpm.name_col, (_xlpm.date_col = _xlpm.target_date) * (_xlpm.loc_col =$C45), ""),
   IF(_xlpm.filtered="", "", _xlpm.filtered)
)</f>
        <v/>
      </c>
      <c r="G45" s="186" t="str" cm="1">
        <f t="array" ref="G45">_xlfn.LET(
   _xlpm.data, 表格3_5[[Date]:[Location]],
   _xlpm.date_col, INDEX(_xlpm.data, , 1),
   _xlpm.name_col, INDEX(_xlpm.data, , 2),
   _xlpm.loc_col,  INDEX(_xlpm.data, , 3),
   _xlpm.target_date, DATE(YEAR($C$1), MONTH($C$1), G$7),
   _xlpm.filtered, _xlfn._xlws.FILTER(_xlpm.name_col, (_xlpm.date_col = _xlpm.target_date) * (_xlpm.loc_col =$C45), ""),
   IF(_xlpm.filtered="", "", _xlpm.filtered)
)</f>
        <v/>
      </c>
      <c r="H45" s="186" t="str" cm="1">
        <f t="array" ref="H45">_xlfn.LET(
   _xlpm.data, 表格3_5[[Date]:[Location]],
   _xlpm.date_col, INDEX(_xlpm.data, , 1),
   _xlpm.name_col, INDEX(_xlpm.data, , 2),
   _xlpm.loc_col,  INDEX(_xlpm.data, , 3),
   _xlpm.target_date, DATE(YEAR($C$1), MONTH($C$1), H$7),
   _xlpm.filtered, _xlfn._xlws.FILTER(_xlpm.name_col, (_xlpm.date_col = _xlpm.target_date) * (_xlpm.loc_col =$C45), ""),
   IF(_xlpm.filtered="", "", _xlpm.filtered)
)</f>
        <v/>
      </c>
      <c r="I45" s="186" t="str" cm="1">
        <f t="array" ref="I45">_xlfn.LET(
   _xlpm.data, 表格3_5[[Date]:[Location]],
   _xlpm.date_col, INDEX(_xlpm.data, , 1),
   _xlpm.name_col, INDEX(_xlpm.data, , 2),
   _xlpm.loc_col,  INDEX(_xlpm.data, , 3),
   _xlpm.target_date, DATE(YEAR($C$1), MONTH($C$1), I$7),
   _xlpm.filtered, _xlfn._xlws.FILTER(_xlpm.name_col, (_xlpm.date_col = _xlpm.target_date) * (_xlpm.loc_col =$C45), ""),
   IF(_xlpm.filtered="", "", _xlpm.filtered)
)</f>
        <v/>
      </c>
      <c r="J45" s="186" t="str" cm="1">
        <f t="array" ref="J45">_xlfn.LET(
   _xlpm.data, 表格3_5[[Date]:[Location]],
   _xlpm.date_col, INDEX(_xlpm.data, , 1),
   _xlpm.name_col, INDEX(_xlpm.data, , 2),
   _xlpm.loc_col,  INDEX(_xlpm.data, , 3),
   _xlpm.target_date, DATE(YEAR($C$1), MONTH($C$1), J$7),
   _xlpm.filtered, _xlfn._xlws.FILTER(_xlpm.name_col, (_xlpm.date_col = _xlpm.target_date) * (_xlpm.loc_col =$C45), ""),
   IF(_xlpm.filtered="", "", _xlpm.filtered)
)</f>
        <v/>
      </c>
      <c r="K45" s="186" t="str" cm="1">
        <f t="array" ref="K45">_xlfn.LET(
   _xlpm.data, 表格3_5[[Date]:[Location]],
   _xlpm.date_col, INDEX(_xlpm.data, , 1),
   _xlpm.name_col, INDEX(_xlpm.data, , 2),
   _xlpm.loc_col,  INDEX(_xlpm.data, , 3),
   _xlpm.target_date, DATE(YEAR($C$1), MONTH($C$1), K$7),
   _xlpm.filtered, _xlfn._xlws.FILTER(_xlpm.name_col, (_xlpm.date_col = _xlpm.target_date) * (_xlpm.loc_col =$C45), ""),
   IF(_xlpm.filtered="", "", _xlpm.filtered)
)</f>
        <v/>
      </c>
      <c r="L45" s="186" t="str" cm="1">
        <f t="array" ref="L45">_xlfn.LET(
   _xlpm.data, 表格3_5[[Date]:[Location]],
   _xlpm.date_col, INDEX(_xlpm.data, , 1),
   _xlpm.name_col, INDEX(_xlpm.data, , 2),
   _xlpm.loc_col,  INDEX(_xlpm.data, , 3),
   _xlpm.target_date, DATE(YEAR($C$1), MONTH($C$1), L$7),
   _xlpm.filtered, _xlfn._xlws.FILTER(_xlpm.name_col, (_xlpm.date_col = _xlpm.target_date) * (_xlpm.loc_col =$C45), ""),
   IF(_xlpm.filtered="", "", _xlpm.filtered)
)</f>
        <v/>
      </c>
      <c r="M45" s="186" t="str" cm="1">
        <f t="array" ref="M45">_xlfn.LET(
   _xlpm.data, 表格3_5[[Date]:[Location]],
   _xlpm.date_col, INDEX(_xlpm.data, , 1),
   _xlpm.name_col, INDEX(_xlpm.data, , 2),
   _xlpm.loc_col,  INDEX(_xlpm.data, , 3),
   _xlpm.target_date, DATE(YEAR($C$1), MONTH($C$1), M$7),
   _xlpm.filtered, _xlfn._xlws.FILTER(_xlpm.name_col, (_xlpm.date_col = _xlpm.target_date) * (_xlpm.loc_col =$C45), ""),
   IF(_xlpm.filtered="", "", _xlpm.filtered)
)</f>
        <v/>
      </c>
      <c r="N45" s="186" t="str" cm="1">
        <f t="array" ref="N45">_xlfn.LET(
   _xlpm.data, 表格3_5[[Date]:[Location]],
   _xlpm.date_col, INDEX(_xlpm.data, , 1),
   _xlpm.name_col, INDEX(_xlpm.data, , 2),
   _xlpm.loc_col,  INDEX(_xlpm.data, , 3),
   _xlpm.target_date, DATE(YEAR($C$1), MONTH($C$1), N$7),
   _xlpm.filtered, _xlfn._xlws.FILTER(_xlpm.name_col, (_xlpm.date_col = _xlpm.target_date) * (_xlpm.loc_col =$C45), ""),
   IF(_xlpm.filtered="", "", _xlpm.filtered)
)</f>
        <v/>
      </c>
      <c r="O45" s="186" t="str" cm="1">
        <f t="array" ref="O45">_xlfn.LET(
   _xlpm.data, 表格3_5[[Date]:[Location]],
   _xlpm.date_col, INDEX(_xlpm.data, , 1),
   _xlpm.name_col, INDEX(_xlpm.data, , 2),
   _xlpm.loc_col,  INDEX(_xlpm.data, , 3),
   _xlpm.target_date, DATE(YEAR($C$1), MONTH($C$1), O$7),
   _xlpm.filtered, _xlfn._xlws.FILTER(_xlpm.name_col, (_xlpm.date_col = _xlpm.target_date) * (_xlpm.loc_col =$C45), ""),
   IF(_xlpm.filtered="", "", _xlpm.filtered)
)</f>
        <v/>
      </c>
      <c r="P45" s="186" t="str" cm="1">
        <f t="array" ref="P45">_xlfn.LET(
   _xlpm.data, 表格3_5[[Date]:[Location]],
   _xlpm.date_col, INDEX(_xlpm.data, , 1),
   _xlpm.name_col, INDEX(_xlpm.data, , 2),
   _xlpm.loc_col,  INDEX(_xlpm.data, , 3),
   _xlpm.target_date, DATE(YEAR($C$1), MONTH($C$1), P$7),
   _xlpm.filtered, _xlfn._xlws.FILTER(_xlpm.name_col, (_xlpm.date_col = _xlpm.target_date) * (_xlpm.loc_col =$C45), ""),
   IF(_xlpm.filtered="", "", _xlpm.filtered)
)</f>
        <v/>
      </c>
      <c r="Q45" s="186" t="str" cm="1">
        <f t="array" ref="Q45">_xlfn.LET(
   _xlpm.data, 表格3_5[[Date]:[Location]],
   _xlpm.date_col, INDEX(_xlpm.data, , 1),
   _xlpm.name_col, INDEX(_xlpm.data, , 2),
   _xlpm.loc_col,  INDEX(_xlpm.data, , 3),
   _xlpm.target_date, DATE(YEAR($C$1), MONTH($C$1), Q$7),
   _xlpm.filtered, _xlfn._xlws.FILTER(_xlpm.name_col, (_xlpm.date_col = _xlpm.target_date) * (_xlpm.loc_col =$C45), ""),
   IF(_xlpm.filtered="", "", _xlpm.filtered)
)</f>
        <v/>
      </c>
      <c r="R45" s="186" t="str" cm="1">
        <f t="array" ref="R45">_xlfn.LET(
   _xlpm.data, 表格3_5[[Date]:[Location]],
   _xlpm.date_col, INDEX(_xlpm.data, , 1),
   _xlpm.name_col, INDEX(_xlpm.data, , 2),
   _xlpm.loc_col,  INDEX(_xlpm.data, , 3),
   _xlpm.target_date, DATE(YEAR($C$1), MONTH($C$1), R$7),
   _xlpm.filtered, _xlfn._xlws.FILTER(_xlpm.name_col, (_xlpm.date_col = _xlpm.target_date) * (_xlpm.loc_col =$C45), ""),
   IF(_xlpm.filtered="", "", _xlpm.filtered)
)</f>
        <v/>
      </c>
      <c r="S45" s="186" t="str" cm="1">
        <f t="array" ref="S45">_xlfn.LET(
   _xlpm.data, 表格3_5[[Date]:[Location]],
   _xlpm.date_col, INDEX(_xlpm.data, , 1),
   _xlpm.name_col, INDEX(_xlpm.data, , 2),
   _xlpm.loc_col,  INDEX(_xlpm.data, , 3),
   _xlpm.target_date, DATE(YEAR($C$1), MONTH($C$1), S$7),
   _xlpm.filtered, _xlfn._xlws.FILTER(_xlpm.name_col, (_xlpm.date_col = _xlpm.target_date) * (_xlpm.loc_col =$C45), ""),
   IF(_xlpm.filtered="", "", _xlpm.filtered)
)</f>
        <v/>
      </c>
      <c r="T45" s="186" t="str" cm="1">
        <f t="array" ref="T45">_xlfn.LET(
   _xlpm.data, 表格3_5[[Date]:[Location]],
   _xlpm.date_col, INDEX(_xlpm.data, , 1),
   _xlpm.name_col, INDEX(_xlpm.data, , 2),
   _xlpm.loc_col,  INDEX(_xlpm.data, , 3),
   _xlpm.target_date, DATE(YEAR($C$1), MONTH($C$1), T$7),
   _xlpm.filtered, _xlfn._xlws.FILTER(_xlpm.name_col, (_xlpm.date_col = _xlpm.target_date) * (_xlpm.loc_col =$C45), ""),
   IF(_xlpm.filtered="", "", _xlpm.filtered)
)</f>
        <v/>
      </c>
      <c r="U45" s="186" t="str" cm="1">
        <f t="array" ref="U45">_xlfn.LET(
   _xlpm.data, 表格3_5[[Date]:[Location]],
   _xlpm.date_col, INDEX(_xlpm.data, , 1),
   _xlpm.name_col, INDEX(_xlpm.data, , 2),
   _xlpm.loc_col,  INDEX(_xlpm.data, , 3),
   _xlpm.target_date, DATE(YEAR($C$1), MONTH($C$1), U$7),
   _xlpm.filtered, _xlfn._xlws.FILTER(_xlpm.name_col, (_xlpm.date_col = _xlpm.target_date) * (_xlpm.loc_col =$C45), ""),
   IF(_xlpm.filtered="", "", _xlpm.filtered)
)</f>
        <v/>
      </c>
      <c r="V45" s="186" t="str" cm="1">
        <f t="array" ref="V45">_xlfn.LET(
   _xlpm.data, 表格3_5[[Date]:[Location]],
   _xlpm.date_col, INDEX(_xlpm.data, , 1),
   _xlpm.name_col, INDEX(_xlpm.data, , 2),
   _xlpm.loc_col,  INDEX(_xlpm.data, , 3),
   _xlpm.target_date, DATE(YEAR($C$1), MONTH($C$1), V$7),
   _xlpm.filtered, _xlfn._xlws.FILTER(_xlpm.name_col, (_xlpm.date_col = _xlpm.target_date) * (_xlpm.loc_col =$C45), ""),
   IF(_xlpm.filtered="", "", _xlpm.filtered)
)</f>
        <v/>
      </c>
      <c r="W45" s="186" t="str" cm="1">
        <f t="array" ref="W45">_xlfn.LET(
   _xlpm.data, 表格3_5[[Date]:[Location]],
   _xlpm.date_col, INDEX(_xlpm.data, , 1),
   _xlpm.name_col, INDEX(_xlpm.data, , 2),
   _xlpm.loc_col,  INDEX(_xlpm.data, , 3),
   _xlpm.target_date, DATE(YEAR($C$1), MONTH($C$1), W$7),
   _xlpm.filtered, _xlfn._xlws.FILTER(_xlpm.name_col, (_xlpm.date_col = _xlpm.target_date) * (_xlpm.loc_col =$C45), ""),
   IF(_xlpm.filtered="", "", _xlpm.filtered)
)</f>
        <v/>
      </c>
      <c r="X45" s="186" t="str" cm="1">
        <f t="array" ref="X45">_xlfn.LET(
   _xlpm.data, 表格3_5[[Date]:[Location]],
   _xlpm.date_col, INDEX(_xlpm.data, , 1),
   _xlpm.name_col, INDEX(_xlpm.data, , 2),
   _xlpm.loc_col,  INDEX(_xlpm.data, , 3),
   _xlpm.target_date, DATE(YEAR($C$1), MONTH($C$1), X$7),
   _xlpm.filtered, _xlfn._xlws.FILTER(_xlpm.name_col, (_xlpm.date_col = _xlpm.target_date) * (_xlpm.loc_col =$C45), ""),
   IF(_xlpm.filtered="", "", _xlpm.filtered)
)</f>
        <v/>
      </c>
      <c r="Y45" s="186" t="str" cm="1">
        <f t="array" ref="Y45">_xlfn.LET(
   _xlpm.data, 表格3_5[[Date]:[Location]],
   _xlpm.date_col, INDEX(_xlpm.data, , 1),
   _xlpm.name_col, INDEX(_xlpm.data, , 2),
   _xlpm.loc_col,  INDEX(_xlpm.data, , 3),
   _xlpm.target_date, DATE(YEAR($C$1), MONTH($C$1), Y$7),
   _xlpm.filtered, _xlfn._xlws.FILTER(_xlpm.name_col, (_xlpm.date_col = _xlpm.target_date) * (_xlpm.loc_col =$C45), ""),
   IF(_xlpm.filtered="", "", _xlpm.filtered)
)</f>
        <v/>
      </c>
      <c r="Z45" s="186" t="str" cm="1">
        <f t="array" ref="Z45">_xlfn.LET(
   _xlpm.data, 表格3_5[[Date]:[Location]],
   _xlpm.date_col, INDEX(_xlpm.data, , 1),
   _xlpm.name_col, INDEX(_xlpm.data, , 2),
   _xlpm.loc_col,  INDEX(_xlpm.data, , 3),
   _xlpm.target_date, DATE(YEAR($C$1), MONTH($C$1), Z$7),
   _xlpm.filtered, _xlfn._xlws.FILTER(_xlpm.name_col, (_xlpm.date_col = _xlpm.target_date) * (_xlpm.loc_col =$C45), ""),
   IF(_xlpm.filtered="", "", _xlpm.filtered)
)</f>
        <v/>
      </c>
      <c r="AA45" s="186" t="str" cm="1">
        <f t="array" ref="AA45">_xlfn.LET(
   _xlpm.data, 表格3_5[[Date]:[Location]],
   _xlpm.date_col, INDEX(_xlpm.data, , 1),
   _xlpm.name_col, INDEX(_xlpm.data, , 2),
   _xlpm.loc_col,  INDEX(_xlpm.data, , 3),
   _xlpm.target_date, DATE(YEAR($C$1), MONTH($C$1), AA$7),
   _xlpm.filtered, _xlfn._xlws.FILTER(_xlpm.name_col, (_xlpm.date_col = _xlpm.target_date) * (_xlpm.loc_col =$C45), ""),
   IF(_xlpm.filtered="", "", _xlpm.filtered)
)</f>
        <v/>
      </c>
      <c r="AB45" s="186" t="str" cm="1">
        <f t="array" ref="AB45">_xlfn.LET(
   _xlpm.data, 表格3_5[[Date]:[Location]],
   _xlpm.date_col, INDEX(_xlpm.data, , 1),
   _xlpm.name_col, INDEX(_xlpm.data, , 2),
   _xlpm.loc_col,  INDEX(_xlpm.data, , 3),
   _xlpm.target_date, DATE(YEAR($C$1), MONTH($C$1), AB$7),
   _xlpm.filtered, _xlfn._xlws.FILTER(_xlpm.name_col, (_xlpm.date_col = _xlpm.target_date) * (_xlpm.loc_col =$C45), ""),
   IF(_xlpm.filtered="", "", _xlpm.filtered)
)</f>
        <v/>
      </c>
      <c r="AC45" s="186" t="str" cm="1">
        <f t="array" ref="AC45">_xlfn.LET(
   _xlpm.data, 表格3_5[[Date]:[Location]],
   _xlpm.date_col, INDEX(_xlpm.data, , 1),
   _xlpm.name_col, INDEX(_xlpm.data, , 2),
   _xlpm.loc_col,  INDEX(_xlpm.data, , 3),
   _xlpm.target_date, DATE(YEAR($C$1), MONTH($C$1), AC$7),
   _xlpm.filtered, _xlfn._xlws.FILTER(_xlpm.name_col, (_xlpm.date_col = _xlpm.target_date) * (_xlpm.loc_col =$C45), ""),
   IF(_xlpm.filtered="", "", _xlpm.filtered)
)</f>
        <v/>
      </c>
      <c r="AD45" s="186" t="str" cm="1">
        <f t="array" ref="AD45">_xlfn.LET(
   _xlpm.data, 表格3_5[[Date]:[Location]],
   _xlpm.date_col, INDEX(_xlpm.data, , 1),
   _xlpm.name_col, INDEX(_xlpm.data, , 2),
   _xlpm.loc_col,  INDEX(_xlpm.data, , 3),
   _xlpm.target_date, DATE(YEAR($C$1), MONTH($C$1), AD$7),
   _xlpm.filtered, _xlfn._xlws.FILTER(_xlpm.name_col, (_xlpm.date_col = _xlpm.target_date) * (_xlpm.loc_col =$C45), ""),
   IF(_xlpm.filtered="", "", _xlpm.filtered)
)</f>
        <v/>
      </c>
      <c r="AE45" s="186" t="str" cm="1">
        <f t="array" ref="AE45">_xlfn.LET(
   _xlpm.data, 表格3_5[[Date]:[Location]],
   _xlpm.date_col, INDEX(_xlpm.data, , 1),
   _xlpm.name_col, INDEX(_xlpm.data, , 2),
   _xlpm.loc_col,  INDEX(_xlpm.data, , 3),
   _xlpm.target_date, DATE(YEAR($C$1), MONTH($C$1), AE$7),
   _xlpm.filtered, _xlfn._xlws.FILTER(_xlpm.name_col, (_xlpm.date_col = _xlpm.target_date) * (_xlpm.loc_col =$C45), ""),
   IF(_xlpm.filtered="", "", _xlpm.filtered)
)</f>
        <v/>
      </c>
      <c r="AF45" s="186" t="str" cm="1">
        <f t="array" ref="AF45">_xlfn.LET(
   _xlpm.data, 表格3_5[[Date]:[Location]],
   _xlpm.date_col, INDEX(_xlpm.data, , 1),
   _xlpm.name_col, INDEX(_xlpm.data, , 2),
   _xlpm.loc_col,  INDEX(_xlpm.data, , 3),
   _xlpm.target_date, DATE(YEAR($C$1), MONTH($C$1), AF$7),
   _xlpm.filtered, _xlfn._xlws.FILTER(_xlpm.name_col, (_xlpm.date_col = _xlpm.target_date) * (_xlpm.loc_col =$C45), ""),
   IF(_xlpm.filtered="", "", _xlpm.filtered)
)</f>
        <v/>
      </c>
      <c r="AG45" s="186" t="str" cm="1">
        <f t="array" ref="AG45">_xlfn.LET(
   _xlpm.data, 表格3_5[[Date]:[Location]],
   _xlpm.date_col, INDEX(_xlpm.data, , 1),
   _xlpm.name_col, INDEX(_xlpm.data, , 2),
   _xlpm.loc_col,  INDEX(_xlpm.data, , 3),
   _xlpm.target_date, DATE(YEAR($C$1), MONTH($C$1), AG$7),
   _xlpm.filtered, _xlfn._xlws.FILTER(_xlpm.name_col, (_xlpm.date_col = _xlpm.target_date) * (_xlpm.loc_col =$C45), ""),
   IF(_xlpm.filtered="", "", _xlpm.filtered)
)</f>
        <v/>
      </c>
      <c r="AH45" s="186" t="str" cm="1">
        <f t="array" ref="AH45">_xlfn.LET(
   _xlpm.data, 表格3_5[[Date]:[Location]],
   _xlpm.date_col, INDEX(_xlpm.data, , 1),
   _xlpm.name_col, INDEX(_xlpm.data, , 2),
   _xlpm.loc_col,  INDEX(_xlpm.data, , 3),
   _xlpm.target_date, DATE(YEAR($C$1), MONTH($C$1), AH$7),
   _xlpm.filtered, _xlfn._xlws.FILTER(_xlpm.name_col, (_xlpm.date_col = _xlpm.target_date) * (_xlpm.loc_col =$C45), ""),
   IF(_xlpm.filtered="", "", _xlpm.filtered)
)</f>
        <v/>
      </c>
    </row>
  </sheetData>
  <sheetProtection algorithmName="SHA-512" hashValue="9Ty8WD+6O25sF0uFB4g9gwnznggDxiOm9fMslcmljxovfH9BCmEOEdKZ0v7I6e6759+X1tANQE9xzHG154rOXQ==" saltValue="xMrQxnbGY70T1SejM9F/Xw==" spinCount="100000" sheet="1" scenarios="1" formatCells="0" formatColumns="0" formatRows="0" insertColumns="0" insertRows="0" deleteColumns="0" deleteRows="0" sort="0" pivotTables="0"/>
  <phoneticPr fontId="3" type="noConversion"/>
  <conditionalFormatting sqref="B7">
    <cfRule type="cellIs" dxfId="44" priority="20" operator="equal">
      <formula>"OFF"</formula>
    </cfRule>
  </conditionalFormatting>
  <conditionalFormatting sqref="B8:B45">
    <cfRule type="duplicateValues" dxfId="43" priority="22"/>
  </conditionalFormatting>
  <conditionalFormatting sqref="C4">
    <cfRule type="cellIs" dxfId="42" priority="23" operator="equal">
      <formula>"OFF"</formula>
    </cfRule>
  </conditionalFormatting>
  <conditionalFormatting sqref="C6:C7">
    <cfRule type="cellIs" dxfId="41" priority="87" operator="equal">
      <formula>"OFF"</formula>
    </cfRule>
  </conditionalFormatting>
  <conditionalFormatting sqref="D6:AH6">
    <cfRule type="expression" dxfId="40" priority="15">
      <formula>OR(UPPER(D6)="SAT", UPPER(D6)="SUN")</formula>
    </cfRule>
  </conditionalFormatting>
  <conditionalFormatting sqref="D7:AH7">
    <cfRule type="expression" dxfId="39" priority="13">
      <formula>OR(UPPER(D$6)="SAT", UPPER(D$6)="SUN")</formula>
    </cfRule>
  </conditionalFormatting>
  <conditionalFormatting sqref="D8:AH45">
    <cfRule type="expression" dxfId="38" priority="21">
      <formula>D8=""</formula>
    </cfRule>
  </conditionalFormatting>
  <conditionalFormatting sqref="AN16:AS18 BR9:BR17 BM15:BO16 BG16:BL16 BP17:BQ17 BS17:BT17 AT17:BO18 BP18:BT18 AN19:BT20">
    <cfRule type="cellIs" dxfId="37" priority="48" operator="equal">
      <formula>0</formula>
    </cfRule>
  </conditionalFormatting>
  <conditionalFormatting sqref="AN8:BT20">
    <cfRule type="beginsWith" dxfId="36" priority="32" operator="beginsWith" text="PH">
      <formula>LEFT(AN8,LEN("PH"))="PH"</formula>
    </cfRule>
    <cfRule type="containsText" dxfId="35" priority="33" operator="containsText" text="AL ">
      <formula>NOT(ISERROR(SEARCH("AL ",AN8)))</formula>
    </cfRule>
    <cfRule type="beginsWith" dxfId="34" priority="34" operator="beginsWith" text="SL">
      <formula>LEFT(AN8,LEN("SL"))="SL"</formula>
    </cfRule>
    <cfRule type="containsText" dxfId="33" priority="35" operator="containsText" text="Off">
      <formula>NOT(ISERROR(SEARCH("Off",AN8)))</formula>
    </cfRule>
    <cfRule type="cellIs" dxfId="32" priority="38" operator="equal">
      <formula>0</formula>
    </cfRule>
    <cfRule type="containsText" dxfId="31" priority="39" operator="containsText" text=".">
      <formula>NOT(ISERROR(SEARCH(".",AN8)))</formula>
    </cfRule>
  </conditionalFormatting>
  <conditionalFormatting sqref="AQ16:AS17">
    <cfRule type="beginsWith" dxfId="30" priority="44" operator="beginsWith" text="PH">
      <formula>LEFT(AQ16,LEN("PH"))="PH"</formula>
    </cfRule>
    <cfRule type="containsText" dxfId="29" priority="45" operator="containsText" text="AL ">
      <formula>NOT(ISERROR(SEARCH("AL ",AQ16)))</formula>
    </cfRule>
    <cfRule type="beginsWith" dxfId="28" priority="46" operator="beginsWith" text="SL">
      <formula>LEFT(AQ16,LEN("SL"))="SL"</formula>
    </cfRule>
    <cfRule type="containsText" dxfId="27" priority="47" operator="containsText" text="Off">
      <formula>NOT(ISERROR(SEARCH("Off",AQ16)))</formula>
    </cfRule>
  </conditionalFormatting>
  <conditionalFormatting sqref="BA17:BB17">
    <cfRule type="beginsWith" dxfId="26" priority="28" operator="beginsWith" text="PH">
      <formula>LEFT(BA17,LEN("PH"))="PH"</formula>
    </cfRule>
    <cfRule type="containsText" dxfId="25" priority="29" operator="containsText" text="AL ">
      <formula>NOT(ISERROR(SEARCH("AL ",BA17)))</formula>
    </cfRule>
    <cfRule type="beginsWith" dxfId="24" priority="30" operator="beginsWith" text="SL">
      <formula>LEFT(BA17,LEN("SL"))="SL"</formula>
    </cfRule>
    <cfRule type="containsText" dxfId="23" priority="31" operator="containsText" text="Off">
      <formula>NOT(ISERROR(SEARCH("Off",BA17)))</formula>
    </cfRule>
  </conditionalFormatting>
  <conditionalFormatting sqref="BM15:BP15 BL16:BO18">
    <cfRule type="cellIs" dxfId="22" priority="50" operator="equal">
      <formula>0</formula>
    </cfRule>
    <cfRule type="containsText" dxfId="21" priority="51" operator="containsText" text=".">
      <formula>NOT(ISERROR(SEARCH(".",BL15)))</formula>
    </cfRule>
  </conditionalFormatting>
  <conditionalFormatting sqref="BN15">
    <cfRule type="containsText" dxfId="20" priority="37" operator="containsText" text=".">
      <formula>NOT(ISERROR(SEARCH(".",BN15)))</formula>
    </cfRule>
    <cfRule type="cellIs" dxfId="19" priority="36" operator="equal">
      <formula>0</formula>
    </cfRule>
  </conditionalFormatting>
  <conditionalFormatting sqref="BO15:BO18 BP17">
    <cfRule type="beginsWith" dxfId="18" priority="24" operator="beginsWith" text="PH">
      <formula>LEFT(BO15,LEN("PH"))="PH"</formula>
    </cfRule>
    <cfRule type="containsText" dxfId="17" priority="25" operator="containsText" text="AL ">
      <formula>NOT(ISERROR(SEARCH("AL ",BO15)))</formula>
    </cfRule>
    <cfRule type="beginsWith" dxfId="16" priority="26" operator="beginsWith" text="SL">
      <formula>LEFT(BO15,LEN("SL"))="SL"</formula>
    </cfRule>
    <cfRule type="containsText" dxfId="15" priority="27" operator="containsText" text="Off">
      <formula>NOT(ISERROR(SEARCH("Off",BO15)))</formula>
    </cfRule>
  </conditionalFormatting>
  <conditionalFormatting sqref="BR9:BR17 BM15:BO18 AN16:AP16 AT16:BL16 BS16 BP16:BQ17 BS17:BT17 AN17:BL18 BP18:BT18 AN19:BT20">
    <cfRule type="beginsWith" dxfId="14" priority="40" operator="beginsWith" text="PH">
      <formula>LEFT(AN9,LEN("PH"))="PH"</formula>
    </cfRule>
    <cfRule type="containsText" dxfId="13" priority="41" operator="containsText" text="AL ">
      <formula>NOT(ISERROR(SEARCH("AL ",AN9)))</formula>
    </cfRule>
    <cfRule type="beginsWith" dxfId="12" priority="42" operator="beginsWith" text="SL">
      <formula>LEFT(AN9,LEN("SL"))="SL"</formula>
    </cfRule>
    <cfRule type="containsText" dxfId="11" priority="43" operator="containsText" text="Off">
      <formula>NOT(ISERROR(SEARCH("Off",AN9)))</formula>
    </cfRule>
  </conditionalFormatting>
  <conditionalFormatting sqref="BR9:BR17 BM15:BO18 BG16:BL16 AN16:AS18 BP17:BQ17 BS17:BT17 AT17:BL18 BP18:BT18 AN19:BT20">
    <cfRule type="containsText" dxfId="10" priority="49" operator="containsText" text=".">
      <formula>NOT(ISERROR(SEARCH(".",AN9)))</formula>
    </cfRule>
  </conditionalFormatting>
  <conditionalFormatting sqref="BS9:BT11 BS13:BT15">
    <cfRule type="cellIs" dxfId="9" priority="52" operator="equal">
      <formula>0</formula>
    </cfRule>
    <cfRule type="containsText" dxfId="8" priority="53" operator="containsText" text=".">
      <formula>NOT(ISERROR(SEARCH(".",BS9)))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36924-9DB8-4D1E-AE6C-32F9D2385A4C}">
  <sheetPr>
    <pageSetUpPr fitToPage="1"/>
  </sheetPr>
  <dimension ref="A1:AJ28"/>
  <sheetViews>
    <sheetView tabSelected="1" zoomScale="40" zoomScaleNormal="40" workbookViewId="0">
      <pane xSplit="5" ySplit="7" topLeftCell="F8" activePane="bottomRight" state="frozen"/>
      <selection pane="topRight" activeCell="E1" sqref="E1"/>
      <selection pane="bottomLeft" activeCell="A8" sqref="A8"/>
      <selection pane="bottomRight" activeCell="E8" sqref="E8"/>
    </sheetView>
  </sheetViews>
  <sheetFormatPr defaultColWidth="9" defaultRowHeight="15.75" outlineLevelCol="1"/>
  <cols>
    <col min="1" max="1" width="12.875" style="3" bestFit="1" customWidth="1"/>
    <col min="2" max="2" width="9.75" style="3" customWidth="1"/>
    <col min="3" max="3" width="59.125" style="3" customWidth="1"/>
    <col min="4" max="4" width="28.625" style="3" bestFit="1" customWidth="1"/>
    <col min="5" max="5" width="44.5" style="3" bestFit="1" customWidth="1"/>
    <col min="6" max="6" width="34.5" style="3" customWidth="1"/>
    <col min="7" max="7" width="101.125" style="3" customWidth="1"/>
    <col min="8" max="8" width="18.125" style="30" customWidth="1"/>
    <col min="9" max="9" width="23.625" style="31" customWidth="1"/>
    <col min="10" max="10" width="18.25" style="30" customWidth="1"/>
    <col min="11" max="11" width="28.75" style="3" customWidth="1"/>
    <col min="12" max="12" width="22.625" style="3" customWidth="1"/>
    <col min="13" max="13" width="15.125" style="3" customWidth="1"/>
    <col min="14" max="14" width="49.25" style="3" customWidth="1"/>
    <col min="15" max="16" width="26.5" style="3" customWidth="1"/>
    <col min="17" max="17" width="16.875" style="3" customWidth="1" outlineLevel="1"/>
    <col min="18" max="18" width="20.375" style="3" customWidth="1" outlineLevel="1"/>
    <col min="19" max="19" width="25" style="3" customWidth="1" outlineLevel="1"/>
    <col min="20" max="20" width="13.875" style="3" customWidth="1" outlineLevel="1"/>
    <col min="21" max="21" width="14.375" style="3" customWidth="1" outlineLevel="1"/>
    <col min="22" max="22" width="20.125" style="3" bestFit="1" customWidth="1"/>
    <col min="23" max="23" width="24.5" style="3" customWidth="1"/>
    <col min="24" max="24" width="14.125" style="3" bestFit="1" customWidth="1"/>
    <col min="25" max="25" width="11.5" style="3" customWidth="1"/>
    <col min="26" max="26" width="16.5" style="3" customWidth="1"/>
    <col min="27" max="35" width="9" style="3"/>
    <col min="36" max="36" width="17" style="3" bestFit="1" customWidth="1"/>
    <col min="37" max="16384" width="9" style="3"/>
  </cols>
  <sheetData>
    <row r="1" spans="1:36" ht="34.5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33.75">
      <c r="A2" s="5" t="str">
        <f>_xlfn.CONCAT($A$5," ",$A$6," Ecovasc Promoter Salary Summary")</f>
        <v>2026 June Ecovasc Promoter Salary Summary</v>
      </c>
      <c r="B2" s="5"/>
      <c r="C2" s="5"/>
      <c r="D2" s="5"/>
      <c r="E2" s="5"/>
      <c r="F2" s="5"/>
      <c r="G2" s="5"/>
      <c r="H2" s="5"/>
      <c r="I2" s="5"/>
      <c r="J2" s="2"/>
      <c r="K2" s="1"/>
      <c r="L2" s="1"/>
      <c r="M2" s="5"/>
      <c r="N2" s="238" t="s">
        <v>2</v>
      </c>
      <c r="O2" s="238"/>
      <c r="P2" s="238"/>
      <c r="Q2" s="238"/>
      <c r="R2" s="238"/>
      <c r="S2" s="238"/>
      <c r="T2" s="238"/>
      <c r="U2" s="1"/>
      <c r="V2" s="6" t="s">
        <v>0</v>
      </c>
      <c r="W2" s="7" t="s">
        <v>149</v>
      </c>
      <c r="X2" s="1"/>
    </row>
    <row r="3" spans="1:36" ht="33.75">
      <c r="A3" s="5"/>
      <c r="B3" s="5"/>
      <c r="C3" s="5"/>
      <c r="D3" s="5"/>
      <c r="E3" s="5"/>
      <c r="F3" s="5"/>
      <c r="G3" s="5"/>
      <c r="H3" s="5"/>
      <c r="I3" s="5"/>
      <c r="J3" s="2"/>
      <c r="K3" s="1"/>
      <c r="L3" s="1"/>
      <c r="M3" s="5"/>
      <c r="N3" s="238"/>
      <c r="O3" s="238"/>
      <c r="P3" s="238"/>
      <c r="Q3" s="238"/>
      <c r="R3" s="238"/>
      <c r="S3" s="238"/>
      <c r="T3" s="238"/>
      <c r="U3" s="1" t="s">
        <v>1</v>
      </c>
      <c r="V3" s="8" t="s">
        <v>3</v>
      </c>
      <c r="W3" s="9">
        <v>87810</v>
      </c>
      <c r="X3" s="1"/>
    </row>
    <row r="4" spans="1:36" ht="33.75">
      <c r="A4" s="5"/>
      <c r="B4" s="5"/>
      <c r="C4" s="5"/>
      <c r="D4" s="5"/>
      <c r="E4" s="5"/>
      <c r="F4" s="5"/>
      <c r="G4" s="5"/>
      <c r="H4" s="5"/>
      <c r="I4" s="5"/>
      <c r="J4" s="2"/>
      <c r="K4" s="1"/>
      <c r="L4" s="1"/>
      <c r="M4" s="5"/>
      <c r="N4" s="5"/>
      <c r="O4" s="10"/>
      <c r="P4" s="4"/>
      <c r="Q4" s="4"/>
      <c r="R4" s="4"/>
      <c r="S4" s="4"/>
      <c r="T4" s="4"/>
      <c r="U4" s="4" t="s">
        <v>1</v>
      </c>
      <c r="V4" s="8" t="s">
        <v>4</v>
      </c>
      <c r="W4" s="9">
        <f>V6</f>
        <v>74900</v>
      </c>
      <c r="X4" s="1"/>
    </row>
    <row r="5" spans="1:36" ht="34.5" thickBot="1">
      <c r="A5" s="163">
        <v>2026</v>
      </c>
      <c r="B5" s="5"/>
      <c r="C5" s="5"/>
      <c r="D5" s="5"/>
      <c r="E5" s="5"/>
      <c r="F5" s="5"/>
      <c r="G5" s="11" t="s">
        <v>119</v>
      </c>
      <c r="H5" s="5"/>
      <c r="I5" s="5"/>
      <c r="J5" s="2"/>
      <c r="K5" s="1"/>
      <c r="L5" s="4"/>
      <c r="M5" s="4"/>
      <c r="N5" s="4"/>
      <c r="O5" s="4"/>
      <c r="P5" s="4"/>
      <c r="Q5" s="4"/>
      <c r="R5" s="4"/>
      <c r="S5" s="4"/>
      <c r="T5" s="4"/>
      <c r="U5" s="4"/>
      <c r="V5" s="12" t="s">
        <v>5</v>
      </c>
      <c r="W5" s="13">
        <f>W3-W4</f>
        <v>12910</v>
      </c>
      <c r="X5" s="1"/>
    </row>
    <row r="6" spans="1:36" ht="33.75">
      <c r="A6" s="164" t="s">
        <v>139</v>
      </c>
      <c r="B6" s="1"/>
      <c r="C6" s="1"/>
      <c r="D6" s="1"/>
      <c r="E6" s="1"/>
      <c r="F6" s="1"/>
      <c r="G6" s="14"/>
      <c r="H6" s="15">
        <f>SUM(H8:H37)</f>
        <v>88</v>
      </c>
      <c r="I6" s="15">
        <f>SUM(I8:I37)</f>
        <v>706.49999999999932</v>
      </c>
      <c r="J6" s="15">
        <f t="shared" ref="J6:X6" si="0">SUM(J8:J16)</f>
        <v>0</v>
      </c>
      <c r="K6" s="15">
        <f t="shared" si="0"/>
        <v>70000</v>
      </c>
      <c r="L6" s="15">
        <f t="shared" si="0"/>
        <v>0</v>
      </c>
      <c r="M6" s="15">
        <f t="shared" si="0"/>
        <v>0</v>
      </c>
      <c r="N6" s="15">
        <f t="shared" si="0"/>
        <v>0</v>
      </c>
      <c r="O6" s="15">
        <f t="shared" si="0"/>
        <v>4500</v>
      </c>
      <c r="P6" s="15">
        <f>SUM(P8:P16)</f>
        <v>0</v>
      </c>
      <c r="Q6" s="15">
        <f t="shared" si="0"/>
        <v>1500</v>
      </c>
      <c r="R6" s="15">
        <f t="shared" si="0"/>
        <v>0</v>
      </c>
      <c r="S6" s="15">
        <f t="shared" si="0"/>
        <v>0</v>
      </c>
      <c r="T6" s="15">
        <f t="shared" si="0"/>
        <v>0</v>
      </c>
      <c r="U6" s="15">
        <f t="shared" si="0"/>
        <v>-1100</v>
      </c>
      <c r="V6" s="15">
        <f t="shared" si="0"/>
        <v>74900</v>
      </c>
      <c r="W6" s="15">
        <f t="shared" si="0"/>
        <v>74900</v>
      </c>
      <c r="X6" s="16">
        <f t="shared" si="0"/>
        <v>0</v>
      </c>
    </row>
    <row r="7" spans="1:36" ht="34.5">
      <c r="A7" s="17" t="s">
        <v>132</v>
      </c>
      <c r="B7" s="17" t="s">
        <v>133</v>
      </c>
      <c r="C7" s="17" t="s">
        <v>92</v>
      </c>
      <c r="D7" s="18" t="s">
        <v>6</v>
      </c>
      <c r="E7" s="18" t="s">
        <v>91</v>
      </c>
      <c r="F7" s="19" t="s">
        <v>7</v>
      </c>
      <c r="G7" s="19" t="s">
        <v>8</v>
      </c>
      <c r="H7" s="20" t="s">
        <v>9</v>
      </c>
      <c r="I7" s="21" t="s">
        <v>10</v>
      </c>
      <c r="J7" s="20" t="s">
        <v>11</v>
      </c>
      <c r="K7" s="22" t="s">
        <v>12</v>
      </c>
      <c r="L7" s="19" t="s">
        <v>13</v>
      </c>
      <c r="M7" s="23" t="s">
        <v>14</v>
      </c>
      <c r="N7" s="19" t="s">
        <v>15</v>
      </c>
      <c r="O7" s="19" t="s">
        <v>128</v>
      </c>
      <c r="P7" s="19" t="s">
        <v>16</v>
      </c>
      <c r="Q7" s="19" t="s">
        <v>17</v>
      </c>
      <c r="R7" s="24" t="s">
        <v>18</v>
      </c>
      <c r="S7" s="19" t="s">
        <v>19</v>
      </c>
      <c r="T7" s="19" t="s">
        <v>20</v>
      </c>
      <c r="U7" s="19" t="s">
        <v>21</v>
      </c>
      <c r="V7" s="19" t="s">
        <v>22</v>
      </c>
      <c r="W7" s="19" t="s">
        <v>23</v>
      </c>
      <c r="X7" s="19" t="s">
        <v>5</v>
      </c>
    </row>
    <row r="8" spans="1:36" s="27" customFormat="1" ht="33.75">
      <c r="A8" s="25">
        <v>1</v>
      </c>
      <c r="B8" s="25">
        <v>1</v>
      </c>
      <c r="C8" s="158" t="s">
        <v>121</v>
      </c>
      <c r="D8" s="159" t="str">
        <f>_xlfn.XLOOKUP(E8,表格3_5[Name],表格3_5[Nick Name])</f>
        <v>Edith</v>
      </c>
      <c r="E8" s="158" t="s">
        <v>140</v>
      </c>
      <c r="F8" s="158">
        <v>21182</v>
      </c>
      <c r="G8" s="159" t="str" cm="1">
        <f t="array" ref="G8">_xlfn.TEXTJOIN(",",1,_xlfn._xlws.FILTER(表格3_5[ID3],(表格3_5[Location]=C8)*(表格3_5[Name]=E8),""))&amp;"/"&amp;$A$6</f>
        <v>2,4,7,8,9,15,16,22,26,30/June</v>
      </c>
      <c r="H8" s="159" cm="1">
        <f t="array" ref="H8">IF(OR(Total!E8="", C8=""), 0,
    COUNTA(_xlfn._xlws.FILTER(工作表1!$F$3:$F$571,
        (工作表1!$I$3:$I$571=Total!E8) *
        (工作表1!$H$3:$H$571=C8) *
        (工作表1!$F$3:$F$571&lt;&gt;"")
    ))
)</f>
        <v>10</v>
      </c>
      <c r="I8" s="159">
        <f>SUMIFS(工作表1!$Q$3:$Q$571,工作表1!$I$3:$I$571,Total!E8,工作表1!$H$3:$H$571,C8)</f>
        <v>80</v>
      </c>
      <c r="J8" s="158">
        <f>_xlfn.XLOOKUP(_xlfn.CONCAT($E8,$C8),表格3_5[Test],表格3_5[Hourly Rate])</f>
        <v>0</v>
      </c>
      <c r="K8" s="231">
        <f>_xlfn.XLOOKUP(E8,Name_list[Full Name],Name_list[[Month ]])</f>
        <v>16000</v>
      </c>
      <c r="L8" s="3"/>
      <c r="M8" s="158"/>
      <c r="N8" s="158"/>
      <c r="O8" s="232">
        <f>_xlfn.XLOOKUP(E8,Name_list[Full Name],Name_list[Attendance])</f>
        <v>1500</v>
      </c>
      <c r="Q8" s="232">
        <f>_xlfn.XLOOKUP(E8,Name_list[Full Name],Name_list[Award])</f>
        <v>500</v>
      </c>
      <c r="U8" s="232">
        <f>-MIN( _xlfn.XLOOKUP(E8,Name_list[Full Name],Name_list[Mpf])*SUM(K8:T8)-L8-M8, 1500 )</f>
        <v>0</v>
      </c>
      <c r="V8" s="158">
        <f>SUM(K8:U8)-表格1[[#This Row],[Sales Amt]]-表格1[[#This Row],[Qty]]</f>
        <v>18000</v>
      </c>
      <c r="W8" s="158">
        <f t="shared" ref="W8:W13" si="1">ROUND(V8,0)</f>
        <v>18000</v>
      </c>
      <c r="X8" s="26"/>
    </row>
    <row r="9" spans="1:36" s="27" customFormat="1" ht="33.75">
      <c r="A9" s="25">
        <v>2</v>
      </c>
      <c r="B9" s="25">
        <v>2</v>
      </c>
      <c r="C9" s="158" t="s">
        <v>120</v>
      </c>
      <c r="D9" s="159" t="str">
        <f>_xlfn.XLOOKUP(E9,表格3_5[Name],表格3_5[Nick Name])</f>
        <v>Edith</v>
      </c>
      <c r="E9" s="158" t="s">
        <v>140</v>
      </c>
      <c r="F9" s="158"/>
      <c r="G9" s="159" t="str" cm="1">
        <f t="array" ref="G9">_xlfn.TEXTJOIN(",",1,_xlfn._xlws.FILTER(表格3_5[ID3],(表格3_5[Location]=C9)*(表格3_5[Name]=E9),""))&amp;"/"&amp;$A$6</f>
        <v>1,5,6,11,12,17,19,23,25,28,29/June</v>
      </c>
      <c r="H9" s="159" cm="1">
        <f t="array" ref="H9">IF(OR(Total!E9="", C9=""), 0,
    COUNTA(_xlfn._xlws.FILTER(工作表1!$F$3:$F$571,
        (工作表1!$I$3:$I$571=Total!E9) *
        (工作表1!$H$3:$H$571=C9) *
        (工作表1!$F$3:$F$571&lt;&gt;"")
    ))
)</f>
        <v>11</v>
      </c>
      <c r="I9" s="159">
        <f>SUMIFS(工作表1!$Q$3:$Q$571,工作表1!$I$3:$I$571,Total!E9,工作表1!$H$3:$H$571,C9)</f>
        <v>87.999999999999972</v>
      </c>
      <c r="J9" s="158">
        <f>_xlfn.XLOOKUP(_xlfn.CONCAT($E9,$C9),表格3_5[Test],表格3_5[Hourly Rate])</f>
        <v>0</v>
      </c>
      <c r="K9" s="231"/>
      <c r="L9" s="3"/>
      <c r="M9" s="158"/>
      <c r="N9" s="158"/>
      <c r="O9" s="232"/>
      <c r="Q9" s="232"/>
      <c r="R9" s="158"/>
      <c r="S9" s="158"/>
      <c r="T9" s="158"/>
      <c r="U9" s="232">
        <f>-MIN( _xlfn.XLOOKUP(E9,Name_list[Full Name],Name_list[Mpf])*SUM(K9:T9)-L9-M9, 1500 )</f>
        <v>0</v>
      </c>
      <c r="V9" s="158">
        <f>SUM(K9:U9)-表格1[[#This Row],[Sales Amt]]-表格1[[#This Row],[Qty]]</f>
        <v>0</v>
      </c>
      <c r="W9" s="158">
        <f t="shared" si="1"/>
        <v>0</v>
      </c>
      <c r="X9" s="26"/>
    </row>
    <row r="10" spans="1:36" s="28" customFormat="1" ht="33.75">
      <c r="A10" s="25">
        <v>3</v>
      </c>
      <c r="B10" s="25">
        <v>3</v>
      </c>
      <c r="C10" s="158" t="s">
        <v>145</v>
      </c>
      <c r="D10" s="159" t="str">
        <f>_xlfn.XLOOKUP(E10,表格3_5[Name],表格3_5[Nick Name])</f>
        <v>Edith</v>
      </c>
      <c r="E10" s="158" t="s">
        <v>140</v>
      </c>
      <c r="F10" s="158"/>
      <c r="G10" s="159" t="str" cm="1">
        <f t="array" ref="G10">_xlfn.TEXTJOIN(",",1,_xlfn._xlws.FILTER(表格3_5[ID3],(表格3_5[Location]=C10)*(表格3_5[Name]=E10),""))&amp;"/"&amp;$A$6</f>
        <v>21/June</v>
      </c>
      <c r="H10" s="159" cm="1">
        <f t="array" ref="H10">IF(OR(Total!E10="", C10=""), 0,
    COUNTA(_xlfn._xlws.FILTER(工作表1!$F$3:$F$571,
        (工作表1!$I$3:$I$571=Total!E10) *
        (工作表1!$H$3:$H$571=C10) *
        (工作表1!$F$3:$F$571&lt;&gt;"")
    ))
)</f>
        <v>1</v>
      </c>
      <c r="I10" s="159">
        <f>SUMIFS(工作表1!$Q$3:$Q$571,工作表1!$I$3:$I$571,Total!E10,工作表1!$H$3:$H$571,C10)</f>
        <v>8</v>
      </c>
      <c r="J10" s="158">
        <f>_xlfn.XLOOKUP(_xlfn.CONCAT($E10,$C10),表格3_5[Test],表格3_5[Hourly Rate])</f>
        <v>0</v>
      </c>
      <c r="K10" s="231"/>
      <c r="L10" s="3"/>
      <c r="M10" s="158"/>
      <c r="N10" s="158"/>
      <c r="O10" s="232"/>
      <c r="P10" s="27"/>
      <c r="Q10" s="232"/>
      <c r="R10" s="158"/>
      <c r="S10" s="158"/>
      <c r="T10" s="158"/>
      <c r="U10" s="232">
        <f>-MIN( _xlfn.XLOOKUP(E10,Name_list[Full Name],Name_list[Mpf])*SUM(K10:T10)-L10-M10, 1500 )</f>
        <v>0</v>
      </c>
      <c r="V10" s="158">
        <f>SUM(K10:U10)-表格1[[#This Row],[Sales Amt]]-表格1[[#This Row],[Qty]]</f>
        <v>0</v>
      </c>
      <c r="W10" s="158">
        <f t="shared" si="1"/>
        <v>0</v>
      </c>
      <c r="X10" s="26"/>
    </row>
    <row r="11" spans="1:36" s="29" customFormat="1" ht="33.75">
      <c r="A11" s="25">
        <v>4</v>
      </c>
      <c r="B11" s="25">
        <v>4</v>
      </c>
      <c r="C11" s="158" t="s">
        <v>144</v>
      </c>
      <c r="D11" s="159" t="str">
        <f>_xlfn.XLOOKUP(E11,表格3_5[Name],表格3_5[Nick Name])</f>
        <v>Amy</v>
      </c>
      <c r="E11" s="158" t="s">
        <v>116</v>
      </c>
      <c r="F11" s="158">
        <v>21196</v>
      </c>
      <c r="G11" s="159" t="str" cm="1">
        <f t="array" ref="G11">_xlfn.TEXTJOIN(",",1,_xlfn._xlws.FILTER(表格3_5[ID3],(表格3_5[Location]=C11)*(表格3_5[Name]=E11),""))&amp;"/"&amp;$A$6</f>
        <v>4,5,6,11,13,14,18,20,25,26,27/June</v>
      </c>
      <c r="H11" s="159" cm="1">
        <f t="array" ref="H11">IF(OR(Total!E11="", C11=""), 0,
    COUNTA(_xlfn._xlws.FILTER(工作表1!$F$3:$F$571,
        (工作表1!$I$3:$I$571=Total!E11) *
        (工作表1!$H$3:$H$571=C11) *
        (工作表1!$F$3:$F$571&lt;&gt;"")
    ))
)</f>
        <v>11</v>
      </c>
      <c r="I11" s="159">
        <f>SUMIFS(工作表1!$Q$3:$Q$571,工作表1!$I$3:$I$571,Total!E11,工作表1!$H$3:$H$571,C11)</f>
        <v>90.499999999999901</v>
      </c>
      <c r="J11" s="158">
        <f>_xlfn.XLOOKUP(_xlfn.CONCAT($E11,$C11),表格3_5[Test],表格3_5[Hourly Rate])</f>
        <v>0</v>
      </c>
      <c r="K11" s="231">
        <f>_xlfn.XLOOKUP(E11,Name_list[Full Name],Name_list[[Month ]])</f>
        <v>16000</v>
      </c>
      <c r="L11" s="3"/>
      <c r="M11" s="158"/>
      <c r="N11" s="158"/>
      <c r="O11" s="232">
        <f>_xlfn.XLOOKUP(E11,Name_list[Full Name],Name_list[Attendance])</f>
        <v>1500</v>
      </c>
      <c r="P11" s="27"/>
      <c r="Q11" s="232">
        <f>_xlfn.XLOOKUP(E11,Name_list[Full Name],Name_list[Award])</f>
        <v>500</v>
      </c>
      <c r="R11" s="158"/>
      <c r="S11" s="158"/>
      <c r="T11" s="158"/>
      <c r="U11" s="232">
        <f>-MIN( _xlfn.XLOOKUP(E11,Name_list[Full Name],Name_list[Mpf])*SUM(K11:T11)-L11-M11, 1500 )</f>
        <v>0</v>
      </c>
      <c r="V11" s="158">
        <f>SUM(K11:U11)-表格1[[#This Row],[Sales Amt]]-表格1[[#This Row],[Qty]]</f>
        <v>18000</v>
      </c>
      <c r="W11" s="158">
        <f t="shared" si="1"/>
        <v>18000</v>
      </c>
      <c r="X11" s="26"/>
      <c r="Y11" s="28"/>
      <c r="Z11" s="28"/>
      <c r="AA11" s="28"/>
      <c r="AB11" s="28"/>
      <c r="AC11" s="28"/>
      <c r="AD11" s="28"/>
      <c r="AE11" s="28"/>
      <c r="AF11" s="28"/>
      <c r="AG11" s="28"/>
    </row>
    <row r="12" spans="1:36" s="27" customFormat="1" ht="33.75">
      <c r="A12" s="25">
        <v>5</v>
      </c>
      <c r="B12" s="25">
        <v>5</v>
      </c>
      <c r="C12" s="158" t="s">
        <v>142</v>
      </c>
      <c r="D12" s="159" t="str">
        <f>_xlfn.XLOOKUP(E12,表格3_5[Name],表格3_5[Nick Name])</f>
        <v>Amy</v>
      </c>
      <c r="E12" s="158" t="s">
        <v>116</v>
      </c>
      <c r="F12" s="158"/>
      <c r="G12" s="159" t="str" cm="1">
        <f t="array" ref="G12">_xlfn.TEXTJOIN(",",1,_xlfn._xlws.FILTER(表格3_5[ID3],(表格3_5[Location]=C12)*(表格3_5[Name]=E12),""))&amp;"/"&amp;$A$6</f>
        <v>12/June</v>
      </c>
      <c r="H12" s="159" cm="1">
        <f t="array" ref="H12">IF(OR(Total!E12="", C12=""), 0,
    COUNTA(_xlfn._xlws.FILTER(工作表1!$F$3:$F$571,
        (工作表1!$I$3:$I$571=Total!E12) *
        (工作表1!$H$3:$H$571=C12) *
        (工作表1!$F$3:$F$571&lt;&gt;"")
    ))
)</f>
        <v>1</v>
      </c>
      <c r="I12" s="159">
        <f>SUMIFS(工作表1!$Q$3:$Q$571,工作表1!$I$3:$I$571,Total!E12,工作表1!$H$3:$H$571,C12)</f>
        <v>7.9999999999999902</v>
      </c>
      <c r="J12" s="158">
        <f>_xlfn.XLOOKUP(_xlfn.CONCAT($E12,$C12),表格3_5[Test],表格3_5[Hourly Rate])</f>
        <v>0</v>
      </c>
      <c r="K12" s="231"/>
      <c r="L12" s="3"/>
      <c r="M12" s="158"/>
      <c r="N12" s="158"/>
      <c r="O12" s="232"/>
      <c r="Q12" s="232"/>
      <c r="R12" s="158"/>
      <c r="S12" s="158"/>
      <c r="T12" s="158"/>
      <c r="U12" s="232">
        <f>-MIN( _xlfn.XLOOKUP(E12,Name_list[Full Name],Name_list[Mpf])*SUM(K12:T12)-L12-M12, 1500 )</f>
        <v>0</v>
      </c>
      <c r="V12" s="158">
        <f>SUM(K12:U12)-表格1[[#This Row],[Sales Amt]]-表格1[[#This Row],[Qty]]</f>
        <v>0</v>
      </c>
      <c r="W12" s="158">
        <f t="shared" si="1"/>
        <v>0</v>
      </c>
      <c r="X12" s="26"/>
    </row>
    <row r="13" spans="1:36" s="27" customFormat="1" ht="33.75">
      <c r="A13" s="25">
        <v>6</v>
      </c>
      <c r="B13" s="25">
        <v>6</v>
      </c>
      <c r="C13" s="158" t="s">
        <v>122</v>
      </c>
      <c r="D13" s="159" t="str">
        <f>_xlfn.XLOOKUP(E13,表格3_5[Name],表格3_5[Nick Name])</f>
        <v>Amy</v>
      </c>
      <c r="E13" s="158" t="s">
        <v>116</v>
      </c>
      <c r="F13" s="158"/>
      <c r="G13" s="159" t="str" cm="1">
        <f t="array" ref="G13">_xlfn.TEXTJOIN(",",1,_xlfn._xlws.FILTER(表格3_5[ID3],(表格3_5[Location]=C13)*(表格3_5[Name]=E13),""))&amp;"/"&amp;$A$6</f>
        <v>1,3,7,8,10,15,17,21,22,28,29/June</v>
      </c>
      <c r="H13" s="159" cm="1">
        <f t="array" ref="H13">IF(OR(Total!E13="", C13=""), 0,
    COUNTA(_xlfn._xlws.FILTER(工作表1!$F$3:$F$571,
        (工作表1!$I$3:$I$571=Total!E13) *
        (工作表1!$H$3:$H$571=C13) *
        (工作表1!$F$3:$F$571&lt;&gt;"")
    ))
)</f>
        <v>11</v>
      </c>
      <c r="I13" s="159">
        <f>SUMIFS(工作表1!$Q$3:$Q$571,工作表1!$I$3:$I$571,Total!E13,工作表1!$H$3:$H$571,C13)</f>
        <v>87.999999999999886</v>
      </c>
      <c r="J13" s="158">
        <f>_xlfn.XLOOKUP(_xlfn.CONCAT($E13,$C13),表格3_5[Test],表格3_5[Hourly Rate])</f>
        <v>0</v>
      </c>
      <c r="K13" s="231"/>
      <c r="L13" s="3"/>
      <c r="M13" s="158"/>
      <c r="N13" s="158"/>
      <c r="O13" s="232"/>
      <c r="Q13" s="232"/>
      <c r="R13" s="158"/>
      <c r="S13" s="158"/>
      <c r="T13" s="158"/>
      <c r="U13" s="232">
        <f>-MIN( _xlfn.XLOOKUP(E13,Name_list[Full Name],Name_list[Mpf])*SUM(K13:T13)-L13-M13, 1500 )</f>
        <v>0</v>
      </c>
      <c r="V13" s="158">
        <f>SUM(K13:U13)-表格1[[#This Row],[Sales Amt]]-表格1[[#This Row],[Qty]]</f>
        <v>0</v>
      </c>
      <c r="W13" s="158">
        <f t="shared" si="1"/>
        <v>0</v>
      </c>
      <c r="X13" s="26"/>
    </row>
    <row r="14" spans="1:36" s="27" customFormat="1" ht="31.5">
      <c r="A14" s="25">
        <v>7</v>
      </c>
      <c r="B14" s="25">
        <v>7</v>
      </c>
      <c r="C14" s="158" t="s">
        <v>126</v>
      </c>
      <c r="D14" s="159" t="str">
        <f>_xlfn.XLOOKUP(E14,表格3_5[Name],表格3_5[Nick Name])</f>
        <v>Carol</v>
      </c>
      <c r="E14" s="158" t="s">
        <v>114</v>
      </c>
      <c r="F14" s="158" t="s">
        <v>151</v>
      </c>
      <c r="G14" s="159" t="str" cm="1">
        <f t="array" ref="G14">_xlfn.TEXTJOIN(",",1,_xlfn._xlws.FILTER(表格3_5[ID3],(表格3_5[Location]=C14)*(表格3_5[Name]=E14),""))&amp;"/"&amp;$A$6</f>
        <v>1,6,8,12,15,16,20,22,26,27,28,30/June</v>
      </c>
      <c r="H14" s="159" cm="1">
        <f t="array" ref="H14">IF(OR(Total!E14="", C14=""), 0,
    COUNTA(_xlfn._xlws.FILTER(工作表1!$F$3:$F$571,
        (工作表1!$I$3:$I$571=Total!E14) *
        (工作表1!$H$3:$H$571=C14) *
        (工作表1!$F$3:$F$571&lt;&gt;"")
    ))
)</f>
        <v>12</v>
      </c>
      <c r="I14" s="159">
        <f>SUMIFS(工作表1!$Q$3:$Q$571,工作表1!$I$3:$I$571,Total!E14,工作表1!$H$3:$H$571,C14)</f>
        <v>95.999999999999872</v>
      </c>
      <c r="J14" s="158">
        <f>_xlfn.XLOOKUP(_xlfn.CONCAT($E14,$C14),表格3_5[Test],表格3_5[Hourly Rate])</f>
        <v>0</v>
      </c>
      <c r="K14" s="231">
        <f>_xlfn.XLOOKUP(E14,Name_list[Full Name],Name_list[[Month ]])</f>
        <v>16000</v>
      </c>
      <c r="L14" s="3"/>
      <c r="M14" s="158"/>
      <c r="N14" s="158"/>
      <c r="O14" s="232">
        <f>_xlfn.XLOOKUP(E14,Name_list[Full Name],Name_list[Attendance])</f>
        <v>1500</v>
      </c>
      <c r="Q14" s="232">
        <f>_xlfn.XLOOKUP(E14,Name_list[Full Name],Name_list[Award])</f>
        <v>500</v>
      </c>
      <c r="R14" s="158"/>
      <c r="S14" s="158"/>
      <c r="T14" s="158"/>
      <c r="U14" s="232">
        <f>-MIN( _xlfn.XLOOKUP(E14,Name_list[Full Name],Name_list[Mpf])*SUM(K14:T14)-L14-M14, 1500 )</f>
        <v>0</v>
      </c>
      <c r="V14" s="158">
        <f>SUM(K14:U14)-表格1[[#This Row],[Sales Amt]]-表格1[[#This Row],[Qty]]</f>
        <v>18000</v>
      </c>
      <c r="W14" s="158">
        <f t="shared" ref="W14:W18" si="2">ROUND(V14,0)</f>
        <v>18000</v>
      </c>
    </row>
    <row r="15" spans="1:36" s="27" customFormat="1" ht="31.5">
      <c r="A15" s="25">
        <v>8</v>
      </c>
      <c r="B15" s="25">
        <v>8</v>
      </c>
      <c r="C15" s="158" t="s">
        <v>125</v>
      </c>
      <c r="D15" s="159" t="str">
        <f>_xlfn.XLOOKUP(E15,表格3_5[Name],表格3_5[Nick Name])</f>
        <v>Carol</v>
      </c>
      <c r="E15" s="158" t="s">
        <v>114</v>
      </c>
      <c r="F15" s="158"/>
      <c r="G15" s="159" t="str" cm="1">
        <f t="array" ref="G15">_xlfn.TEXTJOIN(",",1,_xlfn._xlws.FILTER(表格3_5[ID3],(表格3_5[Location]=C15)*(表格3_5[Name]=E15),""))&amp;"/"&amp;$A$6</f>
        <v>2,4,5,9,10,11,17,23,24,29/June</v>
      </c>
      <c r="H15" s="159" cm="1">
        <f t="array" ref="H15">IF(OR(Total!E15="", C15=""), 0,
    COUNTA(_xlfn._xlws.FILTER(工作表1!$F$3:$F$571,
        (工作表1!$I$3:$I$571=Total!E15) *
        (工作表1!$H$3:$H$571=C15) *
        (工作表1!$F$3:$F$571&lt;&gt;"")
    ))
)</f>
        <v>10</v>
      </c>
      <c r="I15" s="159">
        <f>SUMIFS(工作表1!$Q$3:$Q$571,工作表1!$I$3:$I$571,Total!E15,工作表1!$H$3:$H$571,C15)</f>
        <v>79.999999999999901</v>
      </c>
      <c r="J15" s="158">
        <f>_xlfn.XLOOKUP(_xlfn.CONCAT($E15,$C15),表格3_5[Test],表格3_5[Hourly Rate])</f>
        <v>0</v>
      </c>
      <c r="K15" s="231"/>
      <c r="L15" s="3"/>
      <c r="M15" s="158"/>
      <c r="N15" s="158"/>
      <c r="O15" s="232"/>
      <c r="Q15" s="232"/>
      <c r="R15" s="158"/>
      <c r="S15" s="158"/>
      <c r="T15" s="158"/>
      <c r="U15" s="232">
        <f>-MIN( _xlfn.XLOOKUP(E15,Name_list[Full Name],Name_list[Mpf])*SUM(K15:T15)-L15-M15, 1500 )</f>
        <v>0</v>
      </c>
      <c r="V15" s="158">
        <f>SUM(K15:U15)-表格1[[#This Row],[Sales Amt]]-表格1[[#This Row],[Qty]]</f>
        <v>0</v>
      </c>
      <c r="W15" s="158">
        <f t="shared" si="2"/>
        <v>0</v>
      </c>
      <c r="X15" s="3"/>
      <c r="Y15" s="28"/>
      <c r="Z15" s="28"/>
      <c r="AA15" s="3"/>
    </row>
    <row r="16" spans="1:36" s="27" customFormat="1" ht="31.5">
      <c r="A16" s="25">
        <v>9</v>
      </c>
      <c r="B16" s="25">
        <v>9</v>
      </c>
      <c r="C16" s="158" t="s">
        <v>120</v>
      </c>
      <c r="D16" s="159" t="str">
        <f>_xlfn.XLOOKUP(E16,表格3_5[Name],表格3_5[Nick Name])</f>
        <v>Hei</v>
      </c>
      <c r="E16" s="158" t="s">
        <v>115</v>
      </c>
      <c r="F16" s="158" t="s">
        <v>150</v>
      </c>
      <c r="G16" s="159" t="str" cm="1">
        <f t="array" ref="G16">_xlfn.TEXTJOIN(",",1,_xlfn._xlws.FILTER(表格3_5[ID3],(表格3_5[Location]=C16)*(表格3_5[Name]=E16),""))&amp;"/"&amp;$A$6</f>
        <v>2,3/June</v>
      </c>
      <c r="H16" s="159" cm="1">
        <f t="array" ref="H16">IF(OR(Total!E16="", C16=""), 0,
    COUNTA(_xlfn._xlws.FILTER(工作表1!$F$3:$F$571,
        (工作表1!$I$3:$I$571=Total!E16) *
        (工作表1!$H$3:$H$571=C16) *
        (工作表1!$F$3:$F$571&lt;&gt;"")
    ))
)</f>
        <v>2</v>
      </c>
      <c r="I16" s="159">
        <f>SUMIFS(工作表1!$Q$3:$Q$571,工作表1!$I$3:$I$571,Total!E16,工作表1!$H$3:$H$571,C16)</f>
        <v>15.99999999999998</v>
      </c>
      <c r="J16" s="158">
        <f>_xlfn.XLOOKUP(_xlfn.CONCAT($E16,$C16),表格3_5[Test],表格3_5[Hourly Rate])</f>
        <v>0</v>
      </c>
      <c r="K16" s="231">
        <f>_xlfn.XLOOKUP(E16,Name_list[Full Name],Name_list[[Month ]])</f>
        <v>22000</v>
      </c>
      <c r="L16" s="3"/>
      <c r="M16" s="158"/>
      <c r="N16" s="158"/>
      <c r="O16" s="232">
        <f>_xlfn.XLOOKUP(E16,Name_list[Full Name],Name_list[Attendance])</f>
        <v>0</v>
      </c>
      <c r="Q16" s="232">
        <f>_xlfn.XLOOKUP(E16,Name_list[Full Name],Name_list[Award])</f>
        <v>0</v>
      </c>
      <c r="R16" s="158"/>
      <c r="S16" s="158"/>
      <c r="T16" s="158"/>
      <c r="U16" s="232">
        <f>-MIN( _xlfn.XLOOKUP(E16,Name_list[Full Name],Name_list[Mpf])*SUM(K16:T16)-L16-M16, 1500 )</f>
        <v>-1100</v>
      </c>
      <c r="V16" s="158">
        <f>SUM(K16:U16)-表格1[[#This Row],[Sales Amt]]-表格1[[#This Row],[Qty]]</f>
        <v>20900</v>
      </c>
      <c r="W16" s="158">
        <f t="shared" si="2"/>
        <v>20900</v>
      </c>
      <c r="X16" s="3"/>
      <c r="Y16" s="28"/>
      <c r="Z16" s="28"/>
      <c r="AA16" s="3"/>
    </row>
    <row r="17" spans="1:27" s="27" customFormat="1" ht="31.5">
      <c r="A17" s="25">
        <v>10</v>
      </c>
      <c r="B17" s="25">
        <v>10</v>
      </c>
      <c r="C17" s="158" t="s">
        <v>147</v>
      </c>
      <c r="D17" s="159" t="str">
        <f>_xlfn.XLOOKUP(E17,表格3_5[Name],表格3_5[Nick Name])</f>
        <v>Hei</v>
      </c>
      <c r="E17" s="158" t="s">
        <v>115</v>
      </c>
      <c r="F17" s="158"/>
      <c r="G17" s="159" t="str" cm="1">
        <f t="array" ref="G17">_xlfn.TEXTJOIN(",",1,_xlfn._xlws.FILTER(表格3_5[ID3],(表格3_5[Location]=C17)*(表格3_5[Name]=E17),""))&amp;"/"&amp;$A$6</f>
        <v>4,5,6,7,9,11,12,13,15,16,18,19,20,22,23,24,27,29,30/June</v>
      </c>
      <c r="H17" s="159" cm="1">
        <f t="array" ref="H17">IF(OR(Total!E17="", C17=""), 0,
    COUNTA(_xlfn._xlws.FILTER(工作表1!$F$3:$F$571,
        (工作表1!$I$3:$I$571=Total!E17) *
        (工作表1!$H$3:$H$571=C17) *
        (工作表1!$F$3:$F$571&lt;&gt;"")
    ))
)</f>
        <v>19</v>
      </c>
      <c r="I17" s="159">
        <f>SUMIFS(工作表1!$Q$3:$Q$571,工作表1!$I$3:$I$571,Total!E17,工作表1!$H$3:$H$571,C17)</f>
        <v>151.9999999999998</v>
      </c>
      <c r="J17" s="158">
        <f>_xlfn.XLOOKUP(_xlfn.CONCAT($E17,$C17),表格3_5[Test],表格3_5[Hourly Rate])</f>
        <v>0</v>
      </c>
      <c r="K17" s="231"/>
      <c r="L17" s="3"/>
      <c r="M17" s="158"/>
      <c r="N17" s="158"/>
      <c r="O17" s="232"/>
      <c r="Q17" s="232"/>
      <c r="R17" s="158"/>
      <c r="S17" s="158"/>
      <c r="T17" s="158"/>
      <c r="U17" s="232">
        <f>-MIN( _xlfn.XLOOKUP(E17,Name_list[Full Name],Name_list[Mpf])*SUM(K17:T17)-L17-M17, 1500 )</f>
        <v>0</v>
      </c>
      <c r="V17" s="158">
        <f>SUM(K17:U17)-表格1[[#This Row],[Sales Amt]]-表格1[[#This Row],[Qty]]</f>
        <v>0</v>
      </c>
      <c r="W17" s="158">
        <f t="shared" si="2"/>
        <v>0</v>
      </c>
    </row>
    <row r="18" spans="1:27" s="27" customFormat="1" ht="31.5">
      <c r="A18" s="25">
        <v>11</v>
      </c>
      <c r="B18" s="25">
        <v>11</v>
      </c>
      <c r="C18" s="158"/>
      <c r="D18" s="159">
        <f>_xlfn.XLOOKUP(E18,表格3_5[Name],表格3_5[Nick Name])</f>
        <v>0</v>
      </c>
      <c r="E18" s="158"/>
      <c r="F18" s="3"/>
      <c r="G18" s="159" t="str" cm="1">
        <f t="array" ref="G18">_xlfn.TEXTJOIN(",",1,_xlfn._xlws.FILTER(表格3_5[ID3],(表格3_5[Location]=C18)*(表格3_5[Name]=E18),""))&amp;"/"&amp;$A$6</f>
        <v>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/June</v>
      </c>
      <c r="H18" s="159" cm="1">
        <f t="array" ref="H18">IF(OR(Total!E18="", C18=""), 0,
    COUNTA(_xlfn._xlws.FILTER(工作表1!$F$3:$F$571,
        (工作表1!$I$3:$I$571=Total!E18) *
        (工作表1!$H$3:$H$571=C18) *
        (工作表1!$F$3:$F$571&lt;&gt;"")
    ))
)</f>
        <v>0</v>
      </c>
      <c r="I18" s="159">
        <f>SUMIFS(工作表1!$Q$3:$Q$571,工作表1!$I$3:$I$571,Total!E18,工作表1!$H$3:$H$571,C18)</f>
        <v>0</v>
      </c>
      <c r="J18" s="158">
        <f>_xlfn.XLOOKUP(_xlfn.CONCAT($E18,$C18),表格3_5[Test],表格3_5[Hourly Rate])</f>
        <v>0</v>
      </c>
      <c r="K18" s="231">
        <f>_xlfn.XLOOKUP(E18,Name_list[Full Name],Name_list[[Month ]])</f>
        <v>0</v>
      </c>
      <c r="L18" s="3"/>
      <c r="M18" s="158"/>
      <c r="N18" s="158"/>
      <c r="O18" s="232">
        <f>_xlfn.XLOOKUP(E18,Name_list[Full Name],Name_list[Attendance])</f>
        <v>0</v>
      </c>
      <c r="Q18" s="232">
        <f>_xlfn.XLOOKUP(E18,Name_list[Full Name],Name_list[Award])</f>
        <v>0</v>
      </c>
      <c r="R18" s="158"/>
      <c r="S18" s="158"/>
      <c r="T18" s="158"/>
      <c r="U18" s="232">
        <f>-MIN( _xlfn.XLOOKUP(E18,Name_list[Full Name],Name_list[Mpf])*SUM(K18:T18)-L18-M18, 1500 )</f>
        <v>0</v>
      </c>
      <c r="V18" s="158">
        <f>SUM(K18:U18)-表格1[[#This Row],[Sales Amt]]-表格1[[#This Row],[Qty]]</f>
        <v>0</v>
      </c>
      <c r="W18" s="158">
        <f t="shared" si="2"/>
        <v>0</v>
      </c>
      <c r="X18" s="3"/>
      <c r="Y18" s="3"/>
      <c r="Z18" s="3"/>
      <c r="AA18" s="3"/>
    </row>
    <row r="19" spans="1:27" s="27" customFormat="1" ht="31.5">
      <c r="A19" s="3"/>
      <c r="B19" s="3"/>
      <c r="C19" s="3"/>
      <c r="D19" s="3"/>
      <c r="E19" s="3"/>
      <c r="F19" s="3"/>
      <c r="G19" s="3"/>
      <c r="H19" s="30"/>
      <c r="I19" s="31"/>
      <c r="J19" s="30"/>
      <c r="K19" s="3"/>
      <c r="L19" s="3"/>
      <c r="M19" s="3"/>
      <c r="N19" s="3"/>
      <c r="P19" s="158"/>
      <c r="Q19" s="158"/>
      <c r="R19" s="158"/>
      <c r="S19" s="158"/>
      <c r="T19" s="158"/>
      <c r="U19" s="158"/>
      <c r="V19" s="3"/>
      <c r="W19" s="3"/>
      <c r="X19" s="3"/>
      <c r="Y19" s="3"/>
      <c r="Z19" s="3"/>
      <c r="AA19" s="3"/>
    </row>
    <row r="20" spans="1:27" s="27" customFormat="1" ht="31.5">
      <c r="A20" s="3"/>
      <c r="B20" s="3"/>
      <c r="C20" s="3"/>
      <c r="D20" s="3"/>
      <c r="E20" s="3"/>
      <c r="F20" s="3"/>
      <c r="G20" s="3"/>
      <c r="H20" s="30"/>
      <c r="I20" s="31"/>
      <c r="J20" s="30"/>
      <c r="K20" s="3"/>
      <c r="L20" s="3"/>
      <c r="M20" s="3"/>
      <c r="N20" s="3"/>
      <c r="O20" s="158"/>
      <c r="P20" s="158"/>
      <c r="Q20" s="158"/>
      <c r="R20" s="158"/>
      <c r="S20" s="158"/>
      <c r="T20" s="158"/>
      <c r="U20" s="158"/>
      <c r="V20" s="3"/>
      <c r="W20" s="3"/>
    </row>
    <row r="21" spans="1:27" ht="31.5">
      <c r="O21" s="27"/>
      <c r="P21" s="158"/>
      <c r="Q21" s="158"/>
      <c r="R21" s="158"/>
      <c r="S21" s="158"/>
      <c r="T21" s="158"/>
      <c r="U21" s="158"/>
    </row>
    <row r="22" spans="1:27" ht="28.5">
      <c r="O22" s="158"/>
      <c r="P22" s="158"/>
      <c r="Q22" s="158"/>
      <c r="R22" s="158"/>
      <c r="S22" s="158"/>
      <c r="T22" s="158"/>
      <c r="U22" s="158"/>
    </row>
    <row r="23" spans="1:27" ht="31.5">
      <c r="O23" s="27"/>
      <c r="P23" s="158"/>
      <c r="Q23" s="158"/>
      <c r="R23" s="158"/>
      <c r="S23" s="158"/>
      <c r="T23" s="158"/>
      <c r="U23" s="158"/>
    </row>
    <row r="24" spans="1:27" ht="28.5">
      <c r="O24" s="158"/>
      <c r="P24" s="158"/>
      <c r="Q24" s="158"/>
      <c r="R24" s="158"/>
      <c r="S24" s="158"/>
      <c r="T24" s="158"/>
      <c r="U24" s="158"/>
    </row>
    <row r="25" spans="1:27" ht="31.5">
      <c r="O25" s="27"/>
      <c r="P25" s="158"/>
      <c r="Q25" s="158"/>
      <c r="R25" s="158"/>
      <c r="S25" s="158"/>
      <c r="T25" s="158"/>
      <c r="U25" s="158"/>
    </row>
    <row r="26" spans="1:27" ht="28.5">
      <c r="O26" s="158"/>
      <c r="P26" s="158"/>
      <c r="Q26" s="158"/>
      <c r="R26" s="158"/>
      <c r="S26" s="158"/>
      <c r="T26" s="158"/>
      <c r="U26" s="158"/>
    </row>
    <row r="28" spans="1:27" ht="73.5" customHeight="1"/>
  </sheetData>
  <protectedRanges>
    <protectedRange sqref="N2:T3" name="範圍2_1"/>
  </protectedRanges>
  <mergeCells count="1">
    <mergeCell ref="N2:T3"/>
  </mergeCells>
  <phoneticPr fontId="3" type="noConversion"/>
  <conditionalFormatting sqref="G5">
    <cfRule type="cellIs" dxfId="7" priority="237" stopIfTrue="1" operator="equal">
      <formula>"F"</formula>
    </cfRule>
    <cfRule type="cellIs" dxfId="6" priority="238" stopIfTrue="1" operator="equal">
      <formula>"E"</formula>
    </cfRule>
    <cfRule type="cellIs" dxfId="5" priority="239" operator="equal">
      <formula>"o"</formula>
    </cfRule>
  </conditionalFormatting>
  <conditionalFormatting sqref="X8:X13">
    <cfRule type="cellIs" dxfId="4" priority="150" stopIfTrue="1" operator="lessThan">
      <formula>0</formula>
    </cfRule>
  </conditionalFormatting>
  <pageMargins left="0.31496062992125984" right="0.15748031496062992" top="0.74803149606299213" bottom="0.74803149606299213" header="0.31496062992125984" footer="0.31496062992125984"/>
  <pageSetup paperSize="9" scale="18" orientation="landscape" horizontalDpi="1200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9A673-341A-4C8C-AEE0-963F190334DC}">
  <dimension ref="A1:T2000"/>
  <sheetViews>
    <sheetView workbookViewId="0">
      <selection activeCell="J33" sqref="J33"/>
    </sheetView>
  </sheetViews>
  <sheetFormatPr defaultColWidth="9" defaultRowHeight="16.5"/>
  <cols>
    <col min="1" max="1" width="9" style="167"/>
    <col min="2" max="2" width="24.5" style="167" customWidth="1"/>
    <col min="3" max="3" width="22" style="167" bestFit="1" customWidth="1"/>
    <col min="4" max="4" width="6.75" style="167" customWidth="1"/>
    <col min="5" max="5" width="5.75" style="167" customWidth="1"/>
    <col min="6" max="6" width="19.75" style="208" customWidth="1"/>
    <col min="7" max="7" width="18.25" style="189" customWidth="1"/>
    <col min="8" max="8" width="22.625" style="167" customWidth="1"/>
    <col min="9" max="9" width="16.875" style="190" bestFit="1" customWidth="1"/>
    <col min="10" max="10" width="16.875" style="191" bestFit="1" customWidth="1"/>
    <col min="11" max="16" width="13" style="167" customWidth="1"/>
    <col min="17" max="17" width="14.25" style="167" customWidth="1"/>
    <col min="18" max="18" width="17.25" style="172" bestFit="1" customWidth="1"/>
    <col min="19" max="21" width="13" style="167" customWidth="1"/>
    <col min="22" max="16384" width="9" style="167"/>
  </cols>
  <sheetData>
    <row r="1" spans="1:20">
      <c r="F1" s="209">
        <f>SUBTOTAL(3,表格3_5[Date])</f>
        <v>88</v>
      </c>
      <c r="H1" s="190"/>
      <c r="I1" s="191"/>
      <c r="J1" s="167"/>
      <c r="L1">
        <f>SUBTOTAL(9,表格3_5[[ Hours]])</f>
        <v>710.4666666666667</v>
      </c>
      <c r="Q1" s="209">
        <f>SUBTOTAL(9,表格3_5[Hours Worked])</f>
        <v>706.5</v>
      </c>
      <c r="R1" s="167"/>
    </row>
    <row r="2" spans="1:20" ht="50.25">
      <c r="A2" s="167" t="s">
        <v>94</v>
      </c>
      <c r="B2" s="167" t="s">
        <v>93</v>
      </c>
      <c r="C2" s="192" t="s">
        <v>90</v>
      </c>
      <c r="D2" s="192" t="s">
        <v>88</v>
      </c>
      <c r="E2" s="192" t="s">
        <v>89</v>
      </c>
      <c r="F2" s="193" t="s">
        <v>75</v>
      </c>
      <c r="G2" s="194" t="s">
        <v>76</v>
      </c>
      <c r="H2" s="195" t="s">
        <v>74</v>
      </c>
      <c r="I2" s="196" t="s">
        <v>6</v>
      </c>
      <c r="J2" s="197" t="s">
        <v>77</v>
      </c>
      <c r="K2" s="197" t="s">
        <v>78</v>
      </c>
      <c r="L2" s="198" t="s">
        <v>79</v>
      </c>
      <c r="M2" s="198" t="s">
        <v>80</v>
      </c>
      <c r="N2" s="197" t="s">
        <v>86</v>
      </c>
      <c r="O2" s="197" t="s">
        <v>87</v>
      </c>
      <c r="P2" s="199" t="s">
        <v>85</v>
      </c>
      <c r="Q2" s="200" t="s">
        <v>81</v>
      </c>
      <c r="R2" s="198" t="s">
        <v>82</v>
      </c>
      <c r="S2" s="167" t="s">
        <v>83</v>
      </c>
      <c r="T2" s="198" t="s">
        <v>84</v>
      </c>
    </row>
    <row r="3" spans="1:20" ht="18">
      <c r="A3" s="201">
        <v>1</v>
      </c>
      <c r="B3" s="210" t="str">
        <f>_xlfn.CONCAT(表格3_5[[#This Row],[Name]],表格3_5[[#This Row],[Location]])</f>
        <v>Lee Sin EdithSSPO YOHO</v>
      </c>
      <c r="C3" s="211" t="str">
        <f>表格3_5[[#This Row],[Location]] &amp; 表格3_5[[#This Row],[Date]] &amp;表格3_5[[#This Row],[Nick Name]]</f>
        <v>SSPO YOHO46174Edith</v>
      </c>
      <c r="D3" s="202"/>
      <c r="E3" s="211" t="str">
        <f>DAY(表格3_5[[#This Row],[Date]])&amp;""</f>
        <v>1</v>
      </c>
      <c r="F3" s="203">
        <v>46174</v>
      </c>
      <c r="G3" s="215" t="str">
        <f>_xlfn.XLOOKUP(表格3_5[[#This Row],[Name]],Name_list[Full Name],Name_list[Nick Name])</f>
        <v>Edith</v>
      </c>
      <c r="H3" s="207" t="s">
        <v>120</v>
      </c>
      <c r="I3" s="228" t="s">
        <v>140</v>
      </c>
      <c r="J3" s="206">
        <v>0.5</v>
      </c>
      <c r="K3" s="204">
        <v>0.83333333333333337</v>
      </c>
      <c r="L3" s="212">
        <f>(表格3_5[[#This Row],[Out-Time]] - 表格3_5[[#This Row],[In-Time]])*24</f>
        <v>8</v>
      </c>
      <c r="M3" s="213">
        <f>表格3_5[[#This Row],[ Hours]]-表格3_5[[#This Row],[Normal working
 hours]]</f>
        <v>0</v>
      </c>
      <c r="N3" s="206">
        <v>0.5</v>
      </c>
      <c r="O3" s="204">
        <v>0.83333333333333337</v>
      </c>
      <c r="P3" s="214">
        <f>(表格3_5[[#This Row],[Out-Time2]] - 表格3_5[[#This Row],[In-Time2]])*24</f>
        <v>8</v>
      </c>
      <c r="Q3" s="205">
        <v>8</v>
      </c>
      <c r="R3" s="214">
        <f>_xlfn.XLOOKUP(表格3_5[[#This Row],[Name]],Name_list[Full Name],Name_list[Hourr Rate])</f>
        <v>0</v>
      </c>
      <c r="S3" s="214">
        <f>表格3_5[[#This Row],[Hours Worked]]*表格3_5[[#This Row],[Hourly Rate]]</f>
        <v>0</v>
      </c>
    </row>
    <row r="4" spans="1:20" ht="18">
      <c r="A4" s="201">
        <v>2</v>
      </c>
      <c r="B4" s="210" t="str">
        <f>_xlfn.CONCAT(表格3_5[[#This Row],[Name]],表格3_5[[#This Row],[Location]])</f>
        <v>Lee Sin EdithKT YOHO</v>
      </c>
      <c r="C4" s="211" t="str">
        <f>表格3_5[[#This Row],[Location]] &amp; 表格3_5[[#This Row],[Date]] &amp;表格3_5[[#This Row],[Nick Name]]</f>
        <v>KT YOHO46175Edith</v>
      </c>
      <c r="D4" s="202"/>
      <c r="E4" s="211" t="str">
        <f>DAY(表格3_5[[#This Row],[Date]])&amp;""</f>
        <v>2</v>
      </c>
      <c r="F4" s="203">
        <v>46175</v>
      </c>
      <c r="G4" s="215" t="str">
        <f>_xlfn.XLOOKUP(表格3_5[[#This Row],[Name]],Name_list[Full Name],Name_list[Nick Name])</f>
        <v>Edith</v>
      </c>
      <c r="H4" s="207" t="s">
        <v>121</v>
      </c>
      <c r="I4" s="228" t="s">
        <v>140</v>
      </c>
      <c r="J4" s="206">
        <v>0.5</v>
      </c>
      <c r="K4" s="204">
        <v>0.83333333333333337</v>
      </c>
      <c r="L4" s="212">
        <f>(表格3_5[[#This Row],[Out-Time]] - 表格3_5[[#This Row],[In-Time]])*24</f>
        <v>8</v>
      </c>
      <c r="M4" s="213">
        <f>表格3_5[[#This Row],[ Hours]]-表格3_5[[#This Row],[Normal working
 hours]]</f>
        <v>0</v>
      </c>
      <c r="N4" s="206">
        <v>0.5</v>
      </c>
      <c r="O4" s="204">
        <v>0.83333333333333337</v>
      </c>
      <c r="P4" s="214">
        <f>(表格3_5[[#This Row],[Out-Time2]] - 表格3_5[[#This Row],[In-Time2]])*24</f>
        <v>8</v>
      </c>
      <c r="Q4" s="205">
        <v>8</v>
      </c>
      <c r="R4" s="214">
        <f>_xlfn.XLOOKUP(表格3_5[[#This Row],[Name]],Name_list[Full Name],Name_list[Hourr Rate])</f>
        <v>0</v>
      </c>
      <c r="S4" s="214">
        <f>表格3_5[[#This Row],[Hours Worked]]*表格3_5[[#This Row],[Hourly Rate]]</f>
        <v>0</v>
      </c>
    </row>
    <row r="5" spans="1:20" ht="18">
      <c r="A5" s="201">
        <v>3</v>
      </c>
      <c r="B5" s="210" t="str">
        <f>_xlfn.CONCAT(表格3_5[[#This Row],[Name]],表格3_5[[#This Row],[Location]])</f>
        <v>Lee Sin EdithKT YOHO</v>
      </c>
      <c r="C5" s="211" t="str">
        <f>表格3_5[[#This Row],[Location]] &amp; 表格3_5[[#This Row],[Date]] &amp;表格3_5[[#This Row],[Nick Name]]</f>
        <v>KT YOHO46177Edith</v>
      </c>
      <c r="D5" s="202"/>
      <c r="E5" s="211" t="str">
        <f>DAY(表格3_5[[#This Row],[Date]])&amp;""</f>
        <v>4</v>
      </c>
      <c r="F5" s="203">
        <v>46177</v>
      </c>
      <c r="G5" s="215" t="str">
        <f>_xlfn.XLOOKUP(表格3_5[[#This Row],[Name]],Name_list[Full Name],Name_list[Nick Name])</f>
        <v>Edith</v>
      </c>
      <c r="H5" s="207" t="s">
        <v>121</v>
      </c>
      <c r="I5" s="228" t="s">
        <v>140</v>
      </c>
      <c r="J5" s="206">
        <v>0.5</v>
      </c>
      <c r="K5" s="204">
        <v>0.83333333333333337</v>
      </c>
      <c r="L5" s="212">
        <f>(表格3_5[[#This Row],[Out-Time]] - 表格3_5[[#This Row],[In-Time]])*24</f>
        <v>8</v>
      </c>
      <c r="M5" s="213">
        <f>表格3_5[[#This Row],[ Hours]]-表格3_5[[#This Row],[Normal working
 hours]]</f>
        <v>0</v>
      </c>
      <c r="N5" s="206">
        <v>0.5</v>
      </c>
      <c r="O5" s="204">
        <v>0.83333333333333337</v>
      </c>
      <c r="P5" s="214">
        <f>(表格3_5[[#This Row],[Out-Time2]] - 表格3_5[[#This Row],[In-Time2]])*24</f>
        <v>8</v>
      </c>
      <c r="Q5" s="205">
        <v>8</v>
      </c>
      <c r="R5" s="214">
        <f>_xlfn.XLOOKUP(表格3_5[[#This Row],[Name]],Name_list[Full Name],Name_list[Hourr Rate])</f>
        <v>0</v>
      </c>
      <c r="S5" s="214">
        <f>表格3_5[[#This Row],[Hours Worked]]*表格3_5[[#This Row],[Hourly Rate]]</f>
        <v>0</v>
      </c>
    </row>
    <row r="6" spans="1:20" ht="18">
      <c r="A6" s="201">
        <v>4</v>
      </c>
      <c r="B6" s="210" t="str">
        <f>_xlfn.CONCAT(表格3_5[[#This Row],[Name]],表格3_5[[#This Row],[Location]])</f>
        <v>Lee Sin EdithSSPO YOHO</v>
      </c>
      <c r="C6" s="211" t="str">
        <f>表格3_5[[#This Row],[Location]] &amp; 表格3_5[[#This Row],[Date]] &amp;表格3_5[[#This Row],[Nick Name]]</f>
        <v>SSPO YOHO46178Edith</v>
      </c>
      <c r="D6" s="202"/>
      <c r="E6" s="211" t="str">
        <f>DAY(表格3_5[[#This Row],[Date]])&amp;""</f>
        <v>5</v>
      </c>
      <c r="F6" s="203">
        <v>46178</v>
      </c>
      <c r="G6" s="215" t="str">
        <f>_xlfn.XLOOKUP(表格3_5[[#This Row],[Name]],Name_list[Full Name],Name_list[Nick Name])</f>
        <v>Edith</v>
      </c>
      <c r="H6" s="207" t="s">
        <v>120</v>
      </c>
      <c r="I6" s="228" t="s">
        <v>140</v>
      </c>
      <c r="J6" s="206">
        <v>0.5</v>
      </c>
      <c r="K6" s="204">
        <v>0.83333333333333337</v>
      </c>
      <c r="L6" s="212">
        <f>(表格3_5[[#This Row],[Out-Time]] - 表格3_5[[#This Row],[In-Time]])*24</f>
        <v>8</v>
      </c>
      <c r="M6" s="213">
        <f>表格3_5[[#This Row],[ Hours]]-表格3_5[[#This Row],[Normal working
 hours]]</f>
        <v>0</v>
      </c>
      <c r="N6" s="206">
        <v>0.5</v>
      </c>
      <c r="O6" s="204">
        <v>0.83333333333333337</v>
      </c>
      <c r="P6" s="214">
        <f>(表格3_5[[#This Row],[Out-Time2]] - 表格3_5[[#This Row],[In-Time2]])*24</f>
        <v>8</v>
      </c>
      <c r="Q6" s="205">
        <v>8</v>
      </c>
      <c r="R6" s="214">
        <f>_xlfn.XLOOKUP(表格3_5[[#This Row],[Name]],Name_list[Full Name],Name_list[Hourr Rate])</f>
        <v>0</v>
      </c>
      <c r="S6" s="214">
        <f>表格3_5[[#This Row],[Hours Worked]]*表格3_5[[#This Row],[Hourly Rate]]</f>
        <v>0</v>
      </c>
    </row>
    <row r="7" spans="1:20" ht="18">
      <c r="A7" s="201">
        <v>5</v>
      </c>
      <c r="B7" s="210" t="str">
        <f>_xlfn.CONCAT(表格3_5[[#This Row],[Name]],表格3_5[[#This Row],[Location]])</f>
        <v>Lee Sin EdithSSPO YOHO</v>
      </c>
      <c r="C7" s="211" t="str">
        <f>表格3_5[[#This Row],[Location]] &amp; 表格3_5[[#This Row],[Date]] &amp;表格3_5[[#This Row],[Nick Name]]</f>
        <v>SSPO YOHO46179Edith</v>
      </c>
      <c r="D7" s="202"/>
      <c r="E7" s="211" t="str">
        <f>DAY(表格3_5[[#This Row],[Date]])&amp;""</f>
        <v>6</v>
      </c>
      <c r="F7" s="203">
        <v>46179</v>
      </c>
      <c r="G7" s="215" t="str">
        <f>_xlfn.XLOOKUP(表格3_5[[#This Row],[Name]],Name_list[Full Name],Name_list[Nick Name])</f>
        <v>Edith</v>
      </c>
      <c r="H7" s="207" t="s">
        <v>120</v>
      </c>
      <c r="I7" s="228" t="s">
        <v>140</v>
      </c>
      <c r="J7" s="206">
        <v>0.5</v>
      </c>
      <c r="K7" s="204">
        <v>0.83333333333333337</v>
      </c>
      <c r="L7" s="212">
        <f>(表格3_5[[#This Row],[Out-Time]] - 表格3_5[[#This Row],[In-Time]])*24</f>
        <v>8</v>
      </c>
      <c r="M7" s="213">
        <f>表格3_5[[#This Row],[ Hours]]-表格3_5[[#This Row],[Normal working
 hours]]</f>
        <v>0</v>
      </c>
      <c r="N7" s="206">
        <v>0.5</v>
      </c>
      <c r="O7" s="204">
        <v>0.83333333333333337</v>
      </c>
      <c r="P7" s="214">
        <f>(表格3_5[[#This Row],[Out-Time2]] - 表格3_5[[#This Row],[In-Time2]])*24</f>
        <v>8</v>
      </c>
      <c r="Q7" s="205">
        <v>8</v>
      </c>
      <c r="R7" s="214">
        <f>_xlfn.XLOOKUP(表格3_5[[#This Row],[Name]],Name_list[Full Name],Name_list[Hourr Rate])</f>
        <v>0</v>
      </c>
      <c r="S7" s="214">
        <f>表格3_5[[#This Row],[Hours Worked]]*表格3_5[[#This Row],[Hourly Rate]]</f>
        <v>0</v>
      </c>
    </row>
    <row r="8" spans="1:20" ht="18">
      <c r="A8" s="201">
        <v>6</v>
      </c>
      <c r="B8" s="210" t="str">
        <f>_xlfn.CONCAT(表格3_5[[#This Row],[Name]],表格3_5[[#This Row],[Location]])</f>
        <v>Lee Sin EdithKT YOHO</v>
      </c>
      <c r="C8" s="211" t="str">
        <f>表格3_5[[#This Row],[Location]] &amp; 表格3_5[[#This Row],[Date]] &amp;表格3_5[[#This Row],[Nick Name]]</f>
        <v>KT YOHO46180Edith</v>
      </c>
      <c r="D8" s="202"/>
      <c r="E8" s="211" t="str">
        <f>DAY(表格3_5[[#This Row],[Date]])&amp;""</f>
        <v>7</v>
      </c>
      <c r="F8" s="203">
        <v>46180</v>
      </c>
      <c r="G8" s="215" t="str">
        <f>_xlfn.XLOOKUP(表格3_5[[#This Row],[Name]],Name_list[Full Name],Name_list[Nick Name])</f>
        <v>Edith</v>
      </c>
      <c r="H8" s="207" t="s">
        <v>121</v>
      </c>
      <c r="I8" s="228" t="s">
        <v>140</v>
      </c>
      <c r="J8" s="206">
        <v>0.5</v>
      </c>
      <c r="K8" s="204">
        <v>0.83333333333333337</v>
      </c>
      <c r="L8" s="212">
        <f>(表格3_5[[#This Row],[Out-Time]] - 表格3_5[[#This Row],[In-Time]])*24</f>
        <v>8</v>
      </c>
      <c r="M8" s="213">
        <f>表格3_5[[#This Row],[ Hours]]-表格3_5[[#This Row],[Normal working
 hours]]</f>
        <v>0</v>
      </c>
      <c r="N8" s="206">
        <v>0.5</v>
      </c>
      <c r="O8" s="204">
        <v>0.83333333333333337</v>
      </c>
      <c r="P8" s="214">
        <f>(表格3_5[[#This Row],[Out-Time2]] - 表格3_5[[#This Row],[In-Time2]])*24</f>
        <v>8</v>
      </c>
      <c r="Q8" s="205">
        <v>8</v>
      </c>
      <c r="R8" s="214">
        <f>_xlfn.XLOOKUP(表格3_5[[#This Row],[Name]],Name_list[Full Name],Name_list[Hourr Rate])</f>
        <v>0</v>
      </c>
      <c r="S8" s="214">
        <f>表格3_5[[#This Row],[Hours Worked]]*表格3_5[[#This Row],[Hourly Rate]]</f>
        <v>0</v>
      </c>
    </row>
    <row r="9" spans="1:20" ht="18">
      <c r="A9" s="201">
        <v>7</v>
      </c>
      <c r="B9" s="210" t="str">
        <f>_xlfn.CONCAT(表格3_5[[#This Row],[Name]],表格3_5[[#This Row],[Location]])</f>
        <v>Lee Sin EdithKT YOHO</v>
      </c>
      <c r="C9" s="211" t="str">
        <f>表格3_5[[#This Row],[Location]] &amp; 表格3_5[[#This Row],[Date]] &amp;表格3_5[[#This Row],[Nick Name]]</f>
        <v>KT YOHO46181Edith</v>
      </c>
      <c r="D9" s="202"/>
      <c r="E9" s="211" t="str">
        <f>DAY(表格3_5[[#This Row],[Date]])&amp;""</f>
        <v>8</v>
      </c>
      <c r="F9" s="203">
        <v>46181</v>
      </c>
      <c r="G9" s="215" t="str">
        <f>_xlfn.XLOOKUP(表格3_5[[#This Row],[Name]],Name_list[Full Name],Name_list[Nick Name])</f>
        <v>Edith</v>
      </c>
      <c r="H9" s="207" t="s">
        <v>121</v>
      </c>
      <c r="I9" s="228" t="s">
        <v>140</v>
      </c>
      <c r="J9" s="206">
        <v>0.5</v>
      </c>
      <c r="K9" s="204">
        <v>0.83333333333333337</v>
      </c>
      <c r="L9" s="212">
        <f>(表格3_5[[#This Row],[Out-Time]] - 表格3_5[[#This Row],[In-Time]])*24</f>
        <v>8</v>
      </c>
      <c r="M9" s="213">
        <f>表格3_5[[#This Row],[ Hours]]-表格3_5[[#This Row],[Normal working
 hours]]</f>
        <v>0</v>
      </c>
      <c r="N9" s="206">
        <v>0.5</v>
      </c>
      <c r="O9" s="204">
        <v>0.83333333333333337</v>
      </c>
      <c r="P9" s="214">
        <f>(表格3_5[[#This Row],[Out-Time2]] - 表格3_5[[#This Row],[In-Time2]])*24</f>
        <v>8</v>
      </c>
      <c r="Q9" s="205">
        <v>8</v>
      </c>
      <c r="R9" s="214">
        <f>_xlfn.XLOOKUP(表格3_5[[#This Row],[Name]],Name_list[Full Name],Name_list[Hourr Rate])</f>
        <v>0</v>
      </c>
      <c r="S9" s="214">
        <f>表格3_5[[#This Row],[Hours Worked]]*表格3_5[[#This Row],[Hourly Rate]]</f>
        <v>0</v>
      </c>
    </row>
    <row r="10" spans="1:20" ht="18">
      <c r="A10" s="201">
        <v>8</v>
      </c>
      <c r="B10" s="210" t="str">
        <f>_xlfn.CONCAT(表格3_5[[#This Row],[Name]],表格3_5[[#This Row],[Location]])</f>
        <v>Lee Sin EdithKT YOHO</v>
      </c>
      <c r="C10" s="211" t="str">
        <f>表格3_5[[#This Row],[Location]] &amp; 表格3_5[[#This Row],[Date]] &amp;表格3_5[[#This Row],[Nick Name]]</f>
        <v>KT YOHO46182Edith</v>
      </c>
      <c r="D10" s="202"/>
      <c r="E10" s="211" t="str">
        <f>DAY(表格3_5[[#This Row],[Date]])&amp;""</f>
        <v>9</v>
      </c>
      <c r="F10" s="203">
        <v>46182</v>
      </c>
      <c r="G10" s="215" t="str">
        <f>_xlfn.XLOOKUP(表格3_5[[#This Row],[Name]],Name_list[Full Name],Name_list[Nick Name])</f>
        <v>Edith</v>
      </c>
      <c r="H10" s="207" t="s">
        <v>121</v>
      </c>
      <c r="I10" s="228" t="s">
        <v>140</v>
      </c>
      <c r="J10" s="206">
        <v>0.5</v>
      </c>
      <c r="K10" s="204">
        <v>0.83333333333333337</v>
      </c>
      <c r="L10" s="212">
        <f>(表格3_5[[#This Row],[Out-Time]] - 表格3_5[[#This Row],[In-Time]])*24</f>
        <v>8</v>
      </c>
      <c r="M10" s="213">
        <f>表格3_5[[#This Row],[ Hours]]-表格3_5[[#This Row],[Normal working
 hours]]</f>
        <v>0</v>
      </c>
      <c r="N10" s="206">
        <v>0.5</v>
      </c>
      <c r="O10" s="204">
        <v>0.83333333333333337</v>
      </c>
      <c r="P10" s="214">
        <f>(表格3_5[[#This Row],[Out-Time2]] - 表格3_5[[#This Row],[In-Time2]])*24</f>
        <v>8</v>
      </c>
      <c r="Q10" s="205">
        <v>8</v>
      </c>
      <c r="R10" s="214">
        <f>_xlfn.XLOOKUP(表格3_5[[#This Row],[Name]],Name_list[Full Name],Name_list[Hourr Rate])</f>
        <v>0</v>
      </c>
      <c r="S10" s="214">
        <f>表格3_5[[#This Row],[Hours Worked]]*表格3_5[[#This Row],[Hourly Rate]]</f>
        <v>0</v>
      </c>
    </row>
    <row r="11" spans="1:20" ht="18">
      <c r="A11" s="201">
        <v>9</v>
      </c>
      <c r="B11" s="210" t="str">
        <f>_xlfn.CONCAT(表格3_5[[#This Row],[Name]],表格3_5[[#This Row],[Location]])</f>
        <v>Lee Sin EdithSSPO YOHO</v>
      </c>
      <c r="C11" s="211" t="str">
        <f>表格3_5[[#This Row],[Location]] &amp; 表格3_5[[#This Row],[Date]] &amp;表格3_5[[#This Row],[Nick Name]]</f>
        <v>SSPO YOHO46184Edith</v>
      </c>
      <c r="D11" s="202"/>
      <c r="E11" s="211" t="str">
        <f>DAY(表格3_5[[#This Row],[Date]])&amp;""</f>
        <v>11</v>
      </c>
      <c r="F11" s="203">
        <v>46184</v>
      </c>
      <c r="G11" s="215" t="str">
        <f>_xlfn.XLOOKUP(表格3_5[[#This Row],[Name]],Name_list[Full Name],Name_list[Nick Name])</f>
        <v>Edith</v>
      </c>
      <c r="H11" s="207" t="s">
        <v>120</v>
      </c>
      <c r="I11" s="228" t="s">
        <v>140</v>
      </c>
      <c r="J11" s="206">
        <v>0.5</v>
      </c>
      <c r="K11" s="204">
        <v>0.83333333333333337</v>
      </c>
      <c r="L11" s="212">
        <f>(表格3_5[[#This Row],[Out-Time]] - 表格3_5[[#This Row],[In-Time]])*24</f>
        <v>8</v>
      </c>
      <c r="M11" s="213">
        <f>表格3_5[[#This Row],[ Hours]]-表格3_5[[#This Row],[Normal working
 hours]]</f>
        <v>0</v>
      </c>
      <c r="N11" s="206">
        <v>0.5</v>
      </c>
      <c r="O11" s="204">
        <v>0.83333333333333337</v>
      </c>
      <c r="P11" s="214">
        <f>(表格3_5[[#This Row],[Out-Time2]] - 表格3_5[[#This Row],[In-Time2]])*24</f>
        <v>8</v>
      </c>
      <c r="Q11" s="205">
        <v>8</v>
      </c>
      <c r="R11" s="214">
        <f>_xlfn.XLOOKUP(表格3_5[[#This Row],[Name]],Name_list[Full Name],Name_list[Hourr Rate])</f>
        <v>0</v>
      </c>
      <c r="S11" s="214">
        <f>表格3_5[[#This Row],[Hours Worked]]*表格3_5[[#This Row],[Hourly Rate]]</f>
        <v>0</v>
      </c>
    </row>
    <row r="12" spans="1:20" ht="18">
      <c r="A12" s="201">
        <v>10</v>
      </c>
      <c r="B12" s="210" t="str">
        <f>_xlfn.CONCAT(表格3_5[[#This Row],[Name]],表格3_5[[#This Row],[Location]])</f>
        <v>Lee Sin EdithSSPO YOHO</v>
      </c>
      <c r="C12" s="211" t="str">
        <f>表格3_5[[#This Row],[Location]] &amp; 表格3_5[[#This Row],[Date]] &amp;表格3_5[[#This Row],[Nick Name]]</f>
        <v>SSPO YOHO46185Edith</v>
      </c>
      <c r="D12" s="202"/>
      <c r="E12" s="211" t="str">
        <f>DAY(表格3_5[[#This Row],[Date]])&amp;""</f>
        <v>12</v>
      </c>
      <c r="F12" s="203">
        <v>46185</v>
      </c>
      <c r="G12" s="215" t="str">
        <f>_xlfn.XLOOKUP(表格3_5[[#This Row],[Name]],Name_list[Full Name],Name_list[Nick Name])</f>
        <v>Edith</v>
      </c>
      <c r="H12" s="207" t="s">
        <v>120</v>
      </c>
      <c r="I12" s="228" t="s">
        <v>140</v>
      </c>
      <c r="J12" s="206">
        <v>0.5</v>
      </c>
      <c r="K12" s="204">
        <v>0.83333333333333337</v>
      </c>
      <c r="L12" s="212">
        <f>(表格3_5[[#This Row],[Out-Time]] - 表格3_5[[#This Row],[In-Time]])*24</f>
        <v>8</v>
      </c>
      <c r="M12" s="213">
        <f>表格3_5[[#This Row],[ Hours]]-表格3_5[[#This Row],[Normal working
 hours]]</f>
        <v>0</v>
      </c>
      <c r="N12" s="206">
        <v>0.5</v>
      </c>
      <c r="O12" s="204">
        <v>0.83333333333333337</v>
      </c>
      <c r="P12" s="214">
        <f>(表格3_5[[#This Row],[Out-Time2]] - 表格3_5[[#This Row],[In-Time2]])*24</f>
        <v>8</v>
      </c>
      <c r="Q12" s="205">
        <v>8</v>
      </c>
      <c r="R12" s="214">
        <f>_xlfn.XLOOKUP(表格3_5[[#This Row],[Name]],Name_list[Full Name],Name_list[Hourr Rate])</f>
        <v>0</v>
      </c>
      <c r="S12" s="214">
        <f>表格3_5[[#This Row],[Hours Worked]]*表格3_5[[#This Row],[Hourly Rate]]</f>
        <v>0</v>
      </c>
    </row>
    <row r="13" spans="1:20" ht="18">
      <c r="A13" s="201">
        <v>11</v>
      </c>
      <c r="B13" s="210" t="str">
        <f>_xlfn.CONCAT(表格3_5[[#This Row],[Name]],表格3_5[[#This Row],[Location]])</f>
        <v>Lee Sin EdithKT YOHO</v>
      </c>
      <c r="C13" s="211" t="str">
        <f>表格3_5[[#This Row],[Location]] &amp; 表格3_5[[#This Row],[Date]] &amp;表格3_5[[#This Row],[Nick Name]]</f>
        <v>KT YOHO46188Edith</v>
      </c>
      <c r="D13" s="202"/>
      <c r="E13" s="211" t="str">
        <f>DAY(表格3_5[[#This Row],[Date]])&amp;""</f>
        <v>15</v>
      </c>
      <c r="F13" s="203">
        <v>46188</v>
      </c>
      <c r="G13" s="215" t="str">
        <f>_xlfn.XLOOKUP(表格3_5[[#This Row],[Name]],Name_list[Full Name],Name_list[Nick Name])</f>
        <v>Edith</v>
      </c>
      <c r="H13" s="207" t="s">
        <v>121</v>
      </c>
      <c r="I13" s="228" t="s">
        <v>140</v>
      </c>
      <c r="J13" s="206">
        <v>0.5</v>
      </c>
      <c r="K13" s="204">
        <v>0.83333333333333337</v>
      </c>
      <c r="L13" s="212">
        <f>(表格3_5[[#This Row],[Out-Time]] - 表格3_5[[#This Row],[In-Time]])*24</f>
        <v>8</v>
      </c>
      <c r="M13" s="213">
        <f>表格3_5[[#This Row],[ Hours]]-表格3_5[[#This Row],[Normal working
 hours]]</f>
        <v>0</v>
      </c>
      <c r="N13" s="206">
        <v>0.5</v>
      </c>
      <c r="O13" s="204">
        <v>0.83333333333333337</v>
      </c>
      <c r="P13" s="214">
        <f>(表格3_5[[#This Row],[Out-Time2]] - 表格3_5[[#This Row],[In-Time2]])*24</f>
        <v>8</v>
      </c>
      <c r="Q13" s="205">
        <v>8</v>
      </c>
      <c r="R13" s="214">
        <f>_xlfn.XLOOKUP(表格3_5[[#This Row],[Name]],Name_list[Full Name],Name_list[Hourr Rate])</f>
        <v>0</v>
      </c>
      <c r="S13" s="214">
        <f>表格3_5[[#This Row],[Hours Worked]]*表格3_5[[#This Row],[Hourly Rate]]</f>
        <v>0</v>
      </c>
    </row>
    <row r="14" spans="1:20" ht="18">
      <c r="A14" s="201">
        <v>12</v>
      </c>
      <c r="B14" s="210" t="str">
        <f>_xlfn.CONCAT(表格3_5[[#This Row],[Name]],表格3_5[[#This Row],[Location]])</f>
        <v>Lee Sin EdithKT YOHO</v>
      </c>
      <c r="C14" s="211" t="str">
        <f>表格3_5[[#This Row],[Location]] &amp; 表格3_5[[#This Row],[Date]] &amp;表格3_5[[#This Row],[Nick Name]]</f>
        <v>KT YOHO46189Edith</v>
      </c>
      <c r="D14" s="202"/>
      <c r="E14" s="211" t="str">
        <f>DAY(表格3_5[[#This Row],[Date]])&amp;""</f>
        <v>16</v>
      </c>
      <c r="F14" s="203">
        <v>46189</v>
      </c>
      <c r="G14" s="215" t="str">
        <f>_xlfn.XLOOKUP(表格3_5[[#This Row],[Name]],Name_list[Full Name],Name_list[Nick Name])</f>
        <v>Edith</v>
      </c>
      <c r="H14" s="207" t="s">
        <v>121</v>
      </c>
      <c r="I14" s="228" t="s">
        <v>140</v>
      </c>
      <c r="J14" s="206">
        <v>0.5</v>
      </c>
      <c r="K14" s="204">
        <v>0.83333333333333337</v>
      </c>
      <c r="L14" s="212">
        <f>(表格3_5[[#This Row],[Out-Time]] - 表格3_5[[#This Row],[In-Time]])*24</f>
        <v>8</v>
      </c>
      <c r="M14" s="213">
        <f>表格3_5[[#This Row],[ Hours]]-表格3_5[[#This Row],[Normal working
 hours]]</f>
        <v>0</v>
      </c>
      <c r="N14" s="206">
        <v>0.5</v>
      </c>
      <c r="O14" s="204">
        <v>0.83333333333333337</v>
      </c>
      <c r="P14" s="214">
        <f>(表格3_5[[#This Row],[Out-Time2]] - 表格3_5[[#This Row],[In-Time2]])*24</f>
        <v>8</v>
      </c>
      <c r="Q14" s="205">
        <v>8</v>
      </c>
      <c r="R14" s="214">
        <f>_xlfn.XLOOKUP(表格3_5[[#This Row],[Name]],Name_list[Full Name],Name_list[Hourr Rate])</f>
        <v>0</v>
      </c>
      <c r="S14" s="214">
        <f>表格3_5[[#This Row],[Hours Worked]]*表格3_5[[#This Row],[Hourly Rate]]</f>
        <v>0</v>
      </c>
    </row>
    <row r="15" spans="1:20" ht="18">
      <c r="A15" s="201">
        <v>13</v>
      </c>
      <c r="B15" s="210" t="str">
        <f>_xlfn.CONCAT(表格3_5[[#This Row],[Name]],表格3_5[[#This Row],[Location]])</f>
        <v>Lee Sin EdithSSPO YOHO</v>
      </c>
      <c r="C15" s="211" t="str">
        <f>表格3_5[[#This Row],[Location]] &amp; 表格3_5[[#This Row],[Date]] &amp;表格3_5[[#This Row],[Nick Name]]</f>
        <v>SSPO YOHO46190Edith</v>
      </c>
      <c r="D15" s="202"/>
      <c r="E15" s="211" t="str">
        <f>DAY(表格3_5[[#This Row],[Date]])&amp;""</f>
        <v>17</v>
      </c>
      <c r="F15" s="203">
        <v>46190</v>
      </c>
      <c r="G15" s="215" t="str">
        <f>_xlfn.XLOOKUP(表格3_5[[#This Row],[Name]],Name_list[Full Name],Name_list[Nick Name])</f>
        <v>Edith</v>
      </c>
      <c r="H15" s="207" t="s">
        <v>120</v>
      </c>
      <c r="I15" s="228" t="s">
        <v>140</v>
      </c>
      <c r="J15" s="206">
        <v>0.5</v>
      </c>
      <c r="K15" s="204">
        <v>0.83333333333333337</v>
      </c>
      <c r="L15" s="212">
        <f>(表格3_5[[#This Row],[Out-Time]] - 表格3_5[[#This Row],[In-Time]])*24</f>
        <v>8</v>
      </c>
      <c r="M15" s="213">
        <f>表格3_5[[#This Row],[ Hours]]-表格3_5[[#This Row],[Normal working
 hours]]</f>
        <v>0</v>
      </c>
      <c r="N15" s="206">
        <v>0.5</v>
      </c>
      <c r="O15" s="204">
        <v>0.83333333333333337</v>
      </c>
      <c r="P15" s="214">
        <f>(表格3_5[[#This Row],[Out-Time2]] - 表格3_5[[#This Row],[In-Time2]])*24</f>
        <v>8</v>
      </c>
      <c r="Q15" s="205">
        <v>8</v>
      </c>
      <c r="R15" s="214">
        <f>_xlfn.XLOOKUP(表格3_5[[#This Row],[Name]],Name_list[Full Name],Name_list[Hourr Rate])</f>
        <v>0</v>
      </c>
      <c r="S15" s="214">
        <f>表格3_5[[#This Row],[Hours Worked]]*表格3_5[[#This Row],[Hourly Rate]]</f>
        <v>0</v>
      </c>
    </row>
    <row r="16" spans="1:20" ht="18">
      <c r="A16" s="201">
        <v>14</v>
      </c>
      <c r="B16" s="210" t="str">
        <f>_xlfn.CONCAT(表格3_5[[#This Row],[Name]],表格3_5[[#This Row],[Location]])</f>
        <v>Lee Sin EdithSSPO YOHO</v>
      </c>
      <c r="C16" s="211" t="str">
        <f>表格3_5[[#This Row],[Location]] &amp; 表格3_5[[#This Row],[Date]] &amp;表格3_5[[#This Row],[Nick Name]]</f>
        <v>SSPO YOHO46192Edith</v>
      </c>
      <c r="D16" s="202"/>
      <c r="E16" s="211" t="str">
        <f>DAY(表格3_5[[#This Row],[Date]])&amp;""</f>
        <v>19</v>
      </c>
      <c r="F16" s="236">
        <v>46192</v>
      </c>
      <c r="G16" s="215" t="str">
        <f>_xlfn.XLOOKUP(表格3_5[[#This Row],[Name]],Name_list[Full Name],Name_list[Nick Name])</f>
        <v>Edith</v>
      </c>
      <c r="H16" s="207" t="s">
        <v>120</v>
      </c>
      <c r="I16" s="228" t="s">
        <v>140</v>
      </c>
      <c r="J16" s="206">
        <v>0.5</v>
      </c>
      <c r="K16" s="204">
        <v>0.83333333333333337</v>
      </c>
      <c r="L16" s="212">
        <f>(表格3_5[[#This Row],[Out-Time]] - 表格3_5[[#This Row],[In-Time]])*24</f>
        <v>8</v>
      </c>
      <c r="M16" s="213">
        <f>表格3_5[[#This Row],[ Hours]]-表格3_5[[#This Row],[Normal working
 hours]]</f>
        <v>0</v>
      </c>
      <c r="N16" s="206">
        <v>0.5</v>
      </c>
      <c r="O16" s="204">
        <v>0.83333333333333337</v>
      </c>
      <c r="P16" s="214">
        <f>(表格3_5[[#This Row],[Out-Time2]] - 表格3_5[[#This Row],[In-Time2]])*24</f>
        <v>8</v>
      </c>
      <c r="Q16" s="205">
        <v>8</v>
      </c>
      <c r="R16" s="214">
        <f>_xlfn.XLOOKUP(表格3_5[[#This Row],[Name]],Name_list[Full Name],Name_list[Hourr Rate])</f>
        <v>0</v>
      </c>
      <c r="S16" s="214">
        <f>表格3_5[[#This Row],[Hours Worked]]*表格3_5[[#This Row],[Hourly Rate]]</f>
        <v>0</v>
      </c>
    </row>
    <row r="17" spans="1:19" ht="18">
      <c r="A17" s="201">
        <v>15</v>
      </c>
      <c r="B17" s="210" t="str">
        <f>_xlfn.CONCAT(表格3_5[[#This Row],[Name]],表格3_5[[#This Row],[Location]])</f>
        <v>Lee Sin EdithWai Chai</v>
      </c>
      <c r="C17" s="211" t="str">
        <f>表格3_5[[#This Row],[Location]] &amp; 表格3_5[[#This Row],[Date]] &amp;表格3_5[[#This Row],[Nick Name]]</f>
        <v>Wai Chai46194Edith</v>
      </c>
      <c r="D17" s="202"/>
      <c r="E17" s="211" t="str">
        <f>DAY(表格3_5[[#This Row],[Date]])&amp;""</f>
        <v>21</v>
      </c>
      <c r="F17" s="203">
        <v>46194</v>
      </c>
      <c r="G17" s="215" t="str">
        <f>_xlfn.XLOOKUP(表格3_5[[#This Row],[Name]],Name_list[Full Name],Name_list[Nick Name])</f>
        <v>Edith</v>
      </c>
      <c r="H17" s="235" t="s">
        <v>146</v>
      </c>
      <c r="I17" s="228" t="s">
        <v>140</v>
      </c>
      <c r="J17" s="206">
        <v>0.5</v>
      </c>
      <c r="K17" s="204">
        <v>0.83333333333333337</v>
      </c>
      <c r="L17" s="212">
        <f>(表格3_5[[#This Row],[Out-Time]] - 表格3_5[[#This Row],[In-Time]])*24</f>
        <v>8</v>
      </c>
      <c r="M17" s="213">
        <f>表格3_5[[#This Row],[ Hours]]-表格3_5[[#This Row],[Normal working
 hours]]</f>
        <v>0</v>
      </c>
      <c r="N17" s="206">
        <v>0.5</v>
      </c>
      <c r="O17" s="204">
        <v>0.83333333333333337</v>
      </c>
      <c r="P17" s="214">
        <f>(表格3_5[[#This Row],[Out-Time2]] - 表格3_5[[#This Row],[In-Time2]])*24</f>
        <v>8</v>
      </c>
      <c r="Q17" s="205">
        <v>8</v>
      </c>
      <c r="R17" s="214">
        <f>_xlfn.XLOOKUP(表格3_5[[#This Row],[Name]],Name_list[Full Name],Name_list[Hourr Rate])</f>
        <v>0</v>
      </c>
      <c r="S17" s="214">
        <f>表格3_5[[#This Row],[Hours Worked]]*表格3_5[[#This Row],[Hourly Rate]]</f>
        <v>0</v>
      </c>
    </row>
    <row r="18" spans="1:19" ht="18">
      <c r="A18" s="201">
        <v>16</v>
      </c>
      <c r="B18" s="210" t="str">
        <f>_xlfn.CONCAT(表格3_5[[#This Row],[Name]],表格3_5[[#This Row],[Location]])</f>
        <v>Lee Sin EdithKT YOHO</v>
      </c>
      <c r="C18" s="211" t="str">
        <f>表格3_5[[#This Row],[Location]] &amp; 表格3_5[[#This Row],[Date]] &amp;表格3_5[[#This Row],[Nick Name]]</f>
        <v>KT YOHO46195Edith</v>
      </c>
      <c r="D18" s="202"/>
      <c r="E18" s="211" t="str">
        <f>DAY(表格3_5[[#This Row],[Date]])&amp;""</f>
        <v>22</v>
      </c>
      <c r="F18" s="203">
        <v>46195</v>
      </c>
      <c r="G18" s="215" t="str">
        <f>_xlfn.XLOOKUP(表格3_5[[#This Row],[Name]],Name_list[Full Name],Name_list[Nick Name])</f>
        <v>Edith</v>
      </c>
      <c r="H18" s="207" t="s">
        <v>121</v>
      </c>
      <c r="I18" s="228" t="s">
        <v>140</v>
      </c>
      <c r="J18" s="206">
        <v>0.5</v>
      </c>
      <c r="K18" s="204">
        <v>0.83333333333333337</v>
      </c>
      <c r="L18" s="212">
        <f>(表格3_5[[#This Row],[Out-Time]] - 表格3_5[[#This Row],[In-Time]])*24</f>
        <v>8</v>
      </c>
      <c r="M18" s="213">
        <f>表格3_5[[#This Row],[ Hours]]-表格3_5[[#This Row],[Normal working
 hours]]</f>
        <v>0</v>
      </c>
      <c r="N18" s="206">
        <v>0.5</v>
      </c>
      <c r="O18" s="204">
        <v>0.83333333333333337</v>
      </c>
      <c r="P18" s="214">
        <f>(表格3_5[[#This Row],[Out-Time2]] - 表格3_5[[#This Row],[In-Time2]])*24</f>
        <v>8</v>
      </c>
      <c r="Q18" s="205">
        <v>8</v>
      </c>
      <c r="R18" s="214">
        <f>_xlfn.XLOOKUP(表格3_5[[#This Row],[Name]],Name_list[Full Name],Name_list[Hourr Rate])</f>
        <v>0</v>
      </c>
      <c r="S18" s="214">
        <f>表格3_5[[#This Row],[Hours Worked]]*表格3_5[[#This Row],[Hourly Rate]]</f>
        <v>0</v>
      </c>
    </row>
    <row r="19" spans="1:19" ht="18">
      <c r="A19" s="201">
        <v>17</v>
      </c>
      <c r="B19" s="210" t="str">
        <f>_xlfn.CONCAT(表格3_5[[#This Row],[Name]],表格3_5[[#This Row],[Location]])</f>
        <v>Lee Sin EdithSSPO YOHO</v>
      </c>
      <c r="C19" s="211" t="str">
        <f>表格3_5[[#This Row],[Location]] &amp; 表格3_5[[#This Row],[Date]] &amp;表格3_5[[#This Row],[Nick Name]]</f>
        <v>SSPO YOHO46196Edith</v>
      </c>
      <c r="D19" s="202"/>
      <c r="E19" s="211" t="str">
        <f>DAY(表格3_5[[#This Row],[Date]])&amp;""</f>
        <v>23</v>
      </c>
      <c r="F19" s="203">
        <v>46196</v>
      </c>
      <c r="G19" s="215" t="str">
        <f>_xlfn.XLOOKUP(表格3_5[[#This Row],[Name]],Name_list[Full Name],Name_list[Nick Name])</f>
        <v>Edith</v>
      </c>
      <c r="H19" s="207" t="s">
        <v>120</v>
      </c>
      <c r="I19" s="228" t="s">
        <v>140</v>
      </c>
      <c r="J19" s="206">
        <v>0.5</v>
      </c>
      <c r="K19" s="204">
        <v>0.83333333333333304</v>
      </c>
      <c r="L19" s="212">
        <f>(表格3_5[[#This Row],[Out-Time]] - 表格3_5[[#This Row],[In-Time]])*24</f>
        <v>7.9999999999999929</v>
      </c>
      <c r="M19" s="213">
        <f>表格3_5[[#This Row],[ Hours]]-表格3_5[[#This Row],[Normal working
 hours]]</f>
        <v>0</v>
      </c>
      <c r="N19" s="206">
        <v>0.5</v>
      </c>
      <c r="O19" s="204">
        <v>0.83333333333333304</v>
      </c>
      <c r="P19" s="214">
        <f>(表格3_5[[#This Row],[Out-Time2]] - 表格3_5[[#This Row],[In-Time2]])*24</f>
        <v>7.9999999999999929</v>
      </c>
      <c r="Q19" s="205">
        <v>7.9999999999999929</v>
      </c>
      <c r="R19" s="214">
        <f>_xlfn.XLOOKUP(表格3_5[[#This Row],[Name]],Name_list[Full Name],Name_list[Hourr Rate])</f>
        <v>0</v>
      </c>
      <c r="S19" s="214">
        <f>表格3_5[[#This Row],[Hours Worked]]*表格3_5[[#This Row],[Hourly Rate]]</f>
        <v>0</v>
      </c>
    </row>
    <row r="20" spans="1:19">
      <c r="A20" s="201">
        <v>18</v>
      </c>
      <c r="B20" s="210" t="str">
        <f>_xlfn.CONCAT(表格3_5[[#This Row],[Name]],表格3_5[[#This Row],[Location]])</f>
        <v>Lee Sin EdithSSPO YOHO</v>
      </c>
      <c r="C20" s="211" t="str">
        <f>表格3_5[[#This Row],[Location]] &amp; 表格3_5[[#This Row],[Date]] &amp;表格3_5[[#This Row],[Nick Name]]</f>
        <v>SSPO YOHO46198Edith</v>
      </c>
      <c r="D20" s="202"/>
      <c r="E20" s="211" t="str">
        <f>DAY(表格3_5[[#This Row],[Date]])&amp;""</f>
        <v>25</v>
      </c>
      <c r="F20" s="203">
        <v>46198</v>
      </c>
      <c r="G20" s="216" t="str">
        <f>_xlfn.XLOOKUP(表格3_5[[#This Row],[Name]],Name_list[Full Name],Name_list[Nick Name])</f>
        <v>Edith</v>
      </c>
      <c r="H20" s="207" t="s">
        <v>120</v>
      </c>
      <c r="I20" s="228" t="s">
        <v>140</v>
      </c>
      <c r="J20" s="206">
        <v>0.5</v>
      </c>
      <c r="K20" s="204">
        <v>0.83333333333333304</v>
      </c>
      <c r="L20" s="214">
        <f>(表格3_5[[#This Row],[Out-Time]] - 表格3_5[[#This Row],[In-Time]])*24</f>
        <v>7.9999999999999929</v>
      </c>
      <c r="M20" s="213">
        <f>表格3_5[[#This Row],[ Hours]]-表格3_5[[#This Row],[Normal working
 hours]]</f>
        <v>0</v>
      </c>
      <c r="N20" s="206">
        <v>0.5</v>
      </c>
      <c r="O20" s="204">
        <v>0.83333333333333304</v>
      </c>
      <c r="P20" s="214">
        <f>(表格3_5[[#This Row],[Out-Time2]] - 表格3_5[[#This Row],[In-Time2]])*24</f>
        <v>7.9999999999999929</v>
      </c>
      <c r="Q20" s="205">
        <v>7.9999999999999929</v>
      </c>
      <c r="R20" s="214">
        <f>_xlfn.XLOOKUP(表格3_5[[#This Row],[Name]],Name_list[Full Name],Name_list[Hourr Rate])</f>
        <v>0</v>
      </c>
      <c r="S20" s="214">
        <f>表格3_5[[#This Row],[Hours Worked]]*表格3_5[[#This Row],[Hourly Rate]]</f>
        <v>0</v>
      </c>
    </row>
    <row r="21" spans="1:19">
      <c r="A21" s="201">
        <v>19</v>
      </c>
      <c r="B21" s="210" t="str">
        <f>_xlfn.CONCAT(表格3_5[[#This Row],[Name]],表格3_5[[#This Row],[Location]])</f>
        <v>Lee Sin EdithKT YOHO</v>
      </c>
      <c r="C21" s="211" t="str">
        <f>表格3_5[[#This Row],[Location]] &amp; 表格3_5[[#This Row],[Date]] &amp;表格3_5[[#This Row],[Nick Name]]</f>
        <v>KT YOHO46199Edith</v>
      </c>
      <c r="D21" s="202"/>
      <c r="E21" s="211" t="str">
        <f>DAY(表格3_5[[#This Row],[Date]])&amp;""</f>
        <v>26</v>
      </c>
      <c r="F21" s="203">
        <v>46199</v>
      </c>
      <c r="G21" s="216" t="str">
        <f>_xlfn.XLOOKUP(表格3_5[[#This Row],[Name]],Name_list[Full Name],Name_list[Nick Name])</f>
        <v>Edith</v>
      </c>
      <c r="H21" s="207" t="s">
        <v>121</v>
      </c>
      <c r="I21" s="228" t="s">
        <v>140</v>
      </c>
      <c r="J21" s="206">
        <v>0.5</v>
      </c>
      <c r="K21" s="204">
        <v>0.83333333333333304</v>
      </c>
      <c r="L21" s="214">
        <f>(表格3_5[[#This Row],[Out-Time]] - 表格3_5[[#This Row],[In-Time]])*24</f>
        <v>7.9999999999999929</v>
      </c>
      <c r="M21" s="213">
        <f>表格3_5[[#This Row],[ Hours]]-表格3_5[[#This Row],[Normal working
 hours]]</f>
        <v>0</v>
      </c>
      <c r="N21" s="206">
        <v>0.5</v>
      </c>
      <c r="O21" s="204">
        <v>0.83333333333333304</v>
      </c>
      <c r="P21" s="214">
        <f>(表格3_5[[#This Row],[Out-Time2]] - 表格3_5[[#This Row],[In-Time2]])*24</f>
        <v>7.9999999999999929</v>
      </c>
      <c r="Q21" s="205">
        <v>7.9999999999999929</v>
      </c>
      <c r="R21" s="214">
        <f>_xlfn.XLOOKUP(表格3_5[[#This Row],[Name]],Name_list[Full Name],Name_list[Hourr Rate])</f>
        <v>0</v>
      </c>
      <c r="S21" s="214">
        <f>表格3_5[[#This Row],[Hours Worked]]*表格3_5[[#This Row],[Hourly Rate]]</f>
        <v>0</v>
      </c>
    </row>
    <row r="22" spans="1:19">
      <c r="A22" s="201">
        <v>20</v>
      </c>
      <c r="B22" s="210" t="str">
        <f>_xlfn.CONCAT(表格3_5[[#This Row],[Name]],表格3_5[[#This Row],[Location]])</f>
        <v>Lee Sin EdithSSPO YOHO</v>
      </c>
      <c r="C22" s="211" t="str">
        <f>表格3_5[[#This Row],[Location]] &amp; 表格3_5[[#This Row],[Date]] &amp;表格3_5[[#This Row],[Nick Name]]</f>
        <v>SSPO YOHO46201Edith</v>
      </c>
      <c r="D22" s="202"/>
      <c r="E22" s="211" t="str">
        <f>DAY(表格3_5[[#This Row],[Date]])&amp;""</f>
        <v>28</v>
      </c>
      <c r="F22" s="203">
        <v>46201</v>
      </c>
      <c r="G22" s="216" t="str">
        <f>_xlfn.XLOOKUP(表格3_5[[#This Row],[Name]],Name_list[Full Name],Name_list[Nick Name])</f>
        <v>Edith</v>
      </c>
      <c r="H22" s="207" t="s">
        <v>120</v>
      </c>
      <c r="I22" s="228" t="s">
        <v>140</v>
      </c>
      <c r="J22" s="206">
        <v>0.5</v>
      </c>
      <c r="K22" s="204">
        <v>0.83333333333333304</v>
      </c>
      <c r="L22" s="214">
        <f>(表格3_5[[#This Row],[Out-Time]] - 表格3_5[[#This Row],[In-Time]])*24</f>
        <v>7.9999999999999929</v>
      </c>
      <c r="M22" s="213">
        <f>表格3_5[[#This Row],[ Hours]]-表格3_5[[#This Row],[Normal working
 hours]]</f>
        <v>0</v>
      </c>
      <c r="N22" s="206">
        <v>0.5</v>
      </c>
      <c r="O22" s="204">
        <v>0.83333333333333304</v>
      </c>
      <c r="P22" s="214">
        <f>(表格3_5[[#This Row],[Out-Time2]] - 表格3_5[[#This Row],[In-Time2]])*24</f>
        <v>7.9999999999999929</v>
      </c>
      <c r="Q22" s="205">
        <v>7.9999999999999929</v>
      </c>
      <c r="R22" s="214">
        <f>_xlfn.XLOOKUP(表格3_5[[#This Row],[Name]],Name_list[Full Name],Name_list[Hourr Rate])</f>
        <v>0</v>
      </c>
      <c r="S22" s="214">
        <f>表格3_5[[#This Row],[Hours Worked]]*表格3_5[[#This Row],[Hourly Rate]]</f>
        <v>0</v>
      </c>
    </row>
    <row r="23" spans="1:19">
      <c r="A23" s="201">
        <v>21</v>
      </c>
      <c r="B23" s="210" t="str">
        <f>_xlfn.CONCAT(表格3_5[[#This Row],[Name]],表格3_5[[#This Row],[Location]])</f>
        <v>Lee Sin EdithSSPO YOHO</v>
      </c>
      <c r="C23" s="211" t="str">
        <f>表格3_5[[#This Row],[Location]] &amp; 表格3_5[[#This Row],[Date]] &amp;表格3_5[[#This Row],[Nick Name]]</f>
        <v>SSPO YOHO46202Edith</v>
      </c>
      <c r="D23" s="202"/>
      <c r="E23" s="211" t="str">
        <f>DAY(表格3_5[[#This Row],[Date]])&amp;""</f>
        <v>29</v>
      </c>
      <c r="F23" s="203">
        <v>46202</v>
      </c>
      <c r="G23" s="216" t="str">
        <f>_xlfn.XLOOKUP(表格3_5[[#This Row],[Name]],Name_list[Full Name],Name_list[Nick Name])</f>
        <v>Edith</v>
      </c>
      <c r="H23" s="207" t="s">
        <v>120</v>
      </c>
      <c r="I23" s="228" t="s">
        <v>140</v>
      </c>
      <c r="J23" s="206">
        <v>0.5</v>
      </c>
      <c r="K23" s="204">
        <v>0.83333333333333304</v>
      </c>
      <c r="L23" s="214">
        <f>(表格3_5[[#This Row],[Out-Time]] - 表格3_5[[#This Row],[In-Time]])*24</f>
        <v>7.9999999999999929</v>
      </c>
      <c r="M23" s="213">
        <f>表格3_5[[#This Row],[ Hours]]-表格3_5[[#This Row],[Normal working
 hours]]</f>
        <v>0</v>
      </c>
      <c r="N23" s="206">
        <v>0.5</v>
      </c>
      <c r="O23" s="204">
        <v>0.83333333333333304</v>
      </c>
      <c r="P23" s="214">
        <f>(表格3_5[[#This Row],[Out-Time2]] - 表格3_5[[#This Row],[In-Time2]])*24</f>
        <v>7.9999999999999929</v>
      </c>
      <c r="Q23" s="205">
        <v>7.9999999999999929</v>
      </c>
      <c r="R23" s="214">
        <f>_xlfn.XLOOKUP(表格3_5[[#This Row],[Name]],Name_list[Full Name],Name_list[Hourr Rate])</f>
        <v>0</v>
      </c>
      <c r="S23" s="214">
        <f>表格3_5[[#This Row],[Hours Worked]]*表格3_5[[#This Row],[Hourly Rate]]</f>
        <v>0</v>
      </c>
    </row>
    <row r="24" spans="1:19">
      <c r="A24" s="201">
        <v>22</v>
      </c>
      <c r="B24" s="210" t="str">
        <f>_xlfn.CONCAT(表格3_5[[#This Row],[Name]],表格3_5[[#This Row],[Location]])</f>
        <v>Lee Sin EdithKT YOHO</v>
      </c>
      <c r="C24" s="211" t="str">
        <f>表格3_5[[#This Row],[Location]] &amp; 表格3_5[[#This Row],[Date]] &amp;表格3_5[[#This Row],[Nick Name]]</f>
        <v>KT YOHO46203Edith</v>
      </c>
      <c r="D24" s="202"/>
      <c r="E24" s="211" t="str">
        <f>DAY(表格3_5[[#This Row],[Date]])&amp;""</f>
        <v>30</v>
      </c>
      <c r="F24" s="203">
        <v>46203</v>
      </c>
      <c r="G24" s="216" t="str">
        <f>_xlfn.XLOOKUP(表格3_5[[#This Row],[Name]],Name_list[Full Name],Name_list[Nick Name])</f>
        <v>Edith</v>
      </c>
      <c r="H24" s="207" t="s">
        <v>121</v>
      </c>
      <c r="I24" s="228" t="s">
        <v>140</v>
      </c>
      <c r="J24" s="206">
        <v>0.5</v>
      </c>
      <c r="K24" s="204">
        <v>0.83333333333333304</v>
      </c>
      <c r="L24" s="214">
        <f>(表格3_5[[#This Row],[Out-Time]] - 表格3_5[[#This Row],[In-Time]])*24</f>
        <v>7.9999999999999929</v>
      </c>
      <c r="M24" s="213">
        <f>表格3_5[[#This Row],[ Hours]]-表格3_5[[#This Row],[Normal working
 hours]]</f>
        <v>0</v>
      </c>
      <c r="N24" s="206">
        <v>0.5</v>
      </c>
      <c r="O24" s="204">
        <v>0.83333333333333304</v>
      </c>
      <c r="P24" s="214">
        <f>(表格3_5[[#This Row],[Out-Time2]] - 表格3_5[[#This Row],[In-Time2]])*24</f>
        <v>7.9999999999999929</v>
      </c>
      <c r="Q24" s="205">
        <v>7.9999999999999929</v>
      </c>
      <c r="R24" s="214">
        <f>_xlfn.XLOOKUP(表格3_5[[#This Row],[Name]],Name_list[Full Name],Name_list[Hourr Rate])</f>
        <v>0</v>
      </c>
      <c r="S24" s="214">
        <f>表格3_5[[#This Row],[Hours Worked]]*表格3_5[[#This Row],[Hourly Rate]]</f>
        <v>0</v>
      </c>
    </row>
    <row r="25" spans="1:19">
      <c r="A25" s="201">
        <v>23</v>
      </c>
      <c r="B25" s="210" t="str">
        <f>_xlfn.CONCAT(表格3_5[[#This Row],[Name]],表格3_5[[#This Row],[Location]])</f>
        <v>Leung Kam ChingTelford plaza Chung Yuen</v>
      </c>
      <c r="C25" s="211" t="str">
        <f>表格3_5[[#This Row],[Location]] &amp; 表格3_5[[#This Row],[Date]] &amp;表格3_5[[#This Row],[Nick Name]]</f>
        <v>Telford plaza Chung Yuen46174Amy</v>
      </c>
      <c r="D25" s="202"/>
      <c r="E25" s="211" t="str">
        <f>DAY(表格3_5[[#This Row],[Date]])&amp;""</f>
        <v>1</v>
      </c>
      <c r="F25" s="203">
        <v>46174</v>
      </c>
      <c r="G25" s="216" t="str">
        <f>_xlfn.XLOOKUP(表格3_5[[#This Row],[Name]],Name_list[Full Name],Name_list[Nick Name])</f>
        <v>Amy</v>
      </c>
      <c r="H25" s="207" t="s">
        <v>122</v>
      </c>
      <c r="I25" s="228" t="s">
        <v>116</v>
      </c>
      <c r="J25" s="206">
        <v>0.49166666666666664</v>
      </c>
      <c r="K25" s="204">
        <v>0.83472222222222225</v>
      </c>
      <c r="L25" s="214">
        <f>(表格3_5[[#This Row],[Out-Time]] - 表格3_5[[#This Row],[In-Time]])*24</f>
        <v>8.2333333333333343</v>
      </c>
      <c r="M25" s="213">
        <f>表格3_5[[#This Row],[ Hours]]-表格3_5[[#This Row],[Normal working
 hours]]</f>
        <v>0.23333333333334139</v>
      </c>
      <c r="N25" s="206">
        <v>0.5</v>
      </c>
      <c r="O25" s="204">
        <v>0.83333333333333304</v>
      </c>
      <c r="P25" s="214">
        <f>(表格3_5[[#This Row],[Out-Time2]] - 表格3_5[[#This Row],[In-Time2]])*24</f>
        <v>7.9999999999999929</v>
      </c>
      <c r="Q25" s="205">
        <v>7.9999999999999902</v>
      </c>
      <c r="R25" s="214">
        <f>_xlfn.XLOOKUP(表格3_5[[#This Row],[Name]],Name_list[Full Name],Name_list[Hourr Rate])</f>
        <v>0</v>
      </c>
      <c r="S25" s="214">
        <f>表格3_5[[#This Row],[Hours Worked]]*表格3_5[[#This Row],[Hourly Rate]]</f>
        <v>0</v>
      </c>
    </row>
    <row r="26" spans="1:19">
      <c r="A26" s="201">
        <v>24</v>
      </c>
      <c r="B26" s="210" t="str">
        <f>_xlfn.CONCAT(表格3_5[[#This Row],[Name]],表格3_5[[#This Row],[Location]])</f>
        <v>Leung Kam ChingTelford plaza Chung Yuen</v>
      </c>
      <c r="C26" s="211" t="str">
        <f>表格3_5[[#This Row],[Location]] &amp; 表格3_5[[#This Row],[Date]] &amp;表格3_5[[#This Row],[Nick Name]]</f>
        <v>Telford plaza Chung Yuen46176Amy</v>
      </c>
      <c r="D26" s="202"/>
      <c r="E26" s="211" t="str">
        <f>DAY(表格3_5[[#This Row],[Date]])&amp;""</f>
        <v>3</v>
      </c>
      <c r="F26" s="203">
        <v>46176</v>
      </c>
      <c r="G26" s="216" t="str">
        <f>_xlfn.XLOOKUP(表格3_5[[#This Row],[Name]],Name_list[Full Name],Name_list[Nick Name])</f>
        <v>Amy</v>
      </c>
      <c r="H26" s="207" t="s">
        <v>122</v>
      </c>
      <c r="I26" s="228" t="s">
        <v>116</v>
      </c>
      <c r="J26" s="206">
        <v>0.49305555555555558</v>
      </c>
      <c r="K26" s="204">
        <v>0.83333333333333337</v>
      </c>
      <c r="L26" s="214">
        <f>(表格3_5[[#This Row],[Out-Time]] - 表格3_5[[#This Row],[In-Time]])*24</f>
        <v>8.1666666666666679</v>
      </c>
      <c r="M26" s="213">
        <f>表格3_5[[#This Row],[ Hours]]-表格3_5[[#This Row],[Normal working
 hours]]</f>
        <v>0.16666666666667496</v>
      </c>
      <c r="N26" s="206">
        <v>0.5</v>
      </c>
      <c r="O26" s="204">
        <v>0.83333333333333304</v>
      </c>
      <c r="P26" s="214">
        <f>(表格3_5[[#This Row],[Out-Time2]] - 表格3_5[[#This Row],[In-Time2]])*24</f>
        <v>7.9999999999999929</v>
      </c>
      <c r="Q26" s="205">
        <v>7.9999999999999902</v>
      </c>
      <c r="R26" s="214">
        <f>_xlfn.XLOOKUP(表格3_5[[#This Row],[Name]],Name_list[Full Name],Name_list[Hourr Rate])</f>
        <v>0</v>
      </c>
      <c r="S26" s="214">
        <f>表格3_5[[#This Row],[Hours Worked]]*表格3_5[[#This Row],[Hourly Rate]]</f>
        <v>0</v>
      </c>
    </row>
    <row r="27" spans="1:19">
      <c r="A27" s="201">
        <v>25</v>
      </c>
      <c r="B27" s="210" t="str">
        <f>_xlfn.CONCAT(表格3_5[[#This Row],[Name]],表格3_5[[#This Row],[Location]])</f>
        <v>Leung Kam ChingMetro City</v>
      </c>
      <c r="C27" s="211" t="str">
        <f>表格3_5[[#This Row],[Location]] &amp; 表格3_5[[#This Row],[Date]] &amp;表格3_5[[#This Row],[Nick Name]]</f>
        <v>Metro City46177Amy</v>
      </c>
      <c r="D27" s="202"/>
      <c r="E27" s="211" t="str">
        <f>DAY(表格3_5[[#This Row],[Date]])&amp;""</f>
        <v>4</v>
      </c>
      <c r="F27" s="203">
        <v>46177</v>
      </c>
      <c r="G27" s="216" t="str">
        <f>_xlfn.XLOOKUP(表格3_5[[#This Row],[Name]],Name_list[Full Name],Name_list[Nick Name])</f>
        <v>Amy</v>
      </c>
      <c r="H27" s="207" t="s">
        <v>144</v>
      </c>
      <c r="I27" s="228" t="s">
        <v>116</v>
      </c>
      <c r="J27" s="206">
        <v>0.49444444444444446</v>
      </c>
      <c r="K27" s="237">
        <v>0.8354166666666667</v>
      </c>
      <c r="L27" s="214">
        <f>(表格3_5[[#This Row],[Out-Time]] - 表格3_5[[#This Row],[In-Time]])*24</f>
        <v>8.1833333333333336</v>
      </c>
      <c r="M27" s="213">
        <f>表格3_5[[#This Row],[ Hours]]-表格3_5[[#This Row],[Normal working
 hours]]</f>
        <v>0.18333333333334068</v>
      </c>
      <c r="N27" s="206">
        <v>0.5</v>
      </c>
      <c r="O27" s="204">
        <v>0.83333333333333304</v>
      </c>
      <c r="P27" s="214">
        <f>(表格3_5[[#This Row],[Out-Time2]] - 表格3_5[[#This Row],[In-Time2]])*24</f>
        <v>7.9999999999999929</v>
      </c>
      <c r="Q27" s="205">
        <v>7.9999999999999902</v>
      </c>
      <c r="R27" s="214">
        <f>_xlfn.XLOOKUP(表格3_5[[#This Row],[Name]],Name_list[Full Name],Name_list[Hourr Rate])</f>
        <v>0</v>
      </c>
      <c r="S27" s="214">
        <f>表格3_5[[#This Row],[Hours Worked]]*表格3_5[[#This Row],[Hourly Rate]]</f>
        <v>0</v>
      </c>
    </row>
    <row r="28" spans="1:19">
      <c r="A28" s="201">
        <v>26</v>
      </c>
      <c r="B28" s="210" t="str">
        <f>_xlfn.CONCAT(表格3_5[[#This Row],[Name]],表格3_5[[#This Row],[Location]])</f>
        <v>Leung Kam ChingMetro City</v>
      </c>
      <c r="C28" s="211" t="str">
        <f>表格3_5[[#This Row],[Location]] &amp; 表格3_5[[#This Row],[Date]] &amp;表格3_5[[#This Row],[Nick Name]]</f>
        <v>Metro City46178Amy</v>
      </c>
      <c r="D28" s="202"/>
      <c r="E28" s="211" t="str">
        <f>DAY(表格3_5[[#This Row],[Date]])&amp;""</f>
        <v>5</v>
      </c>
      <c r="F28" s="203">
        <v>46178</v>
      </c>
      <c r="G28" s="216" t="str">
        <f>_xlfn.XLOOKUP(表格3_5[[#This Row],[Name]],Name_list[Full Name],Name_list[Nick Name])</f>
        <v>Amy</v>
      </c>
      <c r="H28" s="207" t="s">
        <v>144</v>
      </c>
      <c r="I28" s="228" t="s">
        <v>116</v>
      </c>
      <c r="J28" s="206">
        <v>0.49305555555555558</v>
      </c>
      <c r="K28" s="204">
        <v>0.83472222222222225</v>
      </c>
      <c r="L28" s="214">
        <f>(表格3_5[[#This Row],[Out-Time]] - 表格3_5[[#This Row],[In-Time]])*24</f>
        <v>8.1999999999999993</v>
      </c>
      <c r="M28" s="213">
        <f>表格3_5[[#This Row],[ Hours]]-表格3_5[[#This Row],[Normal working
 hours]]</f>
        <v>0.20000000000000639</v>
      </c>
      <c r="N28" s="206">
        <v>0.5</v>
      </c>
      <c r="O28" s="204">
        <v>0.83333333333333304</v>
      </c>
      <c r="P28" s="214">
        <f>(表格3_5[[#This Row],[Out-Time2]] - 表格3_5[[#This Row],[In-Time2]])*24</f>
        <v>7.9999999999999929</v>
      </c>
      <c r="Q28" s="205">
        <v>7.9999999999999902</v>
      </c>
      <c r="R28" s="214">
        <f>_xlfn.XLOOKUP(表格3_5[[#This Row],[Name]],Name_list[Full Name],Name_list[Hourr Rate])</f>
        <v>0</v>
      </c>
      <c r="S28" s="214">
        <f>表格3_5[[#This Row],[Hours Worked]]*表格3_5[[#This Row],[Hourly Rate]]</f>
        <v>0</v>
      </c>
    </row>
    <row r="29" spans="1:19">
      <c r="A29" s="201">
        <v>27</v>
      </c>
      <c r="B29" s="210" t="str">
        <f>_xlfn.CONCAT(表格3_5[[#This Row],[Name]],表格3_5[[#This Row],[Location]])</f>
        <v>Leung Kam ChingMetro City</v>
      </c>
      <c r="C29" s="211" t="str">
        <f>表格3_5[[#This Row],[Location]] &amp; 表格3_5[[#This Row],[Date]] &amp;表格3_5[[#This Row],[Nick Name]]</f>
        <v>Metro City46179Amy</v>
      </c>
      <c r="D29" s="202"/>
      <c r="E29" s="211" t="str">
        <f>DAY(表格3_5[[#This Row],[Date]])&amp;""</f>
        <v>6</v>
      </c>
      <c r="F29" s="203">
        <v>46179</v>
      </c>
      <c r="G29" s="216" t="str">
        <f>_xlfn.XLOOKUP(表格3_5[[#This Row],[Name]],Name_list[Full Name],Name_list[Nick Name])</f>
        <v>Amy</v>
      </c>
      <c r="H29" s="207" t="s">
        <v>144</v>
      </c>
      <c r="I29" s="228" t="s">
        <v>116</v>
      </c>
      <c r="J29" s="206">
        <v>0.49444444444444446</v>
      </c>
      <c r="K29" s="204">
        <v>0.8354166666666667</v>
      </c>
      <c r="L29" s="214">
        <f>(表格3_5[[#This Row],[Out-Time]] - 表格3_5[[#This Row],[In-Time]])*24</f>
        <v>8.1833333333333336</v>
      </c>
      <c r="M29" s="213">
        <f>表格3_5[[#This Row],[ Hours]]-表格3_5[[#This Row],[Normal working
 hours]]</f>
        <v>0.18333333333334068</v>
      </c>
      <c r="N29" s="206">
        <v>0.5</v>
      </c>
      <c r="O29" s="204">
        <v>0.83333333333333304</v>
      </c>
      <c r="P29" s="214">
        <f>(表格3_5[[#This Row],[Out-Time2]] - 表格3_5[[#This Row],[In-Time2]])*24</f>
        <v>7.9999999999999929</v>
      </c>
      <c r="Q29" s="205">
        <v>7.9999999999999902</v>
      </c>
      <c r="R29" s="214">
        <f>_xlfn.XLOOKUP(表格3_5[[#This Row],[Name]],Name_list[Full Name],Name_list[Hourr Rate])</f>
        <v>0</v>
      </c>
      <c r="S29" s="214">
        <f>表格3_5[[#This Row],[Hours Worked]]*表格3_5[[#This Row],[Hourly Rate]]</f>
        <v>0</v>
      </c>
    </row>
    <row r="30" spans="1:19">
      <c r="A30" s="201">
        <v>28</v>
      </c>
      <c r="B30" s="210" t="str">
        <f>_xlfn.CONCAT(表格3_5[[#This Row],[Name]],表格3_5[[#This Row],[Location]])</f>
        <v>Leung Kam ChingTelford plaza Chung Yuen</v>
      </c>
      <c r="C30" s="211" t="str">
        <f>表格3_5[[#This Row],[Location]] &amp; 表格3_5[[#This Row],[Date]] &amp;表格3_5[[#This Row],[Nick Name]]</f>
        <v>Telford plaza Chung Yuen46180Amy</v>
      </c>
      <c r="D30" s="202"/>
      <c r="E30" s="211" t="str">
        <f>DAY(表格3_5[[#This Row],[Date]])&amp;""</f>
        <v>7</v>
      </c>
      <c r="F30" s="203">
        <v>46180</v>
      </c>
      <c r="G30" s="216" t="str">
        <f>_xlfn.XLOOKUP(表格3_5[[#This Row],[Name]],Name_list[Full Name],Name_list[Nick Name])</f>
        <v>Amy</v>
      </c>
      <c r="H30" s="207" t="s">
        <v>122</v>
      </c>
      <c r="I30" s="228" t="s">
        <v>116</v>
      </c>
      <c r="J30" s="206">
        <v>0.49305555555555558</v>
      </c>
      <c r="K30" s="204">
        <v>0.83333333333333337</v>
      </c>
      <c r="L30" s="214">
        <f>(表格3_5[[#This Row],[Out-Time]] - 表格3_5[[#This Row],[In-Time]])*24</f>
        <v>8.1666666666666679</v>
      </c>
      <c r="M30" s="213">
        <f>表格3_5[[#This Row],[ Hours]]-表格3_5[[#This Row],[Normal working
 hours]]</f>
        <v>0.16666666666667496</v>
      </c>
      <c r="N30" s="206">
        <v>0.5</v>
      </c>
      <c r="O30" s="204">
        <v>0.83333333333333304</v>
      </c>
      <c r="P30" s="214">
        <f>(表格3_5[[#This Row],[Out-Time2]] - 表格3_5[[#This Row],[In-Time2]])*24</f>
        <v>7.9999999999999929</v>
      </c>
      <c r="Q30" s="205">
        <v>7.9999999999999902</v>
      </c>
      <c r="R30" s="214">
        <f>_xlfn.XLOOKUP(表格3_5[[#This Row],[Name]],Name_list[Full Name],Name_list[Hourr Rate])</f>
        <v>0</v>
      </c>
      <c r="S30" s="214">
        <f>表格3_5[[#This Row],[Hours Worked]]*表格3_5[[#This Row],[Hourly Rate]]</f>
        <v>0</v>
      </c>
    </row>
    <row r="31" spans="1:19">
      <c r="A31" s="201">
        <v>29</v>
      </c>
      <c r="B31" s="210" t="str">
        <f>_xlfn.CONCAT(表格3_5[[#This Row],[Name]],表格3_5[[#This Row],[Location]])</f>
        <v>Leung Kam ChingTelford plaza Chung Yuen</v>
      </c>
      <c r="C31" s="211" t="str">
        <f>表格3_5[[#This Row],[Location]] &amp; 表格3_5[[#This Row],[Date]] &amp;表格3_5[[#This Row],[Nick Name]]</f>
        <v>Telford plaza Chung Yuen46181Amy</v>
      </c>
      <c r="D31" s="202"/>
      <c r="E31" s="211" t="str">
        <f>DAY(表格3_5[[#This Row],[Date]])&amp;""</f>
        <v>8</v>
      </c>
      <c r="F31" s="203">
        <v>46181</v>
      </c>
      <c r="G31" s="216" t="str">
        <f>_xlfn.XLOOKUP(表格3_5[[#This Row],[Name]],Name_list[Full Name],Name_list[Nick Name])</f>
        <v>Amy</v>
      </c>
      <c r="H31" s="207" t="s">
        <v>122</v>
      </c>
      <c r="I31" s="228" t="s">
        <v>116</v>
      </c>
      <c r="J31" s="206">
        <v>0.49027777777777776</v>
      </c>
      <c r="K31" s="204">
        <v>0.83472222222222225</v>
      </c>
      <c r="L31" s="214">
        <f>(表格3_5[[#This Row],[Out-Time]] - 表格3_5[[#This Row],[In-Time]])*24</f>
        <v>8.2666666666666675</v>
      </c>
      <c r="M31" s="213">
        <f>表格3_5[[#This Row],[ Hours]]-表格3_5[[#This Row],[Normal working
 hours]]</f>
        <v>0.2666666666666746</v>
      </c>
      <c r="N31" s="206">
        <v>0.5</v>
      </c>
      <c r="O31" s="204">
        <v>0.83333333333333304</v>
      </c>
      <c r="P31" s="214">
        <f>(表格3_5[[#This Row],[Out-Time2]] - 表格3_5[[#This Row],[In-Time2]])*24</f>
        <v>7.9999999999999929</v>
      </c>
      <c r="Q31" s="205">
        <v>7.9999999999999902</v>
      </c>
      <c r="R31" s="214">
        <f>_xlfn.XLOOKUP(表格3_5[[#This Row],[Name]],Name_list[Full Name],Name_list[Hourr Rate])</f>
        <v>0</v>
      </c>
      <c r="S31" s="214">
        <f>表格3_5[[#This Row],[Hours Worked]]*表格3_5[[#This Row],[Hourly Rate]]</f>
        <v>0</v>
      </c>
    </row>
    <row r="32" spans="1:19">
      <c r="A32" s="201">
        <v>30</v>
      </c>
      <c r="B32" s="210" t="str">
        <f>_xlfn.CONCAT(表格3_5[[#This Row],[Name]],表格3_5[[#This Row],[Location]])</f>
        <v>Leung Kam ChingTelford plaza Chung Yuen</v>
      </c>
      <c r="C32" s="211" t="str">
        <f>表格3_5[[#This Row],[Location]] &amp; 表格3_5[[#This Row],[Date]] &amp;表格3_5[[#This Row],[Nick Name]]</f>
        <v>Telford plaza Chung Yuen46183Amy</v>
      </c>
      <c r="D32" s="202"/>
      <c r="E32" s="211" t="str">
        <f>DAY(表格3_5[[#This Row],[Date]])&amp;""</f>
        <v>10</v>
      </c>
      <c r="F32" s="203">
        <v>46183</v>
      </c>
      <c r="G32" s="216" t="str">
        <f>_xlfn.XLOOKUP(表格3_5[[#This Row],[Name]],Name_list[Full Name],Name_list[Nick Name])</f>
        <v>Amy</v>
      </c>
      <c r="H32" s="207" t="s">
        <v>122</v>
      </c>
      <c r="I32" s="228" t="s">
        <v>116</v>
      </c>
      <c r="J32" s="206">
        <v>0.49444444444444446</v>
      </c>
      <c r="K32" s="204">
        <v>0.83333333333333337</v>
      </c>
      <c r="L32" s="214">
        <f>(表格3_5[[#This Row],[Out-Time]] - 表格3_5[[#This Row],[In-Time]])*24</f>
        <v>8.1333333333333329</v>
      </c>
      <c r="M32" s="213">
        <f>表格3_5[[#This Row],[ Hours]]-表格3_5[[#This Row],[Normal working
 hours]]</f>
        <v>0.13333333333333997</v>
      </c>
      <c r="N32" s="206">
        <v>0.5</v>
      </c>
      <c r="O32" s="204">
        <v>0.83333333333333304</v>
      </c>
      <c r="P32" s="214">
        <f>(表格3_5[[#This Row],[Out-Time2]] - 表格3_5[[#This Row],[In-Time2]])*24</f>
        <v>7.9999999999999929</v>
      </c>
      <c r="Q32" s="205">
        <v>7.9999999999999902</v>
      </c>
      <c r="R32" s="214">
        <f>_xlfn.XLOOKUP(表格3_5[[#This Row],[Name]],Name_list[Full Name],Name_list[Hourr Rate])</f>
        <v>0</v>
      </c>
      <c r="S32" s="214">
        <f>表格3_5[[#This Row],[Hours Worked]]*表格3_5[[#This Row],[Hourly Rate]]</f>
        <v>0</v>
      </c>
    </row>
    <row r="33" spans="1:19">
      <c r="A33" s="201">
        <v>31</v>
      </c>
      <c r="B33" s="210" t="str">
        <f>_xlfn.CONCAT(表格3_5[[#This Row],[Name]],表格3_5[[#This Row],[Location]])</f>
        <v>Leung Kam ChingMetro City</v>
      </c>
      <c r="C33" s="211" t="str">
        <f>表格3_5[[#This Row],[Location]] &amp; 表格3_5[[#This Row],[Date]] &amp;表格3_5[[#This Row],[Nick Name]]</f>
        <v>Metro City46184Amy</v>
      </c>
      <c r="D33" s="202"/>
      <c r="E33" s="211" t="str">
        <f>DAY(表格3_5[[#This Row],[Date]])&amp;""</f>
        <v>11</v>
      </c>
      <c r="F33" s="203">
        <v>46184</v>
      </c>
      <c r="G33" s="216" t="str">
        <f>_xlfn.XLOOKUP(表格3_5[[#This Row],[Name]],Name_list[Full Name],Name_list[Nick Name])</f>
        <v>Amy</v>
      </c>
      <c r="H33" s="207" t="s">
        <v>144</v>
      </c>
      <c r="I33" s="228" t="s">
        <v>116</v>
      </c>
      <c r="J33" s="206">
        <v>0.4513888888888889</v>
      </c>
      <c r="K33" s="204">
        <v>0.83333333333333337</v>
      </c>
      <c r="L33" s="214">
        <f>(表格3_5[[#This Row],[Out-Time]] - 表格3_5[[#This Row],[In-Time]])*24</f>
        <v>9.1666666666666679</v>
      </c>
      <c r="M33" s="213">
        <f>表格3_5[[#This Row],[ Hours]]-表格3_5[[#This Row],[Normal working
 hours]]</f>
        <v>1.166666666666675</v>
      </c>
      <c r="N33" s="206">
        <v>0.5</v>
      </c>
      <c r="O33" s="204">
        <v>0.83333333333333304</v>
      </c>
      <c r="P33" s="214">
        <f>(表格3_5[[#This Row],[Out-Time2]] - 表格3_5[[#This Row],[In-Time2]])*24</f>
        <v>7.9999999999999929</v>
      </c>
      <c r="Q33" s="205">
        <v>9</v>
      </c>
      <c r="R33" s="214">
        <f>_xlfn.XLOOKUP(表格3_5[[#This Row],[Name]],Name_list[Full Name],Name_list[Hourr Rate])</f>
        <v>0</v>
      </c>
      <c r="S33" s="214">
        <f>表格3_5[[#This Row],[Hours Worked]]*表格3_5[[#This Row],[Hourly Rate]]</f>
        <v>0</v>
      </c>
    </row>
    <row r="34" spans="1:19">
      <c r="A34" s="201">
        <v>32</v>
      </c>
      <c r="B34" s="210" t="str">
        <f>_xlfn.CONCAT(表格3_5[[#This Row],[Name]],表格3_5[[#This Row],[Location]])</f>
        <v>Leung Kam ChingRoadshow</v>
      </c>
      <c r="C34" s="211" t="str">
        <f>表格3_5[[#This Row],[Location]] &amp; 表格3_5[[#This Row],[Date]] &amp;表格3_5[[#This Row],[Nick Name]]</f>
        <v>Roadshow46185Amy</v>
      </c>
      <c r="D34" s="202"/>
      <c r="E34" s="211" t="str">
        <f>DAY(表格3_5[[#This Row],[Date]])&amp;""</f>
        <v>12</v>
      </c>
      <c r="F34" s="203">
        <v>46185</v>
      </c>
      <c r="G34" s="216" t="str">
        <f>_xlfn.XLOOKUP(表格3_5[[#This Row],[Name]],Name_list[Full Name],Name_list[Nick Name])</f>
        <v>Amy</v>
      </c>
      <c r="H34" s="235" t="s">
        <v>143</v>
      </c>
      <c r="I34" s="228" t="s">
        <v>116</v>
      </c>
      <c r="J34" s="206">
        <v>0.49444444444444446</v>
      </c>
      <c r="K34" s="204">
        <v>0.83333333333333337</v>
      </c>
      <c r="L34" s="214">
        <f>(表格3_5[[#This Row],[Out-Time]] - 表格3_5[[#This Row],[In-Time]])*24</f>
        <v>8.1333333333333329</v>
      </c>
      <c r="M34" s="213">
        <f>表格3_5[[#This Row],[ Hours]]-表格3_5[[#This Row],[Normal working
 hours]]</f>
        <v>0.13333333333333997</v>
      </c>
      <c r="N34" s="206">
        <v>0.5</v>
      </c>
      <c r="O34" s="204">
        <v>0.83333333333333304</v>
      </c>
      <c r="P34" s="214">
        <f>(表格3_5[[#This Row],[Out-Time2]] - 表格3_5[[#This Row],[In-Time2]])*24</f>
        <v>7.9999999999999929</v>
      </c>
      <c r="Q34" s="205">
        <v>7.9999999999999902</v>
      </c>
      <c r="R34" s="214">
        <f>_xlfn.XLOOKUP(表格3_5[[#This Row],[Name]],Name_list[Full Name],Name_list[Hourr Rate])</f>
        <v>0</v>
      </c>
      <c r="S34" s="214">
        <f>表格3_5[[#This Row],[Hours Worked]]*表格3_5[[#This Row],[Hourly Rate]]</f>
        <v>0</v>
      </c>
    </row>
    <row r="35" spans="1:19">
      <c r="A35" s="201">
        <v>33</v>
      </c>
      <c r="B35" s="210" t="str">
        <f>_xlfn.CONCAT(表格3_5[[#This Row],[Name]],表格3_5[[#This Row],[Location]])</f>
        <v>Leung Kam ChingMetro City</v>
      </c>
      <c r="C35" s="211" t="str">
        <f>表格3_5[[#This Row],[Location]] &amp; 表格3_5[[#This Row],[Date]] &amp;表格3_5[[#This Row],[Nick Name]]</f>
        <v>Metro City46186Amy</v>
      </c>
      <c r="D35" s="202"/>
      <c r="E35" s="211" t="str">
        <f>DAY(表格3_5[[#This Row],[Date]])&amp;""</f>
        <v>13</v>
      </c>
      <c r="F35" s="203">
        <v>46186</v>
      </c>
      <c r="G35" s="216" t="str">
        <f>_xlfn.XLOOKUP(表格3_5[[#This Row],[Name]],Name_list[Full Name],Name_list[Nick Name])</f>
        <v>Amy</v>
      </c>
      <c r="H35" s="207" t="s">
        <v>144</v>
      </c>
      <c r="I35" s="228" t="s">
        <v>116</v>
      </c>
      <c r="J35" s="206">
        <v>0.49305555555555558</v>
      </c>
      <c r="K35" s="204">
        <v>0.89583333333333337</v>
      </c>
      <c r="L35" s="214">
        <f>(表格3_5[[#This Row],[Out-Time]] - 表格3_5[[#This Row],[In-Time]])*24</f>
        <v>9.6666666666666679</v>
      </c>
      <c r="M35" s="213">
        <f>表格3_5[[#This Row],[ Hours]]-表格3_5[[#This Row],[Normal working
 hours]]</f>
        <v>1.666666666666675</v>
      </c>
      <c r="N35" s="206">
        <v>0.5</v>
      </c>
      <c r="O35" s="204">
        <v>0.83333333333333304</v>
      </c>
      <c r="P35" s="214">
        <f>(表格3_5[[#This Row],[Out-Time2]] - 表格3_5[[#This Row],[In-Time2]])*24</f>
        <v>7.9999999999999929</v>
      </c>
      <c r="Q35" s="205">
        <v>9.5</v>
      </c>
      <c r="R35" s="214">
        <f>_xlfn.XLOOKUP(表格3_5[[#This Row],[Name]],Name_list[Full Name],Name_list[Hourr Rate])</f>
        <v>0</v>
      </c>
      <c r="S35" s="214">
        <f>表格3_5[[#This Row],[Hours Worked]]*表格3_5[[#This Row],[Hourly Rate]]</f>
        <v>0</v>
      </c>
    </row>
    <row r="36" spans="1:19">
      <c r="A36" s="201">
        <v>34</v>
      </c>
      <c r="B36" s="210" t="str">
        <f>_xlfn.CONCAT(表格3_5[[#This Row],[Name]],表格3_5[[#This Row],[Location]])</f>
        <v>Leung Kam ChingMetro City</v>
      </c>
      <c r="C36" s="211" t="str">
        <f>表格3_5[[#This Row],[Location]] &amp; 表格3_5[[#This Row],[Date]] &amp;表格3_5[[#This Row],[Nick Name]]</f>
        <v>Metro City46187Amy</v>
      </c>
      <c r="D36" s="202"/>
      <c r="E36" s="211" t="str">
        <f>DAY(表格3_5[[#This Row],[Date]])&amp;""</f>
        <v>14</v>
      </c>
      <c r="F36" s="203">
        <v>46187</v>
      </c>
      <c r="G36" s="216" t="str">
        <f>_xlfn.XLOOKUP(表格3_5[[#This Row],[Name]],Name_list[Full Name],Name_list[Nick Name])</f>
        <v>Amy</v>
      </c>
      <c r="H36" s="207" t="s">
        <v>144</v>
      </c>
      <c r="I36" s="228" t="s">
        <v>116</v>
      </c>
      <c r="J36" s="206">
        <v>0.49444444444444446</v>
      </c>
      <c r="K36" s="204">
        <v>0.83333333333333304</v>
      </c>
      <c r="L36" s="214">
        <f>(表格3_5[[#This Row],[Out-Time]] - 表格3_5[[#This Row],[In-Time]])*24</f>
        <v>8.1333333333333258</v>
      </c>
      <c r="M36" s="213">
        <f>表格3_5[[#This Row],[ Hours]]-表格3_5[[#This Row],[Normal working
 hours]]</f>
        <v>0.13333333333333286</v>
      </c>
      <c r="N36" s="206">
        <v>0.5</v>
      </c>
      <c r="O36" s="204">
        <v>0.83333333333333304</v>
      </c>
      <c r="P36" s="214">
        <f>(表格3_5[[#This Row],[Out-Time2]] - 表格3_5[[#This Row],[In-Time2]])*24</f>
        <v>7.9999999999999929</v>
      </c>
      <c r="Q36" s="205">
        <v>7.9999999999999902</v>
      </c>
      <c r="R36" s="214">
        <f>_xlfn.XLOOKUP(表格3_5[[#This Row],[Name]],Name_list[Full Name],Name_list[Hourr Rate])</f>
        <v>0</v>
      </c>
      <c r="S36" s="214">
        <f>表格3_5[[#This Row],[Hours Worked]]*表格3_5[[#This Row],[Hourly Rate]]</f>
        <v>0</v>
      </c>
    </row>
    <row r="37" spans="1:19">
      <c r="A37" s="201">
        <v>35</v>
      </c>
      <c r="B37" s="210" t="str">
        <f>_xlfn.CONCAT(表格3_5[[#This Row],[Name]],表格3_5[[#This Row],[Location]])</f>
        <v>Leung Kam ChingTelford plaza Chung Yuen</v>
      </c>
      <c r="C37" s="211" t="str">
        <f>表格3_5[[#This Row],[Location]] &amp; 表格3_5[[#This Row],[Date]] &amp;表格3_5[[#This Row],[Nick Name]]</f>
        <v>Telford plaza Chung Yuen46188Amy</v>
      </c>
      <c r="D37" s="202"/>
      <c r="E37" s="211" t="str">
        <f>DAY(表格3_5[[#This Row],[Date]])&amp;""</f>
        <v>15</v>
      </c>
      <c r="F37" s="203">
        <v>46188</v>
      </c>
      <c r="G37" s="216" t="str">
        <f>_xlfn.XLOOKUP(表格3_5[[#This Row],[Name]],Name_list[Full Name],Name_list[Nick Name])</f>
        <v>Amy</v>
      </c>
      <c r="H37" s="207" t="s">
        <v>122</v>
      </c>
      <c r="I37" s="228" t="s">
        <v>116</v>
      </c>
      <c r="J37" s="206">
        <v>0.49305555555555558</v>
      </c>
      <c r="K37" s="204">
        <v>0.83333333333333304</v>
      </c>
      <c r="L37" s="214">
        <f>(表格3_5[[#This Row],[Out-Time]] - 表格3_5[[#This Row],[In-Time]])*24</f>
        <v>8.166666666666659</v>
      </c>
      <c r="M37" s="213">
        <f>表格3_5[[#This Row],[ Hours]]-表格3_5[[#This Row],[Normal working
 hours]]</f>
        <v>0.16666666666666607</v>
      </c>
      <c r="N37" s="206">
        <v>0.5</v>
      </c>
      <c r="O37" s="204">
        <v>0.83333333333333304</v>
      </c>
      <c r="P37" s="214">
        <f>(表格3_5[[#This Row],[Out-Time2]] - 表格3_5[[#This Row],[In-Time2]])*24</f>
        <v>7.9999999999999929</v>
      </c>
      <c r="Q37" s="205">
        <v>7.9999999999999902</v>
      </c>
      <c r="R37" s="214">
        <f>_xlfn.XLOOKUP(表格3_5[[#This Row],[Name]],Name_list[Full Name],Name_list[Hourr Rate])</f>
        <v>0</v>
      </c>
      <c r="S37" s="214">
        <f>表格3_5[[#This Row],[Hours Worked]]*表格3_5[[#This Row],[Hourly Rate]]</f>
        <v>0</v>
      </c>
    </row>
    <row r="38" spans="1:19">
      <c r="A38" s="201">
        <v>36</v>
      </c>
      <c r="B38" s="210" t="str">
        <f>_xlfn.CONCAT(表格3_5[[#This Row],[Name]],表格3_5[[#This Row],[Location]])</f>
        <v>Leung Kam ChingTelford plaza Chung Yuen</v>
      </c>
      <c r="C38" s="211" t="str">
        <f>表格3_5[[#This Row],[Location]] &amp; 表格3_5[[#This Row],[Date]] &amp;表格3_5[[#This Row],[Nick Name]]</f>
        <v>Telford plaza Chung Yuen46190Amy</v>
      </c>
      <c r="D38" s="202"/>
      <c r="E38" s="211" t="str">
        <f>DAY(表格3_5[[#This Row],[Date]])&amp;""</f>
        <v>17</v>
      </c>
      <c r="F38" s="203">
        <v>46190</v>
      </c>
      <c r="G38" s="216" t="str">
        <f>_xlfn.XLOOKUP(表格3_5[[#This Row],[Name]],Name_list[Full Name],Name_list[Nick Name])</f>
        <v>Amy</v>
      </c>
      <c r="H38" s="207" t="s">
        <v>122</v>
      </c>
      <c r="I38" s="228" t="s">
        <v>116</v>
      </c>
      <c r="J38" s="206">
        <v>0.49166666666666664</v>
      </c>
      <c r="K38" s="204">
        <v>0.83333333333333304</v>
      </c>
      <c r="L38" s="214">
        <f>(表格3_5[[#This Row],[Out-Time]] - 表格3_5[[#This Row],[In-Time]])*24</f>
        <v>8.199999999999994</v>
      </c>
      <c r="M38" s="213">
        <f>表格3_5[[#This Row],[ Hours]]-表格3_5[[#This Row],[Normal working
 hours]]</f>
        <v>0.20000000000000107</v>
      </c>
      <c r="N38" s="206">
        <v>0.5</v>
      </c>
      <c r="O38" s="204">
        <v>0.83333333333333304</v>
      </c>
      <c r="P38" s="214">
        <f>(表格3_5[[#This Row],[Out-Time2]] - 表格3_5[[#This Row],[In-Time2]])*24</f>
        <v>7.9999999999999929</v>
      </c>
      <c r="Q38" s="205">
        <v>7.9999999999999902</v>
      </c>
      <c r="R38" s="214">
        <f>_xlfn.XLOOKUP(表格3_5[[#This Row],[Name]],Name_list[Full Name],Name_list[Hourr Rate])</f>
        <v>0</v>
      </c>
      <c r="S38" s="214">
        <f>表格3_5[[#This Row],[Hours Worked]]*表格3_5[[#This Row],[Hourly Rate]]</f>
        <v>0</v>
      </c>
    </row>
    <row r="39" spans="1:19">
      <c r="A39" s="201">
        <v>37</v>
      </c>
      <c r="B39" s="210" t="str">
        <f>_xlfn.CONCAT(表格3_5[[#This Row],[Name]],表格3_5[[#This Row],[Location]])</f>
        <v>Leung Kam ChingMetro City</v>
      </c>
      <c r="C39" s="211" t="str">
        <f>表格3_5[[#This Row],[Location]] &amp; 表格3_5[[#This Row],[Date]] &amp;表格3_5[[#This Row],[Nick Name]]</f>
        <v>Metro City46191Amy</v>
      </c>
      <c r="D39" s="202"/>
      <c r="E39" s="211" t="str">
        <f>DAY(表格3_5[[#This Row],[Date]])&amp;""</f>
        <v>18</v>
      </c>
      <c r="F39" s="203">
        <v>46191</v>
      </c>
      <c r="G39" s="216" t="str">
        <f>_xlfn.XLOOKUP(表格3_5[[#This Row],[Name]],Name_list[Full Name],Name_list[Nick Name])</f>
        <v>Amy</v>
      </c>
      <c r="H39" s="207" t="s">
        <v>144</v>
      </c>
      <c r="I39" s="228" t="s">
        <v>116</v>
      </c>
      <c r="J39" s="206">
        <v>0.49305555555555558</v>
      </c>
      <c r="K39" s="204">
        <v>0.83333333333333304</v>
      </c>
      <c r="L39" s="214">
        <f>(表格3_5[[#This Row],[Out-Time]] - 表格3_5[[#This Row],[In-Time]])*24</f>
        <v>8.166666666666659</v>
      </c>
      <c r="M39" s="213">
        <f>表格3_5[[#This Row],[ Hours]]-表格3_5[[#This Row],[Normal working
 hours]]</f>
        <v>0.16666666666666607</v>
      </c>
      <c r="N39" s="206">
        <v>0.5</v>
      </c>
      <c r="O39" s="204">
        <v>0.83333333333333304</v>
      </c>
      <c r="P39" s="214">
        <f>(表格3_5[[#This Row],[Out-Time2]] - 表格3_5[[#This Row],[In-Time2]])*24</f>
        <v>7.9999999999999929</v>
      </c>
      <c r="Q39" s="205">
        <v>7.9999999999999902</v>
      </c>
      <c r="R39" s="214">
        <f>_xlfn.XLOOKUP(表格3_5[[#This Row],[Name]],Name_list[Full Name],Name_list[Hourr Rate])</f>
        <v>0</v>
      </c>
      <c r="S39" s="214">
        <f>表格3_5[[#This Row],[Hours Worked]]*表格3_5[[#This Row],[Hourly Rate]]</f>
        <v>0</v>
      </c>
    </row>
    <row r="40" spans="1:19">
      <c r="A40" s="201">
        <v>38</v>
      </c>
      <c r="B40" s="210" t="str">
        <f>_xlfn.CONCAT(表格3_5[[#This Row],[Name]],表格3_5[[#This Row],[Location]])</f>
        <v>Leung Kam ChingMetro City</v>
      </c>
      <c r="C40" s="211" t="str">
        <f>表格3_5[[#This Row],[Location]] &amp; 表格3_5[[#This Row],[Date]] &amp;表格3_5[[#This Row],[Nick Name]]</f>
        <v>Metro City46193Amy</v>
      </c>
      <c r="D40" s="202"/>
      <c r="E40" s="211" t="str">
        <f>DAY(表格3_5[[#This Row],[Date]])&amp;""</f>
        <v>20</v>
      </c>
      <c r="F40" s="203">
        <v>46193</v>
      </c>
      <c r="G40" s="216" t="str">
        <f>_xlfn.XLOOKUP(表格3_5[[#This Row],[Name]],Name_list[Full Name],Name_list[Nick Name])</f>
        <v>Amy</v>
      </c>
      <c r="H40" s="207" t="s">
        <v>144</v>
      </c>
      <c r="I40" s="228" t="s">
        <v>116</v>
      </c>
      <c r="J40" s="206">
        <v>0.49166666666666664</v>
      </c>
      <c r="K40" s="204">
        <v>0.83333333333333304</v>
      </c>
      <c r="L40" s="214">
        <f>(表格3_5[[#This Row],[Out-Time]] - 表格3_5[[#This Row],[In-Time]])*24</f>
        <v>8.199999999999994</v>
      </c>
      <c r="M40" s="213">
        <f>表格3_5[[#This Row],[ Hours]]-表格3_5[[#This Row],[Normal working
 hours]]</f>
        <v>0.20000000000000107</v>
      </c>
      <c r="N40" s="206">
        <v>0.5</v>
      </c>
      <c r="O40" s="204">
        <v>0.83333333333333304</v>
      </c>
      <c r="P40" s="214">
        <f>(表格3_5[[#This Row],[Out-Time2]] - 表格3_5[[#This Row],[In-Time2]])*24</f>
        <v>7.9999999999999929</v>
      </c>
      <c r="Q40" s="205">
        <v>7.9999999999999902</v>
      </c>
      <c r="R40" s="214">
        <f>_xlfn.XLOOKUP(表格3_5[[#This Row],[Name]],Name_list[Full Name],Name_list[Hourr Rate])</f>
        <v>0</v>
      </c>
      <c r="S40" s="214">
        <f>表格3_5[[#This Row],[Hours Worked]]*表格3_5[[#This Row],[Hourly Rate]]</f>
        <v>0</v>
      </c>
    </row>
    <row r="41" spans="1:19">
      <c r="A41" s="201">
        <v>39</v>
      </c>
      <c r="B41" s="210" t="str">
        <f>_xlfn.CONCAT(表格3_5[[#This Row],[Name]],表格3_5[[#This Row],[Location]])</f>
        <v>Leung Kam ChingTelford plaza Chung Yuen</v>
      </c>
      <c r="C41" s="211" t="str">
        <f>表格3_5[[#This Row],[Location]] &amp; 表格3_5[[#This Row],[Date]] &amp;表格3_5[[#This Row],[Nick Name]]</f>
        <v>Telford plaza Chung Yuen46194Amy</v>
      </c>
      <c r="D41" s="202"/>
      <c r="E41" s="211" t="str">
        <f>DAY(表格3_5[[#This Row],[Date]])&amp;""</f>
        <v>21</v>
      </c>
      <c r="F41" s="203">
        <v>46194</v>
      </c>
      <c r="G41" s="216" t="str">
        <f>_xlfn.XLOOKUP(表格3_5[[#This Row],[Name]],Name_list[Full Name],Name_list[Nick Name])</f>
        <v>Amy</v>
      </c>
      <c r="H41" s="207" t="s">
        <v>122</v>
      </c>
      <c r="I41" s="228" t="s">
        <v>116</v>
      </c>
      <c r="J41" s="206">
        <v>0.49305555555555558</v>
      </c>
      <c r="K41" s="204">
        <v>0.83333333333333304</v>
      </c>
      <c r="L41" s="214">
        <f>(表格3_5[[#This Row],[Out-Time]] - 表格3_5[[#This Row],[In-Time]])*24</f>
        <v>8.166666666666659</v>
      </c>
      <c r="M41" s="213">
        <f>表格3_5[[#This Row],[ Hours]]-表格3_5[[#This Row],[Normal working
 hours]]</f>
        <v>0.16666666666666607</v>
      </c>
      <c r="N41" s="206">
        <v>0.5</v>
      </c>
      <c r="O41" s="204">
        <v>0.83333333333333304</v>
      </c>
      <c r="P41" s="214">
        <f>(表格3_5[[#This Row],[Out-Time2]] - 表格3_5[[#This Row],[In-Time2]])*24</f>
        <v>7.9999999999999929</v>
      </c>
      <c r="Q41" s="205">
        <v>7.9999999999999902</v>
      </c>
      <c r="R41" s="214">
        <f>_xlfn.XLOOKUP(表格3_5[[#This Row],[Name]],Name_list[Full Name],Name_list[Hourr Rate])</f>
        <v>0</v>
      </c>
      <c r="S41" s="214">
        <f>表格3_5[[#This Row],[Hours Worked]]*表格3_5[[#This Row],[Hourly Rate]]</f>
        <v>0</v>
      </c>
    </row>
    <row r="42" spans="1:19">
      <c r="A42" s="201">
        <v>40</v>
      </c>
      <c r="B42" s="210" t="str">
        <f>_xlfn.CONCAT(表格3_5[[#This Row],[Name]],表格3_5[[#This Row],[Location]])</f>
        <v>Leung Kam ChingTelford plaza Chung Yuen</v>
      </c>
      <c r="C42" s="211" t="str">
        <f>表格3_5[[#This Row],[Location]] &amp; 表格3_5[[#This Row],[Date]] &amp;表格3_5[[#This Row],[Nick Name]]</f>
        <v>Telford plaza Chung Yuen46195Amy</v>
      </c>
      <c r="D42" s="202"/>
      <c r="E42" s="211" t="str">
        <f>DAY(表格3_5[[#This Row],[Date]])&amp;""</f>
        <v>22</v>
      </c>
      <c r="F42" s="203">
        <v>46195</v>
      </c>
      <c r="G42" s="216" t="str">
        <f>_xlfn.XLOOKUP(表格3_5[[#This Row],[Name]],Name_list[Full Name],Name_list[Nick Name])</f>
        <v>Amy</v>
      </c>
      <c r="H42" s="207" t="s">
        <v>122</v>
      </c>
      <c r="I42" s="228" t="s">
        <v>116</v>
      </c>
      <c r="J42" s="206">
        <v>0.49444444444444446</v>
      </c>
      <c r="K42" s="204">
        <v>0.83333333333333304</v>
      </c>
      <c r="L42" s="214">
        <f>(表格3_5[[#This Row],[Out-Time]] - 表格3_5[[#This Row],[In-Time]])*24</f>
        <v>8.1333333333333258</v>
      </c>
      <c r="M42" s="213">
        <f>表格3_5[[#This Row],[ Hours]]-表格3_5[[#This Row],[Normal working
 hours]]</f>
        <v>0.13333333333333286</v>
      </c>
      <c r="N42" s="206">
        <v>0.5</v>
      </c>
      <c r="O42" s="204">
        <v>0.83333333333333304</v>
      </c>
      <c r="P42" s="214">
        <f>(表格3_5[[#This Row],[Out-Time2]] - 表格3_5[[#This Row],[In-Time2]])*24</f>
        <v>7.9999999999999929</v>
      </c>
      <c r="Q42" s="205">
        <v>7.9999999999999902</v>
      </c>
      <c r="R42" s="214">
        <f>_xlfn.XLOOKUP(表格3_5[[#This Row],[Name]],Name_list[Full Name],Name_list[Hourr Rate])</f>
        <v>0</v>
      </c>
      <c r="S42" s="214">
        <f>表格3_5[[#This Row],[Hours Worked]]*表格3_5[[#This Row],[Hourly Rate]]</f>
        <v>0</v>
      </c>
    </row>
    <row r="43" spans="1:19">
      <c r="A43" s="201">
        <v>41</v>
      </c>
      <c r="B43" s="210" t="str">
        <f>_xlfn.CONCAT(表格3_5[[#This Row],[Name]],表格3_5[[#This Row],[Location]])</f>
        <v>Leung Kam ChingMetro City</v>
      </c>
      <c r="C43" s="211" t="str">
        <f>表格3_5[[#This Row],[Location]] &amp; 表格3_5[[#This Row],[Date]] &amp;表格3_5[[#This Row],[Nick Name]]</f>
        <v>Metro City46198Amy</v>
      </c>
      <c r="D43" s="202"/>
      <c r="E43" s="211" t="str">
        <f>DAY(表格3_5[[#This Row],[Date]])&amp;""</f>
        <v>25</v>
      </c>
      <c r="F43" s="203">
        <v>46198</v>
      </c>
      <c r="G43" s="216" t="str">
        <f>_xlfn.XLOOKUP(表格3_5[[#This Row],[Name]],Name_list[Full Name],Name_list[Nick Name])</f>
        <v>Amy</v>
      </c>
      <c r="H43" s="207" t="s">
        <v>144</v>
      </c>
      <c r="I43" s="228" t="s">
        <v>116</v>
      </c>
      <c r="J43" s="206">
        <v>0.49305555555555558</v>
      </c>
      <c r="K43" s="204">
        <v>0.83333333333333304</v>
      </c>
      <c r="L43" s="214">
        <f>(表格3_5[[#This Row],[Out-Time]] - 表格3_5[[#This Row],[In-Time]])*24</f>
        <v>8.166666666666659</v>
      </c>
      <c r="M43" s="213">
        <f>表格3_5[[#This Row],[ Hours]]-表格3_5[[#This Row],[Normal working
 hours]]</f>
        <v>0.16666666666666607</v>
      </c>
      <c r="N43" s="206">
        <v>0.5</v>
      </c>
      <c r="O43" s="204">
        <v>0.83333333333333304</v>
      </c>
      <c r="P43" s="214">
        <f>(表格3_5[[#This Row],[Out-Time2]] - 表格3_5[[#This Row],[In-Time2]])*24</f>
        <v>7.9999999999999929</v>
      </c>
      <c r="Q43" s="205">
        <v>7.9999999999999902</v>
      </c>
      <c r="R43" s="214">
        <f>_xlfn.XLOOKUP(表格3_5[[#This Row],[Name]],Name_list[Full Name],Name_list[Hourr Rate])</f>
        <v>0</v>
      </c>
      <c r="S43" s="214">
        <f>表格3_5[[#This Row],[Hours Worked]]*表格3_5[[#This Row],[Hourly Rate]]</f>
        <v>0</v>
      </c>
    </row>
    <row r="44" spans="1:19">
      <c r="A44" s="201">
        <v>42</v>
      </c>
      <c r="B44" s="210" t="str">
        <f>_xlfn.CONCAT(表格3_5[[#This Row],[Name]],表格3_5[[#This Row],[Location]])</f>
        <v>Leung Kam ChingMetro City</v>
      </c>
      <c r="C44" s="211" t="str">
        <f>表格3_5[[#This Row],[Location]] &amp; 表格3_5[[#This Row],[Date]] &amp;表格3_5[[#This Row],[Nick Name]]</f>
        <v>Metro City46199Amy</v>
      </c>
      <c r="D44" s="202"/>
      <c r="E44" s="211" t="str">
        <f>DAY(表格3_5[[#This Row],[Date]])&amp;""</f>
        <v>26</v>
      </c>
      <c r="F44" s="203">
        <v>46199</v>
      </c>
      <c r="G44" s="216" t="str">
        <f>_xlfn.XLOOKUP(表格3_5[[#This Row],[Name]],Name_list[Full Name],Name_list[Nick Name])</f>
        <v>Amy</v>
      </c>
      <c r="H44" s="207" t="s">
        <v>144</v>
      </c>
      <c r="I44" s="228" t="s">
        <v>116</v>
      </c>
      <c r="J44" s="206">
        <v>0.49444444444444446</v>
      </c>
      <c r="K44" s="204">
        <v>0.83333333333333304</v>
      </c>
      <c r="L44" s="214">
        <f>(表格3_5[[#This Row],[Out-Time]] - 表格3_5[[#This Row],[In-Time]])*24</f>
        <v>8.1333333333333258</v>
      </c>
      <c r="M44" s="213">
        <f>表格3_5[[#This Row],[ Hours]]-表格3_5[[#This Row],[Normal working
 hours]]</f>
        <v>0.13333333333333286</v>
      </c>
      <c r="N44" s="206">
        <v>0.5</v>
      </c>
      <c r="O44" s="204">
        <v>0.83333333333333304</v>
      </c>
      <c r="P44" s="214">
        <f>(表格3_5[[#This Row],[Out-Time2]] - 表格3_5[[#This Row],[In-Time2]])*24</f>
        <v>7.9999999999999929</v>
      </c>
      <c r="Q44" s="205">
        <v>7.9999999999999902</v>
      </c>
      <c r="R44" s="214">
        <f>_xlfn.XLOOKUP(表格3_5[[#This Row],[Name]],Name_list[Full Name],Name_list[Hourr Rate])</f>
        <v>0</v>
      </c>
      <c r="S44" s="214">
        <f>表格3_5[[#This Row],[Hours Worked]]*表格3_5[[#This Row],[Hourly Rate]]</f>
        <v>0</v>
      </c>
    </row>
    <row r="45" spans="1:19">
      <c r="A45" s="201">
        <v>43</v>
      </c>
      <c r="B45" s="210" t="str">
        <f>_xlfn.CONCAT(表格3_5[[#This Row],[Name]],表格3_5[[#This Row],[Location]])</f>
        <v>Leung Kam ChingMetro City</v>
      </c>
      <c r="C45" s="211" t="str">
        <f>表格3_5[[#This Row],[Location]] &amp; 表格3_5[[#This Row],[Date]] &amp;表格3_5[[#This Row],[Nick Name]]</f>
        <v>Metro City46200Amy</v>
      </c>
      <c r="D45" s="202"/>
      <c r="E45" s="211" t="str">
        <f>DAY(表格3_5[[#This Row],[Date]])&amp;""</f>
        <v>27</v>
      </c>
      <c r="F45" s="203">
        <v>46200</v>
      </c>
      <c r="G45" s="216" t="str">
        <f>_xlfn.XLOOKUP(表格3_5[[#This Row],[Name]],Name_list[Full Name],Name_list[Nick Name])</f>
        <v>Amy</v>
      </c>
      <c r="H45" s="207" t="s">
        <v>144</v>
      </c>
      <c r="I45" s="228" t="s">
        <v>116</v>
      </c>
      <c r="J45" s="206">
        <v>0.49305555555555558</v>
      </c>
      <c r="K45" s="204">
        <v>0.83333333333333304</v>
      </c>
      <c r="L45" s="214">
        <f>(表格3_5[[#This Row],[Out-Time]] - 表格3_5[[#This Row],[In-Time]])*24</f>
        <v>8.166666666666659</v>
      </c>
      <c r="M45" s="213">
        <f>表格3_5[[#This Row],[ Hours]]-表格3_5[[#This Row],[Normal working
 hours]]</f>
        <v>0.16666666666666607</v>
      </c>
      <c r="N45" s="206">
        <v>0.5</v>
      </c>
      <c r="O45" s="204">
        <v>0.83333333333333304</v>
      </c>
      <c r="P45" s="214">
        <f>(表格3_5[[#This Row],[Out-Time2]] - 表格3_5[[#This Row],[In-Time2]])*24</f>
        <v>7.9999999999999929</v>
      </c>
      <c r="Q45" s="205">
        <v>7.9999999999999902</v>
      </c>
      <c r="R45" s="214">
        <f>_xlfn.XLOOKUP(表格3_5[[#This Row],[Name]],Name_list[Full Name],Name_list[Hourr Rate])</f>
        <v>0</v>
      </c>
      <c r="S45" s="214">
        <f>表格3_5[[#This Row],[Hours Worked]]*表格3_5[[#This Row],[Hourly Rate]]</f>
        <v>0</v>
      </c>
    </row>
    <row r="46" spans="1:19">
      <c r="A46" s="201">
        <v>44</v>
      </c>
      <c r="B46" s="210" t="str">
        <f>_xlfn.CONCAT(表格3_5[[#This Row],[Name]],表格3_5[[#This Row],[Location]])</f>
        <v>Leung Kam ChingTelford plaza Chung Yuen</v>
      </c>
      <c r="C46" s="211" t="str">
        <f>表格3_5[[#This Row],[Location]] &amp; 表格3_5[[#This Row],[Date]] &amp;表格3_5[[#This Row],[Nick Name]]</f>
        <v>Telford plaza Chung Yuen46201Amy</v>
      </c>
      <c r="D46" s="202"/>
      <c r="E46" s="211" t="str">
        <f>DAY(表格3_5[[#This Row],[Date]])&amp;""</f>
        <v>28</v>
      </c>
      <c r="F46" s="203">
        <v>46201</v>
      </c>
      <c r="G46" s="216" t="str">
        <f>_xlfn.XLOOKUP(表格3_5[[#This Row],[Name]],Name_list[Full Name],Name_list[Nick Name])</f>
        <v>Amy</v>
      </c>
      <c r="H46" s="207" t="s">
        <v>122</v>
      </c>
      <c r="I46" s="228" t="s">
        <v>116</v>
      </c>
      <c r="J46" s="206">
        <v>0.49166666666666664</v>
      </c>
      <c r="K46" s="204">
        <v>0.83333333333333304</v>
      </c>
      <c r="L46" s="214">
        <f>(表格3_5[[#This Row],[Out-Time]] - 表格3_5[[#This Row],[In-Time]])*24</f>
        <v>8.199999999999994</v>
      </c>
      <c r="M46" s="213">
        <f>表格3_5[[#This Row],[ Hours]]-表格3_5[[#This Row],[Normal working
 hours]]</f>
        <v>0.20000000000000107</v>
      </c>
      <c r="N46" s="206">
        <v>0.5</v>
      </c>
      <c r="O46" s="204">
        <v>0.83333333333333304</v>
      </c>
      <c r="P46" s="214">
        <f>(表格3_5[[#This Row],[Out-Time2]] - 表格3_5[[#This Row],[In-Time2]])*24</f>
        <v>7.9999999999999929</v>
      </c>
      <c r="Q46" s="205">
        <v>7.9999999999999902</v>
      </c>
      <c r="R46" s="214">
        <f>_xlfn.XLOOKUP(表格3_5[[#This Row],[Name]],Name_list[Full Name],Name_list[Hourr Rate])</f>
        <v>0</v>
      </c>
      <c r="S46" s="214">
        <f>表格3_5[[#This Row],[Hours Worked]]*表格3_5[[#This Row],[Hourly Rate]]</f>
        <v>0</v>
      </c>
    </row>
    <row r="47" spans="1:19">
      <c r="A47" s="201">
        <v>45</v>
      </c>
      <c r="B47" s="210" t="str">
        <f>_xlfn.CONCAT(表格3_5[[#This Row],[Name]],表格3_5[[#This Row],[Location]])</f>
        <v>Leung Kam ChingTelford plaza Chung Yuen</v>
      </c>
      <c r="C47" s="211" t="str">
        <f>表格3_5[[#This Row],[Location]] &amp; 表格3_5[[#This Row],[Date]] &amp;表格3_5[[#This Row],[Nick Name]]</f>
        <v>Telford plaza Chung Yuen46202Amy</v>
      </c>
      <c r="D47" s="202"/>
      <c r="E47" s="211" t="str">
        <f>DAY(表格3_5[[#This Row],[Date]])&amp;""</f>
        <v>29</v>
      </c>
      <c r="F47" s="203">
        <v>46202</v>
      </c>
      <c r="G47" s="216" t="str">
        <f>_xlfn.XLOOKUP(表格3_5[[#This Row],[Name]],Name_list[Full Name],Name_list[Nick Name])</f>
        <v>Amy</v>
      </c>
      <c r="H47" s="207" t="s">
        <v>122</v>
      </c>
      <c r="I47" s="228" t="s">
        <v>116</v>
      </c>
      <c r="J47" s="206">
        <v>0.49444444444444446</v>
      </c>
      <c r="K47" s="204">
        <v>0.83333333333333304</v>
      </c>
      <c r="L47" s="214">
        <f>(表格3_5[[#This Row],[Out-Time]] - 表格3_5[[#This Row],[In-Time]])*24</f>
        <v>8.1333333333333258</v>
      </c>
      <c r="M47" s="213">
        <f>表格3_5[[#This Row],[ Hours]]-表格3_5[[#This Row],[Normal working
 hours]]</f>
        <v>0.13333333333333286</v>
      </c>
      <c r="N47" s="206">
        <v>0.5</v>
      </c>
      <c r="O47" s="204">
        <v>0.83333333333333304</v>
      </c>
      <c r="P47" s="214">
        <f>(表格3_5[[#This Row],[Out-Time2]] - 表格3_5[[#This Row],[In-Time2]])*24</f>
        <v>7.9999999999999929</v>
      </c>
      <c r="Q47" s="205">
        <v>7.9999999999999902</v>
      </c>
      <c r="R47" s="214">
        <f>_xlfn.XLOOKUP(表格3_5[[#This Row],[Name]],Name_list[Full Name],Name_list[Hourr Rate])</f>
        <v>0</v>
      </c>
      <c r="S47" s="214">
        <f>表格3_5[[#This Row],[Hours Worked]]*表格3_5[[#This Row],[Hourly Rate]]</f>
        <v>0</v>
      </c>
    </row>
    <row r="48" spans="1:19">
      <c r="A48" s="201">
        <v>46</v>
      </c>
      <c r="B48" s="210" t="str">
        <f>_xlfn.CONCAT(表格3_5[[#This Row],[Name]],表格3_5[[#This Row],[Location]])</f>
        <v xml:space="preserve">Yuen Maria Wing YanCWB Yoho </v>
      </c>
      <c r="C48" s="211" t="str">
        <f>表格3_5[[#This Row],[Location]] &amp; 表格3_5[[#This Row],[Date]] &amp;表格3_5[[#This Row],[Nick Name]]</f>
        <v>CWB Yoho 46174Carol</v>
      </c>
      <c r="D48" s="202"/>
      <c r="E48" s="211" t="str">
        <f>DAY(表格3_5[[#This Row],[Date]])&amp;""</f>
        <v>1</v>
      </c>
      <c r="F48" s="203">
        <v>46174</v>
      </c>
      <c r="G48" s="216" t="str">
        <f>_xlfn.XLOOKUP(表格3_5[[#This Row],[Name]],Name_list[Full Name],Name_list[Nick Name])</f>
        <v>Carol</v>
      </c>
      <c r="H48" s="207" t="s">
        <v>126</v>
      </c>
      <c r="I48" s="228" t="s">
        <v>114</v>
      </c>
      <c r="J48" s="206">
        <v>0.5</v>
      </c>
      <c r="K48" s="204">
        <v>0.83333333333333304</v>
      </c>
      <c r="L48" s="214">
        <f>(表格3_5[[#This Row],[Out-Time]] - 表格3_5[[#This Row],[In-Time]])*24</f>
        <v>7.9999999999999929</v>
      </c>
      <c r="M48" s="213">
        <f>表格3_5[[#This Row],[ Hours]]-表格3_5[[#This Row],[Normal working
 hours]]</f>
        <v>0</v>
      </c>
      <c r="N48" s="206">
        <v>0.5</v>
      </c>
      <c r="O48" s="204">
        <v>0.83333333333333304</v>
      </c>
      <c r="P48" s="214">
        <f>(表格3_5[[#This Row],[Out-Time2]] - 表格3_5[[#This Row],[In-Time2]])*24</f>
        <v>7.9999999999999929</v>
      </c>
      <c r="Q48" s="205">
        <v>7.9999999999999902</v>
      </c>
      <c r="R48" s="214">
        <f>_xlfn.XLOOKUP(表格3_5[[#This Row],[Name]],Name_list[Full Name],Name_list[Hourr Rate])</f>
        <v>0</v>
      </c>
      <c r="S48" s="214">
        <f>表格3_5[[#This Row],[Hours Worked]]*表格3_5[[#This Row],[Hourly Rate]]</f>
        <v>0</v>
      </c>
    </row>
    <row r="49" spans="1:19">
      <c r="A49" s="201">
        <v>47</v>
      </c>
      <c r="B49" s="210" t="str">
        <f>_xlfn.CONCAT(表格3_5[[#This Row],[Name]],表格3_5[[#This Row],[Location]])</f>
        <v>Yuen Maria Wing YanTsuen Wan Chung Yuen</v>
      </c>
      <c r="C49" s="211" t="str">
        <f>表格3_5[[#This Row],[Location]] &amp; 表格3_5[[#This Row],[Date]] &amp;表格3_5[[#This Row],[Nick Name]]</f>
        <v>Tsuen Wan Chung Yuen46175Carol</v>
      </c>
      <c r="D49" s="202"/>
      <c r="E49" s="211" t="str">
        <f>DAY(表格3_5[[#This Row],[Date]])&amp;""</f>
        <v>2</v>
      </c>
      <c r="F49" s="203">
        <v>46175</v>
      </c>
      <c r="G49" s="216" t="str">
        <f>_xlfn.XLOOKUP(表格3_5[[#This Row],[Name]],Name_list[Full Name],Name_list[Nick Name])</f>
        <v>Carol</v>
      </c>
      <c r="H49" s="207" t="s">
        <v>125</v>
      </c>
      <c r="I49" s="228" t="s">
        <v>114</v>
      </c>
      <c r="J49" s="206">
        <v>0.5</v>
      </c>
      <c r="K49" s="204">
        <v>0.83333333333333304</v>
      </c>
      <c r="L49" s="214">
        <f>(表格3_5[[#This Row],[Out-Time]] - 表格3_5[[#This Row],[In-Time]])*24</f>
        <v>7.9999999999999929</v>
      </c>
      <c r="M49" s="213">
        <f>表格3_5[[#This Row],[ Hours]]-表格3_5[[#This Row],[Normal working
 hours]]</f>
        <v>0</v>
      </c>
      <c r="N49" s="206">
        <v>0.5</v>
      </c>
      <c r="O49" s="204">
        <v>0.83333333333333304</v>
      </c>
      <c r="P49" s="214">
        <f>(表格3_5[[#This Row],[Out-Time2]] - 表格3_5[[#This Row],[In-Time2]])*24</f>
        <v>7.9999999999999929</v>
      </c>
      <c r="Q49" s="205">
        <v>7.9999999999999902</v>
      </c>
      <c r="R49" s="214">
        <f>_xlfn.XLOOKUP(表格3_5[[#This Row],[Name]],Name_list[Full Name],Name_list[Hourr Rate])</f>
        <v>0</v>
      </c>
      <c r="S49" s="214">
        <f>表格3_5[[#This Row],[Hours Worked]]*表格3_5[[#This Row],[Hourly Rate]]</f>
        <v>0</v>
      </c>
    </row>
    <row r="50" spans="1:19">
      <c r="A50" s="201">
        <v>48</v>
      </c>
      <c r="B50" s="210" t="str">
        <f>_xlfn.CONCAT(表格3_5[[#This Row],[Name]],表格3_5[[#This Row],[Location]])</f>
        <v>Yuen Maria Wing YanTsuen Wan Chung Yuen</v>
      </c>
      <c r="C50" s="211" t="str">
        <f>表格3_5[[#This Row],[Location]] &amp; 表格3_5[[#This Row],[Date]] &amp;表格3_5[[#This Row],[Nick Name]]</f>
        <v>Tsuen Wan Chung Yuen46177Carol</v>
      </c>
      <c r="D50" s="202"/>
      <c r="E50" s="211" t="str">
        <f>DAY(表格3_5[[#This Row],[Date]])&amp;""</f>
        <v>4</v>
      </c>
      <c r="F50" s="203">
        <v>46177</v>
      </c>
      <c r="G50" s="216" t="str">
        <f>_xlfn.XLOOKUP(表格3_5[[#This Row],[Name]],Name_list[Full Name],Name_list[Nick Name])</f>
        <v>Carol</v>
      </c>
      <c r="H50" s="207" t="s">
        <v>125</v>
      </c>
      <c r="I50" s="228" t="s">
        <v>114</v>
      </c>
      <c r="J50" s="206">
        <v>0.5</v>
      </c>
      <c r="K50" s="204">
        <v>0.83333333333333304</v>
      </c>
      <c r="L50" s="214">
        <f>(表格3_5[[#This Row],[Out-Time]] - 表格3_5[[#This Row],[In-Time]])*24</f>
        <v>7.9999999999999929</v>
      </c>
      <c r="M50" s="213">
        <f>表格3_5[[#This Row],[ Hours]]-表格3_5[[#This Row],[Normal working
 hours]]</f>
        <v>0</v>
      </c>
      <c r="N50" s="206">
        <v>0.5</v>
      </c>
      <c r="O50" s="204">
        <v>0.83333333333333304</v>
      </c>
      <c r="P50" s="214">
        <f>(表格3_5[[#This Row],[Out-Time2]] - 表格3_5[[#This Row],[In-Time2]])*24</f>
        <v>7.9999999999999929</v>
      </c>
      <c r="Q50" s="205">
        <v>7.9999999999999902</v>
      </c>
      <c r="R50" s="214">
        <f>_xlfn.XLOOKUP(表格3_5[[#This Row],[Name]],Name_list[Full Name],Name_list[Hourr Rate])</f>
        <v>0</v>
      </c>
      <c r="S50" s="214">
        <f>表格3_5[[#This Row],[Hours Worked]]*表格3_5[[#This Row],[Hourly Rate]]</f>
        <v>0</v>
      </c>
    </row>
    <row r="51" spans="1:19">
      <c r="A51" s="201">
        <v>49</v>
      </c>
      <c r="B51" s="210" t="str">
        <f>_xlfn.CONCAT(表格3_5[[#This Row],[Name]],表格3_5[[#This Row],[Location]])</f>
        <v>Yuen Maria Wing YanTsuen Wan Chung Yuen</v>
      </c>
      <c r="C51" s="211" t="str">
        <f>表格3_5[[#This Row],[Location]] &amp; 表格3_5[[#This Row],[Date]] &amp;表格3_5[[#This Row],[Nick Name]]</f>
        <v>Tsuen Wan Chung Yuen46178Carol</v>
      </c>
      <c r="D51" s="202"/>
      <c r="E51" s="211" t="str">
        <f>DAY(表格3_5[[#This Row],[Date]])&amp;""</f>
        <v>5</v>
      </c>
      <c r="F51" s="203">
        <v>46178</v>
      </c>
      <c r="G51" s="216" t="str">
        <f>_xlfn.XLOOKUP(表格3_5[[#This Row],[Name]],Name_list[Full Name],Name_list[Nick Name])</f>
        <v>Carol</v>
      </c>
      <c r="H51" s="207" t="s">
        <v>125</v>
      </c>
      <c r="I51" s="228" t="s">
        <v>114</v>
      </c>
      <c r="J51" s="206">
        <v>0.5</v>
      </c>
      <c r="K51" s="204">
        <v>0.83333333333333304</v>
      </c>
      <c r="L51" s="214">
        <f>(表格3_5[[#This Row],[Out-Time]] - 表格3_5[[#This Row],[In-Time]])*24</f>
        <v>7.9999999999999929</v>
      </c>
      <c r="M51" s="213">
        <f>表格3_5[[#This Row],[ Hours]]-表格3_5[[#This Row],[Normal working
 hours]]</f>
        <v>0</v>
      </c>
      <c r="N51" s="206">
        <v>0.5</v>
      </c>
      <c r="O51" s="204">
        <v>0.83333333333333304</v>
      </c>
      <c r="P51" s="214">
        <f>(表格3_5[[#This Row],[Out-Time2]] - 表格3_5[[#This Row],[In-Time2]])*24</f>
        <v>7.9999999999999929</v>
      </c>
      <c r="Q51" s="205">
        <v>7.9999999999999902</v>
      </c>
      <c r="R51" s="214">
        <f>_xlfn.XLOOKUP(表格3_5[[#This Row],[Name]],Name_list[Full Name],Name_list[Hourr Rate])</f>
        <v>0</v>
      </c>
      <c r="S51" s="214">
        <f>表格3_5[[#This Row],[Hours Worked]]*表格3_5[[#This Row],[Hourly Rate]]</f>
        <v>0</v>
      </c>
    </row>
    <row r="52" spans="1:19">
      <c r="A52" s="201">
        <v>50</v>
      </c>
      <c r="B52" s="210" t="str">
        <f>_xlfn.CONCAT(表格3_5[[#This Row],[Name]],表格3_5[[#This Row],[Location]])</f>
        <v xml:space="preserve">Yuen Maria Wing YanCWB Yoho </v>
      </c>
      <c r="C52" s="211" t="str">
        <f>表格3_5[[#This Row],[Location]] &amp; 表格3_5[[#This Row],[Date]] &amp;表格3_5[[#This Row],[Nick Name]]</f>
        <v>CWB Yoho 46179Carol</v>
      </c>
      <c r="D52" s="202"/>
      <c r="E52" s="211" t="str">
        <f>DAY(表格3_5[[#This Row],[Date]])&amp;""</f>
        <v>6</v>
      </c>
      <c r="F52" s="203">
        <v>46179</v>
      </c>
      <c r="G52" s="216" t="str">
        <f>_xlfn.XLOOKUP(表格3_5[[#This Row],[Name]],Name_list[Full Name],Name_list[Nick Name])</f>
        <v>Carol</v>
      </c>
      <c r="H52" s="207" t="s">
        <v>126</v>
      </c>
      <c r="I52" s="228" t="s">
        <v>114</v>
      </c>
      <c r="J52" s="206">
        <v>0.5</v>
      </c>
      <c r="K52" s="204">
        <v>0.83333333333333304</v>
      </c>
      <c r="L52" s="214">
        <f>(表格3_5[[#This Row],[Out-Time]] - 表格3_5[[#This Row],[In-Time]])*24</f>
        <v>7.9999999999999929</v>
      </c>
      <c r="M52" s="213">
        <f>表格3_5[[#This Row],[ Hours]]-表格3_5[[#This Row],[Normal working
 hours]]</f>
        <v>0</v>
      </c>
      <c r="N52" s="206">
        <v>0.5</v>
      </c>
      <c r="O52" s="204">
        <v>0.83333333333333304</v>
      </c>
      <c r="P52" s="214">
        <f>(表格3_5[[#This Row],[Out-Time2]] - 表格3_5[[#This Row],[In-Time2]])*24</f>
        <v>7.9999999999999929</v>
      </c>
      <c r="Q52" s="205">
        <v>7.9999999999999902</v>
      </c>
      <c r="R52" s="214">
        <f>_xlfn.XLOOKUP(表格3_5[[#This Row],[Name]],Name_list[Full Name],Name_list[Hourr Rate])</f>
        <v>0</v>
      </c>
      <c r="S52" s="214">
        <f>表格3_5[[#This Row],[Hours Worked]]*表格3_5[[#This Row],[Hourly Rate]]</f>
        <v>0</v>
      </c>
    </row>
    <row r="53" spans="1:19">
      <c r="A53" s="201">
        <v>51</v>
      </c>
      <c r="B53" s="210" t="str">
        <f>_xlfn.CONCAT(表格3_5[[#This Row],[Name]],表格3_5[[#This Row],[Location]])</f>
        <v xml:space="preserve">Yuen Maria Wing YanCWB Yoho </v>
      </c>
      <c r="C53" s="211" t="str">
        <f>表格3_5[[#This Row],[Location]] &amp; 表格3_5[[#This Row],[Date]] &amp;表格3_5[[#This Row],[Nick Name]]</f>
        <v>CWB Yoho 46181Carol</v>
      </c>
      <c r="D53" s="202"/>
      <c r="E53" s="211" t="str">
        <f>DAY(表格3_5[[#This Row],[Date]])&amp;""</f>
        <v>8</v>
      </c>
      <c r="F53" s="203">
        <v>46181</v>
      </c>
      <c r="G53" s="216" t="str">
        <f>_xlfn.XLOOKUP(表格3_5[[#This Row],[Name]],Name_list[Full Name],Name_list[Nick Name])</f>
        <v>Carol</v>
      </c>
      <c r="H53" s="207" t="s">
        <v>126</v>
      </c>
      <c r="I53" s="228" t="s">
        <v>114</v>
      </c>
      <c r="J53" s="206">
        <v>0.5</v>
      </c>
      <c r="K53" s="204">
        <v>0.83333333333333304</v>
      </c>
      <c r="L53" s="214">
        <f>(表格3_5[[#This Row],[Out-Time]] - 表格3_5[[#This Row],[In-Time]])*24</f>
        <v>7.9999999999999929</v>
      </c>
      <c r="M53" s="213">
        <f>表格3_5[[#This Row],[ Hours]]-表格3_5[[#This Row],[Normal working
 hours]]</f>
        <v>0</v>
      </c>
      <c r="N53" s="206">
        <v>0.5</v>
      </c>
      <c r="O53" s="204">
        <v>0.83333333333333304</v>
      </c>
      <c r="P53" s="214">
        <f>(表格3_5[[#This Row],[Out-Time2]] - 表格3_5[[#This Row],[In-Time2]])*24</f>
        <v>7.9999999999999929</v>
      </c>
      <c r="Q53" s="205">
        <v>7.9999999999999902</v>
      </c>
      <c r="R53" s="214">
        <f>_xlfn.XLOOKUP(表格3_5[[#This Row],[Name]],Name_list[Full Name],Name_list[Hourr Rate])</f>
        <v>0</v>
      </c>
      <c r="S53" s="214">
        <f>表格3_5[[#This Row],[Hours Worked]]*表格3_5[[#This Row],[Hourly Rate]]</f>
        <v>0</v>
      </c>
    </row>
    <row r="54" spans="1:19">
      <c r="A54" s="201">
        <v>52</v>
      </c>
      <c r="B54" s="210" t="str">
        <f>_xlfn.CONCAT(表格3_5[[#This Row],[Name]],表格3_5[[#This Row],[Location]])</f>
        <v>Yuen Maria Wing YanTsuen Wan Chung Yuen</v>
      </c>
      <c r="C54" s="211" t="str">
        <f>表格3_5[[#This Row],[Location]] &amp; 表格3_5[[#This Row],[Date]] &amp;表格3_5[[#This Row],[Nick Name]]</f>
        <v>Tsuen Wan Chung Yuen46182Carol</v>
      </c>
      <c r="D54" s="202"/>
      <c r="E54" s="211" t="str">
        <f>DAY(表格3_5[[#This Row],[Date]])&amp;""</f>
        <v>9</v>
      </c>
      <c r="F54" s="203">
        <v>46182</v>
      </c>
      <c r="G54" s="216" t="str">
        <f>_xlfn.XLOOKUP(表格3_5[[#This Row],[Name]],Name_list[Full Name],Name_list[Nick Name])</f>
        <v>Carol</v>
      </c>
      <c r="H54" s="207" t="s">
        <v>125</v>
      </c>
      <c r="I54" s="228" t="s">
        <v>114</v>
      </c>
      <c r="J54" s="206">
        <v>0.5</v>
      </c>
      <c r="K54" s="204">
        <v>0.83333333333333304</v>
      </c>
      <c r="L54" s="214">
        <f>(表格3_5[[#This Row],[Out-Time]] - 表格3_5[[#This Row],[In-Time]])*24</f>
        <v>7.9999999999999929</v>
      </c>
      <c r="M54" s="213">
        <f>表格3_5[[#This Row],[ Hours]]-表格3_5[[#This Row],[Normal working
 hours]]</f>
        <v>0</v>
      </c>
      <c r="N54" s="206">
        <v>0.5</v>
      </c>
      <c r="O54" s="204">
        <v>0.83333333333333304</v>
      </c>
      <c r="P54" s="214">
        <f>(表格3_5[[#This Row],[Out-Time2]] - 表格3_5[[#This Row],[In-Time2]])*24</f>
        <v>7.9999999999999929</v>
      </c>
      <c r="Q54" s="205">
        <v>7.9999999999999902</v>
      </c>
      <c r="R54" s="214">
        <f>_xlfn.XLOOKUP(表格3_5[[#This Row],[Name]],Name_list[Full Name],Name_list[Hourr Rate])</f>
        <v>0</v>
      </c>
      <c r="S54" s="214">
        <f>表格3_5[[#This Row],[Hours Worked]]*表格3_5[[#This Row],[Hourly Rate]]</f>
        <v>0</v>
      </c>
    </row>
    <row r="55" spans="1:19">
      <c r="A55" s="201">
        <v>53</v>
      </c>
      <c r="B55" s="210" t="str">
        <f>_xlfn.CONCAT(表格3_5[[#This Row],[Name]],表格3_5[[#This Row],[Location]])</f>
        <v>Yuen Maria Wing YanTsuen Wan Chung Yuen</v>
      </c>
      <c r="C55" s="211" t="str">
        <f>表格3_5[[#This Row],[Location]] &amp; 表格3_5[[#This Row],[Date]] &amp;表格3_5[[#This Row],[Nick Name]]</f>
        <v>Tsuen Wan Chung Yuen46183Carol</v>
      </c>
      <c r="D55" s="202"/>
      <c r="E55" s="211" t="str">
        <f>DAY(表格3_5[[#This Row],[Date]])&amp;""</f>
        <v>10</v>
      </c>
      <c r="F55" s="203">
        <v>46183</v>
      </c>
      <c r="G55" s="216" t="str">
        <f>_xlfn.XLOOKUP(表格3_5[[#This Row],[Name]],Name_list[Full Name],Name_list[Nick Name])</f>
        <v>Carol</v>
      </c>
      <c r="H55" s="207" t="s">
        <v>125</v>
      </c>
      <c r="I55" s="228" t="s">
        <v>114</v>
      </c>
      <c r="J55" s="206">
        <v>0.5</v>
      </c>
      <c r="K55" s="204">
        <v>0.83333333333333304</v>
      </c>
      <c r="L55" s="214">
        <f>(表格3_5[[#This Row],[Out-Time]] - 表格3_5[[#This Row],[In-Time]])*24</f>
        <v>7.9999999999999929</v>
      </c>
      <c r="M55" s="213">
        <f>表格3_5[[#This Row],[ Hours]]-表格3_5[[#This Row],[Normal working
 hours]]</f>
        <v>0</v>
      </c>
      <c r="N55" s="206">
        <v>0.5</v>
      </c>
      <c r="O55" s="204">
        <v>0.83333333333333304</v>
      </c>
      <c r="P55" s="214">
        <f>(表格3_5[[#This Row],[Out-Time2]] - 表格3_5[[#This Row],[In-Time2]])*24</f>
        <v>7.9999999999999929</v>
      </c>
      <c r="Q55" s="205">
        <v>7.9999999999999902</v>
      </c>
      <c r="R55" s="214">
        <f>_xlfn.XLOOKUP(表格3_5[[#This Row],[Name]],Name_list[Full Name],Name_list[Hourr Rate])</f>
        <v>0</v>
      </c>
      <c r="S55" s="214">
        <f>表格3_5[[#This Row],[Hours Worked]]*表格3_5[[#This Row],[Hourly Rate]]</f>
        <v>0</v>
      </c>
    </row>
    <row r="56" spans="1:19">
      <c r="A56" s="201">
        <v>54</v>
      </c>
      <c r="B56" s="210" t="str">
        <f>_xlfn.CONCAT(表格3_5[[#This Row],[Name]],表格3_5[[#This Row],[Location]])</f>
        <v>Yuen Maria Wing YanTsuen Wan Chung Yuen</v>
      </c>
      <c r="C56" s="211" t="str">
        <f>表格3_5[[#This Row],[Location]] &amp; 表格3_5[[#This Row],[Date]] &amp;表格3_5[[#This Row],[Nick Name]]</f>
        <v>Tsuen Wan Chung Yuen46184Carol</v>
      </c>
      <c r="D56" s="202"/>
      <c r="E56" s="211" t="str">
        <f>DAY(表格3_5[[#This Row],[Date]])&amp;""</f>
        <v>11</v>
      </c>
      <c r="F56" s="203">
        <v>46184</v>
      </c>
      <c r="G56" s="216" t="str">
        <f>_xlfn.XLOOKUP(表格3_5[[#This Row],[Name]],Name_list[Full Name],Name_list[Nick Name])</f>
        <v>Carol</v>
      </c>
      <c r="H56" s="207" t="s">
        <v>125</v>
      </c>
      <c r="I56" s="228" t="s">
        <v>114</v>
      </c>
      <c r="J56" s="206">
        <v>0.5</v>
      </c>
      <c r="K56" s="204">
        <v>0.83333333333333304</v>
      </c>
      <c r="L56" s="214">
        <f>(表格3_5[[#This Row],[Out-Time]] - 表格3_5[[#This Row],[In-Time]])*24</f>
        <v>7.9999999999999929</v>
      </c>
      <c r="M56" s="213">
        <f>表格3_5[[#This Row],[ Hours]]-表格3_5[[#This Row],[Normal working
 hours]]</f>
        <v>0</v>
      </c>
      <c r="N56" s="206">
        <v>0.5</v>
      </c>
      <c r="O56" s="204">
        <v>0.83333333333333304</v>
      </c>
      <c r="P56" s="214">
        <f>(表格3_5[[#This Row],[Out-Time2]] - 表格3_5[[#This Row],[In-Time2]])*24</f>
        <v>7.9999999999999929</v>
      </c>
      <c r="Q56" s="205">
        <v>7.9999999999999902</v>
      </c>
      <c r="R56" s="214">
        <f>_xlfn.XLOOKUP(表格3_5[[#This Row],[Name]],Name_list[Full Name],Name_list[Hourr Rate])</f>
        <v>0</v>
      </c>
      <c r="S56" s="214">
        <f>表格3_5[[#This Row],[Hours Worked]]*表格3_5[[#This Row],[Hourly Rate]]</f>
        <v>0</v>
      </c>
    </row>
    <row r="57" spans="1:19">
      <c r="A57" s="201">
        <v>55</v>
      </c>
      <c r="B57" s="210" t="str">
        <f>_xlfn.CONCAT(表格3_5[[#This Row],[Name]],表格3_5[[#This Row],[Location]])</f>
        <v xml:space="preserve">Yuen Maria Wing YanCWB Yoho </v>
      </c>
      <c r="C57" s="211" t="str">
        <f>表格3_5[[#This Row],[Location]] &amp; 表格3_5[[#This Row],[Date]] &amp;表格3_5[[#This Row],[Nick Name]]</f>
        <v>CWB Yoho 46185Carol</v>
      </c>
      <c r="D57" s="202"/>
      <c r="E57" s="211" t="str">
        <f>DAY(表格3_5[[#This Row],[Date]])&amp;""</f>
        <v>12</v>
      </c>
      <c r="F57" s="203">
        <v>46185</v>
      </c>
      <c r="G57" s="216" t="str">
        <f>_xlfn.XLOOKUP(表格3_5[[#This Row],[Name]],Name_list[Full Name],Name_list[Nick Name])</f>
        <v>Carol</v>
      </c>
      <c r="H57" s="207" t="s">
        <v>126</v>
      </c>
      <c r="I57" s="228" t="s">
        <v>114</v>
      </c>
      <c r="J57" s="206">
        <v>0.5</v>
      </c>
      <c r="K57" s="204">
        <v>0.83333333333333304</v>
      </c>
      <c r="L57" s="214">
        <f>(表格3_5[[#This Row],[Out-Time]] - 表格3_5[[#This Row],[In-Time]])*24</f>
        <v>7.9999999999999929</v>
      </c>
      <c r="M57" s="213">
        <f>表格3_5[[#This Row],[ Hours]]-表格3_5[[#This Row],[Normal working
 hours]]</f>
        <v>0</v>
      </c>
      <c r="N57" s="206">
        <v>0.5</v>
      </c>
      <c r="O57" s="204">
        <v>0.83333333333333304</v>
      </c>
      <c r="P57" s="214">
        <f>(表格3_5[[#This Row],[Out-Time2]] - 表格3_5[[#This Row],[In-Time2]])*24</f>
        <v>7.9999999999999929</v>
      </c>
      <c r="Q57" s="205">
        <v>7.9999999999999902</v>
      </c>
      <c r="R57" s="214">
        <f>_xlfn.XLOOKUP(表格3_5[[#This Row],[Name]],Name_list[Full Name],Name_list[Hourr Rate])</f>
        <v>0</v>
      </c>
      <c r="S57" s="214">
        <f>表格3_5[[#This Row],[Hours Worked]]*表格3_5[[#This Row],[Hourly Rate]]</f>
        <v>0</v>
      </c>
    </row>
    <row r="58" spans="1:19">
      <c r="A58" s="201">
        <v>56</v>
      </c>
      <c r="B58" s="210" t="str">
        <f>_xlfn.CONCAT(表格3_5[[#This Row],[Name]],表格3_5[[#This Row],[Location]])</f>
        <v xml:space="preserve">Yuen Maria Wing YanCWB Yoho </v>
      </c>
      <c r="C58" s="211" t="str">
        <f>表格3_5[[#This Row],[Location]] &amp; 表格3_5[[#This Row],[Date]] &amp;表格3_5[[#This Row],[Nick Name]]</f>
        <v>CWB Yoho 46188Carol</v>
      </c>
      <c r="D58" s="202"/>
      <c r="E58" s="211" t="str">
        <f>DAY(表格3_5[[#This Row],[Date]])&amp;""</f>
        <v>15</v>
      </c>
      <c r="F58" s="203">
        <v>46188</v>
      </c>
      <c r="G58" s="216" t="str">
        <f>_xlfn.XLOOKUP(表格3_5[[#This Row],[Name]],Name_list[Full Name],Name_list[Nick Name])</f>
        <v>Carol</v>
      </c>
      <c r="H58" s="207" t="s">
        <v>126</v>
      </c>
      <c r="I58" s="228" t="s">
        <v>114</v>
      </c>
      <c r="J58" s="206">
        <v>0.5</v>
      </c>
      <c r="K58" s="204">
        <v>0.83333333333333304</v>
      </c>
      <c r="L58" s="214">
        <f>(表格3_5[[#This Row],[Out-Time]] - 表格3_5[[#This Row],[In-Time]])*24</f>
        <v>7.9999999999999929</v>
      </c>
      <c r="M58" s="213">
        <f>表格3_5[[#This Row],[ Hours]]-表格3_5[[#This Row],[Normal working
 hours]]</f>
        <v>0</v>
      </c>
      <c r="N58" s="206">
        <v>0.5</v>
      </c>
      <c r="O58" s="204">
        <v>0.83333333333333304</v>
      </c>
      <c r="P58" s="214">
        <f>(表格3_5[[#This Row],[Out-Time2]] - 表格3_5[[#This Row],[In-Time2]])*24</f>
        <v>7.9999999999999929</v>
      </c>
      <c r="Q58" s="205">
        <v>7.9999999999999902</v>
      </c>
      <c r="R58" s="214">
        <f>_xlfn.XLOOKUP(表格3_5[[#This Row],[Name]],Name_list[Full Name],Name_list[Hourr Rate])</f>
        <v>0</v>
      </c>
      <c r="S58" s="214">
        <f>表格3_5[[#This Row],[Hours Worked]]*表格3_5[[#This Row],[Hourly Rate]]</f>
        <v>0</v>
      </c>
    </row>
    <row r="59" spans="1:19">
      <c r="A59" s="201">
        <v>57</v>
      </c>
      <c r="B59" s="210" t="str">
        <f>_xlfn.CONCAT(表格3_5[[#This Row],[Name]],表格3_5[[#This Row],[Location]])</f>
        <v xml:space="preserve">Yuen Maria Wing YanCWB Yoho </v>
      </c>
      <c r="C59" s="211" t="str">
        <f>表格3_5[[#This Row],[Location]] &amp; 表格3_5[[#This Row],[Date]] &amp;表格3_5[[#This Row],[Nick Name]]</f>
        <v>CWB Yoho 46189Carol</v>
      </c>
      <c r="D59" s="202"/>
      <c r="E59" s="211" t="str">
        <f>DAY(表格3_5[[#This Row],[Date]])&amp;""</f>
        <v>16</v>
      </c>
      <c r="F59" s="203">
        <v>46189</v>
      </c>
      <c r="G59" s="216" t="str">
        <f>_xlfn.XLOOKUP(表格3_5[[#This Row],[Name]],Name_list[Full Name],Name_list[Nick Name])</f>
        <v>Carol</v>
      </c>
      <c r="H59" s="207" t="s">
        <v>126</v>
      </c>
      <c r="I59" s="228" t="s">
        <v>114</v>
      </c>
      <c r="J59" s="206">
        <v>0.5</v>
      </c>
      <c r="K59" s="204">
        <v>0.83333333333333304</v>
      </c>
      <c r="L59" s="214">
        <f>(表格3_5[[#This Row],[Out-Time]] - 表格3_5[[#This Row],[In-Time]])*24</f>
        <v>7.9999999999999929</v>
      </c>
      <c r="M59" s="213">
        <f>表格3_5[[#This Row],[ Hours]]-表格3_5[[#This Row],[Normal working
 hours]]</f>
        <v>0</v>
      </c>
      <c r="N59" s="206">
        <v>0.5</v>
      </c>
      <c r="O59" s="204">
        <v>0.83333333333333304</v>
      </c>
      <c r="P59" s="214">
        <f>(表格3_5[[#This Row],[Out-Time2]] - 表格3_5[[#This Row],[In-Time2]])*24</f>
        <v>7.9999999999999929</v>
      </c>
      <c r="Q59" s="205">
        <v>7.9999999999999902</v>
      </c>
      <c r="R59" s="214">
        <f>_xlfn.XLOOKUP(表格3_5[[#This Row],[Name]],Name_list[Full Name],Name_list[Hourr Rate])</f>
        <v>0</v>
      </c>
      <c r="S59" s="214">
        <f>表格3_5[[#This Row],[Hours Worked]]*表格3_5[[#This Row],[Hourly Rate]]</f>
        <v>0</v>
      </c>
    </row>
    <row r="60" spans="1:19">
      <c r="A60" s="201">
        <v>58</v>
      </c>
      <c r="B60" s="210" t="str">
        <f>_xlfn.CONCAT(表格3_5[[#This Row],[Name]],表格3_5[[#This Row],[Location]])</f>
        <v>Yuen Maria Wing YanTsuen Wan Chung Yuen</v>
      </c>
      <c r="C60" s="211" t="str">
        <f>表格3_5[[#This Row],[Location]] &amp; 表格3_5[[#This Row],[Date]] &amp;表格3_5[[#This Row],[Nick Name]]</f>
        <v>Tsuen Wan Chung Yuen46190Carol</v>
      </c>
      <c r="D60" s="202"/>
      <c r="E60" s="211" t="str">
        <f>DAY(表格3_5[[#This Row],[Date]])&amp;""</f>
        <v>17</v>
      </c>
      <c r="F60" s="203">
        <v>46190</v>
      </c>
      <c r="G60" s="216" t="str">
        <f>_xlfn.XLOOKUP(表格3_5[[#This Row],[Name]],Name_list[Full Name],Name_list[Nick Name])</f>
        <v>Carol</v>
      </c>
      <c r="H60" s="207" t="s">
        <v>125</v>
      </c>
      <c r="I60" s="228" t="s">
        <v>114</v>
      </c>
      <c r="J60" s="206">
        <v>0.5</v>
      </c>
      <c r="K60" s="204">
        <v>0.83333333333333304</v>
      </c>
      <c r="L60" s="214">
        <f>(表格3_5[[#This Row],[Out-Time]] - 表格3_5[[#This Row],[In-Time]])*24</f>
        <v>7.9999999999999929</v>
      </c>
      <c r="M60" s="213">
        <f>表格3_5[[#This Row],[ Hours]]-表格3_5[[#This Row],[Normal working
 hours]]</f>
        <v>0</v>
      </c>
      <c r="N60" s="206">
        <v>0.5</v>
      </c>
      <c r="O60" s="204">
        <v>0.83333333333333304</v>
      </c>
      <c r="P60" s="214">
        <f>(表格3_5[[#This Row],[Out-Time2]] - 表格3_5[[#This Row],[In-Time2]])*24</f>
        <v>7.9999999999999929</v>
      </c>
      <c r="Q60" s="205">
        <v>7.9999999999999902</v>
      </c>
      <c r="R60" s="214">
        <f>_xlfn.XLOOKUP(表格3_5[[#This Row],[Name]],Name_list[Full Name],Name_list[Hourr Rate])</f>
        <v>0</v>
      </c>
      <c r="S60" s="214">
        <f>表格3_5[[#This Row],[Hours Worked]]*表格3_5[[#This Row],[Hourly Rate]]</f>
        <v>0</v>
      </c>
    </row>
    <row r="61" spans="1:19">
      <c r="A61" s="201">
        <v>59</v>
      </c>
      <c r="B61" s="210" t="str">
        <f>_xlfn.CONCAT(表格3_5[[#This Row],[Name]],表格3_5[[#This Row],[Location]])</f>
        <v xml:space="preserve">Yuen Maria Wing YanCWB Yoho </v>
      </c>
      <c r="C61" s="211" t="str">
        <f>表格3_5[[#This Row],[Location]] &amp; 表格3_5[[#This Row],[Date]] &amp;表格3_5[[#This Row],[Nick Name]]</f>
        <v>CWB Yoho 46193Carol</v>
      </c>
      <c r="D61" s="202"/>
      <c r="E61" s="211" t="str">
        <f>DAY(表格3_5[[#This Row],[Date]])&amp;""</f>
        <v>20</v>
      </c>
      <c r="F61" s="203">
        <v>46193</v>
      </c>
      <c r="G61" s="216" t="str">
        <f>_xlfn.XLOOKUP(表格3_5[[#This Row],[Name]],Name_list[Full Name],Name_list[Nick Name])</f>
        <v>Carol</v>
      </c>
      <c r="H61" s="207" t="s">
        <v>126</v>
      </c>
      <c r="I61" s="228" t="s">
        <v>114</v>
      </c>
      <c r="J61" s="206">
        <v>0.5</v>
      </c>
      <c r="K61" s="204">
        <v>0.83333333333333304</v>
      </c>
      <c r="L61" s="214">
        <f>(表格3_5[[#This Row],[Out-Time]] - 表格3_5[[#This Row],[In-Time]])*24</f>
        <v>7.9999999999999929</v>
      </c>
      <c r="M61" s="213">
        <f>表格3_5[[#This Row],[ Hours]]-表格3_5[[#This Row],[Normal working
 hours]]</f>
        <v>0</v>
      </c>
      <c r="N61" s="206">
        <v>0.5</v>
      </c>
      <c r="O61" s="204">
        <v>0.83333333333333304</v>
      </c>
      <c r="P61" s="214">
        <f>(表格3_5[[#This Row],[Out-Time2]] - 表格3_5[[#This Row],[In-Time2]])*24</f>
        <v>7.9999999999999929</v>
      </c>
      <c r="Q61" s="205">
        <v>7.9999999999999902</v>
      </c>
      <c r="R61" s="214">
        <f>_xlfn.XLOOKUP(表格3_5[[#This Row],[Name]],Name_list[Full Name],Name_list[Hourr Rate])</f>
        <v>0</v>
      </c>
      <c r="S61" s="214">
        <f>表格3_5[[#This Row],[Hours Worked]]*表格3_5[[#This Row],[Hourly Rate]]</f>
        <v>0</v>
      </c>
    </row>
    <row r="62" spans="1:19">
      <c r="A62" s="201">
        <v>60</v>
      </c>
      <c r="B62" s="210" t="str">
        <f>_xlfn.CONCAT(表格3_5[[#This Row],[Name]],表格3_5[[#This Row],[Location]])</f>
        <v xml:space="preserve">Yuen Maria Wing YanCWB Yoho </v>
      </c>
      <c r="C62" s="211" t="str">
        <f>表格3_5[[#This Row],[Location]] &amp; 表格3_5[[#This Row],[Date]] &amp;表格3_5[[#This Row],[Nick Name]]</f>
        <v>CWB Yoho 46195Carol</v>
      </c>
      <c r="D62" s="202"/>
      <c r="E62" s="211" t="str">
        <f>DAY(表格3_5[[#This Row],[Date]])&amp;""</f>
        <v>22</v>
      </c>
      <c r="F62" s="203">
        <v>46195</v>
      </c>
      <c r="G62" s="216" t="str">
        <f>_xlfn.XLOOKUP(表格3_5[[#This Row],[Name]],Name_list[Full Name],Name_list[Nick Name])</f>
        <v>Carol</v>
      </c>
      <c r="H62" s="207" t="s">
        <v>126</v>
      </c>
      <c r="I62" s="228" t="s">
        <v>114</v>
      </c>
      <c r="J62" s="206">
        <v>0.5</v>
      </c>
      <c r="K62" s="204">
        <v>0.83333333333333304</v>
      </c>
      <c r="L62" s="214">
        <f>(表格3_5[[#This Row],[Out-Time]] - 表格3_5[[#This Row],[In-Time]])*24</f>
        <v>7.9999999999999929</v>
      </c>
      <c r="M62" s="213">
        <f>表格3_5[[#This Row],[ Hours]]-表格3_5[[#This Row],[Normal working
 hours]]</f>
        <v>0</v>
      </c>
      <c r="N62" s="206">
        <v>0.5</v>
      </c>
      <c r="O62" s="204">
        <v>0.83333333333333304</v>
      </c>
      <c r="P62" s="214">
        <f>(表格3_5[[#This Row],[Out-Time2]] - 表格3_5[[#This Row],[In-Time2]])*24</f>
        <v>7.9999999999999929</v>
      </c>
      <c r="Q62" s="205">
        <v>7.9999999999999902</v>
      </c>
      <c r="R62" s="214">
        <f>_xlfn.XLOOKUP(表格3_5[[#This Row],[Name]],Name_list[Full Name],Name_list[Hourr Rate])</f>
        <v>0</v>
      </c>
      <c r="S62" s="214">
        <f>表格3_5[[#This Row],[Hours Worked]]*表格3_5[[#This Row],[Hourly Rate]]</f>
        <v>0</v>
      </c>
    </row>
    <row r="63" spans="1:19">
      <c r="A63" s="201">
        <v>61</v>
      </c>
      <c r="B63" s="210" t="str">
        <f>_xlfn.CONCAT(表格3_5[[#This Row],[Name]],表格3_5[[#This Row],[Location]])</f>
        <v>Yuen Maria Wing YanTsuen Wan Chung Yuen</v>
      </c>
      <c r="C63" s="211" t="str">
        <f>表格3_5[[#This Row],[Location]] &amp; 表格3_5[[#This Row],[Date]] &amp;表格3_5[[#This Row],[Nick Name]]</f>
        <v>Tsuen Wan Chung Yuen46196Carol</v>
      </c>
      <c r="D63" s="202"/>
      <c r="E63" s="211" t="str">
        <f>DAY(表格3_5[[#This Row],[Date]])&amp;""</f>
        <v>23</v>
      </c>
      <c r="F63" s="203">
        <v>46196</v>
      </c>
      <c r="G63" s="216" t="str">
        <f>_xlfn.XLOOKUP(表格3_5[[#This Row],[Name]],Name_list[Full Name],Name_list[Nick Name])</f>
        <v>Carol</v>
      </c>
      <c r="H63" s="207" t="s">
        <v>125</v>
      </c>
      <c r="I63" s="228" t="s">
        <v>114</v>
      </c>
      <c r="J63" s="206">
        <v>0.5</v>
      </c>
      <c r="K63" s="204">
        <v>0.83333333333333304</v>
      </c>
      <c r="L63" s="214">
        <f>(表格3_5[[#This Row],[Out-Time]] - 表格3_5[[#This Row],[In-Time]])*24</f>
        <v>7.9999999999999929</v>
      </c>
      <c r="M63" s="213">
        <f>表格3_5[[#This Row],[ Hours]]-表格3_5[[#This Row],[Normal working
 hours]]</f>
        <v>0</v>
      </c>
      <c r="N63" s="206">
        <v>0.5</v>
      </c>
      <c r="O63" s="204">
        <v>0.83333333333333304</v>
      </c>
      <c r="P63" s="214">
        <f>(表格3_5[[#This Row],[Out-Time2]] - 表格3_5[[#This Row],[In-Time2]])*24</f>
        <v>7.9999999999999929</v>
      </c>
      <c r="Q63" s="205">
        <v>7.9999999999999902</v>
      </c>
      <c r="R63" s="214">
        <f>_xlfn.XLOOKUP(表格3_5[[#This Row],[Name]],Name_list[Full Name],Name_list[Hourr Rate])</f>
        <v>0</v>
      </c>
      <c r="S63" s="214">
        <f>表格3_5[[#This Row],[Hours Worked]]*表格3_5[[#This Row],[Hourly Rate]]</f>
        <v>0</v>
      </c>
    </row>
    <row r="64" spans="1:19">
      <c r="A64" s="201">
        <v>62</v>
      </c>
      <c r="B64" s="210" t="str">
        <f>_xlfn.CONCAT(表格3_5[[#This Row],[Name]],表格3_5[[#This Row],[Location]])</f>
        <v>Yuen Maria Wing YanTsuen Wan Chung Yuen</v>
      </c>
      <c r="C64" s="211" t="str">
        <f>表格3_5[[#This Row],[Location]] &amp; 表格3_5[[#This Row],[Date]] &amp;表格3_5[[#This Row],[Nick Name]]</f>
        <v>Tsuen Wan Chung Yuen46197Carol</v>
      </c>
      <c r="D64" s="202"/>
      <c r="E64" s="211" t="str">
        <f>DAY(表格3_5[[#This Row],[Date]])&amp;""</f>
        <v>24</v>
      </c>
      <c r="F64" s="203">
        <v>46197</v>
      </c>
      <c r="G64" s="216" t="str">
        <f>_xlfn.XLOOKUP(表格3_5[[#This Row],[Name]],Name_list[Full Name],Name_list[Nick Name])</f>
        <v>Carol</v>
      </c>
      <c r="H64" s="207" t="s">
        <v>125</v>
      </c>
      <c r="I64" s="228" t="s">
        <v>114</v>
      </c>
      <c r="J64" s="206">
        <v>0.5</v>
      </c>
      <c r="K64" s="204">
        <v>0.83333333333333304</v>
      </c>
      <c r="L64" s="214">
        <f>(表格3_5[[#This Row],[Out-Time]] - 表格3_5[[#This Row],[In-Time]])*24</f>
        <v>7.9999999999999929</v>
      </c>
      <c r="M64" s="213">
        <f>表格3_5[[#This Row],[ Hours]]-表格3_5[[#This Row],[Normal working
 hours]]</f>
        <v>0</v>
      </c>
      <c r="N64" s="206">
        <v>0.5</v>
      </c>
      <c r="O64" s="204">
        <v>0.83333333333333304</v>
      </c>
      <c r="P64" s="214">
        <f>(表格3_5[[#This Row],[Out-Time2]] - 表格3_5[[#This Row],[In-Time2]])*24</f>
        <v>7.9999999999999929</v>
      </c>
      <c r="Q64" s="205">
        <v>7.9999999999999902</v>
      </c>
      <c r="R64" s="214">
        <f>_xlfn.XLOOKUP(表格3_5[[#This Row],[Name]],Name_list[Full Name],Name_list[Hourr Rate])</f>
        <v>0</v>
      </c>
      <c r="S64" s="214">
        <f>表格3_5[[#This Row],[Hours Worked]]*表格3_5[[#This Row],[Hourly Rate]]</f>
        <v>0</v>
      </c>
    </row>
    <row r="65" spans="1:19">
      <c r="A65" s="201">
        <v>63</v>
      </c>
      <c r="B65" s="210" t="str">
        <f>_xlfn.CONCAT(表格3_5[[#This Row],[Name]],表格3_5[[#This Row],[Location]])</f>
        <v xml:space="preserve">Yuen Maria Wing YanCWB Yoho </v>
      </c>
      <c r="C65" s="211" t="str">
        <f>表格3_5[[#This Row],[Location]] &amp; 表格3_5[[#This Row],[Date]] &amp;表格3_5[[#This Row],[Nick Name]]</f>
        <v>CWB Yoho 46199Carol</v>
      </c>
      <c r="D65" s="202"/>
      <c r="E65" s="211" t="str">
        <f>DAY(表格3_5[[#This Row],[Date]])&amp;""</f>
        <v>26</v>
      </c>
      <c r="F65" s="203">
        <v>46199</v>
      </c>
      <c r="G65" s="216" t="str">
        <f>_xlfn.XLOOKUP(表格3_5[[#This Row],[Name]],Name_list[Full Name],Name_list[Nick Name])</f>
        <v>Carol</v>
      </c>
      <c r="H65" s="207" t="s">
        <v>126</v>
      </c>
      <c r="I65" s="228" t="s">
        <v>114</v>
      </c>
      <c r="J65" s="206">
        <v>0.5</v>
      </c>
      <c r="K65" s="204">
        <v>0.83333333333333304</v>
      </c>
      <c r="L65" s="214">
        <f>(表格3_5[[#This Row],[Out-Time]] - 表格3_5[[#This Row],[In-Time]])*24</f>
        <v>7.9999999999999929</v>
      </c>
      <c r="M65" s="213">
        <f>表格3_5[[#This Row],[ Hours]]-表格3_5[[#This Row],[Normal working
 hours]]</f>
        <v>0</v>
      </c>
      <c r="N65" s="206">
        <v>0.5</v>
      </c>
      <c r="O65" s="204">
        <v>0.83333333333333304</v>
      </c>
      <c r="P65" s="214">
        <f>(表格3_5[[#This Row],[Out-Time2]] - 表格3_5[[#This Row],[In-Time2]])*24</f>
        <v>7.9999999999999929</v>
      </c>
      <c r="Q65" s="205">
        <v>7.9999999999999902</v>
      </c>
      <c r="R65" s="214">
        <f>_xlfn.XLOOKUP(表格3_5[[#This Row],[Name]],Name_list[Full Name],Name_list[Hourr Rate])</f>
        <v>0</v>
      </c>
      <c r="S65" s="214">
        <f>表格3_5[[#This Row],[Hours Worked]]*表格3_5[[#This Row],[Hourly Rate]]</f>
        <v>0</v>
      </c>
    </row>
    <row r="66" spans="1:19">
      <c r="A66" s="201">
        <v>64</v>
      </c>
      <c r="B66" s="210" t="str">
        <f>_xlfn.CONCAT(表格3_5[[#This Row],[Name]],表格3_5[[#This Row],[Location]])</f>
        <v xml:space="preserve">Yuen Maria Wing YanCWB Yoho </v>
      </c>
      <c r="C66" s="211" t="str">
        <f>表格3_5[[#This Row],[Location]] &amp; 表格3_5[[#This Row],[Date]] &amp;表格3_5[[#This Row],[Nick Name]]</f>
        <v>CWB Yoho 46200Carol</v>
      </c>
      <c r="D66" s="202"/>
      <c r="E66" s="211" t="str">
        <f>DAY(表格3_5[[#This Row],[Date]])&amp;""</f>
        <v>27</v>
      </c>
      <c r="F66" s="203">
        <v>46200</v>
      </c>
      <c r="G66" s="216" t="str">
        <f>_xlfn.XLOOKUP(表格3_5[[#This Row],[Name]],Name_list[Full Name],Name_list[Nick Name])</f>
        <v>Carol</v>
      </c>
      <c r="H66" s="207" t="s">
        <v>126</v>
      </c>
      <c r="I66" s="228" t="s">
        <v>114</v>
      </c>
      <c r="J66" s="206">
        <v>0.5</v>
      </c>
      <c r="K66" s="204">
        <v>0.83333333333333304</v>
      </c>
      <c r="L66" s="214">
        <f>(表格3_5[[#This Row],[Out-Time]] - 表格3_5[[#This Row],[In-Time]])*24</f>
        <v>7.9999999999999929</v>
      </c>
      <c r="M66" s="213">
        <f>表格3_5[[#This Row],[ Hours]]-表格3_5[[#This Row],[Normal working
 hours]]</f>
        <v>0</v>
      </c>
      <c r="N66" s="206">
        <v>0.5</v>
      </c>
      <c r="O66" s="204">
        <v>0.83333333333333304</v>
      </c>
      <c r="P66" s="214">
        <f>(表格3_5[[#This Row],[Out-Time2]] - 表格3_5[[#This Row],[In-Time2]])*24</f>
        <v>7.9999999999999929</v>
      </c>
      <c r="Q66" s="205">
        <v>7.9999999999999902</v>
      </c>
      <c r="R66" s="214">
        <f>_xlfn.XLOOKUP(表格3_5[[#This Row],[Name]],Name_list[Full Name],Name_list[Hourr Rate])</f>
        <v>0</v>
      </c>
      <c r="S66" s="214">
        <f>表格3_5[[#This Row],[Hours Worked]]*表格3_5[[#This Row],[Hourly Rate]]</f>
        <v>0</v>
      </c>
    </row>
    <row r="67" spans="1:19">
      <c r="A67" s="201">
        <v>65</v>
      </c>
      <c r="B67" s="210" t="str">
        <f>_xlfn.CONCAT(表格3_5[[#This Row],[Name]],表格3_5[[#This Row],[Location]])</f>
        <v xml:space="preserve">Yuen Maria Wing YanCWB Yoho </v>
      </c>
      <c r="C67" s="211" t="str">
        <f>表格3_5[[#This Row],[Location]] &amp; 表格3_5[[#This Row],[Date]] &amp;表格3_5[[#This Row],[Nick Name]]</f>
        <v>CWB Yoho 46201Carol</v>
      </c>
      <c r="D67" s="202"/>
      <c r="E67" s="211" t="str">
        <f>DAY(表格3_5[[#This Row],[Date]])&amp;""</f>
        <v>28</v>
      </c>
      <c r="F67" s="203">
        <v>46201</v>
      </c>
      <c r="G67" s="216" t="str">
        <f>_xlfn.XLOOKUP(表格3_5[[#This Row],[Name]],Name_list[Full Name],Name_list[Nick Name])</f>
        <v>Carol</v>
      </c>
      <c r="H67" s="207" t="s">
        <v>126</v>
      </c>
      <c r="I67" s="228" t="s">
        <v>114</v>
      </c>
      <c r="J67" s="206">
        <v>0.5</v>
      </c>
      <c r="K67" s="204">
        <v>0.83333333333333304</v>
      </c>
      <c r="L67" s="214">
        <f>(表格3_5[[#This Row],[Out-Time]] - 表格3_5[[#This Row],[In-Time]])*24</f>
        <v>7.9999999999999929</v>
      </c>
      <c r="M67" s="213">
        <f>表格3_5[[#This Row],[ Hours]]-表格3_5[[#This Row],[Normal working
 hours]]</f>
        <v>0</v>
      </c>
      <c r="N67" s="206">
        <v>0.5</v>
      </c>
      <c r="O67" s="204">
        <v>0.83333333333333304</v>
      </c>
      <c r="P67" s="214">
        <f>(表格3_5[[#This Row],[Out-Time2]] - 表格3_5[[#This Row],[In-Time2]])*24</f>
        <v>7.9999999999999929</v>
      </c>
      <c r="Q67" s="205">
        <v>7.9999999999999902</v>
      </c>
      <c r="R67" s="214">
        <f>_xlfn.XLOOKUP(表格3_5[[#This Row],[Name]],Name_list[Full Name],Name_list[Hourr Rate])</f>
        <v>0</v>
      </c>
      <c r="S67" s="214">
        <f>表格3_5[[#This Row],[Hours Worked]]*表格3_5[[#This Row],[Hourly Rate]]</f>
        <v>0</v>
      </c>
    </row>
    <row r="68" spans="1:19">
      <c r="A68" s="201">
        <v>66</v>
      </c>
      <c r="B68" s="210" t="str">
        <f>_xlfn.CONCAT(表格3_5[[#This Row],[Name]],表格3_5[[#This Row],[Location]])</f>
        <v>Yuen Maria Wing YanTsuen Wan Chung Yuen</v>
      </c>
      <c r="C68" s="211" t="str">
        <f>表格3_5[[#This Row],[Location]] &amp; 表格3_5[[#This Row],[Date]] &amp;表格3_5[[#This Row],[Nick Name]]</f>
        <v>Tsuen Wan Chung Yuen46202Carol</v>
      </c>
      <c r="D68" s="202"/>
      <c r="E68" s="211" t="str">
        <f>DAY(表格3_5[[#This Row],[Date]])&amp;""</f>
        <v>29</v>
      </c>
      <c r="F68" s="203">
        <v>46202</v>
      </c>
      <c r="G68" s="216" t="str">
        <f>_xlfn.XLOOKUP(表格3_5[[#This Row],[Name]],Name_list[Full Name],Name_list[Nick Name])</f>
        <v>Carol</v>
      </c>
      <c r="H68" s="207" t="s">
        <v>125</v>
      </c>
      <c r="I68" s="228" t="s">
        <v>114</v>
      </c>
      <c r="J68" s="206">
        <v>0.5</v>
      </c>
      <c r="K68" s="204">
        <v>0.83333333333333304</v>
      </c>
      <c r="L68" s="214">
        <f>(表格3_5[[#This Row],[Out-Time]] - 表格3_5[[#This Row],[In-Time]])*24</f>
        <v>7.9999999999999929</v>
      </c>
      <c r="M68" s="213">
        <f>表格3_5[[#This Row],[ Hours]]-表格3_5[[#This Row],[Normal working
 hours]]</f>
        <v>0</v>
      </c>
      <c r="N68" s="206">
        <v>0.5</v>
      </c>
      <c r="O68" s="204">
        <v>0.83333333333333304</v>
      </c>
      <c r="P68" s="214">
        <f>(表格3_5[[#This Row],[Out-Time2]] - 表格3_5[[#This Row],[In-Time2]])*24</f>
        <v>7.9999999999999929</v>
      </c>
      <c r="Q68" s="205">
        <v>7.9999999999999902</v>
      </c>
      <c r="R68" s="214">
        <f>_xlfn.XLOOKUP(表格3_5[[#This Row],[Name]],Name_list[Full Name],Name_list[Hourr Rate])</f>
        <v>0</v>
      </c>
      <c r="S68" s="214">
        <f>表格3_5[[#This Row],[Hours Worked]]*表格3_5[[#This Row],[Hourly Rate]]</f>
        <v>0</v>
      </c>
    </row>
    <row r="69" spans="1:19">
      <c r="A69" s="201">
        <v>67</v>
      </c>
      <c r="B69" s="210" t="str">
        <f>_xlfn.CONCAT(表格3_5[[#This Row],[Name]],表格3_5[[#This Row],[Location]])</f>
        <v xml:space="preserve">Yuen Maria Wing YanCWB Yoho </v>
      </c>
      <c r="C69" s="211" t="str">
        <f>表格3_5[[#This Row],[Location]] &amp; 表格3_5[[#This Row],[Date]] &amp;表格3_5[[#This Row],[Nick Name]]</f>
        <v>CWB Yoho 46203Carol</v>
      </c>
      <c r="D69" s="202"/>
      <c r="E69" s="211" t="str">
        <f>DAY(表格3_5[[#This Row],[Date]])&amp;""</f>
        <v>30</v>
      </c>
      <c r="F69" s="203">
        <v>46203</v>
      </c>
      <c r="G69" s="216" t="str">
        <f>_xlfn.XLOOKUP(表格3_5[[#This Row],[Name]],Name_list[Full Name],Name_list[Nick Name])</f>
        <v>Carol</v>
      </c>
      <c r="H69" s="207" t="s">
        <v>126</v>
      </c>
      <c r="I69" s="228" t="s">
        <v>114</v>
      </c>
      <c r="J69" s="206">
        <v>0.5</v>
      </c>
      <c r="K69" s="204">
        <v>0.83333333333333304</v>
      </c>
      <c r="L69" s="214">
        <f>(表格3_5[[#This Row],[Out-Time]] - 表格3_5[[#This Row],[In-Time]])*24</f>
        <v>7.9999999999999929</v>
      </c>
      <c r="M69" s="213">
        <f>表格3_5[[#This Row],[ Hours]]-表格3_5[[#This Row],[Normal working
 hours]]</f>
        <v>0</v>
      </c>
      <c r="N69" s="206">
        <v>0.5</v>
      </c>
      <c r="O69" s="204">
        <v>0.83333333333333304</v>
      </c>
      <c r="P69" s="214">
        <f>(表格3_5[[#This Row],[Out-Time2]] - 表格3_5[[#This Row],[In-Time2]])*24</f>
        <v>7.9999999999999929</v>
      </c>
      <c r="Q69" s="205">
        <v>7.9999999999999902</v>
      </c>
      <c r="R69" s="214">
        <f>_xlfn.XLOOKUP(表格3_5[[#This Row],[Name]],Name_list[Full Name],Name_list[Hourr Rate])</f>
        <v>0</v>
      </c>
      <c r="S69" s="214">
        <f>表格3_5[[#This Row],[Hours Worked]]*表格3_5[[#This Row],[Hourly Rate]]</f>
        <v>0</v>
      </c>
    </row>
    <row r="70" spans="1:19">
      <c r="A70" s="201">
        <v>68</v>
      </c>
      <c r="B70" s="210" t="str">
        <f>_xlfn.CONCAT(表格3_5[[#This Row],[Name]],表格3_5[[#This Row],[Location]])</f>
        <v>Wan Kwok HeiSSPO YOHO</v>
      </c>
      <c r="C70" s="211" t="str">
        <f>表格3_5[[#This Row],[Location]] &amp; 表格3_5[[#This Row],[Date]] &amp;表格3_5[[#This Row],[Nick Name]]</f>
        <v>SSPO YOHO46175Hei</v>
      </c>
      <c r="D70" s="202"/>
      <c r="E70" s="211" t="str">
        <f>DAY(表格3_5[[#This Row],[Date]])&amp;""</f>
        <v>2</v>
      </c>
      <c r="F70" s="203">
        <v>46175</v>
      </c>
      <c r="G70" s="216" t="str">
        <f>_xlfn.XLOOKUP(表格3_5[[#This Row],[Name]],Name_list[Full Name],Name_list[Nick Name])</f>
        <v>Hei</v>
      </c>
      <c r="H70" s="207" t="s">
        <v>120</v>
      </c>
      <c r="I70" s="228" t="s">
        <v>115</v>
      </c>
      <c r="J70" s="206">
        <v>0.5</v>
      </c>
      <c r="K70" s="204">
        <v>0.83333333333333337</v>
      </c>
      <c r="L70" s="214">
        <f>(表格3_5[[#This Row],[Out-Time]] - 表格3_5[[#This Row],[In-Time]])*24</f>
        <v>8</v>
      </c>
      <c r="M70" s="213">
        <f>表格3_5[[#This Row],[ Hours]]-表格3_5[[#This Row],[Normal working
 hours]]</f>
        <v>0</v>
      </c>
      <c r="N70" s="206">
        <v>0.5</v>
      </c>
      <c r="O70" s="204">
        <v>0.83333333333333337</v>
      </c>
      <c r="P70" s="214">
        <f>(表格3_5[[#This Row],[Out-Time2]] - 表格3_5[[#This Row],[In-Time2]])*24</f>
        <v>8</v>
      </c>
      <c r="Q70" s="205">
        <v>7.9999999999999902</v>
      </c>
      <c r="R70" s="214">
        <f>_xlfn.XLOOKUP(表格3_5[[#This Row],[Name]],Name_list[Full Name],Name_list[Hourr Rate])</f>
        <v>0</v>
      </c>
      <c r="S70" s="214">
        <f>表格3_5[[#This Row],[Hours Worked]]*表格3_5[[#This Row],[Hourly Rate]]</f>
        <v>0</v>
      </c>
    </row>
    <row r="71" spans="1:19">
      <c r="A71" s="201">
        <v>69</v>
      </c>
      <c r="B71" s="210" t="str">
        <f>_xlfn.CONCAT(表格3_5[[#This Row],[Name]],表格3_5[[#This Row],[Location]])</f>
        <v>Wan Kwok HeiSSPO YOHO</v>
      </c>
      <c r="C71" s="211" t="str">
        <f>表格3_5[[#This Row],[Location]] &amp; 表格3_5[[#This Row],[Date]] &amp;表格3_5[[#This Row],[Nick Name]]</f>
        <v>SSPO YOHO46176Hei</v>
      </c>
      <c r="D71" s="202"/>
      <c r="E71" s="211" t="str">
        <f>DAY(表格3_5[[#This Row],[Date]])&amp;""</f>
        <v>3</v>
      </c>
      <c r="F71" s="203">
        <v>46176</v>
      </c>
      <c r="G71" s="216" t="str">
        <f>_xlfn.XLOOKUP(表格3_5[[#This Row],[Name]],Name_list[Full Name],Name_list[Nick Name])</f>
        <v>Hei</v>
      </c>
      <c r="H71" s="207" t="s">
        <v>120</v>
      </c>
      <c r="I71" s="228" t="s">
        <v>115</v>
      </c>
      <c r="J71" s="206">
        <v>0.5</v>
      </c>
      <c r="K71" s="204">
        <v>0.83333333333333337</v>
      </c>
      <c r="L71" s="214">
        <f>(表格3_5[[#This Row],[Out-Time]] - 表格3_5[[#This Row],[In-Time]])*24</f>
        <v>8</v>
      </c>
      <c r="M71" s="213">
        <f>表格3_5[[#This Row],[ Hours]]-表格3_5[[#This Row],[Normal working
 hours]]</f>
        <v>0</v>
      </c>
      <c r="N71" s="206">
        <v>0.5</v>
      </c>
      <c r="O71" s="204">
        <v>0.83333333333333337</v>
      </c>
      <c r="P71" s="214">
        <f>(表格3_5[[#This Row],[Out-Time2]] - 表格3_5[[#This Row],[In-Time2]])*24</f>
        <v>8</v>
      </c>
      <c r="Q71" s="205">
        <v>7.9999999999999902</v>
      </c>
      <c r="R71" s="214">
        <f>_xlfn.XLOOKUP(表格3_5[[#This Row],[Name]],Name_list[Full Name],Name_list[Hourr Rate])</f>
        <v>0</v>
      </c>
      <c r="S71" s="214">
        <f>表格3_5[[#This Row],[Hours Worked]]*表格3_5[[#This Row],[Hourly Rate]]</f>
        <v>0</v>
      </c>
    </row>
    <row r="72" spans="1:19">
      <c r="A72" s="201">
        <v>70</v>
      </c>
      <c r="B72" s="210" t="str">
        <f>_xlfn.CONCAT(表格3_5[[#This Row],[Name]],表格3_5[[#This Row],[Location]])</f>
        <v>Wan Kwok HeiWan Chai Jingdong</v>
      </c>
      <c r="C72" s="211" t="str">
        <f>表格3_5[[#This Row],[Location]] &amp; 表格3_5[[#This Row],[Date]] &amp;表格3_5[[#This Row],[Nick Name]]</f>
        <v>Wan Chai Jingdong46177Hei</v>
      </c>
      <c r="D72" s="202"/>
      <c r="E72" s="211" t="str">
        <f>DAY(表格3_5[[#This Row],[Date]])&amp;""</f>
        <v>4</v>
      </c>
      <c r="F72" s="203">
        <v>46177</v>
      </c>
      <c r="G72" s="216" t="str">
        <f>_xlfn.XLOOKUP(表格3_5[[#This Row],[Name]],Name_list[Full Name],Name_list[Nick Name])</f>
        <v>Hei</v>
      </c>
      <c r="H72" s="235" t="s">
        <v>148</v>
      </c>
      <c r="I72" s="228" t="s">
        <v>115</v>
      </c>
      <c r="J72" s="206">
        <v>0.45833333333333331</v>
      </c>
      <c r="K72" s="204">
        <v>0.79166666666666663</v>
      </c>
      <c r="L72" s="214">
        <f>(表格3_5[[#This Row],[Out-Time]] - 表格3_5[[#This Row],[In-Time]])*24</f>
        <v>8</v>
      </c>
      <c r="M72" s="213">
        <f>表格3_5[[#This Row],[ Hours]]-表格3_5[[#This Row],[Normal working
 hours]]</f>
        <v>0</v>
      </c>
      <c r="N72" s="206">
        <v>0.45833333333333331</v>
      </c>
      <c r="O72" s="204">
        <v>0.79166666666666663</v>
      </c>
      <c r="P72" s="214">
        <f>(表格3_5[[#This Row],[Out-Time2]] - 表格3_5[[#This Row],[In-Time2]])*24</f>
        <v>8</v>
      </c>
      <c r="Q72" s="205">
        <v>7.9999999999999902</v>
      </c>
      <c r="R72" s="214">
        <f>_xlfn.XLOOKUP(表格3_5[[#This Row],[Name]],Name_list[Full Name],Name_list[Hourr Rate])</f>
        <v>0</v>
      </c>
      <c r="S72" s="214">
        <f>表格3_5[[#This Row],[Hours Worked]]*表格3_5[[#This Row],[Hourly Rate]]</f>
        <v>0</v>
      </c>
    </row>
    <row r="73" spans="1:19">
      <c r="A73" s="201">
        <v>71</v>
      </c>
      <c r="B73" s="210" t="str">
        <f>_xlfn.CONCAT(表格3_5[[#This Row],[Name]],表格3_5[[#This Row],[Location]])</f>
        <v>Wan Kwok HeiWan Chai Jingdong</v>
      </c>
      <c r="C73" s="211" t="str">
        <f>表格3_5[[#This Row],[Location]] &amp; 表格3_5[[#This Row],[Date]] &amp;表格3_5[[#This Row],[Nick Name]]</f>
        <v>Wan Chai Jingdong46178Hei</v>
      </c>
      <c r="D73" s="202"/>
      <c r="E73" s="211" t="str">
        <f>DAY(表格3_5[[#This Row],[Date]])&amp;""</f>
        <v>5</v>
      </c>
      <c r="F73" s="203">
        <v>46178</v>
      </c>
      <c r="G73" s="216" t="str">
        <f>_xlfn.XLOOKUP(表格3_5[[#This Row],[Name]],Name_list[Full Name],Name_list[Nick Name])</f>
        <v>Hei</v>
      </c>
      <c r="H73" s="235" t="s">
        <v>148</v>
      </c>
      <c r="I73" s="228" t="s">
        <v>115</v>
      </c>
      <c r="J73" s="206">
        <v>0.45833333333333331</v>
      </c>
      <c r="K73" s="204">
        <v>0.79166666666666663</v>
      </c>
      <c r="L73" s="214">
        <f>(表格3_5[[#This Row],[Out-Time]] - 表格3_5[[#This Row],[In-Time]])*24</f>
        <v>8</v>
      </c>
      <c r="M73" s="213">
        <f>表格3_5[[#This Row],[ Hours]]-表格3_5[[#This Row],[Normal working
 hours]]</f>
        <v>0</v>
      </c>
      <c r="N73" s="206">
        <v>0.45833333333333331</v>
      </c>
      <c r="O73" s="204">
        <v>0.79166666666666663</v>
      </c>
      <c r="P73" s="214">
        <f>(表格3_5[[#This Row],[Out-Time2]] - 表格3_5[[#This Row],[In-Time2]])*24</f>
        <v>8</v>
      </c>
      <c r="Q73" s="205">
        <v>7.9999999999999902</v>
      </c>
      <c r="R73" s="214">
        <f>_xlfn.XLOOKUP(表格3_5[[#This Row],[Name]],Name_list[Full Name],Name_list[Hourr Rate])</f>
        <v>0</v>
      </c>
      <c r="S73" s="214">
        <f>表格3_5[[#This Row],[Hours Worked]]*表格3_5[[#This Row],[Hourly Rate]]</f>
        <v>0</v>
      </c>
    </row>
    <row r="74" spans="1:19">
      <c r="A74" s="201">
        <v>72</v>
      </c>
      <c r="B74" s="210" t="str">
        <f>_xlfn.CONCAT(表格3_5[[#This Row],[Name]],表格3_5[[#This Row],[Location]])</f>
        <v>Wan Kwok HeiWan Chai Jingdong</v>
      </c>
      <c r="C74" s="211" t="str">
        <f>表格3_5[[#This Row],[Location]] &amp; 表格3_5[[#This Row],[Date]] &amp;表格3_5[[#This Row],[Nick Name]]</f>
        <v>Wan Chai Jingdong46179Hei</v>
      </c>
      <c r="D74" s="202"/>
      <c r="E74" s="211" t="str">
        <f>DAY(表格3_5[[#This Row],[Date]])&amp;""</f>
        <v>6</v>
      </c>
      <c r="F74" s="203">
        <v>46179</v>
      </c>
      <c r="G74" s="216" t="str">
        <f>_xlfn.XLOOKUP(表格3_5[[#This Row],[Name]],Name_list[Full Name],Name_list[Nick Name])</f>
        <v>Hei</v>
      </c>
      <c r="H74" s="235" t="s">
        <v>148</v>
      </c>
      <c r="I74" s="228" t="s">
        <v>115</v>
      </c>
      <c r="J74" s="206">
        <v>0.47916666666666669</v>
      </c>
      <c r="K74" s="204">
        <v>0.8125</v>
      </c>
      <c r="L74" s="214">
        <f>(表格3_5[[#This Row],[Out-Time]] - 表格3_5[[#This Row],[In-Time]])*24</f>
        <v>8</v>
      </c>
      <c r="M74" s="213">
        <f>表格3_5[[#This Row],[ Hours]]-表格3_5[[#This Row],[Normal working
 hours]]</f>
        <v>0</v>
      </c>
      <c r="N74" s="206">
        <v>0.47916666666666669</v>
      </c>
      <c r="O74" s="204">
        <v>0.8125</v>
      </c>
      <c r="P74" s="214">
        <f>(表格3_5[[#This Row],[Out-Time2]] - 表格3_5[[#This Row],[In-Time2]])*24</f>
        <v>8</v>
      </c>
      <c r="Q74" s="205">
        <v>7.9999999999999902</v>
      </c>
      <c r="R74" s="214">
        <f>_xlfn.XLOOKUP(表格3_5[[#This Row],[Name]],Name_list[Full Name],Name_list[Hourr Rate])</f>
        <v>0</v>
      </c>
      <c r="S74" s="214">
        <f>表格3_5[[#This Row],[Hours Worked]]*表格3_5[[#This Row],[Hourly Rate]]</f>
        <v>0</v>
      </c>
    </row>
    <row r="75" spans="1:19">
      <c r="A75" s="201">
        <v>73</v>
      </c>
      <c r="B75" s="210" t="str">
        <f>_xlfn.CONCAT(表格3_5[[#This Row],[Name]],表格3_5[[#This Row],[Location]])</f>
        <v>Wan Kwok HeiWan Chai Jingdong</v>
      </c>
      <c r="C75" s="211" t="str">
        <f>表格3_5[[#This Row],[Location]] &amp; 表格3_5[[#This Row],[Date]] &amp;表格3_5[[#This Row],[Nick Name]]</f>
        <v>Wan Chai Jingdong46180Hei</v>
      </c>
      <c r="D75" s="202"/>
      <c r="E75" s="211" t="str">
        <f>DAY(表格3_5[[#This Row],[Date]])&amp;""</f>
        <v>7</v>
      </c>
      <c r="F75" s="203">
        <v>46180</v>
      </c>
      <c r="G75" s="216" t="str">
        <f>_xlfn.XLOOKUP(表格3_5[[#This Row],[Name]],Name_list[Full Name],Name_list[Nick Name])</f>
        <v>Hei</v>
      </c>
      <c r="H75" s="235" t="s">
        <v>148</v>
      </c>
      <c r="I75" s="228" t="s">
        <v>115</v>
      </c>
      <c r="J75" s="206">
        <v>0.47916666666666669</v>
      </c>
      <c r="K75" s="204">
        <v>0.8125</v>
      </c>
      <c r="L75" s="210">
        <f>(表格3_5[[#This Row],[Out-Time]] - 表格3_5[[#This Row],[In-Time]])*24</f>
        <v>8</v>
      </c>
      <c r="M75" s="210">
        <f>表格3_5[[#This Row],[ Hours]]-表格3_5[[#This Row],[Normal working
 hours]]</f>
        <v>0</v>
      </c>
      <c r="N75" s="206">
        <v>0.47916666666666669</v>
      </c>
      <c r="O75" s="204">
        <v>0.8125</v>
      </c>
      <c r="P75" s="210">
        <f>(表格3_5[[#This Row],[Out-Time2]] - 表格3_5[[#This Row],[In-Time2]])*24</f>
        <v>8</v>
      </c>
      <c r="Q75" s="205">
        <v>7.9999999999999902</v>
      </c>
      <c r="R75" s="214">
        <f>_xlfn.XLOOKUP(表格3_5[[#This Row],[Name]],Name_list[Full Name],Name_list[Hourr Rate])</f>
        <v>0</v>
      </c>
      <c r="S75" s="210">
        <f>表格3_5[[#This Row],[Hours Worked]]*表格3_5[[#This Row],[Hourly Rate]]</f>
        <v>0</v>
      </c>
    </row>
    <row r="76" spans="1:19">
      <c r="A76" s="201">
        <v>74</v>
      </c>
      <c r="B76" s="210" t="str">
        <f>_xlfn.CONCAT(表格3_5[[#This Row],[Name]],表格3_5[[#This Row],[Location]])</f>
        <v>Wan Kwok HeiWan Chai Jingdong</v>
      </c>
      <c r="C76" s="211" t="str">
        <f>表格3_5[[#This Row],[Location]] &amp; 表格3_5[[#This Row],[Date]] &amp;表格3_5[[#This Row],[Nick Name]]</f>
        <v>Wan Chai Jingdong46182Hei</v>
      </c>
      <c r="D76" s="202"/>
      <c r="E76" s="211" t="str">
        <f>DAY(表格3_5[[#This Row],[Date]])&amp;""</f>
        <v>9</v>
      </c>
      <c r="F76" s="203">
        <v>46182</v>
      </c>
      <c r="G76" s="216" t="str">
        <f>_xlfn.XLOOKUP(表格3_5[[#This Row],[Name]],Name_list[Full Name],Name_list[Nick Name])</f>
        <v>Hei</v>
      </c>
      <c r="H76" s="235" t="s">
        <v>148</v>
      </c>
      <c r="I76" s="228" t="s">
        <v>115</v>
      </c>
      <c r="J76" s="206">
        <v>0.47916666666666669</v>
      </c>
      <c r="K76" s="204">
        <v>0.8125</v>
      </c>
      <c r="L76" s="210">
        <f>(表格3_5[[#This Row],[Out-Time]] - 表格3_5[[#This Row],[In-Time]])*24</f>
        <v>8</v>
      </c>
      <c r="M76" s="210">
        <f>表格3_5[[#This Row],[ Hours]]-表格3_5[[#This Row],[Normal working
 hours]]</f>
        <v>0</v>
      </c>
      <c r="N76" s="206">
        <v>0.47916666666666669</v>
      </c>
      <c r="O76" s="204">
        <v>0.8125</v>
      </c>
      <c r="P76" s="210">
        <f>(表格3_5[[#This Row],[Out-Time2]] - 表格3_5[[#This Row],[In-Time2]])*24</f>
        <v>8</v>
      </c>
      <c r="Q76" s="205">
        <v>7.9999999999999902</v>
      </c>
      <c r="R76" s="214">
        <f>_xlfn.XLOOKUP(表格3_5[[#This Row],[Name]],Name_list[Full Name],Name_list[Hourr Rate])</f>
        <v>0</v>
      </c>
      <c r="S76" s="210">
        <f>表格3_5[[#This Row],[Hours Worked]]*表格3_5[[#This Row],[Hourly Rate]]</f>
        <v>0</v>
      </c>
    </row>
    <row r="77" spans="1:19">
      <c r="A77" s="201">
        <v>75</v>
      </c>
      <c r="B77" s="210" t="str">
        <f>_xlfn.CONCAT(表格3_5[[#This Row],[Name]],表格3_5[[#This Row],[Location]])</f>
        <v>Wan Kwok HeiWan Chai Jingdong</v>
      </c>
      <c r="C77" s="211" t="str">
        <f>表格3_5[[#This Row],[Location]] &amp; 表格3_5[[#This Row],[Date]] &amp;表格3_5[[#This Row],[Nick Name]]</f>
        <v>Wan Chai Jingdong46184Hei</v>
      </c>
      <c r="D77" s="202"/>
      <c r="E77" s="211" t="str">
        <f>DAY(表格3_5[[#This Row],[Date]])&amp;""</f>
        <v>11</v>
      </c>
      <c r="F77" s="203">
        <v>46184</v>
      </c>
      <c r="G77" s="216" t="str">
        <f>_xlfn.XLOOKUP(表格3_5[[#This Row],[Name]],Name_list[Full Name],Name_list[Nick Name])</f>
        <v>Hei</v>
      </c>
      <c r="H77" s="235" t="s">
        <v>148</v>
      </c>
      <c r="I77" s="228" t="s">
        <v>115</v>
      </c>
      <c r="J77" s="206">
        <v>0.47916666666666669</v>
      </c>
      <c r="K77" s="204">
        <v>0.8125</v>
      </c>
      <c r="L77" s="210">
        <f>(表格3_5[[#This Row],[Out-Time]] - 表格3_5[[#This Row],[In-Time]])*24</f>
        <v>8</v>
      </c>
      <c r="M77" s="210">
        <f>表格3_5[[#This Row],[ Hours]]-表格3_5[[#This Row],[Normal working
 hours]]</f>
        <v>0</v>
      </c>
      <c r="N77" s="206">
        <v>0.47916666666666669</v>
      </c>
      <c r="O77" s="204">
        <v>0.8125</v>
      </c>
      <c r="P77" s="210">
        <f>(表格3_5[[#This Row],[Out-Time2]] - 表格3_5[[#This Row],[In-Time2]])*24</f>
        <v>8</v>
      </c>
      <c r="Q77" s="205">
        <v>7.9999999999999902</v>
      </c>
      <c r="R77" s="214">
        <f>_xlfn.XLOOKUP(表格3_5[[#This Row],[Name]],Name_list[Full Name],Name_list[Hourr Rate])</f>
        <v>0</v>
      </c>
      <c r="S77" s="210">
        <f>表格3_5[[#This Row],[Hours Worked]]*表格3_5[[#This Row],[Hourly Rate]]</f>
        <v>0</v>
      </c>
    </row>
    <row r="78" spans="1:19">
      <c r="A78" s="201">
        <v>76</v>
      </c>
      <c r="B78" s="210" t="str">
        <f>_xlfn.CONCAT(表格3_5[[#This Row],[Name]],表格3_5[[#This Row],[Location]])</f>
        <v>Wan Kwok HeiWan Chai Jingdong</v>
      </c>
      <c r="C78" s="211" t="str">
        <f>表格3_5[[#This Row],[Location]] &amp; 表格3_5[[#This Row],[Date]] &amp;表格3_5[[#This Row],[Nick Name]]</f>
        <v>Wan Chai Jingdong46185Hei</v>
      </c>
      <c r="D78" s="202"/>
      <c r="E78" s="211" t="str">
        <f>DAY(表格3_5[[#This Row],[Date]])&amp;""</f>
        <v>12</v>
      </c>
      <c r="F78" s="203">
        <v>46185</v>
      </c>
      <c r="G78" s="216" t="str">
        <f>_xlfn.XLOOKUP(表格3_5[[#This Row],[Name]],Name_list[Full Name],Name_list[Nick Name])</f>
        <v>Hei</v>
      </c>
      <c r="H78" s="235" t="s">
        <v>148</v>
      </c>
      <c r="I78" s="228" t="s">
        <v>115</v>
      </c>
      <c r="J78" s="206">
        <v>0.47916666666666669</v>
      </c>
      <c r="K78" s="204">
        <v>0.8125</v>
      </c>
      <c r="L78" s="210">
        <f>(表格3_5[[#This Row],[Out-Time]] - 表格3_5[[#This Row],[In-Time]])*24</f>
        <v>8</v>
      </c>
      <c r="M78" s="210">
        <f>表格3_5[[#This Row],[ Hours]]-表格3_5[[#This Row],[Normal working
 hours]]</f>
        <v>0</v>
      </c>
      <c r="N78" s="206">
        <v>0.47916666666666669</v>
      </c>
      <c r="O78" s="204">
        <v>0.8125</v>
      </c>
      <c r="P78" s="210">
        <f>(表格3_5[[#This Row],[Out-Time2]] - 表格3_5[[#This Row],[In-Time2]])*24</f>
        <v>8</v>
      </c>
      <c r="Q78" s="205">
        <v>7.9999999999999902</v>
      </c>
      <c r="R78" s="214">
        <f>_xlfn.XLOOKUP(表格3_5[[#This Row],[Name]],Name_list[Full Name],Name_list[Hourr Rate])</f>
        <v>0</v>
      </c>
      <c r="S78" s="210">
        <f>表格3_5[[#This Row],[Hours Worked]]*表格3_5[[#This Row],[Hourly Rate]]</f>
        <v>0</v>
      </c>
    </row>
    <row r="79" spans="1:19">
      <c r="A79" s="201">
        <v>77</v>
      </c>
      <c r="B79" s="210" t="str">
        <f>_xlfn.CONCAT(表格3_5[[#This Row],[Name]],表格3_5[[#This Row],[Location]])</f>
        <v>Wan Kwok HeiWan Chai Jingdong</v>
      </c>
      <c r="C79" s="211" t="str">
        <f>表格3_5[[#This Row],[Location]] &amp; 表格3_5[[#This Row],[Date]] &amp;表格3_5[[#This Row],[Nick Name]]</f>
        <v>Wan Chai Jingdong46186Hei</v>
      </c>
      <c r="D79" s="202"/>
      <c r="E79" s="211" t="str">
        <f>DAY(表格3_5[[#This Row],[Date]])&amp;""</f>
        <v>13</v>
      </c>
      <c r="F79" s="203">
        <v>46186</v>
      </c>
      <c r="G79" s="216" t="str">
        <f>_xlfn.XLOOKUP(表格3_5[[#This Row],[Name]],Name_list[Full Name],Name_list[Nick Name])</f>
        <v>Hei</v>
      </c>
      <c r="H79" s="235" t="s">
        <v>148</v>
      </c>
      <c r="I79" s="228" t="s">
        <v>115</v>
      </c>
      <c r="J79" s="206">
        <v>0.47916666666666669</v>
      </c>
      <c r="K79" s="204">
        <v>0.8125</v>
      </c>
      <c r="L79" s="210">
        <f>(表格3_5[[#This Row],[Out-Time]] - 表格3_5[[#This Row],[In-Time]])*24</f>
        <v>8</v>
      </c>
      <c r="M79" s="210">
        <f>表格3_5[[#This Row],[ Hours]]-表格3_5[[#This Row],[Normal working
 hours]]</f>
        <v>0</v>
      </c>
      <c r="N79" s="206">
        <v>0.47916666666666669</v>
      </c>
      <c r="O79" s="204">
        <v>0.8125</v>
      </c>
      <c r="P79" s="210">
        <f>(表格3_5[[#This Row],[Out-Time2]] - 表格3_5[[#This Row],[In-Time2]])*24</f>
        <v>8</v>
      </c>
      <c r="Q79" s="205">
        <v>7.9999999999999902</v>
      </c>
      <c r="R79" s="214">
        <f>_xlfn.XLOOKUP(表格3_5[[#This Row],[Name]],Name_list[Full Name],Name_list[Hourr Rate])</f>
        <v>0</v>
      </c>
      <c r="S79" s="210">
        <f>表格3_5[[#This Row],[Hours Worked]]*表格3_5[[#This Row],[Hourly Rate]]</f>
        <v>0</v>
      </c>
    </row>
    <row r="80" spans="1:19">
      <c r="A80" s="201">
        <v>78</v>
      </c>
      <c r="B80" s="210" t="str">
        <f>_xlfn.CONCAT(表格3_5[[#This Row],[Name]],表格3_5[[#This Row],[Location]])</f>
        <v>Wan Kwok HeiWan Chai Jingdong</v>
      </c>
      <c r="C80" s="211" t="str">
        <f>表格3_5[[#This Row],[Location]] &amp; 表格3_5[[#This Row],[Date]] &amp;表格3_5[[#This Row],[Nick Name]]</f>
        <v>Wan Chai Jingdong46188Hei</v>
      </c>
      <c r="D80" s="202"/>
      <c r="E80" s="211" t="str">
        <f>DAY(表格3_5[[#This Row],[Date]])&amp;""</f>
        <v>15</v>
      </c>
      <c r="F80" s="203">
        <v>46188</v>
      </c>
      <c r="G80" s="216" t="str">
        <f>_xlfn.XLOOKUP(表格3_5[[#This Row],[Name]],Name_list[Full Name],Name_list[Nick Name])</f>
        <v>Hei</v>
      </c>
      <c r="H80" s="235" t="s">
        <v>148</v>
      </c>
      <c r="I80" s="228" t="s">
        <v>115</v>
      </c>
      <c r="J80" s="206">
        <v>0.47916666666666669</v>
      </c>
      <c r="K80" s="204">
        <v>0.8125</v>
      </c>
      <c r="L80" s="210">
        <f>(表格3_5[[#This Row],[Out-Time]] - 表格3_5[[#This Row],[In-Time]])*24</f>
        <v>8</v>
      </c>
      <c r="M80" s="210">
        <f>表格3_5[[#This Row],[ Hours]]-表格3_5[[#This Row],[Normal working
 hours]]</f>
        <v>0</v>
      </c>
      <c r="N80" s="206">
        <v>0.47916666666666669</v>
      </c>
      <c r="O80" s="204">
        <v>0.8125</v>
      </c>
      <c r="P80" s="210">
        <f>(表格3_5[[#This Row],[Out-Time2]] - 表格3_5[[#This Row],[In-Time2]])*24</f>
        <v>8</v>
      </c>
      <c r="Q80" s="205">
        <v>7.9999999999999902</v>
      </c>
      <c r="R80" s="214">
        <f>_xlfn.XLOOKUP(表格3_5[[#This Row],[Name]],Name_list[Full Name],Name_list[Hourr Rate])</f>
        <v>0</v>
      </c>
      <c r="S80" s="210">
        <f>表格3_5[[#This Row],[Hours Worked]]*表格3_5[[#This Row],[Hourly Rate]]</f>
        <v>0</v>
      </c>
    </row>
    <row r="81" spans="1:19">
      <c r="A81" s="201">
        <v>79</v>
      </c>
      <c r="B81" s="210" t="str">
        <f>_xlfn.CONCAT(表格3_5[[#This Row],[Name]],表格3_5[[#This Row],[Location]])</f>
        <v>Wan Kwok HeiWan Chai Jingdong</v>
      </c>
      <c r="C81" s="211" t="str">
        <f>表格3_5[[#This Row],[Location]] &amp; 表格3_5[[#This Row],[Date]] &amp;表格3_5[[#This Row],[Nick Name]]</f>
        <v>Wan Chai Jingdong46189Hei</v>
      </c>
      <c r="D81" s="202"/>
      <c r="E81" s="211" t="str">
        <f>DAY(表格3_5[[#This Row],[Date]])&amp;""</f>
        <v>16</v>
      </c>
      <c r="F81" s="203">
        <v>46189</v>
      </c>
      <c r="G81" s="216" t="str">
        <f>_xlfn.XLOOKUP(表格3_5[[#This Row],[Name]],Name_list[Full Name],Name_list[Nick Name])</f>
        <v>Hei</v>
      </c>
      <c r="H81" s="235" t="s">
        <v>148</v>
      </c>
      <c r="I81" s="228" t="s">
        <v>115</v>
      </c>
      <c r="J81" s="206">
        <v>0.47916666666666669</v>
      </c>
      <c r="K81" s="204">
        <v>0.8125</v>
      </c>
      <c r="L81" s="210">
        <f>(表格3_5[[#This Row],[Out-Time]] - 表格3_5[[#This Row],[In-Time]])*24</f>
        <v>8</v>
      </c>
      <c r="M81" s="210">
        <f>表格3_5[[#This Row],[ Hours]]-表格3_5[[#This Row],[Normal working
 hours]]</f>
        <v>0</v>
      </c>
      <c r="N81" s="206">
        <v>0.47916666666666669</v>
      </c>
      <c r="O81" s="204">
        <v>0.8125</v>
      </c>
      <c r="P81" s="210">
        <f>(表格3_5[[#This Row],[Out-Time2]] - 表格3_5[[#This Row],[In-Time2]])*24</f>
        <v>8</v>
      </c>
      <c r="Q81" s="205">
        <v>7.9999999999999902</v>
      </c>
      <c r="R81" s="214">
        <f>_xlfn.XLOOKUP(表格3_5[[#This Row],[Name]],Name_list[Full Name],Name_list[Hourr Rate])</f>
        <v>0</v>
      </c>
      <c r="S81" s="210">
        <f>表格3_5[[#This Row],[Hours Worked]]*表格3_5[[#This Row],[Hourly Rate]]</f>
        <v>0</v>
      </c>
    </row>
    <row r="82" spans="1:19">
      <c r="A82" s="201">
        <v>80</v>
      </c>
      <c r="B82" s="210" t="str">
        <f>_xlfn.CONCAT(表格3_5[[#This Row],[Name]],表格3_5[[#This Row],[Location]])</f>
        <v>Wan Kwok HeiWan Chai Jingdong</v>
      </c>
      <c r="C82" s="211" t="str">
        <f>表格3_5[[#This Row],[Location]] &amp; 表格3_5[[#This Row],[Date]] &amp;表格3_5[[#This Row],[Nick Name]]</f>
        <v>Wan Chai Jingdong46191Hei</v>
      </c>
      <c r="D82" s="202"/>
      <c r="E82" s="211" t="str">
        <f>DAY(表格3_5[[#This Row],[Date]])&amp;""</f>
        <v>18</v>
      </c>
      <c r="F82" s="203">
        <v>46191</v>
      </c>
      <c r="G82" s="216" t="str">
        <f>_xlfn.XLOOKUP(表格3_5[[#This Row],[Name]],Name_list[Full Name],Name_list[Nick Name])</f>
        <v>Hei</v>
      </c>
      <c r="H82" s="235" t="s">
        <v>148</v>
      </c>
      <c r="I82" s="228" t="s">
        <v>115</v>
      </c>
      <c r="J82" s="206">
        <v>0.47916666666666669</v>
      </c>
      <c r="K82" s="204">
        <v>0.8125</v>
      </c>
      <c r="L82" s="210">
        <f>(表格3_5[[#This Row],[Out-Time]] - 表格3_5[[#This Row],[In-Time]])*24</f>
        <v>8</v>
      </c>
      <c r="M82" s="210">
        <f>表格3_5[[#This Row],[ Hours]]-表格3_5[[#This Row],[Normal working
 hours]]</f>
        <v>0</v>
      </c>
      <c r="N82" s="206">
        <v>0.47916666666666669</v>
      </c>
      <c r="O82" s="204">
        <v>0.8125</v>
      </c>
      <c r="P82" s="210">
        <f>(表格3_5[[#This Row],[Out-Time2]] - 表格3_5[[#This Row],[In-Time2]])*24</f>
        <v>8</v>
      </c>
      <c r="Q82" s="205">
        <v>7.9999999999999902</v>
      </c>
      <c r="R82" s="214">
        <f>_xlfn.XLOOKUP(表格3_5[[#This Row],[Name]],Name_list[Full Name],Name_list[Hourr Rate])</f>
        <v>0</v>
      </c>
      <c r="S82" s="210">
        <f>表格3_5[[#This Row],[Hours Worked]]*表格3_5[[#This Row],[Hourly Rate]]</f>
        <v>0</v>
      </c>
    </row>
    <row r="83" spans="1:19">
      <c r="A83" s="201">
        <v>81</v>
      </c>
      <c r="B83" s="210" t="str">
        <f>_xlfn.CONCAT(表格3_5[[#This Row],[Name]],表格3_5[[#This Row],[Location]])</f>
        <v>Wan Kwok HeiWan Chai Jingdong</v>
      </c>
      <c r="C83" s="211" t="str">
        <f>表格3_5[[#This Row],[Location]] &amp; 表格3_5[[#This Row],[Date]] &amp;表格3_5[[#This Row],[Nick Name]]</f>
        <v>Wan Chai Jingdong46192Hei</v>
      </c>
      <c r="D83" s="202"/>
      <c r="E83" s="211" t="str">
        <f>DAY(表格3_5[[#This Row],[Date]])&amp;""</f>
        <v>19</v>
      </c>
      <c r="F83" s="203">
        <v>46192</v>
      </c>
      <c r="G83" s="216" t="str">
        <f>_xlfn.XLOOKUP(表格3_5[[#This Row],[Name]],Name_list[Full Name],Name_list[Nick Name])</f>
        <v>Hei</v>
      </c>
      <c r="H83" s="235" t="s">
        <v>148</v>
      </c>
      <c r="I83" s="228" t="s">
        <v>115</v>
      </c>
      <c r="J83" s="206">
        <v>0.47916666666666669</v>
      </c>
      <c r="K83" s="204">
        <v>0.8125</v>
      </c>
      <c r="L83" s="210">
        <f>(表格3_5[[#This Row],[Out-Time]] - 表格3_5[[#This Row],[In-Time]])*24</f>
        <v>8</v>
      </c>
      <c r="M83" s="210">
        <f>表格3_5[[#This Row],[ Hours]]-表格3_5[[#This Row],[Normal working
 hours]]</f>
        <v>0</v>
      </c>
      <c r="N83" s="206">
        <v>0.47916666666666669</v>
      </c>
      <c r="O83" s="204">
        <v>0.8125</v>
      </c>
      <c r="P83" s="210">
        <f>(表格3_5[[#This Row],[Out-Time2]] - 表格3_5[[#This Row],[In-Time2]])*24</f>
        <v>8</v>
      </c>
      <c r="Q83" s="205">
        <v>7.9999999999999902</v>
      </c>
      <c r="R83" s="214">
        <f>_xlfn.XLOOKUP(表格3_5[[#This Row],[Name]],Name_list[Full Name],Name_list[Hourr Rate])</f>
        <v>0</v>
      </c>
      <c r="S83" s="210">
        <f>表格3_5[[#This Row],[Hours Worked]]*表格3_5[[#This Row],[Hourly Rate]]</f>
        <v>0</v>
      </c>
    </row>
    <row r="84" spans="1:19">
      <c r="A84" s="201">
        <v>82</v>
      </c>
      <c r="B84" s="210" t="str">
        <f>_xlfn.CONCAT(表格3_5[[#This Row],[Name]],表格3_5[[#This Row],[Location]])</f>
        <v>Wan Kwok HeiWan Chai Jingdong</v>
      </c>
      <c r="C84" s="211" t="str">
        <f>表格3_5[[#This Row],[Location]] &amp; 表格3_5[[#This Row],[Date]] &amp;表格3_5[[#This Row],[Nick Name]]</f>
        <v>Wan Chai Jingdong46193Hei</v>
      </c>
      <c r="D84" s="202"/>
      <c r="E84" s="211" t="str">
        <f>DAY(表格3_5[[#This Row],[Date]])&amp;""</f>
        <v>20</v>
      </c>
      <c r="F84" s="203">
        <v>46193</v>
      </c>
      <c r="G84" s="216" t="str">
        <f>_xlfn.XLOOKUP(表格3_5[[#This Row],[Name]],Name_list[Full Name],Name_list[Nick Name])</f>
        <v>Hei</v>
      </c>
      <c r="H84" s="235" t="s">
        <v>148</v>
      </c>
      <c r="I84" s="228" t="s">
        <v>115</v>
      </c>
      <c r="J84" s="206">
        <v>0.47916666666666669</v>
      </c>
      <c r="K84" s="204">
        <v>0.8125</v>
      </c>
      <c r="L84" s="210">
        <f>(表格3_5[[#This Row],[Out-Time]] - 表格3_5[[#This Row],[In-Time]])*24</f>
        <v>8</v>
      </c>
      <c r="M84" s="210">
        <f>表格3_5[[#This Row],[ Hours]]-表格3_5[[#This Row],[Normal working
 hours]]</f>
        <v>0</v>
      </c>
      <c r="N84" s="206">
        <v>0.47916666666666669</v>
      </c>
      <c r="O84" s="204">
        <v>0.8125</v>
      </c>
      <c r="P84" s="210">
        <f>(表格3_5[[#This Row],[Out-Time2]] - 表格3_5[[#This Row],[In-Time2]])*24</f>
        <v>8</v>
      </c>
      <c r="Q84" s="205">
        <v>7.9999999999999902</v>
      </c>
      <c r="R84" s="214">
        <f>_xlfn.XLOOKUP(表格3_5[[#This Row],[Name]],Name_list[Full Name],Name_list[Hourr Rate])</f>
        <v>0</v>
      </c>
      <c r="S84" s="210">
        <f>表格3_5[[#This Row],[Hours Worked]]*表格3_5[[#This Row],[Hourly Rate]]</f>
        <v>0</v>
      </c>
    </row>
    <row r="85" spans="1:19">
      <c r="A85" s="201">
        <v>83</v>
      </c>
      <c r="B85" s="210" t="str">
        <f>_xlfn.CONCAT(表格3_5[[#This Row],[Name]],表格3_5[[#This Row],[Location]])</f>
        <v>Wan Kwok HeiWan Chai Jingdong</v>
      </c>
      <c r="C85" s="211" t="str">
        <f>表格3_5[[#This Row],[Location]] &amp; 表格3_5[[#This Row],[Date]] &amp;表格3_5[[#This Row],[Nick Name]]</f>
        <v>Wan Chai Jingdong46195Hei</v>
      </c>
      <c r="D85" s="202"/>
      <c r="E85" s="211" t="str">
        <f>DAY(表格3_5[[#This Row],[Date]])&amp;""</f>
        <v>22</v>
      </c>
      <c r="F85" s="236">
        <v>46195</v>
      </c>
      <c r="G85" s="216" t="str">
        <f>_xlfn.XLOOKUP(表格3_5[[#This Row],[Name]],Name_list[Full Name],Name_list[Nick Name])</f>
        <v>Hei</v>
      </c>
      <c r="H85" s="235" t="s">
        <v>148</v>
      </c>
      <c r="I85" s="228" t="s">
        <v>115</v>
      </c>
      <c r="J85" s="206">
        <v>0.47916666666666669</v>
      </c>
      <c r="K85" s="204">
        <v>0.8125</v>
      </c>
      <c r="L85" s="210">
        <f>(表格3_5[[#This Row],[Out-Time]] - 表格3_5[[#This Row],[In-Time]])*24</f>
        <v>8</v>
      </c>
      <c r="M85" s="210">
        <f>表格3_5[[#This Row],[ Hours]]-表格3_5[[#This Row],[Normal working
 hours]]</f>
        <v>0</v>
      </c>
      <c r="N85" s="206">
        <v>0.47916666666666669</v>
      </c>
      <c r="O85" s="204">
        <v>0.8125</v>
      </c>
      <c r="P85" s="210">
        <f>(表格3_5[[#This Row],[Out-Time2]] - 表格3_5[[#This Row],[In-Time2]])*24</f>
        <v>8</v>
      </c>
      <c r="Q85" s="205">
        <v>7.9999999999999902</v>
      </c>
      <c r="R85" s="214">
        <f>_xlfn.XLOOKUP(表格3_5[[#This Row],[Name]],Name_list[Full Name],Name_list[Hourr Rate])</f>
        <v>0</v>
      </c>
      <c r="S85" s="210">
        <f>表格3_5[[#This Row],[Hours Worked]]*表格3_5[[#This Row],[Hourly Rate]]</f>
        <v>0</v>
      </c>
    </row>
    <row r="86" spans="1:19">
      <c r="A86" s="201">
        <v>84</v>
      </c>
      <c r="B86" s="210" t="str">
        <f>_xlfn.CONCAT(表格3_5[[#This Row],[Name]],表格3_5[[#This Row],[Location]])</f>
        <v>Wan Kwok HeiWan Chai Jingdong</v>
      </c>
      <c r="C86" s="211" t="str">
        <f>表格3_5[[#This Row],[Location]] &amp; 表格3_5[[#This Row],[Date]] &amp;表格3_5[[#This Row],[Nick Name]]</f>
        <v>Wan Chai Jingdong46196Hei</v>
      </c>
      <c r="D86" s="202"/>
      <c r="E86" s="211" t="str">
        <f>DAY(表格3_5[[#This Row],[Date]])&amp;""</f>
        <v>23</v>
      </c>
      <c r="F86" s="236">
        <v>46196</v>
      </c>
      <c r="G86" s="216" t="str">
        <f>_xlfn.XLOOKUP(表格3_5[[#This Row],[Name]],Name_list[Full Name],Name_list[Nick Name])</f>
        <v>Hei</v>
      </c>
      <c r="H86" s="235" t="s">
        <v>148</v>
      </c>
      <c r="I86" s="228" t="s">
        <v>115</v>
      </c>
      <c r="J86" s="206">
        <v>0.47916666666666669</v>
      </c>
      <c r="K86" s="204">
        <v>0.8125</v>
      </c>
      <c r="L86" s="210">
        <f>(表格3_5[[#This Row],[Out-Time]] - 表格3_5[[#This Row],[In-Time]])*24</f>
        <v>8</v>
      </c>
      <c r="M86" s="210">
        <f>表格3_5[[#This Row],[ Hours]]-表格3_5[[#This Row],[Normal working
 hours]]</f>
        <v>0</v>
      </c>
      <c r="N86" s="206">
        <v>0.47916666666666669</v>
      </c>
      <c r="O86" s="204">
        <v>0.8125</v>
      </c>
      <c r="P86" s="210">
        <f>(表格3_5[[#This Row],[Out-Time2]] - 表格3_5[[#This Row],[In-Time2]])*24</f>
        <v>8</v>
      </c>
      <c r="Q86" s="205">
        <v>7.9999999999999902</v>
      </c>
      <c r="R86" s="214">
        <f>_xlfn.XLOOKUP(表格3_5[[#This Row],[Name]],Name_list[Full Name],Name_list[Hourr Rate])</f>
        <v>0</v>
      </c>
      <c r="S86" s="210">
        <f>表格3_5[[#This Row],[Hours Worked]]*表格3_5[[#This Row],[Hourly Rate]]</f>
        <v>0</v>
      </c>
    </row>
    <row r="87" spans="1:19">
      <c r="A87" s="201">
        <v>85</v>
      </c>
      <c r="B87" s="210" t="str">
        <f>_xlfn.CONCAT(表格3_5[[#This Row],[Name]],表格3_5[[#This Row],[Location]])</f>
        <v>Wan Kwok HeiWan Chai Jingdong</v>
      </c>
      <c r="C87" s="211" t="str">
        <f>表格3_5[[#This Row],[Location]] &amp; 表格3_5[[#This Row],[Date]] &amp;表格3_5[[#This Row],[Nick Name]]</f>
        <v>Wan Chai Jingdong46197Hei</v>
      </c>
      <c r="D87" s="202"/>
      <c r="E87" s="211" t="str">
        <f>DAY(表格3_5[[#This Row],[Date]])&amp;""</f>
        <v>24</v>
      </c>
      <c r="F87" s="236">
        <v>46197</v>
      </c>
      <c r="G87" s="216" t="str">
        <f>_xlfn.XLOOKUP(表格3_5[[#This Row],[Name]],Name_list[Full Name],Name_list[Nick Name])</f>
        <v>Hei</v>
      </c>
      <c r="H87" s="235" t="s">
        <v>148</v>
      </c>
      <c r="I87" s="228" t="s">
        <v>115</v>
      </c>
      <c r="J87" s="206">
        <v>0.47916666666666669</v>
      </c>
      <c r="K87" s="204">
        <v>0.8125</v>
      </c>
      <c r="L87" s="210">
        <f>(表格3_5[[#This Row],[Out-Time]] - 表格3_5[[#This Row],[In-Time]])*24</f>
        <v>8</v>
      </c>
      <c r="M87" s="210">
        <f>表格3_5[[#This Row],[ Hours]]-表格3_5[[#This Row],[Normal working
 hours]]</f>
        <v>0</v>
      </c>
      <c r="N87" s="206">
        <v>0.47916666666666669</v>
      </c>
      <c r="O87" s="204">
        <v>0.8125</v>
      </c>
      <c r="P87" s="210">
        <f>(表格3_5[[#This Row],[Out-Time2]] - 表格3_5[[#This Row],[In-Time2]])*24</f>
        <v>8</v>
      </c>
      <c r="Q87" s="205">
        <v>7.9999999999999902</v>
      </c>
      <c r="R87" s="214">
        <f>_xlfn.XLOOKUP(表格3_5[[#This Row],[Name]],Name_list[Full Name],Name_list[Hourr Rate])</f>
        <v>0</v>
      </c>
      <c r="S87" s="210">
        <f>表格3_5[[#This Row],[Hours Worked]]*表格3_5[[#This Row],[Hourly Rate]]</f>
        <v>0</v>
      </c>
    </row>
    <row r="88" spans="1:19">
      <c r="A88" s="201">
        <v>86</v>
      </c>
      <c r="B88" s="210" t="str">
        <f>_xlfn.CONCAT(表格3_5[[#This Row],[Name]],表格3_5[[#This Row],[Location]])</f>
        <v>Wan Kwok HeiWan Chai Jingdong</v>
      </c>
      <c r="C88" s="211" t="str">
        <f>表格3_5[[#This Row],[Location]] &amp; 表格3_5[[#This Row],[Date]] &amp;表格3_5[[#This Row],[Nick Name]]</f>
        <v>Wan Chai Jingdong46200Hei</v>
      </c>
      <c r="D88" s="202"/>
      <c r="E88" s="211" t="str">
        <f>DAY(表格3_5[[#This Row],[Date]])&amp;""</f>
        <v>27</v>
      </c>
      <c r="F88" s="203">
        <v>46200</v>
      </c>
      <c r="G88" s="216" t="str">
        <f>_xlfn.XLOOKUP(表格3_5[[#This Row],[Name]],Name_list[Full Name],Name_list[Nick Name])</f>
        <v>Hei</v>
      </c>
      <c r="H88" s="235" t="s">
        <v>148</v>
      </c>
      <c r="I88" s="228" t="s">
        <v>115</v>
      </c>
      <c r="J88" s="206">
        <v>0.47916666666666669</v>
      </c>
      <c r="K88" s="204">
        <v>0.8125</v>
      </c>
      <c r="L88" s="210">
        <f>(表格3_5[[#This Row],[Out-Time]] - 表格3_5[[#This Row],[In-Time]])*24</f>
        <v>8</v>
      </c>
      <c r="M88" s="210">
        <f>表格3_5[[#This Row],[ Hours]]-表格3_5[[#This Row],[Normal working
 hours]]</f>
        <v>0</v>
      </c>
      <c r="N88" s="206">
        <v>0.47916666666666669</v>
      </c>
      <c r="O88" s="204">
        <v>0.8125</v>
      </c>
      <c r="P88" s="210">
        <f>(表格3_5[[#This Row],[Out-Time2]] - 表格3_5[[#This Row],[In-Time2]])*24</f>
        <v>8</v>
      </c>
      <c r="Q88" s="205">
        <v>7.9999999999999902</v>
      </c>
      <c r="R88" s="214">
        <f>_xlfn.XLOOKUP(表格3_5[[#This Row],[Name]],Name_list[Full Name],Name_list[Hourr Rate])</f>
        <v>0</v>
      </c>
      <c r="S88" s="210">
        <f>表格3_5[[#This Row],[Hours Worked]]*表格3_5[[#This Row],[Hourly Rate]]</f>
        <v>0</v>
      </c>
    </row>
    <row r="89" spans="1:19">
      <c r="A89" s="201">
        <v>87</v>
      </c>
      <c r="B89" s="210" t="str">
        <f>_xlfn.CONCAT(表格3_5[[#This Row],[Name]],表格3_5[[#This Row],[Location]])</f>
        <v>Wan Kwok HeiWan Chai Jingdong</v>
      </c>
      <c r="C89" s="211" t="str">
        <f>表格3_5[[#This Row],[Location]] &amp; 表格3_5[[#This Row],[Date]] &amp;表格3_5[[#This Row],[Nick Name]]</f>
        <v>Wan Chai Jingdong46202Hei</v>
      </c>
      <c r="D89" s="202"/>
      <c r="E89" s="211" t="str">
        <f>DAY(表格3_5[[#This Row],[Date]])&amp;""</f>
        <v>29</v>
      </c>
      <c r="F89" s="203">
        <v>46202</v>
      </c>
      <c r="G89" s="216" t="str">
        <f>_xlfn.XLOOKUP(表格3_5[[#This Row],[Name]],Name_list[Full Name],Name_list[Nick Name])</f>
        <v>Hei</v>
      </c>
      <c r="H89" s="235" t="s">
        <v>148</v>
      </c>
      <c r="I89" s="228" t="s">
        <v>115</v>
      </c>
      <c r="J89" s="206">
        <v>0.47916666666666669</v>
      </c>
      <c r="K89" s="204">
        <v>0.8125</v>
      </c>
      <c r="L89" s="210">
        <f>(表格3_5[[#This Row],[Out-Time]] - 表格3_5[[#This Row],[In-Time]])*24</f>
        <v>8</v>
      </c>
      <c r="M89" s="210">
        <f>表格3_5[[#This Row],[ Hours]]-表格3_5[[#This Row],[Normal working
 hours]]</f>
        <v>0</v>
      </c>
      <c r="N89" s="206">
        <v>0.47916666666666669</v>
      </c>
      <c r="O89" s="204">
        <v>0.8125</v>
      </c>
      <c r="P89" s="210">
        <f>(表格3_5[[#This Row],[Out-Time2]] - 表格3_5[[#This Row],[In-Time2]])*24</f>
        <v>8</v>
      </c>
      <c r="Q89" s="205">
        <v>7.9999999999999902</v>
      </c>
      <c r="R89" s="214">
        <f>_xlfn.XLOOKUP(表格3_5[[#This Row],[Name]],Name_list[Full Name],Name_list[Hourr Rate])</f>
        <v>0</v>
      </c>
      <c r="S89" s="210">
        <f>表格3_5[[#This Row],[Hours Worked]]*表格3_5[[#This Row],[Hourly Rate]]</f>
        <v>0</v>
      </c>
    </row>
    <row r="90" spans="1:19">
      <c r="A90" s="201">
        <v>88</v>
      </c>
      <c r="B90" s="210" t="str">
        <f>_xlfn.CONCAT(表格3_5[[#This Row],[Name]],表格3_5[[#This Row],[Location]])</f>
        <v>Wan Kwok HeiWan Chai Jingdong</v>
      </c>
      <c r="C90" s="211" t="str">
        <f>表格3_5[[#This Row],[Location]] &amp; 表格3_5[[#This Row],[Date]] &amp;表格3_5[[#This Row],[Nick Name]]</f>
        <v>Wan Chai Jingdong46203Hei</v>
      </c>
      <c r="D90" s="202"/>
      <c r="E90" s="211" t="str">
        <f>DAY(表格3_5[[#This Row],[Date]])&amp;""</f>
        <v>30</v>
      </c>
      <c r="F90" s="236">
        <v>46203</v>
      </c>
      <c r="G90" s="216" t="str">
        <f>_xlfn.XLOOKUP(表格3_5[[#This Row],[Name]],Name_list[Full Name],Name_list[Nick Name])</f>
        <v>Hei</v>
      </c>
      <c r="H90" s="235" t="s">
        <v>148</v>
      </c>
      <c r="I90" s="228" t="s">
        <v>115</v>
      </c>
      <c r="J90" s="206">
        <v>0.47916666666666669</v>
      </c>
      <c r="K90" s="204">
        <v>0.8125</v>
      </c>
      <c r="L90" s="210">
        <f>(表格3_5[[#This Row],[Out-Time]] - 表格3_5[[#This Row],[In-Time]])*24</f>
        <v>8</v>
      </c>
      <c r="M90" s="210">
        <f>表格3_5[[#This Row],[ Hours]]-表格3_5[[#This Row],[Normal working
 hours]]</f>
        <v>0</v>
      </c>
      <c r="N90" s="206">
        <v>0.47916666666666669</v>
      </c>
      <c r="O90" s="204">
        <v>0.8125</v>
      </c>
      <c r="P90" s="210">
        <f>(表格3_5[[#This Row],[Out-Time2]] - 表格3_5[[#This Row],[In-Time2]])*24</f>
        <v>8</v>
      </c>
      <c r="Q90" s="205">
        <v>7.9999999999999902</v>
      </c>
      <c r="R90" s="214">
        <f>_xlfn.XLOOKUP(表格3_5[[#This Row],[Name]],Name_list[Full Name],Name_list[Hourr Rate])</f>
        <v>0</v>
      </c>
      <c r="S90" s="210">
        <f>表格3_5[[#This Row],[Hours Worked]]*表格3_5[[#This Row],[Hourly Rate]]</f>
        <v>0</v>
      </c>
    </row>
    <row r="91" spans="1:19">
      <c r="A91" s="201">
        <v>89</v>
      </c>
      <c r="B91" s="210" t="str">
        <f>_xlfn.CONCAT(表格3_5[[#This Row],[Name]],表格3_5[[#This Row],[Location]])</f>
        <v/>
      </c>
      <c r="C91" s="211" t="str">
        <f>表格3_5[[#This Row],[Location]] &amp; 表格3_5[[#This Row],[Date]] &amp;表格3_5[[#This Row],[Nick Name]]</f>
        <v>0</v>
      </c>
      <c r="D91" s="202"/>
      <c r="E91" s="211" t="str">
        <f>DAY(表格3_5[[#This Row],[Date]])&amp;""</f>
        <v>0</v>
      </c>
      <c r="F91" s="203"/>
      <c r="G91" s="216">
        <f>_xlfn.XLOOKUP(表格3_5[[#This Row],[Name]],Name_list[Full Name],Name_list[Nick Name])</f>
        <v>0</v>
      </c>
      <c r="H91" s="207"/>
      <c r="I91" s="228"/>
      <c r="J91" s="218"/>
      <c r="K91" s="205"/>
      <c r="L91" s="210">
        <f>(表格3_5[[#This Row],[Out-Time]] - 表格3_5[[#This Row],[In-Time]])*24</f>
        <v>0</v>
      </c>
      <c r="M91" s="210">
        <f>表格3_5[[#This Row],[ Hours]]-表格3_5[[#This Row],[Normal working
 hours]]</f>
        <v>0</v>
      </c>
      <c r="N91" s="204"/>
      <c r="O91" s="204"/>
      <c r="P91" s="210">
        <f>(表格3_5[[#This Row],[Out-Time2]] - 表格3_5[[#This Row],[In-Time2]])*24</f>
        <v>0</v>
      </c>
      <c r="Q91" s="205"/>
      <c r="R91" s="214">
        <f>_xlfn.XLOOKUP(表格3_5[[#This Row],[Name]],Name_list[Full Name],Name_list[Hourr Rate])</f>
        <v>0</v>
      </c>
      <c r="S91" s="210">
        <f>表格3_5[[#This Row],[Hours Worked]]*表格3_5[[#This Row],[Hourly Rate]]</f>
        <v>0</v>
      </c>
    </row>
    <row r="92" spans="1:19">
      <c r="A92" s="201">
        <v>90</v>
      </c>
      <c r="B92" s="210" t="str">
        <f>_xlfn.CONCAT(表格3_5[[#This Row],[Name]],表格3_5[[#This Row],[Location]])</f>
        <v/>
      </c>
      <c r="C92" s="211" t="str">
        <f>表格3_5[[#This Row],[Location]] &amp; 表格3_5[[#This Row],[Date]] &amp;表格3_5[[#This Row],[Nick Name]]</f>
        <v>0</v>
      </c>
      <c r="D92" s="202"/>
      <c r="E92" s="211" t="str">
        <f>DAY(表格3_5[[#This Row],[Date]])&amp;""</f>
        <v>0</v>
      </c>
      <c r="F92" s="203"/>
      <c r="G92" s="216">
        <f>_xlfn.XLOOKUP(表格3_5[[#This Row],[Name]],Name_list[Full Name],Name_list[Nick Name])</f>
        <v>0</v>
      </c>
      <c r="H92" s="207"/>
      <c r="I92" s="228"/>
      <c r="J92" s="218"/>
      <c r="K92" s="205"/>
      <c r="L92" s="210">
        <f>(表格3_5[[#This Row],[Out-Time]] - 表格3_5[[#This Row],[In-Time]])*24</f>
        <v>0</v>
      </c>
      <c r="M92" s="210">
        <f>表格3_5[[#This Row],[ Hours]]-表格3_5[[#This Row],[Normal working
 hours]]</f>
        <v>0</v>
      </c>
      <c r="N92" s="204"/>
      <c r="O92" s="204"/>
      <c r="P92" s="210">
        <f>(表格3_5[[#This Row],[Out-Time2]] - 表格3_5[[#This Row],[In-Time2]])*24</f>
        <v>0</v>
      </c>
      <c r="Q92" s="205"/>
      <c r="R92" s="214">
        <f>_xlfn.XLOOKUP(表格3_5[[#This Row],[Name]],Name_list[Full Name],Name_list[Hourr Rate])</f>
        <v>0</v>
      </c>
      <c r="S92" s="210">
        <f>表格3_5[[#This Row],[Hours Worked]]*表格3_5[[#This Row],[Hourly Rate]]</f>
        <v>0</v>
      </c>
    </row>
    <row r="93" spans="1:19">
      <c r="A93" s="201">
        <v>91</v>
      </c>
      <c r="B93" s="210" t="str">
        <f>_xlfn.CONCAT(表格3_5[[#This Row],[Name]],表格3_5[[#This Row],[Location]])</f>
        <v/>
      </c>
      <c r="C93" s="211" t="str">
        <f>表格3_5[[#This Row],[Location]] &amp; 表格3_5[[#This Row],[Date]] &amp;表格3_5[[#This Row],[Nick Name]]</f>
        <v>0</v>
      </c>
      <c r="D93" s="202"/>
      <c r="E93" s="211" t="str">
        <f>DAY(表格3_5[[#This Row],[Date]])&amp;""</f>
        <v>0</v>
      </c>
      <c r="F93" s="203"/>
      <c r="G93" s="216">
        <f>_xlfn.XLOOKUP(表格3_5[[#This Row],[Name]],Name_list[Full Name],Name_list[Nick Name])</f>
        <v>0</v>
      </c>
      <c r="H93" s="207"/>
      <c r="I93" s="228"/>
      <c r="J93" s="218"/>
      <c r="K93" s="205"/>
      <c r="L93" s="210">
        <f>(表格3_5[[#This Row],[Out-Time]] - 表格3_5[[#This Row],[In-Time]])*24</f>
        <v>0</v>
      </c>
      <c r="M93" s="210">
        <f>表格3_5[[#This Row],[ Hours]]-表格3_5[[#This Row],[Normal working
 hours]]</f>
        <v>0</v>
      </c>
      <c r="N93" s="204"/>
      <c r="O93" s="204"/>
      <c r="P93" s="210">
        <f>(表格3_5[[#This Row],[Out-Time2]] - 表格3_5[[#This Row],[In-Time2]])*24</f>
        <v>0</v>
      </c>
      <c r="Q93" s="205"/>
      <c r="R93" s="214">
        <f>_xlfn.XLOOKUP(表格3_5[[#This Row],[Name]],Name_list[Full Name],Name_list[Hourr Rate])</f>
        <v>0</v>
      </c>
      <c r="S93" s="210">
        <f>表格3_5[[#This Row],[Hours Worked]]*表格3_5[[#This Row],[Hourly Rate]]</f>
        <v>0</v>
      </c>
    </row>
    <row r="94" spans="1:19">
      <c r="A94" s="201">
        <v>92</v>
      </c>
      <c r="B94" s="210" t="str">
        <f>_xlfn.CONCAT(表格3_5[[#This Row],[Name]],表格3_5[[#This Row],[Location]])</f>
        <v/>
      </c>
      <c r="C94" s="211" t="str">
        <f>表格3_5[[#This Row],[Location]] &amp; 表格3_5[[#This Row],[Date]] &amp;表格3_5[[#This Row],[Nick Name]]</f>
        <v>0</v>
      </c>
      <c r="D94" s="202"/>
      <c r="E94" s="211" t="str">
        <f>DAY(表格3_5[[#This Row],[Date]])&amp;""</f>
        <v>0</v>
      </c>
      <c r="F94" s="203"/>
      <c r="G94" s="216">
        <f>_xlfn.XLOOKUP(表格3_5[[#This Row],[Name]],Name_list[Full Name],Name_list[Nick Name])</f>
        <v>0</v>
      </c>
      <c r="H94" s="207"/>
      <c r="I94" s="228"/>
      <c r="J94" s="218"/>
      <c r="K94" s="205"/>
      <c r="L94" s="210">
        <f>(表格3_5[[#This Row],[Out-Time]] - 表格3_5[[#This Row],[In-Time]])*24</f>
        <v>0</v>
      </c>
      <c r="M94" s="210">
        <f>表格3_5[[#This Row],[ Hours]]-表格3_5[[#This Row],[Normal working
 hours]]</f>
        <v>0</v>
      </c>
      <c r="N94" s="204"/>
      <c r="O94" s="204"/>
      <c r="P94" s="210">
        <f>(表格3_5[[#This Row],[Out-Time2]] - 表格3_5[[#This Row],[In-Time2]])*24</f>
        <v>0</v>
      </c>
      <c r="Q94" s="205"/>
      <c r="R94" s="214">
        <f>_xlfn.XLOOKUP(表格3_5[[#This Row],[Name]],Name_list[Full Name],Name_list[Hourr Rate])</f>
        <v>0</v>
      </c>
      <c r="S94" s="210">
        <f>表格3_5[[#This Row],[Hours Worked]]*表格3_5[[#This Row],[Hourly Rate]]</f>
        <v>0</v>
      </c>
    </row>
    <row r="95" spans="1:19">
      <c r="A95" s="201">
        <v>93</v>
      </c>
      <c r="B95" s="210" t="str">
        <f>_xlfn.CONCAT(表格3_5[[#This Row],[Name]],表格3_5[[#This Row],[Location]])</f>
        <v/>
      </c>
      <c r="C95" s="211" t="str">
        <f>表格3_5[[#This Row],[Location]] &amp; 表格3_5[[#This Row],[Date]] &amp;表格3_5[[#This Row],[Nick Name]]</f>
        <v>0</v>
      </c>
      <c r="D95" s="202"/>
      <c r="E95" s="211" t="str">
        <f>DAY(表格3_5[[#This Row],[Date]])&amp;""</f>
        <v>0</v>
      </c>
      <c r="F95" s="203"/>
      <c r="G95" s="216">
        <f>_xlfn.XLOOKUP(表格3_5[[#This Row],[Name]],Name_list[Full Name],Name_list[Nick Name])</f>
        <v>0</v>
      </c>
      <c r="H95" s="207"/>
      <c r="I95" s="228"/>
      <c r="J95" s="218"/>
      <c r="K95" s="205"/>
      <c r="L95" s="210">
        <f>(表格3_5[[#This Row],[Out-Time]] - 表格3_5[[#This Row],[In-Time]])*24</f>
        <v>0</v>
      </c>
      <c r="M95" s="210">
        <f>表格3_5[[#This Row],[ Hours]]-表格3_5[[#This Row],[Normal working
 hours]]</f>
        <v>0</v>
      </c>
      <c r="N95" s="205"/>
      <c r="O95" s="205"/>
      <c r="P95" s="210">
        <f>(表格3_5[[#This Row],[Out-Time2]] - 表格3_5[[#This Row],[In-Time2]])*24</f>
        <v>0</v>
      </c>
      <c r="Q95" s="205"/>
      <c r="R95" s="214">
        <f>_xlfn.XLOOKUP(表格3_5[[#This Row],[Name]],Name_list[Full Name],Name_list[Hourr Rate])</f>
        <v>0</v>
      </c>
      <c r="S95" s="210">
        <f>表格3_5[[#This Row],[Hours Worked]]*表格3_5[[#This Row],[Hourly Rate]]</f>
        <v>0</v>
      </c>
    </row>
    <row r="96" spans="1:19">
      <c r="A96" s="201">
        <v>94</v>
      </c>
      <c r="B96" s="210" t="str">
        <f>_xlfn.CONCAT(表格3_5[[#This Row],[Name]],表格3_5[[#This Row],[Location]])</f>
        <v/>
      </c>
      <c r="C96" s="211" t="str">
        <f>表格3_5[[#This Row],[Location]] &amp; 表格3_5[[#This Row],[Date]] &amp;表格3_5[[#This Row],[Nick Name]]</f>
        <v>0</v>
      </c>
      <c r="D96" s="202"/>
      <c r="E96" s="211" t="str">
        <f>DAY(表格3_5[[#This Row],[Date]])&amp;""</f>
        <v>0</v>
      </c>
      <c r="F96" s="203"/>
      <c r="G96" s="216">
        <f>_xlfn.XLOOKUP(表格3_5[[#This Row],[Name]],Name_list[Full Name],Name_list[Nick Name])</f>
        <v>0</v>
      </c>
      <c r="H96" s="207"/>
      <c r="I96" s="228"/>
      <c r="J96" s="218"/>
      <c r="K96" s="205"/>
      <c r="L96" s="210">
        <f>(表格3_5[[#This Row],[Out-Time]] - 表格3_5[[#This Row],[In-Time]])*24</f>
        <v>0</v>
      </c>
      <c r="M96" s="210">
        <f>表格3_5[[#This Row],[ Hours]]-表格3_5[[#This Row],[Normal working
 hours]]</f>
        <v>0</v>
      </c>
      <c r="N96" s="205"/>
      <c r="O96" s="205"/>
      <c r="P96" s="210">
        <f>(表格3_5[[#This Row],[Out-Time2]] - 表格3_5[[#This Row],[In-Time2]])*24</f>
        <v>0</v>
      </c>
      <c r="Q96" s="205"/>
      <c r="R96" s="214">
        <f>_xlfn.XLOOKUP(表格3_5[[#This Row],[Name]],Name_list[Full Name],Name_list[Hourr Rate])</f>
        <v>0</v>
      </c>
      <c r="S96" s="210">
        <f>表格3_5[[#This Row],[Hours Worked]]*表格3_5[[#This Row],[Hourly Rate]]</f>
        <v>0</v>
      </c>
    </row>
    <row r="97" spans="1:19">
      <c r="A97" s="201">
        <v>95</v>
      </c>
      <c r="B97" s="210" t="str">
        <f>_xlfn.CONCAT(表格3_5[[#This Row],[Name]],表格3_5[[#This Row],[Location]])</f>
        <v/>
      </c>
      <c r="C97" s="211" t="str">
        <f>表格3_5[[#This Row],[Location]] &amp; 表格3_5[[#This Row],[Date]] &amp;表格3_5[[#This Row],[Nick Name]]</f>
        <v>0</v>
      </c>
      <c r="D97" s="202"/>
      <c r="E97" s="211" t="str">
        <f>DAY(表格3_5[[#This Row],[Date]])&amp;""</f>
        <v>0</v>
      </c>
      <c r="F97" s="203"/>
      <c r="G97" s="216">
        <f>_xlfn.XLOOKUP(表格3_5[[#This Row],[Name]],Name_list[Full Name],Name_list[Nick Name])</f>
        <v>0</v>
      </c>
      <c r="H97" s="207"/>
      <c r="I97" s="228"/>
      <c r="J97" s="218"/>
      <c r="K97" s="205"/>
      <c r="L97" s="210">
        <f>(表格3_5[[#This Row],[Out-Time]] - 表格3_5[[#This Row],[In-Time]])*24</f>
        <v>0</v>
      </c>
      <c r="M97" s="210">
        <f>表格3_5[[#This Row],[ Hours]]-表格3_5[[#This Row],[Normal working
 hours]]</f>
        <v>0</v>
      </c>
      <c r="N97" s="205"/>
      <c r="O97" s="205"/>
      <c r="P97" s="210">
        <f>(表格3_5[[#This Row],[Out-Time2]] - 表格3_5[[#This Row],[In-Time2]])*24</f>
        <v>0</v>
      </c>
      <c r="Q97" s="205"/>
      <c r="R97" s="214">
        <f>_xlfn.XLOOKUP(表格3_5[[#This Row],[Name]],Name_list[Full Name],Name_list[Hourr Rate])</f>
        <v>0</v>
      </c>
      <c r="S97" s="210">
        <f>表格3_5[[#This Row],[Hours Worked]]*表格3_5[[#This Row],[Hourly Rate]]</f>
        <v>0</v>
      </c>
    </row>
    <row r="98" spans="1:19">
      <c r="A98" s="201">
        <v>96</v>
      </c>
      <c r="B98" s="210" t="str">
        <f>_xlfn.CONCAT(表格3_5[[#This Row],[Name]],表格3_5[[#This Row],[Location]])</f>
        <v/>
      </c>
      <c r="C98" s="211" t="str">
        <f>表格3_5[[#This Row],[Location]] &amp; 表格3_5[[#This Row],[Date]] &amp;表格3_5[[#This Row],[Nick Name]]</f>
        <v>0</v>
      </c>
      <c r="D98" s="202"/>
      <c r="E98" s="211" t="str">
        <f>DAY(表格3_5[[#This Row],[Date]])&amp;""</f>
        <v>0</v>
      </c>
      <c r="F98" s="203"/>
      <c r="G98" s="216">
        <f>_xlfn.XLOOKUP(表格3_5[[#This Row],[Name]],Name_list[Full Name],Name_list[Nick Name])</f>
        <v>0</v>
      </c>
      <c r="H98" s="207"/>
      <c r="I98" s="228"/>
      <c r="J98" s="218"/>
      <c r="K98" s="205"/>
      <c r="L98" s="210">
        <f>(表格3_5[[#This Row],[Out-Time]] - 表格3_5[[#This Row],[In-Time]])*24</f>
        <v>0</v>
      </c>
      <c r="M98" s="210">
        <f>表格3_5[[#This Row],[ Hours]]-表格3_5[[#This Row],[Normal working
 hours]]</f>
        <v>0</v>
      </c>
      <c r="N98" s="205"/>
      <c r="O98" s="205"/>
      <c r="P98" s="210">
        <f>(表格3_5[[#This Row],[Out-Time2]] - 表格3_5[[#This Row],[In-Time2]])*24</f>
        <v>0</v>
      </c>
      <c r="Q98" s="205"/>
      <c r="R98" s="214">
        <f>_xlfn.XLOOKUP(表格3_5[[#This Row],[Name]],Name_list[Full Name],Name_list[Hourr Rate])</f>
        <v>0</v>
      </c>
      <c r="S98" s="210">
        <f>表格3_5[[#This Row],[Hours Worked]]*表格3_5[[#This Row],[Hourly Rate]]</f>
        <v>0</v>
      </c>
    </row>
    <row r="99" spans="1:19">
      <c r="A99" s="201">
        <v>97</v>
      </c>
      <c r="B99" s="210" t="str">
        <f>_xlfn.CONCAT(表格3_5[[#This Row],[Name]],表格3_5[[#This Row],[Location]])</f>
        <v/>
      </c>
      <c r="C99" s="211" t="str">
        <f>表格3_5[[#This Row],[Location]] &amp; 表格3_5[[#This Row],[Date]] &amp;表格3_5[[#This Row],[Nick Name]]</f>
        <v>0</v>
      </c>
      <c r="D99" s="202"/>
      <c r="E99" s="211" t="str">
        <f>DAY(表格3_5[[#This Row],[Date]])&amp;""</f>
        <v>0</v>
      </c>
      <c r="F99" s="203"/>
      <c r="G99" s="216">
        <f>_xlfn.XLOOKUP(表格3_5[[#This Row],[Name]],Name_list[Full Name],Name_list[Nick Name])</f>
        <v>0</v>
      </c>
      <c r="H99" s="207"/>
      <c r="I99" s="228"/>
      <c r="J99" s="218"/>
      <c r="K99" s="205"/>
      <c r="L99" s="210">
        <f>(表格3_5[[#This Row],[Out-Time]] - 表格3_5[[#This Row],[In-Time]])*24</f>
        <v>0</v>
      </c>
      <c r="M99" s="210">
        <f>表格3_5[[#This Row],[ Hours]]-表格3_5[[#This Row],[Normal working
 hours]]</f>
        <v>0</v>
      </c>
      <c r="N99" s="205"/>
      <c r="O99" s="205"/>
      <c r="P99" s="210">
        <f>(表格3_5[[#This Row],[Out-Time2]] - 表格3_5[[#This Row],[In-Time2]])*24</f>
        <v>0</v>
      </c>
      <c r="Q99" s="205"/>
      <c r="R99" s="214">
        <f>_xlfn.XLOOKUP(表格3_5[[#This Row],[Name]],Name_list[Full Name],Name_list[Hourr Rate])</f>
        <v>0</v>
      </c>
      <c r="S99" s="210">
        <f>表格3_5[[#This Row],[Hours Worked]]*表格3_5[[#This Row],[Hourly Rate]]</f>
        <v>0</v>
      </c>
    </row>
    <row r="100" spans="1:19">
      <c r="A100" s="201">
        <v>98</v>
      </c>
      <c r="B100" s="210" t="str">
        <f>_xlfn.CONCAT(表格3_5[[#This Row],[Name]],表格3_5[[#This Row],[Location]])</f>
        <v/>
      </c>
      <c r="C100" s="211" t="str">
        <f>表格3_5[[#This Row],[Location]] &amp; 表格3_5[[#This Row],[Date]] &amp;表格3_5[[#This Row],[Nick Name]]</f>
        <v>0</v>
      </c>
      <c r="D100" s="202"/>
      <c r="E100" s="211" t="str">
        <f>DAY(表格3_5[[#This Row],[Date]])&amp;""</f>
        <v>0</v>
      </c>
      <c r="F100" s="203"/>
      <c r="G100" s="216">
        <f>_xlfn.XLOOKUP(表格3_5[[#This Row],[Name]],Name_list[Full Name],Name_list[Nick Name])</f>
        <v>0</v>
      </c>
      <c r="H100" s="207"/>
      <c r="I100" s="228"/>
      <c r="J100" s="218"/>
      <c r="K100" s="205"/>
      <c r="L100" s="210">
        <f>(表格3_5[[#This Row],[Out-Time]] - 表格3_5[[#This Row],[In-Time]])*24</f>
        <v>0</v>
      </c>
      <c r="M100" s="210">
        <f>表格3_5[[#This Row],[ Hours]]-表格3_5[[#This Row],[Normal working
 hours]]</f>
        <v>0</v>
      </c>
      <c r="N100" s="205"/>
      <c r="O100" s="205"/>
      <c r="P100" s="210">
        <f>(表格3_5[[#This Row],[Out-Time2]] - 表格3_5[[#This Row],[In-Time2]])*24</f>
        <v>0</v>
      </c>
      <c r="Q100" s="205"/>
      <c r="R100" s="214">
        <f>_xlfn.XLOOKUP(表格3_5[[#This Row],[Name]],Name_list[Full Name],Name_list[Hourr Rate])</f>
        <v>0</v>
      </c>
      <c r="S100" s="210">
        <f>表格3_5[[#This Row],[Hours Worked]]*表格3_5[[#This Row],[Hourly Rate]]</f>
        <v>0</v>
      </c>
    </row>
    <row r="101" spans="1:19">
      <c r="A101" s="201">
        <v>99</v>
      </c>
      <c r="B101" s="210" t="str">
        <f>_xlfn.CONCAT(表格3_5[[#This Row],[Name]],表格3_5[[#This Row],[Location]])</f>
        <v/>
      </c>
      <c r="C101" s="211" t="str">
        <f>表格3_5[[#This Row],[Location]] &amp; 表格3_5[[#This Row],[Date]] &amp;表格3_5[[#This Row],[Nick Name]]</f>
        <v>0</v>
      </c>
      <c r="D101" s="202"/>
      <c r="E101" s="211" t="str">
        <f>DAY(表格3_5[[#This Row],[Date]])&amp;""</f>
        <v>0</v>
      </c>
      <c r="F101" s="203"/>
      <c r="G101" s="216">
        <f>_xlfn.XLOOKUP(表格3_5[[#This Row],[Name]],Name_list[Full Name],Name_list[Nick Name])</f>
        <v>0</v>
      </c>
      <c r="H101" s="207"/>
      <c r="I101" s="228"/>
      <c r="J101" s="218"/>
      <c r="K101" s="205"/>
      <c r="L101" s="210">
        <f>(表格3_5[[#This Row],[Out-Time]] - 表格3_5[[#This Row],[In-Time]])*24</f>
        <v>0</v>
      </c>
      <c r="M101" s="210">
        <f>表格3_5[[#This Row],[ Hours]]-表格3_5[[#This Row],[Normal working
 hours]]</f>
        <v>0</v>
      </c>
      <c r="N101" s="205"/>
      <c r="O101" s="205"/>
      <c r="P101" s="210">
        <f>(表格3_5[[#This Row],[Out-Time2]] - 表格3_5[[#This Row],[In-Time2]])*24</f>
        <v>0</v>
      </c>
      <c r="Q101" s="205"/>
      <c r="R101" s="214">
        <f>_xlfn.XLOOKUP(表格3_5[[#This Row],[Name]],Name_list[Full Name],Name_list[Hourr Rate])</f>
        <v>0</v>
      </c>
      <c r="S101" s="210">
        <f>表格3_5[[#This Row],[Hours Worked]]*表格3_5[[#This Row],[Hourly Rate]]</f>
        <v>0</v>
      </c>
    </row>
    <row r="102" spans="1:19">
      <c r="A102" s="201">
        <v>100</v>
      </c>
      <c r="B102" s="210" t="str">
        <f>_xlfn.CONCAT(表格3_5[[#This Row],[Name]],表格3_5[[#This Row],[Location]])</f>
        <v/>
      </c>
      <c r="C102" s="211" t="str">
        <f>表格3_5[[#This Row],[Location]] &amp; 表格3_5[[#This Row],[Date]] &amp;表格3_5[[#This Row],[Nick Name]]</f>
        <v>0</v>
      </c>
      <c r="D102" s="202"/>
      <c r="E102" s="211" t="str">
        <f>DAY(表格3_5[[#This Row],[Date]])&amp;""</f>
        <v>0</v>
      </c>
      <c r="F102" s="203"/>
      <c r="G102" s="216">
        <f>_xlfn.XLOOKUP(表格3_5[[#This Row],[Name]],Name_list[Full Name],Name_list[Nick Name])</f>
        <v>0</v>
      </c>
      <c r="H102" s="207"/>
      <c r="I102" s="228"/>
      <c r="J102" s="218"/>
      <c r="K102" s="205"/>
      <c r="L102" s="210">
        <f>(表格3_5[[#This Row],[Out-Time]] - 表格3_5[[#This Row],[In-Time]])*24</f>
        <v>0</v>
      </c>
      <c r="M102" s="210">
        <f>表格3_5[[#This Row],[ Hours]]-表格3_5[[#This Row],[Normal working
 hours]]</f>
        <v>0</v>
      </c>
      <c r="N102" s="205"/>
      <c r="O102" s="205"/>
      <c r="P102" s="210">
        <f>(表格3_5[[#This Row],[Out-Time2]] - 表格3_5[[#This Row],[In-Time2]])*24</f>
        <v>0</v>
      </c>
      <c r="Q102" s="205"/>
      <c r="R102" s="214">
        <f>_xlfn.XLOOKUP(表格3_5[[#This Row],[Name]],Name_list[Full Name],Name_list[Hourr Rate])</f>
        <v>0</v>
      </c>
      <c r="S102" s="210">
        <f>表格3_5[[#This Row],[Hours Worked]]*表格3_5[[#This Row],[Hourly Rate]]</f>
        <v>0</v>
      </c>
    </row>
    <row r="103" spans="1:19">
      <c r="A103" s="201">
        <v>101</v>
      </c>
      <c r="B103" s="210" t="str">
        <f>_xlfn.CONCAT(表格3_5[[#This Row],[Name]],表格3_5[[#This Row],[Location]])</f>
        <v/>
      </c>
      <c r="C103" s="211" t="str">
        <f>表格3_5[[#This Row],[Location]] &amp; 表格3_5[[#This Row],[Date]] &amp;表格3_5[[#This Row],[Nick Name]]</f>
        <v>0</v>
      </c>
      <c r="D103" s="202"/>
      <c r="E103" s="211" t="str">
        <f>DAY(表格3_5[[#This Row],[Date]])&amp;""</f>
        <v>0</v>
      </c>
      <c r="F103" s="203"/>
      <c r="G103" s="216">
        <f>_xlfn.XLOOKUP(表格3_5[[#This Row],[Name]],Name_list[Full Name],Name_list[Nick Name])</f>
        <v>0</v>
      </c>
      <c r="H103" s="207"/>
      <c r="I103" s="228"/>
      <c r="J103" s="218"/>
      <c r="K103" s="205"/>
      <c r="L103" s="210">
        <f>(表格3_5[[#This Row],[Out-Time]] - 表格3_5[[#This Row],[In-Time]])*24</f>
        <v>0</v>
      </c>
      <c r="M103" s="210">
        <f>表格3_5[[#This Row],[ Hours]]-表格3_5[[#This Row],[Normal working
 hours]]</f>
        <v>0</v>
      </c>
      <c r="N103" s="205"/>
      <c r="O103" s="205"/>
      <c r="P103" s="210">
        <f>(表格3_5[[#This Row],[Out-Time2]] - 表格3_5[[#This Row],[In-Time2]])*24</f>
        <v>0</v>
      </c>
      <c r="Q103" s="205"/>
      <c r="R103" s="214">
        <f>_xlfn.XLOOKUP(表格3_5[[#This Row],[Name]],Name_list[Full Name],Name_list[Hourr Rate])</f>
        <v>0</v>
      </c>
      <c r="S103" s="210">
        <f>表格3_5[[#This Row],[Hours Worked]]*表格3_5[[#This Row],[Hourly Rate]]</f>
        <v>0</v>
      </c>
    </row>
    <row r="104" spans="1:19">
      <c r="A104" s="201">
        <v>102</v>
      </c>
      <c r="B104" s="210" t="str">
        <f>_xlfn.CONCAT(表格3_5[[#This Row],[Name]],表格3_5[[#This Row],[Location]])</f>
        <v/>
      </c>
      <c r="C104" s="211" t="str">
        <f>表格3_5[[#This Row],[Location]] &amp; 表格3_5[[#This Row],[Date]] &amp;表格3_5[[#This Row],[Nick Name]]</f>
        <v>0</v>
      </c>
      <c r="D104" s="202"/>
      <c r="E104" s="211" t="str">
        <f>DAY(表格3_5[[#This Row],[Date]])&amp;""</f>
        <v>0</v>
      </c>
      <c r="F104" s="203"/>
      <c r="G104" s="216">
        <f>_xlfn.XLOOKUP(表格3_5[[#This Row],[Name]],Name_list[Full Name],Name_list[Nick Name])</f>
        <v>0</v>
      </c>
      <c r="H104" s="207"/>
      <c r="I104" s="228"/>
      <c r="J104" s="218"/>
      <c r="K104" s="205"/>
      <c r="L104" s="210">
        <f>(表格3_5[[#This Row],[Out-Time]] - 表格3_5[[#This Row],[In-Time]])*24</f>
        <v>0</v>
      </c>
      <c r="M104" s="210">
        <f>表格3_5[[#This Row],[ Hours]]-表格3_5[[#This Row],[Normal working
 hours]]</f>
        <v>0</v>
      </c>
      <c r="N104" s="205"/>
      <c r="O104" s="205"/>
      <c r="P104" s="210">
        <f>(表格3_5[[#This Row],[Out-Time2]] - 表格3_5[[#This Row],[In-Time2]])*24</f>
        <v>0</v>
      </c>
      <c r="Q104" s="205"/>
      <c r="R104" s="214">
        <f>_xlfn.XLOOKUP(表格3_5[[#This Row],[Name]],Name_list[Full Name],Name_list[Hourr Rate])</f>
        <v>0</v>
      </c>
      <c r="S104" s="210">
        <f>表格3_5[[#This Row],[Hours Worked]]*表格3_5[[#This Row],[Hourly Rate]]</f>
        <v>0</v>
      </c>
    </row>
    <row r="105" spans="1:19">
      <c r="A105" s="201">
        <v>103</v>
      </c>
      <c r="B105" s="210" t="str">
        <f>_xlfn.CONCAT(表格3_5[[#This Row],[Name]],表格3_5[[#This Row],[Location]])</f>
        <v/>
      </c>
      <c r="C105" s="211" t="str">
        <f>表格3_5[[#This Row],[Location]] &amp; 表格3_5[[#This Row],[Date]] &amp;表格3_5[[#This Row],[Nick Name]]</f>
        <v>0</v>
      </c>
      <c r="D105" s="202"/>
      <c r="E105" s="211" t="str">
        <f>DAY(表格3_5[[#This Row],[Date]])&amp;""</f>
        <v>0</v>
      </c>
      <c r="F105" s="203"/>
      <c r="G105" s="216">
        <f>_xlfn.XLOOKUP(表格3_5[[#This Row],[Name]],Name_list[Full Name],Name_list[Nick Name])</f>
        <v>0</v>
      </c>
      <c r="H105" s="207"/>
      <c r="I105" s="228"/>
      <c r="J105" s="218"/>
      <c r="K105" s="205"/>
      <c r="L105" s="210">
        <f>(表格3_5[[#This Row],[Out-Time]] - 表格3_5[[#This Row],[In-Time]])*24</f>
        <v>0</v>
      </c>
      <c r="M105" s="210">
        <f>表格3_5[[#This Row],[ Hours]]-表格3_5[[#This Row],[Normal working
 hours]]</f>
        <v>0</v>
      </c>
      <c r="N105" s="205"/>
      <c r="O105" s="205"/>
      <c r="P105" s="210">
        <f>(表格3_5[[#This Row],[Out-Time2]] - 表格3_5[[#This Row],[In-Time2]])*24</f>
        <v>0</v>
      </c>
      <c r="Q105" s="205"/>
      <c r="R105" s="214">
        <f>_xlfn.XLOOKUP(表格3_5[[#This Row],[Name]],Name_list[Full Name],Name_list[Hourr Rate])</f>
        <v>0</v>
      </c>
      <c r="S105" s="210">
        <f>表格3_5[[#This Row],[Hours Worked]]*表格3_5[[#This Row],[Hourly Rate]]</f>
        <v>0</v>
      </c>
    </row>
    <row r="106" spans="1:19">
      <c r="A106" s="201">
        <v>104</v>
      </c>
      <c r="B106" s="210" t="str">
        <f>_xlfn.CONCAT(表格3_5[[#This Row],[Name]],表格3_5[[#This Row],[Location]])</f>
        <v/>
      </c>
      <c r="C106" s="211" t="str">
        <f>表格3_5[[#This Row],[Location]] &amp; 表格3_5[[#This Row],[Date]] &amp;表格3_5[[#This Row],[Nick Name]]</f>
        <v>0</v>
      </c>
      <c r="D106" s="202"/>
      <c r="E106" s="211" t="str">
        <f>DAY(表格3_5[[#This Row],[Date]])&amp;""</f>
        <v>0</v>
      </c>
      <c r="F106" s="203"/>
      <c r="G106" s="216">
        <f>_xlfn.XLOOKUP(表格3_5[[#This Row],[Name]],Name_list[Full Name],Name_list[Nick Name])</f>
        <v>0</v>
      </c>
      <c r="H106" s="207"/>
      <c r="I106" s="228"/>
      <c r="J106" s="218"/>
      <c r="K106" s="205"/>
      <c r="L106" s="210">
        <f>(表格3_5[[#This Row],[Out-Time]] - 表格3_5[[#This Row],[In-Time]])*24</f>
        <v>0</v>
      </c>
      <c r="M106" s="210">
        <f>表格3_5[[#This Row],[ Hours]]-表格3_5[[#This Row],[Normal working
 hours]]</f>
        <v>0</v>
      </c>
      <c r="N106" s="205"/>
      <c r="O106" s="205"/>
      <c r="P106" s="210">
        <f>(表格3_5[[#This Row],[Out-Time2]] - 表格3_5[[#This Row],[In-Time2]])*24</f>
        <v>0</v>
      </c>
      <c r="Q106" s="205"/>
      <c r="R106" s="214">
        <f>_xlfn.XLOOKUP(表格3_5[[#This Row],[Name]],Name_list[Full Name],Name_list[Hourr Rate])</f>
        <v>0</v>
      </c>
      <c r="S106" s="210">
        <f>表格3_5[[#This Row],[Hours Worked]]*表格3_5[[#This Row],[Hourly Rate]]</f>
        <v>0</v>
      </c>
    </row>
    <row r="107" spans="1:19">
      <c r="A107" s="201">
        <v>105</v>
      </c>
      <c r="B107" s="210" t="str">
        <f>_xlfn.CONCAT(表格3_5[[#This Row],[Name]],表格3_5[[#This Row],[Location]])</f>
        <v/>
      </c>
      <c r="C107" s="211" t="str">
        <f>表格3_5[[#This Row],[Location]] &amp; 表格3_5[[#This Row],[Date]] &amp;表格3_5[[#This Row],[Nick Name]]</f>
        <v>0</v>
      </c>
      <c r="D107" s="202"/>
      <c r="E107" s="211" t="str">
        <f>DAY(表格3_5[[#This Row],[Date]])&amp;""</f>
        <v>0</v>
      </c>
      <c r="F107" s="203"/>
      <c r="G107" s="216">
        <f>_xlfn.XLOOKUP(表格3_5[[#This Row],[Name]],Name_list[Full Name],Name_list[Nick Name])</f>
        <v>0</v>
      </c>
      <c r="H107" s="207"/>
      <c r="I107" s="228"/>
      <c r="J107" s="218"/>
      <c r="K107" s="205"/>
      <c r="L107" s="210">
        <f>(表格3_5[[#This Row],[Out-Time]] - 表格3_5[[#This Row],[In-Time]])*24</f>
        <v>0</v>
      </c>
      <c r="M107" s="210">
        <f>表格3_5[[#This Row],[ Hours]]-表格3_5[[#This Row],[Normal working
 hours]]</f>
        <v>0</v>
      </c>
      <c r="N107" s="205"/>
      <c r="O107" s="205"/>
      <c r="P107" s="210">
        <f>(表格3_5[[#This Row],[Out-Time2]] - 表格3_5[[#This Row],[In-Time2]])*24</f>
        <v>0</v>
      </c>
      <c r="Q107" s="205"/>
      <c r="R107" s="214">
        <f>_xlfn.XLOOKUP(表格3_5[[#This Row],[Name]],Name_list[Full Name],Name_list[Hourr Rate])</f>
        <v>0</v>
      </c>
      <c r="S107" s="210">
        <f>表格3_5[[#This Row],[Hours Worked]]*表格3_5[[#This Row],[Hourly Rate]]</f>
        <v>0</v>
      </c>
    </row>
    <row r="108" spans="1:19">
      <c r="A108" s="201">
        <v>106</v>
      </c>
      <c r="B108" s="210" t="str">
        <f>_xlfn.CONCAT(表格3_5[[#This Row],[Name]],表格3_5[[#This Row],[Location]])</f>
        <v/>
      </c>
      <c r="C108" s="211" t="str">
        <f>表格3_5[[#This Row],[Location]] &amp; 表格3_5[[#This Row],[Date]] &amp;表格3_5[[#This Row],[Nick Name]]</f>
        <v>0</v>
      </c>
      <c r="D108" s="202"/>
      <c r="E108" s="211" t="str">
        <f>DAY(表格3_5[[#This Row],[Date]])&amp;""</f>
        <v>0</v>
      </c>
      <c r="F108" s="203"/>
      <c r="G108" s="216">
        <f>_xlfn.XLOOKUP(表格3_5[[#This Row],[Name]],Name_list[Full Name],Name_list[Nick Name])</f>
        <v>0</v>
      </c>
      <c r="H108" s="207"/>
      <c r="I108" s="228"/>
      <c r="J108" s="218"/>
      <c r="K108" s="205"/>
      <c r="L108" s="210">
        <f>(表格3_5[[#This Row],[Out-Time]] - 表格3_5[[#This Row],[In-Time]])*24</f>
        <v>0</v>
      </c>
      <c r="M108" s="210">
        <f>表格3_5[[#This Row],[ Hours]]-表格3_5[[#This Row],[Normal working
 hours]]</f>
        <v>0</v>
      </c>
      <c r="N108" s="205"/>
      <c r="O108" s="205"/>
      <c r="P108" s="210">
        <f>(表格3_5[[#This Row],[Out-Time2]] - 表格3_5[[#This Row],[In-Time2]])*24</f>
        <v>0</v>
      </c>
      <c r="Q108" s="205"/>
      <c r="R108" s="214">
        <f>_xlfn.XLOOKUP(表格3_5[[#This Row],[Name]],Name_list[Full Name],Name_list[Hourr Rate])</f>
        <v>0</v>
      </c>
      <c r="S108" s="210">
        <f>表格3_5[[#This Row],[Hours Worked]]*表格3_5[[#This Row],[Hourly Rate]]</f>
        <v>0</v>
      </c>
    </row>
    <row r="109" spans="1:19">
      <c r="A109" s="201">
        <v>107</v>
      </c>
      <c r="B109" s="210" t="str">
        <f>_xlfn.CONCAT(表格3_5[[#This Row],[Name]],表格3_5[[#This Row],[Location]])</f>
        <v/>
      </c>
      <c r="C109" s="211" t="str">
        <f>表格3_5[[#This Row],[Location]] &amp; 表格3_5[[#This Row],[Date]] &amp;表格3_5[[#This Row],[Nick Name]]</f>
        <v>0</v>
      </c>
      <c r="D109" s="202"/>
      <c r="E109" s="211" t="str">
        <f>DAY(表格3_5[[#This Row],[Date]])&amp;""</f>
        <v>0</v>
      </c>
      <c r="F109" s="203"/>
      <c r="G109" s="216">
        <f>_xlfn.XLOOKUP(表格3_5[[#This Row],[Name]],Name_list[Full Name],Name_list[Nick Name])</f>
        <v>0</v>
      </c>
      <c r="H109" s="207"/>
      <c r="I109" s="228"/>
      <c r="J109" s="218"/>
      <c r="K109" s="205"/>
      <c r="L109" s="210">
        <f>(表格3_5[[#This Row],[Out-Time]] - 表格3_5[[#This Row],[In-Time]])*24</f>
        <v>0</v>
      </c>
      <c r="M109" s="210">
        <f>表格3_5[[#This Row],[ Hours]]-表格3_5[[#This Row],[Normal working
 hours]]</f>
        <v>0</v>
      </c>
      <c r="N109" s="205"/>
      <c r="O109" s="205"/>
      <c r="P109" s="210">
        <f>(表格3_5[[#This Row],[Out-Time2]] - 表格3_5[[#This Row],[In-Time2]])*24</f>
        <v>0</v>
      </c>
      <c r="Q109" s="205"/>
      <c r="R109" s="214">
        <f>_xlfn.XLOOKUP(表格3_5[[#This Row],[Name]],Name_list[Full Name],Name_list[Hourr Rate])</f>
        <v>0</v>
      </c>
      <c r="S109" s="210">
        <f>表格3_5[[#This Row],[Hours Worked]]*表格3_5[[#This Row],[Hourly Rate]]</f>
        <v>0</v>
      </c>
    </row>
    <row r="110" spans="1:19">
      <c r="A110" s="201">
        <v>108</v>
      </c>
      <c r="B110" s="210" t="str">
        <f>_xlfn.CONCAT(表格3_5[[#This Row],[Name]],表格3_5[[#This Row],[Location]])</f>
        <v/>
      </c>
      <c r="C110" s="211" t="str">
        <f>表格3_5[[#This Row],[Location]] &amp; 表格3_5[[#This Row],[Date]] &amp;表格3_5[[#This Row],[Nick Name]]</f>
        <v>0</v>
      </c>
      <c r="D110" s="202"/>
      <c r="E110" s="211" t="str">
        <f>DAY(表格3_5[[#This Row],[Date]])&amp;""</f>
        <v>0</v>
      </c>
      <c r="F110" s="203"/>
      <c r="G110" s="216">
        <f>_xlfn.XLOOKUP(表格3_5[[#This Row],[Name]],Name_list[Full Name],Name_list[Nick Name])</f>
        <v>0</v>
      </c>
      <c r="H110" s="207"/>
      <c r="I110" s="228"/>
      <c r="J110" s="218"/>
      <c r="K110" s="205"/>
      <c r="L110" s="210">
        <f>(表格3_5[[#This Row],[Out-Time]] - 表格3_5[[#This Row],[In-Time]])*24</f>
        <v>0</v>
      </c>
      <c r="M110" s="210">
        <f>表格3_5[[#This Row],[ Hours]]-表格3_5[[#This Row],[Normal working
 hours]]</f>
        <v>0</v>
      </c>
      <c r="N110" s="205"/>
      <c r="O110" s="205"/>
      <c r="P110" s="210">
        <f>(表格3_5[[#This Row],[Out-Time2]] - 表格3_5[[#This Row],[In-Time2]])*24</f>
        <v>0</v>
      </c>
      <c r="Q110" s="205"/>
      <c r="R110" s="214">
        <f>_xlfn.XLOOKUP(表格3_5[[#This Row],[Name]],Name_list[Full Name],Name_list[Hourr Rate])</f>
        <v>0</v>
      </c>
      <c r="S110" s="210">
        <f>表格3_5[[#This Row],[Hours Worked]]*表格3_5[[#This Row],[Hourly Rate]]</f>
        <v>0</v>
      </c>
    </row>
    <row r="111" spans="1:19">
      <c r="A111" s="201">
        <v>109</v>
      </c>
      <c r="B111" s="210" t="str">
        <f>_xlfn.CONCAT(表格3_5[[#This Row],[Name]],表格3_5[[#This Row],[Location]])</f>
        <v/>
      </c>
      <c r="C111" s="211" t="str">
        <f>表格3_5[[#This Row],[Location]] &amp; 表格3_5[[#This Row],[Date]] &amp;表格3_5[[#This Row],[Nick Name]]</f>
        <v>0</v>
      </c>
      <c r="D111" s="202"/>
      <c r="E111" s="211" t="str">
        <f>DAY(表格3_5[[#This Row],[Date]])&amp;""</f>
        <v>0</v>
      </c>
      <c r="F111" s="203"/>
      <c r="G111" s="216">
        <f>_xlfn.XLOOKUP(表格3_5[[#This Row],[Name]],Name_list[Full Name],Name_list[Nick Name])</f>
        <v>0</v>
      </c>
      <c r="H111" s="207"/>
      <c r="I111" s="228"/>
      <c r="J111" s="218"/>
      <c r="K111" s="205"/>
      <c r="L111" s="210">
        <f>(表格3_5[[#This Row],[Out-Time]] - 表格3_5[[#This Row],[In-Time]])*24</f>
        <v>0</v>
      </c>
      <c r="M111" s="210">
        <f>表格3_5[[#This Row],[ Hours]]-表格3_5[[#This Row],[Normal working
 hours]]</f>
        <v>0</v>
      </c>
      <c r="N111" s="205"/>
      <c r="O111" s="205"/>
      <c r="P111" s="210">
        <f>(表格3_5[[#This Row],[Out-Time2]] - 表格3_5[[#This Row],[In-Time2]])*24</f>
        <v>0</v>
      </c>
      <c r="Q111" s="205"/>
      <c r="R111" s="214">
        <f>_xlfn.XLOOKUP(表格3_5[[#This Row],[Name]],Name_list[Full Name],Name_list[Hourr Rate])</f>
        <v>0</v>
      </c>
      <c r="S111" s="210">
        <f>表格3_5[[#This Row],[Hours Worked]]*表格3_5[[#This Row],[Hourly Rate]]</f>
        <v>0</v>
      </c>
    </row>
    <row r="112" spans="1:19">
      <c r="A112" s="201">
        <v>110</v>
      </c>
      <c r="B112" s="210" t="str">
        <f>_xlfn.CONCAT(表格3_5[[#This Row],[Name]],表格3_5[[#This Row],[Location]])</f>
        <v/>
      </c>
      <c r="C112" s="211" t="str">
        <f>表格3_5[[#This Row],[Location]] &amp; 表格3_5[[#This Row],[Date]] &amp;表格3_5[[#This Row],[Nick Name]]</f>
        <v>0</v>
      </c>
      <c r="D112" s="202"/>
      <c r="E112" s="211" t="str">
        <f>DAY(表格3_5[[#This Row],[Date]])&amp;""</f>
        <v>0</v>
      </c>
      <c r="F112" s="203"/>
      <c r="G112" s="216">
        <f>_xlfn.XLOOKUP(表格3_5[[#This Row],[Name]],Name_list[Full Name],Name_list[Nick Name])</f>
        <v>0</v>
      </c>
      <c r="H112" s="207"/>
      <c r="I112" s="228"/>
      <c r="J112" s="218"/>
      <c r="K112" s="205"/>
      <c r="L112" s="210">
        <f>(表格3_5[[#This Row],[Out-Time]] - 表格3_5[[#This Row],[In-Time]])*24</f>
        <v>0</v>
      </c>
      <c r="M112" s="210">
        <f>表格3_5[[#This Row],[ Hours]]-表格3_5[[#This Row],[Normal working
 hours]]</f>
        <v>0</v>
      </c>
      <c r="N112" s="205"/>
      <c r="O112" s="205"/>
      <c r="P112" s="210">
        <f>(表格3_5[[#This Row],[Out-Time2]] - 表格3_5[[#This Row],[In-Time2]])*24</f>
        <v>0</v>
      </c>
      <c r="Q112" s="205"/>
      <c r="R112" s="214">
        <f>_xlfn.XLOOKUP(表格3_5[[#This Row],[Name]],Name_list[Full Name],Name_list[Hourr Rate])</f>
        <v>0</v>
      </c>
      <c r="S112" s="210">
        <f>表格3_5[[#This Row],[Hours Worked]]*表格3_5[[#This Row],[Hourly Rate]]</f>
        <v>0</v>
      </c>
    </row>
    <row r="113" spans="1:19">
      <c r="A113" s="201">
        <v>111</v>
      </c>
      <c r="B113" s="210" t="str">
        <f>_xlfn.CONCAT(表格3_5[[#This Row],[Name]],表格3_5[[#This Row],[Location]])</f>
        <v/>
      </c>
      <c r="C113" s="211" t="str">
        <f>表格3_5[[#This Row],[Location]] &amp; 表格3_5[[#This Row],[Date]] &amp;表格3_5[[#This Row],[Nick Name]]</f>
        <v>0</v>
      </c>
      <c r="D113" s="202"/>
      <c r="E113" s="211" t="str">
        <f>DAY(表格3_5[[#This Row],[Date]])&amp;""</f>
        <v>0</v>
      </c>
      <c r="F113" s="203"/>
      <c r="G113" s="216">
        <f>_xlfn.XLOOKUP(表格3_5[[#This Row],[Name]],Name_list[Full Name],Name_list[Nick Name])</f>
        <v>0</v>
      </c>
      <c r="H113" s="207"/>
      <c r="I113" s="228"/>
      <c r="J113" s="218"/>
      <c r="K113" s="205"/>
      <c r="L113" s="210">
        <f>(表格3_5[[#This Row],[Out-Time]] - 表格3_5[[#This Row],[In-Time]])*24</f>
        <v>0</v>
      </c>
      <c r="M113" s="210">
        <f>表格3_5[[#This Row],[ Hours]]-表格3_5[[#This Row],[Normal working
 hours]]</f>
        <v>0</v>
      </c>
      <c r="N113" s="205"/>
      <c r="O113" s="205"/>
      <c r="P113" s="210">
        <f>(表格3_5[[#This Row],[Out-Time2]] - 表格3_5[[#This Row],[In-Time2]])*24</f>
        <v>0</v>
      </c>
      <c r="Q113" s="205"/>
      <c r="R113" s="214">
        <f>_xlfn.XLOOKUP(表格3_5[[#This Row],[Name]],Name_list[Full Name],Name_list[Hourr Rate])</f>
        <v>0</v>
      </c>
      <c r="S113" s="210">
        <f>表格3_5[[#This Row],[Hours Worked]]*表格3_5[[#This Row],[Hourly Rate]]</f>
        <v>0</v>
      </c>
    </row>
    <row r="114" spans="1:19">
      <c r="A114" s="201">
        <v>112</v>
      </c>
      <c r="B114" s="210" t="str">
        <f>_xlfn.CONCAT(表格3_5[[#This Row],[Name]],表格3_5[[#This Row],[Location]])</f>
        <v/>
      </c>
      <c r="C114" s="211" t="str">
        <f>表格3_5[[#This Row],[Location]] &amp; 表格3_5[[#This Row],[Date]] &amp;表格3_5[[#This Row],[Nick Name]]</f>
        <v>0</v>
      </c>
      <c r="D114" s="202"/>
      <c r="E114" s="211" t="str">
        <f>DAY(表格3_5[[#This Row],[Date]])&amp;""</f>
        <v>0</v>
      </c>
      <c r="F114" s="203"/>
      <c r="G114" s="216">
        <f>_xlfn.XLOOKUP(表格3_5[[#This Row],[Name]],Name_list[Full Name],Name_list[Nick Name])</f>
        <v>0</v>
      </c>
      <c r="H114" s="207"/>
      <c r="I114" s="228"/>
      <c r="J114" s="218"/>
      <c r="K114" s="205"/>
      <c r="L114" s="210">
        <f>(表格3_5[[#This Row],[Out-Time]] - 表格3_5[[#This Row],[In-Time]])*24</f>
        <v>0</v>
      </c>
      <c r="M114" s="210">
        <f>表格3_5[[#This Row],[ Hours]]-表格3_5[[#This Row],[Normal working
 hours]]</f>
        <v>0</v>
      </c>
      <c r="N114" s="205"/>
      <c r="O114" s="205"/>
      <c r="P114" s="210">
        <f>(表格3_5[[#This Row],[Out-Time2]] - 表格3_5[[#This Row],[In-Time2]])*24</f>
        <v>0</v>
      </c>
      <c r="Q114" s="205"/>
      <c r="R114" s="214">
        <f>_xlfn.XLOOKUP(表格3_5[[#This Row],[Name]],Name_list[Full Name],Name_list[Hourr Rate])</f>
        <v>0</v>
      </c>
      <c r="S114" s="210">
        <f>表格3_5[[#This Row],[Hours Worked]]*表格3_5[[#This Row],[Hourly Rate]]</f>
        <v>0</v>
      </c>
    </row>
    <row r="115" spans="1:19">
      <c r="A115" s="201">
        <v>113</v>
      </c>
      <c r="B115" s="210" t="str">
        <f>_xlfn.CONCAT(表格3_5[[#This Row],[Name]],表格3_5[[#This Row],[Location]])</f>
        <v/>
      </c>
      <c r="C115" s="211" t="str">
        <f>表格3_5[[#This Row],[Location]] &amp; 表格3_5[[#This Row],[Date]] &amp;表格3_5[[#This Row],[Nick Name]]</f>
        <v>0</v>
      </c>
      <c r="D115" s="202"/>
      <c r="E115" s="211" t="str">
        <f>DAY(表格3_5[[#This Row],[Date]])&amp;""</f>
        <v>0</v>
      </c>
      <c r="F115" s="203"/>
      <c r="G115" s="216">
        <f>_xlfn.XLOOKUP(表格3_5[[#This Row],[Name]],Name_list[Full Name],Name_list[Nick Name])</f>
        <v>0</v>
      </c>
      <c r="H115" s="207"/>
      <c r="I115" s="228"/>
      <c r="J115" s="218"/>
      <c r="K115" s="205"/>
      <c r="L115" s="210">
        <f>(表格3_5[[#This Row],[Out-Time]] - 表格3_5[[#This Row],[In-Time]])*24</f>
        <v>0</v>
      </c>
      <c r="M115" s="210">
        <f>表格3_5[[#This Row],[ Hours]]-表格3_5[[#This Row],[Normal working
 hours]]</f>
        <v>0</v>
      </c>
      <c r="N115" s="205"/>
      <c r="O115" s="205"/>
      <c r="P115" s="210">
        <f>(表格3_5[[#This Row],[Out-Time2]] - 表格3_5[[#This Row],[In-Time2]])*24</f>
        <v>0</v>
      </c>
      <c r="Q115" s="205"/>
      <c r="R115" s="214">
        <f>_xlfn.XLOOKUP(表格3_5[[#This Row],[Name]],Name_list[Full Name],Name_list[Hourr Rate])</f>
        <v>0</v>
      </c>
      <c r="S115" s="210">
        <f>表格3_5[[#This Row],[Hours Worked]]*表格3_5[[#This Row],[Hourly Rate]]</f>
        <v>0</v>
      </c>
    </row>
    <row r="116" spans="1:19">
      <c r="A116" s="201">
        <v>114</v>
      </c>
      <c r="B116" s="210" t="str">
        <f>_xlfn.CONCAT(表格3_5[[#This Row],[Name]],表格3_5[[#This Row],[Location]])</f>
        <v/>
      </c>
      <c r="C116" s="211" t="str">
        <f>表格3_5[[#This Row],[Location]] &amp; 表格3_5[[#This Row],[Date]] &amp;表格3_5[[#This Row],[Nick Name]]</f>
        <v>0</v>
      </c>
      <c r="D116" s="202"/>
      <c r="E116" s="211" t="str">
        <f>DAY(表格3_5[[#This Row],[Date]])&amp;""</f>
        <v>0</v>
      </c>
      <c r="F116" s="203"/>
      <c r="G116" s="216">
        <f>_xlfn.XLOOKUP(表格3_5[[#This Row],[Name]],Name_list[Full Name],Name_list[Nick Name])</f>
        <v>0</v>
      </c>
      <c r="H116" s="207"/>
      <c r="I116" s="228"/>
      <c r="J116" s="218"/>
      <c r="K116" s="205"/>
      <c r="L116" s="210">
        <f>(表格3_5[[#This Row],[Out-Time]] - 表格3_5[[#This Row],[In-Time]])*24</f>
        <v>0</v>
      </c>
      <c r="M116" s="210">
        <f>表格3_5[[#This Row],[ Hours]]-表格3_5[[#This Row],[Normal working
 hours]]</f>
        <v>0</v>
      </c>
      <c r="N116" s="205"/>
      <c r="O116" s="205"/>
      <c r="P116" s="210">
        <f>(表格3_5[[#This Row],[Out-Time2]] - 表格3_5[[#This Row],[In-Time2]])*24</f>
        <v>0</v>
      </c>
      <c r="Q116" s="205"/>
      <c r="R116" s="214">
        <f>_xlfn.XLOOKUP(表格3_5[[#This Row],[Name]],Name_list[Full Name],Name_list[Hourr Rate])</f>
        <v>0</v>
      </c>
      <c r="S116" s="210">
        <f>表格3_5[[#This Row],[Hours Worked]]*表格3_5[[#This Row],[Hourly Rate]]</f>
        <v>0</v>
      </c>
    </row>
    <row r="117" spans="1:19">
      <c r="A117" s="201">
        <v>115</v>
      </c>
      <c r="B117" s="210" t="str">
        <f>_xlfn.CONCAT(表格3_5[[#This Row],[Name]],表格3_5[[#This Row],[Location]])</f>
        <v/>
      </c>
      <c r="C117" s="211" t="str">
        <f>表格3_5[[#This Row],[Location]] &amp; 表格3_5[[#This Row],[Date]] &amp;表格3_5[[#This Row],[Nick Name]]</f>
        <v>0</v>
      </c>
      <c r="D117" s="202"/>
      <c r="E117" s="211" t="str">
        <f>DAY(表格3_5[[#This Row],[Date]])&amp;""</f>
        <v>0</v>
      </c>
      <c r="F117" s="203"/>
      <c r="G117" s="216">
        <f>_xlfn.XLOOKUP(表格3_5[[#This Row],[Name]],Name_list[Full Name],Name_list[Nick Name])</f>
        <v>0</v>
      </c>
      <c r="H117" s="207"/>
      <c r="I117" s="228"/>
      <c r="J117" s="218"/>
      <c r="K117" s="205"/>
      <c r="L117" s="210">
        <f>(表格3_5[[#This Row],[Out-Time]] - 表格3_5[[#This Row],[In-Time]])*24</f>
        <v>0</v>
      </c>
      <c r="M117" s="210">
        <f>表格3_5[[#This Row],[ Hours]]-表格3_5[[#This Row],[Normal working
 hours]]</f>
        <v>0</v>
      </c>
      <c r="N117" s="205"/>
      <c r="O117" s="205"/>
      <c r="P117" s="210">
        <f>(表格3_5[[#This Row],[Out-Time2]] - 表格3_5[[#This Row],[In-Time2]])*24</f>
        <v>0</v>
      </c>
      <c r="Q117" s="205"/>
      <c r="R117" s="214">
        <f>_xlfn.XLOOKUP(表格3_5[[#This Row],[Name]],Name_list[Full Name],Name_list[Hourr Rate])</f>
        <v>0</v>
      </c>
      <c r="S117" s="210">
        <f>表格3_5[[#This Row],[Hours Worked]]*表格3_5[[#This Row],[Hourly Rate]]</f>
        <v>0</v>
      </c>
    </row>
    <row r="118" spans="1:19">
      <c r="A118" s="201">
        <v>116</v>
      </c>
      <c r="B118" s="210" t="str">
        <f>_xlfn.CONCAT(表格3_5[[#This Row],[Name]],表格3_5[[#This Row],[Location]])</f>
        <v/>
      </c>
      <c r="C118" s="211" t="str">
        <f>表格3_5[[#This Row],[Location]] &amp; 表格3_5[[#This Row],[Date]] &amp;表格3_5[[#This Row],[Nick Name]]</f>
        <v>0</v>
      </c>
      <c r="D118" s="202"/>
      <c r="E118" s="211" t="str">
        <f>DAY(表格3_5[[#This Row],[Date]])&amp;""</f>
        <v>0</v>
      </c>
      <c r="F118" s="203"/>
      <c r="G118" s="216">
        <f>_xlfn.XLOOKUP(表格3_5[[#This Row],[Name]],Name_list[Full Name],Name_list[Nick Name])</f>
        <v>0</v>
      </c>
      <c r="H118" s="207"/>
      <c r="I118" s="228"/>
      <c r="J118" s="218"/>
      <c r="K118" s="205"/>
      <c r="L118" s="210">
        <f>(表格3_5[[#This Row],[Out-Time]] - 表格3_5[[#This Row],[In-Time]])*24</f>
        <v>0</v>
      </c>
      <c r="M118" s="210">
        <f>表格3_5[[#This Row],[ Hours]]-表格3_5[[#This Row],[Normal working
 hours]]</f>
        <v>0</v>
      </c>
      <c r="N118" s="205"/>
      <c r="O118" s="205"/>
      <c r="P118" s="210">
        <f>(表格3_5[[#This Row],[Out-Time2]] - 表格3_5[[#This Row],[In-Time2]])*24</f>
        <v>0</v>
      </c>
      <c r="Q118" s="205"/>
      <c r="R118" s="214">
        <f>_xlfn.XLOOKUP(表格3_5[[#This Row],[Name]],Name_list[Full Name],Name_list[Hourr Rate])</f>
        <v>0</v>
      </c>
      <c r="S118" s="210">
        <f>表格3_5[[#This Row],[Hours Worked]]*表格3_5[[#This Row],[Hourly Rate]]</f>
        <v>0</v>
      </c>
    </row>
    <row r="119" spans="1:19">
      <c r="A119" s="201">
        <v>117</v>
      </c>
      <c r="B119" s="210" t="str">
        <f>_xlfn.CONCAT(表格3_5[[#This Row],[Name]],表格3_5[[#This Row],[Location]])</f>
        <v/>
      </c>
      <c r="C119" s="211" t="str">
        <f>表格3_5[[#This Row],[Location]] &amp; 表格3_5[[#This Row],[Date]] &amp;表格3_5[[#This Row],[Nick Name]]</f>
        <v>0</v>
      </c>
      <c r="D119" s="202"/>
      <c r="E119" s="211" t="str">
        <f>DAY(表格3_5[[#This Row],[Date]])&amp;""</f>
        <v>0</v>
      </c>
      <c r="F119" s="203"/>
      <c r="G119" s="216">
        <f>_xlfn.XLOOKUP(表格3_5[[#This Row],[Name]],Name_list[Full Name],Name_list[Nick Name])</f>
        <v>0</v>
      </c>
      <c r="H119" s="207"/>
      <c r="I119" s="228"/>
      <c r="J119" s="218"/>
      <c r="K119" s="205"/>
      <c r="L119" s="210">
        <f>(表格3_5[[#This Row],[Out-Time]] - 表格3_5[[#This Row],[In-Time]])*24</f>
        <v>0</v>
      </c>
      <c r="M119" s="210">
        <f>表格3_5[[#This Row],[ Hours]]-表格3_5[[#This Row],[Normal working
 hours]]</f>
        <v>0</v>
      </c>
      <c r="N119" s="205"/>
      <c r="O119" s="205"/>
      <c r="P119" s="210">
        <f>(表格3_5[[#This Row],[Out-Time2]] - 表格3_5[[#This Row],[In-Time2]])*24</f>
        <v>0</v>
      </c>
      <c r="Q119" s="205"/>
      <c r="R119" s="214">
        <f>_xlfn.XLOOKUP(表格3_5[[#This Row],[Name]],Name_list[Full Name],Name_list[Hourr Rate])</f>
        <v>0</v>
      </c>
      <c r="S119" s="210">
        <f>表格3_5[[#This Row],[Hours Worked]]*表格3_5[[#This Row],[Hourly Rate]]</f>
        <v>0</v>
      </c>
    </row>
    <row r="120" spans="1:19">
      <c r="A120" s="201">
        <v>118</v>
      </c>
      <c r="B120" s="210" t="str">
        <f>_xlfn.CONCAT(表格3_5[[#This Row],[Name]],表格3_5[[#This Row],[Location]])</f>
        <v/>
      </c>
      <c r="C120" s="211" t="str">
        <f>表格3_5[[#This Row],[Location]] &amp; 表格3_5[[#This Row],[Date]] &amp;表格3_5[[#This Row],[Nick Name]]</f>
        <v>0</v>
      </c>
      <c r="D120" s="202"/>
      <c r="E120" s="211" t="str">
        <f>DAY(表格3_5[[#This Row],[Date]])&amp;""</f>
        <v>0</v>
      </c>
      <c r="F120" s="203"/>
      <c r="G120" s="216">
        <f>_xlfn.XLOOKUP(表格3_5[[#This Row],[Name]],Name_list[Full Name],Name_list[Nick Name])</f>
        <v>0</v>
      </c>
      <c r="H120" s="207"/>
      <c r="I120" s="228"/>
      <c r="J120" s="218"/>
      <c r="K120" s="205"/>
      <c r="L120" s="210">
        <f>(表格3_5[[#This Row],[Out-Time]] - 表格3_5[[#This Row],[In-Time]])*24</f>
        <v>0</v>
      </c>
      <c r="M120" s="210">
        <f>表格3_5[[#This Row],[ Hours]]-表格3_5[[#This Row],[Normal working
 hours]]</f>
        <v>0</v>
      </c>
      <c r="N120" s="205"/>
      <c r="O120" s="205"/>
      <c r="P120" s="210">
        <f>(表格3_5[[#This Row],[Out-Time2]] - 表格3_5[[#This Row],[In-Time2]])*24</f>
        <v>0</v>
      </c>
      <c r="Q120" s="205"/>
      <c r="R120" s="214">
        <f>_xlfn.XLOOKUP(表格3_5[[#This Row],[Name]],Name_list[Full Name],Name_list[Hourr Rate])</f>
        <v>0</v>
      </c>
      <c r="S120" s="210">
        <f>表格3_5[[#This Row],[Hours Worked]]*表格3_5[[#This Row],[Hourly Rate]]</f>
        <v>0</v>
      </c>
    </row>
    <row r="121" spans="1:19">
      <c r="A121" s="201">
        <v>119</v>
      </c>
      <c r="B121" s="210" t="str">
        <f>_xlfn.CONCAT(表格3_5[[#This Row],[Name]],表格3_5[[#This Row],[Location]])</f>
        <v/>
      </c>
      <c r="C121" s="211" t="str">
        <f>表格3_5[[#This Row],[Location]] &amp; 表格3_5[[#This Row],[Date]] &amp;表格3_5[[#This Row],[Nick Name]]</f>
        <v>0</v>
      </c>
      <c r="D121" s="202"/>
      <c r="E121" s="211" t="str">
        <f>DAY(表格3_5[[#This Row],[Date]])&amp;""</f>
        <v>0</v>
      </c>
      <c r="F121" s="203"/>
      <c r="G121" s="216">
        <f>_xlfn.XLOOKUP(表格3_5[[#This Row],[Name]],Name_list[Full Name],Name_list[Nick Name])</f>
        <v>0</v>
      </c>
      <c r="H121" s="207"/>
      <c r="I121" s="228"/>
      <c r="J121" s="218"/>
      <c r="K121" s="205"/>
      <c r="L121" s="210">
        <f>(表格3_5[[#This Row],[Out-Time]] - 表格3_5[[#This Row],[In-Time]])*24</f>
        <v>0</v>
      </c>
      <c r="M121" s="210">
        <f>表格3_5[[#This Row],[ Hours]]-表格3_5[[#This Row],[Normal working
 hours]]</f>
        <v>0</v>
      </c>
      <c r="N121" s="205"/>
      <c r="O121" s="205"/>
      <c r="P121" s="210">
        <f>(表格3_5[[#This Row],[Out-Time2]] - 表格3_5[[#This Row],[In-Time2]])*24</f>
        <v>0</v>
      </c>
      <c r="Q121" s="205"/>
      <c r="R121" s="214">
        <f>_xlfn.XLOOKUP(表格3_5[[#This Row],[Name]],Name_list[Full Name],Name_list[Hourr Rate])</f>
        <v>0</v>
      </c>
      <c r="S121" s="210">
        <f>表格3_5[[#This Row],[Hours Worked]]*表格3_5[[#This Row],[Hourly Rate]]</f>
        <v>0</v>
      </c>
    </row>
    <row r="122" spans="1:19">
      <c r="A122" s="201">
        <v>120</v>
      </c>
      <c r="B122" s="210" t="str">
        <f>_xlfn.CONCAT(表格3_5[[#This Row],[Name]],表格3_5[[#This Row],[Location]])</f>
        <v/>
      </c>
      <c r="C122" s="211" t="str">
        <f>表格3_5[[#This Row],[Location]] &amp; 表格3_5[[#This Row],[Date]] &amp;表格3_5[[#This Row],[Nick Name]]</f>
        <v>0</v>
      </c>
      <c r="D122" s="202"/>
      <c r="E122" s="211" t="str">
        <f>DAY(表格3_5[[#This Row],[Date]])&amp;""</f>
        <v>0</v>
      </c>
      <c r="F122" s="203"/>
      <c r="G122" s="216">
        <f>_xlfn.XLOOKUP(表格3_5[[#This Row],[Name]],Name_list[Full Name],Name_list[Nick Name])</f>
        <v>0</v>
      </c>
      <c r="H122" s="207"/>
      <c r="I122" s="228"/>
      <c r="J122" s="218"/>
      <c r="K122" s="205"/>
      <c r="L122" s="210">
        <f>(表格3_5[[#This Row],[Out-Time]] - 表格3_5[[#This Row],[In-Time]])*24</f>
        <v>0</v>
      </c>
      <c r="M122" s="210">
        <f>表格3_5[[#This Row],[ Hours]]-表格3_5[[#This Row],[Normal working
 hours]]</f>
        <v>0</v>
      </c>
      <c r="N122" s="205"/>
      <c r="O122" s="205"/>
      <c r="P122" s="210">
        <f>(表格3_5[[#This Row],[Out-Time2]] - 表格3_5[[#This Row],[In-Time2]])*24</f>
        <v>0</v>
      </c>
      <c r="Q122" s="205"/>
      <c r="R122" s="214">
        <f>_xlfn.XLOOKUP(表格3_5[[#This Row],[Name]],Name_list[Full Name],Name_list[Hourr Rate])</f>
        <v>0</v>
      </c>
      <c r="S122" s="210">
        <f>表格3_5[[#This Row],[Hours Worked]]*表格3_5[[#This Row],[Hourly Rate]]</f>
        <v>0</v>
      </c>
    </row>
    <row r="123" spans="1:19">
      <c r="A123" s="201">
        <v>121</v>
      </c>
      <c r="B123" s="210" t="str">
        <f>_xlfn.CONCAT(表格3_5[[#This Row],[Name]],表格3_5[[#This Row],[Location]])</f>
        <v/>
      </c>
      <c r="C123" s="211" t="str">
        <f>表格3_5[[#This Row],[Location]] &amp; 表格3_5[[#This Row],[Date]] &amp;表格3_5[[#This Row],[Nick Name]]</f>
        <v>0</v>
      </c>
      <c r="D123" s="202"/>
      <c r="E123" s="211" t="str">
        <f>DAY(表格3_5[[#This Row],[Date]])&amp;""</f>
        <v>0</v>
      </c>
      <c r="F123" s="203"/>
      <c r="G123" s="216">
        <f>_xlfn.XLOOKUP(表格3_5[[#This Row],[Name]],Name_list[Full Name],Name_list[Nick Name])</f>
        <v>0</v>
      </c>
      <c r="H123" s="207"/>
      <c r="I123" s="228"/>
      <c r="J123" s="218"/>
      <c r="K123" s="205"/>
      <c r="L123" s="210">
        <f>(表格3_5[[#This Row],[Out-Time]] - 表格3_5[[#This Row],[In-Time]])*24</f>
        <v>0</v>
      </c>
      <c r="M123" s="210">
        <f>表格3_5[[#This Row],[ Hours]]-表格3_5[[#This Row],[Normal working
 hours]]</f>
        <v>0</v>
      </c>
      <c r="N123" s="205"/>
      <c r="O123" s="205"/>
      <c r="P123" s="210">
        <f>(表格3_5[[#This Row],[Out-Time2]] - 表格3_5[[#This Row],[In-Time2]])*24</f>
        <v>0</v>
      </c>
      <c r="Q123" s="205"/>
      <c r="R123" s="214">
        <f>_xlfn.XLOOKUP(表格3_5[[#This Row],[Name]],Name_list[Full Name],Name_list[Hourr Rate])</f>
        <v>0</v>
      </c>
      <c r="S123" s="210">
        <f>表格3_5[[#This Row],[Hours Worked]]*表格3_5[[#This Row],[Hourly Rate]]</f>
        <v>0</v>
      </c>
    </row>
    <row r="124" spans="1:19">
      <c r="A124" s="201">
        <v>122</v>
      </c>
      <c r="B124" s="210" t="str">
        <f>_xlfn.CONCAT(表格3_5[[#This Row],[Name]],表格3_5[[#This Row],[Location]])</f>
        <v/>
      </c>
      <c r="C124" s="211" t="str">
        <f>表格3_5[[#This Row],[Location]] &amp; 表格3_5[[#This Row],[Date]] &amp;表格3_5[[#This Row],[Nick Name]]</f>
        <v>0</v>
      </c>
      <c r="D124" s="202"/>
      <c r="E124" s="211" t="str">
        <f>DAY(表格3_5[[#This Row],[Date]])&amp;""</f>
        <v>0</v>
      </c>
      <c r="F124" s="203"/>
      <c r="G124" s="216">
        <f>_xlfn.XLOOKUP(表格3_5[[#This Row],[Name]],Name_list[Full Name],Name_list[Nick Name])</f>
        <v>0</v>
      </c>
      <c r="H124" s="207"/>
      <c r="I124" s="228"/>
      <c r="J124" s="218"/>
      <c r="K124" s="205"/>
      <c r="L124" s="210">
        <f>(表格3_5[[#This Row],[Out-Time]] - 表格3_5[[#This Row],[In-Time]])*24</f>
        <v>0</v>
      </c>
      <c r="M124" s="210">
        <f>表格3_5[[#This Row],[ Hours]]-表格3_5[[#This Row],[Normal working
 hours]]</f>
        <v>0</v>
      </c>
      <c r="N124" s="205"/>
      <c r="O124" s="205"/>
      <c r="P124" s="210">
        <f>(表格3_5[[#This Row],[Out-Time2]] - 表格3_5[[#This Row],[In-Time2]])*24</f>
        <v>0</v>
      </c>
      <c r="Q124" s="205"/>
      <c r="R124" s="214">
        <f>_xlfn.XLOOKUP(表格3_5[[#This Row],[Name]],Name_list[Full Name],Name_list[Hourr Rate])</f>
        <v>0</v>
      </c>
      <c r="S124" s="210">
        <f>表格3_5[[#This Row],[Hours Worked]]*表格3_5[[#This Row],[Hourly Rate]]</f>
        <v>0</v>
      </c>
    </row>
    <row r="125" spans="1:19">
      <c r="A125" s="201">
        <v>123</v>
      </c>
      <c r="B125" s="210" t="str">
        <f>_xlfn.CONCAT(表格3_5[[#This Row],[Name]],表格3_5[[#This Row],[Location]])</f>
        <v/>
      </c>
      <c r="C125" s="211" t="str">
        <f>表格3_5[[#This Row],[Location]] &amp; 表格3_5[[#This Row],[Date]] &amp;表格3_5[[#This Row],[Nick Name]]</f>
        <v>0</v>
      </c>
      <c r="D125" s="202"/>
      <c r="E125" s="211" t="str">
        <f>DAY(表格3_5[[#This Row],[Date]])&amp;""</f>
        <v>0</v>
      </c>
      <c r="F125" s="203"/>
      <c r="G125" s="216">
        <f>_xlfn.XLOOKUP(表格3_5[[#This Row],[Name]],Name_list[Full Name],Name_list[Nick Name])</f>
        <v>0</v>
      </c>
      <c r="H125" s="207"/>
      <c r="I125" s="228"/>
      <c r="J125" s="218"/>
      <c r="K125" s="205"/>
      <c r="L125" s="210">
        <f>(表格3_5[[#This Row],[Out-Time]] - 表格3_5[[#This Row],[In-Time]])*24</f>
        <v>0</v>
      </c>
      <c r="M125" s="210">
        <f>表格3_5[[#This Row],[ Hours]]-表格3_5[[#This Row],[Normal working
 hours]]</f>
        <v>0</v>
      </c>
      <c r="N125" s="205"/>
      <c r="O125" s="205"/>
      <c r="P125" s="210">
        <f>(表格3_5[[#This Row],[Out-Time2]] - 表格3_5[[#This Row],[In-Time2]])*24</f>
        <v>0</v>
      </c>
      <c r="Q125" s="205"/>
      <c r="R125" s="214">
        <f>_xlfn.XLOOKUP(表格3_5[[#This Row],[Name]],Name_list[Full Name],Name_list[Hourr Rate])</f>
        <v>0</v>
      </c>
      <c r="S125" s="210">
        <f>表格3_5[[#This Row],[Hours Worked]]*表格3_5[[#This Row],[Hourly Rate]]</f>
        <v>0</v>
      </c>
    </row>
    <row r="126" spans="1:19">
      <c r="A126" s="201">
        <v>124</v>
      </c>
      <c r="B126" s="210" t="str">
        <f>_xlfn.CONCAT(表格3_5[[#This Row],[Name]],表格3_5[[#This Row],[Location]])</f>
        <v/>
      </c>
      <c r="C126" s="211" t="str">
        <f>表格3_5[[#This Row],[Location]] &amp; 表格3_5[[#This Row],[Date]] &amp;表格3_5[[#This Row],[Nick Name]]</f>
        <v>0</v>
      </c>
      <c r="D126" s="202"/>
      <c r="E126" s="211" t="str">
        <f>DAY(表格3_5[[#This Row],[Date]])&amp;""</f>
        <v>0</v>
      </c>
      <c r="F126" s="203"/>
      <c r="G126" s="216">
        <f>_xlfn.XLOOKUP(表格3_5[[#This Row],[Name]],Name_list[Full Name],Name_list[Nick Name])</f>
        <v>0</v>
      </c>
      <c r="H126" s="207"/>
      <c r="I126" s="228"/>
      <c r="J126" s="218"/>
      <c r="K126" s="205"/>
      <c r="L126" s="210">
        <f>(表格3_5[[#This Row],[Out-Time]] - 表格3_5[[#This Row],[In-Time]])*24</f>
        <v>0</v>
      </c>
      <c r="M126" s="210">
        <f>表格3_5[[#This Row],[ Hours]]-表格3_5[[#This Row],[Normal working
 hours]]</f>
        <v>0</v>
      </c>
      <c r="N126" s="205"/>
      <c r="O126" s="205"/>
      <c r="P126" s="210">
        <f>(表格3_5[[#This Row],[Out-Time2]] - 表格3_5[[#This Row],[In-Time2]])*24</f>
        <v>0</v>
      </c>
      <c r="Q126" s="205"/>
      <c r="R126" s="214">
        <f>_xlfn.XLOOKUP(表格3_5[[#This Row],[Name]],Name_list[Full Name],Name_list[Hourr Rate])</f>
        <v>0</v>
      </c>
      <c r="S126" s="210">
        <f>表格3_5[[#This Row],[Hours Worked]]*表格3_5[[#This Row],[Hourly Rate]]</f>
        <v>0</v>
      </c>
    </row>
    <row r="127" spans="1:19">
      <c r="A127" s="201">
        <v>125</v>
      </c>
      <c r="B127" s="210" t="str">
        <f>_xlfn.CONCAT(表格3_5[[#This Row],[Name]],表格3_5[[#This Row],[Location]])</f>
        <v/>
      </c>
      <c r="C127" s="211" t="str">
        <f>表格3_5[[#This Row],[Location]] &amp; 表格3_5[[#This Row],[Date]] &amp;表格3_5[[#This Row],[Nick Name]]</f>
        <v>0</v>
      </c>
      <c r="D127" s="202"/>
      <c r="E127" s="211" t="str">
        <f>DAY(表格3_5[[#This Row],[Date]])&amp;""</f>
        <v>0</v>
      </c>
      <c r="F127" s="203"/>
      <c r="G127" s="216">
        <f>_xlfn.XLOOKUP(表格3_5[[#This Row],[Name]],Name_list[Full Name],Name_list[Nick Name])</f>
        <v>0</v>
      </c>
      <c r="H127" s="207"/>
      <c r="I127" s="228"/>
      <c r="J127" s="218"/>
      <c r="K127" s="205"/>
      <c r="L127" s="210">
        <f>(表格3_5[[#This Row],[Out-Time]] - 表格3_5[[#This Row],[In-Time]])*24</f>
        <v>0</v>
      </c>
      <c r="M127" s="210">
        <f>表格3_5[[#This Row],[ Hours]]-表格3_5[[#This Row],[Normal working
 hours]]</f>
        <v>0</v>
      </c>
      <c r="N127" s="205"/>
      <c r="O127" s="205"/>
      <c r="P127" s="210">
        <f>(表格3_5[[#This Row],[Out-Time2]] - 表格3_5[[#This Row],[In-Time2]])*24</f>
        <v>0</v>
      </c>
      <c r="Q127" s="205"/>
      <c r="R127" s="214">
        <f>_xlfn.XLOOKUP(表格3_5[[#This Row],[Name]],Name_list[Full Name],Name_list[Hourr Rate])</f>
        <v>0</v>
      </c>
      <c r="S127" s="210">
        <f>表格3_5[[#This Row],[Hours Worked]]*表格3_5[[#This Row],[Hourly Rate]]</f>
        <v>0</v>
      </c>
    </row>
    <row r="128" spans="1:19">
      <c r="A128" s="201">
        <v>126</v>
      </c>
      <c r="B128" s="210" t="str">
        <f>_xlfn.CONCAT(表格3_5[[#This Row],[Name]],表格3_5[[#This Row],[Location]])</f>
        <v/>
      </c>
      <c r="C128" s="211" t="str">
        <f>表格3_5[[#This Row],[Location]] &amp; 表格3_5[[#This Row],[Date]] &amp;表格3_5[[#This Row],[Nick Name]]</f>
        <v>0</v>
      </c>
      <c r="D128" s="202"/>
      <c r="E128" s="211" t="str">
        <f>DAY(表格3_5[[#This Row],[Date]])&amp;""</f>
        <v>0</v>
      </c>
      <c r="F128" s="203"/>
      <c r="G128" s="216">
        <f>_xlfn.XLOOKUP(表格3_5[[#This Row],[Name]],Name_list[Full Name],Name_list[Nick Name])</f>
        <v>0</v>
      </c>
      <c r="H128" s="207"/>
      <c r="I128" s="228"/>
      <c r="J128" s="218"/>
      <c r="K128" s="205"/>
      <c r="L128" s="210">
        <f>(表格3_5[[#This Row],[Out-Time]] - 表格3_5[[#This Row],[In-Time]])*24</f>
        <v>0</v>
      </c>
      <c r="M128" s="210">
        <f>表格3_5[[#This Row],[ Hours]]-表格3_5[[#This Row],[Normal working
 hours]]</f>
        <v>0</v>
      </c>
      <c r="N128" s="205"/>
      <c r="O128" s="205"/>
      <c r="P128" s="210">
        <f>(表格3_5[[#This Row],[Out-Time2]] - 表格3_5[[#This Row],[In-Time2]])*24</f>
        <v>0</v>
      </c>
      <c r="Q128" s="205"/>
      <c r="R128" s="214">
        <f>_xlfn.XLOOKUP(表格3_5[[#This Row],[Name]],Name_list[Full Name],Name_list[Hourr Rate])</f>
        <v>0</v>
      </c>
      <c r="S128" s="210">
        <f>表格3_5[[#This Row],[Hours Worked]]*表格3_5[[#This Row],[Hourly Rate]]</f>
        <v>0</v>
      </c>
    </row>
    <row r="129" spans="1:19">
      <c r="A129" s="201">
        <v>127</v>
      </c>
      <c r="B129" s="210" t="str">
        <f>_xlfn.CONCAT(表格3_5[[#This Row],[Name]],表格3_5[[#This Row],[Location]])</f>
        <v/>
      </c>
      <c r="C129" s="211" t="str">
        <f>表格3_5[[#This Row],[Location]] &amp; 表格3_5[[#This Row],[Date]] &amp;表格3_5[[#This Row],[Nick Name]]</f>
        <v>0</v>
      </c>
      <c r="D129" s="202"/>
      <c r="E129" s="211" t="str">
        <f>DAY(表格3_5[[#This Row],[Date]])&amp;""</f>
        <v>0</v>
      </c>
      <c r="F129" s="203"/>
      <c r="G129" s="216">
        <f>_xlfn.XLOOKUP(表格3_5[[#This Row],[Name]],Name_list[Full Name],Name_list[Nick Name])</f>
        <v>0</v>
      </c>
      <c r="H129" s="207"/>
      <c r="I129" s="228"/>
      <c r="J129" s="218"/>
      <c r="K129" s="205"/>
      <c r="L129" s="210">
        <f>(表格3_5[[#This Row],[Out-Time]] - 表格3_5[[#This Row],[In-Time]])*24</f>
        <v>0</v>
      </c>
      <c r="M129" s="210">
        <f>表格3_5[[#This Row],[ Hours]]-表格3_5[[#This Row],[Normal working
 hours]]</f>
        <v>0</v>
      </c>
      <c r="N129" s="205"/>
      <c r="O129" s="205"/>
      <c r="P129" s="210">
        <f>(表格3_5[[#This Row],[Out-Time2]] - 表格3_5[[#This Row],[In-Time2]])*24</f>
        <v>0</v>
      </c>
      <c r="Q129" s="205"/>
      <c r="R129" s="214">
        <f>_xlfn.XLOOKUP(表格3_5[[#This Row],[Name]],Name_list[Full Name],Name_list[Hourr Rate])</f>
        <v>0</v>
      </c>
      <c r="S129" s="210">
        <f>表格3_5[[#This Row],[Hours Worked]]*表格3_5[[#This Row],[Hourly Rate]]</f>
        <v>0</v>
      </c>
    </row>
    <row r="130" spans="1:19">
      <c r="A130" s="201">
        <v>128</v>
      </c>
      <c r="B130" s="210" t="str">
        <f>_xlfn.CONCAT(表格3_5[[#This Row],[Name]],表格3_5[[#This Row],[Location]])</f>
        <v/>
      </c>
      <c r="C130" s="211" t="str">
        <f>表格3_5[[#This Row],[Location]] &amp; 表格3_5[[#This Row],[Date]] &amp;表格3_5[[#This Row],[Nick Name]]</f>
        <v>0</v>
      </c>
      <c r="D130" s="202"/>
      <c r="E130" s="211" t="str">
        <f>DAY(表格3_5[[#This Row],[Date]])&amp;""</f>
        <v>0</v>
      </c>
      <c r="F130" s="203"/>
      <c r="G130" s="216">
        <f>_xlfn.XLOOKUP(表格3_5[[#This Row],[Name]],Name_list[Full Name],Name_list[Nick Name])</f>
        <v>0</v>
      </c>
      <c r="H130" s="207"/>
      <c r="I130" s="228"/>
      <c r="J130" s="218"/>
      <c r="K130" s="205"/>
      <c r="L130" s="210">
        <f>(表格3_5[[#This Row],[Out-Time]] - 表格3_5[[#This Row],[In-Time]])*24</f>
        <v>0</v>
      </c>
      <c r="M130" s="210">
        <f>表格3_5[[#This Row],[ Hours]]-表格3_5[[#This Row],[Normal working
 hours]]</f>
        <v>0</v>
      </c>
      <c r="N130" s="205"/>
      <c r="O130" s="205"/>
      <c r="P130" s="210">
        <f>(表格3_5[[#This Row],[Out-Time2]] - 表格3_5[[#This Row],[In-Time2]])*24</f>
        <v>0</v>
      </c>
      <c r="Q130" s="205"/>
      <c r="R130" s="214">
        <f>_xlfn.XLOOKUP(表格3_5[[#This Row],[Name]],Name_list[Full Name],Name_list[Hourr Rate])</f>
        <v>0</v>
      </c>
      <c r="S130" s="210">
        <f>表格3_5[[#This Row],[Hours Worked]]*表格3_5[[#This Row],[Hourly Rate]]</f>
        <v>0</v>
      </c>
    </row>
    <row r="131" spans="1:19">
      <c r="A131" s="201">
        <v>129</v>
      </c>
      <c r="B131" s="210" t="str">
        <f>_xlfn.CONCAT(表格3_5[[#This Row],[Name]],表格3_5[[#This Row],[Location]])</f>
        <v/>
      </c>
      <c r="C131" s="211" t="str">
        <f>表格3_5[[#This Row],[Location]] &amp; 表格3_5[[#This Row],[Date]] &amp;表格3_5[[#This Row],[Nick Name]]</f>
        <v>0</v>
      </c>
      <c r="D131" s="202"/>
      <c r="E131" s="211" t="str">
        <f>DAY(表格3_5[[#This Row],[Date]])&amp;""</f>
        <v>0</v>
      </c>
      <c r="F131" s="203"/>
      <c r="G131" s="216">
        <f>_xlfn.XLOOKUP(表格3_5[[#This Row],[Name]],Name_list[Full Name],Name_list[Nick Name])</f>
        <v>0</v>
      </c>
      <c r="H131" s="207"/>
      <c r="I131" s="228"/>
      <c r="J131" s="218"/>
      <c r="K131" s="205"/>
      <c r="L131" s="210">
        <f>(表格3_5[[#This Row],[Out-Time]] - 表格3_5[[#This Row],[In-Time]])*24</f>
        <v>0</v>
      </c>
      <c r="M131" s="210">
        <f>表格3_5[[#This Row],[ Hours]]-表格3_5[[#This Row],[Normal working
 hours]]</f>
        <v>0</v>
      </c>
      <c r="N131" s="205"/>
      <c r="O131" s="205"/>
      <c r="P131" s="210">
        <f>(表格3_5[[#This Row],[Out-Time2]] - 表格3_5[[#This Row],[In-Time2]])*24</f>
        <v>0</v>
      </c>
      <c r="Q131" s="205"/>
      <c r="R131" s="214">
        <f>_xlfn.XLOOKUP(表格3_5[[#This Row],[Name]],Name_list[Full Name],Name_list[Hourr Rate])</f>
        <v>0</v>
      </c>
      <c r="S131" s="210">
        <f>表格3_5[[#This Row],[Hours Worked]]*表格3_5[[#This Row],[Hourly Rate]]</f>
        <v>0</v>
      </c>
    </row>
    <row r="132" spans="1:19">
      <c r="A132" s="201">
        <v>130</v>
      </c>
      <c r="B132" s="210" t="str">
        <f>_xlfn.CONCAT(表格3_5[[#This Row],[Name]],表格3_5[[#This Row],[Location]])</f>
        <v/>
      </c>
      <c r="C132" s="211" t="str">
        <f>表格3_5[[#This Row],[Location]] &amp; 表格3_5[[#This Row],[Date]] &amp;表格3_5[[#This Row],[Nick Name]]</f>
        <v>0</v>
      </c>
      <c r="D132" s="202"/>
      <c r="E132" s="211" t="str">
        <f>DAY(表格3_5[[#This Row],[Date]])&amp;""</f>
        <v>0</v>
      </c>
      <c r="F132" s="203"/>
      <c r="G132" s="216">
        <f>_xlfn.XLOOKUP(表格3_5[[#This Row],[Name]],Name_list[Full Name],Name_list[Nick Name])</f>
        <v>0</v>
      </c>
      <c r="H132" s="207"/>
      <c r="I132" s="228"/>
      <c r="J132" s="218"/>
      <c r="K132" s="205"/>
      <c r="L132" s="210">
        <f>(表格3_5[[#This Row],[Out-Time]] - 表格3_5[[#This Row],[In-Time]])*24</f>
        <v>0</v>
      </c>
      <c r="M132" s="210">
        <f>表格3_5[[#This Row],[ Hours]]-表格3_5[[#This Row],[Normal working
 hours]]</f>
        <v>0</v>
      </c>
      <c r="N132" s="205"/>
      <c r="O132" s="205"/>
      <c r="P132" s="210">
        <f>(表格3_5[[#This Row],[Out-Time2]] - 表格3_5[[#This Row],[In-Time2]])*24</f>
        <v>0</v>
      </c>
      <c r="Q132" s="205"/>
      <c r="R132" s="214">
        <f>_xlfn.XLOOKUP(表格3_5[[#This Row],[Name]],Name_list[Full Name],Name_list[Hourr Rate])</f>
        <v>0</v>
      </c>
      <c r="S132" s="210">
        <f>表格3_5[[#This Row],[Hours Worked]]*表格3_5[[#This Row],[Hourly Rate]]</f>
        <v>0</v>
      </c>
    </row>
    <row r="133" spans="1:19">
      <c r="A133" s="201">
        <v>131</v>
      </c>
      <c r="B133" s="210" t="str">
        <f>_xlfn.CONCAT(表格3_5[[#This Row],[Name]],表格3_5[[#This Row],[Location]])</f>
        <v/>
      </c>
      <c r="C133" s="211" t="str">
        <f>表格3_5[[#This Row],[Location]] &amp; 表格3_5[[#This Row],[Date]] &amp;表格3_5[[#This Row],[Nick Name]]</f>
        <v>0</v>
      </c>
      <c r="D133" s="202"/>
      <c r="E133" s="211" t="str">
        <f>DAY(表格3_5[[#This Row],[Date]])&amp;""</f>
        <v>0</v>
      </c>
      <c r="F133" s="203"/>
      <c r="G133" s="216">
        <f>_xlfn.XLOOKUP(表格3_5[[#This Row],[Name]],Name_list[Full Name],Name_list[Nick Name])</f>
        <v>0</v>
      </c>
      <c r="H133" s="207"/>
      <c r="I133" s="228"/>
      <c r="J133" s="218"/>
      <c r="K133" s="205"/>
      <c r="L133" s="210">
        <f>(表格3_5[[#This Row],[Out-Time]] - 表格3_5[[#This Row],[In-Time]])*24</f>
        <v>0</v>
      </c>
      <c r="M133" s="210">
        <f>表格3_5[[#This Row],[ Hours]]-表格3_5[[#This Row],[Normal working
 hours]]</f>
        <v>0</v>
      </c>
      <c r="N133" s="205"/>
      <c r="O133" s="205"/>
      <c r="P133" s="210">
        <f>(表格3_5[[#This Row],[Out-Time2]] - 表格3_5[[#This Row],[In-Time2]])*24</f>
        <v>0</v>
      </c>
      <c r="Q133" s="205"/>
      <c r="R133" s="214">
        <f>_xlfn.XLOOKUP(表格3_5[[#This Row],[Name]],Name_list[Full Name],Name_list[Hourr Rate])</f>
        <v>0</v>
      </c>
      <c r="S133" s="210">
        <f>表格3_5[[#This Row],[Hours Worked]]*表格3_5[[#This Row],[Hourly Rate]]</f>
        <v>0</v>
      </c>
    </row>
    <row r="134" spans="1:19">
      <c r="A134" s="201">
        <v>132</v>
      </c>
      <c r="B134" s="210" t="str">
        <f>_xlfn.CONCAT(表格3_5[[#This Row],[Name]],表格3_5[[#This Row],[Location]])</f>
        <v/>
      </c>
      <c r="C134" s="211" t="str">
        <f>表格3_5[[#This Row],[Location]] &amp; 表格3_5[[#This Row],[Date]] &amp;表格3_5[[#This Row],[Nick Name]]</f>
        <v>0</v>
      </c>
      <c r="D134" s="202"/>
      <c r="E134" s="211" t="str">
        <f>DAY(表格3_5[[#This Row],[Date]])&amp;""</f>
        <v>0</v>
      </c>
      <c r="F134" s="203"/>
      <c r="G134" s="216">
        <f>_xlfn.XLOOKUP(表格3_5[[#This Row],[Name]],Name_list[Full Name],Name_list[Nick Name])</f>
        <v>0</v>
      </c>
      <c r="H134" s="207"/>
      <c r="I134" s="228"/>
      <c r="J134" s="218"/>
      <c r="K134" s="205"/>
      <c r="L134" s="210">
        <f>(表格3_5[[#This Row],[Out-Time]] - 表格3_5[[#This Row],[In-Time]])*24</f>
        <v>0</v>
      </c>
      <c r="M134" s="210">
        <f>表格3_5[[#This Row],[ Hours]]-表格3_5[[#This Row],[Normal working
 hours]]</f>
        <v>0</v>
      </c>
      <c r="N134" s="205"/>
      <c r="O134" s="205"/>
      <c r="P134" s="210">
        <f>(表格3_5[[#This Row],[Out-Time2]] - 表格3_5[[#This Row],[In-Time2]])*24</f>
        <v>0</v>
      </c>
      <c r="Q134" s="205"/>
      <c r="R134" s="214">
        <f>_xlfn.XLOOKUP(表格3_5[[#This Row],[Name]],Name_list[Full Name],Name_list[Hourr Rate])</f>
        <v>0</v>
      </c>
      <c r="S134" s="210">
        <f>表格3_5[[#This Row],[Hours Worked]]*表格3_5[[#This Row],[Hourly Rate]]</f>
        <v>0</v>
      </c>
    </row>
    <row r="135" spans="1:19">
      <c r="A135" s="201">
        <v>133</v>
      </c>
      <c r="B135" s="210" t="str">
        <f>_xlfn.CONCAT(表格3_5[[#This Row],[Name]],表格3_5[[#This Row],[Location]])</f>
        <v/>
      </c>
      <c r="C135" s="211" t="str">
        <f>表格3_5[[#This Row],[Location]] &amp; 表格3_5[[#This Row],[Date]] &amp;表格3_5[[#This Row],[Nick Name]]</f>
        <v>0</v>
      </c>
      <c r="D135" s="202"/>
      <c r="E135" s="211" t="str">
        <f>DAY(表格3_5[[#This Row],[Date]])&amp;""</f>
        <v>0</v>
      </c>
      <c r="F135" s="203"/>
      <c r="G135" s="216">
        <f>_xlfn.XLOOKUP(表格3_5[[#This Row],[Name]],Name_list[Full Name],Name_list[Nick Name])</f>
        <v>0</v>
      </c>
      <c r="H135" s="207"/>
      <c r="I135" s="228"/>
      <c r="J135" s="218"/>
      <c r="K135" s="205"/>
      <c r="L135" s="210">
        <f>(表格3_5[[#This Row],[Out-Time]] - 表格3_5[[#This Row],[In-Time]])*24</f>
        <v>0</v>
      </c>
      <c r="M135" s="210">
        <f>表格3_5[[#This Row],[ Hours]]-表格3_5[[#This Row],[Normal working
 hours]]</f>
        <v>0</v>
      </c>
      <c r="N135" s="205"/>
      <c r="O135" s="205"/>
      <c r="P135" s="210">
        <f>(表格3_5[[#This Row],[Out-Time2]] - 表格3_5[[#This Row],[In-Time2]])*24</f>
        <v>0</v>
      </c>
      <c r="Q135" s="205"/>
      <c r="R135" s="214">
        <f>_xlfn.XLOOKUP(表格3_5[[#This Row],[Name]],Name_list[Full Name],Name_list[Hourr Rate])</f>
        <v>0</v>
      </c>
      <c r="S135" s="210">
        <f>表格3_5[[#This Row],[Hours Worked]]*表格3_5[[#This Row],[Hourly Rate]]</f>
        <v>0</v>
      </c>
    </row>
    <row r="136" spans="1:19">
      <c r="A136" s="201">
        <v>134</v>
      </c>
      <c r="B136" s="210" t="str">
        <f>_xlfn.CONCAT(表格3_5[[#This Row],[Name]],表格3_5[[#This Row],[Location]])</f>
        <v/>
      </c>
      <c r="C136" s="211" t="str">
        <f>表格3_5[[#This Row],[Location]] &amp; 表格3_5[[#This Row],[Date]] &amp;表格3_5[[#This Row],[Nick Name]]</f>
        <v>0</v>
      </c>
      <c r="D136" s="202"/>
      <c r="E136" s="211" t="str">
        <f>DAY(表格3_5[[#This Row],[Date]])&amp;""</f>
        <v>0</v>
      </c>
      <c r="F136" s="203"/>
      <c r="G136" s="216">
        <f>_xlfn.XLOOKUP(表格3_5[[#This Row],[Name]],Name_list[Full Name],Name_list[Nick Name])</f>
        <v>0</v>
      </c>
      <c r="H136" s="207"/>
      <c r="I136" s="228"/>
      <c r="J136" s="218"/>
      <c r="K136" s="205"/>
      <c r="L136" s="210">
        <f>(表格3_5[[#This Row],[Out-Time]] - 表格3_5[[#This Row],[In-Time]])*24</f>
        <v>0</v>
      </c>
      <c r="M136" s="210">
        <f>表格3_5[[#This Row],[ Hours]]-表格3_5[[#This Row],[Normal working
 hours]]</f>
        <v>0</v>
      </c>
      <c r="N136" s="205"/>
      <c r="O136" s="205"/>
      <c r="P136" s="210">
        <f>(表格3_5[[#This Row],[Out-Time2]] - 表格3_5[[#This Row],[In-Time2]])*24</f>
        <v>0</v>
      </c>
      <c r="Q136" s="205"/>
      <c r="R136" s="214">
        <f>_xlfn.XLOOKUP(表格3_5[[#This Row],[Name]],Name_list[Full Name],Name_list[Hourr Rate])</f>
        <v>0</v>
      </c>
      <c r="S136" s="210">
        <f>表格3_5[[#This Row],[Hours Worked]]*表格3_5[[#This Row],[Hourly Rate]]</f>
        <v>0</v>
      </c>
    </row>
    <row r="137" spans="1:19">
      <c r="A137" s="201">
        <v>135</v>
      </c>
      <c r="B137" s="210" t="str">
        <f>_xlfn.CONCAT(表格3_5[[#This Row],[Name]],表格3_5[[#This Row],[Location]])</f>
        <v/>
      </c>
      <c r="C137" s="211" t="str">
        <f>表格3_5[[#This Row],[Location]] &amp; 表格3_5[[#This Row],[Date]] &amp;表格3_5[[#This Row],[Nick Name]]</f>
        <v>0</v>
      </c>
      <c r="D137" s="202"/>
      <c r="E137" s="211" t="str">
        <f>DAY(表格3_5[[#This Row],[Date]])&amp;""</f>
        <v>0</v>
      </c>
      <c r="F137" s="203"/>
      <c r="G137" s="216">
        <f>_xlfn.XLOOKUP(表格3_5[[#This Row],[Name]],Name_list[Full Name],Name_list[Nick Name])</f>
        <v>0</v>
      </c>
      <c r="H137" s="207"/>
      <c r="I137" s="228"/>
      <c r="J137" s="218"/>
      <c r="K137" s="205"/>
      <c r="L137" s="210">
        <f>(表格3_5[[#This Row],[Out-Time]] - 表格3_5[[#This Row],[In-Time]])*24</f>
        <v>0</v>
      </c>
      <c r="M137" s="210">
        <f>表格3_5[[#This Row],[ Hours]]-表格3_5[[#This Row],[Normal working
 hours]]</f>
        <v>0</v>
      </c>
      <c r="N137" s="205"/>
      <c r="O137" s="205"/>
      <c r="P137" s="210">
        <f>(表格3_5[[#This Row],[Out-Time2]] - 表格3_5[[#This Row],[In-Time2]])*24</f>
        <v>0</v>
      </c>
      <c r="Q137" s="205"/>
      <c r="R137" s="214">
        <f>_xlfn.XLOOKUP(表格3_5[[#This Row],[Name]],Name_list[Full Name],Name_list[Hourr Rate])</f>
        <v>0</v>
      </c>
      <c r="S137" s="210">
        <f>表格3_5[[#This Row],[Hours Worked]]*表格3_5[[#This Row],[Hourly Rate]]</f>
        <v>0</v>
      </c>
    </row>
    <row r="138" spans="1:19">
      <c r="A138" s="201">
        <v>136</v>
      </c>
      <c r="B138" s="210" t="str">
        <f>_xlfn.CONCAT(表格3_5[[#This Row],[Name]],表格3_5[[#This Row],[Location]])</f>
        <v/>
      </c>
      <c r="C138" s="211" t="str">
        <f>表格3_5[[#This Row],[Location]] &amp; 表格3_5[[#This Row],[Date]] &amp;表格3_5[[#This Row],[Nick Name]]</f>
        <v>0</v>
      </c>
      <c r="D138" s="202"/>
      <c r="E138" s="211" t="str">
        <f>DAY(表格3_5[[#This Row],[Date]])&amp;""</f>
        <v>0</v>
      </c>
      <c r="F138" s="203"/>
      <c r="G138" s="216">
        <f>_xlfn.XLOOKUP(表格3_5[[#This Row],[Name]],Name_list[Full Name],Name_list[Nick Name])</f>
        <v>0</v>
      </c>
      <c r="H138" s="207"/>
      <c r="I138" s="228"/>
      <c r="J138" s="218"/>
      <c r="K138" s="205"/>
      <c r="L138" s="210">
        <f>(表格3_5[[#This Row],[Out-Time]] - 表格3_5[[#This Row],[In-Time]])*24</f>
        <v>0</v>
      </c>
      <c r="M138" s="210">
        <f>表格3_5[[#This Row],[ Hours]]-表格3_5[[#This Row],[Normal working
 hours]]</f>
        <v>0</v>
      </c>
      <c r="N138" s="205"/>
      <c r="O138" s="205"/>
      <c r="P138" s="210">
        <f>(表格3_5[[#This Row],[Out-Time2]] - 表格3_5[[#This Row],[In-Time2]])*24</f>
        <v>0</v>
      </c>
      <c r="Q138" s="205"/>
      <c r="R138" s="214">
        <f>_xlfn.XLOOKUP(表格3_5[[#This Row],[Name]],Name_list[Full Name],Name_list[Hourr Rate])</f>
        <v>0</v>
      </c>
      <c r="S138" s="210">
        <f>表格3_5[[#This Row],[Hours Worked]]*表格3_5[[#This Row],[Hourly Rate]]</f>
        <v>0</v>
      </c>
    </row>
    <row r="139" spans="1:19">
      <c r="A139" s="201">
        <v>137</v>
      </c>
      <c r="B139" s="210" t="str">
        <f>_xlfn.CONCAT(表格3_5[[#This Row],[Name]],表格3_5[[#This Row],[Location]])</f>
        <v/>
      </c>
      <c r="C139" s="211" t="str">
        <f>表格3_5[[#This Row],[Location]] &amp; 表格3_5[[#This Row],[Date]] &amp;表格3_5[[#This Row],[Nick Name]]</f>
        <v>0</v>
      </c>
      <c r="D139" s="202"/>
      <c r="E139" s="211" t="str">
        <f>DAY(表格3_5[[#This Row],[Date]])&amp;""</f>
        <v>0</v>
      </c>
      <c r="F139" s="203"/>
      <c r="G139" s="216">
        <f>_xlfn.XLOOKUP(表格3_5[[#This Row],[Name]],Name_list[Full Name],Name_list[Nick Name])</f>
        <v>0</v>
      </c>
      <c r="H139" s="207"/>
      <c r="I139" s="228"/>
      <c r="J139" s="218"/>
      <c r="K139" s="205"/>
      <c r="L139" s="210">
        <f>(表格3_5[[#This Row],[Out-Time]] - 表格3_5[[#This Row],[In-Time]])*24</f>
        <v>0</v>
      </c>
      <c r="M139" s="210">
        <f>表格3_5[[#This Row],[ Hours]]-表格3_5[[#This Row],[Normal working
 hours]]</f>
        <v>0</v>
      </c>
      <c r="N139" s="205"/>
      <c r="O139" s="205"/>
      <c r="P139" s="210">
        <f>(表格3_5[[#This Row],[Out-Time2]] - 表格3_5[[#This Row],[In-Time2]])*24</f>
        <v>0</v>
      </c>
      <c r="Q139" s="205"/>
      <c r="R139" s="214">
        <f>_xlfn.XLOOKUP(表格3_5[[#This Row],[Name]],Name_list[Full Name],Name_list[Hourr Rate])</f>
        <v>0</v>
      </c>
      <c r="S139" s="210">
        <f>表格3_5[[#This Row],[Hours Worked]]*表格3_5[[#This Row],[Hourly Rate]]</f>
        <v>0</v>
      </c>
    </row>
    <row r="140" spans="1:19">
      <c r="A140" s="201">
        <v>138</v>
      </c>
      <c r="B140" s="210" t="str">
        <f>_xlfn.CONCAT(表格3_5[[#This Row],[Name]],表格3_5[[#This Row],[Location]])</f>
        <v/>
      </c>
      <c r="C140" s="211" t="str">
        <f>表格3_5[[#This Row],[Location]] &amp; 表格3_5[[#This Row],[Date]] &amp;表格3_5[[#This Row],[Nick Name]]</f>
        <v>0</v>
      </c>
      <c r="D140" s="202"/>
      <c r="E140" s="211" t="str">
        <f>DAY(表格3_5[[#This Row],[Date]])&amp;""</f>
        <v>0</v>
      </c>
      <c r="F140" s="203"/>
      <c r="G140" s="216">
        <f>_xlfn.XLOOKUP(表格3_5[[#This Row],[Name]],Name_list[Full Name],Name_list[Nick Name])</f>
        <v>0</v>
      </c>
      <c r="H140" s="207"/>
      <c r="I140" s="228"/>
      <c r="J140" s="218"/>
      <c r="K140" s="205"/>
      <c r="L140" s="210">
        <f>(表格3_5[[#This Row],[Out-Time]] - 表格3_5[[#This Row],[In-Time]])*24</f>
        <v>0</v>
      </c>
      <c r="M140" s="210">
        <f>表格3_5[[#This Row],[ Hours]]-表格3_5[[#This Row],[Normal working
 hours]]</f>
        <v>0</v>
      </c>
      <c r="N140" s="205"/>
      <c r="O140" s="205"/>
      <c r="P140" s="210">
        <f>(表格3_5[[#This Row],[Out-Time2]] - 表格3_5[[#This Row],[In-Time2]])*24</f>
        <v>0</v>
      </c>
      <c r="Q140" s="205"/>
      <c r="R140" s="214">
        <f>_xlfn.XLOOKUP(表格3_5[[#This Row],[Name]],Name_list[Full Name],Name_list[Hourr Rate])</f>
        <v>0</v>
      </c>
      <c r="S140" s="210">
        <f>表格3_5[[#This Row],[Hours Worked]]*表格3_5[[#This Row],[Hourly Rate]]</f>
        <v>0</v>
      </c>
    </row>
    <row r="141" spans="1:19">
      <c r="A141" s="201">
        <v>139</v>
      </c>
      <c r="B141" s="210" t="str">
        <f>_xlfn.CONCAT(表格3_5[[#This Row],[Name]],表格3_5[[#This Row],[Location]])</f>
        <v/>
      </c>
      <c r="C141" s="211" t="str">
        <f>表格3_5[[#This Row],[Location]] &amp; 表格3_5[[#This Row],[Date]] &amp;表格3_5[[#This Row],[Nick Name]]</f>
        <v>0</v>
      </c>
      <c r="D141" s="202"/>
      <c r="E141" s="211" t="str">
        <f>DAY(表格3_5[[#This Row],[Date]])&amp;""</f>
        <v>0</v>
      </c>
      <c r="F141" s="203"/>
      <c r="G141" s="216">
        <f>_xlfn.XLOOKUP(表格3_5[[#This Row],[Name]],Name_list[Full Name],Name_list[Nick Name])</f>
        <v>0</v>
      </c>
      <c r="H141" s="207"/>
      <c r="I141" s="228"/>
      <c r="J141" s="218"/>
      <c r="K141" s="205"/>
      <c r="L141" s="210">
        <f>(表格3_5[[#This Row],[Out-Time]] - 表格3_5[[#This Row],[In-Time]])*24</f>
        <v>0</v>
      </c>
      <c r="M141" s="210">
        <f>表格3_5[[#This Row],[ Hours]]-表格3_5[[#This Row],[Normal working
 hours]]</f>
        <v>0</v>
      </c>
      <c r="N141" s="205"/>
      <c r="O141" s="205"/>
      <c r="P141" s="210">
        <f>(表格3_5[[#This Row],[Out-Time2]] - 表格3_5[[#This Row],[In-Time2]])*24</f>
        <v>0</v>
      </c>
      <c r="Q141" s="205"/>
      <c r="R141" s="214">
        <f>_xlfn.XLOOKUP(表格3_5[[#This Row],[Name]],Name_list[Full Name],Name_list[Hourr Rate])</f>
        <v>0</v>
      </c>
      <c r="S141" s="210">
        <f>表格3_5[[#This Row],[Hours Worked]]*表格3_5[[#This Row],[Hourly Rate]]</f>
        <v>0</v>
      </c>
    </row>
    <row r="142" spans="1:19">
      <c r="A142" s="201">
        <v>140</v>
      </c>
      <c r="B142" s="210" t="str">
        <f>_xlfn.CONCAT(表格3_5[[#This Row],[Name]],表格3_5[[#This Row],[Location]])</f>
        <v/>
      </c>
      <c r="C142" s="211" t="str">
        <f>表格3_5[[#This Row],[Location]] &amp; 表格3_5[[#This Row],[Date]] &amp;表格3_5[[#This Row],[Nick Name]]</f>
        <v>0</v>
      </c>
      <c r="D142" s="202"/>
      <c r="E142" s="211" t="str">
        <f>DAY(表格3_5[[#This Row],[Date]])&amp;""</f>
        <v>0</v>
      </c>
      <c r="F142" s="203"/>
      <c r="G142" s="216">
        <f>_xlfn.XLOOKUP(表格3_5[[#This Row],[Name]],Name_list[Full Name],Name_list[Nick Name])</f>
        <v>0</v>
      </c>
      <c r="H142" s="207"/>
      <c r="I142" s="228"/>
      <c r="J142" s="218"/>
      <c r="K142" s="205"/>
      <c r="L142" s="210">
        <f>(表格3_5[[#This Row],[Out-Time]] - 表格3_5[[#This Row],[In-Time]])*24</f>
        <v>0</v>
      </c>
      <c r="M142" s="210">
        <f>表格3_5[[#This Row],[ Hours]]-表格3_5[[#This Row],[Normal working
 hours]]</f>
        <v>0</v>
      </c>
      <c r="N142" s="205"/>
      <c r="O142" s="205"/>
      <c r="P142" s="210">
        <f>(表格3_5[[#This Row],[Out-Time2]] - 表格3_5[[#This Row],[In-Time2]])*24</f>
        <v>0</v>
      </c>
      <c r="Q142" s="205"/>
      <c r="R142" s="214">
        <f>_xlfn.XLOOKUP(表格3_5[[#This Row],[Name]],Name_list[Full Name],Name_list[Hourr Rate])</f>
        <v>0</v>
      </c>
      <c r="S142" s="210">
        <f>表格3_5[[#This Row],[Hours Worked]]*表格3_5[[#This Row],[Hourly Rate]]</f>
        <v>0</v>
      </c>
    </row>
    <row r="143" spans="1:19">
      <c r="A143" s="201">
        <v>141</v>
      </c>
      <c r="B143" s="210" t="str">
        <f>_xlfn.CONCAT(表格3_5[[#This Row],[Name]],表格3_5[[#This Row],[Location]])</f>
        <v/>
      </c>
      <c r="C143" s="211" t="str">
        <f>表格3_5[[#This Row],[Location]] &amp; 表格3_5[[#This Row],[Date]] &amp;表格3_5[[#This Row],[Nick Name]]</f>
        <v>0</v>
      </c>
      <c r="D143" s="202"/>
      <c r="E143" s="211" t="str">
        <f>DAY(表格3_5[[#This Row],[Date]])&amp;""</f>
        <v>0</v>
      </c>
      <c r="F143" s="203"/>
      <c r="G143" s="216">
        <f>_xlfn.XLOOKUP(表格3_5[[#This Row],[Name]],Name_list[Full Name],Name_list[Nick Name])</f>
        <v>0</v>
      </c>
      <c r="H143" s="207"/>
      <c r="I143" s="228"/>
      <c r="J143" s="218"/>
      <c r="K143" s="205"/>
      <c r="L143" s="210">
        <f>(表格3_5[[#This Row],[Out-Time]] - 表格3_5[[#This Row],[In-Time]])*24</f>
        <v>0</v>
      </c>
      <c r="M143" s="210">
        <f>表格3_5[[#This Row],[ Hours]]-表格3_5[[#This Row],[Normal working
 hours]]</f>
        <v>0</v>
      </c>
      <c r="N143" s="205"/>
      <c r="O143" s="205"/>
      <c r="P143" s="210">
        <f>(表格3_5[[#This Row],[Out-Time2]] - 表格3_5[[#This Row],[In-Time2]])*24</f>
        <v>0</v>
      </c>
      <c r="Q143" s="205"/>
      <c r="R143" s="214">
        <f>_xlfn.XLOOKUP(表格3_5[[#This Row],[Name]],Name_list[Full Name],Name_list[Hourr Rate])</f>
        <v>0</v>
      </c>
      <c r="S143" s="210">
        <f>表格3_5[[#This Row],[Hours Worked]]*表格3_5[[#This Row],[Hourly Rate]]</f>
        <v>0</v>
      </c>
    </row>
    <row r="144" spans="1:19">
      <c r="A144" s="201">
        <v>142</v>
      </c>
      <c r="B144" s="210" t="str">
        <f>_xlfn.CONCAT(表格3_5[[#This Row],[Name]],表格3_5[[#This Row],[Location]])</f>
        <v/>
      </c>
      <c r="C144" s="211" t="str">
        <f>表格3_5[[#This Row],[Location]] &amp; 表格3_5[[#This Row],[Date]] &amp;表格3_5[[#This Row],[Nick Name]]</f>
        <v>0</v>
      </c>
      <c r="D144" s="202"/>
      <c r="E144" s="211" t="str">
        <f>DAY(表格3_5[[#This Row],[Date]])&amp;""</f>
        <v>0</v>
      </c>
      <c r="F144" s="203"/>
      <c r="G144" s="216">
        <f>_xlfn.XLOOKUP(表格3_5[[#This Row],[Name]],Name_list[Full Name],Name_list[Nick Name])</f>
        <v>0</v>
      </c>
      <c r="H144" s="207"/>
      <c r="I144" s="228"/>
      <c r="J144" s="218"/>
      <c r="K144" s="205"/>
      <c r="L144" s="210">
        <f>(表格3_5[[#This Row],[Out-Time]] - 表格3_5[[#This Row],[In-Time]])*24</f>
        <v>0</v>
      </c>
      <c r="M144" s="210">
        <f>表格3_5[[#This Row],[ Hours]]-表格3_5[[#This Row],[Normal working
 hours]]</f>
        <v>0</v>
      </c>
      <c r="N144" s="205"/>
      <c r="O144" s="205"/>
      <c r="P144" s="210">
        <f>(表格3_5[[#This Row],[Out-Time2]] - 表格3_5[[#This Row],[In-Time2]])*24</f>
        <v>0</v>
      </c>
      <c r="Q144" s="205"/>
      <c r="R144" s="214">
        <f>_xlfn.XLOOKUP(表格3_5[[#This Row],[Name]],Name_list[Full Name],Name_list[Hourr Rate])</f>
        <v>0</v>
      </c>
      <c r="S144" s="210">
        <f>表格3_5[[#This Row],[Hours Worked]]*表格3_5[[#This Row],[Hourly Rate]]</f>
        <v>0</v>
      </c>
    </row>
    <row r="145" spans="1:19">
      <c r="A145" s="201">
        <v>143</v>
      </c>
      <c r="B145" s="210" t="str">
        <f>_xlfn.CONCAT(表格3_5[[#This Row],[Name]],表格3_5[[#This Row],[Location]])</f>
        <v/>
      </c>
      <c r="C145" s="211" t="str">
        <f>表格3_5[[#This Row],[Location]] &amp; 表格3_5[[#This Row],[Date]] &amp;表格3_5[[#This Row],[Nick Name]]</f>
        <v>0</v>
      </c>
      <c r="D145" s="202"/>
      <c r="E145" s="211" t="str">
        <f>DAY(表格3_5[[#This Row],[Date]])&amp;""</f>
        <v>0</v>
      </c>
      <c r="F145" s="203"/>
      <c r="G145" s="216">
        <f>_xlfn.XLOOKUP(表格3_5[[#This Row],[Name]],Name_list[Full Name],Name_list[Nick Name])</f>
        <v>0</v>
      </c>
      <c r="H145" s="207"/>
      <c r="I145" s="228"/>
      <c r="J145" s="218"/>
      <c r="K145" s="205"/>
      <c r="L145" s="210">
        <f>(表格3_5[[#This Row],[Out-Time]] - 表格3_5[[#This Row],[In-Time]])*24</f>
        <v>0</v>
      </c>
      <c r="M145" s="210">
        <f>表格3_5[[#This Row],[ Hours]]-表格3_5[[#This Row],[Normal working
 hours]]</f>
        <v>0</v>
      </c>
      <c r="N145" s="205"/>
      <c r="O145" s="205"/>
      <c r="P145" s="210">
        <f>(表格3_5[[#This Row],[Out-Time2]] - 表格3_5[[#This Row],[In-Time2]])*24</f>
        <v>0</v>
      </c>
      <c r="Q145" s="205"/>
      <c r="R145" s="214">
        <f>_xlfn.XLOOKUP(表格3_5[[#This Row],[Name]],Name_list[Full Name],Name_list[Hourr Rate])</f>
        <v>0</v>
      </c>
      <c r="S145" s="210">
        <f>表格3_5[[#This Row],[Hours Worked]]*表格3_5[[#This Row],[Hourly Rate]]</f>
        <v>0</v>
      </c>
    </row>
    <row r="146" spans="1:19">
      <c r="A146" s="201">
        <v>144</v>
      </c>
      <c r="B146" s="210" t="str">
        <f>_xlfn.CONCAT(表格3_5[[#This Row],[Name]],表格3_5[[#This Row],[Location]])</f>
        <v/>
      </c>
      <c r="C146" s="211" t="str">
        <f>表格3_5[[#This Row],[Location]] &amp; 表格3_5[[#This Row],[Date]] &amp;表格3_5[[#This Row],[Nick Name]]</f>
        <v>0</v>
      </c>
      <c r="D146" s="202"/>
      <c r="E146" s="211" t="str">
        <f>DAY(表格3_5[[#This Row],[Date]])&amp;""</f>
        <v>0</v>
      </c>
      <c r="F146" s="203"/>
      <c r="G146" s="216">
        <f>_xlfn.XLOOKUP(表格3_5[[#This Row],[Name]],Name_list[Full Name],Name_list[Nick Name])</f>
        <v>0</v>
      </c>
      <c r="H146" s="207"/>
      <c r="I146" s="228"/>
      <c r="J146" s="218"/>
      <c r="K146" s="205"/>
      <c r="L146" s="210">
        <f>(表格3_5[[#This Row],[Out-Time]] - 表格3_5[[#This Row],[In-Time]])*24</f>
        <v>0</v>
      </c>
      <c r="M146" s="210">
        <f>表格3_5[[#This Row],[ Hours]]-表格3_5[[#This Row],[Normal working
 hours]]</f>
        <v>0</v>
      </c>
      <c r="N146" s="205"/>
      <c r="O146" s="205"/>
      <c r="P146" s="210">
        <f>(表格3_5[[#This Row],[Out-Time2]] - 表格3_5[[#This Row],[In-Time2]])*24</f>
        <v>0</v>
      </c>
      <c r="Q146" s="205"/>
      <c r="R146" s="214">
        <f>_xlfn.XLOOKUP(表格3_5[[#This Row],[Name]],Name_list[Full Name],Name_list[Hourr Rate])</f>
        <v>0</v>
      </c>
      <c r="S146" s="210">
        <f>表格3_5[[#This Row],[Hours Worked]]*表格3_5[[#This Row],[Hourly Rate]]</f>
        <v>0</v>
      </c>
    </row>
    <row r="147" spans="1:19">
      <c r="A147" s="201">
        <v>145</v>
      </c>
      <c r="B147" s="210" t="str">
        <f>_xlfn.CONCAT(表格3_5[[#This Row],[Name]],表格3_5[[#This Row],[Location]])</f>
        <v/>
      </c>
      <c r="C147" s="211" t="str">
        <f>表格3_5[[#This Row],[Location]] &amp; 表格3_5[[#This Row],[Date]] &amp;表格3_5[[#This Row],[Nick Name]]</f>
        <v>0</v>
      </c>
      <c r="D147" s="202"/>
      <c r="E147" s="211" t="str">
        <f>DAY(表格3_5[[#This Row],[Date]])&amp;""</f>
        <v>0</v>
      </c>
      <c r="F147" s="203"/>
      <c r="G147" s="216">
        <f>_xlfn.XLOOKUP(表格3_5[[#This Row],[Name]],Name_list[Full Name],Name_list[Nick Name])</f>
        <v>0</v>
      </c>
      <c r="H147" s="207"/>
      <c r="I147" s="228"/>
      <c r="J147" s="218"/>
      <c r="K147" s="205"/>
      <c r="L147" s="210">
        <f>(表格3_5[[#This Row],[Out-Time]] - 表格3_5[[#This Row],[In-Time]])*24</f>
        <v>0</v>
      </c>
      <c r="M147" s="210">
        <f>表格3_5[[#This Row],[ Hours]]-表格3_5[[#This Row],[Normal working
 hours]]</f>
        <v>0</v>
      </c>
      <c r="N147" s="205"/>
      <c r="O147" s="205"/>
      <c r="P147" s="210">
        <f>(表格3_5[[#This Row],[Out-Time2]] - 表格3_5[[#This Row],[In-Time2]])*24</f>
        <v>0</v>
      </c>
      <c r="Q147" s="205"/>
      <c r="R147" s="214">
        <f>_xlfn.XLOOKUP(表格3_5[[#This Row],[Name]],Name_list[Full Name],Name_list[Hourr Rate])</f>
        <v>0</v>
      </c>
      <c r="S147" s="210">
        <f>表格3_5[[#This Row],[Hours Worked]]*表格3_5[[#This Row],[Hourly Rate]]</f>
        <v>0</v>
      </c>
    </row>
    <row r="148" spans="1:19">
      <c r="A148" s="201">
        <v>146</v>
      </c>
      <c r="B148" s="210" t="str">
        <f>_xlfn.CONCAT(表格3_5[[#This Row],[Name]],表格3_5[[#This Row],[Location]])</f>
        <v/>
      </c>
      <c r="C148" s="211" t="str">
        <f>表格3_5[[#This Row],[Location]] &amp; 表格3_5[[#This Row],[Date]] &amp;表格3_5[[#This Row],[Nick Name]]</f>
        <v>0</v>
      </c>
      <c r="D148" s="202"/>
      <c r="E148" s="211" t="str">
        <f>DAY(表格3_5[[#This Row],[Date]])&amp;""</f>
        <v>0</v>
      </c>
      <c r="F148" s="203"/>
      <c r="G148" s="216">
        <f>_xlfn.XLOOKUP(表格3_5[[#This Row],[Name]],Name_list[Full Name],Name_list[Nick Name])</f>
        <v>0</v>
      </c>
      <c r="H148" s="207"/>
      <c r="I148" s="228"/>
      <c r="J148" s="218"/>
      <c r="K148" s="205"/>
      <c r="L148" s="210">
        <f>(表格3_5[[#This Row],[Out-Time]] - 表格3_5[[#This Row],[In-Time]])*24</f>
        <v>0</v>
      </c>
      <c r="M148" s="210">
        <f>表格3_5[[#This Row],[ Hours]]-表格3_5[[#This Row],[Normal working
 hours]]</f>
        <v>0</v>
      </c>
      <c r="N148" s="205"/>
      <c r="O148" s="205"/>
      <c r="P148" s="210">
        <f>(表格3_5[[#This Row],[Out-Time2]] - 表格3_5[[#This Row],[In-Time2]])*24</f>
        <v>0</v>
      </c>
      <c r="Q148" s="205"/>
      <c r="R148" s="214">
        <f>_xlfn.XLOOKUP(表格3_5[[#This Row],[Name]],Name_list[Full Name],Name_list[Hourr Rate])</f>
        <v>0</v>
      </c>
      <c r="S148" s="210">
        <f>表格3_5[[#This Row],[Hours Worked]]*表格3_5[[#This Row],[Hourly Rate]]</f>
        <v>0</v>
      </c>
    </row>
    <row r="149" spans="1:19">
      <c r="A149" s="201">
        <v>147</v>
      </c>
      <c r="B149" s="210" t="str">
        <f>_xlfn.CONCAT(表格3_5[[#This Row],[Name]],表格3_5[[#This Row],[Location]])</f>
        <v/>
      </c>
      <c r="C149" s="211" t="str">
        <f>表格3_5[[#This Row],[Location]] &amp; 表格3_5[[#This Row],[Date]] &amp;表格3_5[[#This Row],[Nick Name]]</f>
        <v>0</v>
      </c>
      <c r="D149" s="202"/>
      <c r="E149" s="211" t="str">
        <f>DAY(表格3_5[[#This Row],[Date]])&amp;""</f>
        <v>0</v>
      </c>
      <c r="F149" s="203"/>
      <c r="G149" s="216">
        <f>_xlfn.XLOOKUP(表格3_5[[#This Row],[Name]],Name_list[Full Name],Name_list[Nick Name])</f>
        <v>0</v>
      </c>
      <c r="H149" s="207"/>
      <c r="I149" s="228"/>
      <c r="J149" s="218"/>
      <c r="K149" s="205"/>
      <c r="L149" s="210">
        <f>(表格3_5[[#This Row],[Out-Time]] - 表格3_5[[#This Row],[In-Time]])*24</f>
        <v>0</v>
      </c>
      <c r="M149" s="210">
        <f>表格3_5[[#This Row],[ Hours]]-表格3_5[[#This Row],[Normal working
 hours]]</f>
        <v>0</v>
      </c>
      <c r="N149" s="205"/>
      <c r="O149" s="205"/>
      <c r="P149" s="210">
        <f>(表格3_5[[#This Row],[Out-Time2]] - 表格3_5[[#This Row],[In-Time2]])*24</f>
        <v>0</v>
      </c>
      <c r="Q149" s="205"/>
      <c r="R149" s="214">
        <f>_xlfn.XLOOKUP(表格3_5[[#This Row],[Name]],Name_list[Full Name],Name_list[Hourr Rate])</f>
        <v>0</v>
      </c>
      <c r="S149" s="210">
        <f>表格3_5[[#This Row],[Hours Worked]]*表格3_5[[#This Row],[Hourly Rate]]</f>
        <v>0</v>
      </c>
    </row>
    <row r="150" spans="1:19">
      <c r="A150" s="201">
        <v>148</v>
      </c>
      <c r="B150" s="210" t="str">
        <f>_xlfn.CONCAT(表格3_5[[#This Row],[Name]],表格3_5[[#This Row],[Location]])</f>
        <v/>
      </c>
      <c r="C150" s="211" t="str">
        <f>表格3_5[[#This Row],[Location]] &amp; 表格3_5[[#This Row],[Date]] &amp;表格3_5[[#This Row],[Nick Name]]</f>
        <v>0</v>
      </c>
      <c r="D150" s="202"/>
      <c r="E150" s="211" t="str">
        <f>DAY(表格3_5[[#This Row],[Date]])&amp;""</f>
        <v>0</v>
      </c>
      <c r="F150" s="203"/>
      <c r="G150" s="216">
        <f>_xlfn.XLOOKUP(表格3_5[[#This Row],[Name]],Name_list[Full Name],Name_list[Nick Name])</f>
        <v>0</v>
      </c>
      <c r="H150" s="207"/>
      <c r="I150" s="228"/>
      <c r="J150" s="218"/>
      <c r="K150" s="205"/>
      <c r="L150" s="210">
        <f>(表格3_5[[#This Row],[Out-Time]] - 表格3_5[[#This Row],[In-Time]])*24</f>
        <v>0</v>
      </c>
      <c r="M150" s="210">
        <f>表格3_5[[#This Row],[ Hours]]-表格3_5[[#This Row],[Normal working
 hours]]</f>
        <v>0</v>
      </c>
      <c r="N150" s="205"/>
      <c r="O150" s="205"/>
      <c r="P150" s="210">
        <f>(表格3_5[[#This Row],[Out-Time2]] - 表格3_5[[#This Row],[In-Time2]])*24</f>
        <v>0</v>
      </c>
      <c r="Q150" s="205"/>
      <c r="R150" s="214">
        <f>_xlfn.XLOOKUP(表格3_5[[#This Row],[Name]],Name_list[Full Name],Name_list[Hourr Rate])</f>
        <v>0</v>
      </c>
      <c r="S150" s="210">
        <f>表格3_5[[#This Row],[Hours Worked]]*表格3_5[[#This Row],[Hourly Rate]]</f>
        <v>0</v>
      </c>
    </row>
    <row r="151" spans="1:19">
      <c r="A151" s="201">
        <v>149</v>
      </c>
      <c r="B151" s="210" t="str">
        <f>_xlfn.CONCAT(表格3_5[[#This Row],[Name]],表格3_5[[#This Row],[Location]])</f>
        <v/>
      </c>
      <c r="C151" s="211" t="str">
        <f>表格3_5[[#This Row],[Location]] &amp; 表格3_5[[#This Row],[Date]] &amp;表格3_5[[#This Row],[Nick Name]]</f>
        <v>0</v>
      </c>
      <c r="D151" s="202"/>
      <c r="E151" s="211" t="str">
        <f>DAY(表格3_5[[#This Row],[Date]])&amp;""</f>
        <v>0</v>
      </c>
      <c r="F151" s="203"/>
      <c r="G151" s="216">
        <f>_xlfn.XLOOKUP(表格3_5[[#This Row],[Name]],Name_list[Full Name],Name_list[Nick Name])</f>
        <v>0</v>
      </c>
      <c r="H151" s="207"/>
      <c r="I151" s="228"/>
      <c r="J151" s="218"/>
      <c r="K151" s="205"/>
      <c r="L151" s="210">
        <f>(表格3_5[[#This Row],[Out-Time]] - 表格3_5[[#This Row],[In-Time]])*24</f>
        <v>0</v>
      </c>
      <c r="M151" s="210">
        <f>表格3_5[[#This Row],[ Hours]]-表格3_5[[#This Row],[Normal working
 hours]]</f>
        <v>0</v>
      </c>
      <c r="N151" s="205"/>
      <c r="O151" s="205"/>
      <c r="P151" s="210">
        <f>(表格3_5[[#This Row],[Out-Time2]] - 表格3_5[[#This Row],[In-Time2]])*24</f>
        <v>0</v>
      </c>
      <c r="Q151" s="205"/>
      <c r="R151" s="214">
        <f>_xlfn.XLOOKUP(表格3_5[[#This Row],[Name]],Name_list[Full Name],Name_list[Hourr Rate])</f>
        <v>0</v>
      </c>
      <c r="S151" s="210">
        <f>表格3_5[[#This Row],[Hours Worked]]*表格3_5[[#This Row],[Hourly Rate]]</f>
        <v>0</v>
      </c>
    </row>
    <row r="152" spans="1:19">
      <c r="A152" s="201">
        <v>150</v>
      </c>
      <c r="B152" s="210" t="str">
        <f>_xlfn.CONCAT(表格3_5[[#This Row],[Name]],表格3_5[[#This Row],[Location]])</f>
        <v/>
      </c>
      <c r="C152" s="211" t="str">
        <f>表格3_5[[#This Row],[Location]] &amp; 表格3_5[[#This Row],[Date]] &amp;表格3_5[[#This Row],[Nick Name]]</f>
        <v>0</v>
      </c>
      <c r="D152" s="202"/>
      <c r="E152" s="211" t="str">
        <f>DAY(表格3_5[[#This Row],[Date]])&amp;""</f>
        <v>0</v>
      </c>
      <c r="F152" s="203"/>
      <c r="G152" s="216">
        <f>_xlfn.XLOOKUP(表格3_5[[#This Row],[Name]],Name_list[Full Name],Name_list[Nick Name])</f>
        <v>0</v>
      </c>
      <c r="H152" s="207"/>
      <c r="I152" s="228"/>
      <c r="J152" s="218"/>
      <c r="K152" s="205"/>
      <c r="L152" s="210">
        <f>(表格3_5[[#This Row],[Out-Time]] - 表格3_5[[#This Row],[In-Time]])*24</f>
        <v>0</v>
      </c>
      <c r="M152" s="210">
        <f>表格3_5[[#This Row],[ Hours]]-表格3_5[[#This Row],[Normal working
 hours]]</f>
        <v>0</v>
      </c>
      <c r="N152" s="205"/>
      <c r="O152" s="205"/>
      <c r="P152" s="210">
        <f>(表格3_5[[#This Row],[Out-Time2]] - 表格3_5[[#This Row],[In-Time2]])*24</f>
        <v>0</v>
      </c>
      <c r="Q152" s="205"/>
      <c r="R152" s="214">
        <f>_xlfn.XLOOKUP(表格3_5[[#This Row],[Name]],Name_list[Full Name],Name_list[Hourr Rate])</f>
        <v>0</v>
      </c>
      <c r="S152" s="210">
        <f>表格3_5[[#This Row],[Hours Worked]]*表格3_5[[#This Row],[Hourly Rate]]</f>
        <v>0</v>
      </c>
    </row>
    <row r="153" spans="1:19">
      <c r="A153" s="201">
        <v>151</v>
      </c>
      <c r="B153" s="210" t="str">
        <f>_xlfn.CONCAT(表格3_5[[#This Row],[Name]],表格3_5[[#This Row],[Location]])</f>
        <v/>
      </c>
      <c r="C153" s="211" t="str">
        <f>表格3_5[[#This Row],[Location]] &amp; 表格3_5[[#This Row],[Date]] &amp;表格3_5[[#This Row],[Nick Name]]</f>
        <v>0</v>
      </c>
      <c r="D153" s="202"/>
      <c r="E153" s="211" t="str">
        <f>DAY(表格3_5[[#This Row],[Date]])&amp;""</f>
        <v>0</v>
      </c>
      <c r="F153" s="203"/>
      <c r="G153" s="216">
        <f>_xlfn.XLOOKUP(表格3_5[[#This Row],[Name]],Name_list[Full Name],Name_list[Nick Name])</f>
        <v>0</v>
      </c>
      <c r="H153" s="207"/>
      <c r="I153" s="228"/>
      <c r="J153" s="218"/>
      <c r="K153" s="205"/>
      <c r="L153" s="210">
        <f>(表格3_5[[#This Row],[Out-Time]] - 表格3_5[[#This Row],[In-Time]])*24</f>
        <v>0</v>
      </c>
      <c r="M153" s="210">
        <f>表格3_5[[#This Row],[ Hours]]-表格3_5[[#This Row],[Normal working
 hours]]</f>
        <v>0</v>
      </c>
      <c r="N153" s="205"/>
      <c r="O153" s="205"/>
      <c r="P153" s="210">
        <f>(表格3_5[[#This Row],[Out-Time2]] - 表格3_5[[#This Row],[In-Time2]])*24</f>
        <v>0</v>
      </c>
      <c r="Q153" s="205"/>
      <c r="R153" s="214">
        <f>_xlfn.XLOOKUP(表格3_5[[#This Row],[Name]],Name_list[Full Name],Name_list[Hourr Rate])</f>
        <v>0</v>
      </c>
      <c r="S153" s="210">
        <f>表格3_5[[#This Row],[Hours Worked]]*表格3_5[[#This Row],[Hourly Rate]]</f>
        <v>0</v>
      </c>
    </row>
    <row r="154" spans="1:19">
      <c r="A154" s="201">
        <v>152</v>
      </c>
      <c r="B154" s="210" t="str">
        <f>_xlfn.CONCAT(表格3_5[[#This Row],[Name]],表格3_5[[#This Row],[Location]])</f>
        <v/>
      </c>
      <c r="C154" s="211" t="str">
        <f>表格3_5[[#This Row],[Location]] &amp; 表格3_5[[#This Row],[Date]] &amp;表格3_5[[#This Row],[Nick Name]]</f>
        <v>0</v>
      </c>
      <c r="D154" s="202"/>
      <c r="E154" s="211" t="str">
        <f>DAY(表格3_5[[#This Row],[Date]])&amp;""</f>
        <v>0</v>
      </c>
      <c r="F154" s="203"/>
      <c r="G154" s="216">
        <f>_xlfn.XLOOKUP(表格3_5[[#This Row],[Name]],Name_list[Full Name],Name_list[Nick Name])</f>
        <v>0</v>
      </c>
      <c r="H154" s="207"/>
      <c r="I154" s="228"/>
      <c r="J154" s="218"/>
      <c r="K154" s="205"/>
      <c r="L154" s="210">
        <f>(表格3_5[[#This Row],[Out-Time]] - 表格3_5[[#This Row],[In-Time]])*24</f>
        <v>0</v>
      </c>
      <c r="M154" s="210">
        <f>表格3_5[[#This Row],[ Hours]]-表格3_5[[#This Row],[Normal working
 hours]]</f>
        <v>0</v>
      </c>
      <c r="N154" s="205"/>
      <c r="O154" s="205"/>
      <c r="P154" s="210">
        <f>(表格3_5[[#This Row],[Out-Time2]] - 表格3_5[[#This Row],[In-Time2]])*24</f>
        <v>0</v>
      </c>
      <c r="Q154" s="205"/>
      <c r="R154" s="214">
        <f>_xlfn.XLOOKUP(表格3_5[[#This Row],[Name]],Name_list[Full Name],Name_list[Hourr Rate])</f>
        <v>0</v>
      </c>
      <c r="S154" s="210">
        <f>表格3_5[[#This Row],[Hours Worked]]*表格3_5[[#This Row],[Hourly Rate]]</f>
        <v>0</v>
      </c>
    </row>
    <row r="155" spans="1:19">
      <c r="A155" s="201">
        <v>153</v>
      </c>
      <c r="B155" s="210" t="str">
        <f>_xlfn.CONCAT(表格3_5[[#This Row],[Name]],表格3_5[[#This Row],[Location]])</f>
        <v/>
      </c>
      <c r="C155" s="211" t="str">
        <f>表格3_5[[#This Row],[Location]] &amp; 表格3_5[[#This Row],[Date]] &amp;表格3_5[[#This Row],[Nick Name]]</f>
        <v>0</v>
      </c>
      <c r="D155" s="202"/>
      <c r="E155" s="211" t="str">
        <f>DAY(表格3_5[[#This Row],[Date]])&amp;""</f>
        <v>0</v>
      </c>
      <c r="F155" s="203"/>
      <c r="G155" s="216">
        <f>_xlfn.XLOOKUP(表格3_5[[#This Row],[Name]],Name_list[Full Name],Name_list[Nick Name])</f>
        <v>0</v>
      </c>
      <c r="H155" s="207"/>
      <c r="I155" s="228"/>
      <c r="J155" s="218"/>
      <c r="K155" s="205"/>
      <c r="L155" s="210">
        <f>(表格3_5[[#This Row],[Out-Time]] - 表格3_5[[#This Row],[In-Time]])*24</f>
        <v>0</v>
      </c>
      <c r="M155" s="210">
        <f>表格3_5[[#This Row],[ Hours]]-表格3_5[[#This Row],[Normal working
 hours]]</f>
        <v>0</v>
      </c>
      <c r="N155" s="205"/>
      <c r="O155" s="205"/>
      <c r="P155" s="210">
        <f>(表格3_5[[#This Row],[Out-Time2]] - 表格3_5[[#This Row],[In-Time2]])*24</f>
        <v>0</v>
      </c>
      <c r="Q155" s="205"/>
      <c r="R155" s="214">
        <f>_xlfn.XLOOKUP(表格3_5[[#This Row],[Name]],Name_list[Full Name],Name_list[Hourr Rate])</f>
        <v>0</v>
      </c>
      <c r="S155" s="210">
        <f>表格3_5[[#This Row],[Hours Worked]]*表格3_5[[#This Row],[Hourly Rate]]</f>
        <v>0</v>
      </c>
    </row>
    <row r="156" spans="1:19">
      <c r="A156" s="201">
        <v>154</v>
      </c>
      <c r="B156" s="210" t="str">
        <f>_xlfn.CONCAT(表格3_5[[#This Row],[Name]],表格3_5[[#This Row],[Location]])</f>
        <v/>
      </c>
      <c r="C156" s="211" t="str">
        <f>表格3_5[[#This Row],[Location]] &amp; 表格3_5[[#This Row],[Date]] &amp;表格3_5[[#This Row],[Nick Name]]</f>
        <v>0</v>
      </c>
      <c r="D156" s="202"/>
      <c r="E156" s="211" t="str">
        <f>DAY(表格3_5[[#This Row],[Date]])&amp;""</f>
        <v>0</v>
      </c>
      <c r="F156" s="203"/>
      <c r="G156" s="216">
        <f>_xlfn.XLOOKUP(表格3_5[[#This Row],[Name]],Name_list[Full Name],Name_list[Nick Name])</f>
        <v>0</v>
      </c>
      <c r="H156" s="207"/>
      <c r="I156" s="228"/>
      <c r="J156" s="218"/>
      <c r="K156" s="205"/>
      <c r="L156" s="210">
        <f>(表格3_5[[#This Row],[Out-Time]] - 表格3_5[[#This Row],[In-Time]])*24</f>
        <v>0</v>
      </c>
      <c r="M156" s="210">
        <f>表格3_5[[#This Row],[ Hours]]-表格3_5[[#This Row],[Normal working
 hours]]</f>
        <v>0</v>
      </c>
      <c r="N156" s="205"/>
      <c r="O156" s="205"/>
      <c r="P156" s="210">
        <f>(表格3_5[[#This Row],[Out-Time2]] - 表格3_5[[#This Row],[In-Time2]])*24</f>
        <v>0</v>
      </c>
      <c r="Q156" s="205"/>
      <c r="R156" s="214">
        <f>_xlfn.XLOOKUP(表格3_5[[#This Row],[Name]],Name_list[Full Name],Name_list[Hourr Rate])</f>
        <v>0</v>
      </c>
      <c r="S156" s="210">
        <f>表格3_5[[#This Row],[Hours Worked]]*表格3_5[[#This Row],[Hourly Rate]]</f>
        <v>0</v>
      </c>
    </row>
    <row r="157" spans="1:19">
      <c r="A157" s="201">
        <v>155</v>
      </c>
      <c r="B157" s="210" t="str">
        <f>_xlfn.CONCAT(表格3_5[[#This Row],[Name]],表格3_5[[#This Row],[Location]])</f>
        <v/>
      </c>
      <c r="C157" s="211" t="str">
        <f>表格3_5[[#This Row],[Location]] &amp; 表格3_5[[#This Row],[Date]] &amp;表格3_5[[#This Row],[Nick Name]]</f>
        <v>0</v>
      </c>
      <c r="D157" s="202"/>
      <c r="E157" s="211" t="str">
        <f>DAY(表格3_5[[#This Row],[Date]])&amp;""</f>
        <v>0</v>
      </c>
      <c r="F157" s="203"/>
      <c r="G157" s="216">
        <f>_xlfn.XLOOKUP(表格3_5[[#This Row],[Name]],Name_list[Full Name],Name_list[Nick Name])</f>
        <v>0</v>
      </c>
      <c r="H157" s="207"/>
      <c r="I157" s="228"/>
      <c r="J157" s="218"/>
      <c r="K157" s="205"/>
      <c r="L157" s="210">
        <f>(表格3_5[[#This Row],[Out-Time]] - 表格3_5[[#This Row],[In-Time]])*24</f>
        <v>0</v>
      </c>
      <c r="M157" s="210">
        <f>表格3_5[[#This Row],[ Hours]]-表格3_5[[#This Row],[Normal working
 hours]]</f>
        <v>0</v>
      </c>
      <c r="N157" s="205"/>
      <c r="O157" s="205"/>
      <c r="P157" s="210">
        <f>(表格3_5[[#This Row],[Out-Time2]] - 表格3_5[[#This Row],[In-Time2]])*24</f>
        <v>0</v>
      </c>
      <c r="Q157" s="205"/>
      <c r="R157" s="214">
        <f>_xlfn.XLOOKUP(表格3_5[[#This Row],[Name]],Name_list[Full Name],Name_list[Hourr Rate])</f>
        <v>0</v>
      </c>
      <c r="S157" s="210">
        <f>表格3_5[[#This Row],[Hours Worked]]*表格3_5[[#This Row],[Hourly Rate]]</f>
        <v>0</v>
      </c>
    </row>
    <row r="158" spans="1:19">
      <c r="A158" s="201">
        <v>156</v>
      </c>
      <c r="B158" s="210" t="str">
        <f>_xlfn.CONCAT(表格3_5[[#This Row],[Name]],表格3_5[[#This Row],[Location]])</f>
        <v/>
      </c>
      <c r="C158" s="211" t="str">
        <f>表格3_5[[#This Row],[Location]] &amp; 表格3_5[[#This Row],[Date]] &amp;表格3_5[[#This Row],[Nick Name]]</f>
        <v>0</v>
      </c>
      <c r="D158" s="202"/>
      <c r="E158" s="211" t="str">
        <f>DAY(表格3_5[[#This Row],[Date]])&amp;""</f>
        <v>0</v>
      </c>
      <c r="F158" s="203"/>
      <c r="G158" s="216">
        <f>_xlfn.XLOOKUP(表格3_5[[#This Row],[Name]],Name_list[Full Name],Name_list[Nick Name])</f>
        <v>0</v>
      </c>
      <c r="H158" s="207"/>
      <c r="I158" s="228"/>
      <c r="J158" s="218"/>
      <c r="K158" s="205"/>
      <c r="L158" s="210">
        <f>(表格3_5[[#This Row],[Out-Time]] - 表格3_5[[#This Row],[In-Time]])*24</f>
        <v>0</v>
      </c>
      <c r="M158" s="210">
        <f>表格3_5[[#This Row],[ Hours]]-表格3_5[[#This Row],[Normal working
 hours]]</f>
        <v>0</v>
      </c>
      <c r="N158" s="205"/>
      <c r="O158" s="205"/>
      <c r="P158" s="210">
        <f>(表格3_5[[#This Row],[Out-Time2]] - 表格3_5[[#This Row],[In-Time2]])*24</f>
        <v>0</v>
      </c>
      <c r="Q158" s="205"/>
      <c r="R158" s="214">
        <f>_xlfn.XLOOKUP(表格3_5[[#This Row],[Name]],Name_list[Full Name],Name_list[Hourr Rate])</f>
        <v>0</v>
      </c>
      <c r="S158" s="210">
        <f>表格3_5[[#This Row],[Hours Worked]]*表格3_5[[#This Row],[Hourly Rate]]</f>
        <v>0</v>
      </c>
    </row>
    <row r="159" spans="1:19">
      <c r="A159" s="201">
        <v>157</v>
      </c>
      <c r="B159" s="210" t="str">
        <f>_xlfn.CONCAT(表格3_5[[#This Row],[Name]],表格3_5[[#This Row],[Location]])</f>
        <v/>
      </c>
      <c r="C159" s="211" t="str">
        <f>表格3_5[[#This Row],[Location]] &amp; 表格3_5[[#This Row],[Date]] &amp;表格3_5[[#This Row],[Nick Name]]</f>
        <v>0</v>
      </c>
      <c r="D159" s="202"/>
      <c r="E159" s="211" t="str">
        <f>DAY(表格3_5[[#This Row],[Date]])&amp;""</f>
        <v>0</v>
      </c>
      <c r="F159" s="203"/>
      <c r="G159" s="216">
        <f>_xlfn.XLOOKUP(表格3_5[[#This Row],[Name]],Name_list[Full Name],Name_list[Nick Name])</f>
        <v>0</v>
      </c>
      <c r="H159" s="207"/>
      <c r="I159" s="228"/>
      <c r="J159" s="218"/>
      <c r="K159" s="205"/>
      <c r="L159" s="210">
        <f>(表格3_5[[#This Row],[Out-Time]] - 表格3_5[[#This Row],[In-Time]])*24</f>
        <v>0</v>
      </c>
      <c r="M159" s="210">
        <f>表格3_5[[#This Row],[ Hours]]-表格3_5[[#This Row],[Normal working
 hours]]</f>
        <v>0</v>
      </c>
      <c r="N159" s="205"/>
      <c r="O159" s="205"/>
      <c r="P159" s="210">
        <f>(表格3_5[[#This Row],[Out-Time2]] - 表格3_5[[#This Row],[In-Time2]])*24</f>
        <v>0</v>
      </c>
      <c r="Q159" s="205"/>
      <c r="R159" s="214">
        <f>_xlfn.XLOOKUP(表格3_5[[#This Row],[Name]],Name_list[Full Name],Name_list[Hourr Rate])</f>
        <v>0</v>
      </c>
      <c r="S159" s="210">
        <f>表格3_5[[#This Row],[Hours Worked]]*表格3_5[[#This Row],[Hourly Rate]]</f>
        <v>0</v>
      </c>
    </row>
    <row r="160" spans="1:19">
      <c r="A160" s="201">
        <v>158</v>
      </c>
      <c r="B160" s="210" t="str">
        <f>_xlfn.CONCAT(表格3_5[[#This Row],[Name]],表格3_5[[#This Row],[Location]])</f>
        <v/>
      </c>
      <c r="C160" s="211" t="str">
        <f>表格3_5[[#This Row],[Location]] &amp; 表格3_5[[#This Row],[Date]] &amp;表格3_5[[#This Row],[Nick Name]]</f>
        <v>0</v>
      </c>
      <c r="D160" s="202"/>
      <c r="E160" s="211" t="str">
        <f>DAY(表格3_5[[#This Row],[Date]])&amp;""</f>
        <v>0</v>
      </c>
      <c r="F160" s="203"/>
      <c r="G160" s="216">
        <f>_xlfn.XLOOKUP(表格3_5[[#This Row],[Name]],Name_list[Full Name],Name_list[Nick Name])</f>
        <v>0</v>
      </c>
      <c r="H160" s="207"/>
      <c r="I160" s="228"/>
      <c r="J160" s="218"/>
      <c r="K160" s="205"/>
      <c r="L160" s="210">
        <f>(表格3_5[[#This Row],[Out-Time]] - 表格3_5[[#This Row],[In-Time]])*24</f>
        <v>0</v>
      </c>
      <c r="M160" s="210">
        <f>表格3_5[[#This Row],[ Hours]]-表格3_5[[#This Row],[Normal working
 hours]]</f>
        <v>0</v>
      </c>
      <c r="N160" s="205"/>
      <c r="O160" s="205"/>
      <c r="P160" s="210">
        <f>(表格3_5[[#This Row],[Out-Time2]] - 表格3_5[[#This Row],[In-Time2]])*24</f>
        <v>0</v>
      </c>
      <c r="Q160" s="205"/>
      <c r="R160" s="214">
        <f>_xlfn.XLOOKUP(表格3_5[[#This Row],[Name]],Name_list[Full Name],Name_list[Hourr Rate])</f>
        <v>0</v>
      </c>
      <c r="S160" s="210">
        <f>表格3_5[[#This Row],[Hours Worked]]*表格3_5[[#This Row],[Hourly Rate]]</f>
        <v>0</v>
      </c>
    </row>
    <row r="161" spans="1:19">
      <c r="A161" s="201">
        <v>159</v>
      </c>
      <c r="B161" s="210" t="str">
        <f>_xlfn.CONCAT(表格3_5[[#This Row],[Name]],表格3_5[[#This Row],[Location]])</f>
        <v/>
      </c>
      <c r="C161" s="211" t="str">
        <f>表格3_5[[#This Row],[Location]] &amp; 表格3_5[[#This Row],[Date]] &amp;表格3_5[[#This Row],[Nick Name]]</f>
        <v>0</v>
      </c>
      <c r="D161" s="202"/>
      <c r="E161" s="211" t="str">
        <f>DAY(表格3_5[[#This Row],[Date]])&amp;""</f>
        <v>0</v>
      </c>
      <c r="F161" s="203"/>
      <c r="G161" s="216">
        <f>_xlfn.XLOOKUP(表格3_5[[#This Row],[Name]],Name_list[Full Name],Name_list[Nick Name])</f>
        <v>0</v>
      </c>
      <c r="H161" s="207"/>
      <c r="I161" s="228"/>
      <c r="J161" s="218"/>
      <c r="K161" s="205"/>
      <c r="L161" s="210">
        <f>(表格3_5[[#This Row],[Out-Time]] - 表格3_5[[#This Row],[In-Time]])*24</f>
        <v>0</v>
      </c>
      <c r="M161" s="210">
        <f>表格3_5[[#This Row],[ Hours]]-表格3_5[[#This Row],[Normal working
 hours]]</f>
        <v>0</v>
      </c>
      <c r="N161" s="205"/>
      <c r="O161" s="205"/>
      <c r="P161" s="210">
        <f>(表格3_5[[#This Row],[Out-Time2]] - 表格3_5[[#This Row],[In-Time2]])*24</f>
        <v>0</v>
      </c>
      <c r="Q161" s="205"/>
      <c r="R161" s="214">
        <f>_xlfn.XLOOKUP(表格3_5[[#This Row],[Name]],Name_list[Full Name],Name_list[Hourr Rate])</f>
        <v>0</v>
      </c>
      <c r="S161" s="210">
        <f>表格3_5[[#This Row],[Hours Worked]]*表格3_5[[#This Row],[Hourly Rate]]</f>
        <v>0</v>
      </c>
    </row>
    <row r="162" spans="1:19">
      <c r="A162" s="201">
        <v>160</v>
      </c>
      <c r="B162" s="210" t="str">
        <f>_xlfn.CONCAT(表格3_5[[#This Row],[Name]],表格3_5[[#This Row],[Location]])</f>
        <v/>
      </c>
      <c r="C162" s="211" t="str">
        <f>表格3_5[[#This Row],[Location]] &amp; 表格3_5[[#This Row],[Date]] &amp;表格3_5[[#This Row],[Nick Name]]</f>
        <v>0</v>
      </c>
      <c r="D162" s="202"/>
      <c r="E162" s="211" t="str">
        <f>DAY(表格3_5[[#This Row],[Date]])&amp;""</f>
        <v>0</v>
      </c>
      <c r="F162" s="203"/>
      <c r="G162" s="216">
        <f>_xlfn.XLOOKUP(表格3_5[[#This Row],[Name]],Name_list[Full Name],Name_list[Nick Name])</f>
        <v>0</v>
      </c>
      <c r="H162" s="207"/>
      <c r="I162" s="228"/>
      <c r="J162" s="218"/>
      <c r="K162" s="205"/>
      <c r="L162" s="210">
        <f>(表格3_5[[#This Row],[Out-Time]] - 表格3_5[[#This Row],[In-Time]])*24</f>
        <v>0</v>
      </c>
      <c r="M162" s="210">
        <f>表格3_5[[#This Row],[ Hours]]-表格3_5[[#This Row],[Normal working
 hours]]</f>
        <v>0</v>
      </c>
      <c r="N162" s="205"/>
      <c r="O162" s="205"/>
      <c r="P162" s="210">
        <f>(表格3_5[[#This Row],[Out-Time2]] - 表格3_5[[#This Row],[In-Time2]])*24</f>
        <v>0</v>
      </c>
      <c r="Q162" s="205"/>
      <c r="R162" s="214">
        <f>_xlfn.XLOOKUP(表格3_5[[#This Row],[Name]],Name_list[Full Name],Name_list[Hourr Rate])</f>
        <v>0</v>
      </c>
      <c r="S162" s="210">
        <f>表格3_5[[#This Row],[Hours Worked]]*表格3_5[[#This Row],[Hourly Rate]]</f>
        <v>0</v>
      </c>
    </row>
    <row r="163" spans="1:19">
      <c r="A163" s="201">
        <v>161</v>
      </c>
      <c r="B163" s="210" t="str">
        <f>_xlfn.CONCAT(表格3_5[[#This Row],[Name]],表格3_5[[#This Row],[Location]])</f>
        <v/>
      </c>
      <c r="C163" s="211" t="str">
        <f>表格3_5[[#This Row],[Location]] &amp; 表格3_5[[#This Row],[Date]] &amp;表格3_5[[#This Row],[Nick Name]]</f>
        <v>0</v>
      </c>
      <c r="D163" s="202"/>
      <c r="E163" s="211" t="str">
        <f>DAY(表格3_5[[#This Row],[Date]])&amp;""</f>
        <v>0</v>
      </c>
      <c r="F163" s="203"/>
      <c r="G163" s="216">
        <f>_xlfn.XLOOKUP(表格3_5[[#This Row],[Name]],Name_list[Full Name],Name_list[Nick Name])</f>
        <v>0</v>
      </c>
      <c r="H163" s="207"/>
      <c r="I163" s="228"/>
      <c r="J163" s="218"/>
      <c r="K163" s="205"/>
      <c r="L163" s="210">
        <f>(表格3_5[[#This Row],[Out-Time]] - 表格3_5[[#This Row],[In-Time]])*24</f>
        <v>0</v>
      </c>
      <c r="M163" s="210">
        <f>表格3_5[[#This Row],[ Hours]]-表格3_5[[#This Row],[Normal working
 hours]]</f>
        <v>0</v>
      </c>
      <c r="N163" s="205"/>
      <c r="O163" s="205"/>
      <c r="P163" s="210">
        <f>(表格3_5[[#This Row],[Out-Time2]] - 表格3_5[[#This Row],[In-Time2]])*24</f>
        <v>0</v>
      </c>
      <c r="Q163" s="205"/>
      <c r="R163" s="214">
        <f>_xlfn.XLOOKUP(表格3_5[[#This Row],[Name]],Name_list[Full Name],Name_list[Hourr Rate])</f>
        <v>0</v>
      </c>
      <c r="S163" s="210">
        <f>表格3_5[[#This Row],[Hours Worked]]*表格3_5[[#This Row],[Hourly Rate]]</f>
        <v>0</v>
      </c>
    </row>
    <row r="164" spans="1:19">
      <c r="A164" s="201">
        <v>162</v>
      </c>
      <c r="B164" s="210" t="str">
        <f>_xlfn.CONCAT(表格3_5[[#This Row],[Name]],表格3_5[[#This Row],[Location]])</f>
        <v/>
      </c>
      <c r="C164" s="211" t="str">
        <f>表格3_5[[#This Row],[Location]] &amp; 表格3_5[[#This Row],[Date]] &amp;表格3_5[[#This Row],[Nick Name]]</f>
        <v>0</v>
      </c>
      <c r="D164" s="202"/>
      <c r="E164" s="211" t="str">
        <f>DAY(表格3_5[[#This Row],[Date]])&amp;""</f>
        <v>0</v>
      </c>
      <c r="F164" s="203"/>
      <c r="G164" s="216">
        <f>_xlfn.XLOOKUP(表格3_5[[#This Row],[Name]],Name_list[Full Name],Name_list[Nick Name])</f>
        <v>0</v>
      </c>
      <c r="H164" s="207"/>
      <c r="I164" s="228"/>
      <c r="J164" s="218"/>
      <c r="K164" s="205"/>
      <c r="L164" s="210">
        <f>(表格3_5[[#This Row],[Out-Time]] - 表格3_5[[#This Row],[In-Time]])*24</f>
        <v>0</v>
      </c>
      <c r="M164" s="210">
        <f>表格3_5[[#This Row],[ Hours]]-表格3_5[[#This Row],[Normal working
 hours]]</f>
        <v>0</v>
      </c>
      <c r="N164" s="205"/>
      <c r="O164" s="205"/>
      <c r="P164" s="210">
        <f>(表格3_5[[#This Row],[Out-Time2]] - 表格3_5[[#This Row],[In-Time2]])*24</f>
        <v>0</v>
      </c>
      <c r="Q164" s="205"/>
      <c r="R164" s="214">
        <f>_xlfn.XLOOKUP(表格3_5[[#This Row],[Name]],Name_list[Full Name],Name_list[Hourr Rate])</f>
        <v>0</v>
      </c>
      <c r="S164" s="210">
        <f>表格3_5[[#This Row],[Hours Worked]]*表格3_5[[#This Row],[Hourly Rate]]</f>
        <v>0</v>
      </c>
    </row>
    <row r="165" spans="1:19">
      <c r="A165" s="201">
        <v>163</v>
      </c>
      <c r="B165" s="210" t="str">
        <f>_xlfn.CONCAT(表格3_5[[#This Row],[Name]],表格3_5[[#This Row],[Location]])</f>
        <v/>
      </c>
      <c r="C165" s="211" t="str">
        <f>表格3_5[[#This Row],[Location]] &amp; 表格3_5[[#This Row],[Date]] &amp;表格3_5[[#This Row],[Nick Name]]</f>
        <v>0</v>
      </c>
      <c r="D165" s="202"/>
      <c r="E165" s="211" t="str">
        <f>DAY(表格3_5[[#This Row],[Date]])&amp;""</f>
        <v>0</v>
      </c>
      <c r="F165" s="203"/>
      <c r="G165" s="216">
        <f>_xlfn.XLOOKUP(表格3_5[[#This Row],[Name]],Name_list[Full Name],Name_list[Nick Name])</f>
        <v>0</v>
      </c>
      <c r="H165" s="207"/>
      <c r="I165" s="228"/>
      <c r="J165" s="218"/>
      <c r="K165" s="205"/>
      <c r="L165" s="210">
        <f>(表格3_5[[#This Row],[Out-Time]] - 表格3_5[[#This Row],[In-Time]])*24</f>
        <v>0</v>
      </c>
      <c r="M165" s="210">
        <f>表格3_5[[#This Row],[ Hours]]-表格3_5[[#This Row],[Normal working
 hours]]</f>
        <v>0</v>
      </c>
      <c r="N165" s="205"/>
      <c r="O165" s="205"/>
      <c r="P165" s="210">
        <f>(表格3_5[[#This Row],[Out-Time2]] - 表格3_5[[#This Row],[In-Time2]])*24</f>
        <v>0</v>
      </c>
      <c r="Q165" s="205"/>
      <c r="R165" s="214">
        <f>_xlfn.XLOOKUP(表格3_5[[#This Row],[Name]],Name_list[Full Name],Name_list[Hourr Rate])</f>
        <v>0</v>
      </c>
      <c r="S165" s="210">
        <f>表格3_5[[#This Row],[Hours Worked]]*表格3_5[[#This Row],[Hourly Rate]]</f>
        <v>0</v>
      </c>
    </row>
    <row r="166" spans="1:19">
      <c r="A166" s="201">
        <v>164</v>
      </c>
      <c r="B166" s="210" t="str">
        <f>_xlfn.CONCAT(表格3_5[[#This Row],[Name]],表格3_5[[#This Row],[Location]])</f>
        <v/>
      </c>
      <c r="C166" s="211" t="str">
        <f>表格3_5[[#This Row],[Location]] &amp; 表格3_5[[#This Row],[Date]] &amp;表格3_5[[#This Row],[Nick Name]]</f>
        <v>0</v>
      </c>
      <c r="D166" s="202"/>
      <c r="E166" s="211" t="str">
        <f>DAY(表格3_5[[#This Row],[Date]])&amp;""</f>
        <v>0</v>
      </c>
      <c r="F166" s="203"/>
      <c r="G166" s="216">
        <f>_xlfn.XLOOKUP(表格3_5[[#This Row],[Name]],Name_list[Full Name],Name_list[Nick Name])</f>
        <v>0</v>
      </c>
      <c r="H166" s="207"/>
      <c r="I166" s="228"/>
      <c r="J166" s="218"/>
      <c r="K166" s="205"/>
      <c r="L166" s="210">
        <f>(表格3_5[[#This Row],[Out-Time]] - 表格3_5[[#This Row],[In-Time]])*24</f>
        <v>0</v>
      </c>
      <c r="M166" s="210">
        <f>表格3_5[[#This Row],[ Hours]]-表格3_5[[#This Row],[Normal working
 hours]]</f>
        <v>0</v>
      </c>
      <c r="N166" s="205"/>
      <c r="O166" s="205"/>
      <c r="P166" s="210">
        <f>(表格3_5[[#This Row],[Out-Time2]] - 表格3_5[[#This Row],[In-Time2]])*24</f>
        <v>0</v>
      </c>
      <c r="Q166" s="205"/>
      <c r="R166" s="214">
        <f>_xlfn.XLOOKUP(表格3_5[[#This Row],[Name]],Name_list[Full Name],Name_list[Hourr Rate])</f>
        <v>0</v>
      </c>
      <c r="S166" s="210">
        <f>表格3_5[[#This Row],[Hours Worked]]*表格3_5[[#This Row],[Hourly Rate]]</f>
        <v>0</v>
      </c>
    </row>
    <row r="167" spans="1:19">
      <c r="A167" s="201">
        <v>165</v>
      </c>
      <c r="B167" s="210" t="str">
        <f>_xlfn.CONCAT(表格3_5[[#This Row],[Name]],表格3_5[[#This Row],[Location]])</f>
        <v/>
      </c>
      <c r="C167" s="211" t="str">
        <f>表格3_5[[#This Row],[Location]] &amp; 表格3_5[[#This Row],[Date]] &amp;表格3_5[[#This Row],[Nick Name]]</f>
        <v>0</v>
      </c>
      <c r="D167" s="202"/>
      <c r="E167" s="211" t="str">
        <f>DAY(表格3_5[[#This Row],[Date]])&amp;""</f>
        <v>0</v>
      </c>
      <c r="F167" s="203"/>
      <c r="G167" s="216">
        <f>_xlfn.XLOOKUP(表格3_5[[#This Row],[Name]],Name_list[Full Name],Name_list[Nick Name])</f>
        <v>0</v>
      </c>
      <c r="H167" s="207"/>
      <c r="I167" s="228"/>
      <c r="J167" s="218"/>
      <c r="K167" s="205"/>
      <c r="L167" s="210">
        <f>(表格3_5[[#This Row],[Out-Time]] - 表格3_5[[#This Row],[In-Time]])*24</f>
        <v>0</v>
      </c>
      <c r="M167" s="210">
        <f>表格3_5[[#This Row],[ Hours]]-表格3_5[[#This Row],[Normal working
 hours]]</f>
        <v>0</v>
      </c>
      <c r="N167" s="205"/>
      <c r="O167" s="205"/>
      <c r="P167" s="210">
        <f>(表格3_5[[#This Row],[Out-Time2]] - 表格3_5[[#This Row],[In-Time2]])*24</f>
        <v>0</v>
      </c>
      <c r="Q167" s="205"/>
      <c r="R167" s="214">
        <f>_xlfn.XLOOKUP(表格3_5[[#This Row],[Name]],Name_list[Full Name],Name_list[Hourr Rate])</f>
        <v>0</v>
      </c>
      <c r="S167" s="210">
        <f>表格3_5[[#This Row],[Hours Worked]]*表格3_5[[#This Row],[Hourly Rate]]</f>
        <v>0</v>
      </c>
    </row>
    <row r="168" spans="1:19">
      <c r="A168" s="201">
        <v>166</v>
      </c>
      <c r="B168" s="210" t="str">
        <f>_xlfn.CONCAT(表格3_5[[#This Row],[Name]],表格3_5[[#This Row],[Location]])</f>
        <v/>
      </c>
      <c r="C168" s="211" t="str">
        <f>表格3_5[[#This Row],[Location]] &amp; 表格3_5[[#This Row],[Date]] &amp;表格3_5[[#This Row],[Nick Name]]</f>
        <v>0</v>
      </c>
      <c r="D168" s="202"/>
      <c r="E168" s="211" t="str">
        <f>DAY(表格3_5[[#This Row],[Date]])&amp;""</f>
        <v>0</v>
      </c>
      <c r="F168" s="203"/>
      <c r="G168" s="216">
        <f>_xlfn.XLOOKUP(表格3_5[[#This Row],[Name]],Name_list[Full Name],Name_list[Nick Name])</f>
        <v>0</v>
      </c>
      <c r="H168" s="207"/>
      <c r="I168" s="228"/>
      <c r="J168" s="218"/>
      <c r="K168" s="205"/>
      <c r="L168" s="210">
        <f>(表格3_5[[#This Row],[Out-Time]] - 表格3_5[[#This Row],[In-Time]])*24</f>
        <v>0</v>
      </c>
      <c r="M168" s="210">
        <f>表格3_5[[#This Row],[ Hours]]-表格3_5[[#This Row],[Normal working
 hours]]</f>
        <v>0</v>
      </c>
      <c r="N168" s="205"/>
      <c r="O168" s="205"/>
      <c r="P168" s="210">
        <f>(表格3_5[[#This Row],[Out-Time2]] - 表格3_5[[#This Row],[In-Time2]])*24</f>
        <v>0</v>
      </c>
      <c r="Q168" s="205"/>
      <c r="R168" s="214">
        <f>_xlfn.XLOOKUP(表格3_5[[#This Row],[Name]],Name_list[Full Name],Name_list[Hourr Rate])</f>
        <v>0</v>
      </c>
      <c r="S168" s="210">
        <f>表格3_5[[#This Row],[Hours Worked]]*表格3_5[[#This Row],[Hourly Rate]]</f>
        <v>0</v>
      </c>
    </row>
    <row r="169" spans="1:19">
      <c r="A169" s="201">
        <v>167</v>
      </c>
      <c r="B169" s="210" t="str">
        <f>_xlfn.CONCAT(表格3_5[[#This Row],[Name]],表格3_5[[#This Row],[Location]])</f>
        <v/>
      </c>
      <c r="C169" s="211" t="str">
        <f>表格3_5[[#This Row],[Location]] &amp; 表格3_5[[#This Row],[Date]] &amp;表格3_5[[#This Row],[Nick Name]]</f>
        <v>0</v>
      </c>
      <c r="D169" s="202"/>
      <c r="E169" s="211" t="str">
        <f>DAY(表格3_5[[#This Row],[Date]])&amp;""</f>
        <v>0</v>
      </c>
      <c r="F169" s="203"/>
      <c r="G169" s="216">
        <f>_xlfn.XLOOKUP(表格3_5[[#This Row],[Name]],Name_list[Full Name],Name_list[Nick Name])</f>
        <v>0</v>
      </c>
      <c r="H169" s="207"/>
      <c r="I169" s="228"/>
      <c r="J169" s="218"/>
      <c r="K169" s="205"/>
      <c r="L169" s="210">
        <f>(表格3_5[[#This Row],[Out-Time]] - 表格3_5[[#This Row],[In-Time]])*24</f>
        <v>0</v>
      </c>
      <c r="M169" s="210">
        <f>表格3_5[[#This Row],[ Hours]]-表格3_5[[#This Row],[Normal working
 hours]]</f>
        <v>0</v>
      </c>
      <c r="N169" s="205"/>
      <c r="O169" s="205"/>
      <c r="P169" s="210">
        <f>(表格3_5[[#This Row],[Out-Time2]] - 表格3_5[[#This Row],[In-Time2]])*24</f>
        <v>0</v>
      </c>
      <c r="Q169" s="205"/>
      <c r="R169" s="214">
        <f>_xlfn.XLOOKUP(表格3_5[[#This Row],[Name]],Name_list[Full Name],Name_list[Hourr Rate])</f>
        <v>0</v>
      </c>
      <c r="S169" s="210">
        <f>表格3_5[[#This Row],[Hours Worked]]*表格3_5[[#This Row],[Hourly Rate]]</f>
        <v>0</v>
      </c>
    </row>
    <row r="170" spans="1:19">
      <c r="A170" s="201">
        <v>168</v>
      </c>
      <c r="B170" s="210" t="str">
        <f>_xlfn.CONCAT(表格3_5[[#This Row],[Name]],表格3_5[[#This Row],[Location]])</f>
        <v/>
      </c>
      <c r="C170" s="211" t="str">
        <f>表格3_5[[#This Row],[Location]] &amp; 表格3_5[[#This Row],[Date]] &amp;表格3_5[[#This Row],[Nick Name]]</f>
        <v>0</v>
      </c>
      <c r="D170" s="202"/>
      <c r="E170" s="211" t="str">
        <f>DAY(表格3_5[[#This Row],[Date]])&amp;""</f>
        <v>0</v>
      </c>
      <c r="F170" s="203"/>
      <c r="G170" s="216">
        <f>_xlfn.XLOOKUP(表格3_5[[#This Row],[Name]],Name_list[Full Name],Name_list[Nick Name])</f>
        <v>0</v>
      </c>
      <c r="H170" s="207"/>
      <c r="I170" s="228"/>
      <c r="J170" s="218"/>
      <c r="K170" s="205"/>
      <c r="L170" s="210">
        <f>(表格3_5[[#This Row],[Out-Time]] - 表格3_5[[#This Row],[In-Time]])*24</f>
        <v>0</v>
      </c>
      <c r="M170" s="210">
        <f>表格3_5[[#This Row],[ Hours]]-表格3_5[[#This Row],[Normal working
 hours]]</f>
        <v>0</v>
      </c>
      <c r="N170" s="205"/>
      <c r="O170" s="205"/>
      <c r="P170" s="210">
        <f>(表格3_5[[#This Row],[Out-Time2]] - 表格3_5[[#This Row],[In-Time2]])*24</f>
        <v>0</v>
      </c>
      <c r="Q170" s="205"/>
      <c r="R170" s="214">
        <f>_xlfn.XLOOKUP(表格3_5[[#This Row],[Name]],Name_list[Full Name],Name_list[Hourr Rate])</f>
        <v>0</v>
      </c>
      <c r="S170" s="210">
        <f>表格3_5[[#This Row],[Hours Worked]]*表格3_5[[#This Row],[Hourly Rate]]</f>
        <v>0</v>
      </c>
    </row>
    <row r="171" spans="1:19">
      <c r="A171" s="201">
        <v>169</v>
      </c>
      <c r="B171" s="210" t="str">
        <f>_xlfn.CONCAT(表格3_5[[#This Row],[Name]],表格3_5[[#This Row],[Location]])</f>
        <v/>
      </c>
      <c r="C171" s="211" t="str">
        <f>表格3_5[[#This Row],[Location]] &amp; 表格3_5[[#This Row],[Date]] &amp;表格3_5[[#This Row],[Nick Name]]</f>
        <v>0</v>
      </c>
      <c r="D171" s="202"/>
      <c r="E171" s="211" t="str">
        <f>DAY(表格3_5[[#This Row],[Date]])&amp;""</f>
        <v>0</v>
      </c>
      <c r="F171" s="203"/>
      <c r="G171" s="216">
        <f>_xlfn.XLOOKUP(表格3_5[[#This Row],[Name]],Name_list[Full Name],Name_list[Nick Name])</f>
        <v>0</v>
      </c>
      <c r="H171" s="207"/>
      <c r="I171" s="228"/>
      <c r="J171" s="218"/>
      <c r="K171" s="205"/>
      <c r="L171" s="210">
        <f>(表格3_5[[#This Row],[Out-Time]] - 表格3_5[[#This Row],[In-Time]])*24</f>
        <v>0</v>
      </c>
      <c r="M171" s="210">
        <f>表格3_5[[#This Row],[ Hours]]-表格3_5[[#This Row],[Normal working
 hours]]</f>
        <v>0</v>
      </c>
      <c r="N171" s="205"/>
      <c r="O171" s="205"/>
      <c r="P171" s="210">
        <f>(表格3_5[[#This Row],[Out-Time2]] - 表格3_5[[#This Row],[In-Time2]])*24</f>
        <v>0</v>
      </c>
      <c r="Q171" s="205"/>
      <c r="R171" s="214">
        <f>_xlfn.XLOOKUP(表格3_5[[#This Row],[Name]],Name_list[Full Name],Name_list[Hourr Rate])</f>
        <v>0</v>
      </c>
      <c r="S171" s="210">
        <f>表格3_5[[#This Row],[Hours Worked]]*表格3_5[[#This Row],[Hourly Rate]]</f>
        <v>0</v>
      </c>
    </row>
    <row r="172" spans="1:19">
      <c r="A172" s="201">
        <v>170</v>
      </c>
      <c r="B172" s="210" t="str">
        <f>_xlfn.CONCAT(表格3_5[[#This Row],[Name]],表格3_5[[#This Row],[Location]])</f>
        <v/>
      </c>
      <c r="C172" s="211" t="str">
        <f>表格3_5[[#This Row],[Location]] &amp; 表格3_5[[#This Row],[Date]] &amp;表格3_5[[#This Row],[Nick Name]]</f>
        <v>0</v>
      </c>
      <c r="D172" s="202"/>
      <c r="E172" s="211" t="str">
        <f>DAY(表格3_5[[#This Row],[Date]])&amp;""</f>
        <v>0</v>
      </c>
      <c r="F172" s="203"/>
      <c r="G172" s="216">
        <f>_xlfn.XLOOKUP(表格3_5[[#This Row],[Name]],Name_list[Full Name],Name_list[Nick Name])</f>
        <v>0</v>
      </c>
      <c r="H172" s="207"/>
      <c r="I172" s="228"/>
      <c r="J172" s="218"/>
      <c r="K172" s="205"/>
      <c r="L172" s="210">
        <f>(表格3_5[[#This Row],[Out-Time]] - 表格3_5[[#This Row],[In-Time]])*24</f>
        <v>0</v>
      </c>
      <c r="M172" s="210">
        <f>表格3_5[[#This Row],[ Hours]]-表格3_5[[#This Row],[Normal working
 hours]]</f>
        <v>0</v>
      </c>
      <c r="N172" s="205"/>
      <c r="O172" s="205"/>
      <c r="P172" s="210">
        <f>(表格3_5[[#This Row],[Out-Time2]] - 表格3_5[[#This Row],[In-Time2]])*24</f>
        <v>0</v>
      </c>
      <c r="Q172" s="205"/>
      <c r="R172" s="214">
        <f>_xlfn.XLOOKUP(表格3_5[[#This Row],[Name]],Name_list[Full Name],Name_list[Hourr Rate])</f>
        <v>0</v>
      </c>
      <c r="S172" s="210">
        <f>表格3_5[[#This Row],[Hours Worked]]*表格3_5[[#This Row],[Hourly Rate]]</f>
        <v>0</v>
      </c>
    </row>
    <row r="173" spans="1:19">
      <c r="A173" s="201">
        <v>171</v>
      </c>
      <c r="B173" s="210" t="str">
        <f>_xlfn.CONCAT(表格3_5[[#This Row],[Name]],表格3_5[[#This Row],[Location]])</f>
        <v/>
      </c>
      <c r="C173" s="211" t="str">
        <f>表格3_5[[#This Row],[Location]] &amp; 表格3_5[[#This Row],[Date]] &amp;表格3_5[[#This Row],[Nick Name]]</f>
        <v>0</v>
      </c>
      <c r="D173" s="202"/>
      <c r="E173" s="211" t="str">
        <f>DAY(表格3_5[[#This Row],[Date]])&amp;""</f>
        <v>0</v>
      </c>
      <c r="F173" s="203"/>
      <c r="G173" s="216">
        <f>_xlfn.XLOOKUP(表格3_5[[#This Row],[Name]],Name_list[Full Name],Name_list[Nick Name])</f>
        <v>0</v>
      </c>
      <c r="H173" s="207"/>
      <c r="I173" s="228"/>
      <c r="J173" s="218"/>
      <c r="K173" s="205"/>
      <c r="L173" s="210">
        <f>(表格3_5[[#This Row],[Out-Time]] - 表格3_5[[#This Row],[In-Time]])*24</f>
        <v>0</v>
      </c>
      <c r="M173" s="210">
        <f>表格3_5[[#This Row],[ Hours]]-表格3_5[[#This Row],[Normal working
 hours]]</f>
        <v>0</v>
      </c>
      <c r="N173" s="205"/>
      <c r="O173" s="205"/>
      <c r="P173" s="210">
        <f>(表格3_5[[#This Row],[Out-Time2]] - 表格3_5[[#This Row],[In-Time2]])*24</f>
        <v>0</v>
      </c>
      <c r="Q173" s="205"/>
      <c r="R173" s="214">
        <f>_xlfn.XLOOKUP(表格3_5[[#This Row],[Name]],Name_list[Full Name],Name_list[Hourr Rate])</f>
        <v>0</v>
      </c>
      <c r="S173" s="210">
        <f>表格3_5[[#This Row],[Hours Worked]]*表格3_5[[#This Row],[Hourly Rate]]</f>
        <v>0</v>
      </c>
    </row>
    <row r="174" spans="1:19">
      <c r="A174" s="201">
        <v>172</v>
      </c>
      <c r="B174" s="210" t="str">
        <f>_xlfn.CONCAT(表格3_5[[#This Row],[Name]],表格3_5[[#This Row],[Location]])</f>
        <v/>
      </c>
      <c r="C174" s="211" t="str">
        <f>表格3_5[[#This Row],[Location]] &amp; 表格3_5[[#This Row],[Date]] &amp;表格3_5[[#This Row],[Nick Name]]</f>
        <v>0</v>
      </c>
      <c r="D174" s="202"/>
      <c r="E174" s="211" t="str">
        <f>DAY(表格3_5[[#This Row],[Date]])&amp;""</f>
        <v>0</v>
      </c>
      <c r="F174" s="203"/>
      <c r="G174" s="216">
        <f>_xlfn.XLOOKUP(表格3_5[[#This Row],[Name]],Name_list[Full Name],Name_list[Nick Name])</f>
        <v>0</v>
      </c>
      <c r="H174" s="207"/>
      <c r="I174" s="228"/>
      <c r="J174" s="218"/>
      <c r="K174" s="205"/>
      <c r="L174" s="210">
        <f>(表格3_5[[#This Row],[Out-Time]] - 表格3_5[[#This Row],[In-Time]])*24</f>
        <v>0</v>
      </c>
      <c r="M174" s="210">
        <f>表格3_5[[#This Row],[ Hours]]-表格3_5[[#This Row],[Normal working
 hours]]</f>
        <v>0</v>
      </c>
      <c r="N174" s="205"/>
      <c r="O174" s="205"/>
      <c r="P174" s="210">
        <f>(表格3_5[[#This Row],[Out-Time2]] - 表格3_5[[#This Row],[In-Time2]])*24</f>
        <v>0</v>
      </c>
      <c r="Q174" s="205"/>
      <c r="R174" s="214">
        <f>_xlfn.XLOOKUP(表格3_5[[#This Row],[Name]],Name_list[Full Name],Name_list[Hourr Rate])</f>
        <v>0</v>
      </c>
      <c r="S174" s="210">
        <f>表格3_5[[#This Row],[Hours Worked]]*表格3_5[[#This Row],[Hourly Rate]]</f>
        <v>0</v>
      </c>
    </row>
    <row r="175" spans="1:19">
      <c r="A175" s="201">
        <v>173</v>
      </c>
      <c r="B175" s="210" t="str">
        <f>_xlfn.CONCAT(表格3_5[[#This Row],[Name]],表格3_5[[#This Row],[Location]])</f>
        <v/>
      </c>
      <c r="C175" s="211" t="str">
        <f>表格3_5[[#This Row],[Location]] &amp; 表格3_5[[#This Row],[Date]] &amp;表格3_5[[#This Row],[Nick Name]]</f>
        <v>0</v>
      </c>
      <c r="D175" s="202"/>
      <c r="E175" s="211" t="str">
        <f>DAY(表格3_5[[#This Row],[Date]])&amp;""</f>
        <v>0</v>
      </c>
      <c r="F175" s="203"/>
      <c r="G175" s="216">
        <f>_xlfn.XLOOKUP(表格3_5[[#This Row],[Name]],Name_list[Full Name],Name_list[Nick Name])</f>
        <v>0</v>
      </c>
      <c r="H175" s="207"/>
      <c r="I175" s="228"/>
      <c r="J175" s="218"/>
      <c r="K175" s="205"/>
      <c r="L175" s="210">
        <f>(表格3_5[[#This Row],[Out-Time]] - 表格3_5[[#This Row],[In-Time]])*24</f>
        <v>0</v>
      </c>
      <c r="M175" s="210">
        <f>表格3_5[[#This Row],[ Hours]]-表格3_5[[#This Row],[Normal working
 hours]]</f>
        <v>0</v>
      </c>
      <c r="N175" s="205"/>
      <c r="O175" s="205"/>
      <c r="P175" s="210">
        <f>(表格3_5[[#This Row],[Out-Time2]] - 表格3_5[[#This Row],[In-Time2]])*24</f>
        <v>0</v>
      </c>
      <c r="Q175" s="205"/>
      <c r="R175" s="214">
        <f>_xlfn.XLOOKUP(表格3_5[[#This Row],[Name]],Name_list[Full Name],Name_list[Hourr Rate])</f>
        <v>0</v>
      </c>
      <c r="S175" s="210">
        <f>表格3_5[[#This Row],[Hours Worked]]*表格3_5[[#This Row],[Hourly Rate]]</f>
        <v>0</v>
      </c>
    </row>
    <row r="176" spans="1:19">
      <c r="A176" s="201">
        <v>174</v>
      </c>
      <c r="B176" s="210" t="str">
        <f>_xlfn.CONCAT(表格3_5[[#This Row],[Name]],表格3_5[[#This Row],[Location]])</f>
        <v/>
      </c>
      <c r="C176" s="211" t="str">
        <f>表格3_5[[#This Row],[Location]] &amp; 表格3_5[[#This Row],[Date]] &amp;表格3_5[[#This Row],[Nick Name]]</f>
        <v>0</v>
      </c>
      <c r="D176" s="202"/>
      <c r="E176" s="211" t="str">
        <f>DAY(表格3_5[[#This Row],[Date]])&amp;""</f>
        <v>0</v>
      </c>
      <c r="F176" s="203"/>
      <c r="G176" s="216">
        <f>_xlfn.XLOOKUP(表格3_5[[#This Row],[Name]],Name_list[Full Name],Name_list[Nick Name])</f>
        <v>0</v>
      </c>
      <c r="H176" s="207"/>
      <c r="I176" s="228"/>
      <c r="J176" s="218"/>
      <c r="K176" s="205"/>
      <c r="L176" s="210">
        <f>(表格3_5[[#This Row],[Out-Time]] - 表格3_5[[#This Row],[In-Time]])*24</f>
        <v>0</v>
      </c>
      <c r="M176" s="210">
        <f>表格3_5[[#This Row],[ Hours]]-表格3_5[[#This Row],[Normal working
 hours]]</f>
        <v>0</v>
      </c>
      <c r="N176" s="205"/>
      <c r="O176" s="205"/>
      <c r="P176" s="210">
        <f>(表格3_5[[#This Row],[Out-Time2]] - 表格3_5[[#This Row],[In-Time2]])*24</f>
        <v>0</v>
      </c>
      <c r="Q176" s="205"/>
      <c r="R176" s="214">
        <f>_xlfn.XLOOKUP(表格3_5[[#This Row],[Name]],Name_list[Full Name],Name_list[Hourr Rate])</f>
        <v>0</v>
      </c>
      <c r="S176" s="210">
        <f>表格3_5[[#This Row],[Hours Worked]]*表格3_5[[#This Row],[Hourly Rate]]</f>
        <v>0</v>
      </c>
    </row>
    <row r="177" spans="1:19">
      <c r="A177" s="201">
        <v>175</v>
      </c>
      <c r="B177" s="210" t="str">
        <f>_xlfn.CONCAT(表格3_5[[#This Row],[Name]],表格3_5[[#This Row],[Location]])</f>
        <v/>
      </c>
      <c r="C177" s="211" t="str">
        <f>表格3_5[[#This Row],[Location]] &amp; 表格3_5[[#This Row],[Date]] &amp;表格3_5[[#This Row],[Nick Name]]</f>
        <v>0</v>
      </c>
      <c r="D177" s="202"/>
      <c r="E177" s="211" t="str">
        <f>DAY(表格3_5[[#This Row],[Date]])&amp;""</f>
        <v>0</v>
      </c>
      <c r="F177" s="203"/>
      <c r="G177" s="216">
        <f>_xlfn.XLOOKUP(表格3_5[[#This Row],[Name]],Name_list[Full Name],Name_list[Nick Name])</f>
        <v>0</v>
      </c>
      <c r="H177" s="207"/>
      <c r="I177" s="228"/>
      <c r="J177" s="218"/>
      <c r="K177" s="205"/>
      <c r="L177" s="210">
        <f>(表格3_5[[#This Row],[Out-Time]] - 表格3_5[[#This Row],[In-Time]])*24</f>
        <v>0</v>
      </c>
      <c r="M177" s="210">
        <f>表格3_5[[#This Row],[ Hours]]-表格3_5[[#This Row],[Normal working
 hours]]</f>
        <v>0</v>
      </c>
      <c r="N177" s="205"/>
      <c r="O177" s="205"/>
      <c r="P177" s="210">
        <f>(表格3_5[[#This Row],[Out-Time2]] - 表格3_5[[#This Row],[In-Time2]])*24</f>
        <v>0</v>
      </c>
      <c r="Q177" s="205"/>
      <c r="R177" s="214">
        <f>_xlfn.XLOOKUP(表格3_5[[#This Row],[Name]],Name_list[Full Name],Name_list[Hourr Rate])</f>
        <v>0</v>
      </c>
      <c r="S177" s="210">
        <f>表格3_5[[#This Row],[Hours Worked]]*表格3_5[[#This Row],[Hourly Rate]]</f>
        <v>0</v>
      </c>
    </row>
    <row r="178" spans="1:19">
      <c r="A178" s="201">
        <v>176</v>
      </c>
      <c r="B178" s="210" t="str">
        <f>_xlfn.CONCAT(表格3_5[[#This Row],[Name]],表格3_5[[#This Row],[Location]])</f>
        <v/>
      </c>
      <c r="C178" s="211" t="str">
        <f>表格3_5[[#This Row],[Location]] &amp; 表格3_5[[#This Row],[Date]] &amp;表格3_5[[#This Row],[Nick Name]]</f>
        <v>0</v>
      </c>
      <c r="D178" s="202"/>
      <c r="E178" s="211" t="str">
        <f>DAY(表格3_5[[#This Row],[Date]])&amp;""</f>
        <v>0</v>
      </c>
      <c r="F178" s="203"/>
      <c r="G178" s="216">
        <f>_xlfn.XLOOKUP(表格3_5[[#This Row],[Name]],Name_list[Full Name],Name_list[Nick Name])</f>
        <v>0</v>
      </c>
      <c r="H178" s="207"/>
      <c r="I178" s="228"/>
      <c r="J178" s="218"/>
      <c r="K178" s="205"/>
      <c r="L178" s="210">
        <f>(表格3_5[[#This Row],[Out-Time]] - 表格3_5[[#This Row],[In-Time]])*24</f>
        <v>0</v>
      </c>
      <c r="M178" s="210">
        <f>表格3_5[[#This Row],[ Hours]]-表格3_5[[#This Row],[Normal working
 hours]]</f>
        <v>0</v>
      </c>
      <c r="N178" s="205"/>
      <c r="O178" s="205"/>
      <c r="P178" s="210">
        <f>(表格3_5[[#This Row],[Out-Time2]] - 表格3_5[[#This Row],[In-Time2]])*24</f>
        <v>0</v>
      </c>
      <c r="Q178" s="205"/>
      <c r="R178" s="214">
        <f>_xlfn.XLOOKUP(表格3_5[[#This Row],[Name]],Name_list[Full Name],Name_list[Hourr Rate])</f>
        <v>0</v>
      </c>
      <c r="S178" s="210">
        <f>表格3_5[[#This Row],[Hours Worked]]*表格3_5[[#This Row],[Hourly Rate]]</f>
        <v>0</v>
      </c>
    </row>
    <row r="179" spans="1:19">
      <c r="A179" s="201">
        <v>177</v>
      </c>
      <c r="B179" s="210" t="str">
        <f>_xlfn.CONCAT(表格3_5[[#This Row],[Name]],表格3_5[[#This Row],[Location]])</f>
        <v/>
      </c>
      <c r="C179" s="211" t="str">
        <f>表格3_5[[#This Row],[Location]] &amp; 表格3_5[[#This Row],[Date]] &amp;表格3_5[[#This Row],[Nick Name]]</f>
        <v>0</v>
      </c>
      <c r="D179" s="202"/>
      <c r="E179" s="211" t="str">
        <f>DAY(表格3_5[[#This Row],[Date]])&amp;""</f>
        <v>0</v>
      </c>
      <c r="F179" s="203"/>
      <c r="G179" s="216">
        <f>_xlfn.XLOOKUP(表格3_5[[#This Row],[Name]],Name_list[Full Name],Name_list[Nick Name])</f>
        <v>0</v>
      </c>
      <c r="H179" s="207"/>
      <c r="I179" s="228"/>
      <c r="J179" s="218"/>
      <c r="K179" s="205"/>
      <c r="L179" s="210">
        <f>(表格3_5[[#This Row],[Out-Time]] - 表格3_5[[#This Row],[In-Time]])*24</f>
        <v>0</v>
      </c>
      <c r="M179" s="210">
        <f>表格3_5[[#This Row],[ Hours]]-表格3_5[[#This Row],[Normal working
 hours]]</f>
        <v>0</v>
      </c>
      <c r="N179" s="205"/>
      <c r="O179" s="205"/>
      <c r="P179" s="210">
        <f>(表格3_5[[#This Row],[Out-Time2]] - 表格3_5[[#This Row],[In-Time2]])*24</f>
        <v>0</v>
      </c>
      <c r="Q179" s="205"/>
      <c r="R179" s="214">
        <f>_xlfn.XLOOKUP(表格3_5[[#This Row],[Name]],Name_list[Full Name],Name_list[Hourr Rate])</f>
        <v>0</v>
      </c>
      <c r="S179" s="210">
        <f>表格3_5[[#This Row],[Hours Worked]]*表格3_5[[#This Row],[Hourly Rate]]</f>
        <v>0</v>
      </c>
    </row>
    <row r="180" spans="1:19">
      <c r="A180" s="201">
        <v>178</v>
      </c>
      <c r="B180" s="210" t="str">
        <f>_xlfn.CONCAT(表格3_5[[#This Row],[Name]],表格3_5[[#This Row],[Location]])</f>
        <v/>
      </c>
      <c r="C180" s="211" t="str">
        <f>表格3_5[[#This Row],[Location]] &amp; 表格3_5[[#This Row],[Date]] &amp;表格3_5[[#This Row],[Nick Name]]</f>
        <v>0</v>
      </c>
      <c r="D180" s="202"/>
      <c r="E180" s="211" t="str">
        <f>DAY(表格3_5[[#This Row],[Date]])&amp;""</f>
        <v>0</v>
      </c>
      <c r="F180" s="203"/>
      <c r="G180" s="216">
        <f>_xlfn.XLOOKUP(表格3_5[[#This Row],[Name]],Name_list[Full Name],Name_list[Nick Name])</f>
        <v>0</v>
      </c>
      <c r="H180" s="207"/>
      <c r="I180" s="228"/>
      <c r="J180" s="218"/>
      <c r="K180" s="205"/>
      <c r="L180" s="210">
        <f>(表格3_5[[#This Row],[Out-Time]] - 表格3_5[[#This Row],[In-Time]])*24</f>
        <v>0</v>
      </c>
      <c r="M180" s="210">
        <f>表格3_5[[#This Row],[ Hours]]-表格3_5[[#This Row],[Normal working
 hours]]</f>
        <v>0</v>
      </c>
      <c r="N180" s="205"/>
      <c r="O180" s="205"/>
      <c r="P180" s="210">
        <f>(表格3_5[[#This Row],[Out-Time2]] - 表格3_5[[#This Row],[In-Time2]])*24</f>
        <v>0</v>
      </c>
      <c r="Q180" s="205"/>
      <c r="R180" s="214">
        <f>_xlfn.XLOOKUP(表格3_5[[#This Row],[Name]],Name_list[Full Name],Name_list[Hourr Rate])</f>
        <v>0</v>
      </c>
      <c r="S180" s="210">
        <f>表格3_5[[#This Row],[Hours Worked]]*表格3_5[[#This Row],[Hourly Rate]]</f>
        <v>0</v>
      </c>
    </row>
    <row r="181" spans="1:19">
      <c r="A181" s="201">
        <v>179</v>
      </c>
      <c r="B181" s="210" t="str">
        <f>_xlfn.CONCAT(表格3_5[[#This Row],[Name]],表格3_5[[#This Row],[Location]])</f>
        <v/>
      </c>
      <c r="C181" s="211" t="str">
        <f>表格3_5[[#This Row],[Location]] &amp; 表格3_5[[#This Row],[Date]] &amp;表格3_5[[#This Row],[Nick Name]]</f>
        <v>0</v>
      </c>
      <c r="D181" s="202"/>
      <c r="E181" s="211" t="str">
        <f>DAY(表格3_5[[#This Row],[Date]])&amp;""</f>
        <v>0</v>
      </c>
      <c r="F181" s="203"/>
      <c r="G181" s="216">
        <f>_xlfn.XLOOKUP(表格3_5[[#This Row],[Name]],Name_list[Full Name],Name_list[Nick Name])</f>
        <v>0</v>
      </c>
      <c r="H181" s="207"/>
      <c r="I181" s="228"/>
      <c r="J181" s="218"/>
      <c r="K181" s="205"/>
      <c r="L181" s="210">
        <f>(表格3_5[[#This Row],[Out-Time]] - 表格3_5[[#This Row],[In-Time]])*24</f>
        <v>0</v>
      </c>
      <c r="M181" s="210">
        <f>表格3_5[[#This Row],[ Hours]]-表格3_5[[#This Row],[Normal working
 hours]]</f>
        <v>0</v>
      </c>
      <c r="N181" s="205"/>
      <c r="O181" s="205"/>
      <c r="P181" s="210">
        <f>(表格3_5[[#This Row],[Out-Time2]] - 表格3_5[[#This Row],[In-Time2]])*24</f>
        <v>0</v>
      </c>
      <c r="Q181" s="205"/>
      <c r="R181" s="214">
        <f>_xlfn.XLOOKUP(表格3_5[[#This Row],[Name]],Name_list[Full Name],Name_list[Hourr Rate])</f>
        <v>0</v>
      </c>
      <c r="S181" s="210">
        <f>表格3_5[[#This Row],[Hours Worked]]*表格3_5[[#This Row],[Hourly Rate]]</f>
        <v>0</v>
      </c>
    </row>
    <row r="182" spans="1:19">
      <c r="A182" s="201">
        <v>180</v>
      </c>
      <c r="B182" s="210" t="str">
        <f>_xlfn.CONCAT(表格3_5[[#This Row],[Name]],表格3_5[[#This Row],[Location]])</f>
        <v/>
      </c>
      <c r="C182" s="211" t="str">
        <f>表格3_5[[#This Row],[Location]] &amp; 表格3_5[[#This Row],[Date]] &amp;表格3_5[[#This Row],[Nick Name]]</f>
        <v>0</v>
      </c>
      <c r="D182" s="202"/>
      <c r="E182" s="211" t="str">
        <f>DAY(表格3_5[[#This Row],[Date]])&amp;""</f>
        <v>0</v>
      </c>
      <c r="F182" s="203"/>
      <c r="G182" s="216">
        <f>_xlfn.XLOOKUP(表格3_5[[#This Row],[Name]],Name_list[Full Name],Name_list[Nick Name])</f>
        <v>0</v>
      </c>
      <c r="H182" s="207"/>
      <c r="I182" s="228"/>
      <c r="J182" s="218"/>
      <c r="K182" s="205"/>
      <c r="L182" s="210">
        <f>(表格3_5[[#This Row],[Out-Time]] - 表格3_5[[#This Row],[In-Time]])*24</f>
        <v>0</v>
      </c>
      <c r="M182" s="210">
        <f>表格3_5[[#This Row],[ Hours]]-表格3_5[[#This Row],[Normal working
 hours]]</f>
        <v>0</v>
      </c>
      <c r="N182" s="205"/>
      <c r="O182" s="205"/>
      <c r="P182" s="210">
        <f>(表格3_5[[#This Row],[Out-Time2]] - 表格3_5[[#This Row],[In-Time2]])*24</f>
        <v>0</v>
      </c>
      <c r="Q182" s="205"/>
      <c r="R182" s="214">
        <f>_xlfn.XLOOKUP(表格3_5[[#This Row],[Name]],Name_list[Full Name],Name_list[Hourr Rate])</f>
        <v>0</v>
      </c>
      <c r="S182" s="210">
        <f>表格3_5[[#This Row],[Hours Worked]]*表格3_5[[#This Row],[Hourly Rate]]</f>
        <v>0</v>
      </c>
    </row>
    <row r="183" spans="1:19">
      <c r="A183" s="201">
        <v>181</v>
      </c>
      <c r="B183" s="210" t="str">
        <f>_xlfn.CONCAT(表格3_5[[#This Row],[Name]],表格3_5[[#This Row],[Location]])</f>
        <v/>
      </c>
      <c r="C183" s="211" t="str">
        <f>表格3_5[[#This Row],[Location]] &amp; 表格3_5[[#This Row],[Date]] &amp;表格3_5[[#This Row],[Nick Name]]</f>
        <v>0</v>
      </c>
      <c r="D183" s="202"/>
      <c r="E183" s="211" t="str">
        <f>DAY(表格3_5[[#This Row],[Date]])&amp;""</f>
        <v>0</v>
      </c>
      <c r="F183" s="203"/>
      <c r="G183" s="216">
        <f>_xlfn.XLOOKUP(表格3_5[[#This Row],[Name]],Name_list[Full Name],Name_list[Nick Name])</f>
        <v>0</v>
      </c>
      <c r="H183" s="207"/>
      <c r="I183" s="228"/>
      <c r="J183" s="218"/>
      <c r="K183" s="205"/>
      <c r="L183" s="210">
        <f>(表格3_5[[#This Row],[Out-Time]] - 表格3_5[[#This Row],[In-Time]])*24</f>
        <v>0</v>
      </c>
      <c r="M183" s="210">
        <f>表格3_5[[#This Row],[ Hours]]-表格3_5[[#This Row],[Normal working
 hours]]</f>
        <v>0</v>
      </c>
      <c r="N183" s="205"/>
      <c r="O183" s="205"/>
      <c r="P183" s="210">
        <f>(表格3_5[[#This Row],[Out-Time2]] - 表格3_5[[#This Row],[In-Time2]])*24</f>
        <v>0</v>
      </c>
      <c r="Q183" s="205"/>
      <c r="R183" s="214">
        <f>_xlfn.XLOOKUP(表格3_5[[#This Row],[Name]],Name_list[Full Name],Name_list[Hourr Rate])</f>
        <v>0</v>
      </c>
      <c r="S183" s="210">
        <f>表格3_5[[#This Row],[Hours Worked]]*表格3_5[[#This Row],[Hourly Rate]]</f>
        <v>0</v>
      </c>
    </row>
    <row r="184" spans="1:19">
      <c r="A184" s="201">
        <v>182</v>
      </c>
      <c r="B184" s="210" t="str">
        <f>_xlfn.CONCAT(表格3_5[[#This Row],[Name]],表格3_5[[#This Row],[Location]])</f>
        <v/>
      </c>
      <c r="C184" s="211" t="str">
        <f>表格3_5[[#This Row],[Location]] &amp; 表格3_5[[#This Row],[Date]] &amp;表格3_5[[#This Row],[Nick Name]]</f>
        <v>0</v>
      </c>
      <c r="D184" s="202"/>
      <c r="E184" s="211" t="str">
        <f>DAY(表格3_5[[#This Row],[Date]])&amp;""</f>
        <v>0</v>
      </c>
      <c r="F184" s="203"/>
      <c r="G184" s="216">
        <f>_xlfn.XLOOKUP(表格3_5[[#This Row],[Name]],Name_list[Full Name],Name_list[Nick Name])</f>
        <v>0</v>
      </c>
      <c r="H184" s="207"/>
      <c r="I184" s="228"/>
      <c r="J184" s="218"/>
      <c r="K184" s="205"/>
      <c r="L184" s="210">
        <f>(表格3_5[[#This Row],[Out-Time]] - 表格3_5[[#This Row],[In-Time]])*24</f>
        <v>0</v>
      </c>
      <c r="M184" s="210">
        <f>表格3_5[[#This Row],[ Hours]]-表格3_5[[#This Row],[Normal working
 hours]]</f>
        <v>0</v>
      </c>
      <c r="N184" s="205"/>
      <c r="O184" s="205"/>
      <c r="P184" s="210">
        <f>(表格3_5[[#This Row],[Out-Time2]] - 表格3_5[[#This Row],[In-Time2]])*24</f>
        <v>0</v>
      </c>
      <c r="Q184" s="205"/>
      <c r="R184" s="214">
        <f>_xlfn.XLOOKUP(表格3_5[[#This Row],[Name]],Name_list[Full Name],Name_list[Hourr Rate])</f>
        <v>0</v>
      </c>
      <c r="S184" s="210">
        <f>表格3_5[[#This Row],[Hours Worked]]*表格3_5[[#This Row],[Hourly Rate]]</f>
        <v>0</v>
      </c>
    </row>
    <row r="185" spans="1:19">
      <c r="A185" s="201">
        <v>183</v>
      </c>
      <c r="B185" s="210" t="str">
        <f>_xlfn.CONCAT(表格3_5[[#This Row],[Name]],表格3_5[[#This Row],[Location]])</f>
        <v/>
      </c>
      <c r="C185" s="211" t="str">
        <f>表格3_5[[#This Row],[Location]] &amp; 表格3_5[[#This Row],[Date]] &amp;表格3_5[[#This Row],[Nick Name]]</f>
        <v>0</v>
      </c>
      <c r="D185" s="202"/>
      <c r="E185" s="211" t="str">
        <f>DAY(表格3_5[[#This Row],[Date]])&amp;""</f>
        <v>0</v>
      </c>
      <c r="F185" s="203"/>
      <c r="G185" s="216">
        <f>_xlfn.XLOOKUP(表格3_5[[#This Row],[Name]],Name_list[Full Name],Name_list[Nick Name])</f>
        <v>0</v>
      </c>
      <c r="H185" s="207"/>
      <c r="I185" s="228"/>
      <c r="J185" s="218"/>
      <c r="K185" s="205"/>
      <c r="L185" s="210">
        <f>(表格3_5[[#This Row],[Out-Time]] - 表格3_5[[#This Row],[In-Time]])*24</f>
        <v>0</v>
      </c>
      <c r="M185" s="210">
        <f>表格3_5[[#This Row],[ Hours]]-表格3_5[[#This Row],[Normal working
 hours]]</f>
        <v>0</v>
      </c>
      <c r="N185" s="205"/>
      <c r="O185" s="205"/>
      <c r="P185" s="210">
        <f>(表格3_5[[#This Row],[Out-Time2]] - 表格3_5[[#This Row],[In-Time2]])*24</f>
        <v>0</v>
      </c>
      <c r="Q185" s="205"/>
      <c r="R185" s="214">
        <f>_xlfn.XLOOKUP(表格3_5[[#This Row],[Name]],Name_list[Full Name],Name_list[Hourr Rate])</f>
        <v>0</v>
      </c>
      <c r="S185" s="210">
        <f>表格3_5[[#This Row],[Hours Worked]]*表格3_5[[#This Row],[Hourly Rate]]</f>
        <v>0</v>
      </c>
    </row>
    <row r="186" spans="1:19">
      <c r="A186" s="201">
        <v>184</v>
      </c>
      <c r="B186" s="210" t="str">
        <f>_xlfn.CONCAT(表格3_5[[#This Row],[Name]],表格3_5[[#This Row],[Location]])</f>
        <v/>
      </c>
      <c r="C186" s="211" t="str">
        <f>表格3_5[[#This Row],[Location]] &amp; 表格3_5[[#This Row],[Date]] &amp;表格3_5[[#This Row],[Nick Name]]</f>
        <v>0</v>
      </c>
      <c r="D186" s="202"/>
      <c r="E186" s="211" t="str">
        <f>DAY(表格3_5[[#This Row],[Date]])&amp;""</f>
        <v>0</v>
      </c>
      <c r="F186" s="203"/>
      <c r="G186" s="216">
        <f>_xlfn.XLOOKUP(表格3_5[[#This Row],[Name]],Name_list[Full Name],Name_list[Nick Name])</f>
        <v>0</v>
      </c>
      <c r="H186" s="207"/>
      <c r="I186" s="228"/>
      <c r="J186" s="218"/>
      <c r="K186" s="205"/>
      <c r="L186" s="210">
        <f>(表格3_5[[#This Row],[Out-Time]] - 表格3_5[[#This Row],[In-Time]])*24</f>
        <v>0</v>
      </c>
      <c r="M186" s="210">
        <f>表格3_5[[#This Row],[ Hours]]-表格3_5[[#This Row],[Normal working
 hours]]</f>
        <v>0</v>
      </c>
      <c r="N186" s="205"/>
      <c r="O186" s="205"/>
      <c r="P186" s="210">
        <f>(表格3_5[[#This Row],[Out-Time2]] - 表格3_5[[#This Row],[In-Time2]])*24</f>
        <v>0</v>
      </c>
      <c r="Q186" s="205"/>
      <c r="R186" s="214">
        <f>_xlfn.XLOOKUP(表格3_5[[#This Row],[Name]],Name_list[Full Name],Name_list[Hourr Rate])</f>
        <v>0</v>
      </c>
      <c r="S186" s="210">
        <f>表格3_5[[#This Row],[Hours Worked]]*表格3_5[[#This Row],[Hourly Rate]]</f>
        <v>0</v>
      </c>
    </row>
    <row r="187" spans="1:19">
      <c r="A187" s="201">
        <v>185</v>
      </c>
      <c r="B187" s="210" t="str">
        <f>_xlfn.CONCAT(表格3_5[[#This Row],[Name]],表格3_5[[#This Row],[Location]])</f>
        <v/>
      </c>
      <c r="C187" s="211" t="str">
        <f>表格3_5[[#This Row],[Location]] &amp; 表格3_5[[#This Row],[Date]] &amp;表格3_5[[#This Row],[Nick Name]]</f>
        <v>0</v>
      </c>
      <c r="D187" s="202"/>
      <c r="E187" s="211" t="str">
        <f>DAY(表格3_5[[#This Row],[Date]])&amp;""</f>
        <v>0</v>
      </c>
      <c r="F187" s="203"/>
      <c r="G187" s="216">
        <f>_xlfn.XLOOKUP(表格3_5[[#This Row],[Name]],Name_list[Full Name],Name_list[Nick Name])</f>
        <v>0</v>
      </c>
      <c r="H187" s="207"/>
      <c r="I187" s="228"/>
      <c r="J187" s="218"/>
      <c r="K187" s="205"/>
      <c r="L187" s="210">
        <f>(表格3_5[[#This Row],[Out-Time]] - 表格3_5[[#This Row],[In-Time]])*24</f>
        <v>0</v>
      </c>
      <c r="M187" s="210">
        <f>表格3_5[[#This Row],[ Hours]]-表格3_5[[#This Row],[Normal working
 hours]]</f>
        <v>0</v>
      </c>
      <c r="N187" s="205"/>
      <c r="O187" s="205"/>
      <c r="P187" s="210">
        <f>(表格3_5[[#This Row],[Out-Time2]] - 表格3_5[[#This Row],[In-Time2]])*24</f>
        <v>0</v>
      </c>
      <c r="Q187" s="205"/>
      <c r="R187" s="214">
        <f>_xlfn.XLOOKUP(表格3_5[[#This Row],[Name]],Name_list[Full Name],Name_list[Hourr Rate])</f>
        <v>0</v>
      </c>
      <c r="S187" s="210">
        <f>表格3_5[[#This Row],[Hours Worked]]*表格3_5[[#This Row],[Hourly Rate]]</f>
        <v>0</v>
      </c>
    </row>
    <row r="188" spans="1:19">
      <c r="A188" s="201">
        <v>186</v>
      </c>
      <c r="B188" s="210" t="str">
        <f>_xlfn.CONCAT(表格3_5[[#This Row],[Name]],表格3_5[[#This Row],[Location]])</f>
        <v/>
      </c>
      <c r="C188" s="211" t="str">
        <f>表格3_5[[#This Row],[Location]] &amp; 表格3_5[[#This Row],[Date]] &amp;表格3_5[[#This Row],[Nick Name]]</f>
        <v>0</v>
      </c>
      <c r="D188" s="202"/>
      <c r="E188" s="211" t="str">
        <f>DAY(表格3_5[[#This Row],[Date]])&amp;""</f>
        <v>0</v>
      </c>
      <c r="F188" s="203"/>
      <c r="G188" s="216">
        <f>_xlfn.XLOOKUP(表格3_5[[#This Row],[Name]],Name_list[Full Name],Name_list[Nick Name])</f>
        <v>0</v>
      </c>
      <c r="H188" s="207"/>
      <c r="I188" s="228"/>
      <c r="J188" s="218"/>
      <c r="K188" s="205"/>
      <c r="L188" s="210">
        <f>(表格3_5[[#This Row],[Out-Time]] - 表格3_5[[#This Row],[In-Time]])*24</f>
        <v>0</v>
      </c>
      <c r="M188" s="210">
        <f>表格3_5[[#This Row],[ Hours]]-表格3_5[[#This Row],[Normal working
 hours]]</f>
        <v>0</v>
      </c>
      <c r="N188" s="205"/>
      <c r="O188" s="205"/>
      <c r="P188" s="210">
        <f>(表格3_5[[#This Row],[Out-Time2]] - 表格3_5[[#This Row],[In-Time2]])*24</f>
        <v>0</v>
      </c>
      <c r="Q188" s="205"/>
      <c r="R188" s="214">
        <f>_xlfn.XLOOKUP(表格3_5[[#This Row],[Name]],Name_list[Full Name],Name_list[Hourr Rate])</f>
        <v>0</v>
      </c>
      <c r="S188" s="210">
        <f>表格3_5[[#This Row],[Hours Worked]]*表格3_5[[#This Row],[Hourly Rate]]</f>
        <v>0</v>
      </c>
    </row>
    <row r="189" spans="1:19">
      <c r="A189" s="201">
        <v>187</v>
      </c>
      <c r="B189" s="210" t="str">
        <f>_xlfn.CONCAT(表格3_5[[#This Row],[Name]],表格3_5[[#This Row],[Location]])</f>
        <v/>
      </c>
      <c r="C189" s="211" t="str">
        <f>表格3_5[[#This Row],[Location]] &amp; 表格3_5[[#This Row],[Date]] &amp;表格3_5[[#This Row],[Nick Name]]</f>
        <v>0</v>
      </c>
      <c r="D189" s="202"/>
      <c r="E189" s="211" t="str">
        <f>DAY(表格3_5[[#This Row],[Date]])&amp;""</f>
        <v>0</v>
      </c>
      <c r="F189" s="203"/>
      <c r="G189" s="216">
        <f>_xlfn.XLOOKUP(表格3_5[[#This Row],[Name]],Name_list[Full Name],Name_list[Nick Name])</f>
        <v>0</v>
      </c>
      <c r="H189" s="207"/>
      <c r="I189" s="228"/>
      <c r="J189" s="218"/>
      <c r="K189" s="205"/>
      <c r="L189" s="210">
        <f>(表格3_5[[#This Row],[Out-Time]] - 表格3_5[[#This Row],[In-Time]])*24</f>
        <v>0</v>
      </c>
      <c r="M189" s="210">
        <f>表格3_5[[#This Row],[ Hours]]-表格3_5[[#This Row],[Normal working
 hours]]</f>
        <v>0</v>
      </c>
      <c r="N189" s="205"/>
      <c r="O189" s="205"/>
      <c r="P189" s="210">
        <f>(表格3_5[[#This Row],[Out-Time2]] - 表格3_5[[#This Row],[In-Time2]])*24</f>
        <v>0</v>
      </c>
      <c r="Q189" s="205"/>
      <c r="R189" s="214">
        <f>_xlfn.XLOOKUP(表格3_5[[#This Row],[Name]],Name_list[Full Name],Name_list[Hourr Rate])</f>
        <v>0</v>
      </c>
      <c r="S189" s="210">
        <f>表格3_5[[#This Row],[Hours Worked]]*表格3_5[[#This Row],[Hourly Rate]]</f>
        <v>0</v>
      </c>
    </row>
    <row r="190" spans="1:19">
      <c r="A190" s="201">
        <v>188</v>
      </c>
      <c r="B190" s="210" t="str">
        <f>_xlfn.CONCAT(表格3_5[[#This Row],[Name]],表格3_5[[#This Row],[Location]])</f>
        <v/>
      </c>
      <c r="C190" s="211" t="str">
        <f>表格3_5[[#This Row],[Location]] &amp; 表格3_5[[#This Row],[Date]] &amp;表格3_5[[#This Row],[Nick Name]]</f>
        <v>0</v>
      </c>
      <c r="D190" s="202"/>
      <c r="E190" s="211" t="str">
        <f>DAY(表格3_5[[#This Row],[Date]])&amp;""</f>
        <v>0</v>
      </c>
      <c r="F190" s="203"/>
      <c r="G190" s="216">
        <f>_xlfn.XLOOKUP(表格3_5[[#This Row],[Name]],Name_list[Full Name],Name_list[Nick Name])</f>
        <v>0</v>
      </c>
      <c r="H190" s="207"/>
      <c r="I190" s="228"/>
      <c r="J190" s="218"/>
      <c r="K190" s="205"/>
      <c r="L190" s="210">
        <f>(表格3_5[[#This Row],[Out-Time]] - 表格3_5[[#This Row],[In-Time]])*24</f>
        <v>0</v>
      </c>
      <c r="M190" s="210">
        <f>表格3_5[[#This Row],[ Hours]]-表格3_5[[#This Row],[Normal working
 hours]]</f>
        <v>0</v>
      </c>
      <c r="N190" s="205"/>
      <c r="O190" s="205"/>
      <c r="P190" s="210">
        <f>(表格3_5[[#This Row],[Out-Time2]] - 表格3_5[[#This Row],[In-Time2]])*24</f>
        <v>0</v>
      </c>
      <c r="Q190" s="205"/>
      <c r="R190" s="214">
        <f>_xlfn.XLOOKUP(表格3_5[[#This Row],[Name]],Name_list[Full Name],Name_list[Hourr Rate])</f>
        <v>0</v>
      </c>
      <c r="S190" s="210">
        <f>表格3_5[[#This Row],[Hours Worked]]*表格3_5[[#This Row],[Hourly Rate]]</f>
        <v>0</v>
      </c>
    </row>
    <row r="191" spans="1:19">
      <c r="A191" s="201">
        <v>189</v>
      </c>
      <c r="B191" s="210" t="str">
        <f>_xlfn.CONCAT(表格3_5[[#This Row],[Name]],表格3_5[[#This Row],[Location]])</f>
        <v/>
      </c>
      <c r="C191" s="211" t="str">
        <f>表格3_5[[#This Row],[Location]] &amp; 表格3_5[[#This Row],[Date]] &amp;表格3_5[[#This Row],[Nick Name]]</f>
        <v>0</v>
      </c>
      <c r="D191" s="202"/>
      <c r="E191" s="211" t="str">
        <f>DAY(表格3_5[[#This Row],[Date]])&amp;""</f>
        <v>0</v>
      </c>
      <c r="F191" s="203"/>
      <c r="G191" s="216">
        <f>_xlfn.XLOOKUP(表格3_5[[#This Row],[Name]],Name_list[Full Name],Name_list[Nick Name])</f>
        <v>0</v>
      </c>
      <c r="H191" s="207"/>
      <c r="I191" s="228"/>
      <c r="J191" s="218"/>
      <c r="K191" s="205"/>
      <c r="L191" s="210">
        <f>(表格3_5[[#This Row],[Out-Time]] - 表格3_5[[#This Row],[In-Time]])*24</f>
        <v>0</v>
      </c>
      <c r="M191" s="210">
        <f>表格3_5[[#This Row],[ Hours]]-表格3_5[[#This Row],[Normal working
 hours]]</f>
        <v>0</v>
      </c>
      <c r="N191" s="205"/>
      <c r="O191" s="205"/>
      <c r="P191" s="210">
        <f>(表格3_5[[#This Row],[Out-Time2]] - 表格3_5[[#This Row],[In-Time2]])*24</f>
        <v>0</v>
      </c>
      <c r="Q191" s="205"/>
      <c r="R191" s="214">
        <f>_xlfn.XLOOKUP(表格3_5[[#This Row],[Name]],Name_list[Full Name],Name_list[Hourr Rate])</f>
        <v>0</v>
      </c>
      <c r="S191" s="210">
        <f>表格3_5[[#This Row],[Hours Worked]]*表格3_5[[#This Row],[Hourly Rate]]</f>
        <v>0</v>
      </c>
    </row>
    <row r="192" spans="1:19">
      <c r="A192" s="201">
        <v>190</v>
      </c>
      <c r="B192" s="210" t="str">
        <f>_xlfn.CONCAT(表格3_5[[#This Row],[Name]],表格3_5[[#This Row],[Location]])</f>
        <v/>
      </c>
      <c r="C192" s="211" t="str">
        <f>表格3_5[[#This Row],[Location]] &amp; 表格3_5[[#This Row],[Date]] &amp;表格3_5[[#This Row],[Nick Name]]</f>
        <v>0</v>
      </c>
      <c r="D192" s="202"/>
      <c r="E192" s="211" t="str">
        <f>DAY(表格3_5[[#This Row],[Date]])&amp;""</f>
        <v>0</v>
      </c>
      <c r="F192" s="203"/>
      <c r="G192" s="216">
        <f>_xlfn.XLOOKUP(表格3_5[[#This Row],[Name]],Name_list[Full Name],Name_list[Nick Name])</f>
        <v>0</v>
      </c>
      <c r="H192" s="207"/>
      <c r="I192" s="228"/>
      <c r="J192" s="218"/>
      <c r="K192" s="205"/>
      <c r="L192" s="210">
        <f>(表格3_5[[#This Row],[Out-Time]] - 表格3_5[[#This Row],[In-Time]])*24</f>
        <v>0</v>
      </c>
      <c r="M192" s="210">
        <f>表格3_5[[#This Row],[ Hours]]-表格3_5[[#This Row],[Normal working
 hours]]</f>
        <v>0</v>
      </c>
      <c r="N192" s="205"/>
      <c r="O192" s="205"/>
      <c r="P192" s="210">
        <f>(表格3_5[[#This Row],[Out-Time2]] - 表格3_5[[#This Row],[In-Time2]])*24</f>
        <v>0</v>
      </c>
      <c r="Q192" s="205"/>
      <c r="R192" s="214">
        <f>_xlfn.XLOOKUP(表格3_5[[#This Row],[Name]],Name_list[Full Name],Name_list[Hourr Rate])</f>
        <v>0</v>
      </c>
      <c r="S192" s="210">
        <f>表格3_5[[#This Row],[Hours Worked]]*表格3_5[[#This Row],[Hourly Rate]]</f>
        <v>0</v>
      </c>
    </row>
    <row r="193" spans="1:19">
      <c r="A193" s="201">
        <v>191</v>
      </c>
      <c r="B193" s="210" t="str">
        <f>_xlfn.CONCAT(表格3_5[[#This Row],[Name]],表格3_5[[#This Row],[Location]])</f>
        <v/>
      </c>
      <c r="C193" s="211" t="str">
        <f>表格3_5[[#This Row],[Location]] &amp; 表格3_5[[#This Row],[Date]] &amp;表格3_5[[#This Row],[Nick Name]]</f>
        <v>0</v>
      </c>
      <c r="D193" s="202"/>
      <c r="E193" s="211" t="str">
        <f>DAY(表格3_5[[#This Row],[Date]])&amp;""</f>
        <v>0</v>
      </c>
      <c r="F193" s="203"/>
      <c r="G193" s="216">
        <f>_xlfn.XLOOKUP(表格3_5[[#This Row],[Name]],Name_list[Full Name],Name_list[Nick Name])</f>
        <v>0</v>
      </c>
      <c r="H193" s="207"/>
      <c r="I193" s="228"/>
      <c r="J193" s="218"/>
      <c r="K193" s="205"/>
      <c r="L193" s="210">
        <f>(表格3_5[[#This Row],[Out-Time]] - 表格3_5[[#This Row],[In-Time]])*24</f>
        <v>0</v>
      </c>
      <c r="M193" s="210">
        <f>表格3_5[[#This Row],[ Hours]]-表格3_5[[#This Row],[Normal working
 hours]]</f>
        <v>0</v>
      </c>
      <c r="N193" s="205"/>
      <c r="O193" s="205"/>
      <c r="P193" s="210">
        <f>(表格3_5[[#This Row],[Out-Time2]] - 表格3_5[[#This Row],[In-Time2]])*24</f>
        <v>0</v>
      </c>
      <c r="Q193" s="205"/>
      <c r="R193" s="214">
        <f>_xlfn.XLOOKUP(表格3_5[[#This Row],[Name]],Name_list[Full Name],Name_list[Hourr Rate])</f>
        <v>0</v>
      </c>
      <c r="S193" s="210">
        <f>表格3_5[[#This Row],[Hours Worked]]*表格3_5[[#This Row],[Hourly Rate]]</f>
        <v>0</v>
      </c>
    </row>
    <row r="194" spans="1:19">
      <c r="A194" s="201">
        <v>192</v>
      </c>
      <c r="B194" s="210" t="str">
        <f>_xlfn.CONCAT(表格3_5[[#This Row],[Name]],表格3_5[[#This Row],[Location]])</f>
        <v/>
      </c>
      <c r="C194" s="211" t="str">
        <f>表格3_5[[#This Row],[Location]] &amp; 表格3_5[[#This Row],[Date]] &amp;表格3_5[[#This Row],[Nick Name]]</f>
        <v>0</v>
      </c>
      <c r="D194" s="202"/>
      <c r="E194" s="211" t="str">
        <f>DAY(表格3_5[[#This Row],[Date]])&amp;""</f>
        <v>0</v>
      </c>
      <c r="F194" s="203"/>
      <c r="G194" s="216">
        <f>_xlfn.XLOOKUP(表格3_5[[#This Row],[Name]],Name_list[Full Name],Name_list[Nick Name])</f>
        <v>0</v>
      </c>
      <c r="H194" s="207"/>
      <c r="I194" s="228"/>
      <c r="J194" s="218"/>
      <c r="K194" s="205"/>
      <c r="L194" s="210">
        <f>(表格3_5[[#This Row],[Out-Time]] - 表格3_5[[#This Row],[In-Time]])*24</f>
        <v>0</v>
      </c>
      <c r="M194" s="210">
        <f>表格3_5[[#This Row],[ Hours]]-表格3_5[[#This Row],[Normal working
 hours]]</f>
        <v>0</v>
      </c>
      <c r="N194" s="205"/>
      <c r="O194" s="205"/>
      <c r="P194" s="210">
        <f>(表格3_5[[#This Row],[Out-Time2]] - 表格3_5[[#This Row],[In-Time2]])*24</f>
        <v>0</v>
      </c>
      <c r="Q194" s="205"/>
      <c r="R194" s="214">
        <f>_xlfn.XLOOKUP(表格3_5[[#This Row],[Name]],Name_list[Full Name],Name_list[Hourr Rate])</f>
        <v>0</v>
      </c>
      <c r="S194" s="210">
        <f>表格3_5[[#This Row],[Hours Worked]]*表格3_5[[#This Row],[Hourly Rate]]</f>
        <v>0</v>
      </c>
    </row>
    <row r="195" spans="1:19">
      <c r="A195" s="201">
        <v>193</v>
      </c>
      <c r="B195" s="210" t="str">
        <f>_xlfn.CONCAT(表格3_5[[#This Row],[Name]],表格3_5[[#This Row],[Location]])</f>
        <v/>
      </c>
      <c r="C195" s="211" t="str">
        <f>表格3_5[[#This Row],[Location]] &amp; 表格3_5[[#This Row],[Date]] &amp;表格3_5[[#This Row],[Nick Name]]</f>
        <v>0</v>
      </c>
      <c r="D195" s="202"/>
      <c r="E195" s="211" t="str">
        <f>DAY(表格3_5[[#This Row],[Date]])&amp;""</f>
        <v>0</v>
      </c>
      <c r="F195" s="203"/>
      <c r="G195" s="216">
        <f>_xlfn.XLOOKUP(表格3_5[[#This Row],[Name]],Name_list[Full Name],Name_list[Nick Name])</f>
        <v>0</v>
      </c>
      <c r="H195" s="207"/>
      <c r="I195" s="228"/>
      <c r="J195" s="218"/>
      <c r="K195" s="205"/>
      <c r="L195" s="210">
        <f>(表格3_5[[#This Row],[Out-Time]] - 表格3_5[[#This Row],[In-Time]])*24</f>
        <v>0</v>
      </c>
      <c r="M195" s="210">
        <f>表格3_5[[#This Row],[ Hours]]-表格3_5[[#This Row],[Normal working
 hours]]</f>
        <v>0</v>
      </c>
      <c r="N195" s="205"/>
      <c r="O195" s="205"/>
      <c r="P195" s="210">
        <f>(表格3_5[[#This Row],[Out-Time2]] - 表格3_5[[#This Row],[In-Time2]])*24</f>
        <v>0</v>
      </c>
      <c r="Q195" s="205"/>
      <c r="R195" s="214">
        <f>_xlfn.XLOOKUP(表格3_5[[#This Row],[Name]],Name_list[Full Name],Name_list[Hourr Rate])</f>
        <v>0</v>
      </c>
      <c r="S195" s="210">
        <f>表格3_5[[#This Row],[Hours Worked]]*表格3_5[[#This Row],[Hourly Rate]]</f>
        <v>0</v>
      </c>
    </row>
    <row r="196" spans="1:19">
      <c r="A196" s="201">
        <v>194</v>
      </c>
      <c r="B196" s="210" t="str">
        <f>_xlfn.CONCAT(表格3_5[[#This Row],[Name]],表格3_5[[#This Row],[Location]])</f>
        <v/>
      </c>
      <c r="C196" s="211" t="str">
        <f>表格3_5[[#This Row],[Location]] &amp; 表格3_5[[#This Row],[Date]] &amp;表格3_5[[#This Row],[Nick Name]]</f>
        <v>0</v>
      </c>
      <c r="D196" s="202"/>
      <c r="E196" s="211" t="str">
        <f>DAY(表格3_5[[#This Row],[Date]])&amp;""</f>
        <v>0</v>
      </c>
      <c r="F196" s="203"/>
      <c r="G196" s="216">
        <f>_xlfn.XLOOKUP(表格3_5[[#This Row],[Name]],Name_list[Full Name],Name_list[Nick Name])</f>
        <v>0</v>
      </c>
      <c r="H196" s="207"/>
      <c r="I196" s="228"/>
      <c r="J196" s="218"/>
      <c r="K196" s="205"/>
      <c r="L196" s="210">
        <f>(表格3_5[[#This Row],[Out-Time]] - 表格3_5[[#This Row],[In-Time]])*24</f>
        <v>0</v>
      </c>
      <c r="M196" s="210">
        <f>表格3_5[[#This Row],[ Hours]]-表格3_5[[#This Row],[Normal working
 hours]]</f>
        <v>0</v>
      </c>
      <c r="N196" s="205"/>
      <c r="O196" s="205"/>
      <c r="P196" s="210">
        <f>(表格3_5[[#This Row],[Out-Time2]] - 表格3_5[[#This Row],[In-Time2]])*24</f>
        <v>0</v>
      </c>
      <c r="Q196" s="205"/>
      <c r="R196" s="214">
        <f>_xlfn.XLOOKUP(表格3_5[[#This Row],[Name]],Name_list[Full Name],Name_list[Hourr Rate])</f>
        <v>0</v>
      </c>
      <c r="S196" s="210">
        <f>表格3_5[[#This Row],[Hours Worked]]*表格3_5[[#This Row],[Hourly Rate]]</f>
        <v>0</v>
      </c>
    </row>
    <row r="197" spans="1:19">
      <c r="A197" s="201">
        <v>195</v>
      </c>
      <c r="B197" s="210" t="str">
        <f>_xlfn.CONCAT(表格3_5[[#This Row],[Name]],表格3_5[[#This Row],[Location]])</f>
        <v/>
      </c>
      <c r="C197" s="211" t="str">
        <f>表格3_5[[#This Row],[Location]] &amp; 表格3_5[[#This Row],[Date]] &amp;表格3_5[[#This Row],[Nick Name]]</f>
        <v>0</v>
      </c>
      <c r="D197" s="202"/>
      <c r="E197" s="211" t="str">
        <f>DAY(表格3_5[[#This Row],[Date]])&amp;""</f>
        <v>0</v>
      </c>
      <c r="F197" s="203"/>
      <c r="G197" s="216">
        <f>_xlfn.XLOOKUP(表格3_5[[#This Row],[Name]],Name_list[Full Name],Name_list[Nick Name])</f>
        <v>0</v>
      </c>
      <c r="H197" s="207"/>
      <c r="I197" s="228"/>
      <c r="J197" s="218"/>
      <c r="K197" s="205"/>
      <c r="L197" s="210">
        <f>(表格3_5[[#This Row],[Out-Time]] - 表格3_5[[#This Row],[In-Time]])*24</f>
        <v>0</v>
      </c>
      <c r="M197" s="210">
        <f>表格3_5[[#This Row],[ Hours]]-表格3_5[[#This Row],[Normal working
 hours]]</f>
        <v>0</v>
      </c>
      <c r="N197" s="205"/>
      <c r="O197" s="205"/>
      <c r="P197" s="210">
        <f>(表格3_5[[#This Row],[Out-Time2]] - 表格3_5[[#This Row],[In-Time2]])*24</f>
        <v>0</v>
      </c>
      <c r="Q197" s="205"/>
      <c r="R197" s="214">
        <f>_xlfn.XLOOKUP(表格3_5[[#This Row],[Name]],Name_list[Full Name],Name_list[Hourr Rate])</f>
        <v>0</v>
      </c>
      <c r="S197" s="210">
        <f>表格3_5[[#This Row],[Hours Worked]]*表格3_5[[#This Row],[Hourly Rate]]</f>
        <v>0</v>
      </c>
    </row>
    <row r="198" spans="1:19">
      <c r="A198" s="201">
        <v>196</v>
      </c>
      <c r="B198" s="210" t="str">
        <f>_xlfn.CONCAT(表格3_5[[#This Row],[Name]],表格3_5[[#This Row],[Location]])</f>
        <v/>
      </c>
      <c r="C198" s="211" t="str">
        <f>表格3_5[[#This Row],[Location]] &amp; 表格3_5[[#This Row],[Date]] &amp;表格3_5[[#This Row],[Nick Name]]</f>
        <v>0</v>
      </c>
      <c r="D198" s="202"/>
      <c r="E198" s="211" t="str">
        <f>DAY(表格3_5[[#This Row],[Date]])&amp;""</f>
        <v>0</v>
      </c>
      <c r="F198" s="203"/>
      <c r="G198" s="216">
        <f>_xlfn.XLOOKUP(表格3_5[[#This Row],[Name]],Name_list[Full Name],Name_list[Nick Name])</f>
        <v>0</v>
      </c>
      <c r="H198" s="207"/>
      <c r="I198" s="228"/>
      <c r="J198" s="218"/>
      <c r="K198" s="205"/>
      <c r="L198" s="210">
        <f>(表格3_5[[#This Row],[Out-Time]] - 表格3_5[[#This Row],[In-Time]])*24</f>
        <v>0</v>
      </c>
      <c r="M198" s="210">
        <f>表格3_5[[#This Row],[ Hours]]-表格3_5[[#This Row],[Normal working
 hours]]</f>
        <v>0</v>
      </c>
      <c r="N198" s="205"/>
      <c r="O198" s="205"/>
      <c r="P198" s="210">
        <f>(表格3_5[[#This Row],[Out-Time2]] - 表格3_5[[#This Row],[In-Time2]])*24</f>
        <v>0</v>
      </c>
      <c r="Q198" s="205"/>
      <c r="R198" s="214">
        <f>_xlfn.XLOOKUP(表格3_5[[#This Row],[Name]],Name_list[Full Name],Name_list[Hourr Rate])</f>
        <v>0</v>
      </c>
      <c r="S198" s="210">
        <f>表格3_5[[#This Row],[Hours Worked]]*表格3_5[[#This Row],[Hourly Rate]]</f>
        <v>0</v>
      </c>
    </row>
    <row r="199" spans="1:19">
      <c r="A199" s="201">
        <v>197</v>
      </c>
      <c r="B199" s="210" t="str">
        <f>_xlfn.CONCAT(表格3_5[[#This Row],[Name]],表格3_5[[#This Row],[Location]])</f>
        <v/>
      </c>
      <c r="C199" s="211" t="str">
        <f>表格3_5[[#This Row],[Location]] &amp; 表格3_5[[#This Row],[Date]] &amp;表格3_5[[#This Row],[Nick Name]]</f>
        <v>0</v>
      </c>
      <c r="D199" s="202"/>
      <c r="E199" s="211" t="str">
        <f>DAY(表格3_5[[#This Row],[Date]])&amp;""</f>
        <v>0</v>
      </c>
      <c r="F199" s="203"/>
      <c r="G199" s="216">
        <f>_xlfn.XLOOKUP(表格3_5[[#This Row],[Name]],Name_list[Full Name],Name_list[Nick Name])</f>
        <v>0</v>
      </c>
      <c r="H199" s="207"/>
      <c r="I199" s="228"/>
      <c r="J199" s="218"/>
      <c r="K199" s="205"/>
      <c r="L199" s="210">
        <f>(表格3_5[[#This Row],[Out-Time]] - 表格3_5[[#This Row],[In-Time]])*24</f>
        <v>0</v>
      </c>
      <c r="M199" s="210">
        <f>表格3_5[[#This Row],[ Hours]]-表格3_5[[#This Row],[Normal working
 hours]]</f>
        <v>0</v>
      </c>
      <c r="N199" s="205"/>
      <c r="O199" s="205"/>
      <c r="P199" s="210">
        <f>(表格3_5[[#This Row],[Out-Time2]] - 表格3_5[[#This Row],[In-Time2]])*24</f>
        <v>0</v>
      </c>
      <c r="Q199" s="205"/>
      <c r="R199" s="214">
        <f>_xlfn.XLOOKUP(表格3_5[[#This Row],[Name]],Name_list[Full Name],Name_list[Hourr Rate])</f>
        <v>0</v>
      </c>
      <c r="S199" s="210">
        <f>表格3_5[[#This Row],[Hours Worked]]*表格3_5[[#This Row],[Hourly Rate]]</f>
        <v>0</v>
      </c>
    </row>
    <row r="200" spans="1:19">
      <c r="A200" s="201">
        <v>198</v>
      </c>
      <c r="B200" s="210" t="str">
        <f>_xlfn.CONCAT(表格3_5[[#This Row],[Name]],表格3_5[[#This Row],[Location]])</f>
        <v/>
      </c>
      <c r="C200" s="211" t="str">
        <f>表格3_5[[#This Row],[Location]] &amp; 表格3_5[[#This Row],[Date]] &amp;表格3_5[[#This Row],[Nick Name]]</f>
        <v>0</v>
      </c>
      <c r="D200" s="202"/>
      <c r="E200" s="211" t="str">
        <f>DAY(表格3_5[[#This Row],[Date]])&amp;""</f>
        <v>0</v>
      </c>
      <c r="F200" s="203"/>
      <c r="G200" s="216">
        <f>_xlfn.XLOOKUP(表格3_5[[#This Row],[Name]],Name_list[Full Name],Name_list[Nick Name])</f>
        <v>0</v>
      </c>
      <c r="H200" s="207"/>
      <c r="I200" s="228"/>
      <c r="J200" s="218"/>
      <c r="K200" s="205"/>
      <c r="L200" s="210">
        <f>(表格3_5[[#This Row],[Out-Time]] - 表格3_5[[#This Row],[In-Time]])*24</f>
        <v>0</v>
      </c>
      <c r="M200" s="210">
        <f>表格3_5[[#This Row],[ Hours]]-表格3_5[[#This Row],[Normal working
 hours]]</f>
        <v>0</v>
      </c>
      <c r="N200" s="205"/>
      <c r="O200" s="205"/>
      <c r="P200" s="210">
        <f>(表格3_5[[#This Row],[Out-Time2]] - 表格3_5[[#This Row],[In-Time2]])*24</f>
        <v>0</v>
      </c>
      <c r="Q200" s="205"/>
      <c r="R200" s="214">
        <f>_xlfn.XLOOKUP(表格3_5[[#This Row],[Name]],Name_list[Full Name],Name_list[Hourr Rate])</f>
        <v>0</v>
      </c>
      <c r="S200" s="210">
        <f>表格3_5[[#This Row],[Hours Worked]]*表格3_5[[#This Row],[Hourly Rate]]</f>
        <v>0</v>
      </c>
    </row>
    <row r="201" spans="1:19">
      <c r="A201" s="201">
        <v>199</v>
      </c>
      <c r="B201" s="210" t="str">
        <f>_xlfn.CONCAT(表格3_5[[#This Row],[Name]],表格3_5[[#This Row],[Location]])</f>
        <v/>
      </c>
      <c r="C201" s="211" t="str">
        <f>表格3_5[[#This Row],[Location]] &amp; 表格3_5[[#This Row],[Date]] &amp;表格3_5[[#This Row],[Nick Name]]</f>
        <v>0</v>
      </c>
      <c r="D201" s="202"/>
      <c r="E201" s="211" t="str">
        <f>DAY(表格3_5[[#This Row],[Date]])&amp;""</f>
        <v>0</v>
      </c>
      <c r="F201" s="203"/>
      <c r="G201" s="216">
        <f>_xlfn.XLOOKUP(表格3_5[[#This Row],[Name]],Name_list[Full Name],Name_list[Nick Name])</f>
        <v>0</v>
      </c>
      <c r="H201" s="207"/>
      <c r="I201" s="228"/>
      <c r="J201" s="218"/>
      <c r="K201" s="205"/>
      <c r="L201" s="210">
        <f>(表格3_5[[#This Row],[Out-Time]] - 表格3_5[[#This Row],[In-Time]])*24</f>
        <v>0</v>
      </c>
      <c r="M201" s="210">
        <f>表格3_5[[#This Row],[ Hours]]-表格3_5[[#This Row],[Normal working
 hours]]</f>
        <v>0</v>
      </c>
      <c r="N201" s="205"/>
      <c r="O201" s="205"/>
      <c r="P201" s="210">
        <f>(表格3_5[[#This Row],[Out-Time2]] - 表格3_5[[#This Row],[In-Time2]])*24</f>
        <v>0</v>
      </c>
      <c r="Q201" s="205"/>
      <c r="R201" s="214">
        <f>_xlfn.XLOOKUP(表格3_5[[#This Row],[Name]],Name_list[Full Name],Name_list[Hourr Rate])</f>
        <v>0</v>
      </c>
      <c r="S201" s="210">
        <f>表格3_5[[#This Row],[Hours Worked]]*表格3_5[[#This Row],[Hourly Rate]]</f>
        <v>0</v>
      </c>
    </row>
    <row r="202" spans="1:19">
      <c r="A202" s="201">
        <v>200</v>
      </c>
      <c r="B202" s="210" t="str">
        <f>_xlfn.CONCAT(表格3_5[[#This Row],[Name]],表格3_5[[#This Row],[Location]])</f>
        <v/>
      </c>
      <c r="C202" s="211" t="str">
        <f>表格3_5[[#This Row],[Location]] &amp; 表格3_5[[#This Row],[Date]] &amp;表格3_5[[#This Row],[Nick Name]]</f>
        <v>0</v>
      </c>
      <c r="D202" s="202"/>
      <c r="E202" s="211" t="str">
        <f>DAY(表格3_5[[#This Row],[Date]])&amp;""</f>
        <v>0</v>
      </c>
      <c r="F202" s="203"/>
      <c r="G202" s="216">
        <f>_xlfn.XLOOKUP(表格3_5[[#This Row],[Name]],Name_list[Full Name],Name_list[Nick Name])</f>
        <v>0</v>
      </c>
      <c r="H202" s="207"/>
      <c r="I202" s="228"/>
      <c r="J202" s="218"/>
      <c r="K202" s="205"/>
      <c r="L202" s="210">
        <f>(表格3_5[[#This Row],[Out-Time]] - 表格3_5[[#This Row],[In-Time]])*24</f>
        <v>0</v>
      </c>
      <c r="M202" s="210">
        <f>表格3_5[[#This Row],[ Hours]]-表格3_5[[#This Row],[Normal working
 hours]]</f>
        <v>0</v>
      </c>
      <c r="N202" s="205"/>
      <c r="O202" s="205"/>
      <c r="P202" s="210">
        <f>(表格3_5[[#This Row],[Out-Time2]] - 表格3_5[[#This Row],[In-Time2]])*24</f>
        <v>0</v>
      </c>
      <c r="Q202" s="205"/>
      <c r="R202" s="214">
        <f>_xlfn.XLOOKUP(表格3_5[[#This Row],[Name]],Name_list[Full Name],Name_list[Hourr Rate])</f>
        <v>0</v>
      </c>
      <c r="S202" s="210">
        <f>表格3_5[[#This Row],[Hours Worked]]*表格3_5[[#This Row],[Hourly Rate]]</f>
        <v>0</v>
      </c>
    </row>
    <row r="203" spans="1:19">
      <c r="A203" s="201">
        <v>201</v>
      </c>
      <c r="B203" s="210" t="str">
        <f>_xlfn.CONCAT(表格3_5[[#This Row],[Name]],表格3_5[[#This Row],[Location]])</f>
        <v/>
      </c>
      <c r="C203" s="211" t="str">
        <f>表格3_5[[#This Row],[Location]] &amp; 表格3_5[[#This Row],[Date]] &amp;表格3_5[[#This Row],[Nick Name]]</f>
        <v>0</v>
      </c>
      <c r="D203" s="202"/>
      <c r="E203" s="211" t="str">
        <f>DAY(表格3_5[[#This Row],[Date]])&amp;""</f>
        <v>0</v>
      </c>
      <c r="F203" s="203"/>
      <c r="G203" s="216">
        <f>_xlfn.XLOOKUP(表格3_5[[#This Row],[Name]],Name_list[Full Name],Name_list[Nick Name])</f>
        <v>0</v>
      </c>
      <c r="H203" s="207"/>
      <c r="I203" s="228"/>
      <c r="J203" s="218"/>
      <c r="K203" s="205"/>
      <c r="L203" s="210">
        <f>(表格3_5[[#This Row],[Out-Time]] - 表格3_5[[#This Row],[In-Time]])*24</f>
        <v>0</v>
      </c>
      <c r="M203" s="210">
        <f>表格3_5[[#This Row],[ Hours]]-表格3_5[[#This Row],[Normal working
 hours]]</f>
        <v>0</v>
      </c>
      <c r="N203" s="205"/>
      <c r="O203" s="205"/>
      <c r="P203" s="210">
        <f>(表格3_5[[#This Row],[Out-Time2]] - 表格3_5[[#This Row],[In-Time2]])*24</f>
        <v>0</v>
      </c>
      <c r="Q203" s="205"/>
      <c r="R203" s="214">
        <f>_xlfn.XLOOKUP(表格3_5[[#This Row],[Name]],Name_list[Full Name],Name_list[Hourr Rate])</f>
        <v>0</v>
      </c>
      <c r="S203" s="210">
        <f>表格3_5[[#This Row],[Hours Worked]]*表格3_5[[#This Row],[Hourly Rate]]</f>
        <v>0</v>
      </c>
    </row>
    <row r="204" spans="1:19">
      <c r="A204" s="201">
        <v>202</v>
      </c>
      <c r="B204" s="210" t="str">
        <f>_xlfn.CONCAT(表格3_5[[#This Row],[Name]],表格3_5[[#This Row],[Location]])</f>
        <v/>
      </c>
      <c r="C204" s="211" t="str">
        <f>表格3_5[[#This Row],[Location]] &amp; 表格3_5[[#This Row],[Date]] &amp;表格3_5[[#This Row],[Nick Name]]</f>
        <v>0</v>
      </c>
      <c r="D204" s="202"/>
      <c r="E204" s="211" t="str">
        <f>DAY(表格3_5[[#This Row],[Date]])&amp;""</f>
        <v>0</v>
      </c>
      <c r="F204" s="203"/>
      <c r="G204" s="216">
        <f>_xlfn.XLOOKUP(表格3_5[[#This Row],[Name]],Name_list[Full Name],Name_list[Nick Name])</f>
        <v>0</v>
      </c>
      <c r="H204" s="207"/>
      <c r="I204" s="228"/>
      <c r="J204" s="218"/>
      <c r="K204" s="205"/>
      <c r="L204" s="210">
        <f>(表格3_5[[#This Row],[Out-Time]] - 表格3_5[[#This Row],[In-Time]])*24</f>
        <v>0</v>
      </c>
      <c r="M204" s="210">
        <f>表格3_5[[#This Row],[ Hours]]-表格3_5[[#This Row],[Normal working
 hours]]</f>
        <v>0</v>
      </c>
      <c r="N204" s="205"/>
      <c r="O204" s="205"/>
      <c r="P204" s="210">
        <f>(表格3_5[[#This Row],[Out-Time2]] - 表格3_5[[#This Row],[In-Time2]])*24</f>
        <v>0</v>
      </c>
      <c r="Q204" s="205"/>
      <c r="R204" s="214">
        <f>_xlfn.XLOOKUP(表格3_5[[#This Row],[Name]],Name_list[Full Name],Name_list[Hourr Rate])</f>
        <v>0</v>
      </c>
      <c r="S204" s="210">
        <f>表格3_5[[#This Row],[Hours Worked]]*表格3_5[[#This Row],[Hourly Rate]]</f>
        <v>0</v>
      </c>
    </row>
    <row r="205" spans="1:19">
      <c r="A205" s="201">
        <v>203</v>
      </c>
      <c r="B205" s="210" t="str">
        <f>_xlfn.CONCAT(表格3_5[[#This Row],[Name]],表格3_5[[#This Row],[Location]])</f>
        <v/>
      </c>
      <c r="C205" s="211" t="str">
        <f>表格3_5[[#This Row],[Location]] &amp; 表格3_5[[#This Row],[Date]] &amp;表格3_5[[#This Row],[Nick Name]]</f>
        <v>0</v>
      </c>
      <c r="D205" s="202"/>
      <c r="E205" s="211" t="str">
        <f>DAY(表格3_5[[#This Row],[Date]])&amp;""</f>
        <v>0</v>
      </c>
      <c r="F205" s="203"/>
      <c r="G205" s="216">
        <f>_xlfn.XLOOKUP(表格3_5[[#This Row],[Name]],Name_list[Full Name],Name_list[Nick Name])</f>
        <v>0</v>
      </c>
      <c r="H205" s="207"/>
      <c r="I205" s="228"/>
      <c r="J205" s="218"/>
      <c r="K205" s="205"/>
      <c r="L205" s="210">
        <f>(表格3_5[[#This Row],[Out-Time]] - 表格3_5[[#This Row],[In-Time]])*24</f>
        <v>0</v>
      </c>
      <c r="M205" s="210">
        <f>表格3_5[[#This Row],[ Hours]]-表格3_5[[#This Row],[Normal working
 hours]]</f>
        <v>0</v>
      </c>
      <c r="N205" s="205"/>
      <c r="O205" s="205"/>
      <c r="P205" s="210">
        <f>(表格3_5[[#This Row],[Out-Time2]] - 表格3_5[[#This Row],[In-Time2]])*24</f>
        <v>0</v>
      </c>
      <c r="Q205" s="205"/>
      <c r="R205" s="214">
        <f>_xlfn.XLOOKUP(表格3_5[[#This Row],[Name]],Name_list[Full Name],Name_list[Hourr Rate])</f>
        <v>0</v>
      </c>
      <c r="S205" s="210">
        <f>表格3_5[[#This Row],[Hours Worked]]*表格3_5[[#This Row],[Hourly Rate]]</f>
        <v>0</v>
      </c>
    </row>
    <row r="206" spans="1:19">
      <c r="A206" s="201">
        <v>204</v>
      </c>
      <c r="B206" s="210" t="str">
        <f>_xlfn.CONCAT(表格3_5[[#This Row],[Name]],表格3_5[[#This Row],[Location]])</f>
        <v/>
      </c>
      <c r="C206" s="211" t="str">
        <f>表格3_5[[#This Row],[Location]] &amp; 表格3_5[[#This Row],[Date]] &amp;表格3_5[[#This Row],[Nick Name]]</f>
        <v>0</v>
      </c>
      <c r="D206" s="202"/>
      <c r="E206" s="211" t="str">
        <f>DAY(表格3_5[[#This Row],[Date]])&amp;""</f>
        <v>0</v>
      </c>
      <c r="F206" s="203"/>
      <c r="G206" s="216">
        <f>_xlfn.XLOOKUP(表格3_5[[#This Row],[Name]],Name_list[Full Name],Name_list[Nick Name])</f>
        <v>0</v>
      </c>
      <c r="H206" s="207"/>
      <c r="I206" s="228"/>
      <c r="J206" s="218"/>
      <c r="K206" s="205"/>
      <c r="L206" s="210">
        <f>(表格3_5[[#This Row],[Out-Time]] - 表格3_5[[#This Row],[In-Time]])*24</f>
        <v>0</v>
      </c>
      <c r="M206" s="210">
        <f>表格3_5[[#This Row],[ Hours]]-表格3_5[[#This Row],[Normal working
 hours]]</f>
        <v>0</v>
      </c>
      <c r="N206" s="205"/>
      <c r="O206" s="205"/>
      <c r="P206" s="210">
        <f>(表格3_5[[#This Row],[Out-Time2]] - 表格3_5[[#This Row],[In-Time2]])*24</f>
        <v>0</v>
      </c>
      <c r="Q206" s="205"/>
      <c r="R206" s="214">
        <f>_xlfn.XLOOKUP(表格3_5[[#This Row],[Name]],Name_list[Full Name],Name_list[Hourr Rate])</f>
        <v>0</v>
      </c>
      <c r="S206" s="210">
        <f>表格3_5[[#This Row],[Hours Worked]]*表格3_5[[#This Row],[Hourly Rate]]</f>
        <v>0</v>
      </c>
    </row>
    <row r="207" spans="1:19">
      <c r="A207" s="201">
        <v>205</v>
      </c>
      <c r="B207" s="210" t="str">
        <f>_xlfn.CONCAT(表格3_5[[#This Row],[Name]],表格3_5[[#This Row],[Location]])</f>
        <v/>
      </c>
      <c r="C207" s="211" t="str">
        <f>表格3_5[[#This Row],[Location]] &amp; 表格3_5[[#This Row],[Date]] &amp;表格3_5[[#This Row],[Nick Name]]</f>
        <v>0</v>
      </c>
      <c r="D207" s="202"/>
      <c r="E207" s="211" t="str">
        <f>DAY(表格3_5[[#This Row],[Date]])&amp;""</f>
        <v>0</v>
      </c>
      <c r="F207" s="203"/>
      <c r="G207" s="216">
        <f>_xlfn.XLOOKUP(表格3_5[[#This Row],[Name]],Name_list[Full Name],Name_list[Nick Name])</f>
        <v>0</v>
      </c>
      <c r="H207" s="207"/>
      <c r="I207" s="228"/>
      <c r="J207" s="218"/>
      <c r="K207" s="205"/>
      <c r="L207" s="210">
        <f>(表格3_5[[#This Row],[Out-Time]] - 表格3_5[[#This Row],[In-Time]])*24</f>
        <v>0</v>
      </c>
      <c r="M207" s="210">
        <f>表格3_5[[#This Row],[ Hours]]-表格3_5[[#This Row],[Normal working
 hours]]</f>
        <v>0</v>
      </c>
      <c r="N207" s="205"/>
      <c r="O207" s="205"/>
      <c r="P207" s="210">
        <f>(表格3_5[[#This Row],[Out-Time2]] - 表格3_5[[#This Row],[In-Time2]])*24</f>
        <v>0</v>
      </c>
      <c r="Q207" s="205"/>
      <c r="R207" s="214">
        <f>_xlfn.XLOOKUP(表格3_5[[#This Row],[Name]],Name_list[Full Name],Name_list[Hourr Rate])</f>
        <v>0</v>
      </c>
      <c r="S207" s="210">
        <f>表格3_5[[#This Row],[Hours Worked]]*表格3_5[[#This Row],[Hourly Rate]]</f>
        <v>0</v>
      </c>
    </row>
    <row r="208" spans="1:19">
      <c r="A208" s="201">
        <v>206</v>
      </c>
      <c r="B208" s="210" t="str">
        <f>_xlfn.CONCAT(表格3_5[[#This Row],[Name]],表格3_5[[#This Row],[Location]])</f>
        <v/>
      </c>
      <c r="C208" s="211" t="str">
        <f>表格3_5[[#This Row],[Location]] &amp; 表格3_5[[#This Row],[Date]] &amp;表格3_5[[#This Row],[Nick Name]]</f>
        <v>0</v>
      </c>
      <c r="D208" s="202"/>
      <c r="E208" s="211" t="str">
        <f>DAY(表格3_5[[#This Row],[Date]])&amp;""</f>
        <v>0</v>
      </c>
      <c r="F208" s="203"/>
      <c r="G208" s="216">
        <f>_xlfn.XLOOKUP(表格3_5[[#This Row],[Name]],Name_list[Full Name],Name_list[Nick Name])</f>
        <v>0</v>
      </c>
      <c r="H208" s="207"/>
      <c r="I208" s="228"/>
      <c r="J208" s="218"/>
      <c r="K208" s="205"/>
      <c r="L208" s="210">
        <f>(表格3_5[[#This Row],[Out-Time]] - 表格3_5[[#This Row],[In-Time]])*24</f>
        <v>0</v>
      </c>
      <c r="M208" s="210">
        <f>表格3_5[[#This Row],[ Hours]]-表格3_5[[#This Row],[Normal working
 hours]]</f>
        <v>0</v>
      </c>
      <c r="N208" s="205"/>
      <c r="O208" s="205"/>
      <c r="P208" s="210">
        <f>(表格3_5[[#This Row],[Out-Time2]] - 表格3_5[[#This Row],[In-Time2]])*24</f>
        <v>0</v>
      </c>
      <c r="Q208" s="205"/>
      <c r="R208" s="214">
        <f>_xlfn.XLOOKUP(表格3_5[[#This Row],[Name]],Name_list[Full Name],Name_list[Hourr Rate])</f>
        <v>0</v>
      </c>
      <c r="S208" s="210">
        <f>表格3_5[[#This Row],[Hours Worked]]*表格3_5[[#This Row],[Hourly Rate]]</f>
        <v>0</v>
      </c>
    </row>
    <row r="209" spans="1:19">
      <c r="A209" s="201">
        <v>207</v>
      </c>
      <c r="B209" s="210" t="str">
        <f>_xlfn.CONCAT(表格3_5[[#This Row],[Name]],表格3_5[[#This Row],[Location]])</f>
        <v/>
      </c>
      <c r="C209" s="211" t="str">
        <f>表格3_5[[#This Row],[Location]] &amp; 表格3_5[[#This Row],[Date]] &amp;表格3_5[[#This Row],[Nick Name]]</f>
        <v>0</v>
      </c>
      <c r="D209" s="202"/>
      <c r="E209" s="211" t="str">
        <f>DAY(表格3_5[[#This Row],[Date]])&amp;""</f>
        <v>0</v>
      </c>
      <c r="F209" s="203"/>
      <c r="G209" s="216">
        <f>_xlfn.XLOOKUP(表格3_5[[#This Row],[Name]],Name_list[Full Name],Name_list[Nick Name])</f>
        <v>0</v>
      </c>
      <c r="H209" s="207"/>
      <c r="I209" s="228"/>
      <c r="J209" s="218"/>
      <c r="K209" s="205"/>
      <c r="L209" s="210">
        <f>(表格3_5[[#This Row],[Out-Time]] - 表格3_5[[#This Row],[In-Time]])*24</f>
        <v>0</v>
      </c>
      <c r="M209" s="210">
        <f>表格3_5[[#This Row],[ Hours]]-表格3_5[[#This Row],[Normal working
 hours]]</f>
        <v>0</v>
      </c>
      <c r="N209" s="205"/>
      <c r="O209" s="205"/>
      <c r="P209" s="210">
        <f>(表格3_5[[#This Row],[Out-Time2]] - 表格3_5[[#This Row],[In-Time2]])*24</f>
        <v>0</v>
      </c>
      <c r="Q209" s="205"/>
      <c r="R209" s="214">
        <f>_xlfn.XLOOKUP(表格3_5[[#This Row],[Name]],Name_list[Full Name],Name_list[Hourr Rate])</f>
        <v>0</v>
      </c>
      <c r="S209" s="210">
        <f>表格3_5[[#This Row],[Hours Worked]]*表格3_5[[#This Row],[Hourly Rate]]</f>
        <v>0</v>
      </c>
    </row>
    <row r="210" spans="1:19">
      <c r="A210" s="201">
        <v>208</v>
      </c>
      <c r="B210" s="210" t="str">
        <f>_xlfn.CONCAT(表格3_5[[#This Row],[Name]],表格3_5[[#This Row],[Location]])</f>
        <v/>
      </c>
      <c r="C210" s="211" t="str">
        <f>表格3_5[[#This Row],[Location]] &amp; 表格3_5[[#This Row],[Date]] &amp;表格3_5[[#This Row],[Nick Name]]</f>
        <v>0</v>
      </c>
      <c r="D210" s="202"/>
      <c r="E210" s="211" t="str">
        <f>DAY(表格3_5[[#This Row],[Date]])&amp;""</f>
        <v>0</v>
      </c>
      <c r="F210" s="203"/>
      <c r="G210" s="216">
        <f>_xlfn.XLOOKUP(表格3_5[[#This Row],[Name]],Name_list[Full Name],Name_list[Nick Name])</f>
        <v>0</v>
      </c>
      <c r="H210" s="207"/>
      <c r="I210" s="228"/>
      <c r="J210" s="218"/>
      <c r="K210" s="205"/>
      <c r="L210" s="210">
        <f>(表格3_5[[#This Row],[Out-Time]] - 表格3_5[[#This Row],[In-Time]])*24</f>
        <v>0</v>
      </c>
      <c r="M210" s="210">
        <f>表格3_5[[#This Row],[ Hours]]-表格3_5[[#This Row],[Normal working
 hours]]</f>
        <v>0</v>
      </c>
      <c r="N210" s="205"/>
      <c r="O210" s="205"/>
      <c r="P210" s="210">
        <f>(表格3_5[[#This Row],[Out-Time2]] - 表格3_5[[#This Row],[In-Time2]])*24</f>
        <v>0</v>
      </c>
      <c r="Q210" s="205"/>
      <c r="R210" s="214">
        <f>_xlfn.XLOOKUP(表格3_5[[#This Row],[Name]],Name_list[Full Name],Name_list[Hourr Rate])</f>
        <v>0</v>
      </c>
      <c r="S210" s="210">
        <f>表格3_5[[#This Row],[Hours Worked]]*表格3_5[[#This Row],[Hourly Rate]]</f>
        <v>0</v>
      </c>
    </row>
    <row r="211" spans="1:19">
      <c r="A211" s="201">
        <v>209</v>
      </c>
      <c r="B211" s="210" t="str">
        <f>_xlfn.CONCAT(表格3_5[[#This Row],[Name]],表格3_5[[#This Row],[Location]])</f>
        <v/>
      </c>
      <c r="C211" s="211" t="str">
        <f>表格3_5[[#This Row],[Location]] &amp; 表格3_5[[#This Row],[Date]] &amp;表格3_5[[#This Row],[Nick Name]]</f>
        <v>0</v>
      </c>
      <c r="D211" s="202"/>
      <c r="E211" s="211" t="str">
        <f>DAY(表格3_5[[#This Row],[Date]])&amp;""</f>
        <v>0</v>
      </c>
      <c r="F211" s="203"/>
      <c r="G211" s="216">
        <f>_xlfn.XLOOKUP(表格3_5[[#This Row],[Name]],Name_list[Full Name],Name_list[Nick Name])</f>
        <v>0</v>
      </c>
      <c r="H211" s="207"/>
      <c r="I211" s="228"/>
      <c r="J211" s="218"/>
      <c r="K211" s="205"/>
      <c r="L211" s="210">
        <f>(表格3_5[[#This Row],[Out-Time]] - 表格3_5[[#This Row],[In-Time]])*24</f>
        <v>0</v>
      </c>
      <c r="M211" s="210">
        <f>表格3_5[[#This Row],[ Hours]]-表格3_5[[#This Row],[Normal working
 hours]]</f>
        <v>0</v>
      </c>
      <c r="N211" s="205"/>
      <c r="O211" s="205"/>
      <c r="P211" s="210">
        <f>(表格3_5[[#This Row],[Out-Time2]] - 表格3_5[[#This Row],[In-Time2]])*24</f>
        <v>0</v>
      </c>
      <c r="Q211" s="205"/>
      <c r="R211" s="214">
        <f>_xlfn.XLOOKUP(表格3_5[[#This Row],[Name]],Name_list[Full Name],Name_list[Hourr Rate])</f>
        <v>0</v>
      </c>
      <c r="S211" s="210">
        <f>表格3_5[[#This Row],[Hours Worked]]*表格3_5[[#This Row],[Hourly Rate]]</f>
        <v>0</v>
      </c>
    </row>
    <row r="212" spans="1:19">
      <c r="A212" s="201">
        <v>210</v>
      </c>
      <c r="B212" s="210" t="str">
        <f>_xlfn.CONCAT(表格3_5[[#This Row],[Name]],表格3_5[[#This Row],[Location]])</f>
        <v/>
      </c>
      <c r="C212" s="211" t="str">
        <f>表格3_5[[#This Row],[Location]] &amp; 表格3_5[[#This Row],[Date]] &amp;表格3_5[[#This Row],[Nick Name]]</f>
        <v>0</v>
      </c>
      <c r="D212" s="202"/>
      <c r="E212" s="211" t="str">
        <f>DAY(表格3_5[[#This Row],[Date]])&amp;""</f>
        <v>0</v>
      </c>
      <c r="F212" s="203"/>
      <c r="G212" s="216">
        <f>_xlfn.XLOOKUP(表格3_5[[#This Row],[Name]],Name_list[Full Name],Name_list[Nick Name])</f>
        <v>0</v>
      </c>
      <c r="H212" s="207"/>
      <c r="I212" s="228"/>
      <c r="J212" s="218"/>
      <c r="K212" s="205"/>
      <c r="L212" s="210">
        <f>(表格3_5[[#This Row],[Out-Time]] - 表格3_5[[#This Row],[In-Time]])*24</f>
        <v>0</v>
      </c>
      <c r="M212" s="210">
        <f>表格3_5[[#This Row],[ Hours]]-表格3_5[[#This Row],[Normal working
 hours]]</f>
        <v>0</v>
      </c>
      <c r="N212" s="205"/>
      <c r="O212" s="205"/>
      <c r="P212" s="210">
        <f>(表格3_5[[#This Row],[Out-Time2]] - 表格3_5[[#This Row],[In-Time2]])*24</f>
        <v>0</v>
      </c>
      <c r="Q212" s="205"/>
      <c r="R212" s="214">
        <f>_xlfn.XLOOKUP(表格3_5[[#This Row],[Name]],Name_list[Full Name],Name_list[Hourr Rate])</f>
        <v>0</v>
      </c>
      <c r="S212" s="210">
        <f>表格3_5[[#This Row],[Hours Worked]]*表格3_5[[#This Row],[Hourly Rate]]</f>
        <v>0</v>
      </c>
    </row>
    <row r="213" spans="1:19">
      <c r="A213" s="201">
        <v>211</v>
      </c>
      <c r="B213" s="210" t="str">
        <f>_xlfn.CONCAT(表格3_5[[#This Row],[Name]],表格3_5[[#This Row],[Location]])</f>
        <v/>
      </c>
      <c r="C213" s="211" t="str">
        <f>表格3_5[[#This Row],[Location]] &amp; 表格3_5[[#This Row],[Date]] &amp;表格3_5[[#This Row],[Nick Name]]</f>
        <v>0</v>
      </c>
      <c r="D213" s="202"/>
      <c r="E213" s="211" t="str">
        <f>DAY(表格3_5[[#This Row],[Date]])&amp;""</f>
        <v>0</v>
      </c>
      <c r="F213" s="203"/>
      <c r="G213" s="216">
        <f>_xlfn.XLOOKUP(表格3_5[[#This Row],[Name]],Name_list[Full Name],Name_list[Nick Name])</f>
        <v>0</v>
      </c>
      <c r="H213" s="207"/>
      <c r="I213" s="228"/>
      <c r="J213" s="218"/>
      <c r="K213" s="205"/>
      <c r="L213" s="210">
        <f>(表格3_5[[#This Row],[Out-Time]] - 表格3_5[[#This Row],[In-Time]])*24</f>
        <v>0</v>
      </c>
      <c r="M213" s="210">
        <f>表格3_5[[#This Row],[ Hours]]-表格3_5[[#This Row],[Normal working
 hours]]</f>
        <v>0</v>
      </c>
      <c r="N213" s="205"/>
      <c r="O213" s="205"/>
      <c r="P213" s="210">
        <f>(表格3_5[[#This Row],[Out-Time2]] - 表格3_5[[#This Row],[In-Time2]])*24</f>
        <v>0</v>
      </c>
      <c r="Q213" s="205"/>
      <c r="R213" s="214">
        <f>_xlfn.XLOOKUP(表格3_5[[#This Row],[Name]],Name_list[Full Name],Name_list[Hourr Rate])</f>
        <v>0</v>
      </c>
      <c r="S213" s="210">
        <f>表格3_5[[#This Row],[Hours Worked]]*表格3_5[[#This Row],[Hourly Rate]]</f>
        <v>0</v>
      </c>
    </row>
    <row r="214" spans="1:19">
      <c r="A214" s="201">
        <v>212</v>
      </c>
      <c r="B214" s="210" t="str">
        <f>_xlfn.CONCAT(表格3_5[[#This Row],[Name]],表格3_5[[#This Row],[Location]])</f>
        <v/>
      </c>
      <c r="C214" s="211" t="str">
        <f>表格3_5[[#This Row],[Location]] &amp; 表格3_5[[#This Row],[Date]] &amp;表格3_5[[#This Row],[Nick Name]]</f>
        <v>0</v>
      </c>
      <c r="D214" s="202"/>
      <c r="E214" s="211" t="str">
        <f>DAY(表格3_5[[#This Row],[Date]])&amp;""</f>
        <v>0</v>
      </c>
      <c r="F214" s="203"/>
      <c r="G214" s="216">
        <f>_xlfn.XLOOKUP(表格3_5[[#This Row],[Name]],Name_list[Full Name],Name_list[Nick Name])</f>
        <v>0</v>
      </c>
      <c r="H214" s="207"/>
      <c r="I214" s="228"/>
      <c r="J214" s="218"/>
      <c r="K214" s="205"/>
      <c r="L214" s="210">
        <f>(表格3_5[[#This Row],[Out-Time]] - 表格3_5[[#This Row],[In-Time]])*24</f>
        <v>0</v>
      </c>
      <c r="M214" s="210">
        <f>表格3_5[[#This Row],[ Hours]]-表格3_5[[#This Row],[Normal working
 hours]]</f>
        <v>0</v>
      </c>
      <c r="N214" s="205"/>
      <c r="O214" s="205"/>
      <c r="P214" s="210">
        <f>(表格3_5[[#This Row],[Out-Time2]] - 表格3_5[[#This Row],[In-Time2]])*24</f>
        <v>0</v>
      </c>
      <c r="Q214" s="205"/>
      <c r="R214" s="214">
        <f>_xlfn.XLOOKUP(表格3_5[[#This Row],[Name]],Name_list[Full Name],Name_list[Hourr Rate])</f>
        <v>0</v>
      </c>
      <c r="S214" s="210">
        <f>表格3_5[[#This Row],[Hours Worked]]*表格3_5[[#This Row],[Hourly Rate]]</f>
        <v>0</v>
      </c>
    </row>
    <row r="215" spans="1:19">
      <c r="A215" s="201">
        <v>213</v>
      </c>
      <c r="B215" s="210" t="str">
        <f>_xlfn.CONCAT(表格3_5[[#This Row],[Name]],表格3_5[[#This Row],[Location]])</f>
        <v/>
      </c>
      <c r="C215" s="211" t="str">
        <f>表格3_5[[#This Row],[Location]] &amp; 表格3_5[[#This Row],[Date]] &amp;表格3_5[[#This Row],[Nick Name]]</f>
        <v>0</v>
      </c>
      <c r="D215" s="202"/>
      <c r="E215" s="211" t="str">
        <f>DAY(表格3_5[[#This Row],[Date]])&amp;""</f>
        <v>0</v>
      </c>
      <c r="F215" s="203"/>
      <c r="G215" s="216">
        <f>_xlfn.XLOOKUP(表格3_5[[#This Row],[Name]],Name_list[Full Name],Name_list[Nick Name])</f>
        <v>0</v>
      </c>
      <c r="H215" s="207"/>
      <c r="I215" s="228"/>
      <c r="J215" s="218"/>
      <c r="K215" s="205"/>
      <c r="L215" s="210">
        <f>(表格3_5[[#This Row],[Out-Time]] - 表格3_5[[#This Row],[In-Time]])*24</f>
        <v>0</v>
      </c>
      <c r="M215" s="210">
        <f>表格3_5[[#This Row],[ Hours]]-表格3_5[[#This Row],[Normal working
 hours]]</f>
        <v>0</v>
      </c>
      <c r="N215" s="205"/>
      <c r="O215" s="205"/>
      <c r="P215" s="210">
        <f>(表格3_5[[#This Row],[Out-Time2]] - 表格3_5[[#This Row],[In-Time2]])*24</f>
        <v>0</v>
      </c>
      <c r="Q215" s="205"/>
      <c r="R215" s="214">
        <f>_xlfn.XLOOKUP(表格3_5[[#This Row],[Name]],Name_list[Full Name],Name_list[Hourr Rate])</f>
        <v>0</v>
      </c>
      <c r="S215" s="210">
        <f>表格3_5[[#This Row],[Hours Worked]]*表格3_5[[#This Row],[Hourly Rate]]</f>
        <v>0</v>
      </c>
    </row>
    <row r="216" spans="1:19">
      <c r="A216" s="201">
        <v>214</v>
      </c>
      <c r="B216" s="210" t="str">
        <f>_xlfn.CONCAT(表格3_5[[#This Row],[Name]],表格3_5[[#This Row],[Location]])</f>
        <v/>
      </c>
      <c r="C216" s="211" t="str">
        <f>表格3_5[[#This Row],[Location]] &amp; 表格3_5[[#This Row],[Date]] &amp;表格3_5[[#This Row],[Nick Name]]</f>
        <v>0</v>
      </c>
      <c r="D216" s="202"/>
      <c r="E216" s="211" t="str">
        <f>DAY(表格3_5[[#This Row],[Date]])&amp;""</f>
        <v>0</v>
      </c>
      <c r="F216" s="203"/>
      <c r="G216" s="216">
        <f>_xlfn.XLOOKUP(表格3_5[[#This Row],[Name]],Name_list[Full Name],Name_list[Nick Name])</f>
        <v>0</v>
      </c>
      <c r="H216" s="207"/>
      <c r="I216" s="228"/>
      <c r="J216" s="218"/>
      <c r="K216" s="205"/>
      <c r="L216" s="210">
        <f>(表格3_5[[#This Row],[Out-Time]] - 表格3_5[[#This Row],[In-Time]])*24</f>
        <v>0</v>
      </c>
      <c r="M216" s="210">
        <f>表格3_5[[#This Row],[ Hours]]-表格3_5[[#This Row],[Normal working
 hours]]</f>
        <v>0</v>
      </c>
      <c r="N216" s="205"/>
      <c r="O216" s="205"/>
      <c r="P216" s="210">
        <f>(表格3_5[[#This Row],[Out-Time2]] - 表格3_5[[#This Row],[In-Time2]])*24</f>
        <v>0</v>
      </c>
      <c r="Q216" s="205"/>
      <c r="R216" s="214">
        <f>_xlfn.XLOOKUP(表格3_5[[#This Row],[Name]],Name_list[Full Name],Name_list[Hourr Rate])</f>
        <v>0</v>
      </c>
      <c r="S216" s="210">
        <f>表格3_5[[#This Row],[Hours Worked]]*表格3_5[[#This Row],[Hourly Rate]]</f>
        <v>0</v>
      </c>
    </row>
    <row r="217" spans="1:19">
      <c r="A217" s="201">
        <v>215</v>
      </c>
      <c r="B217" s="210" t="str">
        <f>_xlfn.CONCAT(表格3_5[[#This Row],[Name]],表格3_5[[#This Row],[Location]])</f>
        <v/>
      </c>
      <c r="C217" s="211" t="str">
        <f>表格3_5[[#This Row],[Location]] &amp; 表格3_5[[#This Row],[Date]] &amp;表格3_5[[#This Row],[Nick Name]]</f>
        <v>0</v>
      </c>
      <c r="D217" s="202"/>
      <c r="E217" s="211" t="str">
        <f>DAY(表格3_5[[#This Row],[Date]])&amp;""</f>
        <v>0</v>
      </c>
      <c r="F217" s="203"/>
      <c r="G217" s="216">
        <f>_xlfn.XLOOKUP(表格3_5[[#This Row],[Name]],Name_list[Full Name],Name_list[Nick Name])</f>
        <v>0</v>
      </c>
      <c r="H217" s="207"/>
      <c r="I217" s="228"/>
      <c r="J217" s="218"/>
      <c r="K217" s="205"/>
      <c r="L217" s="210">
        <f>(表格3_5[[#This Row],[Out-Time]] - 表格3_5[[#This Row],[In-Time]])*24</f>
        <v>0</v>
      </c>
      <c r="M217" s="210">
        <f>表格3_5[[#This Row],[ Hours]]-表格3_5[[#This Row],[Normal working
 hours]]</f>
        <v>0</v>
      </c>
      <c r="N217" s="205"/>
      <c r="O217" s="205"/>
      <c r="P217" s="210">
        <f>(表格3_5[[#This Row],[Out-Time2]] - 表格3_5[[#This Row],[In-Time2]])*24</f>
        <v>0</v>
      </c>
      <c r="Q217" s="205"/>
      <c r="R217" s="214">
        <f>_xlfn.XLOOKUP(表格3_5[[#This Row],[Name]],Name_list[Full Name],Name_list[Hourr Rate])</f>
        <v>0</v>
      </c>
      <c r="S217" s="210">
        <f>表格3_5[[#This Row],[Hours Worked]]*表格3_5[[#This Row],[Hourly Rate]]</f>
        <v>0</v>
      </c>
    </row>
    <row r="218" spans="1:19">
      <c r="A218" s="201">
        <v>216</v>
      </c>
      <c r="B218" s="210" t="str">
        <f>_xlfn.CONCAT(表格3_5[[#This Row],[Name]],表格3_5[[#This Row],[Location]])</f>
        <v/>
      </c>
      <c r="C218" s="211" t="str">
        <f>表格3_5[[#This Row],[Location]] &amp; 表格3_5[[#This Row],[Date]] &amp;表格3_5[[#This Row],[Nick Name]]</f>
        <v>0</v>
      </c>
      <c r="D218" s="202"/>
      <c r="E218" s="211" t="str">
        <f>DAY(表格3_5[[#This Row],[Date]])&amp;""</f>
        <v>0</v>
      </c>
      <c r="F218" s="203"/>
      <c r="G218" s="216">
        <f>_xlfn.XLOOKUP(表格3_5[[#This Row],[Name]],Name_list[Full Name],Name_list[Nick Name])</f>
        <v>0</v>
      </c>
      <c r="H218" s="207"/>
      <c r="I218" s="228"/>
      <c r="J218" s="218"/>
      <c r="K218" s="205"/>
      <c r="L218" s="210">
        <f>(表格3_5[[#This Row],[Out-Time]] - 表格3_5[[#This Row],[In-Time]])*24</f>
        <v>0</v>
      </c>
      <c r="M218" s="210">
        <f>表格3_5[[#This Row],[ Hours]]-表格3_5[[#This Row],[Normal working
 hours]]</f>
        <v>0</v>
      </c>
      <c r="N218" s="205"/>
      <c r="O218" s="205"/>
      <c r="P218" s="210">
        <f>(表格3_5[[#This Row],[Out-Time2]] - 表格3_5[[#This Row],[In-Time2]])*24</f>
        <v>0</v>
      </c>
      <c r="Q218" s="205"/>
      <c r="R218" s="214">
        <f>_xlfn.XLOOKUP(表格3_5[[#This Row],[Name]],Name_list[Full Name],Name_list[Hourr Rate])</f>
        <v>0</v>
      </c>
      <c r="S218" s="210">
        <f>表格3_5[[#This Row],[Hours Worked]]*表格3_5[[#This Row],[Hourly Rate]]</f>
        <v>0</v>
      </c>
    </row>
    <row r="219" spans="1:19">
      <c r="A219" s="201">
        <v>217</v>
      </c>
      <c r="B219" s="210" t="str">
        <f>_xlfn.CONCAT(表格3_5[[#This Row],[Name]],表格3_5[[#This Row],[Location]])</f>
        <v/>
      </c>
      <c r="C219" s="211" t="str">
        <f>表格3_5[[#This Row],[Location]] &amp; 表格3_5[[#This Row],[Date]] &amp;表格3_5[[#This Row],[Nick Name]]</f>
        <v>0</v>
      </c>
      <c r="D219" s="202"/>
      <c r="E219" s="211" t="str">
        <f>DAY(表格3_5[[#This Row],[Date]])&amp;""</f>
        <v>0</v>
      </c>
      <c r="F219" s="203"/>
      <c r="G219" s="216">
        <f>_xlfn.XLOOKUP(表格3_5[[#This Row],[Name]],Name_list[Full Name],Name_list[Nick Name])</f>
        <v>0</v>
      </c>
      <c r="H219" s="207"/>
      <c r="I219" s="228"/>
      <c r="J219" s="218"/>
      <c r="K219" s="205"/>
      <c r="L219" s="210">
        <f>(表格3_5[[#This Row],[Out-Time]] - 表格3_5[[#This Row],[In-Time]])*24</f>
        <v>0</v>
      </c>
      <c r="M219" s="210">
        <f>表格3_5[[#This Row],[ Hours]]-表格3_5[[#This Row],[Normal working
 hours]]</f>
        <v>0</v>
      </c>
      <c r="N219" s="205"/>
      <c r="O219" s="205"/>
      <c r="P219" s="210">
        <f>(表格3_5[[#This Row],[Out-Time2]] - 表格3_5[[#This Row],[In-Time2]])*24</f>
        <v>0</v>
      </c>
      <c r="Q219" s="205"/>
      <c r="R219" s="214">
        <f>_xlfn.XLOOKUP(表格3_5[[#This Row],[Name]],Name_list[Full Name],Name_list[Hourr Rate])</f>
        <v>0</v>
      </c>
      <c r="S219" s="210">
        <f>表格3_5[[#This Row],[Hours Worked]]*表格3_5[[#This Row],[Hourly Rate]]</f>
        <v>0</v>
      </c>
    </row>
    <row r="220" spans="1:19">
      <c r="A220" s="201">
        <v>218</v>
      </c>
      <c r="B220" s="210" t="str">
        <f>_xlfn.CONCAT(表格3_5[[#This Row],[Name]],表格3_5[[#This Row],[Location]])</f>
        <v/>
      </c>
      <c r="C220" s="211" t="str">
        <f>表格3_5[[#This Row],[Location]] &amp; 表格3_5[[#This Row],[Date]] &amp;表格3_5[[#This Row],[Nick Name]]</f>
        <v>0</v>
      </c>
      <c r="D220" s="202"/>
      <c r="E220" s="211" t="str">
        <f>DAY(表格3_5[[#This Row],[Date]])&amp;""</f>
        <v>0</v>
      </c>
      <c r="F220" s="203"/>
      <c r="G220" s="216">
        <f>_xlfn.XLOOKUP(表格3_5[[#This Row],[Name]],Name_list[Full Name],Name_list[Nick Name])</f>
        <v>0</v>
      </c>
      <c r="H220" s="207"/>
      <c r="I220" s="228"/>
      <c r="J220" s="218"/>
      <c r="K220" s="205"/>
      <c r="L220" s="210">
        <f>(表格3_5[[#This Row],[Out-Time]] - 表格3_5[[#This Row],[In-Time]])*24</f>
        <v>0</v>
      </c>
      <c r="M220" s="210">
        <f>表格3_5[[#This Row],[ Hours]]-表格3_5[[#This Row],[Normal working
 hours]]</f>
        <v>0</v>
      </c>
      <c r="N220" s="205"/>
      <c r="O220" s="205"/>
      <c r="P220" s="210">
        <f>(表格3_5[[#This Row],[Out-Time2]] - 表格3_5[[#This Row],[In-Time2]])*24</f>
        <v>0</v>
      </c>
      <c r="Q220" s="205"/>
      <c r="R220" s="214">
        <f>_xlfn.XLOOKUP(表格3_5[[#This Row],[Name]],Name_list[Full Name],Name_list[Hourr Rate])</f>
        <v>0</v>
      </c>
      <c r="S220" s="210">
        <f>表格3_5[[#This Row],[Hours Worked]]*表格3_5[[#This Row],[Hourly Rate]]</f>
        <v>0</v>
      </c>
    </row>
    <row r="221" spans="1:19">
      <c r="A221" s="201">
        <v>219</v>
      </c>
      <c r="B221" s="210" t="str">
        <f>_xlfn.CONCAT(表格3_5[[#This Row],[Name]],表格3_5[[#This Row],[Location]])</f>
        <v/>
      </c>
      <c r="C221" s="211" t="str">
        <f>表格3_5[[#This Row],[Location]] &amp; 表格3_5[[#This Row],[Date]] &amp;表格3_5[[#This Row],[Nick Name]]</f>
        <v>0</v>
      </c>
      <c r="D221" s="202"/>
      <c r="E221" s="211" t="str">
        <f>DAY(表格3_5[[#This Row],[Date]])&amp;""</f>
        <v>0</v>
      </c>
      <c r="F221" s="203"/>
      <c r="G221" s="216">
        <f>_xlfn.XLOOKUP(表格3_5[[#This Row],[Name]],Name_list[Full Name],Name_list[Nick Name])</f>
        <v>0</v>
      </c>
      <c r="H221" s="207"/>
      <c r="I221" s="228"/>
      <c r="J221" s="218"/>
      <c r="K221" s="205"/>
      <c r="L221" s="210">
        <f>(表格3_5[[#This Row],[Out-Time]] - 表格3_5[[#This Row],[In-Time]])*24</f>
        <v>0</v>
      </c>
      <c r="M221" s="210">
        <f>表格3_5[[#This Row],[ Hours]]-表格3_5[[#This Row],[Normal working
 hours]]</f>
        <v>0</v>
      </c>
      <c r="N221" s="205"/>
      <c r="O221" s="205"/>
      <c r="P221" s="210">
        <f>(表格3_5[[#This Row],[Out-Time2]] - 表格3_5[[#This Row],[In-Time2]])*24</f>
        <v>0</v>
      </c>
      <c r="Q221" s="205"/>
      <c r="R221" s="214">
        <f>_xlfn.XLOOKUP(表格3_5[[#This Row],[Name]],Name_list[Full Name],Name_list[Hourr Rate])</f>
        <v>0</v>
      </c>
      <c r="S221" s="210">
        <f>表格3_5[[#This Row],[Hours Worked]]*表格3_5[[#This Row],[Hourly Rate]]</f>
        <v>0</v>
      </c>
    </row>
    <row r="222" spans="1:19">
      <c r="A222" s="201">
        <v>220</v>
      </c>
      <c r="B222" s="210" t="str">
        <f>_xlfn.CONCAT(表格3_5[[#This Row],[Name]],表格3_5[[#This Row],[Location]])</f>
        <v/>
      </c>
      <c r="C222" s="211" t="str">
        <f>表格3_5[[#This Row],[Location]] &amp; 表格3_5[[#This Row],[Date]] &amp;表格3_5[[#This Row],[Nick Name]]</f>
        <v>0</v>
      </c>
      <c r="D222" s="202"/>
      <c r="E222" s="211" t="str">
        <f>DAY(表格3_5[[#This Row],[Date]])&amp;""</f>
        <v>0</v>
      </c>
      <c r="F222" s="203"/>
      <c r="G222" s="216">
        <f>_xlfn.XLOOKUP(表格3_5[[#This Row],[Name]],Name_list[Full Name],Name_list[Nick Name])</f>
        <v>0</v>
      </c>
      <c r="H222" s="207"/>
      <c r="I222" s="228"/>
      <c r="J222" s="218"/>
      <c r="K222" s="205"/>
      <c r="L222" s="210">
        <f>(表格3_5[[#This Row],[Out-Time]] - 表格3_5[[#This Row],[In-Time]])*24</f>
        <v>0</v>
      </c>
      <c r="M222" s="210">
        <f>表格3_5[[#This Row],[ Hours]]-表格3_5[[#This Row],[Normal working
 hours]]</f>
        <v>0</v>
      </c>
      <c r="N222" s="205"/>
      <c r="O222" s="205"/>
      <c r="P222" s="210">
        <f>(表格3_5[[#This Row],[Out-Time2]] - 表格3_5[[#This Row],[In-Time2]])*24</f>
        <v>0</v>
      </c>
      <c r="Q222" s="205"/>
      <c r="R222" s="214">
        <f>_xlfn.XLOOKUP(表格3_5[[#This Row],[Name]],Name_list[Full Name],Name_list[Hourr Rate])</f>
        <v>0</v>
      </c>
      <c r="S222" s="210">
        <f>表格3_5[[#This Row],[Hours Worked]]*表格3_5[[#This Row],[Hourly Rate]]</f>
        <v>0</v>
      </c>
    </row>
    <row r="223" spans="1:19">
      <c r="A223" s="201">
        <v>221</v>
      </c>
      <c r="B223" s="210" t="str">
        <f>_xlfn.CONCAT(表格3_5[[#This Row],[Name]],表格3_5[[#This Row],[Location]])</f>
        <v/>
      </c>
      <c r="C223" s="211" t="str">
        <f>表格3_5[[#This Row],[Location]] &amp; 表格3_5[[#This Row],[Date]] &amp;表格3_5[[#This Row],[Nick Name]]</f>
        <v>0</v>
      </c>
      <c r="D223" s="202"/>
      <c r="E223" s="211" t="str">
        <f>DAY(表格3_5[[#This Row],[Date]])&amp;""</f>
        <v>0</v>
      </c>
      <c r="F223" s="203"/>
      <c r="G223" s="216">
        <f>_xlfn.XLOOKUP(表格3_5[[#This Row],[Name]],Name_list[Full Name],Name_list[Nick Name])</f>
        <v>0</v>
      </c>
      <c r="H223" s="207"/>
      <c r="I223" s="228"/>
      <c r="J223" s="218"/>
      <c r="K223" s="205"/>
      <c r="L223" s="210">
        <f>(表格3_5[[#This Row],[Out-Time]] - 表格3_5[[#This Row],[In-Time]])*24</f>
        <v>0</v>
      </c>
      <c r="M223" s="210">
        <f>表格3_5[[#This Row],[ Hours]]-表格3_5[[#This Row],[Normal working
 hours]]</f>
        <v>0</v>
      </c>
      <c r="N223" s="205"/>
      <c r="O223" s="205"/>
      <c r="P223" s="210">
        <f>(表格3_5[[#This Row],[Out-Time2]] - 表格3_5[[#This Row],[In-Time2]])*24</f>
        <v>0</v>
      </c>
      <c r="Q223" s="205"/>
      <c r="R223" s="214">
        <f>_xlfn.XLOOKUP(表格3_5[[#This Row],[Name]],Name_list[Full Name],Name_list[Hourr Rate])</f>
        <v>0</v>
      </c>
      <c r="S223" s="210">
        <f>表格3_5[[#This Row],[Hours Worked]]*表格3_5[[#This Row],[Hourly Rate]]</f>
        <v>0</v>
      </c>
    </row>
    <row r="224" spans="1:19">
      <c r="A224" s="201">
        <v>222</v>
      </c>
      <c r="B224" s="210" t="str">
        <f>_xlfn.CONCAT(表格3_5[[#This Row],[Name]],表格3_5[[#This Row],[Location]])</f>
        <v/>
      </c>
      <c r="C224" s="211" t="str">
        <f>表格3_5[[#This Row],[Location]] &amp; 表格3_5[[#This Row],[Date]] &amp;表格3_5[[#This Row],[Nick Name]]</f>
        <v>0</v>
      </c>
      <c r="D224" s="202"/>
      <c r="E224" s="211" t="str">
        <f>DAY(表格3_5[[#This Row],[Date]])&amp;""</f>
        <v>0</v>
      </c>
      <c r="F224" s="203"/>
      <c r="G224" s="216">
        <f>_xlfn.XLOOKUP(表格3_5[[#This Row],[Name]],Name_list[Full Name],Name_list[Nick Name])</f>
        <v>0</v>
      </c>
      <c r="H224" s="207"/>
      <c r="I224" s="228"/>
      <c r="J224" s="218"/>
      <c r="K224" s="205"/>
      <c r="L224" s="210">
        <f>(表格3_5[[#This Row],[Out-Time]] - 表格3_5[[#This Row],[In-Time]])*24</f>
        <v>0</v>
      </c>
      <c r="M224" s="210">
        <f>表格3_5[[#This Row],[ Hours]]-表格3_5[[#This Row],[Normal working
 hours]]</f>
        <v>0</v>
      </c>
      <c r="N224" s="205"/>
      <c r="O224" s="205"/>
      <c r="P224" s="210">
        <f>(表格3_5[[#This Row],[Out-Time2]] - 表格3_5[[#This Row],[In-Time2]])*24</f>
        <v>0</v>
      </c>
      <c r="Q224" s="205"/>
      <c r="R224" s="214">
        <f>_xlfn.XLOOKUP(表格3_5[[#This Row],[Name]],Name_list[Full Name],Name_list[Hourr Rate])</f>
        <v>0</v>
      </c>
      <c r="S224" s="210">
        <f>表格3_5[[#This Row],[Hours Worked]]*表格3_5[[#This Row],[Hourly Rate]]</f>
        <v>0</v>
      </c>
    </row>
    <row r="225" spans="1:19">
      <c r="A225" s="201">
        <v>223</v>
      </c>
      <c r="B225" s="210" t="str">
        <f>_xlfn.CONCAT(表格3_5[[#This Row],[Name]],表格3_5[[#This Row],[Location]])</f>
        <v/>
      </c>
      <c r="C225" s="211" t="str">
        <f>表格3_5[[#This Row],[Location]] &amp; 表格3_5[[#This Row],[Date]] &amp;表格3_5[[#This Row],[Nick Name]]</f>
        <v>0</v>
      </c>
      <c r="D225" s="202"/>
      <c r="E225" s="211" t="str">
        <f>DAY(表格3_5[[#This Row],[Date]])&amp;""</f>
        <v>0</v>
      </c>
      <c r="F225" s="203"/>
      <c r="G225" s="216">
        <f>_xlfn.XLOOKUP(表格3_5[[#This Row],[Name]],Name_list[Full Name],Name_list[Nick Name])</f>
        <v>0</v>
      </c>
      <c r="H225" s="207"/>
      <c r="I225" s="228"/>
      <c r="J225" s="218"/>
      <c r="K225" s="205"/>
      <c r="L225" s="210">
        <f>(表格3_5[[#This Row],[Out-Time]] - 表格3_5[[#This Row],[In-Time]])*24</f>
        <v>0</v>
      </c>
      <c r="M225" s="210">
        <f>表格3_5[[#This Row],[ Hours]]-表格3_5[[#This Row],[Normal working
 hours]]</f>
        <v>0</v>
      </c>
      <c r="N225" s="205"/>
      <c r="O225" s="205"/>
      <c r="P225" s="210">
        <f>(表格3_5[[#This Row],[Out-Time2]] - 表格3_5[[#This Row],[In-Time2]])*24</f>
        <v>0</v>
      </c>
      <c r="Q225" s="205"/>
      <c r="R225" s="214">
        <f>_xlfn.XLOOKUP(表格3_5[[#This Row],[Name]],Name_list[Full Name],Name_list[Hourr Rate])</f>
        <v>0</v>
      </c>
      <c r="S225" s="210">
        <f>表格3_5[[#This Row],[Hours Worked]]*表格3_5[[#This Row],[Hourly Rate]]</f>
        <v>0</v>
      </c>
    </row>
    <row r="226" spans="1:19">
      <c r="A226" s="201">
        <v>224</v>
      </c>
      <c r="B226" s="210" t="str">
        <f>_xlfn.CONCAT(表格3_5[[#This Row],[Name]],表格3_5[[#This Row],[Location]])</f>
        <v/>
      </c>
      <c r="C226" s="211" t="str">
        <f>表格3_5[[#This Row],[Location]] &amp; 表格3_5[[#This Row],[Date]] &amp;表格3_5[[#This Row],[Nick Name]]</f>
        <v>0</v>
      </c>
      <c r="D226" s="202"/>
      <c r="E226" s="211" t="str">
        <f>DAY(表格3_5[[#This Row],[Date]])&amp;""</f>
        <v>0</v>
      </c>
      <c r="F226" s="203"/>
      <c r="G226" s="216">
        <f>_xlfn.XLOOKUP(表格3_5[[#This Row],[Name]],Name_list[Full Name],Name_list[Nick Name])</f>
        <v>0</v>
      </c>
      <c r="H226" s="207"/>
      <c r="I226" s="228"/>
      <c r="J226" s="218"/>
      <c r="K226" s="205"/>
      <c r="L226" s="210">
        <f>(表格3_5[[#This Row],[Out-Time]] - 表格3_5[[#This Row],[In-Time]])*24</f>
        <v>0</v>
      </c>
      <c r="M226" s="210">
        <f>表格3_5[[#This Row],[ Hours]]-表格3_5[[#This Row],[Normal working
 hours]]</f>
        <v>0</v>
      </c>
      <c r="N226" s="205"/>
      <c r="O226" s="205"/>
      <c r="P226" s="210">
        <f>(表格3_5[[#This Row],[Out-Time2]] - 表格3_5[[#This Row],[In-Time2]])*24</f>
        <v>0</v>
      </c>
      <c r="Q226" s="205"/>
      <c r="R226" s="214">
        <f>_xlfn.XLOOKUP(表格3_5[[#This Row],[Name]],Name_list[Full Name],Name_list[Hourr Rate])</f>
        <v>0</v>
      </c>
      <c r="S226" s="210">
        <f>表格3_5[[#This Row],[Hours Worked]]*表格3_5[[#This Row],[Hourly Rate]]</f>
        <v>0</v>
      </c>
    </row>
    <row r="227" spans="1:19">
      <c r="A227" s="201">
        <v>225</v>
      </c>
      <c r="B227" s="210" t="str">
        <f>_xlfn.CONCAT(表格3_5[[#This Row],[Name]],表格3_5[[#This Row],[Location]])</f>
        <v/>
      </c>
      <c r="C227" s="211" t="str">
        <f>表格3_5[[#This Row],[Location]] &amp; 表格3_5[[#This Row],[Date]] &amp;表格3_5[[#This Row],[Nick Name]]</f>
        <v>0</v>
      </c>
      <c r="D227" s="202"/>
      <c r="E227" s="211" t="str">
        <f>DAY(表格3_5[[#This Row],[Date]])&amp;""</f>
        <v>0</v>
      </c>
      <c r="F227" s="203"/>
      <c r="G227" s="216">
        <f>_xlfn.XLOOKUP(表格3_5[[#This Row],[Name]],Name_list[Full Name],Name_list[Nick Name])</f>
        <v>0</v>
      </c>
      <c r="H227" s="207"/>
      <c r="I227" s="228"/>
      <c r="J227" s="218"/>
      <c r="K227" s="205"/>
      <c r="L227" s="210">
        <f>(表格3_5[[#This Row],[Out-Time]] - 表格3_5[[#This Row],[In-Time]])*24</f>
        <v>0</v>
      </c>
      <c r="M227" s="210">
        <f>表格3_5[[#This Row],[ Hours]]-表格3_5[[#This Row],[Normal working
 hours]]</f>
        <v>0</v>
      </c>
      <c r="N227" s="205"/>
      <c r="O227" s="205"/>
      <c r="P227" s="210">
        <f>(表格3_5[[#This Row],[Out-Time2]] - 表格3_5[[#This Row],[In-Time2]])*24</f>
        <v>0</v>
      </c>
      <c r="Q227" s="205"/>
      <c r="R227" s="214">
        <f>_xlfn.XLOOKUP(表格3_5[[#This Row],[Name]],Name_list[Full Name],Name_list[Hourr Rate])</f>
        <v>0</v>
      </c>
      <c r="S227" s="210">
        <f>表格3_5[[#This Row],[Hours Worked]]*表格3_5[[#This Row],[Hourly Rate]]</f>
        <v>0</v>
      </c>
    </row>
    <row r="228" spans="1:19">
      <c r="A228" s="201">
        <v>226</v>
      </c>
      <c r="B228" s="210" t="str">
        <f>_xlfn.CONCAT(表格3_5[[#This Row],[Name]],表格3_5[[#This Row],[Location]])</f>
        <v/>
      </c>
      <c r="C228" s="211" t="str">
        <f>表格3_5[[#This Row],[Location]] &amp; 表格3_5[[#This Row],[Date]] &amp;表格3_5[[#This Row],[Nick Name]]</f>
        <v>0</v>
      </c>
      <c r="D228" s="202"/>
      <c r="E228" s="211" t="str">
        <f>DAY(表格3_5[[#This Row],[Date]])&amp;""</f>
        <v>0</v>
      </c>
      <c r="F228" s="203"/>
      <c r="G228" s="216">
        <f>_xlfn.XLOOKUP(表格3_5[[#This Row],[Name]],Name_list[Full Name],Name_list[Nick Name])</f>
        <v>0</v>
      </c>
      <c r="H228" s="207"/>
      <c r="I228" s="228"/>
      <c r="J228" s="218"/>
      <c r="K228" s="205"/>
      <c r="L228" s="210">
        <f>(表格3_5[[#This Row],[Out-Time]] - 表格3_5[[#This Row],[In-Time]])*24</f>
        <v>0</v>
      </c>
      <c r="M228" s="210">
        <f>表格3_5[[#This Row],[ Hours]]-表格3_5[[#This Row],[Normal working
 hours]]</f>
        <v>0</v>
      </c>
      <c r="N228" s="205"/>
      <c r="O228" s="205"/>
      <c r="P228" s="210">
        <f>(表格3_5[[#This Row],[Out-Time2]] - 表格3_5[[#This Row],[In-Time2]])*24</f>
        <v>0</v>
      </c>
      <c r="Q228" s="205"/>
      <c r="R228" s="214">
        <f>_xlfn.XLOOKUP(表格3_5[[#This Row],[Name]],Name_list[Full Name],Name_list[Hourr Rate])</f>
        <v>0</v>
      </c>
      <c r="S228" s="210">
        <f>表格3_5[[#This Row],[Hours Worked]]*表格3_5[[#This Row],[Hourly Rate]]</f>
        <v>0</v>
      </c>
    </row>
    <row r="229" spans="1:19">
      <c r="A229" s="201">
        <v>227</v>
      </c>
      <c r="B229" s="210" t="str">
        <f>_xlfn.CONCAT(表格3_5[[#This Row],[Name]],表格3_5[[#This Row],[Location]])</f>
        <v/>
      </c>
      <c r="C229" s="211" t="str">
        <f>表格3_5[[#This Row],[Location]] &amp; 表格3_5[[#This Row],[Date]] &amp;表格3_5[[#This Row],[Nick Name]]</f>
        <v>0</v>
      </c>
      <c r="D229" s="202"/>
      <c r="E229" s="211" t="str">
        <f>DAY(表格3_5[[#This Row],[Date]])&amp;""</f>
        <v>0</v>
      </c>
      <c r="F229" s="203"/>
      <c r="G229" s="216">
        <f>_xlfn.XLOOKUP(表格3_5[[#This Row],[Name]],Name_list[Full Name],Name_list[Nick Name])</f>
        <v>0</v>
      </c>
      <c r="H229" s="207"/>
      <c r="I229" s="228"/>
      <c r="J229" s="218"/>
      <c r="K229" s="205"/>
      <c r="L229" s="210">
        <f>(表格3_5[[#This Row],[Out-Time]] - 表格3_5[[#This Row],[In-Time]])*24</f>
        <v>0</v>
      </c>
      <c r="M229" s="210">
        <f>表格3_5[[#This Row],[ Hours]]-表格3_5[[#This Row],[Normal working
 hours]]</f>
        <v>0</v>
      </c>
      <c r="N229" s="205"/>
      <c r="O229" s="205"/>
      <c r="P229" s="210">
        <f>(表格3_5[[#This Row],[Out-Time2]] - 表格3_5[[#This Row],[In-Time2]])*24</f>
        <v>0</v>
      </c>
      <c r="Q229" s="205"/>
      <c r="R229" s="214">
        <f>_xlfn.XLOOKUP(表格3_5[[#This Row],[Name]],Name_list[Full Name],Name_list[Hourr Rate])</f>
        <v>0</v>
      </c>
      <c r="S229" s="210">
        <f>表格3_5[[#This Row],[Hours Worked]]*表格3_5[[#This Row],[Hourly Rate]]</f>
        <v>0</v>
      </c>
    </row>
    <row r="230" spans="1:19">
      <c r="A230" s="201">
        <v>228</v>
      </c>
      <c r="B230" s="210" t="str">
        <f>_xlfn.CONCAT(表格3_5[[#This Row],[Name]],表格3_5[[#This Row],[Location]])</f>
        <v/>
      </c>
      <c r="C230" s="211" t="str">
        <f>表格3_5[[#This Row],[Location]] &amp; 表格3_5[[#This Row],[Date]] &amp;表格3_5[[#This Row],[Nick Name]]</f>
        <v>0</v>
      </c>
      <c r="D230" s="202"/>
      <c r="E230" s="211" t="str">
        <f>DAY(表格3_5[[#This Row],[Date]])&amp;""</f>
        <v>0</v>
      </c>
      <c r="F230" s="203"/>
      <c r="G230" s="216">
        <f>_xlfn.XLOOKUP(表格3_5[[#This Row],[Name]],Name_list[Full Name],Name_list[Nick Name])</f>
        <v>0</v>
      </c>
      <c r="H230" s="207"/>
      <c r="I230" s="228"/>
      <c r="J230" s="218"/>
      <c r="K230" s="205"/>
      <c r="L230" s="210">
        <f>(表格3_5[[#This Row],[Out-Time]] - 表格3_5[[#This Row],[In-Time]])*24</f>
        <v>0</v>
      </c>
      <c r="M230" s="210">
        <f>表格3_5[[#This Row],[ Hours]]-表格3_5[[#This Row],[Normal working
 hours]]</f>
        <v>0</v>
      </c>
      <c r="N230" s="205"/>
      <c r="O230" s="205"/>
      <c r="P230" s="210">
        <f>(表格3_5[[#This Row],[Out-Time2]] - 表格3_5[[#This Row],[In-Time2]])*24</f>
        <v>0</v>
      </c>
      <c r="Q230" s="205"/>
      <c r="R230" s="214">
        <f>_xlfn.XLOOKUP(表格3_5[[#This Row],[Name]],Name_list[Full Name],Name_list[Hourr Rate])</f>
        <v>0</v>
      </c>
      <c r="S230" s="210">
        <f>表格3_5[[#This Row],[Hours Worked]]*表格3_5[[#This Row],[Hourly Rate]]</f>
        <v>0</v>
      </c>
    </row>
    <row r="231" spans="1:19">
      <c r="A231" s="201">
        <v>229</v>
      </c>
      <c r="B231" s="210" t="str">
        <f>_xlfn.CONCAT(表格3_5[[#This Row],[Name]],表格3_5[[#This Row],[Location]])</f>
        <v/>
      </c>
      <c r="C231" s="211" t="str">
        <f>表格3_5[[#This Row],[Location]] &amp; 表格3_5[[#This Row],[Date]] &amp;表格3_5[[#This Row],[Nick Name]]</f>
        <v>0</v>
      </c>
      <c r="D231" s="202"/>
      <c r="E231" s="211" t="str">
        <f>DAY(表格3_5[[#This Row],[Date]])&amp;""</f>
        <v>0</v>
      </c>
      <c r="F231" s="203"/>
      <c r="G231" s="216">
        <f>_xlfn.XLOOKUP(表格3_5[[#This Row],[Name]],Name_list[Full Name],Name_list[Nick Name])</f>
        <v>0</v>
      </c>
      <c r="H231" s="207"/>
      <c r="I231" s="228"/>
      <c r="J231" s="218"/>
      <c r="K231" s="205"/>
      <c r="L231" s="210">
        <f>(表格3_5[[#This Row],[Out-Time]] - 表格3_5[[#This Row],[In-Time]])*24</f>
        <v>0</v>
      </c>
      <c r="M231" s="210">
        <f>表格3_5[[#This Row],[ Hours]]-表格3_5[[#This Row],[Normal working
 hours]]</f>
        <v>0</v>
      </c>
      <c r="N231" s="205"/>
      <c r="O231" s="205"/>
      <c r="P231" s="210">
        <f>(表格3_5[[#This Row],[Out-Time2]] - 表格3_5[[#This Row],[In-Time2]])*24</f>
        <v>0</v>
      </c>
      <c r="Q231" s="205"/>
      <c r="R231" s="214">
        <f>_xlfn.XLOOKUP(表格3_5[[#This Row],[Name]],Name_list[Full Name],Name_list[Hourr Rate])</f>
        <v>0</v>
      </c>
      <c r="S231" s="210">
        <f>表格3_5[[#This Row],[Hours Worked]]*表格3_5[[#This Row],[Hourly Rate]]</f>
        <v>0</v>
      </c>
    </row>
    <row r="232" spans="1:19">
      <c r="A232" s="201">
        <v>230</v>
      </c>
      <c r="B232" s="210" t="str">
        <f>_xlfn.CONCAT(表格3_5[[#This Row],[Name]],表格3_5[[#This Row],[Location]])</f>
        <v/>
      </c>
      <c r="C232" s="211" t="str">
        <f>表格3_5[[#This Row],[Location]] &amp; 表格3_5[[#This Row],[Date]] &amp;表格3_5[[#This Row],[Nick Name]]</f>
        <v>0</v>
      </c>
      <c r="D232" s="202"/>
      <c r="E232" s="211" t="str">
        <f>DAY(表格3_5[[#This Row],[Date]])&amp;""</f>
        <v>0</v>
      </c>
      <c r="F232" s="203"/>
      <c r="G232" s="216">
        <f>_xlfn.XLOOKUP(表格3_5[[#This Row],[Name]],Name_list[Full Name],Name_list[Nick Name])</f>
        <v>0</v>
      </c>
      <c r="H232" s="207"/>
      <c r="I232" s="228"/>
      <c r="J232" s="218"/>
      <c r="K232" s="205"/>
      <c r="L232" s="210">
        <f>(表格3_5[[#This Row],[Out-Time]] - 表格3_5[[#This Row],[In-Time]])*24</f>
        <v>0</v>
      </c>
      <c r="M232" s="210">
        <f>表格3_5[[#This Row],[ Hours]]-表格3_5[[#This Row],[Normal working
 hours]]</f>
        <v>0</v>
      </c>
      <c r="N232" s="205"/>
      <c r="O232" s="205"/>
      <c r="P232" s="210">
        <f>(表格3_5[[#This Row],[Out-Time2]] - 表格3_5[[#This Row],[In-Time2]])*24</f>
        <v>0</v>
      </c>
      <c r="Q232" s="205"/>
      <c r="R232" s="214">
        <f>_xlfn.XLOOKUP(表格3_5[[#This Row],[Name]],Name_list[Full Name],Name_list[Hourr Rate])</f>
        <v>0</v>
      </c>
      <c r="S232" s="210">
        <f>表格3_5[[#This Row],[Hours Worked]]*表格3_5[[#This Row],[Hourly Rate]]</f>
        <v>0</v>
      </c>
    </row>
    <row r="233" spans="1:19">
      <c r="A233" s="201">
        <v>231</v>
      </c>
      <c r="B233" s="210" t="str">
        <f>_xlfn.CONCAT(表格3_5[[#This Row],[Name]],表格3_5[[#This Row],[Location]])</f>
        <v/>
      </c>
      <c r="C233" s="211" t="str">
        <f>表格3_5[[#This Row],[Location]] &amp; 表格3_5[[#This Row],[Date]] &amp;表格3_5[[#This Row],[Nick Name]]</f>
        <v>0</v>
      </c>
      <c r="D233" s="202"/>
      <c r="E233" s="211" t="str">
        <f>DAY(表格3_5[[#This Row],[Date]])&amp;""</f>
        <v>0</v>
      </c>
      <c r="F233" s="203"/>
      <c r="G233" s="216">
        <f>_xlfn.XLOOKUP(表格3_5[[#This Row],[Name]],Name_list[Full Name],Name_list[Nick Name])</f>
        <v>0</v>
      </c>
      <c r="H233" s="207"/>
      <c r="I233" s="228"/>
      <c r="J233" s="218"/>
      <c r="K233" s="205"/>
      <c r="L233" s="210">
        <f>(表格3_5[[#This Row],[Out-Time]] - 表格3_5[[#This Row],[In-Time]])*24</f>
        <v>0</v>
      </c>
      <c r="M233" s="210">
        <f>表格3_5[[#This Row],[ Hours]]-表格3_5[[#This Row],[Normal working
 hours]]</f>
        <v>0</v>
      </c>
      <c r="N233" s="205"/>
      <c r="O233" s="205"/>
      <c r="P233" s="210">
        <f>(表格3_5[[#This Row],[Out-Time2]] - 表格3_5[[#This Row],[In-Time2]])*24</f>
        <v>0</v>
      </c>
      <c r="Q233" s="205"/>
      <c r="R233" s="214">
        <f>_xlfn.XLOOKUP(表格3_5[[#This Row],[Name]],Name_list[Full Name],Name_list[Hourr Rate])</f>
        <v>0</v>
      </c>
      <c r="S233" s="210">
        <f>表格3_5[[#This Row],[Hours Worked]]*表格3_5[[#This Row],[Hourly Rate]]</f>
        <v>0</v>
      </c>
    </row>
    <row r="234" spans="1:19">
      <c r="A234" s="201">
        <v>232</v>
      </c>
      <c r="B234" s="210" t="str">
        <f>_xlfn.CONCAT(表格3_5[[#This Row],[Name]],表格3_5[[#This Row],[Location]])</f>
        <v/>
      </c>
      <c r="C234" s="211" t="str">
        <f>表格3_5[[#This Row],[Location]] &amp; 表格3_5[[#This Row],[Date]] &amp;表格3_5[[#This Row],[Nick Name]]</f>
        <v>0</v>
      </c>
      <c r="D234" s="202"/>
      <c r="E234" s="211" t="str">
        <f>DAY(表格3_5[[#This Row],[Date]])&amp;""</f>
        <v>0</v>
      </c>
      <c r="F234" s="203"/>
      <c r="G234" s="216">
        <f>_xlfn.XLOOKUP(表格3_5[[#This Row],[Name]],Name_list[Full Name],Name_list[Nick Name])</f>
        <v>0</v>
      </c>
      <c r="H234" s="207"/>
      <c r="I234" s="228"/>
      <c r="J234" s="218"/>
      <c r="K234" s="205"/>
      <c r="L234" s="210">
        <f>(表格3_5[[#This Row],[Out-Time]] - 表格3_5[[#This Row],[In-Time]])*24</f>
        <v>0</v>
      </c>
      <c r="M234" s="210">
        <f>表格3_5[[#This Row],[ Hours]]-表格3_5[[#This Row],[Normal working
 hours]]</f>
        <v>0</v>
      </c>
      <c r="N234" s="205"/>
      <c r="O234" s="205"/>
      <c r="P234" s="210">
        <f>(表格3_5[[#This Row],[Out-Time2]] - 表格3_5[[#This Row],[In-Time2]])*24</f>
        <v>0</v>
      </c>
      <c r="Q234" s="205"/>
      <c r="R234" s="214">
        <f>_xlfn.XLOOKUP(表格3_5[[#This Row],[Name]],Name_list[Full Name],Name_list[Hourr Rate])</f>
        <v>0</v>
      </c>
      <c r="S234" s="210">
        <f>表格3_5[[#This Row],[Hours Worked]]*表格3_5[[#This Row],[Hourly Rate]]</f>
        <v>0</v>
      </c>
    </row>
    <row r="235" spans="1:19">
      <c r="A235" s="201">
        <v>233</v>
      </c>
      <c r="B235" s="210" t="str">
        <f>_xlfn.CONCAT(表格3_5[[#This Row],[Name]],表格3_5[[#This Row],[Location]])</f>
        <v/>
      </c>
      <c r="C235" s="211" t="str">
        <f>表格3_5[[#This Row],[Location]] &amp; 表格3_5[[#This Row],[Date]] &amp;表格3_5[[#This Row],[Nick Name]]</f>
        <v>0</v>
      </c>
      <c r="D235" s="202"/>
      <c r="E235" s="211" t="str">
        <f>DAY(表格3_5[[#This Row],[Date]])&amp;""</f>
        <v>0</v>
      </c>
      <c r="F235" s="203"/>
      <c r="G235" s="216">
        <f>_xlfn.XLOOKUP(表格3_5[[#This Row],[Name]],Name_list[Full Name],Name_list[Nick Name])</f>
        <v>0</v>
      </c>
      <c r="H235" s="207"/>
      <c r="I235" s="228"/>
      <c r="J235" s="218"/>
      <c r="K235" s="205"/>
      <c r="L235" s="210">
        <f>(表格3_5[[#This Row],[Out-Time]] - 表格3_5[[#This Row],[In-Time]])*24</f>
        <v>0</v>
      </c>
      <c r="M235" s="210">
        <f>表格3_5[[#This Row],[ Hours]]-表格3_5[[#This Row],[Normal working
 hours]]</f>
        <v>0</v>
      </c>
      <c r="N235" s="205"/>
      <c r="O235" s="205"/>
      <c r="P235" s="210">
        <f>(表格3_5[[#This Row],[Out-Time2]] - 表格3_5[[#This Row],[In-Time2]])*24</f>
        <v>0</v>
      </c>
      <c r="Q235" s="205"/>
      <c r="R235" s="214">
        <f>_xlfn.XLOOKUP(表格3_5[[#This Row],[Name]],Name_list[Full Name],Name_list[Hourr Rate])</f>
        <v>0</v>
      </c>
      <c r="S235" s="210">
        <f>表格3_5[[#This Row],[Hours Worked]]*表格3_5[[#This Row],[Hourly Rate]]</f>
        <v>0</v>
      </c>
    </row>
    <row r="236" spans="1:19">
      <c r="A236" s="201">
        <v>234</v>
      </c>
      <c r="B236" s="210" t="str">
        <f>_xlfn.CONCAT(表格3_5[[#This Row],[Name]],表格3_5[[#This Row],[Location]])</f>
        <v/>
      </c>
      <c r="C236" s="211" t="str">
        <f>表格3_5[[#This Row],[Location]] &amp; 表格3_5[[#This Row],[Date]] &amp;表格3_5[[#This Row],[Nick Name]]</f>
        <v>0</v>
      </c>
      <c r="D236" s="202"/>
      <c r="E236" s="211" t="str">
        <f>DAY(表格3_5[[#This Row],[Date]])&amp;""</f>
        <v>0</v>
      </c>
      <c r="F236" s="203"/>
      <c r="G236" s="216">
        <f>_xlfn.XLOOKUP(表格3_5[[#This Row],[Name]],Name_list[Full Name],Name_list[Nick Name])</f>
        <v>0</v>
      </c>
      <c r="H236" s="207"/>
      <c r="I236" s="228"/>
      <c r="J236" s="218"/>
      <c r="K236" s="205"/>
      <c r="L236" s="210">
        <f>(表格3_5[[#This Row],[Out-Time]] - 表格3_5[[#This Row],[In-Time]])*24</f>
        <v>0</v>
      </c>
      <c r="M236" s="210">
        <f>表格3_5[[#This Row],[ Hours]]-表格3_5[[#This Row],[Normal working
 hours]]</f>
        <v>0</v>
      </c>
      <c r="N236" s="205"/>
      <c r="O236" s="205"/>
      <c r="P236" s="210">
        <f>(表格3_5[[#This Row],[Out-Time2]] - 表格3_5[[#This Row],[In-Time2]])*24</f>
        <v>0</v>
      </c>
      <c r="Q236" s="205"/>
      <c r="R236" s="214">
        <f>_xlfn.XLOOKUP(表格3_5[[#This Row],[Name]],Name_list[Full Name],Name_list[Hourr Rate])</f>
        <v>0</v>
      </c>
      <c r="S236" s="210">
        <f>表格3_5[[#This Row],[Hours Worked]]*表格3_5[[#This Row],[Hourly Rate]]</f>
        <v>0</v>
      </c>
    </row>
    <row r="237" spans="1:19">
      <c r="A237" s="201">
        <v>235</v>
      </c>
      <c r="B237" s="210" t="str">
        <f>_xlfn.CONCAT(表格3_5[[#This Row],[Name]],表格3_5[[#This Row],[Location]])</f>
        <v/>
      </c>
      <c r="C237" s="211" t="str">
        <f>表格3_5[[#This Row],[Location]] &amp; 表格3_5[[#This Row],[Date]] &amp;表格3_5[[#This Row],[Nick Name]]</f>
        <v>0</v>
      </c>
      <c r="D237" s="202"/>
      <c r="E237" s="211" t="str">
        <f>DAY(表格3_5[[#This Row],[Date]])&amp;""</f>
        <v>0</v>
      </c>
      <c r="F237" s="203"/>
      <c r="G237" s="216">
        <f>_xlfn.XLOOKUP(表格3_5[[#This Row],[Name]],Name_list[Full Name],Name_list[Nick Name])</f>
        <v>0</v>
      </c>
      <c r="H237" s="207"/>
      <c r="I237" s="228"/>
      <c r="J237" s="218"/>
      <c r="K237" s="205"/>
      <c r="L237" s="210">
        <f>(表格3_5[[#This Row],[Out-Time]] - 表格3_5[[#This Row],[In-Time]])*24</f>
        <v>0</v>
      </c>
      <c r="M237" s="210">
        <f>表格3_5[[#This Row],[ Hours]]-表格3_5[[#This Row],[Normal working
 hours]]</f>
        <v>0</v>
      </c>
      <c r="N237" s="205"/>
      <c r="O237" s="205"/>
      <c r="P237" s="210">
        <f>(表格3_5[[#This Row],[Out-Time2]] - 表格3_5[[#This Row],[In-Time2]])*24</f>
        <v>0</v>
      </c>
      <c r="Q237" s="205"/>
      <c r="R237" s="214">
        <f>_xlfn.XLOOKUP(表格3_5[[#This Row],[Name]],Name_list[Full Name],Name_list[Hourr Rate])</f>
        <v>0</v>
      </c>
      <c r="S237" s="210">
        <f>表格3_5[[#This Row],[Hours Worked]]*表格3_5[[#This Row],[Hourly Rate]]</f>
        <v>0</v>
      </c>
    </row>
    <row r="238" spans="1:19">
      <c r="A238" s="201">
        <v>236</v>
      </c>
      <c r="B238" s="210" t="str">
        <f>_xlfn.CONCAT(表格3_5[[#This Row],[Name]],表格3_5[[#This Row],[Location]])</f>
        <v/>
      </c>
      <c r="C238" s="211" t="str">
        <f>表格3_5[[#This Row],[Location]] &amp; 表格3_5[[#This Row],[Date]] &amp;表格3_5[[#This Row],[Nick Name]]</f>
        <v>0</v>
      </c>
      <c r="D238" s="202"/>
      <c r="E238" s="211" t="str">
        <f>DAY(表格3_5[[#This Row],[Date]])&amp;""</f>
        <v>0</v>
      </c>
      <c r="F238" s="203"/>
      <c r="G238" s="216">
        <f>_xlfn.XLOOKUP(表格3_5[[#This Row],[Name]],Name_list[Full Name],Name_list[Nick Name])</f>
        <v>0</v>
      </c>
      <c r="H238" s="207"/>
      <c r="I238" s="228"/>
      <c r="J238" s="218"/>
      <c r="K238" s="205"/>
      <c r="L238" s="210">
        <f>(表格3_5[[#This Row],[Out-Time]] - 表格3_5[[#This Row],[In-Time]])*24</f>
        <v>0</v>
      </c>
      <c r="M238" s="210">
        <f>表格3_5[[#This Row],[ Hours]]-表格3_5[[#This Row],[Normal working
 hours]]</f>
        <v>0</v>
      </c>
      <c r="N238" s="205"/>
      <c r="O238" s="205"/>
      <c r="P238" s="210">
        <f>(表格3_5[[#This Row],[Out-Time2]] - 表格3_5[[#This Row],[In-Time2]])*24</f>
        <v>0</v>
      </c>
      <c r="Q238" s="205"/>
      <c r="R238" s="214">
        <f>_xlfn.XLOOKUP(表格3_5[[#This Row],[Name]],Name_list[Full Name],Name_list[Hourr Rate])</f>
        <v>0</v>
      </c>
      <c r="S238" s="210">
        <f>表格3_5[[#This Row],[Hours Worked]]*表格3_5[[#This Row],[Hourly Rate]]</f>
        <v>0</v>
      </c>
    </row>
    <row r="239" spans="1:19">
      <c r="A239" s="201">
        <v>237</v>
      </c>
      <c r="B239" s="210" t="str">
        <f>_xlfn.CONCAT(表格3_5[[#This Row],[Name]],表格3_5[[#This Row],[Location]])</f>
        <v/>
      </c>
      <c r="C239" s="211" t="str">
        <f>表格3_5[[#This Row],[Location]] &amp; 表格3_5[[#This Row],[Date]] &amp;表格3_5[[#This Row],[Nick Name]]</f>
        <v>0</v>
      </c>
      <c r="D239" s="202"/>
      <c r="E239" s="211" t="str">
        <f>DAY(表格3_5[[#This Row],[Date]])&amp;""</f>
        <v>0</v>
      </c>
      <c r="F239" s="203"/>
      <c r="G239" s="216">
        <f>_xlfn.XLOOKUP(表格3_5[[#This Row],[Name]],Name_list[Full Name],Name_list[Nick Name])</f>
        <v>0</v>
      </c>
      <c r="H239" s="207"/>
      <c r="I239" s="228"/>
      <c r="J239" s="218"/>
      <c r="K239" s="205"/>
      <c r="L239" s="210">
        <f>(表格3_5[[#This Row],[Out-Time]] - 表格3_5[[#This Row],[In-Time]])*24</f>
        <v>0</v>
      </c>
      <c r="M239" s="210">
        <f>表格3_5[[#This Row],[ Hours]]-表格3_5[[#This Row],[Normal working
 hours]]</f>
        <v>0</v>
      </c>
      <c r="N239" s="205"/>
      <c r="O239" s="205"/>
      <c r="P239" s="210">
        <f>(表格3_5[[#This Row],[Out-Time2]] - 表格3_5[[#This Row],[In-Time2]])*24</f>
        <v>0</v>
      </c>
      <c r="Q239" s="205"/>
      <c r="R239" s="214">
        <f>_xlfn.XLOOKUP(表格3_5[[#This Row],[Name]],Name_list[Full Name],Name_list[Hourr Rate])</f>
        <v>0</v>
      </c>
      <c r="S239" s="210">
        <f>表格3_5[[#This Row],[Hours Worked]]*表格3_5[[#This Row],[Hourly Rate]]</f>
        <v>0</v>
      </c>
    </row>
    <row r="240" spans="1:19">
      <c r="A240" s="201">
        <v>238</v>
      </c>
      <c r="B240" s="210" t="str">
        <f>_xlfn.CONCAT(表格3_5[[#This Row],[Name]],表格3_5[[#This Row],[Location]])</f>
        <v/>
      </c>
      <c r="C240" s="211" t="str">
        <f>表格3_5[[#This Row],[Location]] &amp; 表格3_5[[#This Row],[Date]] &amp;表格3_5[[#This Row],[Nick Name]]</f>
        <v>0</v>
      </c>
      <c r="D240" s="202"/>
      <c r="E240" s="211" t="str">
        <f>DAY(表格3_5[[#This Row],[Date]])&amp;""</f>
        <v>0</v>
      </c>
      <c r="F240" s="203"/>
      <c r="G240" s="216">
        <f>_xlfn.XLOOKUP(表格3_5[[#This Row],[Name]],Name_list[Full Name],Name_list[Nick Name])</f>
        <v>0</v>
      </c>
      <c r="H240" s="207"/>
      <c r="I240" s="228"/>
      <c r="J240" s="218"/>
      <c r="K240" s="205"/>
      <c r="L240" s="210">
        <f>(表格3_5[[#This Row],[Out-Time]] - 表格3_5[[#This Row],[In-Time]])*24</f>
        <v>0</v>
      </c>
      <c r="M240" s="210">
        <f>表格3_5[[#This Row],[ Hours]]-表格3_5[[#This Row],[Normal working
 hours]]</f>
        <v>0</v>
      </c>
      <c r="N240" s="205"/>
      <c r="O240" s="205"/>
      <c r="P240" s="210">
        <f>(表格3_5[[#This Row],[Out-Time2]] - 表格3_5[[#This Row],[In-Time2]])*24</f>
        <v>0</v>
      </c>
      <c r="Q240" s="205"/>
      <c r="R240" s="214">
        <f>_xlfn.XLOOKUP(表格3_5[[#This Row],[Name]],Name_list[Full Name],Name_list[Hourr Rate])</f>
        <v>0</v>
      </c>
      <c r="S240" s="210">
        <f>表格3_5[[#This Row],[Hours Worked]]*表格3_5[[#This Row],[Hourly Rate]]</f>
        <v>0</v>
      </c>
    </row>
    <row r="241" spans="1:19">
      <c r="A241" s="201">
        <v>239</v>
      </c>
      <c r="B241" s="210" t="str">
        <f>_xlfn.CONCAT(表格3_5[[#This Row],[Name]],表格3_5[[#This Row],[Location]])</f>
        <v/>
      </c>
      <c r="C241" s="211" t="str">
        <f>表格3_5[[#This Row],[Location]] &amp; 表格3_5[[#This Row],[Date]] &amp;表格3_5[[#This Row],[Nick Name]]</f>
        <v>0</v>
      </c>
      <c r="D241" s="202"/>
      <c r="E241" s="211" t="str">
        <f>DAY(表格3_5[[#This Row],[Date]])&amp;""</f>
        <v>0</v>
      </c>
      <c r="F241" s="203"/>
      <c r="G241" s="216">
        <f>_xlfn.XLOOKUP(表格3_5[[#This Row],[Name]],Name_list[Full Name],Name_list[Nick Name])</f>
        <v>0</v>
      </c>
      <c r="H241" s="207"/>
      <c r="I241" s="228"/>
      <c r="J241" s="218"/>
      <c r="K241" s="205"/>
      <c r="L241" s="210">
        <f>(表格3_5[[#This Row],[Out-Time]] - 表格3_5[[#This Row],[In-Time]])*24</f>
        <v>0</v>
      </c>
      <c r="M241" s="210">
        <f>表格3_5[[#This Row],[ Hours]]-表格3_5[[#This Row],[Normal working
 hours]]</f>
        <v>0</v>
      </c>
      <c r="N241" s="205"/>
      <c r="O241" s="205"/>
      <c r="P241" s="210">
        <f>(表格3_5[[#This Row],[Out-Time2]] - 表格3_5[[#This Row],[In-Time2]])*24</f>
        <v>0</v>
      </c>
      <c r="Q241" s="205"/>
      <c r="R241" s="214">
        <f>_xlfn.XLOOKUP(表格3_5[[#This Row],[Name]],Name_list[Full Name],Name_list[Hourr Rate])</f>
        <v>0</v>
      </c>
      <c r="S241" s="210">
        <f>表格3_5[[#This Row],[Hours Worked]]*表格3_5[[#This Row],[Hourly Rate]]</f>
        <v>0</v>
      </c>
    </row>
    <row r="242" spans="1:19">
      <c r="A242" s="201">
        <v>240</v>
      </c>
      <c r="B242" s="210" t="str">
        <f>_xlfn.CONCAT(表格3_5[[#This Row],[Name]],表格3_5[[#This Row],[Location]])</f>
        <v/>
      </c>
      <c r="C242" s="211" t="str">
        <f>表格3_5[[#This Row],[Location]] &amp; 表格3_5[[#This Row],[Date]] &amp;表格3_5[[#This Row],[Nick Name]]</f>
        <v>0</v>
      </c>
      <c r="D242" s="202"/>
      <c r="E242" s="211" t="str">
        <f>DAY(表格3_5[[#This Row],[Date]])&amp;""</f>
        <v>0</v>
      </c>
      <c r="F242" s="203"/>
      <c r="G242" s="216">
        <f>_xlfn.XLOOKUP(表格3_5[[#This Row],[Name]],Name_list[Full Name],Name_list[Nick Name])</f>
        <v>0</v>
      </c>
      <c r="H242" s="207"/>
      <c r="I242" s="228"/>
      <c r="J242" s="218"/>
      <c r="K242" s="205"/>
      <c r="L242" s="210">
        <f>(表格3_5[[#This Row],[Out-Time]] - 表格3_5[[#This Row],[In-Time]])*24</f>
        <v>0</v>
      </c>
      <c r="M242" s="210">
        <f>表格3_5[[#This Row],[ Hours]]-表格3_5[[#This Row],[Normal working
 hours]]</f>
        <v>0</v>
      </c>
      <c r="N242" s="205"/>
      <c r="O242" s="205"/>
      <c r="P242" s="210">
        <f>(表格3_5[[#This Row],[Out-Time2]] - 表格3_5[[#This Row],[In-Time2]])*24</f>
        <v>0</v>
      </c>
      <c r="Q242" s="205"/>
      <c r="R242" s="214">
        <f>_xlfn.XLOOKUP(表格3_5[[#This Row],[Name]],Name_list[Full Name],Name_list[Hourr Rate])</f>
        <v>0</v>
      </c>
      <c r="S242" s="210">
        <f>表格3_5[[#This Row],[Hours Worked]]*表格3_5[[#This Row],[Hourly Rate]]</f>
        <v>0</v>
      </c>
    </row>
    <row r="243" spans="1:19">
      <c r="A243" s="201">
        <v>241</v>
      </c>
      <c r="B243" s="210" t="str">
        <f>_xlfn.CONCAT(表格3_5[[#This Row],[Name]],表格3_5[[#This Row],[Location]])</f>
        <v/>
      </c>
      <c r="C243" s="211" t="str">
        <f>表格3_5[[#This Row],[Location]] &amp; 表格3_5[[#This Row],[Date]] &amp;表格3_5[[#This Row],[Nick Name]]</f>
        <v>0</v>
      </c>
      <c r="D243" s="202"/>
      <c r="E243" s="211" t="str">
        <f>DAY(表格3_5[[#This Row],[Date]])&amp;""</f>
        <v>0</v>
      </c>
      <c r="F243" s="203"/>
      <c r="G243" s="216">
        <f>_xlfn.XLOOKUP(表格3_5[[#This Row],[Name]],Name_list[Full Name],Name_list[Nick Name])</f>
        <v>0</v>
      </c>
      <c r="H243" s="207"/>
      <c r="I243" s="228"/>
      <c r="J243" s="218"/>
      <c r="K243" s="205"/>
      <c r="L243" s="210">
        <f>(表格3_5[[#This Row],[Out-Time]] - 表格3_5[[#This Row],[In-Time]])*24</f>
        <v>0</v>
      </c>
      <c r="M243" s="210">
        <f>表格3_5[[#This Row],[ Hours]]-表格3_5[[#This Row],[Normal working
 hours]]</f>
        <v>0</v>
      </c>
      <c r="N243" s="205"/>
      <c r="O243" s="205"/>
      <c r="P243" s="210">
        <f>(表格3_5[[#This Row],[Out-Time2]] - 表格3_5[[#This Row],[In-Time2]])*24</f>
        <v>0</v>
      </c>
      <c r="Q243" s="205"/>
      <c r="R243" s="214">
        <f>_xlfn.XLOOKUP(表格3_5[[#This Row],[Name]],Name_list[Full Name],Name_list[Hourr Rate])</f>
        <v>0</v>
      </c>
      <c r="S243" s="210">
        <f>表格3_5[[#This Row],[Hours Worked]]*表格3_5[[#This Row],[Hourly Rate]]</f>
        <v>0</v>
      </c>
    </row>
    <row r="244" spans="1:19">
      <c r="A244" s="201">
        <v>242</v>
      </c>
      <c r="B244" s="210" t="str">
        <f>_xlfn.CONCAT(表格3_5[[#This Row],[Name]],表格3_5[[#This Row],[Location]])</f>
        <v/>
      </c>
      <c r="C244" s="211" t="str">
        <f>表格3_5[[#This Row],[Location]] &amp; 表格3_5[[#This Row],[Date]] &amp;表格3_5[[#This Row],[Nick Name]]</f>
        <v>0</v>
      </c>
      <c r="D244" s="202"/>
      <c r="E244" s="211" t="str">
        <f>DAY(表格3_5[[#This Row],[Date]])&amp;""</f>
        <v>0</v>
      </c>
      <c r="F244" s="203"/>
      <c r="G244" s="216">
        <f>_xlfn.XLOOKUP(表格3_5[[#This Row],[Name]],Name_list[Full Name],Name_list[Nick Name])</f>
        <v>0</v>
      </c>
      <c r="H244" s="207"/>
      <c r="I244" s="228"/>
      <c r="J244" s="218"/>
      <c r="K244" s="205"/>
      <c r="L244" s="210">
        <f>(表格3_5[[#This Row],[Out-Time]] - 表格3_5[[#This Row],[In-Time]])*24</f>
        <v>0</v>
      </c>
      <c r="M244" s="210">
        <f>表格3_5[[#This Row],[ Hours]]-表格3_5[[#This Row],[Normal working
 hours]]</f>
        <v>0</v>
      </c>
      <c r="N244" s="205"/>
      <c r="O244" s="205"/>
      <c r="P244" s="210">
        <f>(表格3_5[[#This Row],[Out-Time2]] - 表格3_5[[#This Row],[In-Time2]])*24</f>
        <v>0</v>
      </c>
      <c r="Q244" s="205"/>
      <c r="R244" s="214">
        <f>_xlfn.XLOOKUP(表格3_5[[#This Row],[Name]],Name_list[Full Name],Name_list[Hourr Rate])</f>
        <v>0</v>
      </c>
      <c r="S244" s="210">
        <f>表格3_5[[#This Row],[Hours Worked]]*表格3_5[[#This Row],[Hourly Rate]]</f>
        <v>0</v>
      </c>
    </row>
    <row r="245" spans="1:19">
      <c r="A245" s="201">
        <v>243</v>
      </c>
      <c r="B245" s="210" t="str">
        <f>_xlfn.CONCAT(表格3_5[[#This Row],[Name]],表格3_5[[#This Row],[Location]])</f>
        <v/>
      </c>
      <c r="C245" s="211" t="str">
        <f>表格3_5[[#This Row],[Location]] &amp; 表格3_5[[#This Row],[Date]] &amp;表格3_5[[#This Row],[Nick Name]]</f>
        <v>0</v>
      </c>
      <c r="D245" s="202"/>
      <c r="E245" s="211" t="str">
        <f>DAY(表格3_5[[#This Row],[Date]])&amp;""</f>
        <v>0</v>
      </c>
      <c r="F245" s="203"/>
      <c r="G245" s="216">
        <f>_xlfn.XLOOKUP(表格3_5[[#This Row],[Name]],Name_list[Full Name],Name_list[Nick Name])</f>
        <v>0</v>
      </c>
      <c r="H245" s="207"/>
      <c r="I245" s="228"/>
      <c r="J245" s="218"/>
      <c r="K245" s="205"/>
      <c r="L245" s="210">
        <f>(表格3_5[[#This Row],[Out-Time]] - 表格3_5[[#This Row],[In-Time]])*24</f>
        <v>0</v>
      </c>
      <c r="M245" s="210">
        <f>表格3_5[[#This Row],[ Hours]]-表格3_5[[#This Row],[Normal working
 hours]]</f>
        <v>0</v>
      </c>
      <c r="N245" s="205"/>
      <c r="O245" s="205"/>
      <c r="P245" s="210">
        <f>(表格3_5[[#This Row],[Out-Time2]] - 表格3_5[[#This Row],[In-Time2]])*24</f>
        <v>0</v>
      </c>
      <c r="Q245" s="205"/>
      <c r="R245" s="214">
        <f>_xlfn.XLOOKUP(表格3_5[[#This Row],[Name]],Name_list[Full Name],Name_list[Hourr Rate])</f>
        <v>0</v>
      </c>
      <c r="S245" s="210">
        <f>表格3_5[[#This Row],[Hours Worked]]*表格3_5[[#This Row],[Hourly Rate]]</f>
        <v>0</v>
      </c>
    </row>
    <row r="246" spans="1:19">
      <c r="A246" s="201">
        <v>244</v>
      </c>
      <c r="B246" s="210" t="str">
        <f>_xlfn.CONCAT(表格3_5[[#This Row],[Name]],表格3_5[[#This Row],[Location]])</f>
        <v/>
      </c>
      <c r="C246" s="211" t="str">
        <f>表格3_5[[#This Row],[Location]] &amp; 表格3_5[[#This Row],[Date]] &amp;表格3_5[[#This Row],[Nick Name]]</f>
        <v>0</v>
      </c>
      <c r="D246" s="202"/>
      <c r="E246" s="211" t="str">
        <f>DAY(表格3_5[[#This Row],[Date]])&amp;""</f>
        <v>0</v>
      </c>
      <c r="F246" s="203"/>
      <c r="G246" s="216">
        <f>_xlfn.XLOOKUP(表格3_5[[#This Row],[Name]],Name_list[Full Name],Name_list[Nick Name])</f>
        <v>0</v>
      </c>
      <c r="H246" s="207"/>
      <c r="I246" s="228"/>
      <c r="J246" s="218"/>
      <c r="K246" s="205"/>
      <c r="L246" s="210">
        <f>(表格3_5[[#This Row],[Out-Time]] - 表格3_5[[#This Row],[In-Time]])*24</f>
        <v>0</v>
      </c>
      <c r="M246" s="210">
        <f>表格3_5[[#This Row],[ Hours]]-表格3_5[[#This Row],[Normal working
 hours]]</f>
        <v>0</v>
      </c>
      <c r="N246" s="205"/>
      <c r="O246" s="205"/>
      <c r="P246" s="210">
        <f>(表格3_5[[#This Row],[Out-Time2]] - 表格3_5[[#This Row],[In-Time2]])*24</f>
        <v>0</v>
      </c>
      <c r="Q246" s="205"/>
      <c r="R246" s="214">
        <f>_xlfn.XLOOKUP(表格3_5[[#This Row],[Name]],Name_list[Full Name],Name_list[Hourr Rate])</f>
        <v>0</v>
      </c>
      <c r="S246" s="210">
        <f>表格3_5[[#This Row],[Hours Worked]]*表格3_5[[#This Row],[Hourly Rate]]</f>
        <v>0</v>
      </c>
    </row>
    <row r="247" spans="1:19">
      <c r="A247" s="201">
        <v>245</v>
      </c>
      <c r="B247" s="210" t="str">
        <f>_xlfn.CONCAT(表格3_5[[#This Row],[Name]],表格3_5[[#This Row],[Location]])</f>
        <v/>
      </c>
      <c r="C247" s="211" t="str">
        <f>表格3_5[[#This Row],[Location]] &amp; 表格3_5[[#This Row],[Date]] &amp;表格3_5[[#This Row],[Nick Name]]</f>
        <v>0</v>
      </c>
      <c r="D247" s="202"/>
      <c r="E247" s="211" t="str">
        <f>DAY(表格3_5[[#This Row],[Date]])&amp;""</f>
        <v>0</v>
      </c>
      <c r="F247" s="203"/>
      <c r="G247" s="216">
        <f>_xlfn.XLOOKUP(表格3_5[[#This Row],[Name]],Name_list[Full Name],Name_list[Nick Name])</f>
        <v>0</v>
      </c>
      <c r="H247" s="207"/>
      <c r="I247" s="228"/>
      <c r="J247" s="218"/>
      <c r="K247" s="205"/>
      <c r="L247" s="210">
        <f>(表格3_5[[#This Row],[Out-Time]] - 表格3_5[[#This Row],[In-Time]])*24</f>
        <v>0</v>
      </c>
      <c r="M247" s="210">
        <f>表格3_5[[#This Row],[ Hours]]-表格3_5[[#This Row],[Normal working
 hours]]</f>
        <v>0</v>
      </c>
      <c r="N247" s="205"/>
      <c r="O247" s="205"/>
      <c r="P247" s="210">
        <f>(表格3_5[[#This Row],[Out-Time2]] - 表格3_5[[#This Row],[In-Time2]])*24</f>
        <v>0</v>
      </c>
      <c r="Q247" s="205"/>
      <c r="R247" s="214">
        <f>_xlfn.XLOOKUP(表格3_5[[#This Row],[Name]],Name_list[Full Name],Name_list[Hourr Rate])</f>
        <v>0</v>
      </c>
      <c r="S247" s="210">
        <f>表格3_5[[#This Row],[Hours Worked]]*表格3_5[[#This Row],[Hourly Rate]]</f>
        <v>0</v>
      </c>
    </row>
    <row r="248" spans="1:19">
      <c r="A248" s="201">
        <v>246</v>
      </c>
      <c r="B248" s="210" t="str">
        <f>_xlfn.CONCAT(表格3_5[[#This Row],[Name]],表格3_5[[#This Row],[Location]])</f>
        <v/>
      </c>
      <c r="C248" s="211" t="str">
        <f>表格3_5[[#This Row],[Location]] &amp; 表格3_5[[#This Row],[Date]] &amp;表格3_5[[#This Row],[Nick Name]]</f>
        <v>0</v>
      </c>
      <c r="D248" s="202"/>
      <c r="E248" s="211" t="str">
        <f>DAY(表格3_5[[#This Row],[Date]])&amp;""</f>
        <v>0</v>
      </c>
      <c r="F248" s="203"/>
      <c r="G248" s="216">
        <f>_xlfn.XLOOKUP(表格3_5[[#This Row],[Name]],Name_list[Full Name],Name_list[Nick Name])</f>
        <v>0</v>
      </c>
      <c r="H248" s="207"/>
      <c r="I248" s="228"/>
      <c r="J248" s="218"/>
      <c r="K248" s="205"/>
      <c r="L248" s="210">
        <f>(表格3_5[[#This Row],[Out-Time]] - 表格3_5[[#This Row],[In-Time]])*24</f>
        <v>0</v>
      </c>
      <c r="M248" s="210">
        <f>表格3_5[[#This Row],[ Hours]]-表格3_5[[#This Row],[Normal working
 hours]]</f>
        <v>0</v>
      </c>
      <c r="N248" s="205"/>
      <c r="O248" s="205"/>
      <c r="P248" s="210">
        <f>(表格3_5[[#This Row],[Out-Time2]] - 表格3_5[[#This Row],[In-Time2]])*24</f>
        <v>0</v>
      </c>
      <c r="Q248" s="205"/>
      <c r="R248" s="214">
        <f>_xlfn.XLOOKUP(表格3_5[[#This Row],[Name]],Name_list[Full Name],Name_list[Hourr Rate])</f>
        <v>0</v>
      </c>
      <c r="S248" s="210">
        <f>表格3_5[[#This Row],[Hours Worked]]*表格3_5[[#This Row],[Hourly Rate]]</f>
        <v>0</v>
      </c>
    </row>
    <row r="249" spans="1:19">
      <c r="A249" s="201">
        <v>247</v>
      </c>
      <c r="B249" s="210" t="str">
        <f>_xlfn.CONCAT(表格3_5[[#This Row],[Name]],表格3_5[[#This Row],[Location]])</f>
        <v/>
      </c>
      <c r="C249" s="211" t="str">
        <f>表格3_5[[#This Row],[Location]] &amp; 表格3_5[[#This Row],[Date]] &amp;表格3_5[[#This Row],[Nick Name]]</f>
        <v>0</v>
      </c>
      <c r="D249" s="202"/>
      <c r="E249" s="211" t="str">
        <f>DAY(表格3_5[[#This Row],[Date]])&amp;""</f>
        <v>0</v>
      </c>
      <c r="F249" s="203"/>
      <c r="G249" s="216">
        <f>_xlfn.XLOOKUP(表格3_5[[#This Row],[Name]],Name_list[Full Name],Name_list[Nick Name])</f>
        <v>0</v>
      </c>
      <c r="H249" s="207"/>
      <c r="I249" s="228"/>
      <c r="J249" s="218"/>
      <c r="K249" s="205"/>
      <c r="L249" s="210">
        <f>(表格3_5[[#This Row],[Out-Time]] - 表格3_5[[#This Row],[In-Time]])*24</f>
        <v>0</v>
      </c>
      <c r="M249" s="210">
        <f>表格3_5[[#This Row],[ Hours]]-表格3_5[[#This Row],[Normal working
 hours]]</f>
        <v>0</v>
      </c>
      <c r="N249" s="205"/>
      <c r="O249" s="205"/>
      <c r="P249" s="210">
        <f>(表格3_5[[#This Row],[Out-Time2]] - 表格3_5[[#This Row],[In-Time2]])*24</f>
        <v>0</v>
      </c>
      <c r="Q249" s="205"/>
      <c r="R249" s="214">
        <f>_xlfn.XLOOKUP(表格3_5[[#This Row],[Name]],Name_list[Full Name],Name_list[Hourr Rate])</f>
        <v>0</v>
      </c>
      <c r="S249" s="210">
        <f>表格3_5[[#This Row],[Hours Worked]]*表格3_5[[#This Row],[Hourly Rate]]</f>
        <v>0</v>
      </c>
    </row>
    <row r="250" spans="1:19">
      <c r="A250" s="201">
        <v>248</v>
      </c>
      <c r="B250" s="210" t="str">
        <f>_xlfn.CONCAT(表格3_5[[#This Row],[Name]],表格3_5[[#This Row],[Location]])</f>
        <v/>
      </c>
      <c r="C250" s="211" t="str">
        <f>表格3_5[[#This Row],[Location]] &amp; 表格3_5[[#This Row],[Date]] &amp;表格3_5[[#This Row],[Nick Name]]</f>
        <v>0</v>
      </c>
      <c r="D250" s="202"/>
      <c r="E250" s="211" t="str">
        <f>DAY(表格3_5[[#This Row],[Date]])&amp;""</f>
        <v>0</v>
      </c>
      <c r="F250" s="203"/>
      <c r="G250" s="216">
        <f>_xlfn.XLOOKUP(表格3_5[[#This Row],[Name]],Name_list[Full Name],Name_list[Nick Name])</f>
        <v>0</v>
      </c>
      <c r="H250" s="207"/>
      <c r="I250" s="228"/>
      <c r="J250" s="218"/>
      <c r="K250" s="205"/>
      <c r="L250" s="210">
        <f>(表格3_5[[#This Row],[Out-Time]] - 表格3_5[[#This Row],[In-Time]])*24</f>
        <v>0</v>
      </c>
      <c r="M250" s="210">
        <f>表格3_5[[#This Row],[ Hours]]-表格3_5[[#This Row],[Normal working
 hours]]</f>
        <v>0</v>
      </c>
      <c r="N250" s="205"/>
      <c r="O250" s="205"/>
      <c r="P250" s="210">
        <f>(表格3_5[[#This Row],[Out-Time2]] - 表格3_5[[#This Row],[In-Time2]])*24</f>
        <v>0</v>
      </c>
      <c r="Q250" s="205"/>
      <c r="R250" s="214">
        <f>_xlfn.XLOOKUP(表格3_5[[#This Row],[Name]],Name_list[Full Name],Name_list[Hourr Rate])</f>
        <v>0</v>
      </c>
      <c r="S250" s="210">
        <f>表格3_5[[#This Row],[Hours Worked]]*表格3_5[[#This Row],[Hourly Rate]]</f>
        <v>0</v>
      </c>
    </row>
    <row r="251" spans="1:19">
      <c r="A251" s="201">
        <v>249</v>
      </c>
      <c r="B251" s="210" t="str">
        <f>_xlfn.CONCAT(表格3_5[[#This Row],[Name]],表格3_5[[#This Row],[Location]])</f>
        <v/>
      </c>
      <c r="C251" s="211" t="str">
        <f>表格3_5[[#This Row],[Location]] &amp; 表格3_5[[#This Row],[Date]] &amp;表格3_5[[#This Row],[Nick Name]]</f>
        <v>0</v>
      </c>
      <c r="D251" s="202"/>
      <c r="E251" s="211" t="str">
        <f>DAY(表格3_5[[#This Row],[Date]])&amp;""</f>
        <v>0</v>
      </c>
      <c r="F251" s="203"/>
      <c r="G251" s="216">
        <f>_xlfn.XLOOKUP(表格3_5[[#This Row],[Name]],Name_list[Full Name],Name_list[Nick Name])</f>
        <v>0</v>
      </c>
      <c r="H251" s="207"/>
      <c r="I251" s="228"/>
      <c r="J251" s="218"/>
      <c r="K251" s="205"/>
      <c r="L251" s="210">
        <f>(表格3_5[[#This Row],[Out-Time]] - 表格3_5[[#This Row],[In-Time]])*24</f>
        <v>0</v>
      </c>
      <c r="M251" s="210">
        <f>表格3_5[[#This Row],[ Hours]]-表格3_5[[#This Row],[Normal working
 hours]]</f>
        <v>0</v>
      </c>
      <c r="N251" s="205"/>
      <c r="O251" s="205"/>
      <c r="P251" s="210">
        <f>(表格3_5[[#This Row],[Out-Time2]] - 表格3_5[[#This Row],[In-Time2]])*24</f>
        <v>0</v>
      </c>
      <c r="Q251" s="205"/>
      <c r="R251" s="214">
        <f>_xlfn.XLOOKUP(表格3_5[[#This Row],[Name]],Name_list[Full Name],Name_list[Hourr Rate])</f>
        <v>0</v>
      </c>
      <c r="S251" s="210">
        <f>表格3_5[[#This Row],[Hours Worked]]*表格3_5[[#This Row],[Hourly Rate]]</f>
        <v>0</v>
      </c>
    </row>
    <row r="252" spans="1:19">
      <c r="A252" s="201">
        <v>250</v>
      </c>
      <c r="B252" s="210" t="str">
        <f>_xlfn.CONCAT(表格3_5[[#This Row],[Name]],表格3_5[[#This Row],[Location]])</f>
        <v/>
      </c>
      <c r="C252" s="211" t="str">
        <f>表格3_5[[#This Row],[Location]] &amp; 表格3_5[[#This Row],[Date]] &amp;表格3_5[[#This Row],[Nick Name]]</f>
        <v>0</v>
      </c>
      <c r="D252" s="202"/>
      <c r="E252" s="211" t="str">
        <f>DAY(表格3_5[[#This Row],[Date]])&amp;""</f>
        <v>0</v>
      </c>
      <c r="F252" s="203"/>
      <c r="G252" s="216">
        <f>_xlfn.XLOOKUP(表格3_5[[#This Row],[Name]],Name_list[Full Name],Name_list[Nick Name])</f>
        <v>0</v>
      </c>
      <c r="H252" s="207"/>
      <c r="I252" s="228"/>
      <c r="J252" s="218"/>
      <c r="K252" s="205"/>
      <c r="L252" s="210">
        <f>(表格3_5[[#This Row],[Out-Time]] - 表格3_5[[#This Row],[In-Time]])*24</f>
        <v>0</v>
      </c>
      <c r="M252" s="210">
        <f>表格3_5[[#This Row],[ Hours]]-表格3_5[[#This Row],[Normal working
 hours]]</f>
        <v>0</v>
      </c>
      <c r="N252" s="205"/>
      <c r="O252" s="205"/>
      <c r="P252" s="210">
        <f>(表格3_5[[#This Row],[Out-Time2]] - 表格3_5[[#This Row],[In-Time2]])*24</f>
        <v>0</v>
      </c>
      <c r="Q252" s="205"/>
      <c r="R252" s="214">
        <f>_xlfn.XLOOKUP(表格3_5[[#This Row],[Name]],Name_list[Full Name],Name_list[Hourr Rate])</f>
        <v>0</v>
      </c>
      <c r="S252" s="210">
        <f>表格3_5[[#This Row],[Hours Worked]]*表格3_5[[#This Row],[Hourly Rate]]</f>
        <v>0</v>
      </c>
    </row>
    <row r="253" spans="1:19">
      <c r="A253" s="201">
        <v>251</v>
      </c>
      <c r="B253" s="210" t="str">
        <f>_xlfn.CONCAT(表格3_5[[#This Row],[Name]],表格3_5[[#This Row],[Location]])</f>
        <v/>
      </c>
      <c r="C253" s="211" t="str">
        <f>表格3_5[[#This Row],[Location]] &amp; 表格3_5[[#This Row],[Date]] &amp;表格3_5[[#This Row],[Nick Name]]</f>
        <v>0</v>
      </c>
      <c r="D253" s="202"/>
      <c r="E253" s="211" t="str">
        <f>DAY(表格3_5[[#This Row],[Date]])&amp;""</f>
        <v>0</v>
      </c>
      <c r="F253" s="203"/>
      <c r="G253" s="216">
        <f>_xlfn.XLOOKUP(表格3_5[[#This Row],[Name]],Name_list[Full Name],Name_list[Nick Name])</f>
        <v>0</v>
      </c>
      <c r="H253" s="207"/>
      <c r="I253" s="228"/>
      <c r="J253" s="218"/>
      <c r="K253" s="205"/>
      <c r="L253" s="210">
        <f>(表格3_5[[#This Row],[Out-Time]] - 表格3_5[[#This Row],[In-Time]])*24</f>
        <v>0</v>
      </c>
      <c r="M253" s="210">
        <f>表格3_5[[#This Row],[ Hours]]-表格3_5[[#This Row],[Normal working
 hours]]</f>
        <v>0</v>
      </c>
      <c r="N253" s="205"/>
      <c r="O253" s="205"/>
      <c r="P253" s="210">
        <f>(表格3_5[[#This Row],[Out-Time2]] - 表格3_5[[#This Row],[In-Time2]])*24</f>
        <v>0</v>
      </c>
      <c r="Q253" s="205"/>
      <c r="R253" s="214">
        <f>_xlfn.XLOOKUP(表格3_5[[#This Row],[Name]],Name_list[Full Name],Name_list[Hourr Rate])</f>
        <v>0</v>
      </c>
      <c r="S253" s="210">
        <f>表格3_5[[#This Row],[Hours Worked]]*表格3_5[[#This Row],[Hourly Rate]]</f>
        <v>0</v>
      </c>
    </row>
    <row r="254" spans="1:19">
      <c r="A254" s="201">
        <v>252</v>
      </c>
      <c r="B254" s="210" t="str">
        <f>_xlfn.CONCAT(表格3_5[[#This Row],[Name]],表格3_5[[#This Row],[Location]])</f>
        <v/>
      </c>
      <c r="C254" s="211" t="str">
        <f>表格3_5[[#This Row],[Location]] &amp; 表格3_5[[#This Row],[Date]] &amp;表格3_5[[#This Row],[Nick Name]]</f>
        <v>0</v>
      </c>
      <c r="D254" s="202"/>
      <c r="E254" s="211" t="str">
        <f>DAY(表格3_5[[#This Row],[Date]])&amp;""</f>
        <v>0</v>
      </c>
      <c r="F254" s="203"/>
      <c r="G254" s="216">
        <f>_xlfn.XLOOKUP(表格3_5[[#This Row],[Name]],Name_list[Full Name],Name_list[Nick Name])</f>
        <v>0</v>
      </c>
      <c r="H254" s="207"/>
      <c r="I254" s="228"/>
      <c r="J254" s="218"/>
      <c r="K254" s="205"/>
      <c r="L254" s="210">
        <f>(表格3_5[[#This Row],[Out-Time]] - 表格3_5[[#This Row],[In-Time]])*24</f>
        <v>0</v>
      </c>
      <c r="M254" s="210">
        <f>表格3_5[[#This Row],[ Hours]]-表格3_5[[#This Row],[Normal working
 hours]]</f>
        <v>0</v>
      </c>
      <c r="N254" s="205"/>
      <c r="O254" s="205"/>
      <c r="P254" s="210">
        <f>(表格3_5[[#This Row],[Out-Time2]] - 表格3_5[[#This Row],[In-Time2]])*24</f>
        <v>0</v>
      </c>
      <c r="Q254" s="205"/>
      <c r="R254" s="214">
        <f>_xlfn.XLOOKUP(表格3_5[[#This Row],[Name]],Name_list[Full Name],Name_list[Hourr Rate])</f>
        <v>0</v>
      </c>
      <c r="S254" s="210">
        <f>表格3_5[[#This Row],[Hours Worked]]*表格3_5[[#This Row],[Hourly Rate]]</f>
        <v>0</v>
      </c>
    </row>
    <row r="255" spans="1:19">
      <c r="A255" s="201">
        <v>253</v>
      </c>
      <c r="B255" s="210" t="str">
        <f>_xlfn.CONCAT(表格3_5[[#This Row],[Name]],表格3_5[[#This Row],[Location]])</f>
        <v/>
      </c>
      <c r="C255" s="211" t="str">
        <f>表格3_5[[#This Row],[Location]] &amp; 表格3_5[[#This Row],[Date]] &amp;表格3_5[[#This Row],[Nick Name]]</f>
        <v>0</v>
      </c>
      <c r="D255" s="202"/>
      <c r="E255" s="211" t="str">
        <f>DAY(表格3_5[[#This Row],[Date]])&amp;""</f>
        <v>0</v>
      </c>
      <c r="F255" s="203"/>
      <c r="G255" s="216">
        <f>_xlfn.XLOOKUP(表格3_5[[#This Row],[Name]],Name_list[Full Name],Name_list[Nick Name])</f>
        <v>0</v>
      </c>
      <c r="H255" s="207"/>
      <c r="I255" s="228"/>
      <c r="J255" s="218"/>
      <c r="K255" s="205"/>
      <c r="L255" s="210">
        <f>(表格3_5[[#This Row],[Out-Time]] - 表格3_5[[#This Row],[In-Time]])*24</f>
        <v>0</v>
      </c>
      <c r="M255" s="210">
        <f>表格3_5[[#This Row],[ Hours]]-表格3_5[[#This Row],[Normal working
 hours]]</f>
        <v>0</v>
      </c>
      <c r="N255" s="205"/>
      <c r="O255" s="205"/>
      <c r="P255" s="210">
        <f>(表格3_5[[#This Row],[Out-Time2]] - 表格3_5[[#This Row],[In-Time2]])*24</f>
        <v>0</v>
      </c>
      <c r="Q255" s="205"/>
      <c r="R255" s="214">
        <f>_xlfn.XLOOKUP(表格3_5[[#This Row],[Name]],Name_list[Full Name],Name_list[Hourr Rate])</f>
        <v>0</v>
      </c>
      <c r="S255" s="210">
        <f>表格3_5[[#This Row],[Hours Worked]]*表格3_5[[#This Row],[Hourly Rate]]</f>
        <v>0</v>
      </c>
    </row>
    <row r="256" spans="1:19">
      <c r="A256" s="201">
        <v>254</v>
      </c>
      <c r="B256" s="210" t="str">
        <f>_xlfn.CONCAT(表格3_5[[#This Row],[Name]],表格3_5[[#This Row],[Location]])</f>
        <v/>
      </c>
      <c r="C256" s="211" t="str">
        <f>表格3_5[[#This Row],[Location]] &amp; 表格3_5[[#This Row],[Date]] &amp;表格3_5[[#This Row],[Nick Name]]</f>
        <v>0</v>
      </c>
      <c r="D256" s="202"/>
      <c r="E256" s="211" t="str">
        <f>DAY(表格3_5[[#This Row],[Date]])&amp;""</f>
        <v>0</v>
      </c>
      <c r="F256" s="203"/>
      <c r="G256" s="216">
        <f>_xlfn.XLOOKUP(表格3_5[[#This Row],[Name]],Name_list[Full Name],Name_list[Nick Name])</f>
        <v>0</v>
      </c>
      <c r="H256" s="207"/>
      <c r="I256" s="228"/>
      <c r="J256" s="218"/>
      <c r="K256" s="205"/>
      <c r="L256" s="210">
        <f>(表格3_5[[#This Row],[Out-Time]] - 表格3_5[[#This Row],[In-Time]])*24</f>
        <v>0</v>
      </c>
      <c r="M256" s="210">
        <f>表格3_5[[#This Row],[ Hours]]-表格3_5[[#This Row],[Normal working
 hours]]</f>
        <v>0</v>
      </c>
      <c r="N256" s="205"/>
      <c r="O256" s="205"/>
      <c r="P256" s="210">
        <f>(表格3_5[[#This Row],[Out-Time2]] - 表格3_5[[#This Row],[In-Time2]])*24</f>
        <v>0</v>
      </c>
      <c r="Q256" s="205"/>
      <c r="R256" s="214">
        <f>_xlfn.XLOOKUP(表格3_5[[#This Row],[Name]],Name_list[Full Name],Name_list[Hourr Rate])</f>
        <v>0</v>
      </c>
      <c r="S256" s="210">
        <f>表格3_5[[#This Row],[Hours Worked]]*表格3_5[[#This Row],[Hourly Rate]]</f>
        <v>0</v>
      </c>
    </row>
    <row r="257" spans="1:19">
      <c r="A257" s="201">
        <v>255</v>
      </c>
      <c r="B257" s="210" t="str">
        <f>_xlfn.CONCAT(表格3_5[[#This Row],[Name]],表格3_5[[#This Row],[Location]])</f>
        <v/>
      </c>
      <c r="C257" s="211" t="str">
        <f>表格3_5[[#This Row],[Location]] &amp; 表格3_5[[#This Row],[Date]] &amp;表格3_5[[#This Row],[Nick Name]]</f>
        <v>0</v>
      </c>
      <c r="D257" s="202"/>
      <c r="E257" s="211" t="str">
        <f>DAY(表格3_5[[#This Row],[Date]])&amp;""</f>
        <v>0</v>
      </c>
      <c r="F257" s="203"/>
      <c r="G257" s="216">
        <f>_xlfn.XLOOKUP(表格3_5[[#This Row],[Name]],Name_list[Full Name],Name_list[Nick Name])</f>
        <v>0</v>
      </c>
      <c r="H257" s="207"/>
      <c r="I257" s="228"/>
      <c r="J257" s="218"/>
      <c r="K257" s="205"/>
      <c r="L257" s="210">
        <f>(表格3_5[[#This Row],[Out-Time]] - 表格3_5[[#This Row],[In-Time]])*24</f>
        <v>0</v>
      </c>
      <c r="M257" s="210">
        <f>表格3_5[[#This Row],[ Hours]]-表格3_5[[#This Row],[Normal working
 hours]]</f>
        <v>0</v>
      </c>
      <c r="N257" s="205"/>
      <c r="O257" s="205"/>
      <c r="P257" s="210">
        <f>(表格3_5[[#This Row],[Out-Time2]] - 表格3_5[[#This Row],[In-Time2]])*24</f>
        <v>0</v>
      </c>
      <c r="Q257" s="205"/>
      <c r="R257" s="214">
        <f>_xlfn.XLOOKUP(表格3_5[[#This Row],[Name]],Name_list[Full Name],Name_list[Hourr Rate])</f>
        <v>0</v>
      </c>
      <c r="S257" s="210">
        <f>表格3_5[[#This Row],[Hours Worked]]*表格3_5[[#This Row],[Hourly Rate]]</f>
        <v>0</v>
      </c>
    </row>
    <row r="258" spans="1:19">
      <c r="A258" s="201">
        <v>256</v>
      </c>
      <c r="B258" s="210" t="str">
        <f>_xlfn.CONCAT(表格3_5[[#This Row],[Name]],表格3_5[[#This Row],[Location]])</f>
        <v/>
      </c>
      <c r="C258" s="211" t="str">
        <f>表格3_5[[#This Row],[Location]] &amp; 表格3_5[[#This Row],[Date]] &amp;表格3_5[[#This Row],[Nick Name]]</f>
        <v>0</v>
      </c>
      <c r="D258" s="202"/>
      <c r="E258" s="211" t="str">
        <f>DAY(表格3_5[[#This Row],[Date]])&amp;""</f>
        <v>0</v>
      </c>
      <c r="F258" s="203"/>
      <c r="G258" s="216">
        <f>_xlfn.XLOOKUP(表格3_5[[#This Row],[Name]],Name_list[Full Name],Name_list[Nick Name])</f>
        <v>0</v>
      </c>
      <c r="H258" s="207"/>
      <c r="I258" s="228"/>
      <c r="J258" s="218"/>
      <c r="K258" s="205"/>
      <c r="L258" s="210">
        <f>(表格3_5[[#This Row],[Out-Time]] - 表格3_5[[#This Row],[In-Time]])*24</f>
        <v>0</v>
      </c>
      <c r="M258" s="210">
        <f>表格3_5[[#This Row],[ Hours]]-表格3_5[[#This Row],[Normal working
 hours]]</f>
        <v>0</v>
      </c>
      <c r="N258" s="205"/>
      <c r="O258" s="205"/>
      <c r="P258" s="210">
        <f>(表格3_5[[#This Row],[Out-Time2]] - 表格3_5[[#This Row],[In-Time2]])*24</f>
        <v>0</v>
      </c>
      <c r="Q258" s="205"/>
      <c r="R258" s="214">
        <f>_xlfn.XLOOKUP(表格3_5[[#This Row],[Name]],Name_list[Full Name],Name_list[Hourr Rate])</f>
        <v>0</v>
      </c>
      <c r="S258" s="210">
        <f>表格3_5[[#This Row],[Hours Worked]]*表格3_5[[#This Row],[Hourly Rate]]</f>
        <v>0</v>
      </c>
    </row>
    <row r="259" spans="1:19">
      <c r="A259" s="201">
        <v>257</v>
      </c>
      <c r="B259" s="210" t="str">
        <f>_xlfn.CONCAT(表格3_5[[#This Row],[Name]],表格3_5[[#This Row],[Location]])</f>
        <v/>
      </c>
      <c r="C259" s="211" t="str">
        <f>表格3_5[[#This Row],[Location]] &amp; 表格3_5[[#This Row],[Date]] &amp;表格3_5[[#This Row],[Nick Name]]</f>
        <v>0</v>
      </c>
      <c r="D259" s="202"/>
      <c r="E259" s="211" t="str">
        <f>DAY(表格3_5[[#This Row],[Date]])&amp;""</f>
        <v>0</v>
      </c>
      <c r="F259" s="203"/>
      <c r="G259" s="216">
        <f>_xlfn.XLOOKUP(表格3_5[[#This Row],[Name]],Name_list[Full Name],Name_list[Nick Name])</f>
        <v>0</v>
      </c>
      <c r="H259" s="207"/>
      <c r="I259" s="228"/>
      <c r="J259" s="218"/>
      <c r="K259" s="205"/>
      <c r="L259" s="210">
        <f>(表格3_5[[#This Row],[Out-Time]] - 表格3_5[[#This Row],[In-Time]])*24</f>
        <v>0</v>
      </c>
      <c r="M259" s="210">
        <f>表格3_5[[#This Row],[ Hours]]-表格3_5[[#This Row],[Normal working
 hours]]</f>
        <v>0</v>
      </c>
      <c r="N259" s="205"/>
      <c r="O259" s="205"/>
      <c r="P259" s="210">
        <f>(表格3_5[[#This Row],[Out-Time2]] - 表格3_5[[#This Row],[In-Time2]])*24</f>
        <v>0</v>
      </c>
      <c r="Q259" s="205"/>
      <c r="R259" s="214">
        <f>_xlfn.XLOOKUP(表格3_5[[#This Row],[Name]],Name_list[Full Name],Name_list[Hourr Rate])</f>
        <v>0</v>
      </c>
      <c r="S259" s="210">
        <f>表格3_5[[#This Row],[Hours Worked]]*表格3_5[[#This Row],[Hourly Rate]]</f>
        <v>0</v>
      </c>
    </row>
    <row r="260" spans="1:19">
      <c r="A260" s="201">
        <v>258</v>
      </c>
      <c r="B260" s="210" t="str">
        <f>_xlfn.CONCAT(表格3_5[[#This Row],[Name]],表格3_5[[#This Row],[Location]])</f>
        <v/>
      </c>
      <c r="C260" s="211" t="str">
        <f>表格3_5[[#This Row],[Location]] &amp; 表格3_5[[#This Row],[Date]] &amp;表格3_5[[#This Row],[Nick Name]]</f>
        <v>0</v>
      </c>
      <c r="D260" s="202"/>
      <c r="E260" s="211" t="str">
        <f>DAY(表格3_5[[#This Row],[Date]])&amp;""</f>
        <v>0</v>
      </c>
      <c r="F260" s="203"/>
      <c r="G260" s="216">
        <f>_xlfn.XLOOKUP(表格3_5[[#This Row],[Name]],Name_list[Full Name],Name_list[Nick Name])</f>
        <v>0</v>
      </c>
      <c r="H260" s="207"/>
      <c r="I260" s="228"/>
      <c r="J260" s="218"/>
      <c r="K260" s="205"/>
      <c r="L260" s="210">
        <f>(表格3_5[[#This Row],[Out-Time]] - 表格3_5[[#This Row],[In-Time]])*24</f>
        <v>0</v>
      </c>
      <c r="M260" s="210">
        <f>表格3_5[[#This Row],[ Hours]]-表格3_5[[#This Row],[Normal working
 hours]]</f>
        <v>0</v>
      </c>
      <c r="N260" s="205"/>
      <c r="O260" s="205"/>
      <c r="P260" s="210">
        <f>(表格3_5[[#This Row],[Out-Time2]] - 表格3_5[[#This Row],[In-Time2]])*24</f>
        <v>0</v>
      </c>
      <c r="Q260" s="205"/>
      <c r="R260" s="214">
        <f>_xlfn.XLOOKUP(表格3_5[[#This Row],[Name]],Name_list[Full Name],Name_list[Hourr Rate])</f>
        <v>0</v>
      </c>
      <c r="S260" s="210">
        <f>表格3_5[[#This Row],[Hours Worked]]*表格3_5[[#This Row],[Hourly Rate]]</f>
        <v>0</v>
      </c>
    </row>
    <row r="261" spans="1:19">
      <c r="A261" s="201">
        <v>259</v>
      </c>
      <c r="B261" s="210" t="str">
        <f>_xlfn.CONCAT(表格3_5[[#This Row],[Name]],表格3_5[[#This Row],[Location]])</f>
        <v/>
      </c>
      <c r="C261" s="211" t="str">
        <f>表格3_5[[#This Row],[Location]] &amp; 表格3_5[[#This Row],[Date]] &amp;表格3_5[[#This Row],[Nick Name]]</f>
        <v>0</v>
      </c>
      <c r="D261" s="202"/>
      <c r="E261" s="211" t="str">
        <f>DAY(表格3_5[[#This Row],[Date]])&amp;""</f>
        <v>0</v>
      </c>
      <c r="F261" s="203"/>
      <c r="G261" s="216">
        <f>_xlfn.XLOOKUP(表格3_5[[#This Row],[Name]],Name_list[Full Name],Name_list[Nick Name])</f>
        <v>0</v>
      </c>
      <c r="H261" s="207"/>
      <c r="I261" s="228"/>
      <c r="J261" s="218"/>
      <c r="K261" s="205"/>
      <c r="L261" s="210">
        <f>(表格3_5[[#This Row],[Out-Time]] - 表格3_5[[#This Row],[In-Time]])*24</f>
        <v>0</v>
      </c>
      <c r="M261" s="210">
        <f>表格3_5[[#This Row],[ Hours]]-表格3_5[[#This Row],[Normal working
 hours]]</f>
        <v>0</v>
      </c>
      <c r="N261" s="205"/>
      <c r="O261" s="205"/>
      <c r="P261" s="210">
        <f>(表格3_5[[#This Row],[Out-Time2]] - 表格3_5[[#This Row],[In-Time2]])*24</f>
        <v>0</v>
      </c>
      <c r="Q261" s="205"/>
      <c r="R261" s="214">
        <f>_xlfn.XLOOKUP(表格3_5[[#This Row],[Name]],Name_list[Full Name],Name_list[Hourr Rate])</f>
        <v>0</v>
      </c>
      <c r="S261" s="210">
        <f>表格3_5[[#This Row],[Hours Worked]]*表格3_5[[#This Row],[Hourly Rate]]</f>
        <v>0</v>
      </c>
    </row>
    <row r="262" spans="1:19">
      <c r="A262" s="201">
        <v>260</v>
      </c>
      <c r="B262" s="210" t="str">
        <f>_xlfn.CONCAT(表格3_5[[#This Row],[Name]],表格3_5[[#This Row],[Location]])</f>
        <v/>
      </c>
      <c r="C262" s="211" t="str">
        <f>表格3_5[[#This Row],[Location]] &amp; 表格3_5[[#This Row],[Date]] &amp;表格3_5[[#This Row],[Nick Name]]</f>
        <v>0</v>
      </c>
      <c r="D262" s="202"/>
      <c r="E262" s="211" t="str">
        <f>DAY(表格3_5[[#This Row],[Date]])&amp;""</f>
        <v>0</v>
      </c>
      <c r="F262" s="203"/>
      <c r="G262" s="216">
        <f>_xlfn.XLOOKUP(表格3_5[[#This Row],[Name]],Name_list[Full Name],Name_list[Nick Name])</f>
        <v>0</v>
      </c>
      <c r="H262" s="207"/>
      <c r="I262" s="228"/>
      <c r="J262" s="218"/>
      <c r="K262" s="205"/>
      <c r="L262" s="210">
        <f>(表格3_5[[#This Row],[Out-Time]] - 表格3_5[[#This Row],[In-Time]])*24</f>
        <v>0</v>
      </c>
      <c r="M262" s="210">
        <f>表格3_5[[#This Row],[ Hours]]-表格3_5[[#This Row],[Normal working
 hours]]</f>
        <v>0</v>
      </c>
      <c r="N262" s="205"/>
      <c r="O262" s="205"/>
      <c r="P262" s="210">
        <f>(表格3_5[[#This Row],[Out-Time2]] - 表格3_5[[#This Row],[In-Time2]])*24</f>
        <v>0</v>
      </c>
      <c r="Q262" s="205"/>
      <c r="R262" s="214">
        <f>_xlfn.XLOOKUP(表格3_5[[#This Row],[Name]],Name_list[Full Name],Name_list[Hourr Rate])</f>
        <v>0</v>
      </c>
      <c r="S262" s="210">
        <f>表格3_5[[#This Row],[Hours Worked]]*表格3_5[[#This Row],[Hourly Rate]]</f>
        <v>0</v>
      </c>
    </row>
    <row r="263" spans="1:19">
      <c r="A263" s="201">
        <v>261</v>
      </c>
      <c r="B263" s="210" t="str">
        <f>_xlfn.CONCAT(表格3_5[[#This Row],[Name]],表格3_5[[#This Row],[Location]])</f>
        <v/>
      </c>
      <c r="C263" s="211" t="str">
        <f>表格3_5[[#This Row],[Location]] &amp; 表格3_5[[#This Row],[Date]] &amp;表格3_5[[#This Row],[Nick Name]]</f>
        <v>0</v>
      </c>
      <c r="D263" s="202"/>
      <c r="E263" s="211" t="str">
        <f>DAY(表格3_5[[#This Row],[Date]])&amp;""</f>
        <v>0</v>
      </c>
      <c r="F263" s="203"/>
      <c r="G263" s="216">
        <f>_xlfn.XLOOKUP(表格3_5[[#This Row],[Name]],Name_list[Full Name],Name_list[Nick Name])</f>
        <v>0</v>
      </c>
      <c r="H263" s="207"/>
      <c r="I263" s="228"/>
      <c r="J263" s="218"/>
      <c r="K263" s="205"/>
      <c r="L263" s="210">
        <f>(表格3_5[[#This Row],[Out-Time]] - 表格3_5[[#This Row],[In-Time]])*24</f>
        <v>0</v>
      </c>
      <c r="M263" s="210">
        <f>表格3_5[[#This Row],[ Hours]]-表格3_5[[#This Row],[Normal working
 hours]]</f>
        <v>0</v>
      </c>
      <c r="N263" s="205"/>
      <c r="O263" s="205"/>
      <c r="P263" s="210">
        <f>(表格3_5[[#This Row],[Out-Time2]] - 表格3_5[[#This Row],[In-Time2]])*24</f>
        <v>0</v>
      </c>
      <c r="Q263" s="205"/>
      <c r="R263" s="214">
        <f>_xlfn.XLOOKUP(表格3_5[[#This Row],[Name]],Name_list[Full Name],Name_list[Hourr Rate])</f>
        <v>0</v>
      </c>
      <c r="S263" s="210">
        <f>表格3_5[[#This Row],[Hours Worked]]*表格3_5[[#This Row],[Hourly Rate]]</f>
        <v>0</v>
      </c>
    </row>
    <row r="264" spans="1:19">
      <c r="A264" s="201">
        <v>262</v>
      </c>
      <c r="B264" s="210" t="str">
        <f>_xlfn.CONCAT(表格3_5[[#This Row],[Name]],表格3_5[[#This Row],[Location]])</f>
        <v/>
      </c>
      <c r="C264" s="211" t="str">
        <f>表格3_5[[#This Row],[Location]] &amp; 表格3_5[[#This Row],[Date]] &amp;表格3_5[[#This Row],[Nick Name]]</f>
        <v>0</v>
      </c>
      <c r="D264" s="202"/>
      <c r="E264" s="211" t="str">
        <f>DAY(表格3_5[[#This Row],[Date]])&amp;""</f>
        <v>0</v>
      </c>
      <c r="F264" s="203"/>
      <c r="G264" s="216">
        <f>_xlfn.XLOOKUP(表格3_5[[#This Row],[Name]],Name_list[Full Name],Name_list[Nick Name])</f>
        <v>0</v>
      </c>
      <c r="H264" s="207"/>
      <c r="I264" s="228"/>
      <c r="J264" s="218"/>
      <c r="K264" s="205"/>
      <c r="L264" s="210">
        <f>(表格3_5[[#This Row],[Out-Time]] - 表格3_5[[#This Row],[In-Time]])*24</f>
        <v>0</v>
      </c>
      <c r="M264" s="210">
        <f>表格3_5[[#This Row],[ Hours]]-表格3_5[[#This Row],[Normal working
 hours]]</f>
        <v>0</v>
      </c>
      <c r="N264" s="205"/>
      <c r="O264" s="205"/>
      <c r="P264" s="210">
        <f>(表格3_5[[#This Row],[Out-Time2]] - 表格3_5[[#This Row],[In-Time2]])*24</f>
        <v>0</v>
      </c>
      <c r="Q264" s="205"/>
      <c r="R264" s="214">
        <f>_xlfn.XLOOKUP(表格3_5[[#This Row],[Name]],Name_list[Full Name],Name_list[Hourr Rate])</f>
        <v>0</v>
      </c>
      <c r="S264" s="210">
        <f>表格3_5[[#This Row],[Hours Worked]]*表格3_5[[#This Row],[Hourly Rate]]</f>
        <v>0</v>
      </c>
    </row>
    <row r="265" spans="1:19">
      <c r="A265" s="201">
        <v>263</v>
      </c>
      <c r="B265" s="210" t="str">
        <f>_xlfn.CONCAT(表格3_5[[#This Row],[Name]],表格3_5[[#This Row],[Location]])</f>
        <v/>
      </c>
      <c r="C265" s="211" t="str">
        <f>表格3_5[[#This Row],[Location]] &amp; 表格3_5[[#This Row],[Date]] &amp;表格3_5[[#This Row],[Nick Name]]</f>
        <v>0</v>
      </c>
      <c r="D265" s="202"/>
      <c r="E265" s="211" t="str">
        <f>DAY(表格3_5[[#This Row],[Date]])&amp;""</f>
        <v>0</v>
      </c>
      <c r="F265" s="203"/>
      <c r="G265" s="216">
        <f>_xlfn.XLOOKUP(表格3_5[[#This Row],[Name]],Name_list[Full Name],Name_list[Nick Name])</f>
        <v>0</v>
      </c>
      <c r="H265" s="207"/>
      <c r="I265" s="228"/>
      <c r="J265" s="218"/>
      <c r="K265" s="205"/>
      <c r="L265" s="210">
        <f>(表格3_5[[#This Row],[Out-Time]] - 表格3_5[[#This Row],[In-Time]])*24</f>
        <v>0</v>
      </c>
      <c r="M265" s="210">
        <f>表格3_5[[#This Row],[ Hours]]-表格3_5[[#This Row],[Normal working
 hours]]</f>
        <v>0</v>
      </c>
      <c r="N265" s="205"/>
      <c r="O265" s="205"/>
      <c r="P265" s="210">
        <f>(表格3_5[[#This Row],[Out-Time2]] - 表格3_5[[#This Row],[In-Time2]])*24</f>
        <v>0</v>
      </c>
      <c r="Q265" s="205"/>
      <c r="R265" s="214">
        <f>_xlfn.XLOOKUP(表格3_5[[#This Row],[Name]],Name_list[Full Name],Name_list[Hourr Rate])</f>
        <v>0</v>
      </c>
      <c r="S265" s="210">
        <f>表格3_5[[#This Row],[Hours Worked]]*表格3_5[[#This Row],[Hourly Rate]]</f>
        <v>0</v>
      </c>
    </row>
    <row r="266" spans="1:19">
      <c r="A266" s="201">
        <v>264</v>
      </c>
      <c r="B266" s="210" t="str">
        <f>_xlfn.CONCAT(表格3_5[[#This Row],[Name]],表格3_5[[#This Row],[Location]])</f>
        <v/>
      </c>
      <c r="C266" s="211" t="str">
        <f>表格3_5[[#This Row],[Location]] &amp; 表格3_5[[#This Row],[Date]] &amp;表格3_5[[#This Row],[Nick Name]]</f>
        <v>0</v>
      </c>
      <c r="D266" s="202"/>
      <c r="E266" s="211" t="str">
        <f>DAY(表格3_5[[#This Row],[Date]])&amp;""</f>
        <v>0</v>
      </c>
      <c r="F266" s="203"/>
      <c r="G266" s="216">
        <f>_xlfn.XLOOKUP(表格3_5[[#This Row],[Name]],Name_list[Full Name],Name_list[Nick Name])</f>
        <v>0</v>
      </c>
      <c r="H266" s="207"/>
      <c r="I266" s="228"/>
      <c r="J266" s="218"/>
      <c r="K266" s="205"/>
      <c r="L266" s="210">
        <f>(表格3_5[[#This Row],[Out-Time]] - 表格3_5[[#This Row],[In-Time]])*24</f>
        <v>0</v>
      </c>
      <c r="M266" s="210">
        <f>表格3_5[[#This Row],[ Hours]]-表格3_5[[#This Row],[Normal working
 hours]]</f>
        <v>0</v>
      </c>
      <c r="N266" s="205"/>
      <c r="O266" s="205"/>
      <c r="P266" s="210">
        <f>(表格3_5[[#This Row],[Out-Time2]] - 表格3_5[[#This Row],[In-Time2]])*24</f>
        <v>0</v>
      </c>
      <c r="Q266" s="205"/>
      <c r="R266" s="214">
        <f>_xlfn.XLOOKUP(表格3_5[[#This Row],[Name]],Name_list[Full Name],Name_list[Hourr Rate])</f>
        <v>0</v>
      </c>
      <c r="S266" s="210">
        <f>表格3_5[[#This Row],[Hours Worked]]*表格3_5[[#This Row],[Hourly Rate]]</f>
        <v>0</v>
      </c>
    </row>
    <row r="267" spans="1:19">
      <c r="A267" s="201">
        <v>265</v>
      </c>
      <c r="B267" s="210" t="str">
        <f>_xlfn.CONCAT(表格3_5[[#This Row],[Name]],表格3_5[[#This Row],[Location]])</f>
        <v/>
      </c>
      <c r="C267" s="211" t="str">
        <f>表格3_5[[#This Row],[Location]] &amp; 表格3_5[[#This Row],[Date]] &amp;表格3_5[[#This Row],[Nick Name]]</f>
        <v>0</v>
      </c>
      <c r="D267" s="202"/>
      <c r="E267" s="211" t="str">
        <f>DAY(表格3_5[[#This Row],[Date]])&amp;""</f>
        <v>0</v>
      </c>
      <c r="F267" s="203"/>
      <c r="G267" s="216">
        <f>_xlfn.XLOOKUP(表格3_5[[#This Row],[Name]],Name_list[Full Name],Name_list[Nick Name])</f>
        <v>0</v>
      </c>
      <c r="H267" s="207"/>
      <c r="I267" s="228"/>
      <c r="J267" s="218"/>
      <c r="K267" s="205"/>
      <c r="L267" s="210">
        <f>(表格3_5[[#This Row],[Out-Time]] - 表格3_5[[#This Row],[In-Time]])*24</f>
        <v>0</v>
      </c>
      <c r="M267" s="210">
        <f>表格3_5[[#This Row],[ Hours]]-表格3_5[[#This Row],[Normal working
 hours]]</f>
        <v>0</v>
      </c>
      <c r="N267" s="205"/>
      <c r="O267" s="205"/>
      <c r="P267" s="210">
        <f>(表格3_5[[#This Row],[Out-Time2]] - 表格3_5[[#This Row],[In-Time2]])*24</f>
        <v>0</v>
      </c>
      <c r="Q267" s="205"/>
      <c r="R267" s="214">
        <f>_xlfn.XLOOKUP(表格3_5[[#This Row],[Name]],Name_list[Full Name],Name_list[Hourr Rate])</f>
        <v>0</v>
      </c>
      <c r="S267" s="210">
        <f>表格3_5[[#This Row],[Hours Worked]]*表格3_5[[#This Row],[Hourly Rate]]</f>
        <v>0</v>
      </c>
    </row>
    <row r="268" spans="1:19">
      <c r="A268" s="201">
        <v>266</v>
      </c>
      <c r="B268" s="210" t="str">
        <f>_xlfn.CONCAT(表格3_5[[#This Row],[Name]],表格3_5[[#This Row],[Location]])</f>
        <v/>
      </c>
      <c r="C268" s="211" t="str">
        <f>表格3_5[[#This Row],[Location]] &amp; 表格3_5[[#This Row],[Date]] &amp;表格3_5[[#This Row],[Nick Name]]</f>
        <v>0</v>
      </c>
      <c r="D268" s="202"/>
      <c r="E268" s="211" t="str">
        <f>DAY(表格3_5[[#This Row],[Date]])&amp;""</f>
        <v>0</v>
      </c>
      <c r="F268" s="203"/>
      <c r="G268" s="216">
        <f>_xlfn.XLOOKUP(表格3_5[[#This Row],[Name]],Name_list[Full Name],Name_list[Nick Name])</f>
        <v>0</v>
      </c>
      <c r="H268" s="207"/>
      <c r="I268" s="228"/>
      <c r="J268" s="218"/>
      <c r="K268" s="205"/>
      <c r="L268" s="210">
        <f>(表格3_5[[#This Row],[Out-Time]] - 表格3_5[[#This Row],[In-Time]])*24</f>
        <v>0</v>
      </c>
      <c r="M268" s="210">
        <f>表格3_5[[#This Row],[ Hours]]-表格3_5[[#This Row],[Normal working
 hours]]</f>
        <v>0</v>
      </c>
      <c r="N268" s="205"/>
      <c r="O268" s="205"/>
      <c r="P268" s="210">
        <f>(表格3_5[[#This Row],[Out-Time2]] - 表格3_5[[#This Row],[In-Time2]])*24</f>
        <v>0</v>
      </c>
      <c r="Q268" s="205"/>
      <c r="R268" s="214">
        <f>_xlfn.XLOOKUP(表格3_5[[#This Row],[Name]],Name_list[Full Name],Name_list[Hourr Rate])</f>
        <v>0</v>
      </c>
      <c r="S268" s="210">
        <f>表格3_5[[#This Row],[Hours Worked]]*表格3_5[[#This Row],[Hourly Rate]]</f>
        <v>0</v>
      </c>
    </row>
    <row r="269" spans="1:19">
      <c r="A269" s="201">
        <v>267</v>
      </c>
      <c r="B269" s="210" t="str">
        <f>_xlfn.CONCAT(表格3_5[[#This Row],[Name]],表格3_5[[#This Row],[Location]])</f>
        <v/>
      </c>
      <c r="C269" s="211" t="str">
        <f>表格3_5[[#This Row],[Location]] &amp; 表格3_5[[#This Row],[Date]] &amp;表格3_5[[#This Row],[Nick Name]]</f>
        <v>0</v>
      </c>
      <c r="D269" s="202"/>
      <c r="E269" s="211" t="str">
        <f>DAY(表格3_5[[#This Row],[Date]])&amp;""</f>
        <v>0</v>
      </c>
      <c r="F269" s="203"/>
      <c r="G269" s="216">
        <f>_xlfn.XLOOKUP(表格3_5[[#This Row],[Name]],Name_list[Full Name],Name_list[Nick Name])</f>
        <v>0</v>
      </c>
      <c r="H269" s="207"/>
      <c r="I269" s="228"/>
      <c r="J269" s="218"/>
      <c r="K269" s="205"/>
      <c r="L269" s="210">
        <f>(表格3_5[[#This Row],[Out-Time]] - 表格3_5[[#This Row],[In-Time]])*24</f>
        <v>0</v>
      </c>
      <c r="M269" s="210">
        <f>表格3_5[[#This Row],[ Hours]]-表格3_5[[#This Row],[Normal working
 hours]]</f>
        <v>0</v>
      </c>
      <c r="N269" s="205"/>
      <c r="O269" s="205"/>
      <c r="P269" s="210">
        <f>(表格3_5[[#This Row],[Out-Time2]] - 表格3_5[[#This Row],[In-Time2]])*24</f>
        <v>0</v>
      </c>
      <c r="Q269" s="205"/>
      <c r="R269" s="214">
        <f>_xlfn.XLOOKUP(表格3_5[[#This Row],[Name]],Name_list[Full Name],Name_list[Hourr Rate])</f>
        <v>0</v>
      </c>
      <c r="S269" s="210">
        <f>表格3_5[[#This Row],[Hours Worked]]*表格3_5[[#This Row],[Hourly Rate]]</f>
        <v>0</v>
      </c>
    </row>
    <row r="270" spans="1:19">
      <c r="A270" s="201">
        <v>268</v>
      </c>
      <c r="B270" s="210" t="str">
        <f>_xlfn.CONCAT(表格3_5[[#This Row],[Name]],表格3_5[[#This Row],[Location]])</f>
        <v/>
      </c>
      <c r="C270" s="211" t="str">
        <f>表格3_5[[#This Row],[Location]] &amp; 表格3_5[[#This Row],[Date]] &amp;表格3_5[[#This Row],[Nick Name]]</f>
        <v>0</v>
      </c>
      <c r="D270" s="202"/>
      <c r="E270" s="211" t="str">
        <f>DAY(表格3_5[[#This Row],[Date]])&amp;""</f>
        <v>0</v>
      </c>
      <c r="F270" s="203"/>
      <c r="G270" s="216">
        <f>_xlfn.XLOOKUP(表格3_5[[#This Row],[Name]],Name_list[Full Name],Name_list[Nick Name])</f>
        <v>0</v>
      </c>
      <c r="H270" s="207"/>
      <c r="I270" s="228"/>
      <c r="J270" s="218"/>
      <c r="K270" s="205"/>
      <c r="L270" s="210">
        <f>(表格3_5[[#This Row],[Out-Time]] - 表格3_5[[#This Row],[In-Time]])*24</f>
        <v>0</v>
      </c>
      <c r="M270" s="210">
        <f>表格3_5[[#This Row],[ Hours]]-表格3_5[[#This Row],[Normal working
 hours]]</f>
        <v>0</v>
      </c>
      <c r="N270" s="205"/>
      <c r="O270" s="205"/>
      <c r="P270" s="210">
        <f>(表格3_5[[#This Row],[Out-Time2]] - 表格3_5[[#This Row],[In-Time2]])*24</f>
        <v>0</v>
      </c>
      <c r="Q270" s="205"/>
      <c r="R270" s="214">
        <f>_xlfn.XLOOKUP(表格3_5[[#This Row],[Name]],Name_list[Full Name],Name_list[Hourr Rate])</f>
        <v>0</v>
      </c>
      <c r="S270" s="210">
        <f>表格3_5[[#This Row],[Hours Worked]]*表格3_5[[#This Row],[Hourly Rate]]</f>
        <v>0</v>
      </c>
    </row>
    <row r="271" spans="1:19">
      <c r="A271" s="201">
        <v>269</v>
      </c>
      <c r="B271" s="210" t="str">
        <f>_xlfn.CONCAT(表格3_5[[#This Row],[Name]],表格3_5[[#This Row],[Location]])</f>
        <v/>
      </c>
      <c r="C271" s="211" t="str">
        <f>表格3_5[[#This Row],[Location]] &amp; 表格3_5[[#This Row],[Date]] &amp;表格3_5[[#This Row],[Nick Name]]</f>
        <v>0</v>
      </c>
      <c r="D271" s="202"/>
      <c r="E271" s="211" t="str">
        <f>DAY(表格3_5[[#This Row],[Date]])&amp;""</f>
        <v>0</v>
      </c>
      <c r="F271" s="203"/>
      <c r="G271" s="216">
        <f>_xlfn.XLOOKUP(表格3_5[[#This Row],[Name]],Name_list[Full Name],Name_list[Nick Name])</f>
        <v>0</v>
      </c>
      <c r="H271" s="207"/>
      <c r="I271" s="228"/>
      <c r="J271" s="218"/>
      <c r="K271" s="205"/>
      <c r="L271" s="210">
        <f>(表格3_5[[#This Row],[Out-Time]] - 表格3_5[[#This Row],[In-Time]])*24</f>
        <v>0</v>
      </c>
      <c r="M271" s="210">
        <f>表格3_5[[#This Row],[ Hours]]-表格3_5[[#This Row],[Normal working
 hours]]</f>
        <v>0</v>
      </c>
      <c r="N271" s="205"/>
      <c r="O271" s="205"/>
      <c r="P271" s="210">
        <f>(表格3_5[[#This Row],[Out-Time2]] - 表格3_5[[#This Row],[In-Time2]])*24</f>
        <v>0</v>
      </c>
      <c r="Q271" s="205"/>
      <c r="R271" s="214">
        <f>_xlfn.XLOOKUP(表格3_5[[#This Row],[Name]],Name_list[Full Name],Name_list[Hourr Rate])</f>
        <v>0</v>
      </c>
      <c r="S271" s="210">
        <f>表格3_5[[#This Row],[Hours Worked]]*表格3_5[[#This Row],[Hourly Rate]]</f>
        <v>0</v>
      </c>
    </row>
    <row r="272" spans="1:19">
      <c r="A272" s="201">
        <v>270</v>
      </c>
      <c r="B272" s="210" t="str">
        <f>_xlfn.CONCAT(表格3_5[[#This Row],[Name]],表格3_5[[#This Row],[Location]])</f>
        <v/>
      </c>
      <c r="C272" s="211" t="str">
        <f>表格3_5[[#This Row],[Location]] &amp; 表格3_5[[#This Row],[Date]] &amp;表格3_5[[#This Row],[Nick Name]]</f>
        <v>0</v>
      </c>
      <c r="D272" s="202"/>
      <c r="E272" s="211" t="str">
        <f>DAY(表格3_5[[#This Row],[Date]])&amp;""</f>
        <v>0</v>
      </c>
      <c r="F272" s="203"/>
      <c r="G272" s="216">
        <f>_xlfn.XLOOKUP(表格3_5[[#This Row],[Name]],Name_list[Full Name],Name_list[Nick Name])</f>
        <v>0</v>
      </c>
      <c r="H272" s="207"/>
      <c r="I272" s="228"/>
      <c r="J272" s="218"/>
      <c r="K272" s="205"/>
      <c r="L272" s="210">
        <f>(表格3_5[[#This Row],[Out-Time]] - 表格3_5[[#This Row],[In-Time]])*24</f>
        <v>0</v>
      </c>
      <c r="M272" s="210">
        <f>表格3_5[[#This Row],[ Hours]]-表格3_5[[#This Row],[Normal working
 hours]]</f>
        <v>0</v>
      </c>
      <c r="N272" s="205"/>
      <c r="O272" s="205"/>
      <c r="P272" s="210">
        <f>(表格3_5[[#This Row],[Out-Time2]] - 表格3_5[[#This Row],[In-Time2]])*24</f>
        <v>0</v>
      </c>
      <c r="Q272" s="205"/>
      <c r="R272" s="214">
        <f>_xlfn.XLOOKUP(表格3_5[[#This Row],[Name]],Name_list[Full Name],Name_list[Hourr Rate])</f>
        <v>0</v>
      </c>
      <c r="S272" s="210">
        <f>表格3_5[[#This Row],[Hours Worked]]*表格3_5[[#This Row],[Hourly Rate]]</f>
        <v>0</v>
      </c>
    </row>
    <row r="273" spans="1:19">
      <c r="A273" s="201">
        <v>271</v>
      </c>
      <c r="B273" s="210" t="str">
        <f>_xlfn.CONCAT(表格3_5[[#This Row],[Name]],表格3_5[[#This Row],[Location]])</f>
        <v/>
      </c>
      <c r="C273" s="211" t="str">
        <f>表格3_5[[#This Row],[Location]] &amp; 表格3_5[[#This Row],[Date]] &amp;表格3_5[[#This Row],[Nick Name]]</f>
        <v>0</v>
      </c>
      <c r="D273" s="202"/>
      <c r="E273" s="211" t="str">
        <f>DAY(表格3_5[[#This Row],[Date]])&amp;""</f>
        <v>0</v>
      </c>
      <c r="F273" s="203"/>
      <c r="G273" s="216">
        <f>_xlfn.XLOOKUP(表格3_5[[#This Row],[Name]],Name_list[Full Name],Name_list[Nick Name])</f>
        <v>0</v>
      </c>
      <c r="H273" s="207"/>
      <c r="I273" s="228"/>
      <c r="J273" s="218"/>
      <c r="K273" s="205"/>
      <c r="L273" s="210">
        <f>(表格3_5[[#This Row],[Out-Time]] - 表格3_5[[#This Row],[In-Time]])*24</f>
        <v>0</v>
      </c>
      <c r="M273" s="210">
        <f>表格3_5[[#This Row],[ Hours]]-表格3_5[[#This Row],[Normal working
 hours]]</f>
        <v>0</v>
      </c>
      <c r="N273" s="205"/>
      <c r="O273" s="205"/>
      <c r="P273" s="210">
        <f>(表格3_5[[#This Row],[Out-Time2]] - 表格3_5[[#This Row],[In-Time2]])*24</f>
        <v>0</v>
      </c>
      <c r="Q273" s="205"/>
      <c r="R273" s="214">
        <f>_xlfn.XLOOKUP(表格3_5[[#This Row],[Name]],Name_list[Full Name],Name_list[Hourr Rate])</f>
        <v>0</v>
      </c>
      <c r="S273" s="210">
        <f>表格3_5[[#This Row],[Hours Worked]]*表格3_5[[#This Row],[Hourly Rate]]</f>
        <v>0</v>
      </c>
    </row>
    <row r="274" spans="1:19">
      <c r="A274" s="201">
        <v>272</v>
      </c>
      <c r="B274" s="210" t="str">
        <f>_xlfn.CONCAT(表格3_5[[#This Row],[Name]],表格3_5[[#This Row],[Location]])</f>
        <v/>
      </c>
      <c r="C274" s="211" t="str">
        <f>表格3_5[[#This Row],[Location]] &amp; 表格3_5[[#This Row],[Date]] &amp;表格3_5[[#This Row],[Nick Name]]</f>
        <v>0</v>
      </c>
      <c r="D274" s="202"/>
      <c r="E274" s="211" t="str">
        <f>DAY(表格3_5[[#This Row],[Date]])&amp;""</f>
        <v>0</v>
      </c>
      <c r="F274" s="203"/>
      <c r="G274" s="216">
        <f>_xlfn.XLOOKUP(表格3_5[[#This Row],[Name]],Name_list[Full Name],Name_list[Nick Name])</f>
        <v>0</v>
      </c>
      <c r="H274" s="207"/>
      <c r="I274" s="228"/>
      <c r="J274" s="218"/>
      <c r="K274" s="205"/>
      <c r="L274" s="210">
        <f>(表格3_5[[#This Row],[Out-Time]] - 表格3_5[[#This Row],[In-Time]])*24</f>
        <v>0</v>
      </c>
      <c r="M274" s="210">
        <f>表格3_5[[#This Row],[ Hours]]-表格3_5[[#This Row],[Normal working
 hours]]</f>
        <v>0</v>
      </c>
      <c r="N274" s="205"/>
      <c r="O274" s="205"/>
      <c r="P274" s="210">
        <f>(表格3_5[[#This Row],[Out-Time2]] - 表格3_5[[#This Row],[In-Time2]])*24</f>
        <v>0</v>
      </c>
      <c r="Q274" s="205"/>
      <c r="R274" s="214">
        <f>_xlfn.XLOOKUP(表格3_5[[#This Row],[Name]],Name_list[Full Name],Name_list[Hourr Rate])</f>
        <v>0</v>
      </c>
      <c r="S274" s="210">
        <f>表格3_5[[#This Row],[Hours Worked]]*表格3_5[[#This Row],[Hourly Rate]]</f>
        <v>0</v>
      </c>
    </row>
    <row r="275" spans="1:19">
      <c r="A275" s="201">
        <v>273</v>
      </c>
      <c r="B275" s="210" t="str">
        <f>_xlfn.CONCAT(表格3_5[[#This Row],[Name]],表格3_5[[#This Row],[Location]])</f>
        <v/>
      </c>
      <c r="C275" s="211" t="str">
        <f>表格3_5[[#This Row],[Location]] &amp; 表格3_5[[#This Row],[Date]] &amp;表格3_5[[#This Row],[Nick Name]]</f>
        <v>0</v>
      </c>
      <c r="D275" s="202"/>
      <c r="E275" s="211" t="str">
        <f>DAY(表格3_5[[#This Row],[Date]])&amp;""</f>
        <v>0</v>
      </c>
      <c r="F275" s="203"/>
      <c r="G275" s="216">
        <f>_xlfn.XLOOKUP(表格3_5[[#This Row],[Name]],Name_list[Full Name],Name_list[Nick Name])</f>
        <v>0</v>
      </c>
      <c r="H275" s="207"/>
      <c r="I275" s="228"/>
      <c r="J275" s="218"/>
      <c r="K275" s="205"/>
      <c r="L275" s="210">
        <f>(表格3_5[[#This Row],[Out-Time]] - 表格3_5[[#This Row],[In-Time]])*24</f>
        <v>0</v>
      </c>
      <c r="M275" s="210">
        <f>表格3_5[[#This Row],[ Hours]]-表格3_5[[#This Row],[Normal working
 hours]]</f>
        <v>0</v>
      </c>
      <c r="N275" s="205"/>
      <c r="O275" s="205"/>
      <c r="P275" s="210">
        <f>(表格3_5[[#This Row],[Out-Time2]] - 表格3_5[[#This Row],[In-Time2]])*24</f>
        <v>0</v>
      </c>
      <c r="Q275" s="205"/>
      <c r="R275" s="214">
        <f>_xlfn.XLOOKUP(表格3_5[[#This Row],[Name]],Name_list[Full Name],Name_list[Hourr Rate])</f>
        <v>0</v>
      </c>
      <c r="S275" s="210">
        <f>表格3_5[[#This Row],[Hours Worked]]*表格3_5[[#This Row],[Hourly Rate]]</f>
        <v>0</v>
      </c>
    </row>
    <row r="276" spans="1:19">
      <c r="A276" s="201">
        <v>274</v>
      </c>
      <c r="B276" s="210" t="str">
        <f>_xlfn.CONCAT(表格3_5[[#This Row],[Name]],表格3_5[[#This Row],[Location]])</f>
        <v/>
      </c>
      <c r="C276" s="211" t="str">
        <f>表格3_5[[#This Row],[Location]] &amp; 表格3_5[[#This Row],[Date]] &amp;表格3_5[[#This Row],[Nick Name]]</f>
        <v>0</v>
      </c>
      <c r="D276" s="202"/>
      <c r="E276" s="211" t="str">
        <f>DAY(表格3_5[[#This Row],[Date]])&amp;""</f>
        <v>0</v>
      </c>
      <c r="F276" s="203"/>
      <c r="G276" s="216">
        <f>_xlfn.XLOOKUP(表格3_5[[#This Row],[Name]],Name_list[Full Name],Name_list[Nick Name])</f>
        <v>0</v>
      </c>
      <c r="H276" s="207"/>
      <c r="I276" s="228"/>
      <c r="J276" s="218"/>
      <c r="K276" s="205"/>
      <c r="L276" s="210">
        <f>(表格3_5[[#This Row],[Out-Time]] - 表格3_5[[#This Row],[In-Time]])*24</f>
        <v>0</v>
      </c>
      <c r="M276" s="210">
        <f>表格3_5[[#This Row],[ Hours]]-表格3_5[[#This Row],[Normal working
 hours]]</f>
        <v>0</v>
      </c>
      <c r="N276" s="205"/>
      <c r="O276" s="205"/>
      <c r="P276" s="210">
        <f>(表格3_5[[#This Row],[Out-Time2]] - 表格3_5[[#This Row],[In-Time2]])*24</f>
        <v>0</v>
      </c>
      <c r="Q276" s="205"/>
      <c r="R276" s="214">
        <f>_xlfn.XLOOKUP(表格3_5[[#This Row],[Name]],Name_list[Full Name],Name_list[Hourr Rate])</f>
        <v>0</v>
      </c>
      <c r="S276" s="210">
        <f>表格3_5[[#This Row],[Hours Worked]]*表格3_5[[#This Row],[Hourly Rate]]</f>
        <v>0</v>
      </c>
    </row>
    <row r="277" spans="1:19">
      <c r="A277" s="201">
        <v>275</v>
      </c>
      <c r="B277" s="210" t="str">
        <f>_xlfn.CONCAT(表格3_5[[#This Row],[Name]],表格3_5[[#This Row],[Location]])</f>
        <v/>
      </c>
      <c r="C277" s="211" t="str">
        <f>表格3_5[[#This Row],[Location]] &amp; 表格3_5[[#This Row],[Date]] &amp;表格3_5[[#This Row],[Nick Name]]</f>
        <v>0</v>
      </c>
      <c r="D277" s="202"/>
      <c r="E277" s="211" t="str">
        <f>DAY(表格3_5[[#This Row],[Date]])&amp;""</f>
        <v>0</v>
      </c>
      <c r="F277" s="203"/>
      <c r="G277" s="216">
        <f>_xlfn.XLOOKUP(表格3_5[[#This Row],[Name]],Name_list[Full Name],Name_list[Nick Name])</f>
        <v>0</v>
      </c>
      <c r="H277" s="207"/>
      <c r="I277" s="228"/>
      <c r="J277" s="218"/>
      <c r="K277" s="205"/>
      <c r="L277" s="210">
        <f>(表格3_5[[#This Row],[Out-Time]] - 表格3_5[[#This Row],[In-Time]])*24</f>
        <v>0</v>
      </c>
      <c r="M277" s="210">
        <f>表格3_5[[#This Row],[ Hours]]-表格3_5[[#This Row],[Normal working
 hours]]</f>
        <v>0</v>
      </c>
      <c r="N277" s="205"/>
      <c r="O277" s="205"/>
      <c r="P277" s="210">
        <f>(表格3_5[[#This Row],[Out-Time2]] - 表格3_5[[#This Row],[In-Time2]])*24</f>
        <v>0</v>
      </c>
      <c r="Q277" s="205"/>
      <c r="R277" s="214">
        <f>_xlfn.XLOOKUP(表格3_5[[#This Row],[Name]],Name_list[Full Name],Name_list[Hourr Rate])</f>
        <v>0</v>
      </c>
      <c r="S277" s="210">
        <f>表格3_5[[#This Row],[Hours Worked]]*表格3_5[[#This Row],[Hourly Rate]]</f>
        <v>0</v>
      </c>
    </row>
    <row r="278" spans="1:19">
      <c r="A278" s="201">
        <v>276</v>
      </c>
      <c r="B278" s="210" t="str">
        <f>_xlfn.CONCAT(表格3_5[[#This Row],[Name]],表格3_5[[#This Row],[Location]])</f>
        <v/>
      </c>
      <c r="C278" s="211" t="str">
        <f>表格3_5[[#This Row],[Location]] &amp; 表格3_5[[#This Row],[Date]] &amp;表格3_5[[#This Row],[Nick Name]]</f>
        <v>0</v>
      </c>
      <c r="D278" s="202"/>
      <c r="E278" s="211" t="str">
        <f>DAY(表格3_5[[#This Row],[Date]])&amp;""</f>
        <v>0</v>
      </c>
      <c r="F278" s="203"/>
      <c r="G278" s="216">
        <f>_xlfn.XLOOKUP(表格3_5[[#This Row],[Name]],Name_list[Full Name],Name_list[Nick Name])</f>
        <v>0</v>
      </c>
      <c r="H278" s="207"/>
      <c r="I278" s="228"/>
      <c r="J278" s="218"/>
      <c r="K278" s="205"/>
      <c r="L278" s="210">
        <f>(表格3_5[[#This Row],[Out-Time]] - 表格3_5[[#This Row],[In-Time]])*24</f>
        <v>0</v>
      </c>
      <c r="M278" s="210">
        <f>表格3_5[[#This Row],[ Hours]]-表格3_5[[#This Row],[Normal working
 hours]]</f>
        <v>0</v>
      </c>
      <c r="N278" s="205"/>
      <c r="O278" s="205"/>
      <c r="P278" s="210">
        <f>(表格3_5[[#This Row],[Out-Time2]] - 表格3_5[[#This Row],[In-Time2]])*24</f>
        <v>0</v>
      </c>
      <c r="Q278" s="205"/>
      <c r="R278" s="214">
        <f>_xlfn.XLOOKUP(表格3_5[[#This Row],[Name]],Name_list[Full Name],Name_list[Hourr Rate])</f>
        <v>0</v>
      </c>
      <c r="S278" s="210">
        <f>表格3_5[[#This Row],[Hours Worked]]*表格3_5[[#This Row],[Hourly Rate]]</f>
        <v>0</v>
      </c>
    </row>
    <row r="279" spans="1:19">
      <c r="A279" s="201">
        <v>277</v>
      </c>
      <c r="B279" s="210" t="str">
        <f>_xlfn.CONCAT(表格3_5[[#This Row],[Name]],表格3_5[[#This Row],[Location]])</f>
        <v/>
      </c>
      <c r="C279" s="211" t="str">
        <f>表格3_5[[#This Row],[Location]] &amp; 表格3_5[[#This Row],[Date]] &amp;表格3_5[[#This Row],[Nick Name]]</f>
        <v>0</v>
      </c>
      <c r="D279" s="202"/>
      <c r="E279" s="211" t="str">
        <f>DAY(表格3_5[[#This Row],[Date]])&amp;""</f>
        <v>0</v>
      </c>
      <c r="F279" s="203"/>
      <c r="G279" s="216">
        <f>_xlfn.XLOOKUP(表格3_5[[#This Row],[Name]],Name_list[Full Name],Name_list[Nick Name])</f>
        <v>0</v>
      </c>
      <c r="H279" s="207"/>
      <c r="I279" s="228"/>
      <c r="J279" s="218"/>
      <c r="K279" s="205"/>
      <c r="L279" s="210">
        <f>(表格3_5[[#This Row],[Out-Time]] - 表格3_5[[#This Row],[In-Time]])*24</f>
        <v>0</v>
      </c>
      <c r="M279" s="210">
        <f>表格3_5[[#This Row],[ Hours]]-表格3_5[[#This Row],[Normal working
 hours]]</f>
        <v>0</v>
      </c>
      <c r="N279" s="205"/>
      <c r="O279" s="205"/>
      <c r="P279" s="210">
        <f>(表格3_5[[#This Row],[Out-Time2]] - 表格3_5[[#This Row],[In-Time2]])*24</f>
        <v>0</v>
      </c>
      <c r="Q279" s="205"/>
      <c r="R279" s="214">
        <f>_xlfn.XLOOKUP(表格3_5[[#This Row],[Name]],Name_list[Full Name],Name_list[Hourr Rate])</f>
        <v>0</v>
      </c>
      <c r="S279" s="210">
        <f>表格3_5[[#This Row],[Hours Worked]]*表格3_5[[#This Row],[Hourly Rate]]</f>
        <v>0</v>
      </c>
    </row>
    <row r="280" spans="1:19">
      <c r="A280" s="201">
        <v>278</v>
      </c>
      <c r="B280" s="210" t="str">
        <f>_xlfn.CONCAT(表格3_5[[#This Row],[Name]],表格3_5[[#This Row],[Location]])</f>
        <v/>
      </c>
      <c r="C280" s="211" t="str">
        <f>表格3_5[[#This Row],[Location]] &amp; 表格3_5[[#This Row],[Date]] &amp;表格3_5[[#This Row],[Nick Name]]</f>
        <v>0</v>
      </c>
      <c r="D280" s="202"/>
      <c r="E280" s="211" t="str">
        <f>DAY(表格3_5[[#This Row],[Date]])&amp;""</f>
        <v>0</v>
      </c>
      <c r="F280" s="203"/>
      <c r="G280" s="216">
        <f>_xlfn.XLOOKUP(表格3_5[[#This Row],[Name]],Name_list[Full Name],Name_list[Nick Name])</f>
        <v>0</v>
      </c>
      <c r="H280" s="207"/>
      <c r="I280" s="228"/>
      <c r="J280" s="218"/>
      <c r="K280" s="205"/>
      <c r="L280" s="210">
        <f>(表格3_5[[#This Row],[Out-Time]] - 表格3_5[[#This Row],[In-Time]])*24</f>
        <v>0</v>
      </c>
      <c r="M280" s="210">
        <f>表格3_5[[#This Row],[ Hours]]-表格3_5[[#This Row],[Normal working
 hours]]</f>
        <v>0</v>
      </c>
      <c r="N280" s="205"/>
      <c r="O280" s="205"/>
      <c r="P280" s="210">
        <f>(表格3_5[[#This Row],[Out-Time2]] - 表格3_5[[#This Row],[In-Time2]])*24</f>
        <v>0</v>
      </c>
      <c r="Q280" s="205"/>
      <c r="R280" s="214">
        <f>_xlfn.XLOOKUP(表格3_5[[#This Row],[Name]],Name_list[Full Name],Name_list[Hourr Rate])</f>
        <v>0</v>
      </c>
      <c r="S280" s="210">
        <f>表格3_5[[#This Row],[Hours Worked]]*表格3_5[[#This Row],[Hourly Rate]]</f>
        <v>0</v>
      </c>
    </row>
    <row r="281" spans="1:19">
      <c r="A281" s="201">
        <v>279</v>
      </c>
      <c r="B281" s="210" t="str">
        <f>_xlfn.CONCAT(表格3_5[[#This Row],[Name]],表格3_5[[#This Row],[Location]])</f>
        <v/>
      </c>
      <c r="C281" s="211" t="str">
        <f>表格3_5[[#This Row],[Location]] &amp; 表格3_5[[#This Row],[Date]] &amp;表格3_5[[#This Row],[Nick Name]]</f>
        <v>0</v>
      </c>
      <c r="D281" s="202"/>
      <c r="E281" s="211" t="str">
        <f>DAY(表格3_5[[#This Row],[Date]])&amp;""</f>
        <v>0</v>
      </c>
      <c r="F281" s="203"/>
      <c r="G281" s="216">
        <f>_xlfn.XLOOKUP(表格3_5[[#This Row],[Name]],Name_list[Full Name],Name_list[Nick Name])</f>
        <v>0</v>
      </c>
      <c r="H281" s="207"/>
      <c r="I281" s="228"/>
      <c r="J281" s="218"/>
      <c r="K281" s="205"/>
      <c r="L281" s="210">
        <f>(表格3_5[[#This Row],[Out-Time]] - 表格3_5[[#This Row],[In-Time]])*24</f>
        <v>0</v>
      </c>
      <c r="M281" s="210">
        <f>表格3_5[[#This Row],[ Hours]]-表格3_5[[#This Row],[Normal working
 hours]]</f>
        <v>0</v>
      </c>
      <c r="N281" s="205"/>
      <c r="O281" s="205"/>
      <c r="P281" s="210">
        <f>(表格3_5[[#This Row],[Out-Time2]] - 表格3_5[[#This Row],[In-Time2]])*24</f>
        <v>0</v>
      </c>
      <c r="Q281" s="205"/>
      <c r="R281" s="214">
        <f>_xlfn.XLOOKUP(表格3_5[[#This Row],[Name]],Name_list[Full Name],Name_list[Hourr Rate])</f>
        <v>0</v>
      </c>
      <c r="S281" s="210">
        <f>表格3_5[[#This Row],[Hours Worked]]*表格3_5[[#This Row],[Hourly Rate]]</f>
        <v>0</v>
      </c>
    </row>
    <row r="282" spans="1:19">
      <c r="A282" s="201">
        <v>280</v>
      </c>
      <c r="B282" s="210" t="str">
        <f>_xlfn.CONCAT(表格3_5[[#This Row],[Name]],表格3_5[[#This Row],[Location]])</f>
        <v/>
      </c>
      <c r="C282" s="211" t="str">
        <f>表格3_5[[#This Row],[Location]] &amp; 表格3_5[[#This Row],[Date]] &amp;表格3_5[[#This Row],[Nick Name]]</f>
        <v>0</v>
      </c>
      <c r="D282" s="202"/>
      <c r="E282" s="211" t="str">
        <f>DAY(表格3_5[[#This Row],[Date]])&amp;""</f>
        <v>0</v>
      </c>
      <c r="F282" s="203"/>
      <c r="G282" s="216">
        <f>_xlfn.XLOOKUP(表格3_5[[#This Row],[Name]],Name_list[Full Name],Name_list[Nick Name])</f>
        <v>0</v>
      </c>
      <c r="H282" s="207"/>
      <c r="I282" s="228"/>
      <c r="J282" s="218"/>
      <c r="K282" s="205"/>
      <c r="L282" s="210">
        <f>(表格3_5[[#This Row],[Out-Time]] - 表格3_5[[#This Row],[In-Time]])*24</f>
        <v>0</v>
      </c>
      <c r="M282" s="210">
        <f>表格3_5[[#This Row],[ Hours]]-表格3_5[[#This Row],[Normal working
 hours]]</f>
        <v>0</v>
      </c>
      <c r="N282" s="205"/>
      <c r="O282" s="205"/>
      <c r="P282" s="210">
        <f>(表格3_5[[#This Row],[Out-Time2]] - 表格3_5[[#This Row],[In-Time2]])*24</f>
        <v>0</v>
      </c>
      <c r="Q282" s="205"/>
      <c r="R282" s="214">
        <f>_xlfn.XLOOKUP(表格3_5[[#This Row],[Name]],Name_list[Full Name],Name_list[Hourr Rate])</f>
        <v>0</v>
      </c>
      <c r="S282" s="210">
        <f>表格3_5[[#This Row],[Hours Worked]]*表格3_5[[#This Row],[Hourly Rate]]</f>
        <v>0</v>
      </c>
    </row>
    <row r="283" spans="1:19">
      <c r="A283" s="201">
        <v>281</v>
      </c>
      <c r="B283" s="210" t="str">
        <f>_xlfn.CONCAT(表格3_5[[#This Row],[Name]],表格3_5[[#This Row],[Location]])</f>
        <v/>
      </c>
      <c r="C283" s="211" t="str">
        <f>表格3_5[[#This Row],[Location]] &amp; 表格3_5[[#This Row],[Date]] &amp;表格3_5[[#This Row],[Nick Name]]</f>
        <v>0</v>
      </c>
      <c r="D283" s="202"/>
      <c r="E283" s="211" t="str">
        <f>DAY(表格3_5[[#This Row],[Date]])&amp;""</f>
        <v>0</v>
      </c>
      <c r="F283" s="203"/>
      <c r="G283" s="216">
        <f>_xlfn.XLOOKUP(表格3_5[[#This Row],[Name]],Name_list[Full Name],Name_list[Nick Name])</f>
        <v>0</v>
      </c>
      <c r="H283" s="207"/>
      <c r="I283" s="228"/>
      <c r="J283" s="218"/>
      <c r="K283" s="205"/>
      <c r="L283" s="210">
        <f>(表格3_5[[#This Row],[Out-Time]] - 表格3_5[[#This Row],[In-Time]])*24</f>
        <v>0</v>
      </c>
      <c r="M283" s="210">
        <f>表格3_5[[#This Row],[ Hours]]-表格3_5[[#This Row],[Normal working
 hours]]</f>
        <v>0</v>
      </c>
      <c r="N283" s="205"/>
      <c r="O283" s="205"/>
      <c r="P283" s="210">
        <f>(表格3_5[[#This Row],[Out-Time2]] - 表格3_5[[#This Row],[In-Time2]])*24</f>
        <v>0</v>
      </c>
      <c r="Q283" s="205"/>
      <c r="R283" s="214">
        <f>_xlfn.XLOOKUP(表格3_5[[#This Row],[Name]],Name_list[Full Name],Name_list[Hourr Rate])</f>
        <v>0</v>
      </c>
      <c r="S283" s="210">
        <f>表格3_5[[#This Row],[Hours Worked]]*表格3_5[[#This Row],[Hourly Rate]]</f>
        <v>0</v>
      </c>
    </row>
    <row r="284" spans="1:19">
      <c r="A284" s="201">
        <v>282</v>
      </c>
      <c r="B284" s="210" t="str">
        <f>_xlfn.CONCAT(表格3_5[[#This Row],[Name]],表格3_5[[#This Row],[Location]])</f>
        <v/>
      </c>
      <c r="C284" s="211" t="str">
        <f>表格3_5[[#This Row],[Location]] &amp; 表格3_5[[#This Row],[Date]] &amp;表格3_5[[#This Row],[Nick Name]]</f>
        <v>0</v>
      </c>
      <c r="D284" s="202"/>
      <c r="E284" s="211" t="str">
        <f>DAY(表格3_5[[#This Row],[Date]])&amp;""</f>
        <v>0</v>
      </c>
      <c r="F284" s="203"/>
      <c r="G284" s="216">
        <f>_xlfn.XLOOKUP(表格3_5[[#This Row],[Name]],Name_list[Full Name],Name_list[Nick Name])</f>
        <v>0</v>
      </c>
      <c r="H284" s="207"/>
      <c r="I284" s="228"/>
      <c r="J284" s="218"/>
      <c r="K284" s="205"/>
      <c r="L284" s="210">
        <f>(表格3_5[[#This Row],[Out-Time]] - 表格3_5[[#This Row],[In-Time]])*24</f>
        <v>0</v>
      </c>
      <c r="M284" s="210">
        <f>表格3_5[[#This Row],[ Hours]]-表格3_5[[#This Row],[Normal working
 hours]]</f>
        <v>0</v>
      </c>
      <c r="N284" s="205"/>
      <c r="O284" s="205"/>
      <c r="P284" s="210">
        <f>(表格3_5[[#This Row],[Out-Time2]] - 表格3_5[[#This Row],[In-Time2]])*24</f>
        <v>0</v>
      </c>
      <c r="Q284" s="205"/>
      <c r="R284" s="214">
        <f>_xlfn.XLOOKUP(表格3_5[[#This Row],[Name]],Name_list[Full Name],Name_list[Hourr Rate])</f>
        <v>0</v>
      </c>
      <c r="S284" s="210">
        <f>表格3_5[[#This Row],[Hours Worked]]*表格3_5[[#This Row],[Hourly Rate]]</f>
        <v>0</v>
      </c>
    </row>
    <row r="285" spans="1:19">
      <c r="A285" s="201">
        <v>283</v>
      </c>
      <c r="B285" s="210" t="str">
        <f>_xlfn.CONCAT(表格3_5[[#This Row],[Name]],表格3_5[[#This Row],[Location]])</f>
        <v/>
      </c>
      <c r="C285" s="211" t="str">
        <f>表格3_5[[#This Row],[Location]] &amp; 表格3_5[[#This Row],[Date]] &amp;表格3_5[[#This Row],[Nick Name]]</f>
        <v>0</v>
      </c>
      <c r="D285" s="202"/>
      <c r="E285" s="211" t="str">
        <f>DAY(表格3_5[[#This Row],[Date]])&amp;""</f>
        <v>0</v>
      </c>
      <c r="F285" s="203"/>
      <c r="G285" s="216">
        <f>_xlfn.XLOOKUP(表格3_5[[#This Row],[Name]],Name_list[Full Name],Name_list[Nick Name])</f>
        <v>0</v>
      </c>
      <c r="H285" s="207"/>
      <c r="I285" s="228"/>
      <c r="J285" s="218"/>
      <c r="K285" s="205"/>
      <c r="L285" s="210">
        <f>(表格3_5[[#This Row],[Out-Time]] - 表格3_5[[#This Row],[In-Time]])*24</f>
        <v>0</v>
      </c>
      <c r="M285" s="210">
        <f>表格3_5[[#This Row],[ Hours]]-表格3_5[[#This Row],[Normal working
 hours]]</f>
        <v>0</v>
      </c>
      <c r="N285" s="205"/>
      <c r="O285" s="205"/>
      <c r="P285" s="210">
        <f>(表格3_5[[#This Row],[Out-Time2]] - 表格3_5[[#This Row],[In-Time2]])*24</f>
        <v>0</v>
      </c>
      <c r="Q285" s="205"/>
      <c r="R285" s="214">
        <f>_xlfn.XLOOKUP(表格3_5[[#This Row],[Name]],Name_list[Full Name],Name_list[Hourr Rate])</f>
        <v>0</v>
      </c>
      <c r="S285" s="210">
        <f>表格3_5[[#This Row],[Hours Worked]]*表格3_5[[#This Row],[Hourly Rate]]</f>
        <v>0</v>
      </c>
    </row>
    <row r="286" spans="1:19">
      <c r="A286" s="201">
        <v>284</v>
      </c>
      <c r="B286" s="210" t="str">
        <f>_xlfn.CONCAT(表格3_5[[#This Row],[Name]],表格3_5[[#This Row],[Location]])</f>
        <v/>
      </c>
      <c r="C286" s="211" t="str">
        <f>表格3_5[[#This Row],[Location]] &amp; 表格3_5[[#This Row],[Date]] &amp;表格3_5[[#This Row],[Nick Name]]</f>
        <v>0</v>
      </c>
      <c r="D286" s="202"/>
      <c r="E286" s="211" t="str">
        <f>DAY(表格3_5[[#This Row],[Date]])&amp;""</f>
        <v>0</v>
      </c>
      <c r="F286" s="203"/>
      <c r="G286" s="216">
        <f>_xlfn.XLOOKUP(表格3_5[[#This Row],[Name]],Name_list[Full Name],Name_list[Nick Name])</f>
        <v>0</v>
      </c>
      <c r="H286" s="207"/>
      <c r="I286" s="228"/>
      <c r="J286" s="218"/>
      <c r="K286" s="205"/>
      <c r="L286" s="210">
        <f>(表格3_5[[#This Row],[Out-Time]] - 表格3_5[[#This Row],[In-Time]])*24</f>
        <v>0</v>
      </c>
      <c r="M286" s="210">
        <f>表格3_5[[#This Row],[ Hours]]-表格3_5[[#This Row],[Normal working
 hours]]</f>
        <v>0</v>
      </c>
      <c r="N286" s="205"/>
      <c r="O286" s="205"/>
      <c r="P286" s="210">
        <f>(表格3_5[[#This Row],[Out-Time2]] - 表格3_5[[#This Row],[In-Time2]])*24</f>
        <v>0</v>
      </c>
      <c r="Q286" s="205"/>
      <c r="R286" s="214">
        <f>_xlfn.XLOOKUP(表格3_5[[#This Row],[Name]],Name_list[Full Name],Name_list[Hourr Rate])</f>
        <v>0</v>
      </c>
      <c r="S286" s="210">
        <f>表格3_5[[#This Row],[Hours Worked]]*表格3_5[[#This Row],[Hourly Rate]]</f>
        <v>0</v>
      </c>
    </row>
    <row r="287" spans="1:19">
      <c r="A287" s="201">
        <v>285</v>
      </c>
      <c r="B287" s="210" t="str">
        <f>_xlfn.CONCAT(表格3_5[[#This Row],[Name]],表格3_5[[#This Row],[Location]])</f>
        <v/>
      </c>
      <c r="C287" s="211" t="str">
        <f>表格3_5[[#This Row],[Location]] &amp; 表格3_5[[#This Row],[Date]] &amp;表格3_5[[#This Row],[Nick Name]]</f>
        <v>0</v>
      </c>
      <c r="D287" s="202"/>
      <c r="E287" s="211" t="str">
        <f>DAY(表格3_5[[#This Row],[Date]])&amp;""</f>
        <v>0</v>
      </c>
      <c r="F287" s="203"/>
      <c r="G287" s="216">
        <f>_xlfn.XLOOKUP(表格3_5[[#This Row],[Name]],Name_list[Full Name],Name_list[Nick Name])</f>
        <v>0</v>
      </c>
      <c r="H287" s="207"/>
      <c r="I287" s="228"/>
      <c r="J287" s="218"/>
      <c r="K287" s="205"/>
      <c r="L287" s="210">
        <f>(表格3_5[[#This Row],[Out-Time]] - 表格3_5[[#This Row],[In-Time]])*24</f>
        <v>0</v>
      </c>
      <c r="M287" s="210">
        <f>表格3_5[[#This Row],[ Hours]]-表格3_5[[#This Row],[Normal working
 hours]]</f>
        <v>0</v>
      </c>
      <c r="N287" s="205"/>
      <c r="O287" s="205"/>
      <c r="P287" s="210">
        <f>(表格3_5[[#This Row],[Out-Time2]] - 表格3_5[[#This Row],[In-Time2]])*24</f>
        <v>0</v>
      </c>
      <c r="Q287" s="205"/>
      <c r="R287" s="214">
        <f>_xlfn.XLOOKUP(表格3_5[[#This Row],[Name]],Name_list[Full Name],Name_list[Hourr Rate])</f>
        <v>0</v>
      </c>
      <c r="S287" s="210">
        <f>表格3_5[[#This Row],[Hours Worked]]*表格3_5[[#This Row],[Hourly Rate]]</f>
        <v>0</v>
      </c>
    </row>
    <row r="288" spans="1:19">
      <c r="A288" s="201">
        <v>286</v>
      </c>
      <c r="B288" s="210" t="str">
        <f>_xlfn.CONCAT(表格3_5[[#This Row],[Name]],表格3_5[[#This Row],[Location]])</f>
        <v/>
      </c>
      <c r="C288" s="211" t="str">
        <f>表格3_5[[#This Row],[Location]] &amp; 表格3_5[[#This Row],[Date]] &amp;表格3_5[[#This Row],[Nick Name]]</f>
        <v>0</v>
      </c>
      <c r="D288" s="202"/>
      <c r="E288" s="211" t="str">
        <f>DAY(表格3_5[[#This Row],[Date]])&amp;""</f>
        <v>0</v>
      </c>
      <c r="F288" s="203"/>
      <c r="G288" s="216">
        <f>_xlfn.XLOOKUP(表格3_5[[#This Row],[Name]],Name_list[Full Name],Name_list[Nick Name])</f>
        <v>0</v>
      </c>
      <c r="H288" s="207"/>
      <c r="I288" s="228"/>
      <c r="J288" s="218"/>
      <c r="K288" s="205"/>
      <c r="L288" s="210">
        <f>(表格3_5[[#This Row],[Out-Time]] - 表格3_5[[#This Row],[In-Time]])*24</f>
        <v>0</v>
      </c>
      <c r="M288" s="210">
        <f>表格3_5[[#This Row],[ Hours]]-表格3_5[[#This Row],[Normal working
 hours]]</f>
        <v>0</v>
      </c>
      <c r="N288" s="205"/>
      <c r="O288" s="205"/>
      <c r="P288" s="210">
        <f>(表格3_5[[#This Row],[Out-Time2]] - 表格3_5[[#This Row],[In-Time2]])*24</f>
        <v>0</v>
      </c>
      <c r="Q288" s="205"/>
      <c r="R288" s="214">
        <f>_xlfn.XLOOKUP(表格3_5[[#This Row],[Name]],Name_list[Full Name],Name_list[Hourr Rate])</f>
        <v>0</v>
      </c>
      <c r="S288" s="210">
        <f>表格3_5[[#This Row],[Hours Worked]]*表格3_5[[#This Row],[Hourly Rate]]</f>
        <v>0</v>
      </c>
    </row>
    <row r="289" spans="1:19">
      <c r="A289" s="201">
        <v>287</v>
      </c>
      <c r="B289" s="210" t="str">
        <f>_xlfn.CONCAT(表格3_5[[#This Row],[Name]],表格3_5[[#This Row],[Location]])</f>
        <v/>
      </c>
      <c r="C289" s="211" t="str">
        <f>表格3_5[[#This Row],[Location]] &amp; 表格3_5[[#This Row],[Date]] &amp;表格3_5[[#This Row],[Nick Name]]</f>
        <v>0</v>
      </c>
      <c r="D289" s="202"/>
      <c r="E289" s="211" t="str">
        <f>DAY(表格3_5[[#This Row],[Date]])&amp;""</f>
        <v>0</v>
      </c>
      <c r="F289" s="203"/>
      <c r="G289" s="216">
        <f>_xlfn.XLOOKUP(表格3_5[[#This Row],[Name]],Name_list[Full Name],Name_list[Nick Name])</f>
        <v>0</v>
      </c>
      <c r="H289" s="207"/>
      <c r="I289" s="228"/>
      <c r="J289" s="218"/>
      <c r="K289" s="205"/>
      <c r="L289" s="210">
        <f>(表格3_5[[#This Row],[Out-Time]] - 表格3_5[[#This Row],[In-Time]])*24</f>
        <v>0</v>
      </c>
      <c r="M289" s="210">
        <f>表格3_5[[#This Row],[ Hours]]-表格3_5[[#This Row],[Normal working
 hours]]</f>
        <v>0</v>
      </c>
      <c r="N289" s="205"/>
      <c r="O289" s="205"/>
      <c r="P289" s="210">
        <f>(表格3_5[[#This Row],[Out-Time2]] - 表格3_5[[#This Row],[In-Time2]])*24</f>
        <v>0</v>
      </c>
      <c r="Q289" s="205"/>
      <c r="R289" s="214">
        <f>_xlfn.XLOOKUP(表格3_5[[#This Row],[Name]],Name_list[Full Name],Name_list[Hourr Rate])</f>
        <v>0</v>
      </c>
      <c r="S289" s="210">
        <f>表格3_5[[#This Row],[Hours Worked]]*表格3_5[[#This Row],[Hourly Rate]]</f>
        <v>0</v>
      </c>
    </row>
    <row r="290" spans="1:19">
      <c r="A290" s="201">
        <v>288</v>
      </c>
      <c r="B290" s="210" t="str">
        <f>_xlfn.CONCAT(表格3_5[[#This Row],[Name]],表格3_5[[#This Row],[Location]])</f>
        <v/>
      </c>
      <c r="C290" s="211" t="str">
        <f>表格3_5[[#This Row],[Location]] &amp; 表格3_5[[#This Row],[Date]] &amp;表格3_5[[#This Row],[Nick Name]]</f>
        <v>0</v>
      </c>
      <c r="D290" s="202"/>
      <c r="E290" s="211" t="str">
        <f>DAY(表格3_5[[#This Row],[Date]])&amp;""</f>
        <v>0</v>
      </c>
      <c r="F290" s="203"/>
      <c r="G290" s="216">
        <f>_xlfn.XLOOKUP(表格3_5[[#This Row],[Name]],Name_list[Full Name],Name_list[Nick Name])</f>
        <v>0</v>
      </c>
      <c r="H290" s="207"/>
      <c r="I290" s="228"/>
      <c r="J290" s="218"/>
      <c r="K290" s="205"/>
      <c r="L290" s="210">
        <f>(表格3_5[[#This Row],[Out-Time]] - 表格3_5[[#This Row],[In-Time]])*24</f>
        <v>0</v>
      </c>
      <c r="M290" s="210">
        <f>表格3_5[[#This Row],[ Hours]]-表格3_5[[#This Row],[Normal working
 hours]]</f>
        <v>0</v>
      </c>
      <c r="N290" s="205"/>
      <c r="O290" s="205"/>
      <c r="P290" s="210">
        <f>(表格3_5[[#This Row],[Out-Time2]] - 表格3_5[[#This Row],[In-Time2]])*24</f>
        <v>0</v>
      </c>
      <c r="Q290" s="205"/>
      <c r="R290" s="214">
        <f>_xlfn.XLOOKUP(表格3_5[[#This Row],[Name]],Name_list[Full Name],Name_list[Hourr Rate])</f>
        <v>0</v>
      </c>
      <c r="S290" s="210">
        <f>表格3_5[[#This Row],[Hours Worked]]*表格3_5[[#This Row],[Hourly Rate]]</f>
        <v>0</v>
      </c>
    </row>
    <row r="291" spans="1:19">
      <c r="A291" s="201">
        <v>289</v>
      </c>
      <c r="B291" s="210" t="str">
        <f>_xlfn.CONCAT(表格3_5[[#This Row],[Name]],表格3_5[[#This Row],[Location]])</f>
        <v/>
      </c>
      <c r="C291" s="211" t="str">
        <f>表格3_5[[#This Row],[Location]] &amp; 表格3_5[[#This Row],[Date]] &amp;表格3_5[[#This Row],[Nick Name]]</f>
        <v>0</v>
      </c>
      <c r="D291" s="202"/>
      <c r="E291" s="211" t="str">
        <f>DAY(表格3_5[[#This Row],[Date]])&amp;""</f>
        <v>0</v>
      </c>
      <c r="F291" s="203"/>
      <c r="G291" s="216">
        <f>_xlfn.XLOOKUP(表格3_5[[#This Row],[Name]],Name_list[Full Name],Name_list[Nick Name])</f>
        <v>0</v>
      </c>
      <c r="H291" s="207"/>
      <c r="I291" s="228"/>
      <c r="J291" s="218"/>
      <c r="K291" s="205"/>
      <c r="L291" s="210">
        <f>(表格3_5[[#This Row],[Out-Time]] - 表格3_5[[#This Row],[In-Time]])*24</f>
        <v>0</v>
      </c>
      <c r="M291" s="210">
        <f>表格3_5[[#This Row],[ Hours]]-表格3_5[[#This Row],[Normal working
 hours]]</f>
        <v>0</v>
      </c>
      <c r="N291" s="205"/>
      <c r="O291" s="205"/>
      <c r="P291" s="210">
        <f>(表格3_5[[#This Row],[Out-Time2]] - 表格3_5[[#This Row],[In-Time2]])*24</f>
        <v>0</v>
      </c>
      <c r="Q291" s="205"/>
      <c r="R291" s="214">
        <f>_xlfn.XLOOKUP(表格3_5[[#This Row],[Name]],Name_list[Full Name],Name_list[Hourr Rate])</f>
        <v>0</v>
      </c>
      <c r="S291" s="210">
        <f>表格3_5[[#This Row],[Hours Worked]]*表格3_5[[#This Row],[Hourly Rate]]</f>
        <v>0</v>
      </c>
    </row>
    <row r="292" spans="1:19">
      <c r="A292" s="201">
        <v>290</v>
      </c>
      <c r="B292" s="210" t="str">
        <f>_xlfn.CONCAT(表格3_5[[#This Row],[Name]],表格3_5[[#This Row],[Location]])</f>
        <v/>
      </c>
      <c r="C292" s="211" t="str">
        <f>表格3_5[[#This Row],[Location]] &amp; 表格3_5[[#This Row],[Date]] &amp;表格3_5[[#This Row],[Nick Name]]</f>
        <v>0</v>
      </c>
      <c r="D292" s="202"/>
      <c r="E292" s="211" t="str">
        <f>DAY(表格3_5[[#This Row],[Date]])&amp;""</f>
        <v>0</v>
      </c>
      <c r="F292" s="203"/>
      <c r="G292" s="216">
        <f>_xlfn.XLOOKUP(表格3_5[[#This Row],[Name]],Name_list[Full Name],Name_list[Nick Name])</f>
        <v>0</v>
      </c>
      <c r="H292" s="207"/>
      <c r="I292" s="228"/>
      <c r="J292" s="218"/>
      <c r="K292" s="205"/>
      <c r="L292" s="210">
        <f>(表格3_5[[#This Row],[Out-Time]] - 表格3_5[[#This Row],[In-Time]])*24</f>
        <v>0</v>
      </c>
      <c r="M292" s="210">
        <f>表格3_5[[#This Row],[ Hours]]-表格3_5[[#This Row],[Normal working
 hours]]</f>
        <v>0</v>
      </c>
      <c r="N292" s="205"/>
      <c r="O292" s="205"/>
      <c r="P292" s="210">
        <f>(表格3_5[[#This Row],[Out-Time2]] - 表格3_5[[#This Row],[In-Time2]])*24</f>
        <v>0</v>
      </c>
      <c r="Q292" s="205"/>
      <c r="R292" s="214">
        <f>_xlfn.XLOOKUP(表格3_5[[#This Row],[Name]],Name_list[Full Name],Name_list[Hourr Rate])</f>
        <v>0</v>
      </c>
      <c r="S292" s="210">
        <f>表格3_5[[#This Row],[Hours Worked]]*表格3_5[[#This Row],[Hourly Rate]]</f>
        <v>0</v>
      </c>
    </row>
    <row r="293" spans="1:19">
      <c r="A293" s="201">
        <v>291</v>
      </c>
      <c r="B293" s="210" t="str">
        <f>_xlfn.CONCAT(表格3_5[[#This Row],[Name]],表格3_5[[#This Row],[Location]])</f>
        <v/>
      </c>
      <c r="C293" s="211" t="str">
        <f>表格3_5[[#This Row],[Location]] &amp; 表格3_5[[#This Row],[Date]] &amp;表格3_5[[#This Row],[Nick Name]]</f>
        <v>0</v>
      </c>
      <c r="D293" s="202"/>
      <c r="E293" s="211" t="str">
        <f>DAY(表格3_5[[#This Row],[Date]])&amp;""</f>
        <v>0</v>
      </c>
      <c r="F293" s="203"/>
      <c r="G293" s="216">
        <f>_xlfn.XLOOKUP(表格3_5[[#This Row],[Name]],Name_list[Full Name],Name_list[Nick Name])</f>
        <v>0</v>
      </c>
      <c r="H293" s="207"/>
      <c r="I293" s="228"/>
      <c r="J293" s="218"/>
      <c r="K293" s="205"/>
      <c r="L293" s="210">
        <f>(表格3_5[[#This Row],[Out-Time]] - 表格3_5[[#This Row],[In-Time]])*24</f>
        <v>0</v>
      </c>
      <c r="M293" s="210">
        <f>表格3_5[[#This Row],[ Hours]]-表格3_5[[#This Row],[Normal working
 hours]]</f>
        <v>0</v>
      </c>
      <c r="N293" s="205"/>
      <c r="O293" s="205"/>
      <c r="P293" s="210">
        <f>(表格3_5[[#This Row],[Out-Time2]] - 表格3_5[[#This Row],[In-Time2]])*24</f>
        <v>0</v>
      </c>
      <c r="Q293" s="205"/>
      <c r="R293" s="214">
        <f>_xlfn.XLOOKUP(表格3_5[[#This Row],[Name]],Name_list[Full Name],Name_list[Hourr Rate])</f>
        <v>0</v>
      </c>
      <c r="S293" s="210">
        <f>表格3_5[[#This Row],[Hours Worked]]*表格3_5[[#This Row],[Hourly Rate]]</f>
        <v>0</v>
      </c>
    </row>
    <row r="294" spans="1:19">
      <c r="A294" s="201">
        <v>292</v>
      </c>
      <c r="B294" s="210" t="str">
        <f>_xlfn.CONCAT(表格3_5[[#This Row],[Name]],表格3_5[[#This Row],[Location]])</f>
        <v/>
      </c>
      <c r="C294" s="211" t="str">
        <f>表格3_5[[#This Row],[Location]] &amp; 表格3_5[[#This Row],[Date]] &amp;表格3_5[[#This Row],[Nick Name]]</f>
        <v>0</v>
      </c>
      <c r="D294" s="202"/>
      <c r="E294" s="211" t="str">
        <f>DAY(表格3_5[[#This Row],[Date]])&amp;""</f>
        <v>0</v>
      </c>
      <c r="F294" s="203"/>
      <c r="G294" s="216">
        <f>_xlfn.XLOOKUP(表格3_5[[#This Row],[Name]],Name_list[Full Name],Name_list[Nick Name])</f>
        <v>0</v>
      </c>
      <c r="H294" s="207"/>
      <c r="I294" s="228"/>
      <c r="J294" s="218"/>
      <c r="K294" s="205"/>
      <c r="L294" s="210">
        <f>(表格3_5[[#This Row],[Out-Time]] - 表格3_5[[#This Row],[In-Time]])*24</f>
        <v>0</v>
      </c>
      <c r="M294" s="210">
        <f>表格3_5[[#This Row],[ Hours]]-表格3_5[[#This Row],[Normal working
 hours]]</f>
        <v>0</v>
      </c>
      <c r="N294" s="205"/>
      <c r="O294" s="205"/>
      <c r="P294" s="210">
        <f>(表格3_5[[#This Row],[Out-Time2]] - 表格3_5[[#This Row],[In-Time2]])*24</f>
        <v>0</v>
      </c>
      <c r="Q294" s="205"/>
      <c r="R294" s="214">
        <f>_xlfn.XLOOKUP(表格3_5[[#This Row],[Name]],Name_list[Full Name],Name_list[Hourr Rate])</f>
        <v>0</v>
      </c>
      <c r="S294" s="210">
        <f>表格3_5[[#This Row],[Hours Worked]]*表格3_5[[#This Row],[Hourly Rate]]</f>
        <v>0</v>
      </c>
    </row>
    <row r="295" spans="1:19">
      <c r="A295" s="201">
        <v>293</v>
      </c>
      <c r="B295" s="210" t="str">
        <f>_xlfn.CONCAT(表格3_5[[#This Row],[Name]],表格3_5[[#This Row],[Location]])</f>
        <v/>
      </c>
      <c r="C295" s="211" t="str">
        <f>表格3_5[[#This Row],[Location]] &amp; 表格3_5[[#This Row],[Date]] &amp;表格3_5[[#This Row],[Nick Name]]</f>
        <v>0</v>
      </c>
      <c r="D295" s="202"/>
      <c r="E295" s="211" t="str">
        <f>DAY(表格3_5[[#This Row],[Date]])&amp;""</f>
        <v>0</v>
      </c>
      <c r="F295" s="203"/>
      <c r="G295" s="216">
        <f>_xlfn.XLOOKUP(表格3_5[[#This Row],[Name]],Name_list[Full Name],Name_list[Nick Name])</f>
        <v>0</v>
      </c>
      <c r="H295" s="207"/>
      <c r="I295" s="228"/>
      <c r="J295" s="218"/>
      <c r="K295" s="205"/>
      <c r="L295" s="210">
        <f>(表格3_5[[#This Row],[Out-Time]] - 表格3_5[[#This Row],[In-Time]])*24</f>
        <v>0</v>
      </c>
      <c r="M295" s="210">
        <f>表格3_5[[#This Row],[ Hours]]-表格3_5[[#This Row],[Normal working
 hours]]</f>
        <v>0</v>
      </c>
      <c r="N295" s="205"/>
      <c r="O295" s="205"/>
      <c r="P295" s="210">
        <f>(表格3_5[[#This Row],[Out-Time2]] - 表格3_5[[#This Row],[In-Time2]])*24</f>
        <v>0</v>
      </c>
      <c r="Q295" s="205"/>
      <c r="R295" s="214">
        <f>_xlfn.XLOOKUP(表格3_5[[#This Row],[Name]],Name_list[Full Name],Name_list[Hourr Rate])</f>
        <v>0</v>
      </c>
      <c r="S295" s="210">
        <f>表格3_5[[#This Row],[Hours Worked]]*表格3_5[[#This Row],[Hourly Rate]]</f>
        <v>0</v>
      </c>
    </row>
    <row r="296" spans="1:19">
      <c r="A296" s="201">
        <v>294</v>
      </c>
      <c r="B296" s="210" t="str">
        <f>_xlfn.CONCAT(表格3_5[[#This Row],[Name]],表格3_5[[#This Row],[Location]])</f>
        <v/>
      </c>
      <c r="C296" s="211" t="str">
        <f>表格3_5[[#This Row],[Location]] &amp; 表格3_5[[#This Row],[Date]] &amp;表格3_5[[#This Row],[Nick Name]]</f>
        <v>0</v>
      </c>
      <c r="D296" s="202"/>
      <c r="E296" s="211" t="str">
        <f>DAY(表格3_5[[#This Row],[Date]])&amp;""</f>
        <v>0</v>
      </c>
      <c r="F296" s="203"/>
      <c r="G296" s="216">
        <f>_xlfn.XLOOKUP(表格3_5[[#This Row],[Name]],Name_list[Full Name],Name_list[Nick Name])</f>
        <v>0</v>
      </c>
      <c r="H296" s="207"/>
      <c r="I296" s="228"/>
      <c r="J296" s="218"/>
      <c r="K296" s="205"/>
      <c r="L296" s="210">
        <f>(表格3_5[[#This Row],[Out-Time]] - 表格3_5[[#This Row],[In-Time]])*24</f>
        <v>0</v>
      </c>
      <c r="M296" s="210">
        <f>表格3_5[[#This Row],[ Hours]]-表格3_5[[#This Row],[Normal working
 hours]]</f>
        <v>0</v>
      </c>
      <c r="N296" s="205"/>
      <c r="O296" s="205"/>
      <c r="P296" s="210">
        <f>(表格3_5[[#This Row],[Out-Time2]] - 表格3_5[[#This Row],[In-Time2]])*24</f>
        <v>0</v>
      </c>
      <c r="Q296" s="205"/>
      <c r="R296" s="214">
        <f>_xlfn.XLOOKUP(表格3_5[[#This Row],[Name]],Name_list[Full Name],Name_list[Hourr Rate])</f>
        <v>0</v>
      </c>
      <c r="S296" s="210">
        <f>表格3_5[[#This Row],[Hours Worked]]*表格3_5[[#This Row],[Hourly Rate]]</f>
        <v>0</v>
      </c>
    </row>
    <row r="297" spans="1:19">
      <c r="A297" s="201">
        <v>295</v>
      </c>
      <c r="B297" s="210" t="str">
        <f>_xlfn.CONCAT(表格3_5[[#This Row],[Name]],表格3_5[[#This Row],[Location]])</f>
        <v/>
      </c>
      <c r="C297" s="211" t="str">
        <f>表格3_5[[#This Row],[Location]] &amp; 表格3_5[[#This Row],[Date]] &amp;表格3_5[[#This Row],[Nick Name]]</f>
        <v>0</v>
      </c>
      <c r="D297" s="202"/>
      <c r="E297" s="211" t="str">
        <f>DAY(表格3_5[[#This Row],[Date]])&amp;""</f>
        <v>0</v>
      </c>
      <c r="F297" s="203"/>
      <c r="G297" s="216">
        <f>_xlfn.XLOOKUP(表格3_5[[#This Row],[Name]],Name_list[Full Name],Name_list[Nick Name])</f>
        <v>0</v>
      </c>
      <c r="H297" s="207"/>
      <c r="I297" s="228"/>
      <c r="J297" s="218"/>
      <c r="K297" s="205"/>
      <c r="L297" s="210">
        <f>(表格3_5[[#This Row],[Out-Time]] - 表格3_5[[#This Row],[In-Time]])*24</f>
        <v>0</v>
      </c>
      <c r="M297" s="210">
        <f>表格3_5[[#This Row],[ Hours]]-表格3_5[[#This Row],[Normal working
 hours]]</f>
        <v>0</v>
      </c>
      <c r="N297" s="205"/>
      <c r="O297" s="205"/>
      <c r="P297" s="210">
        <f>(表格3_5[[#This Row],[Out-Time2]] - 表格3_5[[#This Row],[In-Time2]])*24</f>
        <v>0</v>
      </c>
      <c r="Q297" s="205"/>
      <c r="R297" s="214">
        <f>_xlfn.XLOOKUP(表格3_5[[#This Row],[Name]],Name_list[Full Name],Name_list[Hourr Rate])</f>
        <v>0</v>
      </c>
      <c r="S297" s="210">
        <f>表格3_5[[#This Row],[Hours Worked]]*表格3_5[[#This Row],[Hourly Rate]]</f>
        <v>0</v>
      </c>
    </row>
    <row r="298" spans="1:19">
      <c r="A298" s="201">
        <v>296</v>
      </c>
      <c r="B298" s="210" t="str">
        <f>_xlfn.CONCAT(表格3_5[[#This Row],[Name]],表格3_5[[#This Row],[Location]])</f>
        <v/>
      </c>
      <c r="C298" s="211" t="str">
        <f>表格3_5[[#This Row],[Location]] &amp; 表格3_5[[#This Row],[Date]] &amp;表格3_5[[#This Row],[Nick Name]]</f>
        <v>0</v>
      </c>
      <c r="D298" s="202"/>
      <c r="E298" s="211" t="str">
        <f>DAY(表格3_5[[#This Row],[Date]])&amp;""</f>
        <v>0</v>
      </c>
      <c r="F298" s="203"/>
      <c r="G298" s="216">
        <f>_xlfn.XLOOKUP(表格3_5[[#This Row],[Name]],Name_list[Full Name],Name_list[Nick Name])</f>
        <v>0</v>
      </c>
      <c r="H298" s="207"/>
      <c r="I298" s="228"/>
      <c r="J298" s="218"/>
      <c r="K298" s="205"/>
      <c r="L298" s="210">
        <f>(表格3_5[[#This Row],[Out-Time]] - 表格3_5[[#This Row],[In-Time]])*24</f>
        <v>0</v>
      </c>
      <c r="M298" s="210">
        <f>表格3_5[[#This Row],[ Hours]]-表格3_5[[#This Row],[Normal working
 hours]]</f>
        <v>0</v>
      </c>
      <c r="N298" s="205"/>
      <c r="O298" s="205"/>
      <c r="P298" s="210">
        <f>(表格3_5[[#This Row],[Out-Time2]] - 表格3_5[[#This Row],[In-Time2]])*24</f>
        <v>0</v>
      </c>
      <c r="Q298" s="205"/>
      <c r="R298" s="214">
        <f>_xlfn.XLOOKUP(表格3_5[[#This Row],[Name]],Name_list[Full Name],Name_list[Hourr Rate])</f>
        <v>0</v>
      </c>
      <c r="S298" s="210">
        <f>表格3_5[[#This Row],[Hours Worked]]*表格3_5[[#This Row],[Hourly Rate]]</f>
        <v>0</v>
      </c>
    </row>
    <row r="299" spans="1:19">
      <c r="A299" s="201">
        <v>297</v>
      </c>
      <c r="B299" s="210" t="str">
        <f>_xlfn.CONCAT(表格3_5[[#This Row],[Name]],表格3_5[[#This Row],[Location]])</f>
        <v/>
      </c>
      <c r="C299" s="211" t="str">
        <f>表格3_5[[#This Row],[Location]] &amp; 表格3_5[[#This Row],[Date]] &amp;表格3_5[[#This Row],[Nick Name]]</f>
        <v>0</v>
      </c>
      <c r="D299" s="202"/>
      <c r="E299" s="211" t="str">
        <f>DAY(表格3_5[[#This Row],[Date]])&amp;""</f>
        <v>0</v>
      </c>
      <c r="F299" s="203"/>
      <c r="G299" s="216">
        <f>_xlfn.XLOOKUP(表格3_5[[#This Row],[Name]],Name_list[Full Name],Name_list[Nick Name])</f>
        <v>0</v>
      </c>
      <c r="H299" s="207"/>
      <c r="I299" s="228"/>
      <c r="J299" s="218"/>
      <c r="K299" s="205"/>
      <c r="L299" s="210">
        <f>(表格3_5[[#This Row],[Out-Time]] - 表格3_5[[#This Row],[In-Time]])*24</f>
        <v>0</v>
      </c>
      <c r="M299" s="210">
        <f>表格3_5[[#This Row],[ Hours]]-表格3_5[[#This Row],[Normal working
 hours]]</f>
        <v>0</v>
      </c>
      <c r="N299" s="205"/>
      <c r="O299" s="205"/>
      <c r="P299" s="210">
        <f>(表格3_5[[#This Row],[Out-Time2]] - 表格3_5[[#This Row],[In-Time2]])*24</f>
        <v>0</v>
      </c>
      <c r="Q299" s="205"/>
      <c r="R299" s="214">
        <f>_xlfn.XLOOKUP(表格3_5[[#This Row],[Name]],Name_list[Full Name],Name_list[Hourr Rate])</f>
        <v>0</v>
      </c>
      <c r="S299" s="210">
        <f>表格3_5[[#This Row],[Hours Worked]]*表格3_5[[#This Row],[Hourly Rate]]</f>
        <v>0</v>
      </c>
    </row>
    <row r="300" spans="1:19">
      <c r="A300" s="201">
        <v>298</v>
      </c>
      <c r="B300" s="210" t="str">
        <f>_xlfn.CONCAT(表格3_5[[#This Row],[Name]],表格3_5[[#This Row],[Location]])</f>
        <v/>
      </c>
      <c r="C300" s="211" t="str">
        <f>表格3_5[[#This Row],[Location]] &amp; 表格3_5[[#This Row],[Date]] &amp;表格3_5[[#This Row],[Nick Name]]</f>
        <v>0</v>
      </c>
      <c r="D300" s="202"/>
      <c r="E300" s="211" t="str">
        <f>DAY(表格3_5[[#This Row],[Date]])&amp;""</f>
        <v>0</v>
      </c>
      <c r="F300" s="203"/>
      <c r="G300" s="216">
        <f>_xlfn.XLOOKUP(表格3_5[[#This Row],[Name]],Name_list[Full Name],Name_list[Nick Name])</f>
        <v>0</v>
      </c>
      <c r="H300" s="207"/>
      <c r="I300" s="228"/>
      <c r="J300" s="218"/>
      <c r="K300" s="205"/>
      <c r="L300" s="210">
        <f>(表格3_5[[#This Row],[Out-Time]] - 表格3_5[[#This Row],[In-Time]])*24</f>
        <v>0</v>
      </c>
      <c r="M300" s="210">
        <f>表格3_5[[#This Row],[ Hours]]-表格3_5[[#This Row],[Normal working
 hours]]</f>
        <v>0</v>
      </c>
      <c r="N300" s="205"/>
      <c r="O300" s="205"/>
      <c r="P300" s="210">
        <f>(表格3_5[[#This Row],[Out-Time2]] - 表格3_5[[#This Row],[In-Time2]])*24</f>
        <v>0</v>
      </c>
      <c r="Q300" s="205"/>
      <c r="R300" s="214">
        <f>_xlfn.XLOOKUP(表格3_5[[#This Row],[Name]],Name_list[Full Name],Name_list[Hourr Rate])</f>
        <v>0</v>
      </c>
      <c r="S300" s="210">
        <f>表格3_5[[#This Row],[Hours Worked]]*表格3_5[[#This Row],[Hourly Rate]]</f>
        <v>0</v>
      </c>
    </row>
    <row r="301" spans="1:19">
      <c r="A301" s="201">
        <v>299</v>
      </c>
      <c r="B301" s="210" t="str">
        <f>_xlfn.CONCAT(表格3_5[[#This Row],[Name]],表格3_5[[#This Row],[Location]])</f>
        <v/>
      </c>
      <c r="C301" s="211" t="str">
        <f>表格3_5[[#This Row],[Location]] &amp; 表格3_5[[#This Row],[Date]] &amp;表格3_5[[#This Row],[Nick Name]]</f>
        <v>0</v>
      </c>
      <c r="D301" s="202"/>
      <c r="E301" s="211" t="str">
        <f>DAY(表格3_5[[#This Row],[Date]])&amp;""</f>
        <v>0</v>
      </c>
      <c r="F301" s="203"/>
      <c r="G301" s="216">
        <f>_xlfn.XLOOKUP(表格3_5[[#This Row],[Name]],Name_list[Full Name],Name_list[Nick Name])</f>
        <v>0</v>
      </c>
      <c r="H301" s="207"/>
      <c r="I301" s="228"/>
      <c r="J301" s="218"/>
      <c r="K301" s="205"/>
      <c r="L301" s="210">
        <f>(表格3_5[[#This Row],[Out-Time]] - 表格3_5[[#This Row],[In-Time]])*24</f>
        <v>0</v>
      </c>
      <c r="M301" s="210">
        <f>表格3_5[[#This Row],[ Hours]]-表格3_5[[#This Row],[Normal working
 hours]]</f>
        <v>0</v>
      </c>
      <c r="N301" s="205"/>
      <c r="O301" s="205"/>
      <c r="P301" s="210">
        <f>(表格3_5[[#This Row],[Out-Time2]] - 表格3_5[[#This Row],[In-Time2]])*24</f>
        <v>0</v>
      </c>
      <c r="Q301" s="205"/>
      <c r="R301" s="214">
        <f>_xlfn.XLOOKUP(表格3_5[[#This Row],[Name]],Name_list[Full Name],Name_list[Hourr Rate])</f>
        <v>0</v>
      </c>
      <c r="S301" s="210">
        <f>表格3_5[[#This Row],[Hours Worked]]*表格3_5[[#This Row],[Hourly Rate]]</f>
        <v>0</v>
      </c>
    </row>
    <row r="302" spans="1:19">
      <c r="A302" s="201">
        <v>300</v>
      </c>
      <c r="B302" s="210" t="str">
        <f>_xlfn.CONCAT(表格3_5[[#This Row],[Name]],表格3_5[[#This Row],[Location]])</f>
        <v/>
      </c>
      <c r="C302" s="211" t="str">
        <f>表格3_5[[#This Row],[Location]] &amp; 表格3_5[[#This Row],[Date]] &amp;表格3_5[[#This Row],[Nick Name]]</f>
        <v>0</v>
      </c>
      <c r="D302" s="202"/>
      <c r="E302" s="211" t="str">
        <f>DAY(表格3_5[[#This Row],[Date]])&amp;""</f>
        <v>0</v>
      </c>
      <c r="F302" s="203"/>
      <c r="G302" s="216">
        <f>_xlfn.XLOOKUP(表格3_5[[#This Row],[Name]],Name_list[Full Name],Name_list[Nick Name])</f>
        <v>0</v>
      </c>
      <c r="H302" s="207"/>
      <c r="I302" s="228"/>
      <c r="J302" s="218"/>
      <c r="K302" s="205"/>
      <c r="L302" s="210">
        <f>(表格3_5[[#This Row],[Out-Time]] - 表格3_5[[#This Row],[In-Time]])*24</f>
        <v>0</v>
      </c>
      <c r="M302" s="210">
        <f>表格3_5[[#This Row],[ Hours]]-表格3_5[[#This Row],[Normal working
 hours]]</f>
        <v>0</v>
      </c>
      <c r="N302" s="205"/>
      <c r="O302" s="205"/>
      <c r="P302" s="210">
        <f>(表格3_5[[#This Row],[Out-Time2]] - 表格3_5[[#This Row],[In-Time2]])*24</f>
        <v>0</v>
      </c>
      <c r="Q302" s="205"/>
      <c r="R302" s="214">
        <f>_xlfn.XLOOKUP(表格3_5[[#This Row],[Name]],Name_list[Full Name],Name_list[Hourr Rate])</f>
        <v>0</v>
      </c>
      <c r="S302" s="210">
        <f>表格3_5[[#This Row],[Hours Worked]]*表格3_5[[#This Row],[Hourly Rate]]</f>
        <v>0</v>
      </c>
    </row>
    <row r="303" spans="1:19">
      <c r="A303" s="201">
        <v>301</v>
      </c>
      <c r="B303" s="210" t="str">
        <f>_xlfn.CONCAT(表格3_5[[#This Row],[Name]],表格3_5[[#This Row],[Location]])</f>
        <v/>
      </c>
      <c r="C303" s="211" t="str">
        <f>表格3_5[[#This Row],[Location]] &amp; 表格3_5[[#This Row],[Date]] &amp;表格3_5[[#This Row],[Nick Name]]</f>
        <v>0</v>
      </c>
      <c r="D303" s="202"/>
      <c r="E303" s="211" t="str">
        <f>DAY(表格3_5[[#This Row],[Date]])&amp;""</f>
        <v>0</v>
      </c>
      <c r="F303" s="203"/>
      <c r="G303" s="216">
        <f>_xlfn.XLOOKUP(表格3_5[[#This Row],[Name]],Name_list[Full Name],Name_list[Nick Name])</f>
        <v>0</v>
      </c>
      <c r="H303" s="207"/>
      <c r="I303" s="228"/>
      <c r="J303" s="218"/>
      <c r="K303" s="205"/>
      <c r="L303" s="210">
        <f>(表格3_5[[#This Row],[Out-Time]] - 表格3_5[[#This Row],[In-Time]])*24</f>
        <v>0</v>
      </c>
      <c r="M303" s="210">
        <f>表格3_5[[#This Row],[ Hours]]-表格3_5[[#This Row],[Normal working
 hours]]</f>
        <v>0</v>
      </c>
      <c r="N303" s="205"/>
      <c r="O303" s="205"/>
      <c r="P303" s="210">
        <f>(表格3_5[[#This Row],[Out-Time2]] - 表格3_5[[#This Row],[In-Time2]])*24</f>
        <v>0</v>
      </c>
      <c r="Q303" s="205"/>
      <c r="R303" s="214">
        <f>_xlfn.XLOOKUP(表格3_5[[#This Row],[Name]],Name_list[Full Name],Name_list[Hourr Rate])</f>
        <v>0</v>
      </c>
      <c r="S303" s="210">
        <f>表格3_5[[#This Row],[Hours Worked]]*表格3_5[[#This Row],[Hourly Rate]]</f>
        <v>0</v>
      </c>
    </row>
    <row r="304" spans="1:19">
      <c r="A304" s="201">
        <v>302</v>
      </c>
      <c r="B304" s="210" t="str">
        <f>_xlfn.CONCAT(表格3_5[[#This Row],[Name]],表格3_5[[#This Row],[Location]])</f>
        <v/>
      </c>
      <c r="C304" s="211" t="str">
        <f>表格3_5[[#This Row],[Location]] &amp; 表格3_5[[#This Row],[Date]] &amp;表格3_5[[#This Row],[Nick Name]]</f>
        <v>0</v>
      </c>
      <c r="D304" s="202"/>
      <c r="E304" s="211" t="str">
        <f>DAY(表格3_5[[#This Row],[Date]])&amp;""</f>
        <v>0</v>
      </c>
      <c r="F304" s="203"/>
      <c r="G304" s="216">
        <f>_xlfn.XLOOKUP(表格3_5[[#This Row],[Name]],Name_list[Full Name],Name_list[Nick Name])</f>
        <v>0</v>
      </c>
      <c r="H304" s="207"/>
      <c r="I304" s="228"/>
      <c r="J304" s="218"/>
      <c r="K304" s="205"/>
      <c r="L304" s="210">
        <f>(表格3_5[[#This Row],[Out-Time]] - 表格3_5[[#This Row],[In-Time]])*24</f>
        <v>0</v>
      </c>
      <c r="M304" s="210">
        <f>表格3_5[[#This Row],[ Hours]]-表格3_5[[#This Row],[Normal working
 hours]]</f>
        <v>0</v>
      </c>
      <c r="N304" s="205"/>
      <c r="O304" s="205"/>
      <c r="P304" s="210">
        <f>(表格3_5[[#This Row],[Out-Time2]] - 表格3_5[[#This Row],[In-Time2]])*24</f>
        <v>0</v>
      </c>
      <c r="Q304" s="205"/>
      <c r="R304" s="214">
        <f>_xlfn.XLOOKUP(表格3_5[[#This Row],[Name]],Name_list[Full Name],Name_list[Hourr Rate])</f>
        <v>0</v>
      </c>
      <c r="S304" s="210">
        <f>表格3_5[[#This Row],[Hours Worked]]*表格3_5[[#This Row],[Hourly Rate]]</f>
        <v>0</v>
      </c>
    </row>
    <row r="305" spans="1:19">
      <c r="A305" s="201">
        <v>303</v>
      </c>
      <c r="B305" s="210" t="str">
        <f>_xlfn.CONCAT(表格3_5[[#This Row],[Name]],表格3_5[[#This Row],[Location]])</f>
        <v/>
      </c>
      <c r="C305" s="211" t="str">
        <f>表格3_5[[#This Row],[Location]] &amp; 表格3_5[[#This Row],[Date]] &amp;表格3_5[[#This Row],[Nick Name]]</f>
        <v>0</v>
      </c>
      <c r="D305" s="202"/>
      <c r="E305" s="211" t="str">
        <f>DAY(表格3_5[[#This Row],[Date]])&amp;""</f>
        <v>0</v>
      </c>
      <c r="F305" s="203"/>
      <c r="G305" s="216">
        <f>_xlfn.XLOOKUP(表格3_5[[#This Row],[Name]],Name_list[Full Name],Name_list[Nick Name])</f>
        <v>0</v>
      </c>
      <c r="H305" s="207"/>
      <c r="I305" s="228"/>
      <c r="J305" s="218"/>
      <c r="K305" s="205"/>
      <c r="L305" s="210">
        <f>(表格3_5[[#This Row],[Out-Time]] - 表格3_5[[#This Row],[In-Time]])*24</f>
        <v>0</v>
      </c>
      <c r="M305" s="210">
        <f>表格3_5[[#This Row],[ Hours]]-表格3_5[[#This Row],[Normal working
 hours]]</f>
        <v>0</v>
      </c>
      <c r="N305" s="205"/>
      <c r="O305" s="205"/>
      <c r="P305" s="210">
        <f>(表格3_5[[#This Row],[Out-Time2]] - 表格3_5[[#This Row],[In-Time2]])*24</f>
        <v>0</v>
      </c>
      <c r="Q305" s="205"/>
      <c r="R305" s="214">
        <f>_xlfn.XLOOKUP(表格3_5[[#This Row],[Name]],Name_list[Full Name],Name_list[Hourr Rate])</f>
        <v>0</v>
      </c>
      <c r="S305" s="210">
        <f>表格3_5[[#This Row],[Hours Worked]]*表格3_5[[#This Row],[Hourly Rate]]</f>
        <v>0</v>
      </c>
    </row>
    <row r="306" spans="1:19">
      <c r="A306" s="201">
        <v>304</v>
      </c>
      <c r="B306" s="210" t="str">
        <f>_xlfn.CONCAT(表格3_5[[#This Row],[Name]],表格3_5[[#This Row],[Location]])</f>
        <v/>
      </c>
      <c r="C306" s="211" t="str">
        <f>表格3_5[[#This Row],[Location]] &amp; 表格3_5[[#This Row],[Date]] &amp;表格3_5[[#This Row],[Nick Name]]</f>
        <v>0</v>
      </c>
      <c r="D306" s="202"/>
      <c r="E306" s="211" t="str">
        <f>DAY(表格3_5[[#This Row],[Date]])&amp;""</f>
        <v>0</v>
      </c>
      <c r="F306" s="203"/>
      <c r="G306" s="216">
        <f>_xlfn.XLOOKUP(表格3_5[[#This Row],[Name]],Name_list[Full Name],Name_list[Nick Name])</f>
        <v>0</v>
      </c>
      <c r="H306" s="207"/>
      <c r="I306" s="228"/>
      <c r="J306" s="218"/>
      <c r="K306" s="205"/>
      <c r="L306" s="210">
        <f>(表格3_5[[#This Row],[Out-Time]] - 表格3_5[[#This Row],[In-Time]])*24</f>
        <v>0</v>
      </c>
      <c r="M306" s="210">
        <f>表格3_5[[#This Row],[ Hours]]-表格3_5[[#This Row],[Normal working
 hours]]</f>
        <v>0</v>
      </c>
      <c r="N306" s="205"/>
      <c r="O306" s="205"/>
      <c r="P306" s="210">
        <f>(表格3_5[[#This Row],[Out-Time2]] - 表格3_5[[#This Row],[In-Time2]])*24</f>
        <v>0</v>
      </c>
      <c r="Q306" s="205"/>
      <c r="R306" s="214">
        <f>_xlfn.XLOOKUP(表格3_5[[#This Row],[Name]],Name_list[Full Name],Name_list[Hourr Rate])</f>
        <v>0</v>
      </c>
      <c r="S306" s="210">
        <f>表格3_5[[#This Row],[Hours Worked]]*表格3_5[[#This Row],[Hourly Rate]]</f>
        <v>0</v>
      </c>
    </row>
    <row r="307" spans="1:19">
      <c r="A307" s="201">
        <v>305</v>
      </c>
      <c r="B307" s="210" t="str">
        <f>_xlfn.CONCAT(表格3_5[[#This Row],[Name]],表格3_5[[#This Row],[Location]])</f>
        <v/>
      </c>
      <c r="C307" s="211" t="str">
        <f>表格3_5[[#This Row],[Location]] &amp; 表格3_5[[#This Row],[Date]] &amp;表格3_5[[#This Row],[Nick Name]]</f>
        <v>0</v>
      </c>
      <c r="D307" s="202"/>
      <c r="E307" s="211" t="str">
        <f>DAY(表格3_5[[#This Row],[Date]])&amp;""</f>
        <v>0</v>
      </c>
      <c r="F307" s="203"/>
      <c r="G307" s="216">
        <f>_xlfn.XLOOKUP(表格3_5[[#This Row],[Name]],Name_list[Full Name],Name_list[Nick Name])</f>
        <v>0</v>
      </c>
      <c r="H307" s="207"/>
      <c r="I307" s="228"/>
      <c r="J307" s="218"/>
      <c r="K307" s="205"/>
      <c r="L307" s="210">
        <f>(表格3_5[[#This Row],[Out-Time]] - 表格3_5[[#This Row],[In-Time]])*24</f>
        <v>0</v>
      </c>
      <c r="M307" s="210">
        <f>表格3_5[[#This Row],[ Hours]]-表格3_5[[#This Row],[Normal working
 hours]]</f>
        <v>0</v>
      </c>
      <c r="N307" s="205"/>
      <c r="O307" s="205"/>
      <c r="P307" s="210">
        <f>(表格3_5[[#This Row],[Out-Time2]] - 表格3_5[[#This Row],[In-Time2]])*24</f>
        <v>0</v>
      </c>
      <c r="Q307" s="205"/>
      <c r="R307" s="214">
        <f>_xlfn.XLOOKUP(表格3_5[[#This Row],[Name]],Name_list[Full Name],Name_list[Hourr Rate])</f>
        <v>0</v>
      </c>
      <c r="S307" s="210">
        <f>表格3_5[[#This Row],[Hours Worked]]*表格3_5[[#This Row],[Hourly Rate]]</f>
        <v>0</v>
      </c>
    </row>
    <row r="308" spans="1:19">
      <c r="A308" s="201">
        <v>306</v>
      </c>
      <c r="B308" s="210" t="str">
        <f>_xlfn.CONCAT(表格3_5[[#This Row],[Name]],表格3_5[[#This Row],[Location]])</f>
        <v/>
      </c>
      <c r="C308" s="211" t="str">
        <f>表格3_5[[#This Row],[Location]] &amp; 表格3_5[[#This Row],[Date]] &amp;表格3_5[[#This Row],[Nick Name]]</f>
        <v>0</v>
      </c>
      <c r="D308" s="202"/>
      <c r="E308" s="211" t="str">
        <f>DAY(表格3_5[[#This Row],[Date]])&amp;""</f>
        <v>0</v>
      </c>
      <c r="F308" s="203"/>
      <c r="G308" s="216">
        <f>_xlfn.XLOOKUP(表格3_5[[#This Row],[Name]],Name_list[Full Name],Name_list[Nick Name])</f>
        <v>0</v>
      </c>
      <c r="H308" s="207"/>
      <c r="I308" s="228"/>
      <c r="J308" s="218"/>
      <c r="K308" s="205"/>
      <c r="L308" s="210">
        <f>(表格3_5[[#This Row],[Out-Time]] - 表格3_5[[#This Row],[In-Time]])*24</f>
        <v>0</v>
      </c>
      <c r="M308" s="210">
        <f>表格3_5[[#This Row],[ Hours]]-表格3_5[[#This Row],[Normal working
 hours]]</f>
        <v>0</v>
      </c>
      <c r="N308" s="205"/>
      <c r="O308" s="205"/>
      <c r="P308" s="210">
        <f>(表格3_5[[#This Row],[Out-Time2]] - 表格3_5[[#This Row],[In-Time2]])*24</f>
        <v>0</v>
      </c>
      <c r="Q308" s="205"/>
      <c r="R308" s="214">
        <f>_xlfn.XLOOKUP(表格3_5[[#This Row],[Name]],Name_list[Full Name],Name_list[Hourr Rate])</f>
        <v>0</v>
      </c>
      <c r="S308" s="210">
        <f>表格3_5[[#This Row],[Hours Worked]]*表格3_5[[#This Row],[Hourly Rate]]</f>
        <v>0</v>
      </c>
    </row>
    <row r="309" spans="1:19">
      <c r="A309" s="201">
        <v>307</v>
      </c>
      <c r="B309" s="210" t="str">
        <f>_xlfn.CONCAT(表格3_5[[#This Row],[Name]],表格3_5[[#This Row],[Location]])</f>
        <v/>
      </c>
      <c r="C309" s="211" t="str">
        <f>表格3_5[[#This Row],[Location]] &amp; 表格3_5[[#This Row],[Date]] &amp;表格3_5[[#This Row],[Nick Name]]</f>
        <v>0</v>
      </c>
      <c r="D309" s="202"/>
      <c r="E309" s="211" t="str">
        <f>DAY(表格3_5[[#This Row],[Date]])&amp;""</f>
        <v>0</v>
      </c>
      <c r="F309" s="203"/>
      <c r="G309" s="216">
        <f>_xlfn.XLOOKUP(表格3_5[[#This Row],[Name]],Name_list[Full Name],Name_list[Nick Name])</f>
        <v>0</v>
      </c>
      <c r="H309" s="207"/>
      <c r="I309" s="228"/>
      <c r="J309" s="218"/>
      <c r="K309" s="205"/>
      <c r="L309" s="210">
        <f>(表格3_5[[#This Row],[Out-Time]] - 表格3_5[[#This Row],[In-Time]])*24</f>
        <v>0</v>
      </c>
      <c r="M309" s="210">
        <f>表格3_5[[#This Row],[ Hours]]-表格3_5[[#This Row],[Normal working
 hours]]</f>
        <v>0</v>
      </c>
      <c r="N309" s="205"/>
      <c r="O309" s="205"/>
      <c r="P309" s="210">
        <f>(表格3_5[[#This Row],[Out-Time2]] - 表格3_5[[#This Row],[In-Time2]])*24</f>
        <v>0</v>
      </c>
      <c r="Q309" s="205"/>
      <c r="R309" s="214">
        <f>_xlfn.XLOOKUP(表格3_5[[#This Row],[Name]],Name_list[Full Name],Name_list[Hourr Rate])</f>
        <v>0</v>
      </c>
      <c r="S309" s="210">
        <f>表格3_5[[#This Row],[Hours Worked]]*表格3_5[[#This Row],[Hourly Rate]]</f>
        <v>0</v>
      </c>
    </row>
    <row r="310" spans="1:19">
      <c r="A310" s="201">
        <v>308</v>
      </c>
      <c r="B310" s="210" t="str">
        <f>_xlfn.CONCAT(表格3_5[[#This Row],[Name]],表格3_5[[#This Row],[Location]])</f>
        <v/>
      </c>
      <c r="C310" s="211" t="str">
        <f>表格3_5[[#This Row],[Location]] &amp; 表格3_5[[#This Row],[Date]] &amp;表格3_5[[#This Row],[Nick Name]]</f>
        <v>0</v>
      </c>
      <c r="D310" s="202"/>
      <c r="E310" s="211" t="str">
        <f>DAY(表格3_5[[#This Row],[Date]])&amp;""</f>
        <v>0</v>
      </c>
      <c r="F310" s="203"/>
      <c r="G310" s="216">
        <f>_xlfn.XLOOKUP(表格3_5[[#This Row],[Name]],Name_list[Full Name],Name_list[Nick Name])</f>
        <v>0</v>
      </c>
      <c r="H310" s="207"/>
      <c r="I310" s="228"/>
      <c r="J310" s="218"/>
      <c r="K310" s="205"/>
      <c r="L310" s="210">
        <f>(表格3_5[[#This Row],[Out-Time]] - 表格3_5[[#This Row],[In-Time]])*24</f>
        <v>0</v>
      </c>
      <c r="M310" s="210">
        <f>表格3_5[[#This Row],[ Hours]]-表格3_5[[#This Row],[Normal working
 hours]]</f>
        <v>0</v>
      </c>
      <c r="N310" s="205"/>
      <c r="O310" s="205"/>
      <c r="P310" s="210">
        <f>(表格3_5[[#This Row],[Out-Time2]] - 表格3_5[[#This Row],[In-Time2]])*24</f>
        <v>0</v>
      </c>
      <c r="Q310" s="205"/>
      <c r="R310" s="214">
        <f>_xlfn.XLOOKUP(表格3_5[[#This Row],[Name]],Name_list[Full Name],Name_list[Hourr Rate])</f>
        <v>0</v>
      </c>
      <c r="S310" s="210">
        <f>表格3_5[[#This Row],[Hours Worked]]*表格3_5[[#This Row],[Hourly Rate]]</f>
        <v>0</v>
      </c>
    </row>
    <row r="311" spans="1:19">
      <c r="A311" s="201">
        <v>309</v>
      </c>
      <c r="B311" s="210" t="str">
        <f>_xlfn.CONCAT(表格3_5[[#This Row],[Name]],表格3_5[[#This Row],[Location]])</f>
        <v/>
      </c>
      <c r="C311" s="211" t="str">
        <f>表格3_5[[#This Row],[Location]] &amp; 表格3_5[[#This Row],[Date]] &amp;表格3_5[[#This Row],[Nick Name]]</f>
        <v>0</v>
      </c>
      <c r="D311" s="202"/>
      <c r="E311" s="211" t="str">
        <f>DAY(表格3_5[[#This Row],[Date]])&amp;""</f>
        <v>0</v>
      </c>
      <c r="F311" s="203"/>
      <c r="G311" s="216">
        <f>_xlfn.XLOOKUP(表格3_5[[#This Row],[Name]],Name_list[Full Name],Name_list[Nick Name])</f>
        <v>0</v>
      </c>
      <c r="H311" s="207"/>
      <c r="I311" s="228"/>
      <c r="J311" s="218"/>
      <c r="K311" s="205"/>
      <c r="L311" s="210">
        <f>(表格3_5[[#This Row],[Out-Time]] - 表格3_5[[#This Row],[In-Time]])*24</f>
        <v>0</v>
      </c>
      <c r="M311" s="210">
        <f>表格3_5[[#This Row],[ Hours]]-表格3_5[[#This Row],[Normal working
 hours]]</f>
        <v>0</v>
      </c>
      <c r="N311" s="205"/>
      <c r="O311" s="205"/>
      <c r="P311" s="210">
        <f>(表格3_5[[#This Row],[Out-Time2]] - 表格3_5[[#This Row],[In-Time2]])*24</f>
        <v>0</v>
      </c>
      <c r="Q311" s="205"/>
      <c r="R311" s="214">
        <f>_xlfn.XLOOKUP(表格3_5[[#This Row],[Name]],Name_list[Full Name],Name_list[Hourr Rate])</f>
        <v>0</v>
      </c>
      <c r="S311" s="210">
        <f>表格3_5[[#This Row],[Hours Worked]]*表格3_5[[#This Row],[Hourly Rate]]</f>
        <v>0</v>
      </c>
    </row>
    <row r="312" spans="1:19">
      <c r="A312" s="201">
        <v>310</v>
      </c>
      <c r="B312" s="210" t="str">
        <f>_xlfn.CONCAT(表格3_5[[#This Row],[Name]],表格3_5[[#This Row],[Location]])</f>
        <v/>
      </c>
      <c r="C312" s="211" t="str">
        <f>表格3_5[[#This Row],[Location]] &amp; 表格3_5[[#This Row],[Date]] &amp;表格3_5[[#This Row],[Nick Name]]</f>
        <v>0</v>
      </c>
      <c r="D312" s="202"/>
      <c r="E312" s="211" t="str">
        <f>DAY(表格3_5[[#This Row],[Date]])&amp;""</f>
        <v>0</v>
      </c>
      <c r="F312" s="203"/>
      <c r="G312" s="216">
        <f>_xlfn.XLOOKUP(表格3_5[[#This Row],[Name]],Name_list[Full Name],Name_list[Nick Name])</f>
        <v>0</v>
      </c>
      <c r="H312" s="207"/>
      <c r="I312" s="228"/>
      <c r="J312" s="218"/>
      <c r="K312" s="205"/>
      <c r="L312" s="210">
        <f>(表格3_5[[#This Row],[Out-Time]] - 表格3_5[[#This Row],[In-Time]])*24</f>
        <v>0</v>
      </c>
      <c r="M312" s="210">
        <f>表格3_5[[#This Row],[ Hours]]-表格3_5[[#This Row],[Normal working
 hours]]</f>
        <v>0</v>
      </c>
      <c r="N312" s="205"/>
      <c r="O312" s="205"/>
      <c r="P312" s="210">
        <f>(表格3_5[[#This Row],[Out-Time2]] - 表格3_5[[#This Row],[In-Time2]])*24</f>
        <v>0</v>
      </c>
      <c r="Q312" s="205"/>
      <c r="R312" s="214">
        <f>_xlfn.XLOOKUP(表格3_5[[#This Row],[Name]],Name_list[Full Name],Name_list[Hourr Rate])</f>
        <v>0</v>
      </c>
      <c r="S312" s="210">
        <f>表格3_5[[#This Row],[Hours Worked]]*表格3_5[[#This Row],[Hourly Rate]]</f>
        <v>0</v>
      </c>
    </row>
    <row r="313" spans="1:19">
      <c r="A313" s="201">
        <v>311</v>
      </c>
      <c r="B313" s="210" t="str">
        <f>_xlfn.CONCAT(表格3_5[[#This Row],[Name]],表格3_5[[#This Row],[Location]])</f>
        <v/>
      </c>
      <c r="C313" s="211" t="str">
        <f>表格3_5[[#This Row],[Location]] &amp; 表格3_5[[#This Row],[Date]] &amp;表格3_5[[#This Row],[Nick Name]]</f>
        <v>0</v>
      </c>
      <c r="D313" s="202"/>
      <c r="E313" s="211" t="str">
        <f>DAY(表格3_5[[#This Row],[Date]])&amp;""</f>
        <v>0</v>
      </c>
      <c r="F313" s="203"/>
      <c r="G313" s="216">
        <f>_xlfn.XLOOKUP(表格3_5[[#This Row],[Name]],Name_list[Full Name],Name_list[Nick Name])</f>
        <v>0</v>
      </c>
      <c r="H313" s="207"/>
      <c r="I313" s="228"/>
      <c r="J313" s="218"/>
      <c r="K313" s="205"/>
      <c r="L313" s="210">
        <f>(表格3_5[[#This Row],[Out-Time]] - 表格3_5[[#This Row],[In-Time]])*24</f>
        <v>0</v>
      </c>
      <c r="M313" s="210">
        <f>表格3_5[[#This Row],[ Hours]]-表格3_5[[#This Row],[Normal working
 hours]]</f>
        <v>0</v>
      </c>
      <c r="N313" s="205"/>
      <c r="O313" s="205"/>
      <c r="P313" s="210">
        <f>(表格3_5[[#This Row],[Out-Time2]] - 表格3_5[[#This Row],[In-Time2]])*24</f>
        <v>0</v>
      </c>
      <c r="Q313" s="205"/>
      <c r="R313" s="214">
        <f>_xlfn.XLOOKUP(表格3_5[[#This Row],[Name]],Name_list[Full Name],Name_list[Hourr Rate])</f>
        <v>0</v>
      </c>
      <c r="S313" s="210">
        <f>表格3_5[[#This Row],[Hours Worked]]*表格3_5[[#This Row],[Hourly Rate]]</f>
        <v>0</v>
      </c>
    </row>
    <row r="314" spans="1:19">
      <c r="A314" s="201">
        <v>312</v>
      </c>
      <c r="B314" s="210" t="str">
        <f>_xlfn.CONCAT(表格3_5[[#This Row],[Name]],表格3_5[[#This Row],[Location]])</f>
        <v/>
      </c>
      <c r="C314" s="211" t="str">
        <f>表格3_5[[#This Row],[Location]] &amp; 表格3_5[[#This Row],[Date]] &amp;表格3_5[[#This Row],[Nick Name]]</f>
        <v>0</v>
      </c>
      <c r="D314" s="202"/>
      <c r="E314" s="211" t="str">
        <f>DAY(表格3_5[[#This Row],[Date]])&amp;""</f>
        <v>0</v>
      </c>
      <c r="F314" s="203"/>
      <c r="G314" s="216">
        <f>_xlfn.XLOOKUP(表格3_5[[#This Row],[Name]],Name_list[Full Name],Name_list[Nick Name])</f>
        <v>0</v>
      </c>
      <c r="H314" s="207"/>
      <c r="I314" s="228"/>
      <c r="J314" s="218"/>
      <c r="K314" s="205"/>
      <c r="L314" s="210">
        <f>(表格3_5[[#This Row],[Out-Time]] - 表格3_5[[#This Row],[In-Time]])*24</f>
        <v>0</v>
      </c>
      <c r="M314" s="210">
        <f>表格3_5[[#This Row],[ Hours]]-表格3_5[[#This Row],[Normal working
 hours]]</f>
        <v>0</v>
      </c>
      <c r="N314" s="205"/>
      <c r="O314" s="205"/>
      <c r="P314" s="210">
        <f>(表格3_5[[#This Row],[Out-Time2]] - 表格3_5[[#This Row],[In-Time2]])*24</f>
        <v>0</v>
      </c>
      <c r="Q314" s="205"/>
      <c r="R314" s="214">
        <f>_xlfn.XLOOKUP(表格3_5[[#This Row],[Name]],Name_list[Full Name],Name_list[Hourr Rate])</f>
        <v>0</v>
      </c>
      <c r="S314" s="210">
        <f>表格3_5[[#This Row],[Hours Worked]]*表格3_5[[#This Row],[Hourly Rate]]</f>
        <v>0</v>
      </c>
    </row>
    <row r="315" spans="1:19">
      <c r="A315" s="201">
        <v>313</v>
      </c>
      <c r="B315" s="210" t="str">
        <f>_xlfn.CONCAT(表格3_5[[#This Row],[Name]],表格3_5[[#This Row],[Location]])</f>
        <v/>
      </c>
      <c r="C315" s="211" t="str">
        <f>表格3_5[[#This Row],[Location]] &amp; 表格3_5[[#This Row],[Date]] &amp;表格3_5[[#This Row],[Nick Name]]</f>
        <v>0</v>
      </c>
      <c r="D315" s="202"/>
      <c r="E315" s="211" t="str">
        <f>DAY(表格3_5[[#This Row],[Date]])&amp;""</f>
        <v>0</v>
      </c>
      <c r="F315" s="203"/>
      <c r="G315" s="216">
        <f>_xlfn.XLOOKUP(表格3_5[[#This Row],[Name]],Name_list[Full Name],Name_list[Nick Name])</f>
        <v>0</v>
      </c>
      <c r="H315" s="207"/>
      <c r="I315" s="228"/>
      <c r="J315" s="218"/>
      <c r="K315" s="205"/>
      <c r="L315" s="210">
        <f>(表格3_5[[#This Row],[Out-Time]] - 表格3_5[[#This Row],[In-Time]])*24</f>
        <v>0</v>
      </c>
      <c r="M315" s="210">
        <f>表格3_5[[#This Row],[ Hours]]-表格3_5[[#This Row],[Normal working
 hours]]</f>
        <v>0</v>
      </c>
      <c r="N315" s="205"/>
      <c r="O315" s="205"/>
      <c r="P315" s="210">
        <f>(表格3_5[[#This Row],[Out-Time2]] - 表格3_5[[#This Row],[In-Time2]])*24</f>
        <v>0</v>
      </c>
      <c r="Q315" s="205"/>
      <c r="R315" s="214">
        <f>_xlfn.XLOOKUP(表格3_5[[#This Row],[Name]],Name_list[Full Name],Name_list[Hourr Rate])</f>
        <v>0</v>
      </c>
      <c r="S315" s="210">
        <f>表格3_5[[#This Row],[Hours Worked]]*表格3_5[[#This Row],[Hourly Rate]]</f>
        <v>0</v>
      </c>
    </row>
    <row r="316" spans="1:19">
      <c r="A316" s="201">
        <v>314</v>
      </c>
      <c r="B316" s="210" t="str">
        <f>_xlfn.CONCAT(表格3_5[[#This Row],[Name]],表格3_5[[#This Row],[Location]])</f>
        <v/>
      </c>
      <c r="C316" s="211" t="str">
        <f>表格3_5[[#This Row],[Location]] &amp; 表格3_5[[#This Row],[Date]] &amp;表格3_5[[#This Row],[Nick Name]]</f>
        <v>0</v>
      </c>
      <c r="D316" s="202"/>
      <c r="E316" s="211" t="str">
        <f>DAY(表格3_5[[#This Row],[Date]])&amp;""</f>
        <v>0</v>
      </c>
      <c r="F316" s="203"/>
      <c r="G316" s="216">
        <f>_xlfn.XLOOKUP(表格3_5[[#This Row],[Name]],Name_list[Full Name],Name_list[Nick Name])</f>
        <v>0</v>
      </c>
      <c r="H316" s="207"/>
      <c r="I316" s="228"/>
      <c r="J316" s="218"/>
      <c r="K316" s="205"/>
      <c r="L316" s="210">
        <f>(表格3_5[[#This Row],[Out-Time]] - 表格3_5[[#This Row],[In-Time]])*24</f>
        <v>0</v>
      </c>
      <c r="M316" s="210">
        <f>表格3_5[[#This Row],[ Hours]]-表格3_5[[#This Row],[Normal working
 hours]]</f>
        <v>0</v>
      </c>
      <c r="N316" s="205"/>
      <c r="O316" s="205"/>
      <c r="P316" s="210">
        <f>(表格3_5[[#This Row],[Out-Time2]] - 表格3_5[[#This Row],[In-Time2]])*24</f>
        <v>0</v>
      </c>
      <c r="Q316" s="205"/>
      <c r="R316" s="214">
        <f>_xlfn.XLOOKUP(表格3_5[[#This Row],[Name]],Name_list[Full Name],Name_list[Hourr Rate])</f>
        <v>0</v>
      </c>
      <c r="S316" s="210">
        <f>表格3_5[[#This Row],[Hours Worked]]*表格3_5[[#This Row],[Hourly Rate]]</f>
        <v>0</v>
      </c>
    </row>
    <row r="317" spans="1:19">
      <c r="A317" s="201">
        <v>315</v>
      </c>
      <c r="B317" s="210" t="str">
        <f>_xlfn.CONCAT(表格3_5[[#This Row],[Name]],表格3_5[[#This Row],[Location]])</f>
        <v/>
      </c>
      <c r="C317" s="211" t="str">
        <f>表格3_5[[#This Row],[Location]] &amp; 表格3_5[[#This Row],[Date]] &amp;表格3_5[[#This Row],[Nick Name]]</f>
        <v>0</v>
      </c>
      <c r="D317" s="202"/>
      <c r="E317" s="211" t="str">
        <f>DAY(表格3_5[[#This Row],[Date]])&amp;""</f>
        <v>0</v>
      </c>
      <c r="F317" s="203"/>
      <c r="G317" s="216">
        <f>_xlfn.XLOOKUP(表格3_5[[#This Row],[Name]],Name_list[Full Name],Name_list[Nick Name])</f>
        <v>0</v>
      </c>
      <c r="H317" s="207"/>
      <c r="I317" s="228"/>
      <c r="J317" s="218"/>
      <c r="K317" s="205"/>
      <c r="L317" s="210">
        <f>(表格3_5[[#This Row],[Out-Time]] - 表格3_5[[#This Row],[In-Time]])*24</f>
        <v>0</v>
      </c>
      <c r="M317" s="210">
        <f>表格3_5[[#This Row],[ Hours]]-表格3_5[[#This Row],[Normal working
 hours]]</f>
        <v>0</v>
      </c>
      <c r="N317" s="205"/>
      <c r="O317" s="205"/>
      <c r="P317" s="210">
        <f>(表格3_5[[#This Row],[Out-Time2]] - 表格3_5[[#This Row],[In-Time2]])*24</f>
        <v>0</v>
      </c>
      <c r="Q317" s="205"/>
      <c r="R317" s="214">
        <f>_xlfn.XLOOKUP(表格3_5[[#This Row],[Name]],Name_list[Full Name],Name_list[Hourr Rate])</f>
        <v>0</v>
      </c>
      <c r="S317" s="210">
        <f>表格3_5[[#This Row],[Hours Worked]]*表格3_5[[#This Row],[Hourly Rate]]</f>
        <v>0</v>
      </c>
    </row>
    <row r="318" spans="1:19">
      <c r="A318" s="201">
        <v>316</v>
      </c>
      <c r="B318" s="210" t="str">
        <f>_xlfn.CONCAT(表格3_5[[#This Row],[Name]],表格3_5[[#This Row],[Location]])</f>
        <v/>
      </c>
      <c r="C318" s="211" t="str">
        <f>表格3_5[[#This Row],[Location]] &amp; 表格3_5[[#This Row],[Date]] &amp;表格3_5[[#This Row],[Nick Name]]</f>
        <v>0</v>
      </c>
      <c r="D318" s="202"/>
      <c r="E318" s="211" t="str">
        <f>DAY(表格3_5[[#This Row],[Date]])&amp;""</f>
        <v>0</v>
      </c>
      <c r="F318" s="203"/>
      <c r="G318" s="216">
        <f>_xlfn.XLOOKUP(表格3_5[[#This Row],[Name]],Name_list[Full Name],Name_list[Nick Name])</f>
        <v>0</v>
      </c>
      <c r="H318" s="207"/>
      <c r="I318" s="228"/>
      <c r="J318" s="218"/>
      <c r="K318" s="205"/>
      <c r="L318" s="210">
        <f>(表格3_5[[#This Row],[Out-Time]] - 表格3_5[[#This Row],[In-Time]])*24</f>
        <v>0</v>
      </c>
      <c r="M318" s="210">
        <f>表格3_5[[#This Row],[ Hours]]-表格3_5[[#This Row],[Normal working
 hours]]</f>
        <v>0</v>
      </c>
      <c r="N318" s="205"/>
      <c r="O318" s="205"/>
      <c r="P318" s="210">
        <f>(表格3_5[[#This Row],[Out-Time2]] - 表格3_5[[#This Row],[In-Time2]])*24</f>
        <v>0</v>
      </c>
      <c r="Q318" s="205"/>
      <c r="R318" s="214">
        <f>_xlfn.XLOOKUP(表格3_5[[#This Row],[Name]],Name_list[Full Name],Name_list[Hourr Rate])</f>
        <v>0</v>
      </c>
      <c r="S318" s="210">
        <f>表格3_5[[#This Row],[Hours Worked]]*表格3_5[[#This Row],[Hourly Rate]]</f>
        <v>0</v>
      </c>
    </row>
    <row r="319" spans="1:19">
      <c r="A319" s="201">
        <v>317</v>
      </c>
      <c r="B319" s="210" t="str">
        <f>_xlfn.CONCAT(表格3_5[[#This Row],[Name]],表格3_5[[#This Row],[Location]])</f>
        <v/>
      </c>
      <c r="C319" s="211" t="str">
        <f>表格3_5[[#This Row],[Location]] &amp; 表格3_5[[#This Row],[Date]] &amp;表格3_5[[#This Row],[Nick Name]]</f>
        <v>0</v>
      </c>
      <c r="D319" s="202"/>
      <c r="E319" s="211" t="str">
        <f>DAY(表格3_5[[#This Row],[Date]])&amp;""</f>
        <v>0</v>
      </c>
      <c r="F319" s="203"/>
      <c r="G319" s="216">
        <f>_xlfn.XLOOKUP(表格3_5[[#This Row],[Name]],Name_list[Full Name],Name_list[Nick Name])</f>
        <v>0</v>
      </c>
      <c r="H319" s="207"/>
      <c r="I319" s="228"/>
      <c r="J319" s="218"/>
      <c r="K319" s="205"/>
      <c r="L319" s="210">
        <f>(表格3_5[[#This Row],[Out-Time]] - 表格3_5[[#This Row],[In-Time]])*24</f>
        <v>0</v>
      </c>
      <c r="M319" s="210">
        <f>表格3_5[[#This Row],[ Hours]]-表格3_5[[#This Row],[Normal working
 hours]]</f>
        <v>0</v>
      </c>
      <c r="N319" s="205"/>
      <c r="O319" s="205"/>
      <c r="P319" s="210">
        <f>(表格3_5[[#This Row],[Out-Time2]] - 表格3_5[[#This Row],[In-Time2]])*24</f>
        <v>0</v>
      </c>
      <c r="Q319" s="205"/>
      <c r="R319" s="214">
        <f>_xlfn.XLOOKUP(表格3_5[[#This Row],[Name]],Name_list[Full Name],Name_list[Hourr Rate])</f>
        <v>0</v>
      </c>
      <c r="S319" s="210">
        <f>表格3_5[[#This Row],[Hours Worked]]*表格3_5[[#This Row],[Hourly Rate]]</f>
        <v>0</v>
      </c>
    </row>
    <row r="320" spans="1:19">
      <c r="A320" s="201">
        <v>318</v>
      </c>
      <c r="B320" s="210" t="str">
        <f>_xlfn.CONCAT(表格3_5[[#This Row],[Name]],表格3_5[[#This Row],[Location]])</f>
        <v/>
      </c>
      <c r="C320" s="211" t="str">
        <f>表格3_5[[#This Row],[Location]] &amp; 表格3_5[[#This Row],[Date]] &amp;表格3_5[[#This Row],[Nick Name]]</f>
        <v>0</v>
      </c>
      <c r="D320" s="202"/>
      <c r="E320" s="211" t="str">
        <f>DAY(表格3_5[[#This Row],[Date]])&amp;""</f>
        <v>0</v>
      </c>
      <c r="F320" s="203"/>
      <c r="G320" s="216">
        <f>_xlfn.XLOOKUP(表格3_5[[#This Row],[Name]],Name_list[Full Name],Name_list[Nick Name])</f>
        <v>0</v>
      </c>
      <c r="H320" s="207"/>
      <c r="I320" s="228"/>
      <c r="J320" s="218"/>
      <c r="K320" s="205"/>
      <c r="L320" s="210">
        <f>(表格3_5[[#This Row],[Out-Time]] - 表格3_5[[#This Row],[In-Time]])*24</f>
        <v>0</v>
      </c>
      <c r="M320" s="210">
        <f>表格3_5[[#This Row],[ Hours]]-表格3_5[[#This Row],[Normal working
 hours]]</f>
        <v>0</v>
      </c>
      <c r="N320" s="205"/>
      <c r="O320" s="205"/>
      <c r="P320" s="210">
        <f>(表格3_5[[#This Row],[Out-Time2]] - 表格3_5[[#This Row],[In-Time2]])*24</f>
        <v>0</v>
      </c>
      <c r="Q320" s="205"/>
      <c r="R320" s="214">
        <f>_xlfn.XLOOKUP(表格3_5[[#This Row],[Name]],Name_list[Full Name],Name_list[Hourr Rate])</f>
        <v>0</v>
      </c>
      <c r="S320" s="210">
        <f>表格3_5[[#This Row],[Hours Worked]]*表格3_5[[#This Row],[Hourly Rate]]</f>
        <v>0</v>
      </c>
    </row>
    <row r="321" spans="1:19">
      <c r="A321" s="201">
        <v>319</v>
      </c>
      <c r="B321" s="210" t="str">
        <f>_xlfn.CONCAT(表格3_5[[#This Row],[Name]],表格3_5[[#This Row],[Location]])</f>
        <v/>
      </c>
      <c r="C321" s="211" t="str">
        <f>表格3_5[[#This Row],[Location]] &amp; 表格3_5[[#This Row],[Date]] &amp;表格3_5[[#This Row],[Nick Name]]</f>
        <v>0</v>
      </c>
      <c r="D321" s="202"/>
      <c r="E321" s="211" t="str">
        <f>DAY(表格3_5[[#This Row],[Date]])&amp;""</f>
        <v>0</v>
      </c>
      <c r="F321" s="203"/>
      <c r="G321" s="216">
        <f>_xlfn.XLOOKUP(表格3_5[[#This Row],[Name]],Name_list[Full Name],Name_list[Nick Name])</f>
        <v>0</v>
      </c>
      <c r="H321" s="207"/>
      <c r="I321" s="228"/>
      <c r="J321" s="218"/>
      <c r="K321" s="205"/>
      <c r="L321" s="210">
        <f>(表格3_5[[#This Row],[Out-Time]] - 表格3_5[[#This Row],[In-Time]])*24</f>
        <v>0</v>
      </c>
      <c r="M321" s="210">
        <f>表格3_5[[#This Row],[ Hours]]-表格3_5[[#This Row],[Normal working
 hours]]</f>
        <v>0</v>
      </c>
      <c r="N321" s="205"/>
      <c r="O321" s="205"/>
      <c r="P321" s="210">
        <f>(表格3_5[[#This Row],[Out-Time2]] - 表格3_5[[#This Row],[In-Time2]])*24</f>
        <v>0</v>
      </c>
      <c r="Q321" s="205"/>
      <c r="R321" s="214">
        <f>_xlfn.XLOOKUP(表格3_5[[#This Row],[Name]],Name_list[Full Name],Name_list[Hourr Rate])</f>
        <v>0</v>
      </c>
      <c r="S321" s="210">
        <f>表格3_5[[#This Row],[Hours Worked]]*表格3_5[[#This Row],[Hourly Rate]]</f>
        <v>0</v>
      </c>
    </row>
    <row r="322" spans="1:19">
      <c r="A322" s="201">
        <v>320</v>
      </c>
      <c r="B322" s="210" t="str">
        <f>_xlfn.CONCAT(表格3_5[[#This Row],[Name]],表格3_5[[#This Row],[Location]])</f>
        <v/>
      </c>
      <c r="C322" s="211" t="str">
        <f>表格3_5[[#This Row],[Location]] &amp; 表格3_5[[#This Row],[Date]] &amp;表格3_5[[#This Row],[Nick Name]]</f>
        <v>0</v>
      </c>
      <c r="D322" s="202"/>
      <c r="E322" s="211" t="str">
        <f>DAY(表格3_5[[#This Row],[Date]])&amp;""</f>
        <v>0</v>
      </c>
      <c r="F322" s="203"/>
      <c r="G322" s="216">
        <f>_xlfn.XLOOKUP(表格3_5[[#This Row],[Name]],Name_list[Full Name],Name_list[Nick Name])</f>
        <v>0</v>
      </c>
      <c r="H322" s="207"/>
      <c r="I322" s="228"/>
      <c r="J322" s="218"/>
      <c r="K322" s="205"/>
      <c r="L322" s="210">
        <f>(表格3_5[[#This Row],[Out-Time]] - 表格3_5[[#This Row],[In-Time]])*24</f>
        <v>0</v>
      </c>
      <c r="M322" s="210">
        <f>表格3_5[[#This Row],[ Hours]]-表格3_5[[#This Row],[Normal working
 hours]]</f>
        <v>0</v>
      </c>
      <c r="N322" s="205"/>
      <c r="O322" s="205"/>
      <c r="P322" s="210">
        <f>(表格3_5[[#This Row],[Out-Time2]] - 表格3_5[[#This Row],[In-Time2]])*24</f>
        <v>0</v>
      </c>
      <c r="Q322" s="205"/>
      <c r="R322" s="214">
        <f>_xlfn.XLOOKUP(表格3_5[[#This Row],[Name]],Name_list[Full Name],Name_list[Hourr Rate])</f>
        <v>0</v>
      </c>
      <c r="S322" s="210">
        <f>表格3_5[[#This Row],[Hours Worked]]*表格3_5[[#This Row],[Hourly Rate]]</f>
        <v>0</v>
      </c>
    </row>
    <row r="323" spans="1:19">
      <c r="A323" s="201">
        <v>321</v>
      </c>
      <c r="B323" s="210" t="str">
        <f>_xlfn.CONCAT(表格3_5[[#This Row],[Name]],表格3_5[[#This Row],[Location]])</f>
        <v/>
      </c>
      <c r="C323" s="211" t="str">
        <f>表格3_5[[#This Row],[Location]] &amp; 表格3_5[[#This Row],[Date]] &amp;表格3_5[[#This Row],[Nick Name]]</f>
        <v>0</v>
      </c>
      <c r="D323" s="202"/>
      <c r="E323" s="211" t="str">
        <f>DAY(表格3_5[[#This Row],[Date]])&amp;""</f>
        <v>0</v>
      </c>
      <c r="F323" s="203"/>
      <c r="G323" s="216">
        <f>_xlfn.XLOOKUP(表格3_5[[#This Row],[Name]],Name_list[Full Name],Name_list[Nick Name])</f>
        <v>0</v>
      </c>
      <c r="H323" s="207"/>
      <c r="I323" s="228"/>
      <c r="J323" s="218"/>
      <c r="K323" s="205"/>
      <c r="L323" s="210">
        <f>(表格3_5[[#This Row],[Out-Time]] - 表格3_5[[#This Row],[In-Time]])*24</f>
        <v>0</v>
      </c>
      <c r="M323" s="210">
        <f>表格3_5[[#This Row],[ Hours]]-表格3_5[[#This Row],[Normal working
 hours]]</f>
        <v>0</v>
      </c>
      <c r="N323" s="205"/>
      <c r="O323" s="205"/>
      <c r="P323" s="210">
        <f>(表格3_5[[#This Row],[Out-Time2]] - 表格3_5[[#This Row],[In-Time2]])*24</f>
        <v>0</v>
      </c>
      <c r="Q323" s="205"/>
      <c r="R323" s="214">
        <f>_xlfn.XLOOKUP(表格3_5[[#This Row],[Name]],Name_list[Full Name],Name_list[Hourr Rate])</f>
        <v>0</v>
      </c>
      <c r="S323" s="210">
        <f>表格3_5[[#This Row],[Hours Worked]]*表格3_5[[#This Row],[Hourly Rate]]</f>
        <v>0</v>
      </c>
    </row>
    <row r="324" spans="1:19">
      <c r="A324" s="201">
        <v>322</v>
      </c>
      <c r="B324" s="210" t="str">
        <f>_xlfn.CONCAT(表格3_5[[#This Row],[Name]],表格3_5[[#This Row],[Location]])</f>
        <v/>
      </c>
      <c r="C324" s="211" t="str">
        <f>表格3_5[[#This Row],[Location]] &amp; 表格3_5[[#This Row],[Date]] &amp;表格3_5[[#This Row],[Nick Name]]</f>
        <v>0</v>
      </c>
      <c r="D324" s="202"/>
      <c r="E324" s="211" t="str">
        <f>DAY(表格3_5[[#This Row],[Date]])&amp;""</f>
        <v>0</v>
      </c>
      <c r="F324" s="203"/>
      <c r="G324" s="216">
        <f>_xlfn.XLOOKUP(表格3_5[[#This Row],[Name]],Name_list[Full Name],Name_list[Nick Name])</f>
        <v>0</v>
      </c>
      <c r="H324" s="207"/>
      <c r="I324" s="228"/>
      <c r="J324" s="218"/>
      <c r="K324" s="205"/>
      <c r="L324" s="210">
        <f>(表格3_5[[#This Row],[Out-Time]] - 表格3_5[[#This Row],[In-Time]])*24</f>
        <v>0</v>
      </c>
      <c r="M324" s="210">
        <f>表格3_5[[#This Row],[ Hours]]-表格3_5[[#This Row],[Normal working
 hours]]</f>
        <v>0</v>
      </c>
      <c r="N324" s="205"/>
      <c r="O324" s="205"/>
      <c r="P324" s="210">
        <f>(表格3_5[[#This Row],[Out-Time2]] - 表格3_5[[#This Row],[In-Time2]])*24</f>
        <v>0</v>
      </c>
      <c r="Q324" s="205"/>
      <c r="R324" s="214">
        <f>_xlfn.XLOOKUP(表格3_5[[#This Row],[Name]],Name_list[Full Name],Name_list[Hourr Rate])</f>
        <v>0</v>
      </c>
      <c r="S324" s="210">
        <f>表格3_5[[#This Row],[Hours Worked]]*表格3_5[[#This Row],[Hourly Rate]]</f>
        <v>0</v>
      </c>
    </row>
    <row r="325" spans="1:19">
      <c r="A325" s="201">
        <v>323</v>
      </c>
      <c r="B325" s="210" t="str">
        <f>_xlfn.CONCAT(表格3_5[[#This Row],[Name]],表格3_5[[#This Row],[Location]])</f>
        <v/>
      </c>
      <c r="C325" s="211" t="str">
        <f>表格3_5[[#This Row],[Location]] &amp; 表格3_5[[#This Row],[Date]] &amp;表格3_5[[#This Row],[Nick Name]]</f>
        <v>0</v>
      </c>
      <c r="D325" s="202"/>
      <c r="E325" s="211" t="str">
        <f>DAY(表格3_5[[#This Row],[Date]])&amp;""</f>
        <v>0</v>
      </c>
      <c r="F325" s="203"/>
      <c r="G325" s="216">
        <f>_xlfn.XLOOKUP(表格3_5[[#This Row],[Name]],Name_list[Full Name],Name_list[Nick Name])</f>
        <v>0</v>
      </c>
      <c r="H325" s="207"/>
      <c r="I325" s="228"/>
      <c r="J325" s="218"/>
      <c r="K325" s="205"/>
      <c r="L325" s="210">
        <f>(表格3_5[[#This Row],[Out-Time]] - 表格3_5[[#This Row],[In-Time]])*24</f>
        <v>0</v>
      </c>
      <c r="M325" s="210">
        <f>表格3_5[[#This Row],[ Hours]]-表格3_5[[#This Row],[Normal working
 hours]]</f>
        <v>0</v>
      </c>
      <c r="N325" s="205"/>
      <c r="O325" s="205"/>
      <c r="P325" s="210">
        <f>(表格3_5[[#This Row],[Out-Time2]] - 表格3_5[[#This Row],[In-Time2]])*24</f>
        <v>0</v>
      </c>
      <c r="Q325" s="205"/>
      <c r="R325" s="214">
        <f>_xlfn.XLOOKUP(表格3_5[[#This Row],[Name]],Name_list[Full Name],Name_list[Hourr Rate])</f>
        <v>0</v>
      </c>
      <c r="S325" s="210">
        <f>表格3_5[[#This Row],[Hours Worked]]*表格3_5[[#This Row],[Hourly Rate]]</f>
        <v>0</v>
      </c>
    </row>
    <row r="326" spans="1:19">
      <c r="A326" s="201">
        <v>324</v>
      </c>
      <c r="B326" s="210" t="str">
        <f>_xlfn.CONCAT(表格3_5[[#This Row],[Name]],表格3_5[[#This Row],[Location]])</f>
        <v/>
      </c>
      <c r="C326" s="211" t="str">
        <f>表格3_5[[#This Row],[Location]] &amp; 表格3_5[[#This Row],[Date]] &amp;表格3_5[[#This Row],[Nick Name]]</f>
        <v>0</v>
      </c>
      <c r="D326" s="202"/>
      <c r="E326" s="211" t="str">
        <f>DAY(表格3_5[[#This Row],[Date]])&amp;""</f>
        <v>0</v>
      </c>
      <c r="F326" s="203"/>
      <c r="G326" s="216">
        <f>_xlfn.XLOOKUP(表格3_5[[#This Row],[Name]],Name_list[Full Name],Name_list[Nick Name])</f>
        <v>0</v>
      </c>
      <c r="H326" s="207"/>
      <c r="I326" s="228"/>
      <c r="J326" s="218"/>
      <c r="K326" s="205"/>
      <c r="L326" s="210">
        <f>(表格3_5[[#This Row],[Out-Time]] - 表格3_5[[#This Row],[In-Time]])*24</f>
        <v>0</v>
      </c>
      <c r="M326" s="210">
        <f>表格3_5[[#This Row],[ Hours]]-表格3_5[[#This Row],[Normal working
 hours]]</f>
        <v>0</v>
      </c>
      <c r="N326" s="205"/>
      <c r="O326" s="205"/>
      <c r="P326" s="210">
        <f>(表格3_5[[#This Row],[Out-Time2]] - 表格3_5[[#This Row],[In-Time2]])*24</f>
        <v>0</v>
      </c>
      <c r="Q326" s="205"/>
      <c r="R326" s="214">
        <f>_xlfn.XLOOKUP(表格3_5[[#This Row],[Name]],Name_list[Full Name],Name_list[Hourr Rate])</f>
        <v>0</v>
      </c>
      <c r="S326" s="210">
        <f>表格3_5[[#This Row],[Hours Worked]]*表格3_5[[#This Row],[Hourly Rate]]</f>
        <v>0</v>
      </c>
    </row>
    <row r="327" spans="1:19">
      <c r="A327" s="201">
        <v>325</v>
      </c>
      <c r="B327" s="210" t="str">
        <f>_xlfn.CONCAT(表格3_5[[#This Row],[Name]],表格3_5[[#This Row],[Location]])</f>
        <v/>
      </c>
      <c r="C327" s="211" t="str">
        <f>表格3_5[[#This Row],[Location]] &amp; 表格3_5[[#This Row],[Date]] &amp;表格3_5[[#This Row],[Nick Name]]</f>
        <v>0</v>
      </c>
      <c r="D327" s="202"/>
      <c r="E327" s="211" t="str">
        <f>DAY(表格3_5[[#This Row],[Date]])&amp;""</f>
        <v>0</v>
      </c>
      <c r="F327" s="203"/>
      <c r="G327" s="216">
        <f>_xlfn.XLOOKUP(表格3_5[[#This Row],[Name]],Name_list[Full Name],Name_list[Nick Name])</f>
        <v>0</v>
      </c>
      <c r="H327" s="207"/>
      <c r="I327" s="228"/>
      <c r="J327" s="218"/>
      <c r="K327" s="205"/>
      <c r="L327" s="210">
        <f>(表格3_5[[#This Row],[Out-Time]] - 表格3_5[[#This Row],[In-Time]])*24</f>
        <v>0</v>
      </c>
      <c r="M327" s="210">
        <f>表格3_5[[#This Row],[ Hours]]-表格3_5[[#This Row],[Normal working
 hours]]</f>
        <v>0</v>
      </c>
      <c r="N327" s="205"/>
      <c r="O327" s="205"/>
      <c r="P327" s="210">
        <f>(表格3_5[[#This Row],[Out-Time2]] - 表格3_5[[#This Row],[In-Time2]])*24</f>
        <v>0</v>
      </c>
      <c r="Q327" s="205"/>
      <c r="R327" s="214">
        <f>_xlfn.XLOOKUP(表格3_5[[#This Row],[Name]],Name_list[Full Name],Name_list[Hourr Rate])</f>
        <v>0</v>
      </c>
      <c r="S327" s="210">
        <f>表格3_5[[#This Row],[Hours Worked]]*表格3_5[[#This Row],[Hourly Rate]]</f>
        <v>0</v>
      </c>
    </row>
    <row r="328" spans="1:19">
      <c r="A328" s="201">
        <v>326</v>
      </c>
      <c r="B328" s="210" t="str">
        <f>_xlfn.CONCAT(表格3_5[[#This Row],[Name]],表格3_5[[#This Row],[Location]])</f>
        <v/>
      </c>
      <c r="C328" s="211" t="str">
        <f>表格3_5[[#This Row],[Location]] &amp; 表格3_5[[#This Row],[Date]] &amp;表格3_5[[#This Row],[Nick Name]]</f>
        <v>0</v>
      </c>
      <c r="D328" s="202"/>
      <c r="E328" s="211" t="str">
        <f>DAY(表格3_5[[#This Row],[Date]])&amp;""</f>
        <v>0</v>
      </c>
      <c r="F328" s="203"/>
      <c r="G328" s="216">
        <f>_xlfn.XLOOKUP(表格3_5[[#This Row],[Name]],Name_list[Full Name],Name_list[Nick Name])</f>
        <v>0</v>
      </c>
      <c r="H328" s="207"/>
      <c r="I328" s="228"/>
      <c r="J328" s="218"/>
      <c r="K328" s="205"/>
      <c r="L328" s="210">
        <f>(表格3_5[[#This Row],[Out-Time]] - 表格3_5[[#This Row],[In-Time]])*24</f>
        <v>0</v>
      </c>
      <c r="M328" s="210">
        <f>表格3_5[[#This Row],[ Hours]]-表格3_5[[#This Row],[Normal working
 hours]]</f>
        <v>0</v>
      </c>
      <c r="N328" s="205"/>
      <c r="O328" s="205"/>
      <c r="P328" s="210">
        <f>(表格3_5[[#This Row],[Out-Time2]] - 表格3_5[[#This Row],[In-Time2]])*24</f>
        <v>0</v>
      </c>
      <c r="Q328" s="205"/>
      <c r="R328" s="214">
        <f>_xlfn.XLOOKUP(表格3_5[[#This Row],[Name]],Name_list[Full Name],Name_list[Hourr Rate])</f>
        <v>0</v>
      </c>
      <c r="S328" s="210">
        <f>表格3_5[[#This Row],[Hours Worked]]*表格3_5[[#This Row],[Hourly Rate]]</f>
        <v>0</v>
      </c>
    </row>
    <row r="329" spans="1:19">
      <c r="A329" s="201">
        <v>327</v>
      </c>
      <c r="B329" s="210" t="str">
        <f>_xlfn.CONCAT(表格3_5[[#This Row],[Name]],表格3_5[[#This Row],[Location]])</f>
        <v/>
      </c>
      <c r="C329" s="211" t="str">
        <f>表格3_5[[#This Row],[Location]] &amp; 表格3_5[[#This Row],[Date]] &amp;表格3_5[[#This Row],[Nick Name]]</f>
        <v>0</v>
      </c>
      <c r="D329" s="202"/>
      <c r="E329" s="211" t="str">
        <f>DAY(表格3_5[[#This Row],[Date]])&amp;""</f>
        <v>0</v>
      </c>
      <c r="F329" s="203"/>
      <c r="G329" s="216">
        <f>_xlfn.XLOOKUP(表格3_5[[#This Row],[Name]],Name_list[Full Name],Name_list[Nick Name])</f>
        <v>0</v>
      </c>
      <c r="H329" s="207"/>
      <c r="I329" s="228"/>
      <c r="J329" s="218"/>
      <c r="K329" s="205"/>
      <c r="L329" s="210">
        <f>(表格3_5[[#This Row],[Out-Time]] - 表格3_5[[#This Row],[In-Time]])*24</f>
        <v>0</v>
      </c>
      <c r="M329" s="210">
        <f>表格3_5[[#This Row],[ Hours]]-表格3_5[[#This Row],[Normal working
 hours]]</f>
        <v>0</v>
      </c>
      <c r="N329" s="205"/>
      <c r="O329" s="205"/>
      <c r="P329" s="210">
        <f>(表格3_5[[#This Row],[Out-Time2]] - 表格3_5[[#This Row],[In-Time2]])*24</f>
        <v>0</v>
      </c>
      <c r="Q329" s="205"/>
      <c r="R329" s="214">
        <f>_xlfn.XLOOKUP(表格3_5[[#This Row],[Name]],Name_list[Full Name],Name_list[Hourr Rate])</f>
        <v>0</v>
      </c>
      <c r="S329" s="210">
        <f>表格3_5[[#This Row],[Hours Worked]]*表格3_5[[#This Row],[Hourly Rate]]</f>
        <v>0</v>
      </c>
    </row>
    <row r="330" spans="1:19">
      <c r="A330" s="201">
        <v>328</v>
      </c>
      <c r="B330" s="210" t="str">
        <f>_xlfn.CONCAT(表格3_5[[#This Row],[Name]],表格3_5[[#This Row],[Location]])</f>
        <v/>
      </c>
      <c r="C330" s="211" t="str">
        <f>表格3_5[[#This Row],[Location]] &amp; 表格3_5[[#This Row],[Date]] &amp;表格3_5[[#This Row],[Nick Name]]</f>
        <v>0</v>
      </c>
      <c r="D330" s="202"/>
      <c r="E330" s="211" t="str">
        <f>DAY(表格3_5[[#This Row],[Date]])&amp;""</f>
        <v>0</v>
      </c>
      <c r="F330" s="203"/>
      <c r="G330" s="216">
        <f>_xlfn.XLOOKUP(表格3_5[[#This Row],[Name]],Name_list[Full Name],Name_list[Nick Name])</f>
        <v>0</v>
      </c>
      <c r="H330" s="207"/>
      <c r="I330" s="228"/>
      <c r="J330" s="218"/>
      <c r="K330" s="205"/>
      <c r="L330" s="210">
        <f>(表格3_5[[#This Row],[Out-Time]] - 表格3_5[[#This Row],[In-Time]])*24</f>
        <v>0</v>
      </c>
      <c r="M330" s="210">
        <f>表格3_5[[#This Row],[ Hours]]-表格3_5[[#This Row],[Normal working
 hours]]</f>
        <v>0</v>
      </c>
      <c r="N330" s="205"/>
      <c r="O330" s="205"/>
      <c r="P330" s="210">
        <f>(表格3_5[[#This Row],[Out-Time2]] - 表格3_5[[#This Row],[In-Time2]])*24</f>
        <v>0</v>
      </c>
      <c r="Q330" s="205"/>
      <c r="R330" s="214">
        <f>_xlfn.XLOOKUP(表格3_5[[#This Row],[Name]],Name_list[Full Name],Name_list[Hourr Rate])</f>
        <v>0</v>
      </c>
      <c r="S330" s="210">
        <f>表格3_5[[#This Row],[Hours Worked]]*表格3_5[[#This Row],[Hourly Rate]]</f>
        <v>0</v>
      </c>
    </row>
    <row r="331" spans="1:19">
      <c r="A331" s="201">
        <v>329</v>
      </c>
      <c r="B331" s="210" t="str">
        <f>_xlfn.CONCAT(表格3_5[[#This Row],[Name]],表格3_5[[#This Row],[Location]])</f>
        <v/>
      </c>
      <c r="C331" s="211" t="str">
        <f>表格3_5[[#This Row],[Location]] &amp; 表格3_5[[#This Row],[Date]] &amp;表格3_5[[#This Row],[Nick Name]]</f>
        <v>0</v>
      </c>
      <c r="D331" s="202"/>
      <c r="E331" s="211" t="str">
        <f>DAY(表格3_5[[#This Row],[Date]])&amp;""</f>
        <v>0</v>
      </c>
      <c r="F331" s="203"/>
      <c r="G331" s="216">
        <f>_xlfn.XLOOKUP(表格3_5[[#This Row],[Name]],Name_list[Full Name],Name_list[Nick Name])</f>
        <v>0</v>
      </c>
      <c r="H331" s="207"/>
      <c r="I331" s="228"/>
      <c r="J331" s="218"/>
      <c r="K331" s="205"/>
      <c r="L331" s="210">
        <f>(表格3_5[[#This Row],[Out-Time]] - 表格3_5[[#This Row],[In-Time]])*24</f>
        <v>0</v>
      </c>
      <c r="M331" s="210">
        <f>表格3_5[[#This Row],[ Hours]]-表格3_5[[#This Row],[Normal working
 hours]]</f>
        <v>0</v>
      </c>
      <c r="N331" s="205"/>
      <c r="O331" s="205"/>
      <c r="P331" s="210">
        <f>(表格3_5[[#This Row],[Out-Time2]] - 表格3_5[[#This Row],[In-Time2]])*24</f>
        <v>0</v>
      </c>
      <c r="Q331" s="205"/>
      <c r="R331" s="214">
        <f>_xlfn.XLOOKUP(表格3_5[[#This Row],[Name]],Name_list[Full Name],Name_list[Hourr Rate])</f>
        <v>0</v>
      </c>
      <c r="S331" s="210">
        <f>表格3_5[[#This Row],[Hours Worked]]*表格3_5[[#This Row],[Hourly Rate]]</f>
        <v>0</v>
      </c>
    </row>
    <row r="332" spans="1:19">
      <c r="A332" s="201">
        <v>330</v>
      </c>
      <c r="B332" s="210" t="str">
        <f>_xlfn.CONCAT(表格3_5[[#This Row],[Name]],表格3_5[[#This Row],[Location]])</f>
        <v/>
      </c>
      <c r="C332" s="211" t="str">
        <f>表格3_5[[#This Row],[Location]] &amp; 表格3_5[[#This Row],[Date]] &amp;表格3_5[[#This Row],[Nick Name]]</f>
        <v>0</v>
      </c>
      <c r="D332" s="202"/>
      <c r="E332" s="211" t="str">
        <f>DAY(表格3_5[[#This Row],[Date]])&amp;""</f>
        <v>0</v>
      </c>
      <c r="F332" s="203"/>
      <c r="G332" s="216">
        <f>_xlfn.XLOOKUP(表格3_5[[#This Row],[Name]],Name_list[Full Name],Name_list[Nick Name])</f>
        <v>0</v>
      </c>
      <c r="H332" s="207"/>
      <c r="I332" s="228"/>
      <c r="J332" s="218"/>
      <c r="K332" s="205"/>
      <c r="L332" s="210">
        <f>(表格3_5[[#This Row],[Out-Time]] - 表格3_5[[#This Row],[In-Time]])*24</f>
        <v>0</v>
      </c>
      <c r="M332" s="210">
        <f>表格3_5[[#This Row],[ Hours]]-表格3_5[[#This Row],[Normal working
 hours]]</f>
        <v>0</v>
      </c>
      <c r="N332" s="205"/>
      <c r="O332" s="205"/>
      <c r="P332" s="210">
        <f>(表格3_5[[#This Row],[Out-Time2]] - 表格3_5[[#This Row],[In-Time2]])*24</f>
        <v>0</v>
      </c>
      <c r="Q332" s="205"/>
      <c r="R332" s="214">
        <f>_xlfn.XLOOKUP(表格3_5[[#This Row],[Name]],Name_list[Full Name],Name_list[Hourr Rate])</f>
        <v>0</v>
      </c>
      <c r="S332" s="210">
        <f>表格3_5[[#This Row],[Hours Worked]]*表格3_5[[#This Row],[Hourly Rate]]</f>
        <v>0</v>
      </c>
    </row>
    <row r="333" spans="1:19">
      <c r="A333" s="201">
        <v>331</v>
      </c>
      <c r="B333" s="210" t="str">
        <f>_xlfn.CONCAT(表格3_5[[#This Row],[Name]],表格3_5[[#This Row],[Location]])</f>
        <v/>
      </c>
      <c r="C333" s="211" t="str">
        <f>表格3_5[[#This Row],[Location]] &amp; 表格3_5[[#This Row],[Date]] &amp;表格3_5[[#This Row],[Nick Name]]</f>
        <v>0</v>
      </c>
      <c r="D333" s="202"/>
      <c r="E333" s="211" t="str">
        <f>DAY(表格3_5[[#This Row],[Date]])&amp;""</f>
        <v>0</v>
      </c>
      <c r="F333" s="203"/>
      <c r="G333" s="216">
        <f>_xlfn.XLOOKUP(表格3_5[[#This Row],[Name]],Name_list[Full Name],Name_list[Nick Name])</f>
        <v>0</v>
      </c>
      <c r="H333" s="207"/>
      <c r="I333" s="228"/>
      <c r="J333" s="218"/>
      <c r="K333" s="205"/>
      <c r="L333" s="210">
        <f>(表格3_5[[#This Row],[Out-Time]] - 表格3_5[[#This Row],[In-Time]])*24</f>
        <v>0</v>
      </c>
      <c r="M333" s="210">
        <f>表格3_5[[#This Row],[ Hours]]-表格3_5[[#This Row],[Normal working
 hours]]</f>
        <v>0</v>
      </c>
      <c r="N333" s="205"/>
      <c r="O333" s="205"/>
      <c r="P333" s="210">
        <f>(表格3_5[[#This Row],[Out-Time2]] - 表格3_5[[#This Row],[In-Time2]])*24</f>
        <v>0</v>
      </c>
      <c r="Q333" s="205"/>
      <c r="R333" s="214">
        <f>_xlfn.XLOOKUP(表格3_5[[#This Row],[Name]],Name_list[Full Name],Name_list[Hourr Rate])</f>
        <v>0</v>
      </c>
      <c r="S333" s="210">
        <f>表格3_5[[#This Row],[Hours Worked]]*表格3_5[[#This Row],[Hourly Rate]]</f>
        <v>0</v>
      </c>
    </row>
    <row r="334" spans="1:19">
      <c r="A334" s="201">
        <v>332</v>
      </c>
      <c r="B334" s="210" t="str">
        <f>_xlfn.CONCAT(表格3_5[[#This Row],[Name]],表格3_5[[#This Row],[Location]])</f>
        <v/>
      </c>
      <c r="C334" s="211" t="str">
        <f>表格3_5[[#This Row],[Location]] &amp; 表格3_5[[#This Row],[Date]] &amp;表格3_5[[#This Row],[Nick Name]]</f>
        <v>0</v>
      </c>
      <c r="D334" s="202"/>
      <c r="E334" s="211" t="str">
        <f>DAY(表格3_5[[#This Row],[Date]])&amp;""</f>
        <v>0</v>
      </c>
      <c r="F334" s="203"/>
      <c r="G334" s="216">
        <f>_xlfn.XLOOKUP(表格3_5[[#This Row],[Name]],Name_list[Full Name],Name_list[Nick Name])</f>
        <v>0</v>
      </c>
      <c r="H334" s="207"/>
      <c r="I334" s="228"/>
      <c r="J334" s="218"/>
      <c r="K334" s="205"/>
      <c r="L334" s="210">
        <f>(表格3_5[[#This Row],[Out-Time]] - 表格3_5[[#This Row],[In-Time]])*24</f>
        <v>0</v>
      </c>
      <c r="M334" s="210">
        <f>表格3_5[[#This Row],[ Hours]]-表格3_5[[#This Row],[Normal working
 hours]]</f>
        <v>0</v>
      </c>
      <c r="N334" s="205"/>
      <c r="O334" s="205"/>
      <c r="P334" s="210">
        <f>(表格3_5[[#This Row],[Out-Time2]] - 表格3_5[[#This Row],[In-Time2]])*24</f>
        <v>0</v>
      </c>
      <c r="Q334" s="205"/>
      <c r="R334" s="214">
        <f>_xlfn.XLOOKUP(表格3_5[[#This Row],[Name]],Name_list[Full Name],Name_list[Hourr Rate])</f>
        <v>0</v>
      </c>
      <c r="S334" s="210">
        <f>表格3_5[[#This Row],[Hours Worked]]*表格3_5[[#This Row],[Hourly Rate]]</f>
        <v>0</v>
      </c>
    </row>
    <row r="335" spans="1:19">
      <c r="A335" s="201">
        <v>333</v>
      </c>
      <c r="B335" s="210" t="str">
        <f>_xlfn.CONCAT(表格3_5[[#This Row],[Name]],表格3_5[[#This Row],[Location]])</f>
        <v/>
      </c>
      <c r="C335" s="211" t="str">
        <f>表格3_5[[#This Row],[Location]] &amp; 表格3_5[[#This Row],[Date]] &amp;表格3_5[[#This Row],[Nick Name]]</f>
        <v>0</v>
      </c>
      <c r="D335" s="202"/>
      <c r="E335" s="211" t="str">
        <f>DAY(表格3_5[[#This Row],[Date]])&amp;""</f>
        <v>0</v>
      </c>
      <c r="F335" s="203"/>
      <c r="G335" s="216">
        <f>_xlfn.XLOOKUP(表格3_5[[#This Row],[Name]],Name_list[Full Name],Name_list[Nick Name])</f>
        <v>0</v>
      </c>
      <c r="H335" s="207"/>
      <c r="I335" s="228"/>
      <c r="J335" s="218"/>
      <c r="K335" s="205"/>
      <c r="L335" s="210">
        <f>(表格3_5[[#This Row],[Out-Time]] - 表格3_5[[#This Row],[In-Time]])*24</f>
        <v>0</v>
      </c>
      <c r="M335" s="210">
        <f>表格3_5[[#This Row],[ Hours]]-表格3_5[[#This Row],[Normal working
 hours]]</f>
        <v>0</v>
      </c>
      <c r="N335" s="205"/>
      <c r="O335" s="205"/>
      <c r="P335" s="210">
        <f>(表格3_5[[#This Row],[Out-Time2]] - 表格3_5[[#This Row],[In-Time2]])*24</f>
        <v>0</v>
      </c>
      <c r="Q335" s="205"/>
      <c r="R335" s="214">
        <f>_xlfn.XLOOKUP(表格3_5[[#This Row],[Name]],Name_list[Full Name],Name_list[Hourr Rate])</f>
        <v>0</v>
      </c>
      <c r="S335" s="210">
        <f>表格3_5[[#This Row],[Hours Worked]]*表格3_5[[#This Row],[Hourly Rate]]</f>
        <v>0</v>
      </c>
    </row>
    <row r="336" spans="1:19">
      <c r="A336" s="201">
        <v>334</v>
      </c>
      <c r="B336" s="210" t="str">
        <f>_xlfn.CONCAT(表格3_5[[#This Row],[Name]],表格3_5[[#This Row],[Location]])</f>
        <v/>
      </c>
      <c r="C336" s="211" t="str">
        <f>表格3_5[[#This Row],[Location]] &amp; 表格3_5[[#This Row],[Date]] &amp;表格3_5[[#This Row],[Nick Name]]</f>
        <v>0</v>
      </c>
      <c r="D336" s="202"/>
      <c r="E336" s="211" t="str">
        <f>DAY(表格3_5[[#This Row],[Date]])&amp;""</f>
        <v>0</v>
      </c>
      <c r="F336" s="203"/>
      <c r="G336" s="216">
        <f>_xlfn.XLOOKUP(表格3_5[[#This Row],[Name]],Name_list[Full Name],Name_list[Nick Name])</f>
        <v>0</v>
      </c>
      <c r="H336" s="207"/>
      <c r="I336" s="228"/>
      <c r="J336" s="218"/>
      <c r="K336" s="205"/>
      <c r="L336" s="210">
        <f>(表格3_5[[#This Row],[Out-Time]] - 表格3_5[[#This Row],[In-Time]])*24</f>
        <v>0</v>
      </c>
      <c r="M336" s="210">
        <f>表格3_5[[#This Row],[ Hours]]-表格3_5[[#This Row],[Normal working
 hours]]</f>
        <v>0</v>
      </c>
      <c r="N336" s="205"/>
      <c r="O336" s="205"/>
      <c r="P336" s="210">
        <f>(表格3_5[[#This Row],[Out-Time2]] - 表格3_5[[#This Row],[In-Time2]])*24</f>
        <v>0</v>
      </c>
      <c r="Q336" s="205"/>
      <c r="R336" s="214">
        <f>_xlfn.XLOOKUP(表格3_5[[#This Row],[Name]],Name_list[Full Name],Name_list[Hourr Rate])</f>
        <v>0</v>
      </c>
      <c r="S336" s="210">
        <f>表格3_5[[#This Row],[Hours Worked]]*表格3_5[[#This Row],[Hourly Rate]]</f>
        <v>0</v>
      </c>
    </row>
    <row r="337" spans="1:19">
      <c r="A337" s="201">
        <v>335</v>
      </c>
      <c r="B337" s="210" t="str">
        <f>_xlfn.CONCAT(表格3_5[[#This Row],[Name]],表格3_5[[#This Row],[Location]])</f>
        <v/>
      </c>
      <c r="C337" s="211" t="str">
        <f>表格3_5[[#This Row],[Location]] &amp; 表格3_5[[#This Row],[Date]] &amp;表格3_5[[#This Row],[Nick Name]]</f>
        <v>0</v>
      </c>
      <c r="D337" s="202"/>
      <c r="E337" s="211" t="str">
        <f>DAY(表格3_5[[#This Row],[Date]])&amp;""</f>
        <v>0</v>
      </c>
      <c r="F337" s="203"/>
      <c r="G337" s="216">
        <f>_xlfn.XLOOKUP(表格3_5[[#This Row],[Name]],Name_list[Full Name],Name_list[Nick Name])</f>
        <v>0</v>
      </c>
      <c r="H337" s="207"/>
      <c r="I337" s="228"/>
      <c r="J337" s="218"/>
      <c r="K337" s="205"/>
      <c r="L337" s="210">
        <f>(表格3_5[[#This Row],[Out-Time]] - 表格3_5[[#This Row],[In-Time]])*24</f>
        <v>0</v>
      </c>
      <c r="M337" s="210">
        <f>表格3_5[[#This Row],[ Hours]]-表格3_5[[#This Row],[Normal working
 hours]]</f>
        <v>0</v>
      </c>
      <c r="N337" s="205"/>
      <c r="O337" s="205"/>
      <c r="P337" s="210">
        <f>(表格3_5[[#This Row],[Out-Time2]] - 表格3_5[[#This Row],[In-Time2]])*24</f>
        <v>0</v>
      </c>
      <c r="Q337" s="205"/>
      <c r="R337" s="214">
        <f>_xlfn.XLOOKUP(表格3_5[[#This Row],[Name]],Name_list[Full Name],Name_list[Hourr Rate])</f>
        <v>0</v>
      </c>
      <c r="S337" s="210">
        <f>表格3_5[[#This Row],[Hours Worked]]*表格3_5[[#This Row],[Hourly Rate]]</f>
        <v>0</v>
      </c>
    </row>
    <row r="338" spans="1:19">
      <c r="A338" s="201">
        <v>336</v>
      </c>
      <c r="B338" s="210" t="str">
        <f>_xlfn.CONCAT(表格3_5[[#This Row],[Name]],表格3_5[[#This Row],[Location]])</f>
        <v/>
      </c>
      <c r="C338" s="211" t="str">
        <f>表格3_5[[#This Row],[Location]] &amp; 表格3_5[[#This Row],[Date]] &amp;表格3_5[[#This Row],[Nick Name]]</f>
        <v>0</v>
      </c>
      <c r="D338" s="202"/>
      <c r="E338" s="211" t="str">
        <f>DAY(表格3_5[[#This Row],[Date]])&amp;""</f>
        <v>0</v>
      </c>
      <c r="F338" s="203"/>
      <c r="G338" s="216">
        <f>_xlfn.XLOOKUP(表格3_5[[#This Row],[Name]],Name_list[Full Name],Name_list[Nick Name])</f>
        <v>0</v>
      </c>
      <c r="H338" s="207"/>
      <c r="I338" s="228"/>
      <c r="J338" s="218"/>
      <c r="K338" s="205"/>
      <c r="L338" s="210">
        <f>(表格3_5[[#This Row],[Out-Time]] - 表格3_5[[#This Row],[In-Time]])*24</f>
        <v>0</v>
      </c>
      <c r="M338" s="210">
        <f>表格3_5[[#This Row],[ Hours]]-表格3_5[[#This Row],[Normal working
 hours]]</f>
        <v>0</v>
      </c>
      <c r="N338" s="205"/>
      <c r="O338" s="205"/>
      <c r="P338" s="210">
        <f>(表格3_5[[#This Row],[Out-Time2]] - 表格3_5[[#This Row],[In-Time2]])*24</f>
        <v>0</v>
      </c>
      <c r="Q338" s="205"/>
      <c r="R338" s="214">
        <f>_xlfn.XLOOKUP(表格3_5[[#This Row],[Name]],Name_list[Full Name],Name_list[Hourr Rate])</f>
        <v>0</v>
      </c>
      <c r="S338" s="210">
        <f>表格3_5[[#This Row],[Hours Worked]]*表格3_5[[#This Row],[Hourly Rate]]</f>
        <v>0</v>
      </c>
    </row>
    <row r="339" spans="1:19">
      <c r="A339" s="201">
        <v>337</v>
      </c>
      <c r="B339" s="210" t="str">
        <f>_xlfn.CONCAT(表格3_5[[#This Row],[Name]],表格3_5[[#This Row],[Location]])</f>
        <v/>
      </c>
      <c r="C339" s="211" t="str">
        <f>表格3_5[[#This Row],[Location]] &amp; 表格3_5[[#This Row],[Date]] &amp;表格3_5[[#This Row],[Nick Name]]</f>
        <v>0</v>
      </c>
      <c r="D339" s="202"/>
      <c r="E339" s="211" t="str">
        <f>DAY(表格3_5[[#This Row],[Date]])&amp;""</f>
        <v>0</v>
      </c>
      <c r="F339" s="203"/>
      <c r="G339" s="216">
        <f>_xlfn.XLOOKUP(表格3_5[[#This Row],[Name]],Name_list[Full Name],Name_list[Nick Name])</f>
        <v>0</v>
      </c>
      <c r="H339" s="207"/>
      <c r="I339" s="228"/>
      <c r="J339" s="218"/>
      <c r="K339" s="205"/>
      <c r="L339" s="210">
        <f>(表格3_5[[#This Row],[Out-Time]] - 表格3_5[[#This Row],[In-Time]])*24</f>
        <v>0</v>
      </c>
      <c r="M339" s="210">
        <f>表格3_5[[#This Row],[ Hours]]-表格3_5[[#This Row],[Normal working
 hours]]</f>
        <v>0</v>
      </c>
      <c r="N339" s="205"/>
      <c r="O339" s="205"/>
      <c r="P339" s="210">
        <f>(表格3_5[[#This Row],[Out-Time2]] - 表格3_5[[#This Row],[In-Time2]])*24</f>
        <v>0</v>
      </c>
      <c r="Q339" s="205"/>
      <c r="R339" s="214">
        <f>_xlfn.XLOOKUP(表格3_5[[#This Row],[Name]],Name_list[Full Name],Name_list[Hourr Rate])</f>
        <v>0</v>
      </c>
      <c r="S339" s="210">
        <f>表格3_5[[#This Row],[Hours Worked]]*表格3_5[[#This Row],[Hourly Rate]]</f>
        <v>0</v>
      </c>
    </row>
    <row r="340" spans="1:19">
      <c r="A340" s="201">
        <v>338</v>
      </c>
      <c r="B340" s="210" t="str">
        <f>_xlfn.CONCAT(表格3_5[[#This Row],[Name]],表格3_5[[#This Row],[Location]])</f>
        <v/>
      </c>
      <c r="C340" s="211" t="str">
        <f>表格3_5[[#This Row],[Location]] &amp; 表格3_5[[#This Row],[Date]] &amp;表格3_5[[#This Row],[Nick Name]]</f>
        <v>0</v>
      </c>
      <c r="D340" s="202"/>
      <c r="E340" s="211" t="str">
        <f>DAY(表格3_5[[#This Row],[Date]])&amp;""</f>
        <v>0</v>
      </c>
      <c r="F340" s="203"/>
      <c r="G340" s="216">
        <f>_xlfn.XLOOKUP(表格3_5[[#This Row],[Name]],Name_list[Full Name],Name_list[Nick Name])</f>
        <v>0</v>
      </c>
      <c r="H340" s="207"/>
      <c r="I340" s="228"/>
      <c r="J340" s="218"/>
      <c r="K340" s="205"/>
      <c r="L340" s="210">
        <f>(表格3_5[[#This Row],[Out-Time]] - 表格3_5[[#This Row],[In-Time]])*24</f>
        <v>0</v>
      </c>
      <c r="M340" s="210">
        <f>表格3_5[[#This Row],[ Hours]]-表格3_5[[#This Row],[Normal working
 hours]]</f>
        <v>0</v>
      </c>
      <c r="N340" s="205"/>
      <c r="O340" s="205"/>
      <c r="P340" s="210">
        <f>(表格3_5[[#This Row],[Out-Time2]] - 表格3_5[[#This Row],[In-Time2]])*24</f>
        <v>0</v>
      </c>
      <c r="Q340" s="205"/>
      <c r="R340" s="214">
        <f>_xlfn.XLOOKUP(表格3_5[[#This Row],[Name]],Name_list[Full Name],Name_list[Hourr Rate])</f>
        <v>0</v>
      </c>
      <c r="S340" s="210">
        <f>表格3_5[[#This Row],[Hours Worked]]*表格3_5[[#This Row],[Hourly Rate]]</f>
        <v>0</v>
      </c>
    </row>
    <row r="341" spans="1:19">
      <c r="A341" s="201">
        <v>339</v>
      </c>
      <c r="B341" s="210" t="str">
        <f>_xlfn.CONCAT(表格3_5[[#This Row],[Name]],表格3_5[[#This Row],[Location]])</f>
        <v/>
      </c>
      <c r="C341" s="211" t="str">
        <f>表格3_5[[#This Row],[Location]] &amp; 表格3_5[[#This Row],[Date]] &amp;表格3_5[[#This Row],[Nick Name]]</f>
        <v>0</v>
      </c>
      <c r="D341" s="202"/>
      <c r="E341" s="211" t="str">
        <f>DAY(表格3_5[[#This Row],[Date]])&amp;""</f>
        <v>0</v>
      </c>
      <c r="F341" s="203"/>
      <c r="G341" s="216">
        <f>_xlfn.XLOOKUP(表格3_5[[#This Row],[Name]],Name_list[Full Name],Name_list[Nick Name])</f>
        <v>0</v>
      </c>
      <c r="H341" s="207"/>
      <c r="I341" s="228"/>
      <c r="J341" s="218"/>
      <c r="K341" s="205"/>
      <c r="L341" s="210">
        <f>(表格3_5[[#This Row],[Out-Time]] - 表格3_5[[#This Row],[In-Time]])*24</f>
        <v>0</v>
      </c>
      <c r="M341" s="210">
        <f>表格3_5[[#This Row],[ Hours]]-表格3_5[[#This Row],[Normal working
 hours]]</f>
        <v>0</v>
      </c>
      <c r="N341" s="205"/>
      <c r="O341" s="205"/>
      <c r="P341" s="210">
        <f>(表格3_5[[#This Row],[Out-Time2]] - 表格3_5[[#This Row],[In-Time2]])*24</f>
        <v>0</v>
      </c>
      <c r="Q341" s="205"/>
      <c r="R341" s="214">
        <f>_xlfn.XLOOKUP(表格3_5[[#This Row],[Name]],Name_list[Full Name],Name_list[Hourr Rate])</f>
        <v>0</v>
      </c>
      <c r="S341" s="210">
        <f>表格3_5[[#This Row],[Hours Worked]]*表格3_5[[#This Row],[Hourly Rate]]</f>
        <v>0</v>
      </c>
    </row>
    <row r="342" spans="1:19">
      <c r="A342" s="201">
        <v>340</v>
      </c>
      <c r="B342" s="210" t="str">
        <f>_xlfn.CONCAT(表格3_5[[#This Row],[Name]],表格3_5[[#This Row],[Location]])</f>
        <v/>
      </c>
      <c r="C342" s="211" t="str">
        <f>表格3_5[[#This Row],[Location]] &amp; 表格3_5[[#This Row],[Date]] &amp;表格3_5[[#This Row],[Nick Name]]</f>
        <v>0</v>
      </c>
      <c r="D342" s="202"/>
      <c r="E342" s="211" t="str">
        <f>DAY(表格3_5[[#This Row],[Date]])&amp;""</f>
        <v>0</v>
      </c>
      <c r="F342" s="203"/>
      <c r="G342" s="216">
        <f>_xlfn.XLOOKUP(表格3_5[[#This Row],[Name]],Name_list[Full Name],Name_list[Nick Name])</f>
        <v>0</v>
      </c>
      <c r="H342" s="207"/>
      <c r="I342" s="228"/>
      <c r="J342" s="218"/>
      <c r="K342" s="205"/>
      <c r="L342" s="210">
        <f>(表格3_5[[#This Row],[Out-Time]] - 表格3_5[[#This Row],[In-Time]])*24</f>
        <v>0</v>
      </c>
      <c r="M342" s="210">
        <f>表格3_5[[#This Row],[ Hours]]-表格3_5[[#This Row],[Normal working
 hours]]</f>
        <v>0</v>
      </c>
      <c r="N342" s="205"/>
      <c r="O342" s="205"/>
      <c r="P342" s="210">
        <f>(表格3_5[[#This Row],[Out-Time2]] - 表格3_5[[#This Row],[In-Time2]])*24</f>
        <v>0</v>
      </c>
      <c r="Q342" s="205"/>
      <c r="R342" s="214">
        <f>_xlfn.XLOOKUP(表格3_5[[#This Row],[Name]],Name_list[Full Name],Name_list[Hourr Rate])</f>
        <v>0</v>
      </c>
      <c r="S342" s="210">
        <f>表格3_5[[#This Row],[Hours Worked]]*表格3_5[[#This Row],[Hourly Rate]]</f>
        <v>0</v>
      </c>
    </row>
    <row r="343" spans="1:19">
      <c r="A343" s="201">
        <v>341</v>
      </c>
      <c r="B343" s="210" t="str">
        <f>_xlfn.CONCAT(表格3_5[[#This Row],[Name]],表格3_5[[#This Row],[Location]])</f>
        <v/>
      </c>
      <c r="C343" s="211" t="str">
        <f>表格3_5[[#This Row],[Location]] &amp; 表格3_5[[#This Row],[Date]] &amp;表格3_5[[#This Row],[Nick Name]]</f>
        <v>0</v>
      </c>
      <c r="D343" s="202"/>
      <c r="E343" s="211" t="str">
        <f>DAY(表格3_5[[#This Row],[Date]])&amp;""</f>
        <v>0</v>
      </c>
      <c r="F343" s="203"/>
      <c r="G343" s="216">
        <f>_xlfn.XLOOKUP(表格3_5[[#This Row],[Name]],Name_list[Full Name],Name_list[Nick Name])</f>
        <v>0</v>
      </c>
      <c r="H343" s="207"/>
      <c r="I343" s="228"/>
      <c r="J343" s="218"/>
      <c r="K343" s="205"/>
      <c r="L343" s="210">
        <f>(表格3_5[[#This Row],[Out-Time]] - 表格3_5[[#This Row],[In-Time]])*24</f>
        <v>0</v>
      </c>
      <c r="M343" s="210">
        <f>表格3_5[[#This Row],[ Hours]]-表格3_5[[#This Row],[Normal working
 hours]]</f>
        <v>0</v>
      </c>
      <c r="N343" s="205"/>
      <c r="O343" s="205"/>
      <c r="P343" s="210">
        <f>(表格3_5[[#This Row],[Out-Time2]] - 表格3_5[[#This Row],[In-Time2]])*24</f>
        <v>0</v>
      </c>
      <c r="Q343" s="205"/>
      <c r="R343" s="214">
        <f>_xlfn.XLOOKUP(表格3_5[[#This Row],[Name]],Name_list[Full Name],Name_list[Hourr Rate])</f>
        <v>0</v>
      </c>
      <c r="S343" s="210">
        <f>表格3_5[[#This Row],[Hours Worked]]*表格3_5[[#This Row],[Hourly Rate]]</f>
        <v>0</v>
      </c>
    </row>
    <row r="344" spans="1:19">
      <c r="A344" s="201">
        <v>342</v>
      </c>
      <c r="B344" s="210" t="str">
        <f>_xlfn.CONCAT(表格3_5[[#This Row],[Name]],表格3_5[[#This Row],[Location]])</f>
        <v/>
      </c>
      <c r="C344" s="211" t="str">
        <f>表格3_5[[#This Row],[Location]] &amp; 表格3_5[[#This Row],[Date]] &amp;表格3_5[[#This Row],[Nick Name]]</f>
        <v>0</v>
      </c>
      <c r="D344" s="202"/>
      <c r="E344" s="211" t="str">
        <f>DAY(表格3_5[[#This Row],[Date]])&amp;""</f>
        <v>0</v>
      </c>
      <c r="F344" s="203"/>
      <c r="G344" s="216">
        <f>_xlfn.XLOOKUP(表格3_5[[#This Row],[Name]],Name_list[Full Name],Name_list[Nick Name])</f>
        <v>0</v>
      </c>
      <c r="H344" s="207"/>
      <c r="I344" s="228"/>
      <c r="J344" s="218"/>
      <c r="K344" s="205"/>
      <c r="L344" s="210">
        <f>(表格3_5[[#This Row],[Out-Time]] - 表格3_5[[#This Row],[In-Time]])*24</f>
        <v>0</v>
      </c>
      <c r="M344" s="210">
        <f>表格3_5[[#This Row],[ Hours]]-表格3_5[[#This Row],[Normal working
 hours]]</f>
        <v>0</v>
      </c>
      <c r="N344" s="205"/>
      <c r="O344" s="205"/>
      <c r="P344" s="210">
        <f>(表格3_5[[#This Row],[Out-Time2]] - 表格3_5[[#This Row],[In-Time2]])*24</f>
        <v>0</v>
      </c>
      <c r="Q344" s="205"/>
      <c r="R344" s="214">
        <f>_xlfn.XLOOKUP(表格3_5[[#This Row],[Name]],Name_list[Full Name],Name_list[Hourr Rate])</f>
        <v>0</v>
      </c>
      <c r="S344" s="210">
        <f>表格3_5[[#This Row],[Hours Worked]]*表格3_5[[#This Row],[Hourly Rate]]</f>
        <v>0</v>
      </c>
    </row>
    <row r="345" spans="1:19">
      <c r="A345" s="201">
        <v>343</v>
      </c>
      <c r="B345" s="210" t="str">
        <f>_xlfn.CONCAT(表格3_5[[#This Row],[Name]],表格3_5[[#This Row],[Location]])</f>
        <v/>
      </c>
      <c r="C345" s="211" t="str">
        <f>表格3_5[[#This Row],[Location]] &amp; 表格3_5[[#This Row],[Date]] &amp;表格3_5[[#This Row],[Nick Name]]</f>
        <v>0</v>
      </c>
      <c r="D345" s="202"/>
      <c r="E345" s="211" t="str">
        <f>DAY(表格3_5[[#This Row],[Date]])&amp;""</f>
        <v>0</v>
      </c>
      <c r="F345" s="203"/>
      <c r="G345" s="216">
        <f>_xlfn.XLOOKUP(表格3_5[[#This Row],[Name]],Name_list[Full Name],Name_list[Nick Name])</f>
        <v>0</v>
      </c>
      <c r="H345" s="207"/>
      <c r="I345" s="228"/>
      <c r="J345" s="218"/>
      <c r="K345" s="205"/>
      <c r="L345" s="210">
        <f>(表格3_5[[#This Row],[Out-Time]] - 表格3_5[[#This Row],[In-Time]])*24</f>
        <v>0</v>
      </c>
      <c r="M345" s="210">
        <f>表格3_5[[#This Row],[ Hours]]-表格3_5[[#This Row],[Normal working
 hours]]</f>
        <v>0</v>
      </c>
      <c r="N345" s="205"/>
      <c r="O345" s="205"/>
      <c r="P345" s="210">
        <f>(表格3_5[[#This Row],[Out-Time2]] - 表格3_5[[#This Row],[In-Time2]])*24</f>
        <v>0</v>
      </c>
      <c r="Q345" s="205"/>
      <c r="R345" s="214">
        <f>_xlfn.XLOOKUP(表格3_5[[#This Row],[Name]],Name_list[Full Name],Name_list[Hourr Rate])</f>
        <v>0</v>
      </c>
      <c r="S345" s="210">
        <f>表格3_5[[#This Row],[Hours Worked]]*表格3_5[[#This Row],[Hourly Rate]]</f>
        <v>0</v>
      </c>
    </row>
    <row r="346" spans="1:19">
      <c r="A346" s="201">
        <v>344</v>
      </c>
      <c r="B346" s="210" t="str">
        <f>_xlfn.CONCAT(表格3_5[[#This Row],[Name]],表格3_5[[#This Row],[Location]])</f>
        <v/>
      </c>
      <c r="C346" s="211" t="str">
        <f>表格3_5[[#This Row],[Location]] &amp; 表格3_5[[#This Row],[Date]] &amp;表格3_5[[#This Row],[Nick Name]]</f>
        <v>0</v>
      </c>
      <c r="D346" s="202"/>
      <c r="E346" s="211" t="str">
        <f>DAY(表格3_5[[#This Row],[Date]])&amp;""</f>
        <v>0</v>
      </c>
      <c r="F346" s="203"/>
      <c r="G346" s="216">
        <f>_xlfn.XLOOKUP(表格3_5[[#This Row],[Name]],Name_list[Full Name],Name_list[Nick Name])</f>
        <v>0</v>
      </c>
      <c r="H346" s="207"/>
      <c r="I346" s="228"/>
      <c r="J346" s="218"/>
      <c r="K346" s="205"/>
      <c r="L346" s="210">
        <f>(表格3_5[[#This Row],[Out-Time]] - 表格3_5[[#This Row],[In-Time]])*24</f>
        <v>0</v>
      </c>
      <c r="M346" s="210">
        <f>表格3_5[[#This Row],[ Hours]]-表格3_5[[#This Row],[Normal working
 hours]]</f>
        <v>0</v>
      </c>
      <c r="N346" s="205"/>
      <c r="O346" s="205"/>
      <c r="P346" s="210">
        <f>(表格3_5[[#This Row],[Out-Time2]] - 表格3_5[[#This Row],[In-Time2]])*24</f>
        <v>0</v>
      </c>
      <c r="Q346" s="205"/>
      <c r="R346" s="214">
        <f>_xlfn.XLOOKUP(表格3_5[[#This Row],[Name]],Name_list[Full Name],Name_list[Hourr Rate])</f>
        <v>0</v>
      </c>
      <c r="S346" s="210">
        <f>表格3_5[[#This Row],[Hours Worked]]*表格3_5[[#This Row],[Hourly Rate]]</f>
        <v>0</v>
      </c>
    </row>
    <row r="347" spans="1:19">
      <c r="A347" s="201">
        <v>345</v>
      </c>
      <c r="B347" s="210" t="str">
        <f>_xlfn.CONCAT(表格3_5[[#This Row],[Name]],表格3_5[[#This Row],[Location]])</f>
        <v/>
      </c>
      <c r="C347" s="211" t="str">
        <f>表格3_5[[#This Row],[Location]] &amp; 表格3_5[[#This Row],[Date]] &amp;表格3_5[[#This Row],[Nick Name]]</f>
        <v>0</v>
      </c>
      <c r="D347" s="202"/>
      <c r="E347" s="211" t="str">
        <f>DAY(表格3_5[[#This Row],[Date]])&amp;""</f>
        <v>0</v>
      </c>
      <c r="F347" s="203"/>
      <c r="G347" s="216">
        <f>_xlfn.XLOOKUP(表格3_5[[#This Row],[Name]],Name_list[Full Name],Name_list[Nick Name])</f>
        <v>0</v>
      </c>
      <c r="H347" s="207"/>
      <c r="I347" s="228"/>
      <c r="J347" s="218"/>
      <c r="K347" s="205"/>
      <c r="L347" s="210">
        <f>(表格3_5[[#This Row],[Out-Time]] - 表格3_5[[#This Row],[In-Time]])*24</f>
        <v>0</v>
      </c>
      <c r="M347" s="210">
        <f>表格3_5[[#This Row],[ Hours]]-表格3_5[[#This Row],[Normal working
 hours]]</f>
        <v>0</v>
      </c>
      <c r="N347" s="205"/>
      <c r="O347" s="205"/>
      <c r="P347" s="210">
        <f>(表格3_5[[#This Row],[Out-Time2]] - 表格3_5[[#This Row],[In-Time2]])*24</f>
        <v>0</v>
      </c>
      <c r="Q347" s="205"/>
      <c r="R347" s="214">
        <f>_xlfn.XLOOKUP(表格3_5[[#This Row],[Name]],Name_list[Full Name],Name_list[Hourr Rate])</f>
        <v>0</v>
      </c>
      <c r="S347" s="210">
        <f>表格3_5[[#This Row],[Hours Worked]]*表格3_5[[#This Row],[Hourly Rate]]</f>
        <v>0</v>
      </c>
    </row>
    <row r="348" spans="1:19">
      <c r="A348" s="201">
        <v>346</v>
      </c>
      <c r="B348" s="210" t="str">
        <f>_xlfn.CONCAT(表格3_5[[#This Row],[Name]],表格3_5[[#This Row],[Location]])</f>
        <v/>
      </c>
      <c r="C348" s="211" t="str">
        <f>表格3_5[[#This Row],[Location]] &amp; 表格3_5[[#This Row],[Date]] &amp;表格3_5[[#This Row],[Nick Name]]</f>
        <v>0</v>
      </c>
      <c r="D348" s="202"/>
      <c r="E348" s="211" t="str">
        <f>DAY(表格3_5[[#This Row],[Date]])&amp;""</f>
        <v>0</v>
      </c>
      <c r="F348" s="203"/>
      <c r="G348" s="216">
        <f>_xlfn.XLOOKUP(表格3_5[[#This Row],[Name]],Name_list[Full Name],Name_list[Nick Name])</f>
        <v>0</v>
      </c>
      <c r="H348" s="207"/>
      <c r="I348" s="228"/>
      <c r="J348" s="218"/>
      <c r="K348" s="205"/>
      <c r="L348" s="210">
        <f>(表格3_5[[#This Row],[Out-Time]] - 表格3_5[[#This Row],[In-Time]])*24</f>
        <v>0</v>
      </c>
      <c r="M348" s="210">
        <f>表格3_5[[#This Row],[ Hours]]-表格3_5[[#This Row],[Normal working
 hours]]</f>
        <v>0</v>
      </c>
      <c r="N348" s="205"/>
      <c r="O348" s="205"/>
      <c r="P348" s="210">
        <f>(表格3_5[[#This Row],[Out-Time2]] - 表格3_5[[#This Row],[In-Time2]])*24</f>
        <v>0</v>
      </c>
      <c r="Q348" s="205"/>
      <c r="R348" s="214">
        <f>_xlfn.XLOOKUP(表格3_5[[#This Row],[Name]],Name_list[Full Name],Name_list[Hourr Rate])</f>
        <v>0</v>
      </c>
      <c r="S348" s="210">
        <f>表格3_5[[#This Row],[Hours Worked]]*表格3_5[[#This Row],[Hourly Rate]]</f>
        <v>0</v>
      </c>
    </row>
    <row r="349" spans="1:19">
      <c r="A349" s="201">
        <v>347</v>
      </c>
      <c r="B349" s="210" t="str">
        <f>_xlfn.CONCAT(表格3_5[[#This Row],[Name]],表格3_5[[#This Row],[Location]])</f>
        <v/>
      </c>
      <c r="C349" s="211" t="str">
        <f>表格3_5[[#This Row],[Location]] &amp; 表格3_5[[#This Row],[Date]] &amp;表格3_5[[#This Row],[Nick Name]]</f>
        <v>0</v>
      </c>
      <c r="D349" s="202"/>
      <c r="E349" s="211" t="str">
        <f>DAY(表格3_5[[#This Row],[Date]])&amp;""</f>
        <v>0</v>
      </c>
      <c r="F349" s="203"/>
      <c r="G349" s="216">
        <f>_xlfn.XLOOKUP(表格3_5[[#This Row],[Name]],Name_list[Full Name],Name_list[Nick Name])</f>
        <v>0</v>
      </c>
      <c r="H349" s="207"/>
      <c r="I349" s="228"/>
      <c r="J349" s="218"/>
      <c r="K349" s="205"/>
      <c r="L349" s="210">
        <f>(表格3_5[[#This Row],[Out-Time]] - 表格3_5[[#This Row],[In-Time]])*24</f>
        <v>0</v>
      </c>
      <c r="M349" s="210">
        <f>表格3_5[[#This Row],[ Hours]]-表格3_5[[#This Row],[Normal working
 hours]]</f>
        <v>0</v>
      </c>
      <c r="N349" s="205"/>
      <c r="O349" s="205"/>
      <c r="P349" s="210">
        <f>(表格3_5[[#This Row],[Out-Time2]] - 表格3_5[[#This Row],[In-Time2]])*24</f>
        <v>0</v>
      </c>
      <c r="Q349" s="205"/>
      <c r="R349" s="214">
        <f>_xlfn.XLOOKUP(表格3_5[[#This Row],[Name]],Name_list[Full Name],Name_list[Hourr Rate])</f>
        <v>0</v>
      </c>
      <c r="S349" s="210">
        <f>表格3_5[[#This Row],[Hours Worked]]*表格3_5[[#This Row],[Hourly Rate]]</f>
        <v>0</v>
      </c>
    </row>
    <row r="350" spans="1:19">
      <c r="A350" s="201">
        <v>348</v>
      </c>
      <c r="B350" s="210" t="str">
        <f>_xlfn.CONCAT(表格3_5[[#This Row],[Name]],表格3_5[[#This Row],[Location]])</f>
        <v/>
      </c>
      <c r="C350" s="211" t="str">
        <f>表格3_5[[#This Row],[Location]] &amp; 表格3_5[[#This Row],[Date]] &amp;表格3_5[[#This Row],[Nick Name]]</f>
        <v>0</v>
      </c>
      <c r="D350" s="202"/>
      <c r="E350" s="211" t="str">
        <f>DAY(表格3_5[[#This Row],[Date]])&amp;""</f>
        <v>0</v>
      </c>
      <c r="F350" s="203"/>
      <c r="G350" s="216">
        <f>_xlfn.XLOOKUP(表格3_5[[#This Row],[Name]],Name_list[Full Name],Name_list[Nick Name])</f>
        <v>0</v>
      </c>
      <c r="H350" s="207"/>
      <c r="I350" s="228"/>
      <c r="J350" s="218"/>
      <c r="K350" s="205"/>
      <c r="L350" s="210">
        <f>(表格3_5[[#This Row],[Out-Time]] - 表格3_5[[#This Row],[In-Time]])*24</f>
        <v>0</v>
      </c>
      <c r="M350" s="210">
        <f>表格3_5[[#This Row],[ Hours]]-表格3_5[[#This Row],[Normal working
 hours]]</f>
        <v>0</v>
      </c>
      <c r="N350" s="205"/>
      <c r="O350" s="205"/>
      <c r="P350" s="210">
        <f>(表格3_5[[#This Row],[Out-Time2]] - 表格3_5[[#This Row],[In-Time2]])*24</f>
        <v>0</v>
      </c>
      <c r="Q350" s="205"/>
      <c r="R350" s="214">
        <f>_xlfn.XLOOKUP(表格3_5[[#This Row],[Name]],Name_list[Full Name],Name_list[Hourr Rate])</f>
        <v>0</v>
      </c>
      <c r="S350" s="210">
        <f>表格3_5[[#This Row],[Hours Worked]]*表格3_5[[#This Row],[Hourly Rate]]</f>
        <v>0</v>
      </c>
    </row>
    <row r="351" spans="1:19">
      <c r="A351" s="201">
        <v>349</v>
      </c>
      <c r="B351" s="210" t="str">
        <f>_xlfn.CONCAT(表格3_5[[#This Row],[Name]],表格3_5[[#This Row],[Location]])</f>
        <v/>
      </c>
      <c r="C351" s="211" t="str">
        <f>表格3_5[[#This Row],[Location]] &amp; 表格3_5[[#This Row],[Date]] &amp;表格3_5[[#This Row],[Nick Name]]</f>
        <v>0</v>
      </c>
      <c r="D351" s="202"/>
      <c r="E351" s="211" t="str">
        <f>DAY(表格3_5[[#This Row],[Date]])&amp;""</f>
        <v>0</v>
      </c>
      <c r="F351" s="203"/>
      <c r="G351" s="216">
        <f>_xlfn.XLOOKUP(表格3_5[[#This Row],[Name]],Name_list[Full Name],Name_list[Nick Name])</f>
        <v>0</v>
      </c>
      <c r="H351" s="207"/>
      <c r="I351" s="228"/>
      <c r="J351" s="218"/>
      <c r="K351" s="205"/>
      <c r="L351" s="210">
        <f>(表格3_5[[#This Row],[Out-Time]] - 表格3_5[[#This Row],[In-Time]])*24</f>
        <v>0</v>
      </c>
      <c r="M351" s="210">
        <f>表格3_5[[#This Row],[ Hours]]-表格3_5[[#This Row],[Normal working
 hours]]</f>
        <v>0</v>
      </c>
      <c r="N351" s="205"/>
      <c r="O351" s="205"/>
      <c r="P351" s="210">
        <f>(表格3_5[[#This Row],[Out-Time2]] - 表格3_5[[#This Row],[In-Time2]])*24</f>
        <v>0</v>
      </c>
      <c r="Q351" s="205"/>
      <c r="R351" s="214">
        <f>_xlfn.XLOOKUP(表格3_5[[#This Row],[Name]],Name_list[Full Name],Name_list[Hourr Rate])</f>
        <v>0</v>
      </c>
      <c r="S351" s="210">
        <f>表格3_5[[#This Row],[Hours Worked]]*表格3_5[[#This Row],[Hourly Rate]]</f>
        <v>0</v>
      </c>
    </row>
    <row r="352" spans="1:19">
      <c r="A352" s="201">
        <v>350</v>
      </c>
      <c r="B352" s="210" t="str">
        <f>_xlfn.CONCAT(表格3_5[[#This Row],[Name]],表格3_5[[#This Row],[Location]])</f>
        <v/>
      </c>
      <c r="C352" s="211" t="str">
        <f>表格3_5[[#This Row],[Location]] &amp; 表格3_5[[#This Row],[Date]] &amp;表格3_5[[#This Row],[Nick Name]]</f>
        <v>0</v>
      </c>
      <c r="D352" s="202"/>
      <c r="E352" s="211" t="str">
        <f>DAY(表格3_5[[#This Row],[Date]])&amp;""</f>
        <v>0</v>
      </c>
      <c r="F352" s="203"/>
      <c r="G352" s="216">
        <f>_xlfn.XLOOKUP(表格3_5[[#This Row],[Name]],Name_list[Full Name],Name_list[Nick Name])</f>
        <v>0</v>
      </c>
      <c r="H352" s="207"/>
      <c r="I352" s="228"/>
      <c r="J352" s="218"/>
      <c r="K352" s="205"/>
      <c r="L352" s="210">
        <f>(表格3_5[[#This Row],[Out-Time]] - 表格3_5[[#This Row],[In-Time]])*24</f>
        <v>0</v>
      </c>
      <c r="M352" s="210">
        <f>表格3_5[[#This Row],[ Hours]]-表格3_5[[#This Row],[Normal working
 hours]]</f>
        <v>0</v>
      </c>
      <c r="N352" s="205"/>
      <c r="O352" s="205"/>
      <c r="P352" s="210">
        <f>(表格3_5[[#This Row],[Out-Time2]] - 表格3_5[[#This Row],[In-Time2]])*24</f>
        <v>0</v>
      </c>
      <c r="Q352" s="205"/>
      <c r="R352" s="214">
        <f>_xlfn.XLOOKUP(表格3_5[[#This Row],[Name]],Name_list[Full Name],Name_list[Hourr Rate])</f>
        <v>0</v>
      </c>
      <c r="S352" s="210">
        <f>表格3_5[[#This Row],[Hours Worked]]*表格3_5[[#This Row],[Hourly Rate]]</f>
        <v>0</v>
      </c>
    </row>
    <row r="353" spans="1:19">
      <c r="A353" s="201">
        <v>351</v>
      </c>
      <c r="B353" s="210" t="str">
        <f>_xlfn.CONCAT(表格3_5[[#This Row],[Name]],表格3_5[[#This Row],[Location]])</f>
        <v/>
      </c>
      <c r="C353" s="211" t="str">
        <f>表格3_5[[#This Row],[Location]] &amp; 表格3_5[[#This Row],[Date]] &amp;表格3_5[[#This Row],[Nick Name]]</f>
        <v>0</v>
      </c>
      <c r="D353" s="202"/>
      <c r="E353" s="211" t="str">
        <f>DAY(表格3_5[[#This Row],[Date]])&amp;""</f>
        <v>0</v>
      </c>
      <c r="F353" s="203"/>
      <c r="G353" s="216">
        <f>_xlfn.XLOOKUP(表格3_5[[#This Row],[Name]],Name_list[Full Name],Name_list[Nick Name])</f>
        <v>0</v>
      </c>
      <c r="H353" s="207"/>
      <c r="I353" s="228"/>
      <c r="J353" s="218"/>
      <c r="K353" s="205"/>
      <c r="L353" s="210">
        <f>(表格3_5[[#This Row],[Out-Time]] - 表格3_5[[#This Row],[In-Time]])*24</f>
        <v>0</v>
      </c>
      <c r="M353" s="210">
        <f>表格3_5[[#This Row],[ Hours]]-表格3_5[[#This Row],[Normal working
 hours]]</f>
        <v>0</v>
      </c>
      <c r="N353" s="205"/>
      <c r="O353" s="205"/>
      <c r="P353" s="210">
        <f>(表格3_5[[#This Row],[Out-Time2]] - 表格3_5[[#This Row],[In-Time2]])*24</f>
        <v>0</v>
      </c>
      <c r="Q353" s="205"/>
      <c r="R353" s="214">
        <f>_xlfn.XLOOKUP(表格3_5[[#This Row],[Name]],Name_list[Full Name],Name_list[Hourr Rate])</f>
        <v>0</v>
      </c>
      <c r="S353" s="210">
        <f>表格3_5[[#This Row],[Hours Worked]]*表格3_5[[#This Row],[Hourly Rate]]</f>
        <v>0</v>
      </c>
    </row>
    <row r="354" spans="1:19">
      <c r="A354" s="201">
        <v>352</v>
      </c>
      <c r="B354" s="210" t="str">
        <f>_xlfn.CONCAT(表格3_5[[#This Row],[Name]],表格3_5[[#This Row],[Location]])</f>
        <v/>
      </c>
      <c r="C354" s="211" t="str">
        <f>表格3_5[[#This Row],[Location]] &amp; 表格3_5[[#This Row],[Date]] &amp;表格3_5[[#This Row],[Nick Name]]</f>
        <v>0</v>
      </c>
      <c r="D354" s="202"/>
      <c r="E354" s="211" t="str">
        <f>DAY(表格3_5[[#This Row],[Date]])&amp;""</f>
        <v>0</v>
      </c>
      <c r="F354" s="203"/>
      <c r="G354" s="216">
        <f>_xlfn.XLOOKUP(表格3_5[[#This Row],[Name]],Name_list[Full Name],Name_list[Nick Name])</f>
        <v>0</v>
      </c>
      <c r="H354" s="207"/>
      <c r="I354" s="228"/>
      <c r="J354" s="218"/>
      <c r="K354" s="205"/>
      <c r="L354" s="210">
        <f>(表格3_5[[#This Row],[Out-Time]] - 表格3_5[[#This Row],[In-Time]])*24</f>
        <v>0</v>
      </c>
      <c r="M354" s="210">
        <f>表格3_5[[#This Row],[ Hours]]-表格3_5[[#This Row],[Normal working
 hours]]</f>
        <v>0</v>
      </c>
      <c r="N354" s="205"/>
      <c r="O354" s="205"/>
      <c r="P354" s="210">
        <f>(表格3_5[[#This Row],[Out-Time2]] - 表格3_5[[#This Row],[In-Time2]])*24</f>
        <v>0</v>
      </c>
      <c r="Q354" s="205"/>
      <c r="R354" s="214">
        <f>_xlfn.XLOOKUP(表格3_5[[#This Row],[Name]],Name_list[Full Name],Name_list[Hourr Rate])</f>
        <v>0</v>
      </c>
      <c r="S354" s="210">
        <f>表格3_5[[#This Row],[Hours Worked]]*表格3_5[[#This Row],[Hourly Rate]]</f>
        <v>0</v>
      </c>
    </row>
    <row r="355" spans="1:19">
      <c r="A355" s="201">
        <v>353</v>
      </c>
      <c r="B355" s="210" t="str">
        <f>_xlfn.CONCAT(表格3_5[[#This Row],[Name]],表格3_5[[#This Row],[Location]])</f>
        <v/>
      </c>
      <c r="C355" s="211" t="str">
        <f>表格3_5[[#This Row],[Location]] &amp; 表格3_5[[#This Row],[Date]] &amp;表格3_5[[#This Row],[Nick Name]]</f>
        <v>0</v>
      </c>
      <c r="D355" s="202"/>
      <c r="E355" s="211" t="str">
        <f>DAY(表格3_5[[#This Row],[Date]])&amp;""</f>
        <v>0</v>
      </c>
      <c r="F355" s="203"/>
      <c r="G355" s="216">
        <f>_xlfn.XLOOKUP(表格3_5[[#This Row],[Name]],Name_list[Full Name],Name_list[Nick Name])</f>
        <v>0</v>
      </c>
      <c r="H355" s="207"/>
      <c r="I355" s="228"/>
      <c r="J355" s="218"/>
      <c r="K355" s="205"/>
      <c r="L355" s="210">
        <f>(表格3_5[[#This Row],[Out-Time]] - 表格3_5[[#This Row],[In-Time]])*24</f>
        <v>0</v>
      </c>
      <c r="M355" s="210">
        <f>表格3_5[[#This Row],[ Hours]]-表格3_5[[#This Row],[Normal working
 hours]]</f>
        <v>0</v>
      </c>
      <c r="N355" s="205"/>
      <c r="O355" s="205"/>
      <c r="P355" s="210">
        <f>(表格3_5[[#This Row],[Out-Time2]] - 表格3_5[[#This Row],[In-Time2]])*24</f>
        <v>0</v>
      </c>
      <c r="Q355" s="205"/>
      <c r="R355" s="214">
        <f>_xlfn.XLOOKUP(表格3_5[[#This Row],[Name]],Name_list[Full Name],Name_list[Hourr Rate])</f>
        <v>0</v>
      </c>
      <c r="S355" s="210">
        <f>表格3_5[[#This Row],[Hours Worked]]*表格3_5[[#This Row],[Hourly Rate]]</f>
        <v>0</v>
      </c>
    </row>
    <row r="356" spans="1:19">
      <c r="A356" s="201">
        <v>354</v>
      </c>
      <c r="B356" s="210" t="str">
        <f>_xlfn.CONCAT(表格3_5[[#This Row],[Name]],表格3_5[[#This Row],[Location]])</f>
        <v/>
      </c>
      <c r="C356" s="211" t="str">
        <f>表格3_5[[#This Row],[Location]] &amp; 表格3_5[[#This Row],[Date]] &amp;表格3_5[[#This Row],[Nick Name]]</f>
        <v>0</v>
      </c>
      <c r="D356" s="202"/>
      <c r="E356" s="211" t="str">
        <f>DAY(表格3_5[[#This Row],[Date]])&amp;""</f>
        <v>0</v>
      </c>
      <c r="F356" s="203"/>
      <c r="G356" s="216">
        <f>_xlfn.XLOOKUP(表格3_5[[#This Row],[Name]],Name_list[Full Name],Name_list[Nick Name])</f>
        <v>0</v>
      </c>
      <c r="H356" s="207"/>
      <c r="I356" s="228"/>
      <c r="J356" s="218"/>
      <c r="K356" s="205"/>
      <c r="L356" s="210">
        <f>(表格3_5[[#This Row],[Out-Time]] - 表格3_5[[#This Row],[In-Time]])*24</f>
        <v>0</v>
      </c>
      <c r="M356" s="210">
        <f>表格3_5[[#This Row],[ Hours]]-表格3_5[[#This Row],[Normal working
 hours]]</f>
        <v>0</v>
      </c>
      <c r="N356" s="205"/>
      <c r="O356" s="205"/>
      <c r="P356" s="210">
        <f>(表格3_5[[#This Row],[Out-Time2]] - 表格3_5[[#This Row],[In-Time2]])*24</f>
        <v>0</v>
      </c>
      <c r="Q356" s="205"/>
      <c r="R356" s="214">
        <f>_xlfn.XLOOKUP(表格3_5[[#This Row],[Name]],Name_list[Full Name],Name_list[Hourr Rate])</f>
        <v>0</v>
      </c>
      <c r="S356" s="210">
        <f>表格3_5[[#This Row],[Hours Worked]]*表格3_5[[#This Row],[Hourly Rate]]</f>
        <v>0</v>
      </c>
    </row>
    <row r="357" spans="1:19">
      <c r="A357" s="201">
        <v>355</v>
      </c>
      <c r="B357" s="210" t="str">
        <f>_xlfn.CONCAT(表格3_5[[#This Row],[Name]],表格3_5[[#This Row],[Location]])</f>
        <v/>
      </c>
      <c r="C357" s="211" t="str">
        <f>表格3_5[[#This Row],[Location]] &amp; 表格3_5[[#This Row],[Date]] &amp;表格3_5[[#This Row],[Nick Name]]</f>
        <v>0</v>
      </c>
      <c r="D357" s="202"/>
      <c r="E357" s="211" t="str">
        <f>DAY(表格3_5[[#This Row],[Date]])&amp;""</f>
        <v>0</v>
      </c>
      <c r="F357" s="203"/>
      <c r="G357" s="216">
        <f>_xlfn.XLOOKUP(表格3_5[[#This Row],[Name]],Name_list[Full Name],Name_list[Nick Name])</f>
        <v>0</v>
      </c>
      <c r="H357" s="207"/>
      <c r="I357" s="228"/>
      <c r="J357" s="218"/>
      <c r="K357" s="205"/>
      <c r="L357" s="210">
        <f>(表格3_5[[#This Row],[Out-Time]] - 表格3_5[[#This Row],[In-Time]])*24</f>
        <v>0</v>
      </c>
      <c r="M357" s="210">
        <f>表格3_5[[#This Row],[ Hours]]-表格3_5[[#This Row],[Normal working
 hours]]</f>
        <v>0</v>
      </c>
      <c r="N357" s="205"/>
      <c r="O357" s="205"/>
      <c r="P357" s="210">
        <f>(表格3_5[[#This Row],[Out-Time2]] - 表格3_5[[#This Row],[In-Time2]])*24</f>
        <v>0</v>
      </c>
      <c r="Q357" s="205"/>
      <c r="R357" s="214">
        <f>_xlfn.XLOOKUP(表格3_5[[#This Row],[Name]],Name_list[Full Name],Name_list[Hourr Rate])</f>
        <v>0</v>
      </c>
      <c r="S357" s="210">
        <f>表格3_5[[#This Row],[Hours Worked]]*表格3_5[[#This Row],[Hourly Rate]]</f>
        <v>0</v>
      </c>
    </row>
    <row r="358" spans="1:19">
      <c r="A358" s="201">
        <v>356</v>
      </c>
      <c r="B358" s="210" t="str">
        <f>_xlfn.CONCAT(表格3_5[[#This Row],[Name]],表格3_5[[#This Row],[Location]])</f>
        <v/>
      </c>
      <c r="C358" s="211" t="str">
        <f>表格3_5[[#This Row],[Location]] &amp; 表格3_5[[#This Row],[Date]] &amp;表格3_5[[#This Row],[Nick Name]]</f>
        <v>0</v>
      </c>
      <c r="D358" s="202"/>
      <c r="E358" s="211" t="str">
        <f>DAY(表格3_5[[#This Row],[Date]])&amp;""</f>
        <v>0</v>
      </c>
      <c r="F358" s="203"/>
      <c r="G358" s="216">
        <f>_xlfn.XLOOKUP(表格3_5[[#This Row],[Name]],Name_list[Full Name],Name_list[Nick Name])</f>
        <v>0</v>
      </c>
      <c r="H358" s="207"/>
      <c r="I358" s="228"/>
      <c r="J358" s="218"/>
      <c r="K358" s="205"/>
      <c r="L358" s="210">
        <f>(表格3_5[[#This Row],[Out-Time]] - 表格3_5[[#This Row],[In-Time]])*24</f>
        <v>0</v>
      </c>
      <c r="M358" s="210">
        <f>表格3_5[[#This Row],[ Hours]]-表格3_5[[#This Row],[Normal working
 hours]]</f>
        <v>0</v>
      </c>
      <c r="N358" s="205"/>
      <c r="O358" s="205"/>
      <c r="P358" s="210">
        <f>(表格3_5[[#This Row],[Out-Time2]] - 表格3_5[[#This Row],[In-Time2]])*24</f>
        <v>0</v>
      </c>
      <c r="Q358" s="205"/>
      <c r="R358" s="214">
        <f>_xlfn.XLOOKUP(表格3_5[[#This Row],[Name]],Name_list[Full Name],Name_list[Hourr Rate])</f>
        <v>0</v>
      </c>
      <c r="S358" s="210">
        <f>表格3_5[[#This Row],[Hours Worked]]*表格3_5[[#This Row],[Hourly Rate]]</f>
        <v>0</v>
      </c>
    </row>
    <row r="359" spans="1:19">
      <c r="A359" s="201">
        <v>357</v>
      </c>
      <c r="B359" s="210" t="str">
        <f>_xlfn.CONCAT(表格3_5[[#This Row],[Name]],表格3_5[[#This Row],[Location]])</f>
        <v/>
      </c>
      <c r="C359" s="211" t="str">
        <f>表格3_5[[#This Row],[Location]] &amp; 表格3_5[[#This Row],[Date]] &amp;表格3_5[[#This Row],[Nick Name]]</f>
        <v>0</v>
      </c>
      <c r="D359" s="202"/>
      <c r="E359" s="211" t="str">
        <f>DAY(表格3_5[[#This Row],[Date]])&amp;""</f>
        <v>0</v>
      </c>
      <c r="F359" s="203"/>
      <c r="G359" s="216">
        <f>_xlfn.XLOOKUP(表格3_5[[#This Row],[Name]],Name_list[Full Name],Name_list[Nick Name])</f>
        <v>0</v>
      </c>
      <c r="H359" s="207"/>
      <c r="I359" s="228"/>
      <c r="J359" s="218"/>
      <c r="K359" s="205"/>
      <c r="L359" s="210">
        <f>(表格3_5[[#This Row],[Out-Time]] - 表格3_5[[#This Row],[In-Time]])*24</f>
        <v>0</v>
      </c>
      <c r="M359" s="210">
        <f>表格3_5[[#This Row],[ Hours]]-表格3_5[[#This Row],[Normal working
 hours]]</f>
        <v>0</v>
      </c>
      <c r="N359" s="205"/>
      <c r="O359" s="205"/>
      <c r="P359" s="210">
        <f>(表格3_5[[#This Row],[Out-Time2]] - 表格3_5[[#This Row],[In-Time2]])*24</f>
        <v>0</v>
      </c>
      <c r="Q359" s="205"/>
      <c r="R359" s="214">
        <f>_xlfn.XLOOKUP(表格3_5[[#This Row],[Name]],Name_list[Full Name],Name_list[Hourr Rate])</f>
        <v>0</v>
      </c>
      <c r="S359" s="210">
        <f>表格3_5[[#This Row],[Hours Worked]]*表格3_5[[#This Row],[Hourly Rate]]</f>
        <v>0</v>
      </c>
    </row>
    <row r="360" spans="1:19">
      <c r="A360" s="201">
        <v>358</v>
      </c>
      <c r="B360" s="210" t="str">
        <f>_xlfn.CONCAT(表格3_5[[#This Row],[Name]],表格3_5[[#This Row],[Location]])</f>
        <v/>
      </c>
      <c r="C360" s="211" t="str">
        <f>表格3_5[[#This Row],[Location]] &amp; 表格3_5[[#This Row],[Date]] &amp;表格3_5[[#This Row],[Nick Name]]</f>
        <v>0</v>
      </c>
      <c r="D360" s="202"/>
      <c r="E360" s="211" t="str">
        <f>DAY(表格3_5[[#This Row],[Date]])&amp;""</f>
        <v>0</v>
      </c>
      <c r="F360" s="203"/>
      <c r="G360" s="216">
        <f>_xlfn.XLOOKUP(表格3_5[[#This Row],[Name]],Name_list[Full Name],Name_list[Nick Name])</f>
        <v>0</v>
      </c>
      <c r="H360" s="207"/>
      <c r="I360" s="228"/>
      <c r="J360" s="218"/>
      <c r="K360" s="205"/>
      <c r="L360" s="210">
        <f>(表格3_5[[#This Row],[Out-Time]] - 表格3_5[[#This Row],[In-Time]])*24</f>
        <v>0</v>
      </c>
      <c r="M360" s="210">
        <f>表格3_5[[#This Row],[ Hours]]-表格3_5[[#This Row],[Normal working
 hours]]</f>
        <v>0</v>
      </c>
      <c r="N360" s="205"/>
      <c r="O360" s="205"/>
      <c r="P360" s="210">
        <f>(表格3_5[[#This Row],[Out-Time2]] - 表格3_5[[#This Row],[In-Time2]])*24</f>
        <v>0</v>
      </c>
      <c r="Q360" s="205"/>
      <c r="R360" s="214">
        <f>_xlfn.XLOOKUP(表格3_5[[#This Row],[Name]],Name_list[Full Name],Name_list[Hourr Rate])</f>
        <v>0</v>
      </c>
      <c r="S360" s="210">
        <f>表格3_5[[#This Row],[Hours Worked]]*表格3_5[[#This Row],[Hourly Rate]]</f>
        <v>0</v>
      </c>
    </row>
    <row r="361" spans="1:19">
      <c r="A361" s="201">
        <v>359</v>
      </c>
      <c r="B361" s="210" t="str">
        <f>_xlfn.CONCAT(表格3_5[[#This Row],[Name]],表格3_5[[#This Row],[Location]])</f>
        <v/>
      </c>
      <c r="C361" s="211" t="str">
        <f>表格3_5[[#This Row],[Location]] &amp; 表格3_5[[#This Row],[Date]] &amp;表格3_5[[#This Row],[Nick Name]]</f>
        <v>0</v>
      </c>
      <c r="D361" s="202"/>
      <c r="E361" s="211" t="str">
        <f>DAY(表格3_5[[#This Row],[Date]])&amp;""</f>
        <v>0</v>
      </c>
      <c r="F361" s="203"/>
      <c r="G361" s="216">
        <f>_xlfn.XLOOKUP(表格3_5[[#This Row],[Name]],Name_list[Full Name],Name_list[Nick Name])</f>
        <v>0</v>
      </c>
      <c r="H361" s="207"/>
      <c r="I361" s="228"/>
      <c r="J361" s="218"/>
      <c r="K361" s="205"/>
      <c r="L361" s="210">
        <f>(表格3_5[[#This Row],[Out-Time]] - 表格3_5[[#This Row],[In-Time]])*24</f>
        <v>0</v>
      </c>
      <c r="M361" s="210">
        <f>表格3_5[[#This Row],[ Hours]]-表格3_5[[#This Row],[Normal working
 hours]]</f>
        <v>0</v>
      </c>
      <c r="N361" s="205"/>
      <c r="O361" s="205"/>
      <c r="P361" s="210">
        <f>(表格3_5[[#This Row],[Out-Time2]] - 表格3_5[[#This Row],[In-Time2]])*24</f>
        <v>0</v>
      </c>
      <c r="Q361" s="205"/>
      <c r="R361" s="214">
        <f>_xlfn.XLOOKUP(表格3_5[[#This Row],[Name]],Name_list[Full Name],Name_list[Hourr Rate])</f>
        <v>0</v>
      </c>
      <c r="S361" s="210">
        <f>表格3_5[[#This Row],[Hours Worked]]*表格3_5[[#This Row],[Hourly Rate]]</f>
        <v>0</v>
      </c>
    </row>
    <row r="362" spans="1:19">
      <c r="A362" s="201">
        <v>360</v>
      </c>
      <c r="B362" s="210" t="str">
        <f>_xlfn.CONCAT(表格3_5[[#This Row],[Name]],表格3_5[[#This Row],[Location]])</f>
        <v/>
      </c>
      <c r="C362" s="211" t="str">
        <f>表格3_5[[#This Row],[Location]] &amp; 表格3_5[[#This Row],[Date]] &amp;表格3_5[[#This Row],[Nick Name]]</f>
        <v>0</v>
      </c>
      <c r="D362" s="202"/>
      <c r="E362" s="211" t="str">
        <f>DAY(表格3_5[[#This Row],[Date]])&amp;""</f>
        <v>0</v>
      </c>
      <c r="F362" s="203"/>
      <c r="G362" s="216">
        <f>_xlfn.XLOOKUP(表格3_5[[#This Row],[Name]],Name_list[Full Name],Name_list[Nick Name])</f>
        <v>0</v>
      </c>
      <c r="H362" s="207"/>
      <c r="I362" s="228"/>
      <c r="J362" s="218"/>
      <c r="K362" s="205"/>
      <c r="L362" s="210">
        <f>(表格3_5[[#This Row],[Out-Time]] - 表格3_5[[#This Row],[In-Time]])*24</f>
        <v>0</v>
      </c>
      <c r="M362" s="210">
        <f>表格3_5[[#This Row],[ Hours]]-表格3_5[[#This Row],[Normal working
 hours]]</f>
        <v>0</v>
      </c>
      <c r="N362" s="205"/>
      <c r="O362" s="205"/>
      <c r="P362" s="210">
        <f>(表格3_5[[#This Row],[Out-Time2]] - 表格3_5[[#This Row],[In-Time2]])*24</f>
        <v>0</v>
      </c>
      <c r="Q362" s="205"/>
      <c r="R362" s="214">
        <f>_xlfn.XLOOKUP(表格3_5[[#This Row],[Name]],Name_list[Full Name],Name_list[Hourr Rate])</f>
        <v>0</v>
      </c>
      <c r="S362" s="210">
        <f>表格3_5[[#This Row],[Hours Worked]]*表格3_5[[#This Row],[Hourly Rate]]</f>
        <v>0</v>
      </c>
    </row>
    <row r="363" spans="1:19">
      <c r="A363" s="201">
        <v>361</v>
      </c>
      <c r="B363" s="210" t="str">
        <f>_xlfn.CONCAT(表格3_5[[#This Row],[Name]],表格3_5[[#This Row],[Location]])</f>
        <v/>
      </c>
      <c r="C363" s="211" t="str">
        <f>表格3_5[[#This Row],[Location]] &amp; 表格3_5[[#This Row],[Date]] &amp;表格3_5[[#This Row],[Nick Name]]</f>
        <v>0</v>
      </c>
      <c r="D363" s="202"/>
      <c r="E363" s="211" t="str">
        <f>DAY(表格3_5[[#This Row],[Date]])&amp;""</f>
        <v>0</v>
      </c>
      <c r="F363" s="203"/>
      <c r="G363" s="216">
        <f>_xlfn.XLOOKUP(表格3_5[[#This Row],[Name]],Name_list[Full Name],Name_list[Nick Name])</f>
        <v>0</v>
      </c>
      <c r="H363" s="207"/>
      <c r="I363" s="228"/>
      <c r="J363" s="218"/>
      <c r="K363" s="205"/>
      <c r="L363" s="210">
        <f>(表格3_5[[#This Row],[Out-Time]] - 表格3_5[[#This Row],[In-Time]])*24</f>
        <v>0</v>
      </c>
      <c r="M363" s="210">
        <f>表格3_5[[#This Row],[ Hours]]-表格3_5[[#This Row],[Normal working
 hours]]</f>
        <v>0</v>
      </c>
      <c r="N363" s="205"/>
      <c r="O363" s="205"/>
      <c r="P363" s="210">
        <f>(表格3_5[[#This Row],[Out-Time2]] - 表格3_5[[#This Row],[In-Time2]])*24</f>
        <v>0</v>
      </c>
      <c r="Q363" s="205"/>
      <c r="R363" s="214">
        <f>_xlfn.XLOOKUP(表格3_5[[#This Row],[Name]],Name_list[Full Name],Name_list[Hourr Rate])</f>
        <v>0</v>
      </c>
      <c r="S363" s="210">
        <f>表格3_5[[#This Row],[Hours Worked]]*表格3_5[[#This Row],[Hourly Rate]]</f>
        <v>0</v>
      </c>
    </row>
    <row r="364" spans="1:19">
      <c r="A364" s="201">
        <v>362</v>
      </c>
      <c r="B364" s="210" t="str">
        <f>_xlfn.CONCAT(表格3_5[[#This Row],[Name]],表格3_5[[#This Row],[Location]])</f>
        <v/>
      </c>
      <c r="C364" s="211" t="str">
        <f>表格3_5[[#This Row],[Location]] &amp; 表格3_5[[#This Row],[Date]] &amp;表格3_5[[#This Row],[Nick Name]]</f>
        <v>0</v>
      </c>
      <c r="D364" s="202"/>
      <c r="E364" s="211" t="str">
        <f>DAY(表格3_5[[#This Row],[Date]])&amp;""</f>
        <v>0</v>
      </c>
      <c r="F364" s="203"/>
      <c r="G364" s="216">
        <f>_xlfn.XLOOKUP(表格3_5[[#This Row],[Name]],Name_list[Full Name],Name_list[Nick Name])</f>
        <v>0</v>
      </c>
      <c r="H364" s="207"/>
      <c r="I364" s="228"/>
      <c r="J364" s="218"/>
      <c r="K364" s="205"/>
      <c r="L364" s="210">
        <f>(表格3_5[[#This Row],[Out-Time]] - 表格3_5[[#This Row],[In-Time]])*24</f>
        <v>0</v>
      </c>
      <c r="M364" s="210">
        <f>表格3_5[[#This Row],[ Hours]]-表格3_5[[#This Row],[Normal working
 hours]]</f>
        <v>0</v>
      </c>
      <c r="N364" s="205"/>
      <c r="O364" s="205"/>
      <c r="P364" s="210">
        <f>(表格3_5[[#This Row],[Out-Time2]] - 表格3_5[[#This Row],[In-Time2]])*24</f>
        <v>0</v>
      </c>
      <c r="Q364" s="205"/>
      <c r="R364" s="214">
        <f>_xlfn.XLOOKUP(表格3_5[[#This Row],[Name]],Name_list[Full Name],Name_list[Hourr Rate])</f>
        <v>0</v>
      </c>
      <c r="S364" s="210">
        <f>表格3_5[[#This Row],[Hours Worked]]*表格3_5[[#This Row],[Hourly Rate]]</f>
        <v>0</v>
      </c>
    </row>
    <row r="365" spans="1:19">
      <c r="A365" s="201">
        <v>363</v>
      </c>
      <c r="B365" s="210" t="str">
        <f>_xlfn.CONCAT(表格3_5[[#This Row],[Name]],表格3_5[[#This Row],[Location]])</f>
        <v/>
      </c>
      <c r="C365" s="211" t="str">
        <f>表格3_5[[#This Row],[Location]] &amp; 表格3_5[[#This Row],[Date]] &amp;表格3_5[[#This Row],[Nick Name]]</f>
        <v>0</v>
      </c>
      <c r="D365" s="202"/>
      <c r="E365" s="211" t="str">
        <f>DAY(表格3_5[[#This Row],[Date]])&amp;""</f>
        <v>0</v>
      </c>
      <c r="F365" s="203"/>
      <c r="G365" s="216">
        <f>_xlfn.XLOOKUP(表格3_5[[#This Row],[Name]],Name_list[Full Name],Name_list[Nick Name])</f>
        <v>0</v>
      </c>
      <c r="H365" s="207"/>
      <c r="I365" s="228"/>
      <c r="J365" s="218"/>
      <c r="K365" s="205"/>
      <c r="L365" s="210">
        <f>(表格3_5[[#This Row],[Out-Time]] - 表格3_5[[#This Row],[In-Time]])*24</f>
        <v>0</v>
      </c>
      <c r="M365" s="210">
        <f>表格3_5[[#This Row],[ Hours]]-表格3_5[[#This Row],[Normal working
 hours]]</f>
        <v>0</v>
      </c>
      <c r="N365" s="205"/>
      <c r="O365" s="205"/>
      <c r="P365" s="210">
        <f>(表格3_5[[#This Row],[Out-Time2]] - 表格3_5[[#This Row],[In-Time2]])*24</f>
        <v>0</v>
      </c>
      <c r="Q365" s="205"/>
      <c r="R365" s="214">
        <f>_xlfn.XLOOKUP(表格3_5[[#This Row],[Name]],Name_list[Full Name],Name_list[Hourr Rate])</f>
        <v>0</v>
      </c>
      <c r="S365" s="210">
        <f>表格3_5[[#This Row],[Hours Worked]]*表格3_5[[#This Row],[Hourly Rate]]</f>
        <v>0</v>
      </c>
    </row>
    <row r="366" spans="1:19">
      <c r="A366" s="201">
        <v>364</v>
      </c>
      <c r="B366" s="210" t="str">
        <f>_xlfn.CONCAT(表格3_5[[#This Row],[Name]],表格3_5[[#This Row],[Location]])</f>
        <v/>
      </c>
      <c r="C366" s="211" t="str">
        <f>表格3_5[[#This Row],[Location]] &amp; 表格3_5[[#This Row],[Date]] &amp;表格3_5[[#This Row],[Nick Name]]</f>
        <v>0</v>
      </c>
      <c r="D366" s="202"/>
      <c r="E366" s="211" t="str">
        <f>DAY(表格3_5[[#This Row],[Date]])&amp;""</f>
        <v>0</v>
      </c>
      <c r="F366" s="203"/>
      <c r="G366" s="216">
        <f>_xlfn.XLOOKUP(表格3_5[[#This Row],[Name]],Name_list[Full Name],Name_list[Nick Name])</f>
        <v>0</v>
      </c>
      <c r="H366" s="207"/>
      <c r="I366" s="228"/>
      <c r="J366" s="218"/>
      <c r="K366" s="205"/>
      <c r="L366" s="210">
        <f>(表格3_5[[#This Row],[Out-Time]] - 表格3_5[[#This Row],[In-Time]])*24</f>
        <v>0</v>
      </c>
      <c r="M366" s="210">
        <f>表格3_5[[#This Row],[ Hours]]-表格3_5[[#This Row],[Normal working
 hours]]</f>
        <v>0</v>
      </c>
      <c r="N366" s="205"/>
      <c r="O366" s="205"/>
      <c r="P366" s="210">
        <f>(表格3_5[[#This Row],[Out-Time2]] - 表格3_5[[#This Row],[In-Time2]])*24</f>
        <v>0</v>
      </c>
      <c r="Q366" s="205"/>
      <c r="R366" s="214">
        <f>_xlfn.XLOOKUP(表格3_5[[#This Row],[Name]],Name_list[Full Name],Name_list[Hourr Rate])</f>
        <v>0</v>
      </c>
      <c r="S366" s="210">
        <f>表格3_5[[#This Row],[Hours Worked]]*表格3_5[[#This Row],[Hourly Rate]]</f>
        <v>0</v>
      </c>
    </row>
    <row r="367" spans="1:19">
      <c r="A367" s="201">
        <v>365</v>
      </c>
      <c r="B367" s="210" t="str">
        <f>_xlfn.CONCAT(表格3_5[[#This Row],[Name]],表格3_5[[#This Row],[Location]])</f>
        <v/>
      </c>
      <c r="C367" s="211" t="str">
        <f>表格3_5[[#This Row],[Location]] &amp; 表格3_5[[#This Row],[Date]] &amp;表格3_5[[#This Row],[Nick Name]]</f>
        <v>0</v>
      </c>
      <c r="D367" s="202"/>
      <c r="E367" s="211" t="str">
        <f>DAY(表格3_5[[#This Row],[Date]])&amp;""</f>
        <v>0</v>
      </c>
      <c r="F367" s="203"/>
      <c r="G367" s="216">
        <f>_xlfn.XLOOKUP(表格3_5[[#This Row],[Name]],Name_list[Full Name],Name_list[Nick Name])</f>
        <v>0</v>
      </c>
      <c r="H367" s="207"/>
      <c r="I367" s="228"/>
      <c r="J367" s="218"/>
      <c r="K367" s="205"/>
      <c r="L367" s="210">
        <f>(表格3_5[[#This Row],[Out-Time]] - 表格3_5[[#This Row],[In-Time]])*24</f>
        <v>0</v>
      </c>
      <c r="M367" s="210">
        <f>表格3_5[[#This Row],[ Hours]]-表格3_5[[#This Row],[Normal working
 hours]]</f>
        <v>0</v>
      </c>
      <c r="N367" s="205"/>
      <c r="O367" s="205"/>
      <c r="P367" s="210">
        <f>(表格3_5[[#This Row],[Out-Time2]] - 表格3_5[[#This Row],[In-Time2]])*24</f>
        <v>0</v>
      </c>
      <c r="Q367" s="205"/>
      <c r="R367" s="214">
        <f>_xlfn.XLOOKUP(表格3_5[[#This Row],[Name]],Name_list[Full Name],Name_list[Hourr Rate])</f>
        <v>0</v>
      </c>
      <c r="S367" s="210">
        <f>表格3_5[[#This Row],[Hours Worked]]*表格3_5[[#This Row],[Hourly Rate]]</f>
        <v>0</v>
      </c>
    </row>
    <row r="368" spans="1:19">
      <c r="A368" s="201">
        <v>366</v>
      </c>
      <c r="B368" s="210" t="str">
        <f>_xlfn.CONCAT(表格3_5[[#This Row],[Name]],表格3_5[[#This Row],[Location]])</f>
        <v/>
      </c>
      <c r="C368" s="211" t="str">
        <f>表格3_5[[#This Row],[Location]] &amp; 表格3_5[[#This Row],[Date]] &amp;表格3_5[[#This Row],[Nick Name]]</f>
        <v>0</v>
      </c>
      <c r="D368" s="202"/>
      <c r="E368" s="211" t="str">
        <f>DAY(表格3_5[[#This Row],[Date]])&amp;""</f>
        <v>0</v>
      </c>
      <c r="F368" s="203"/>
      <c r="G368" s="216">
        <f>_xlfn.XLOOKUP(表格3_5[[#This Row],[Name]],Name_list[Full Name],Name_list[Nick Name])</f>
        <v>0</v>
      </c>
      <c r="H368" s="207"/>
      <c r="I368" s="228"/>
      <c r="J368" s="218"/>
      <c r="K368" s="205"/>
      <c r="L368" s="210">
        <f>(表格3_5[[#This Row],[Out-Time]] - 表格3_5[[#This Row],[In-Time]])*24</f>
        <v>0</v>
      </c>
      <c r="M368" s="210">
        <f>表格3_5[[#This Row],[ Hours]]-表格3_5[[#This Row],[Normal working
 hours]]</f>
        <v>0</v>
      </c>
      <c r="N368" s="205"/>
      <c r="O368" s="205"/>
      <c r="P368" s="210">
        <f>(表格3_5[[#This Row],[Out-Time2]] - 表格3_5[[#This Row],[In-Time2]])*24</f>
        <v>0</v>
      </c>
      <c r="Q368" s="205"/>
      <c r="R368" s="214">
        <f>_xlfn.XLOOKUP(表格3_5[[#This Row],[Name]],Name_list[Full Name],Name_list[Hourr Rate])</f>
        <v>0</v>
      </c>
      <c r="S368" s="210">
        <f>表格3_5[[#This Row],[Hours Worked]]*表格3_5[[#This Row],[Hourly Rate]]</f>
        <v>0</v>
      </c>
    </row>
    <row r="369" spans="1:19">
      <c r="A369" s="201">
        <v>367</v>
      </c>
      <c r="B369" s="210" t="str">
        <f>_xlfn.CONCAT(表格3_5[[#This Row],[Name]],表格3_5[[#This Row],[Location]])</f>
        <v/>
      </c>
      <c r="C369" s="211" t="str">
        <f>表格3_5[[#This Row],[Location]] &amp; 表格3_5[[#This Row],[Date]] &amp;表格3_5[[#This Row],[Nick Name]]</f>
        <v>0</v>
      </c>
      <c r="D369" s="202"/>
      <c r="E369" s="211" t="str">
        <f>DAY(表格3_5[[#This Row],[Date]])&amp;""</f>
        <v>0</v>
      </c>
      <c r="F369" s="203"/>
      <c r="G369" s="216">
        <f>_xlfn.XLOOKUP(表格3_5[[#This Row],[Name]],Name_list[Full Name],Name_list[Nick Name])</f>
        <v>0</v>
      </c>
      <c r="H369" s="207"/>
      <c r="I369" s="228"/>
      <c r="J369" s="218"/>
      <c r="K369" s="205"/>
      <c r="L369" s="210">
        <f>(表格3_5[[#This Row],[Out-Time]] - 表格3_5[[#This Row],[In-Time]])*24</f>
        <v>0</v>
      </c>
      <c r="M369" s="210">
        <f>表格3_5[[#This Row],[ Hours]]-表格3_5[[#This Row],[Normal working
 hours]]</f>
        <v>0</v>
      </c>
      <c r="N369" s="205"/>
      <c r="O369" s="205"/>
      <c r="P369" s="210">
        <f>(表格3_5[[#This Row],[Out-Time2]] - 表格3_5[[#This Row],[In-Time2]])*24</f>
        <v>0</v>
      </c>
      <c r="Q369" s="205"/>
      <c r="R369" s="214">
        <f>_xlfn.XLOOKUP(表格3_5[[#This Row],[Name]],Name_list[Full Name],Name_list[Hourr Rate])</f>
        <v>0</v>
      </c>
      <c r="S369" s="210">
        <f>表格3_5[[#This Row],[Hours Worked]]*表格3_5[[#This Row],[Hourly Rate]]</f>
        <v>0</v>
      </c>
    </row>
    <row r="370" spans="1:19">
      <c r="A370" s="201">
        <v>368</v>
      </c>
      <c r="B370" s="210" t="str">
        <f>_xlfn.CONCAT(表格3_5[[#This Row],[Name]],表格3_5[[#This Row],[Location]])</f>
        <v/>
      </c>
      <c r="C370" s="211" t="str">
        <f>表格3_5[[#This Row],[Location]] &amp; 表格3_5[[#This Row],[Date]] &amp;表格3_5[[#This Row],[Nick Name]]</f>
        <v>0</v>
      </c>
      <c r="D370" s="202"/>
      <c r="E370" s="211" t="str">
        <f>DAY(表格3_5[[#This Row],[Date]])&amp;""</f>
        <v>0</v>
      </c>
      <c r="F370" s="203"/>
      <c r="G370" s="216">
        <f>_xlfn.XLOOKUP(表格3_5[[#This Row],[Name]],Name_list[Full Name],Name_list[Nick Name])</f>
        <v>0</v>
      </c>
      <c r="H370" s="207"/>
      <c r="I370" s="228"/>
      <c r="J370" s="218"/>
      <c r="K370" s="205"/>
      <c r="L370" s="210">
        <f>(表格3_5[[#This Row],[Out-Time]] - 表格3_5[[#This Row],[In-Time]])*24</f>
        <v>0</v>
      </c>
      <c r="M370" s="210">
        <f>表格3_5[[#This Row],[ Hours]]-表格3_5[[#This Row],[Normal working
 hours]]</f>
        <v>0</v>
      </c>
      <c r="N370" s="205"/>
      <c r="O370" s="205"/>
      <c r="P370" s="210">
        <f>(表格3_5[[#This Row],[Out-Time2]] - 表格3_5[[#This Row],[In-Time2]])*24</f>
        <v>0</v>
      </c>
      <c r="Q370" s="205"/>
      <c r="R370" s="214">
        <f>_xlfn.XLOOKUP(表格3_5[[#This Row],[Name]],Name_list[Full Name],Name_list[Hourr Rate])</f>
        <v>0</v>
      </c>
      <c r="S370" s="210">
        <f>表格3_5[[#This Row],[Hours Worked]]*表格3_5[[#This Row],[Hourly Rate]]</f>
        <v>0</v>
      </c>
    </row>
    <row r="371" spans="1:19">
      <c r="A371" s="201">
        <v>369</v>
      </c>
      <c r="B371" s="210" t="str">
        <f>_xlfn.CONCAT(表格3_5[[#This Row],[Name]],表格3_5[[#This Row],[Location]])</f>
        <v/>
      </c>
      <c r="C371" s="211" t="str">
        <f>表格3_5[[#This Row],[Location]] &amp; 表格3_5[[#This Row],[Date]] &amp;表格3_5[[#This Row],[Nick Name]]</f>
        <v>0</v>
      </c>
      <c r="D371" s="202"/>
      <c r="E371" s="211" t="str">
        <f>DAY(表格3_5[[#This Row],[Date]])&amp;""</f>
        <v>0</v>
      </c>
      <c r="F371" s="203"/>
      <c r="G371" s="216">
        <f>_xlfn.XLOOKUP(表格3_5[[#This Row],[Name]],Name_list[Full Name],Name_list[Nick Name])</f>
        <v>0</v>
      </c>
      <c r="H371" s="207"/>
      <c r="I371" s="228"/>
      <c r="J371" s="218"/>
      <c r="K371" s="205"/>
      <c r="L371" s="210">
        <f>(表格3_5[[#This Row],[Out-Time]] - 表格3_5[[#This Row],[In-Time]])*24</f>
        <v>0</v>
      </c>
      <c r="M371" s="210">
        <f>表格3_5[[#This Row],[ Hours]]-表格3_5[[#This Row],[Normal working
 hours]]</f>
        <v>0</v>
      </c>
      <c r="N371" s="205"/>
      <c r="O371" s="205"/>
      <c r="P371" s="210">
        <f>(表格3_5[[#This Row],[Out-Time2]] - 表格3_5[[#This Row],[In-Time2]])*24</f>
        <v>0</v>
      </c>
      <c r="Q371" s="205"/>
      <c r="R371" s="214">
        <f>_xlfn.XLOOKUP(表格3_5[[#This Row],[Name]],Name_list[Full Name],Name_list[Hourr Rate])</f>
        <v>0</v>
      </c>
      <c r="S371" s="210">
        <f>表格3_5[[#This Row],[Hours Worked]]*表格3_5[[#This Row],[Hourly Rate]]</f>
        <v>0</v>
      </c>
    </row>
    <row r="372" spans="1:19">
      <c r="A372" s="201">
        <v>370</v>
      </c>
      <c r="B372" s="210" t="str">
        <f>_xlfn.CONCAT(表格3_5[[#This Row],[Name]],表格3_5[[#This Row],[Location]])</f>
        <v/>
      </c>
      <c r="C372" s="211" t="str">
        <f>表格3_5[[#This Row],[Location]] &amp; 表格3_5[[#This Row],[Date]] &amp;表格3_5[[#This Row],[Nick Name]]</f>
        <v>0</v>
      </c>
      <c r="D372" s="202"/>
      <c r="E372" s="211" t="str">
        <f>DAY(表格3_5[[#This Row],[Date]])&amp;""</f>
        <v>0</v>
      </c>
      <c r="F372" s="203"/>
      <c r="G372" s="216">
        <f>_xlfn.XLOOKUP(表格3_5[[#This Row],[Name]],Name_list[Full Name],Name_list[Nick Name])</f>
        <v>0</v>
      </c>
      <c r="H372" s="207"/>
      <c r="I372" s="228"/>
      <c r="J372" s="218"/>
      <c r="K372" s="205"/>
      <c r="L372" s="210">
        <f>(表格3_5[[#This Row],[Out-Time]] - 表格3_5[[#This Row],[In-Time]])*24</f>
        <v>0</v>
      </c>
      <c r="M372" s="210">
        <f>表格3_5[[#This Row],[ Hours]]-表格3_5[[#This Row],[Normal working
 hours]]</f>
        <v>0</v>
      </c>
      <c r="N372" s="205"/>
      <c r="O372" s="205"/>
      <c r="P372" s="210">
        <f>(表格3_5[[#This Row],[Out-Time2]] - 表格3_5[[#This Row],[In-Time2]])*24</f>
        <v>0</v>
      </c>
      <c r="Q372" s="205"/>
      <c r="R372" s="214">
        <f>_xlfn.XLOOKUP(表格3_5[[#This Row],[Name]],Name_list[Full Name],Name_list[Hourr Rate])</f>
        <v>0</v>
      </c>
      <c r="S372" s="210">
        <f>表格3_5[[#This Row],[Hours Worked]]*表格3_5[[#This Row],[Hourly Rate]]</f>
        <v>0</v>
      </c>
    </row>
    <row r="373" spans="1:19">
      <c r="A373" s="201">
        <v>371</v>
      </c>
      <c r="B373" s="210" t="str">
        <f>_xlfn.CONCAT(表格3_5[[#This Row],[Name]],表格3_5[[#This Row],[Location]])</f>
        <v/>
      </c>
      <c r="C373" s="211" t="str">
        <f>表格3_5[[#This Row],[Location]] &amp; 表格3_5[[#This Row],[Date]] &amp;表格3_5[[#This Row],[Nick Name]]</f>
        <v>0</v>
      </c>
      <c r="D373" s="202"/>
      <c r="E373" s="211" t="str">
        <f>DAY(表格3_5[[#This Row],[Date]])&amp;""</f>
        <v>0</v>
      </c>
      <c r="F373" s="203"/>
      <c r="G373" s="216">
        <f>_xlfn.XLOOKUP(表格3_5[[#This Row],[Name]],Name_list[Full Name],Name_list[Nick Name])</f>
        <v>0</v>
      </c>
      <c r="H373" s="207"/>
      <c r="I373" s="228"/>
      <c r="J373" s="218"/>
      <c r="K373" s="205"/>
      <c r="L373" s="210">
        <f>(表格3_5[[#This Row],[Out-Time]] - 表格3_5[[#This Row],[In-Time]])*24</f>
        <v>0</v>
      </c>
      <c r="M373" s="210">
        <f>表格3_5[[#This Row],[ Hours]]-表格3_5[[#This Row],[Normal working
 hours]]</f>
        <v>0</v>
      </c>
      <c r="N373" s="205"/>
      <c r="O373" s="205"/>
      <c r="P373" s="210">
        <f>(表格3_5[[#This Row],[Out-Time2]] - 表格3_5[[#This Row],[In-Time2]])*24</f>
        <v>0</v>
      </c>
      <c r="Q373" s="205"/>
      <c r="R373" s="214">
        <f>_xlfn.XLOOKUP(表格3_5[[#This Row],[Name]],Name_list[Full Name],Name_list[Hourr Rate])</f>
        <v>0</v>
      </c>
      <c r="S373" s="210">
        <f>表格3_5[[#This Row],[Hours Worked]]*表格3_5[[#This Row],[Hourly Rate]]</f>
        <v>0</v>
      </c>
    </row>
    <row r="374" spans="1:19">
      <c r="A374" s="201">
        <v>372</v>
      </c>
      <c r="B374" s="210" t="str">
        <f>_xlfn.CONCAT(表格3_5[[#This Row],[Name]],表格3_5[[#This Row],[Location]])</f>
        <v/>
      </c>
      <c r="C374" s="211" t="str">
        <f>表格3_5[[#This Row],[Location]] &amp; 表格3_5[[#This Row],[Date]] &amp;表格3_5[[#This Row],[Nick Name]]</f>
        <v>0</v>
      </c>
      <c r="D374" s="202"/>
      <c r="E374" s="211" t="str">
        <f>DAY(表格3_5[[#This Row],[Date]])&amp;""</f>
        <v>0</v>
      </c>
      <c r="F374" s="203"/>
      <c r="G374" s="216">
        <f>_xlfn.XLOOKUP(表格3_5[[#This Row],[Name]],Name_list[Full Name],Name_list[Nick Name])</f>
        <v>0</v>
      </c>
      <c r="H374" s="207"/>
      <c r="I374" s="228"/>
      <c r="J374" s="218"/>
      <c r="K374" s="205"/>
      <c r="L374" s="210">
        <f>(表格3_5[[#This Row],[Out-Time]] - 表格3_5[[#This Row],[In-Time]])*24</f>
        <v>0</v>
      </c>
      <c r="M374" s="210">
        <f>表格3_5[[#This Row],[ Hours]]-表格3_5[[#This Row],[Normal working
 hours]]</f>
        <v>0</v>
      </c>
      <c r="N374" s="205"/>
      <c r="O374" s="205"/>
      <c r="P374" s="210">
        <f>(表格3_5[[#This Row],[Out-Time2]] - 表格3_5[[#This Row],[In-Time2]])*24</f>
        <v>0</v>
      </c>
      <c r="Q374" s="205"/>
      <c r="R374" s="214">
        <f>_xlfn.XLOOKUP(表格3_5[[#This Row],[Name]],Name_list[Full Name],Name_list[Hourr Rate])</f>
        <v>0</v>
      </c>
      <c r="S374" s="210">
        <f>表格3_5[[#This Row],[Hours Worked]]*表格3_5[[#This Row],[Hourly Rate]]</f>
        <v>0</v>
      </c>
    </row>
    <row r="375" spans="1:19">
      <c r="A375" s="201">
        <v>373</v>
      </c>
      <c r="B375" s="210" t="str">
        <f>_xlfn.CONCAT(表格3_5[[#This Row],[Name]],表格3_5[[#This Row],[Location]])</f>
        <v/>
      </c>
      <c r="C375" s="211" t="str">
        <f>表格3_5[[#This Row],[Location]] &amp; 表格3_5[[#This Row],[Date]] &amp;表格3_5[[#This Row],[Nick Name]]</f>
        <v>0</v>
      </c>
      <c r="D375" s="202"/>
      <c r="E375" s="211" t="str">
        <f>DAY(表格3_5[[#This Row],[Date]])&amp;""</f>
        <v>0</v>
      </c>
      <c r="F375" s="203"/>
      <c r="G375" s="216">
        <f>_xlfn.XLOOKUP(表格3_5[[#This Row],[Name]],Name_list[Full Name],Name_list[Nick Name])</f>
        <v>0</v>
      </c>
      <c r="H375" s="207"/>
      <c r="I375" s="228"/>
      <c r="J375" s="218"/>
      <c r="K375" s="205"/>
      <c r="L375" s="210">
        <f>(表格3_5[[#This Row],[Out-Time]] - 表格3_5[[#This Row],[In-Time]])*24</f>
        <v>0</v>
      </c>
      <c r="M375" s="210">
        <f>表格3_5[[#This Row],[ Hours]]-表格3_5[[#This Row],[Normal working
 hours]]</f>
        <v>0</v>
      </c>
      <c r="N375" s="205"/>
      <c r="O375" s="205"/>
      <c r="P375" s="210">
        <f>(表格3_5[[#This Row],[Out-Time2]] - 表格3_5[[#This Row],[In-Time2]])*24</f>
        <v>0</v>
      </c>
      <c r="Q375" s="205"/>
      <c r="R375" s="214">
        <f>_xlfn.XLOOKUP(表格3_5[[#This Row],[Name]],Name_list[Full Name],Name_list[Hourr Rate])</f>
        <v>0</v>
      </c>
      <c r="S375" s="210">
        <f>表格3_5[[#This Row],[Hours Worked]]*表格3_5[[#This Row],[Hourly Rate]]</f>
        <v>0</v>
      </c>
    </row>
    <row r="376" spans="1:19">
      <c r="A376" s="201">
        <v>374</v>
      </c>
      <c r="B376" s="210" t="str">
        <f>_xlfn.CONCAT(表格3_5[[#This Row],[Name]],表格3_5[[#This Row],[Location]])</f>
        <v/>
      </c>
      <c r="C376" s="211" t="str">
        <f>表格3_5[[#This Row],[Location]] &amp; 表格3_5[[#This Row],[Date]] &amp;表格3_5[[#This Row],[Nick Name]]</f>
        <v>0</v>
      </c>
      <c r="D376" s="202"/>
      <c r="E376" s="211" t="str">
        <f>DAY(表格3_5[[#This Row],[Date]])&amp;""</f>
        <v>0</v>
      </c>
      <c r="F376" s="203"/>
      <c r="G376" s="216">
        <f>_xlfn.XLOOKUP(表格3_5[[#This Row],[Name]],Name_list[Full Name],Name_list[Nick Name])</f>
        <v>0</v>
      </c>
      <c r="H376" s="207"/>
      <c r="I376" s="228"/>
      <c r="J376" s="218"/>
      <c r="K376" s="205"/>
      <c r="L376" s="210">
        <f>(表格3_5[[#This Row],[Out-Time]] - 表格3_5[[#This Row],[In-Time]])*24</f>
        <v>0</v>
      </c>
      <c r="M376" s="210">
        <f>表格3_5[[#This Row],[ Hours]]-表格3_5[[#This Row],[Normal working
 hours]]</f>
        <v>0</v>
      </c>
      <c r="N376" s="205"/>
      <c r="O376" s="205"/>
      <c r="P376" s="210">
        <f>(表格3_5[[#This Row],[Out-Time2]] - 表格3_5[[#This Row],[In-Time2]])*24</f>
        <v>0</v>
      </c>
      <c r="Q376" s="205"/>
      <c r="R376" s="214">
        <f>_xlfn.XLOOKUP(表格3_5[[#This Row],[Name]],Name_list[Full Name],Name_list[Hourr Rate])</f>
        <v>0</v>
      </c>
      <c r="S376" s="210">
        <f>表格3_5[[#This Row],[Hours Worked]]*表格3_5[[#This Row],[Hourly Rate]]</f>
        <v>0</v>
      </c>
    </row>
    <row r="377" spans="1:19">
      <c r="A377" s="201">
        <v>375</v>
      </c>
      <c r="B377" s="210" t="str">
        <f>_xlfn.CONCAT(表格3_5[[#This Row],[Name]],表格3_5[[#This Row],[Location]])</f>
        <v/>
      </c>
      <c r="C377" s="211" t="str">
        <f>表格3_5[[#This Row],[Location]] &amp; 表格3_5[[#This Row],[Date]] &amp;表格3_5[[#This Row],[Nick Name]]</f>
        <v>0</v>
      </c>
      <c r="D377" s="202"/>
      <c r="E377" s="211" t="str">
        <f>DAY(表格3_5[[#This Row],[Date]])&amp;""</f>
        <v>0</v>
      </c>
      <c r="F377" s="203"/>
      <c r="G377" s="216">
        <f>_xlfn.XLOOKUP(表格3_5[[#This Row],[Name]],Name_list[Full Name],Name_list[Nick Name])</f>
        <v>0</v>
      </c>
      <c r="H377" s="207"/>
      <c r="I377" s="228"/>
      <c r="J377" s="218"/>
      <c r="K377" s="205"/>
      <c r="L377" s="210">
        <f>(表格3_5[[#This Row],[Out-Time]] - 表格3_5[[#This Row],[In-Time]])*24</f>
        <v>0</v>
      </c>
      <c r="M377" s="210">
        <f>表格3_5[[#This Row],[ Hours]]-表格3_5[[#This Row],[Normal working
 hours]]</f>
        <v>0</v>
      </c>
      <c r="N377" s="205"/>
      <c r="O377" s="205"/>
      <c r="P377" s="210">
        <f>(表格3_5[[#This Row],[Out-Time2]] - 表格3_5[[#This Row],[In-Time2]])*24</f>
        <v>0</v>
      </c>
      <c r="Q377" s="205"/>
      <c r="R377" s="214">
        <f>_xlfn.XLOOKUP(表格3_5[[#This Row],[Name]],Name_list[Full Name],Name_list[Hourr Rate])</f>
        <v>0</v>
      </c>
      <c r="S377" s="210">
        <f>表格3_5[[#This Row],[Hours Worked]]*表格3_5[[#This Row],[Hourly Rate]]</f>
        <v>0</v>
      </c>
    </row>
    <row r="378" spans="1:19">
      <c r="A378" s="201">
        <v>376</v>
      </c>
      <c r="B378" s="210" t="str">
        <f>_xlfn.CONCAT(表格3_5[[#This Row],[Name]],表格3_5[[#This Row],[Location]])</f>
        <v/>
      </c>
      <c r="C378" s="211" t="str">
        <f>表格3_5[[#This Row],[Location]] &amp; 表格3_5[[#This Row],[Date]] &amp;表格3_5[[#This Row],[Nick Name]]</f>
        <v>0</v>
      </c>
      <c r="D378" s="202"/>
      <c r="E378" s="211" t="str">
        <f>DAY(表格3_5[[#This Row],[Date]])&amp;""</f>
        <v>0</v>
      </c>
      <c r="F378" s="203"/>
      <c r="G378" s="216">
        <f>_xlfn.XLOOKUP(表格3_5[[#This Row],[Name]],Name_list[Full Name],Name_list[Nick Name])</f>
        <v>0</v>
      </c>
      <c r="H378" s="207"/>
      <c r="I378" s="228"/>
      <c r="J378" s="218"/>
      <c r="K378" s="205"/>
      <c r="L378" s="210">
        <f>(表格3_5[[#This Row],[Out-Time]] - 表格3_5[[#This Row],[In-Time]])*24</f>
        <v>0</v>
      </c>
      <c r="M378" s="210">
        <f>表格3_5[[#This Row],[ Hours]]-表格3_5[[#This Row],[Normal working
 hours]]</f>
        <v>0</v>
      </c>
      <c r="N378" s="205"/>
      <c r="O378" s="205"/>
      <c r="P378" s="210">
        <f>(表格3_5[[#This Row],[Out-Time2]] - 表格3_5[[#This Row],[In-Time2]])*24</f>
        <v>0</v>
      </c>
      <c r="Q378" s="205"/>
      <c r="R378" s="214">
        <f>_xlfn.XLOOKUP(表格3_5[[#This Row],[Name]],Name_list[Full Name],Name_list[Hourr Rate])</f>
        <v>0</v>
      </c>
      <c r="S378" s="210">
        <f>表格3_5[[#This Row],[Hours Worked]]*表格3_5[[#This Row],[Hourly Rate]]</f>
        <v>0</v>
      </c>
    </row>
    <row r="379" spans="1:19">
      <c r="A379" s="201">
        <v>377</v>
      </c>
      <c r="B379" s="210" t="str">
        <f>_xlfn.CONCAT(表格3_5[[#This Row],[Name]],表格3_5[[#This Row],[Location]])</f>
        <v/>
      </c>
      <c r="C379" s="211" t="str">
        <f>表格3_5[[#This Row],[Location]] &amp; 表格3_5[[#This Row],[Date]] &amp;表格3_5[[#This Row],[Nick Name]]</f>
        <v>0</v>
      </c>
      <c r="D379" s="202"/>
      <c r="E379" s="211" t="str">
        <f>DAY(表格3_5[[#This Row],[Date]])&amp;""</f>
        <v>0</v>
      </c>
      <c r="F379" s="203"/>
      <c r="G379" s="216">
        <f>_xlfn.XLOOKUP(表格3_5[[#This Row],[Name]],Name_list[Full Name],Name_list[Nick Name])</f>
        <v>0</v>
      </c>
      <c r="H379" s="207"/>
      <c r="I379" s="228"/>
      <c r="J379" s="218"/>
      <c r="K379" s="205"/>
      <c r="L379" s="210">
        <f>(表格3_5[[#This Row],[Out-Time]] - 表格3_5[[#This Row],[In-Time]])*24</f>
        <v>0</v>
      </c>
      <c r="M379" s="210">
        <f>表格3_5[[#This Row],[ Hours]]-表格3_5[[#This Row],[Normal working
 hours]]</f>
        <v>0</v>
      </c>
      <c r="N379" s="205"/>
      <c r="O379" s="205"/>
      <c r="P379" s="210">
        <f>(表格3_5[[#This Row],[Out-Time2]] - 表格3_5[[#This Row],[In-Time2]])*24</f>
        <v>0</v>
      </c>
      <c r="Q379" s="205"/>
      <c r="R379" s="214">
        <f>_xlfn.XLOOKUP(表格3_5[[#This Row],[Name]],Name_list[Full Name],Name_list[Hourr Rate])</f>
        <v>0</v>
      </c>
      <c r="S379" s="210">
        <f>表格3_5[[#This Row],[Hours Worked]]*表格3_5[[#This Row],[Hourly Rate]]</f>
        <v>0</v>
      </c>
    </row>
    <row r="380" spans="1:19">
      <c r="A380" s="201">
        <v>378</v>
      </c>
      <c r="B380" s="210" t="str">
        <f>_xlfn.CONCAT(表格3_5[[#This Row],[Name]],表格3_5[[#This Row],[Location]])</f>
        <v/>
      </c>
      <c r="C380" s="211" t="str">
        <f>表格3_5[[#This Row],[Location]] &amp; 表格3_5[[#This Row],[Date]] &amp;表格3_5[[#This Row],[Nick Name]]</f>
        <v>0</v>
      </c>
      <c r="D380" s="202"/>
      <c r="E380" s="211" t="str">
        <f>DAY(表格3_5[[#This Row],[Date]])&amp;""</f>
        <v>0</v>
      </c>
      <c r="F380" s="203"/>
      <c r="G380" s="216">
        <f>_xlfn.XLOOKUP(表格3_5[[#This Row],[Name]],Name_list[Full Name],Name_list[Nick Name])</f>
        <v>0</v>
      </c>
      <c r="H380" s="207"/>
      <c r="I380" s="228"/>
      <c r="J380" s="218"/>
      <c r="K380" s="205"/>
      <c r="L380" s="210">
        <f>(表格3_5[[#This Row],[Out-Time]] - 表格3_5[[#This Row],[In-Time]])*24</f>
        <v>0</v>
      </c>
      <c r="M380" s="210">
        <f>表格3_5[[#This Row],[ Hours]]-表格3_5[[#This Row],[Normal working
 hours]]</f>
        <v>0</v>
      </c>
      <c r="N380" s="205"/>
      <c r="O380" s="205"/>
      <c r="P380" s="210">
        <f>(表格3_5[[#This Row],[Out-Time2]] - 表格3_5[[#This Row],[In-Time2]])*24</f>
        <v>0</v>
      </c>
      <c r="Q380" s="205"/>
      <c r="R380" s="214">
        <f>_xlfn.XLOOKUP(表格3_5[[#This Row],[Name]],Name_list[Full Name],Name_list[Hourr Rate])</f>
        <v>0</v>
      </c>
      <c r="S380" s="210">
        <f>表格3_5[[#This Row],[Hours Worked]]*表格3_5[[#This Row],[Hourly Rate]]</f>
        <v>0</v>
      </c>
    </row>
    <row r="381" spans="1:19">
      <c r="A381" s="201">
        <v>379</v>
      </c>
      <c r="B381" s="210" t="str">
        <f>_xlfn.CONCAT(表格3_5[[#This Row],[Name]],表格3_5[[#This Row],[Location]])</f>
        <v/>
      </c>
      <c r="C381" s="211" t="str">
        <f>表格3_5[[#This Row],[Location]] &amp; 表格3_5[[#This Row],[Date]] &amp;表格3_5[[#This Row],[Nick Name]]</f>
        <v>0</v>
      </c>
      <c r="D381" s="202"/>
      <c r="E381" s="211" t="str">
        <f>DAY(表格3_5[[#This Row],[Date]])&amp;""</f>
        <v>0</v>
      </c>
      <c r="F381" s="203"/>
      <c r="G381" s="216">
        <f>_xlfn.XLOOKUP(表格3_5[[#This Row],[Name]],Name_list[Full Name],Name_list[Nick Name])</f>
        <v>0</v>
      </c>
      <c r="H381" s="207"/>
      <c r="I381" s="228"/>
      <c r="J381" s="218"/>
      <c r="K381" s="205"/>
      <c r="L381" s="210">
        <f>(表格3_5[[#This Row],[Out-Time]] - 表格3_5[[#This Row],[In-Time]])*24</f>
        <v>0</v>
      </c>
      <c r="M381" s="210">
        <f>表格3_5[[#This Row],[ Hours]]-表格3_5[[#This Row],[Normal working
 hours]]</f>
        <v>0</v>
      </c>
      <c r="N381" s="205"/>
      <c r="O381" s="205"/>
      <c r="P381" s="210">
        <f>(表格3_5[[#This Row],[Out-Time2]] - 表格3_5[[#This Row],[In-Time2]])*24</f>
        <v>0</v>
      </c>
      <c r="Q381" s="205"/>
      <c r="R381" s="214">
        <f>_xlfn.XLOOKUP(表格3_5[[#This Row],[Name]],Name_list[Full Name],Name_list[Hourr Rate])</f>
        <v>0</v>
      </c>
      <c r="S381" s="210">
        <f>表格3_5[[#This Row],[Hours Worked]]*表格3_5[[#This Row],[Hourly Rate]]</f>
        <v>0</v>
      </c>
    </row>
    <row r="382" spans="1:19">
      <c r="A382" s="201">
        <v>380</v>
      </c>
      <c r="B382" s="210" t="str">
        <f>_xlfn.CONCAT(表格3_5[[#This Row],[Name]],表格3_5[[#This Row],[Location]])</f>
        <v/>
      </c>
      <c r="C382" s="211" t="str">
        <f>表格3_5[[#This Row],[Location]] &amp; 表格3_5[[#This Row],[Date]] &amp;表格3_5[[#This Row],[Nick Name]]</f>
        <v>0</v>
      </c>
      <c r="D382" s="202"/>
      <c r="E382" s="211" t="str">
        <f>DAY(表格3_5[[#This Row],[Date]])&amp;""</f>
        <v>0</v>
      </c>
      <c r="F382" s="203"/>
      <c r="G382" s="216">
        <f>_xlfn.XLOOKUP(表格3_5[[#This Row],[Name]],Name_list[Full Name],Name_list[Nick Name])</f>
        <v>0</v>
      </c>
      <c r="H382" s="207"/>
      <c r="I382" s="228"/>
      <c r="J382" s="218"/>
      <c r="K382" s="205"/>
      <c r="L382" s="210">
        <f>(表格3_5[[#This Row],[Out-Time]] - 表格3_5[[#This Row],[In-Time]])*24</f>
        <v>0</v>
      </c>
      <c r="M382" s="210">
        <f>表格3_5[[#This Row],[ Hours]]-表格3_5[[#This Row],[Normal working
 hours]]</f>
        <v>0</v>
      </c>
      <c r="N382" s="205"/>
      <c r="O382" s="205"/>
      <c r="P382" s="210">
        <f>(表格3_5[[#This Row],[Out-Time2]] - 表格3_5[[#This Row],[In-Time2]])*24</f>
        <v>0</v>
      </c>
      <c r="Q382" s="205"/>
      <c r="R382" s="214">
        <f>_xlfn.XLOOKUP(表格3_5[[#This Row],[Name]],Name_list[Full Name],Name_list[Hourr Rate])</f>
        <v>0</v>
      </c>
      <c r="S382" s="210">
        <f>表格3_5[[#This Row],[Hours Worked]]*表格3_5[[#This Row],[Hourly Rate]]</f>
        <v>0</v>
      </c>
    </row>
    <row r="383" spans="1:19">
      <c r="A383" s="201">
        <v>381</v>
      </c>
      <c r="B383" s="210" t="str">
        <f>_xlfn.CONCAT(表格3_5[[#This Row],[Name]],表格3_5[[#This Row],[Location]])</f>
        <v/>
      </c>
      <c r="C383" s="211" t="str">
        <f>表格3_5[[#This Row],[Location]] &amp; 表格3_5[[#This Row],[Date]] &amp;表格3_5[[#This Row],[Nick Name]]</f>
        <v>0</v>
      </c>
      <c r="D383" s="202"/>
      <c r="E383" s="211" t="str">
        <f>DAY(表格3_5[[#This Row],[Date]])&amp;""</f>
        <v>0</v>
      </c>
      <c r="F383" s="203"/>
      <c r="G383" s="216">
        <f>_xlfn.XLOOKUP(表格3_5[[#This Row],[Name]],Name_list[Full Name],Name_list[Nick Name])</f>
        <v>0</v>
      </c>
      <c r="H383" s="207"/>
      <c r="I383" s="228"/>
      <c r="J383" s="218"/>
      <c r="K383" s="205"/>
      <c r="L383" s="210">
        <f>(表格3_5[[#This Row],[Out-Time]] - 表格3_5[[#This Row],[In-Time]])*24</f>
        <v>0</v>
      </c>
      <c r="M383" s="210">
        <f>表格3_5[[#This Row],[ Hours]]-表格3_5[[#This Row],[Normal working
 hours]]</f>
        <v>0</v>
      </c>
      <c r="N383" s="205"/>
      <c r="O383" s="205"/>
      <c r="P383" s="210">
        <f>(表格3_5[[#This Row],[Out-Time2]] - 表格3_5[[#This Row],[In-Time2]])*24</f>
        <v>0</v>
      </c>
      <c r="Q383" s="205"/>
      <c r="R383" s="214">
        <f>_xlfn.XLOOKUP(表格3_5[[#This Row],[Name]],Name_list[Full Name],Name_list[Hourr Rate])</f>
        <v>0</v>
      </c>
      <c r="S383" s="210">
        <f>表格3_5[[#This Row],[Hours Worked]]*表格3_5[[#This Row],[Hourly Rate]]</f>
        <v>0</v>
      </c>
    </row>
    <row r="384" spans="1:19">
      <c r="A384" s="201">
        <v>382</v>
      </c>
      <c r="B384" s="210" t="str">
        <f>_xlfn.CONCAT(表格3_5[[#This Row],[Name]],表格3_5[[#This Row],[Location]])</f>
        <v/>
      </c>
      <c r="C384" s="211" t="str">
        <f>表格3_5[[#This Row],[Location]] &amp; 表格3_5[[#This Row],[Date]] &amp;表格3_5[[#This Row],[Nick Name]]</f>
        <v>0</v>
      </c>
      <c r="D384" s="202"/>
      <c r="E384" s="211" t="str">
        <f>DAY(表格3_5[[#This Row],[Date]])&amp;""</f>
        <v>0</v>
      </c>
      <c r="F384" s="203"/>
      <c r="G384" s="216">
        <f>_xlfn.XLOOKUP(表格3_5[[#This Row],[Name]],Name_list[Full Name],Name_list[Nick Name])</f>
        <v>0</v>
      </c>
      <c r="H384" s="207"/>
      <c r="I384" s="228"/>
      <c r="J384" s="218"/>
      <c r="K384" s="205"/>
      <c r="L384" s="210">
        <f>(表格3_5[[#This Row],[Out-Time]] - 表格3_5[[#This Row],[In-Time]])*24</f>
        <v>0</v>
      </c>
      <c r="M384" s="210">
        <f>表格3_5[[#This Row],[ Hours]]-表格3_5[[#This Row],[Normal working
 hours]]</f>
        <v>0</v>
      </c>
      <c r="N384" s="205"/>
      <c r="O384" s="205"/>
      <c r="P384" s="210">
        <f>(表格3_5[[#This Row],[Out-Time2]] - 表格3_5[[#This Row],[In-Time2]])*24</f>
        <v>0</v>
      </c>
      <c r="Q384" s="205"/>
      <c r="R384" s="214">
        <f>_xlfn.XLOOKUP(表格3_5[[#This Row],[Name]],Name_list[Full Name],Name_list[Hourr Rate])</f>
        <v>0</v>
      </c>
      <c r="S384" s="210">
        <f>表格3_5[[#This Row],[Hours Worked]]*表格3_5[[#This Row],[Hourly Rate]]</f>
        <v>0</v>
      </c>
    </row>
    <row r="385" spans="1:19">
      <c r="A385" s="201">
        <v>383</v>
      </c>
      <c r="B385" s="210" t="str">
        <f>_xlfn.CONCAT(表格3_5[[#This Row],[Name]],表格3_5[[#This Row],[Location]])</f>
        <v/>
      </c>
      <c r="C385" s="211" t="str">
        <f>表格3_5[[#This Row],[Location]] &amp; 表格3_5[[#This Row],[Date]] &amp;表格3_5[[#This Row],[Nick Name]]</f>
        <v>0</v>
      </c>
      <c r="D385" s="202"/>
      <c r="E385" s="211" t="str">
        <f>DAY(表格3_5[[#This Row],[Date]])&amp;""</f>
        <v>0</v>
      </c>
      <c r="F385" s="203"/>
      <c r="G385" s="216">
        <f>_xlfn.XLOOKUP(表格3_5[[#This Row],[Name]],Name_list[Full Name],Name_list[Nick Name])</f>
        <v>0</v>
      </c>
      <c r="H385" s="207"/>
      <c r="I385" s="228"/>
      <c r="J385" s="218"/>
      <c r="K385" s="205"/>
      <c r="L385" s="210">
        <f>(表格3_5[[#This Row],[Out-Time]] - 表格3_5[[#This Row],[In-Time]])*24</f>
        <v>0</v>
      </c>
      <c r="M385" s="210">
        <f>表格3_5[[#This Row],[ Hours]]-表格3_5[[#This Row],[Normal working
 hours]]</f>
        <v>0</v>
      </c>
      <c r="N385" s="205"/>
      <c r="O385" s="205"/>
      <c r="P385" s="210">
        <f>(表格3_5[[#This Row],[Out-Time2]] - 表格3_5[[#This Row],[In-Time2]])*24</f>
        <v>0</v>
      </c>
      <c r="Q385" s="205"/>
      <c r="R385" s="214">
        <f>_xlfn.XLOOKUP(表格3_5[[#This Row],[Name]],Name_list[Full Name],Name_list[Hourr Rate])</f>
        <v>0</v>
      </c>
      <c r="S385" s="210">
        <f>表格3_5[[#This Row],[Hours Worked]]*表格3_5[[#This Row],[Hourly Rate]]</f>
        <v>0</v>
      </c>
    </row>
    <row r="386" spans="1:19">
      <c r="A386" s="201">
        <v>384</v>
      </c>
      <c r="B386" s="210" t="str">
        <f>_xlfn.CONCAT(表格3_5[[#This Row],[Name]],表格3_5[[#This Row],[Location]])</f>
        <v/>
      </c>
      <c r="C386" s="211" t="str">
        <f>表格3_5[[#This Row],[Location]] &amp; 表格3_5[[#This Row],[Date]] &amp;表格3_5[[#This Row],[Nick Name]]</f>
        <v>0</v>
      </c>
      <c r="D386" s="202"/>
      <c r="E386" s="211" t="str">
        <f>DAY(表格3_5[[#This Row],[Date]])&amp;""</f>
        <v>0</v>
      </c>
      <c r="F386" s="203"/>
      <c r="G386" s="216">
        <f>_xlfn.XLOOKUP(表格3_5[[#This Row],[Name]],Name_list[Full Name],Name_list[Nick Name])</f>
        <v>0</v>
      </c>
      <c r="H386" s="207"/>
      <c r="I386" s="228"/>
      <c r="J386" s="218"/>
      <c r="K386" s="205"/>
      <c r="L386" s="210">
        <f>(表格3_5[[#This Row],[Out-Time]] - 表格3_5[[#This Row],[In-Time]])*24</f>
        <v>0</v>
      </c>
      <c r="M386" s="210">
        <f>表格3_5[[#This Row],[ Hours]]-表格3_5[[#This Row],[Normal working
 hours]]</f>
        <v>0</v>
      </c>
      <c r="N386" s="205"/>
      <c r="O386" s="205"/>
      <c r="P386" s="210">
        <f>(表格3_5[[#This Row],[Out-Time2]] - 表格3_5[[#This Row],[In-Time2]])*24</f>
        <v>0</v>
      </c>
      <c r="Q386" s="205"/>
      <c r="R386" s="214">
        <f>_xlfn.XLOOKUP(表格3_5[[#This Row],[Name]],Name_list[Full Name],Name_list[Hourr Rate])</f>
        <v>0</v>
      </c>
      <c r="S386" s="210">
        <f>表格3_5[[#This Row],[Hours Worked]]*表格3_5[[#This Row],[Hourly Rate]]</f>
        <v>0</v>
      </c>
    </row>
    <row r="387" spans="1:19">
      <c r="A387" s="201">
        <v>385</v>
      </c>
      <c r="B387" s="210" t="str">
        <f>_xlfn.CONCAT(表格3_5[[#This Row],[Name]],表格3_5[[#This Row],[Location]])</f>
        <v/>
      </c>
      <c r="C387" s="211" t="str">
        <f>表格3_5[[#This Row],[Location]] &amp; 表格3_5[[#This Row],[Date]] &amp;表格3_5[[#This Row],[Nick Name]]</f>
        <v>0</v>
      </c>
      <c r="D387" s="202"/>
      <c r="E387" s="211" t="str">
        <f>DAY(表格3_5[[#This Row],[Date]])&amp;""</f>
        <v>0</v>
      </c>
      <c r="F387" s="203"/>
      <c r="G387" s="216">
        <f>_xlfn.XLOOKUP(表格3_5[[#This Row],[Name]],Name_list[Full Name],Name_list[Nick Name])</f>
        <v>0</v>
      </c>
      <c r="H387" s="207"/>
      <c r="I387" s="228"/>
      <c r="J387" s="218"/>
      <c r="K387" s="205"/>
      <c r="L387" s="210">
        <f>(表格3_5[[#This Row],[Out-Time]] - 表格3_5[[#This Row],[In-Time]])*24</f>
        <v>0</v>
      </c>
      <c r="M387" s="210">
        <f>表格3_5[[#This Row],[ Hours]]-表格3_5[[#This Row],[Normal working
 hours]]</f>
        <v>0</v>
      </c>
      <c r="N387" s="205"/>
      <c r="O387" s="205"/>
      <c r="P387" s="210">
        <f>(表格3_5[[#This Row],[Out-Time2]] - 表格3_5[[#This Row],[In-Time2]])*24</f>
        <v>0</v>
      </c>
      <c r="Q387" s="205"/>
      <c r="R387" s="214">
        <f>_xlfn.XLOOKUP(表格3_5[[#This Row],[Name]],Name_list[Full Name],Name_list[Hourr Rate])</f>
        <v>0</v>
      </c>
      <c r="S387" s="210">
        <f>表格3_5[[#This Row],[Hours Worked]]*表格3_5[[#This Row],[Hourly Rate]]</f>
        <v>0</v>
      </c>
    </row>
    <row r="388" spans="1:19">
      <c r="A388" s="201">
        <v>386</v>
      </c>
      <c r="B388" s="210" t="str">
        <f>_xlfn.CONCAT(表格3_5[[#This Row],[Name]],表格3_5[[#This Row],[Location]])</f>
        <v/>
      </c>
      <c r="C388" s="211" t="str">
        <f>表格3_5[[#This Row],[Location]] &amp; 表格3_5[[#This Row],[Date]] &amp;表格3_5[[#This Row],[Nick Name]]</f>
        <v>0</v>
      </c>
      <c r="D388" s="202"/>
      <c r="E388" s="211" t="str">
        <f>DAY(表格3_5[[#This Row],[Date]])&amp;""</f>
        <v>0</v>
      </c>
      <c r="F388" s="203"/>
      <c r="G388" s="216">
        <f>_xlfn.XLOOKUP(表格3_5[[#This Row],[Name]],Name_list[Full Name],Name_list[Nick Name])</f>
        <v>0</v>
      </c>
      <c r="H388" s="207"/>
      <c r="I388" s="228"/>
      <c r="J388" s="218"/>
      <c r="K388" s="205"/>
      <c r="L388" s="210">
        <f>(表格3_5[[#This Row],[Out-Time]] - 表格3_5[[#This Row],[In-Time]])*24</f>
        <v>0</v>
      </c>
      <c r="M388" s="210">
        <f>表格3_5[[#This Row],[ Hours]]-表格3_5[[#This Row],[Normal working
 hours]]</f>
        <v>0</v>
      </c>
      <c r="N388" s="205"/>
      <c r="O388" s="205"/>
      <c r="P388" s="210">
        <f>(表格3_5[[#This Row],[Out-Time2]] - 表格3_5[[#This Row],[In-Time2]])*24</f>
        <v>0</v>
      </c>
      <c r="Q388" s="205"/>
      <c r="R388" s="214">
        <f>_xlfn.XLOOKUP(表格3_5[[#This Row],[Name]],Name_list[Full Name],Name_list[Hourr Rate])</f>
        <v>0</v>
      </c>
      <c r="S388" s="210">
        <f>表格3_5[[#This Row],[Hours Worked]]*表格3_5[[#This Row],[Hourly Rate]]</f>
        <v>0</v>
      </c>
    </row>
    <row r="389" spans="1:19">
      <c r="A389" s="201">
        <v>387</v>
      </c>
      <c r="B389" s="210" t="str">
        <f>_xlfn.CONCAT(表格3_5[[#This Row],[Name]],表格3_5[[#This Row],[Location]])</f>
        <v/>
      </c>
      <c r="C389" s="211" t="str">
        <f>表格3_5[[#This Row],[Location]] &amp; 表格3_5[[#This Row],[Date]] &amp;表格3_5[[#This Row],[Nick Name]]</f>
        <v>0</v>
      </c>
      <c r="D389" s="202"/>
      <c r="E389" s="211" t="str">
        <f>DAY(表格3_5[[#This Row],[Date]])&amp;""</f>
        <v>0</v>
      </c>
      <c r="F389" s="203"/>
      <c r="G389" s="216">
        <f>_xlfn.XLOOKUP(表格3_5[[#This Row],[Name]],Name_list[Full Name],Name_list[Nick Name])</f>
        <v>0</v>
      </c>
      <c r="H389" s="207"/>
      <c r="I389" s="228"/>
      <c r="J389" s="218"/>
      <c r="K389" s="205"/>
      <c r="L389" s="210">
        <f>(表格3_5[[#This Row],[Out-Time]] - 表格3_5[[#This Row],[In-Time]])*24</f>
        <v>0</v>
      </c>
      <c r="M389" s="210">
        <f>表格3_5[[#This Row],[ Hours]]-表格3_5[[#This Row],[Normal working
 hours]]</f>
        <v>0</v>
      </c>
      <c r="N389" s="205"/>
      <c r="O389" s="205"/>
      <c r="P389" s="210">
        <f>(表格3_5[[#This Row],[Out-Time2]] - 表格3_5[[#This Row],[In-Time2]])*24</f>
        <v>0</v>
      </c>
      <c r="Q389" s="205"/>
      <c r="R389" s="214">
        <f>_xlfn.XLOOKUP(表格3_5[[#This Row],[Name]],Name_list[Full Name],Name_list[Hourr Rate])</f>
        <v>0</v>
      </c>
      <c r="S389" s="210">
        <f>表格3_5[[#This Row],[Hours Worked]]*表格3_5[[#This Row],[Hourly Rate]]</f>
        <v>0</v>
      </c>
    </row>
    <row r="390" spans="1:19">
      <c r="A390" s="201">
        <v>388</v>
      </c>
      <c r="B390" s="210" t="str">
        <f>_xlfn.CONCAT(表格3_5[[#This Row],[Name]],表格3_5[[#This Row],[Location]])</f>
        <v/>
      </c>
      <c r="C390" s="211" t="str">
        <f>表格3_5[[#This Row],[Location]] &amp; 表格3_5[[#This Row],[Date]] &amp;表格3_5[[#This Row],[Nick Name]]</f>
        <v>0</v>
      </c>
      <c r="D390" s="202"/>
      <c r="E390" s="211" t="str">
        <f>DAY(表格3_5[[#This Row],[Date]])&amp;""</f>
        <v>0</v>
      </c>
      <c r="F390" s="203"/>
      <c r="G390" s="216">
        <f>_xlfn.XLOOKUP(表格3_5[[#This Row],[Name]],Name_list[Full Name],Name_list[Nick Name])</f>
        <v>0</v>
      </c>
      <c r="H390" s="207"/>
      <c r="I390" s="228"/>
      <c r="J390" s="218"/>
      <c r="K390" s="205"/>
      <c r="L390" s="210">
        <f>(表格3_5[[#This Row],[Out-Time]] - 表格3_5[[#This Row],[In-Time]])*24</f>
        <v>0</v>
      </c>
      <c r="M390" s="210">
        <f>表格3_5[[#This Row],[ Hours]]-表格3_5[[#This Row],[Normal working
 hours]]</f>
        <v>0</v>
      </c>
      <c r="N390" s="205"/>
      <c r="O390" s="205"/>
      <c r="P390" s="210">
        <f>(表格3_5[[#This Row],[Out-Time2]] - 表格3_5[[#This Row],[In-Time2]])*24</f>
        <v>0</v>
      </c>
      <c r="Q390" s="205"/>
      <c r="R390" s="214">
        <f>_xlfn.XLOOKUP(表格3_5[[#This Row],[Name]],Name_list[Full Name],Name_list[Hourr Rate])</f>
        <v>0</v>
      </c>
      <c r="S390" s="210">
        <f>表格3_5[[#This Row],[Hours Worked]]*表格3_5[[#This Row],[Hourly Rate]]</f>
        <v>0</v>
      </c>
    </row>
    <row r="391" spans="1:19">
      <c r="A391" s="201">
        <v>389</v>
      </c>
      <c r="B391" s="210" t="str">
        <f>_xlfn.CONCAT(表格3_5[[#This Row],[Name]],表格3_5[[#This Row],[Location]])</f>
        <v/>
      </c>
      <c r="C391" s="211" t="str">
        <f>表格3_5[[#This Row],[Location]] &amp; 表格3_5[[#This Row],[Date]] &amp;表格3_5[[#This Row],[Nick Name]]</f>
        <v>0</v>
      </c>
      <c r="D391" s="202"/>
      <c r="E391" s="211" t="str">
        <f>DAY(表格3_5[[#This Row],[Date]])&amp;""</f>
        <v>0</v>
      </c>
      <c r="F391" s="203"/>
      <c r="G391" s="216">
        <f>_xlfn.XLOOKUP(表格3_5[[#This Row],[Name]],Name_list[Full Name],Name_list[Nick Name])</f>
        <v>0</v>
      </c>
      <c r="H391" s="207"/>
      <c r="I391" s="228"/>
      <c r="J391" s="218"/>
      <c r="K391" s="205"/>
      <c r="L391" s="210">
        <f>(表格3_5[[#This Row],[Out-Time]] - 表格3_5[[#This Row],[In-Time]])*24</f>
        <v>0</v>
      </c>
      <c r="M391" s="210">
        <f>表格3_5[[#This Row],[ Hours]]-表格3_5[[#This Row],[Normal working
 hours]]</f>
        <v>0</v>
      </c>
      <c r="N391" s="205"/>
      <c r="O391" s="205"/>
      <c r="P391" s="210">
        <f>(表格3_5[[#This Row],[Out-Time2]] - 表格3_5[[#This Row],[In-Time2]])*24</f>
        <v>0</v>
      </c>
      <c r="Q391" s="205"/>
      <c r="R391" s="214">
        <f>_xlfn.XLOOKUP(表格3_5[[#This Row],[Name]],Name_list[Full Name],Name_list[Hourr Rate])</f>
        <v>0</v>
      </c>
      <c r="S391" s="210">
        <f>表格3_5[[#This Row],[Hours Worked]]*表格3_5[[#This Row],[Hourly Rate]]</f>
        <v>0</v>
      </c>
    </row>
    <row r="392" spans="1:19">
      <c r="A392" s="201">
        <v>390</v>
      </c>
      <c r="B392" s="210" t="str">
        <f>_xlfn.CONCAT(表格3_5[[#This Row],[Name]],表格3_5[[#This Row],[Location]])</f>
        <v/>
      </c>
      <c r="C392" s="211" t="str">
        <f>表格3_5[[#This Row],[Location]] &amp; 表格3_5[[#This Row],[Date]] &amp;表格3_5[[#This Row],[Nick Name]]</f>
        <v>0</v>
      </c>
      <c r="D392" s="202"/>
      <c r="E392" s="211" t="str">
        <f>DAY(表格3_5[[#This Row],[Date]])&amp;""</f>
        <v>0</v>
      </c>
      <c r="F392" s="203"/>
      <c r="G392" s="216">
        <f>_xlfn.XLOOKUP(表格3_5[[#This Row],[Name]],Name_list[Full Name],Name_list[Nick Name])</f>
        <v>0</v>
      </c>
      <c r="H392" s="207"/>
      <c r="I392" s="228"/>
      <c r="J392" s="218"/>
      <c r="K392" s="205"/>
      <c r="L392" s="210">
        <f>(表格3_5[[#This Row],[Out-Time]] - 表格3_5[[#This Row],[In-Time]])*24</f>
        <v>0</v>
      </c>
      <c r="M392" s="210">
        <f>表格3_5[[#This Row],[ Hours]]-表格3_5[[#This Row],[Normal working
 hours]]</f>
        <v>0</v>
      </c>
      <c r="N392" s="205"/>
      <c r="O392" s="205"/>
      <c r="P392" s="210">
        <f>(表格3_5[[#This Row],[Out-Time2]] - 表格3_5[[#This Row],[In-Time2]])*24</f>
        <v>0</v>
      </c>
      <c r="Q392" s="205"/>
      <c r="R392" s="214">
        <f>_xlfn.XLOOKUP(表格3_5[[#This Row],[Name]],Name_list[Full Name],Name_list[Hourr Rate])</f>
        <v>0</v>
      </c>
      <c r="S392" s="210">
        <f>表格3_5[[#This Row],[Hours Worked]]*表格3_5[[#This Row],[Hourly Rate]]</f>
        <v>0</v>
      </c>
    </row>
    <row r="393" spans="1:19">
      <c r="A393" s="201">
        <v>391</v>
      </c>
      <c r="B393" s="210" t="str">
        <f>_xlfn.CONCAT(表格3_5[[#This Row],[Name]],表格3_5[[#This Row],[Location]])</f>
        <v/>
      </c>
      <c r="C393" s="211" t="str">
        <f>表格3_5[[#This Row],[Location]] &amp; 表格3_5[[#This Row],[Date]] &amp;表格3_5[[#This Row],[Nick Name]]</f>
        <v>0</v>
      </c>
      <c r="D393" s="202"/>
      <c r="E393" s="211" t="str">
        <f>DAY(表格3_5[[#This Row],[Date]])&amp;""</f>
        <v>0</v>
      </c>
      <c r="F393" s="203"/>
      <c r="G393" s="216">
        <f>_xlfn.XLOOKUP(表格3_5[[#This Row],[Name]],Name_list[Full Name],Name_list[Nick Name])</f>
        <v>0</v>
      </c>
      <c r="H393" s="207"/>
      <c r="I393" s="228"/>
      <c r="J393" s="218"/>
      <c r="K393" s="205"/>
      <c r="L393" s="210">
        <f>(表格3_5[[#This Row],[Out-Time]] - 表格3_5[[#This Row],[In-Time]])*24</f>
        <v>0</v>
      </c>
      <c r="M393" s="210">
        <f>表格3_5[[#This Row],[ Hours]]-表格3_5[[#This Row],[Normal working
 hours]]</f>
        <v>0</v>
      </c>
      <c r="N393" s="205"/>
      <c r="O393" s="205"/>
      <c r="P393" s="210">
        <f>(表格3_5[[#This Row],[Out-Time2]] - 表格3_5[[#This Row],[In-Time2]])*24</f>
        <v>0</v>
      </c>
      <c r="Q393" s="205"/>
      <c r="R393" s="214">
        <f>_xlfn.XLOOKUP(表格3_5[[#This Row],[Name]],Name_list[Full Name],Name_list[Hourr Rate])</f>
        <v>0</v>
      </c>
      <c r="S393" s="210">
        <f>表格3_5[[#This Row],[Hours Worked]]*表格3_5[[#This Row],[Hourly Rate]]</f>
        <v>0</v>
      </c>
    </row>
    <row r="394" spans="1:19">
      <c r="A394" s="201">
        <v>392</v>
      </c>
      <c r="B394" s="210" t="str">
        <f>_xlfn.CONCAT(表格3_5[[#This Row],[Name]],表格3_5[[#This Row],[Location]])</f>
        <v/>
      </c>
      <c r="C394" s="211" t="str">
        <f>表格3_5[[#This Row],[Location]] &amp; 表格3_5[[#This Row],[Date]] &amp;表格3_5[[#This Row],[Nick Name]]</f>
        <v>0</v>
      </c>
      <c r="D394" s="202"/>
      <c r="E394" s="211" t="str">
        <f>DAY(表格3_5[[#This Row],[Date]])&amp;""</f>
        <v>0</v>
      </c>
      <c r="F394" s="203"/>
      <c r="G394" s="216">
        <f>_xlfn.XLOOKUP(表格3_5[[#This Row],[Name]],Name_list[Full Name],Name_list[Nick Name])</f>
        <v>0</v>
      </c>
      <c r="H394" s="207"/>
      <c r="I394" s="228"/>
      <c r="J394" s="218"/>
      <c r="K394" s="205"/>
      <c r="L394" s="210">
        <f>(表格3_5[[#This Row],[Out-Time]] - 表格3_5[[#This Row],[In-Time]])*24</f>
        <v>0</v>
      </c>
      <c r="M394" s="210">
        <f>表格3_5[[#This Row],[ Hours]]-表格3_5[[#This Row],[Normal working
 hours]]</f>
        <v>0</v>
      </c>
      <c r="N394" s="205"/>
      <c r="O394" s="205"/>
      <c r="P394" s="210">
        <f>(表格3_5[[#This Row],[Out-Time2]] - 表格3_5[[#This Row],[In-Time2]])*24</f>
        <v>0</v>
      </c>
      <c r="Q394" s="205"/>
      <c r="R394" s="214">
        <f>_xlfn.XLOOKUP(表格3_5[[#This Row],[Name]],Name_list[Full Name],Name_list[Hourr Rate])</f>
        <v>0</v>
      </c>
      <c r="S394" s="210">
        <f>表格3_5[[#This Row],[Hours Worked]]*表格3_5[[#This Row],[Hourly Rate]]</f>
        <v>0</v>
      </c>
    </row>
    <row r="395" spans="1:19">
      <c r="A395" s="201">
        <v>393</v>
      </c>
      <c r="B395" s="210" t="str">
        <f>_xlfn.CONCAT(表格3_5[[#This Row],[Name]],表格3_5[[#This Row],[Location]])</f>
        <v/>
      </c>
      <c r="C395" s="211" t="str">
        <f>表格3_5[[#This Row],[Location]] &amp; 表格3_5[[#This Row],[Date]] &amp;表格3_5[[#This Row],[Nick Name]]</f>
        <v>0</v>
      </c>
      <c r="D395" s="202"/>
      <c r="E395" s="211" t="str">
        <f>DAY(表格3_5[[#This Row],[Date]])&amp;""</f>
        <v>0</v>
      </c>
      <c r="F395" s="203"/>
      <c r="G395" s="216">
        <f>_xlfn.XLOOKUP(表格3_5[[#This Row],[Name]],Name_list[Full Name],Name_list[Nick Name])</f>
        <v>0</v>
      </c>
      <c r="H395" s="207"/>
      <c r="I395" s="228"/>
      <c r="J395" s="218"/>
      <c r="K395" s="205"/>
      <c r="L395" s="210">
        <f>(表格3_5[[#This Row],[Out-Time]] - 表格3_5[[#This Row],[In-Time]])*24</f>
        <v>0</v>
      </c>
      <c r="M395" s="210">
        <f>表格3_5[[#This Row],[ Hours]]-表格3_5[[#This Row],[Normal working
 hours]]</f>
        <v>0</v>
      </c>
      <c r="N395" s="205"/>
      <c r="O395" s="205"/>
      <c r="P395" s="210">
        <f>(表格3_5[[#This Row],[Out-Time2]] - 表格3_5[[#This Row],[In-Time2]])*24</f>
        <v>0</v>
      </c>
      <c r="Q395" s="205"/>
      <c r="R395" s="214">
        <f>_xlfn.XLOOKUP(表格3_5[[#This Row],[Name]],Name_list[Full Name],Name_list[Hourr Rate])</f>
        <v>0</v>
      </c>
      <c r="S395" s="210">
        <f>表格3_5[[#This Row],[Hours Worked]]*表格3_5[[#This Row],[Hourly Rate]]</f>
        <v>0</v>
      </c>
    </row>
    <row r="396" spans="1:19">
      <c r="A396" s="201">
        <v>394</v>
      </c>
      <c r="B396" s="210" t="str">
        <f>_xlfn.CONCAT(表格3_5[[#This Row],[Name]],表格3_5[[#This Row],[Location]])</f>
        <v/>
      </c>
      <c r="C396" s="211" t="str">
        <f>表格3_5[[#This Row],[Location]] &amp; 表格3_5[[#This Row],[Date]] &amp;表格3_5[[#This Row],[Nick Name]]</f>
        <v>0</v>
      </c>
      <c r="D396" s="202"/>
      <c r="E396" s="211" t="str">
        <f>DAY(表格3_5[[#This Row],[Date]])&amp;""</f>
        <v>0</v>
      </c>
      <c r="F396" s="203"/>
      <c r="G396" s="216">
        <f>_xlfn.XLOOKUP(表格3_5[[#This Row],[Name]],Name_list[Full Name],Name_list[Nick Name])</f>
        <v>0</v>
      </c>
      <c r="H396" s="207"/>
      <c r="I396" s="228"/>
      <c r="J396" s="218"/>
      <c r="K396" s="205"/>
      <c r="L396" s="210">
        <f>(表格3_5[[#This Row],[Out-Time]] - 表格3_5[[#This Row],[In-Time]])*24</f>
        <v>0</v>
      </c>
      <c r="M396" s="210">
        <f>表格3_5[[#This Row],[ Hours]]-表格3_5[[#This Row],[Normal working
 hours]]</f>
        <v>0</v>
      </c>
      <c r="N396" s="205"/>
      <c r="O396" s="205"/>
      <c r="P396" s="210">
        <f>(表格3_5[[#This Row],[Out-Time2]] - 表格3_5[[#This Row],[In-Time2]])*24</f>
        <v>0</v>
      </c>
      <c r="Q396" s="205"/>
      <c r="R396" s="214">
        <f>_xlfn.XLOOKUP(表格3_5[[#This Row],[Name]],Name_list[Full Name],Name_list[Hourr Rate])</f>
        <v>0</v>
      </c>
      <c r="S396" s="210">
        <f>表格3_5[[#This Row],[Hours Worked]]*表格3_5[[#This Row],[Hourly Rate]]</f>
        <v>0</v>
      </c>
    </row>
    <row r="397" spans="1:19">
      <c r="A397" s="201">
        <v>395</v>
      </c>
      <c r="B397" s="210" t="str">
        <f>_xlfn.CONCAT(表格3_5[[#This Row],[Name]],表格3_5[[#This Row],[Location]])</f>
        <v/>
      </c>
      <c r="C397" s="211" t="str">
        <f>表格3_5[[#This Row],[Location]] &amp; 表格3_5[[#This Row],[Date]] &amp;表格3_5[[#This Row],[Nick Name]]</f>
        <v>0</v>
      </c>
      <c r="D397" s="202"/>
      <c r="E397" s="211" t="str">
        <f>DAY(表格3_5[[#This Row],[Date]])&amp;""</f>
        <v>0</v>
      </c>
      <c r="F397" s="203"/>
      <c r="G397" s="216">
        <f>_xlfn.XLOOKUP(表格3_5[[#This Row],[Name]],Name_list[Full Name],Name_list[Nick Name])</f>
        <v>0</v>
      </c>
      <c r="H397" s="207"/>
      <c r="I397" s="228"/>
      <c r="J397" s="218"/>
      <c r="K397" s="205"/>
      <c r="L397" s="210">
        <f>(表格3_5[[#This Row],[Out-Time]] - 表格3_5[[#This Row],[In-Time]])*24</f>
        <v>0</v>
      </c>
      <c r="M397" s="210">
        <f>表格3_5[[#This Row],[ Hours]]-表格3_5[[#This Row],[Normal working
 hours]]</f>
        <v>0</v>
      </c>
      <c r="N397" s="205"/>
      <c r="O397" s="205"/>
      <c r="P397" s="210">
        <f>(表格3_5[[#This Row],[Out-Time2]] - 表格3_5[[#This Row],[In-Time2]])*24</f>
        <v>0</v>
      </c>
      <c r="Q397" s="205"/>
      <c r="R397" s="214">
        <f>_xlfn.XLOOKUP(表格3_5[[#This Row],[Name]],Name_list[Full Name],Name_list[Hourr Rate])</f>
        <v>0</v>
      </c>
      <c r="S397" s="210">
        <f>表格3_5[[#This Row],[Hours Worked]]*表格3_5[[#This Row],[Hourly Rate]]</f>
        <v>0</v>
      </c>
    </row>
    <row r="398" spans="1:19">
      <c r="A398" s="201">
        <v>396</v>
      </c>
      <c r="B398" s="210" t="str">
        <f>_xlfn.CONCAT(表格3_5[[#This Row],[Name]],表格3_5[[#This Row],[Location]])</f>
        <v/>
      </c>
      <c r="C398" s="211" t="str">
        <f>表格3_5[[#This Row],[Location]] &amp; 表格3_5[[#This Row],[Date]] &amp;表格3_5[[#This Row],[Nick Name]]</f>
        <v>0</v>
      </c>
      <c r="D398" s="202"/>
      <c r="E398" s="211" t="str">
        <f>DAY(表格3_5[[#This Row],[Date]])&amp;""</f>
        <v>0</v>
      </c>
      <c r="F398" s="203"/>
      <c r="G398" s="216">
        <f>_xlfn.XLOOKUP(表格3_5[[#This Row],[Name]],Name_list[Full Name],Name_list[Nick Name])</f>
        <v>0</v>
      </c>
      <c r="H398" s="207"/>
      <c r="I398" s="228"/>
      <c r="J398" s="218"/>
      <c r="K398" s="205"/>
      <c r="L398" s="210">
        <f>(表格3_5[[#This Row],[Out-Time]] - 表格3_5[[#This Row],[In-Time]])*24</f>
        <v>0</v>
      </c>
      <c r="M398" s="210">
        <f>表格3_5[[#This Row],[ Hours]]-表格3_5[[#This Row],[Normal working
 hours]]</f>
        <v>0</v>
      </c>
      <c r="N398" s="205"/>
      <c r="O398" s="205"/>
      <c r="P398" s="210">
        <f>(表格3_5[[#This Row],[Out-Time2]] - 表格3_5[[#This Row],[In-Time2]])*24</f>
        <v>0</v>
      </c>
      <c r="Q398" s="205"/>
      <c r="R398" s="214">
        <f>_xlfn.XLOOKUP(表格3_5[[#This Row],[Name]],Name_list[Full Name],Name_list[Hourr Rate])</f>
        <v>0</v>
      </c>
      <c r="S398" s="210">
        <f>表格3_5[[#This Row],[Hours Worked]]*表格3_5[[#This Row],[Hourly Rate]]</f>
        <v>0</v>
      </c>
    </row>
    <row r="399" spans="1:19">
      <c r="A399" s="201">
        <v>397</v>
      </c>
      <c r="B399" s="210" t="str">
        <f>_xlfn.CONCAT(表格3_5[[#This Row],[Name]],表格3_5[[#This Row],[Location]])</f>
        <v/>
      </c>
      <c r="C399" s="211" t="str">
        <f>表格3_5[[#This Row],[Location]] &amp; 表格3_5[[#This Row],[Date]] &amp;表格3_5[[#This Row],[Nick Name]]</f>
        <v>0</v>
      </c>
      <c r="D399" s="202"/>
      <c r="E399" s="211" t="str">
        <f>DAY(表格3_5[[#This Row],[Date]])&amp;""</f>
        <v>0</v>
      </c>
      <c r="F399" s="203"/>
      <c r="G399" s="216">
        <f>_xlfn.XLOOKUP(表格3_5[[#This Row],[Name]],Name_list[Full Name],Name_list[Nick Name])</f>
        <v>0</v>
      </c>
      <c r="H399" s="207"/>
      <c r="I399" s="228"/>
      <c r="J399" s="218"/>
      <c r="K399" s="205"/>
      <c r="L399" s="210">
        <f>(表格3_5[[#This Row],[Out-Time]] - 表格3_5[[#This Row],[In-Time]])*24</f>
        <v>0</v>
      </c>
      <c r="M399" s="210">
        <f>表格3_5[[#This Row],[ Hours]]-表格3_5[[#This Row],[Normal working
 hours]]</f>
        <v>0</v>
      </c>
      <c r="N399" s="205"/>
      <c r="O399" s="205"/>
      <c r="P399" s="210">
        <f>(表格3_5[[#This Row],[Out-Time2]] - 表格3_5[[#This Row],[In-Time2]])*24</f>
        <v>0</v>
      </c>
      <c r="Q399" s="205"/>
      <c r="R399" s="214">
        <f>_xlfn.XLOOKUP(表格3_5[[#This Row],[Name]],Name_list[Full Name],Name_list[Hourr Rate])</f>
        <v>0</v>
      </c>
      <c r="S399" s="210">
        <f>表格3_5[[#This Row],[Hours Worked]]*表格3_5[[#This Row],[Hourly Rate]]</f>
        <v>0</v>
      </c>
    </row>
    <row r="400" spans="1:19">
      <c r="A400" s="201">
        <v>398</v>
      </c>
      <c r="B400" s="210" t="str">
        <f>_xlfn.CONCAT(表格3_5[[#This Row],[Name]],表格3_5[[#This Row],[Location]])</f>
        <v/>
      </c>
      <c r="C400" s="211" t="str">
        <f>表格3_5[[#This Row],[Location]] &amp; 表格3_5[[#This Row],[Date]] &amp;表格3_5[[#This Row],[Nick Name]]</f>
        <v>0</v>
      </c>
      <c r="D400" s="202"/>
      <c r="E400" s="211" t="str">
        <f>DAY(表格3_5[[#This Row],[Date]])&amp;""</f>
        <v>0</v>
      </c>
      <c r="F400" s="203"/>
      <c r="G400" s="216">
        <f>_xlfn.XLOOKUP(表格3_5[[#This Row],[Name]],Name_list[Full Name],Name_list[Nick Name])</f>
        <v>0</v>
      </c>
      <c r="H400" s="207"/>
      <c r="I400" s="228"/>
      <c r="J400" s="218"/>
      <c r="K400" s="205"/>
      <c r="L400" s="210">
        <f>(表格3_5[[#This Row],[Out-Time]] - 表格3_5[[#This Row],[In-Time]])*24</f>
        <v>0</v>
      </c>
      <c r="M400" s="210">
        <f>表格3_5[[#This Row],[ Hours]]-表格3_5[[#This Row],[Normal working
 hours]]</f>
        <v>0</v>
      </c>
      <c r="N400" s="205"/>
      <c r="O400" s="205"/>
      <c r="P400" s="210">
        <f>(表格3_5[[#This Row],[Out-Time2]] - 表格3_5[[#This Row],[In-Time2]])*24</f>
        <v>0</v>
      </c>
      <c r="Q400" s="205"/>
      <c r="R400" s="214">
        <f>_xlfn.XLOOKUP(表格3_5[[#This Row],[Name]],Name_list[Full Name],Name_list[Hourr Rate])</f>
        <v>0</v>
      </c>
      <c r="S400" s="210">
        <f>表格3_5[[#This Row],[Hours Worked]]*表格3_5[[#This Row],[Hourly Rate]]</f>
        <v>0</v>
      </c>
    </row>
    <row r="401" spans="1:19">
      <c r="A401" s="201">
        <v>399</v>
      </c>
      <c r="B401" s="210" t="str">
        <f>_xlfn.CONCAT(表格3_5[[#This Row],[Name]],表格3_5[[#This Row],[Location]])</f>
        <v/>
      </c>
      <c r="C401" s="211" t="str">
        <f>表格3_5[[#This Row],[Location]] &amp; 表格3_5[[#This Row],[Date]] &amp;表格3_5[[#This Row],[Nick Name]]</f>
        <v>0</v>
      </c>
      <c r="D401" s="202"/>
      <c r="E401" s="211" t="str">
        <f>DAY(表格3_5[[#This Row],[Date]])&amp;""</f>
        <v>0</v>
      </c>
      <c r="F401" s="203"/>
      <c r="G401" s="216">
        <f>_xlfn.XLOOKUP(表格3_5[[#This Row],[Name]],Name_list[Full Name],Name_list[Nick Name])</f>
        <v>0</v>
      </c>
      <c r="H401" s="207"/>
      <c r="I401" s="228"/>
      <c r="J401" s="218"/>
      <c r="K401" s="205"/>
      <c r="L401" s="210">
        <f>(表格3_5[[#This Row],[Out-Time]] - 表格3_5[[#This Row],[In-Time]])*24</f>
        <v>0</v>
      </c>
      <c r="M401" s="210">
        <f>表格3_5[[#This Row],[ Hours]]-表格3_5[[#This Row],[Normal working
 hours]]</f>
        <v>0</v>
      </c>
      <c r="N401" s="205"/>
      <c r="O401" s="205"/>
      <c r="P401" s="210">
        <f>(表格3_5[[#This Row],[Out-Time2]] - 表格3_5[[#This Row],[In-Time2]])*24</f>
        <v>0</v>
      </c>
      <c r="Q401" s="205"/>
      <c r="R401" s="214">
        <f>_xlfn.XLOOKUP(表格3_5[[#This Row],[Name]],Name_list[Full Name],Name_list[Hourr Rate])</f>
        <v>0</v>
      </c>
      <c r="S401" s="210">
        <f>表格3_5[[#This Row],[Hours Worked]]*表格3_5[[#This Row],[Hourly Rate]]</f>
        <v>0</v>
      </c>
    </row>
    <row r="402" spans="1:19">
      <c r="A402" s="201">
        <v>400</v>
      </c>
      <c r="B402" s="210" t="str">
        <f>_xlfn.CONCAT(表格3_5[[#This Row],[Name]],表格3_5[[#This Row],[Location]])</f>
        <v/>
      </c>
      <c r="C402" s="211" t="str">
        <f>表格3_5[[#This Row],[Location]] &amp; 表格3_5[[#This Row],[Date]] &amp;表格3_5[[#This Row],[Nick Name]]</f>
        <v>0</v>
      </c>
      <c r="D402" s="202"/>
      <c r="E402" s="211" t="str">
        <f>DAY(表格3_5[[#This Row],[Date]])&amp;""</f>
        <v>0</v>
      </c>
      <c r="F402" s="203"/>
      <c r="G402" s="216">
        <f>_xlfn.XLOOKUP(表格3_5[[#This Row],[Name]],Name_list[Full Name],Name_list[Nick Name])</f>
        <v>0</v>
      </c>
      <c r="H402" s="207"/>
      <c r="I402" s="228"/>
      <c r="J402" s="218"/>
      <c r="K402" s="205"/>
      <c r="L402" s="210">
        <f>(表格3_5[[#This Row],[Out-Time]] - 表格3_5[[#This Row],[In-Time]])*24</f>
        <v>0</v>
      </c>
      <c r="M402" s="210">
        <f>表格3_5[[#This Row],[ Hours]]-表格3_5[[#This Row],[Normal working
 hours]]</f>
        <v>0</v>
      </c>
      <c r="N402" s="205"/>
      <c r="O402" s="205"/>
      <c r="P402" s="210">
        <f>(表格3_5[[#This Row],[Out-Time2]] - 表格3_5[[#This Row],[In-Time2]])*24</f>
        <v>0</v>
      </c>
      <c r="Q402" s="205"/>
      <c r="R402" s="214">
        <f>_xlfn.XLOOKUP(表格3_5[[#This Row],[Name]],Name_list[Full Name],Name_list[Hourr Rate])</f>
        <v>0</v>
      </c>
      <c r="S402" s="210">
        <f>表格3_5[[#This Row],[Hours Worked]]*表格3_5[[#This Row],[Hourly Rate]]</f>
        <v>0</v>
      </c>
    </row>
    <row r="403" spans="1:19">
      <c r="A403" s="201">
        <v>401</v>
      </c>
      <c r="B403" s="210" t="str">
        <f>_xlfn.CONCAT(表格3_5[[#This Row],[Name]],表格3_5[[#This Row],[Location]])</f>
        <v/>
      </c>
      <c r="C403" s="211" t="str">
        <f>表格3_5[[#This Row],[Location]] &amp; 表格3_5[[#This Row],[Date]] &amp;表格3_5[[#This Row],[Nick Name]]</f>
        <v>0</v>
      </c>
      <c r="D403" s="202"/>
      <c r="E403" s="211" t="str">
        <f>DAY(表格3_5[[#This Row],[Date]])&amp;""</f>
        <v>0</v>
      </c>
      <c r="F403" s="203"/>
      <c r="G403" s="216">
        <f>_xlfn.XLOOKUP(表格3_5[[#This Row],[Name]],Name_list[Full Name],Name_list[Nick Name])</f>
        <v>0</v>
      </c>
      <c r="H403" s="207"/>
      <c r="I403" s="228"/>
      <c r="J403" s="218"/>
      <c r="K403" s="205"/>
      <c r="L403" s="210">
        <f>(表格3_5[[#This Row],[Out-Time]] - 表格3_5[[#This Row],[In-Time]])*24</f>
        <v>0</v>
      </c>
      <c r="M403" s="210">
        <f>表格3_5[[#This Row],[ Hours]]-表格3_5[[#This Row],[Normal working
 hours]]</f>
        <v>0</v>
      </c>
      <c r="N403" s="205"/>
      <c r="O403" s="205"/>
      <c r="P403" s="210">
        <f>(表格3_5[[#This Row],[Out-Time2]] - 表格3_5[[#This Row],[In-Time2]])*24</f>
        <v>0</v>
      </c>
      <c r="Q403" s="205"/>
      <c r="R403" s="214">
        <f>_xlfn.XLOOKUP(表格3_5[[#This Row],[Name]],Name_list[Full Name],Name_list[Hourr Rate])</f>
        <v>0</v>
      </c>
      <c r="S403" s="210">
        <f>表格3_5[[#This Row],[Hours Worked]]*表格3_5[[#This Row],[Hourly Rate]]</f>
        <v>0</v>
      </c>
    </row>
    <row r="404" spans="1:19">
      <c r="A404" s="201">
        <v>402</v>
      </c>
      <c r="B404" s="210" t="str">
        <f>_xlfn.CONCAT(表格3_5[[#This Row],[Name]],表格3_5[[#This Row],[Location]])</f>
        <v/>
      </c>
      <c r="C404" s="211" t="str">
        <f>表格3_5[[#This Row],[Location]] &amp; 表格3_5[[#This Row],[Date]] &amp;表格3_5[[#This Row],[Nick Name]]</f>
        <v>0</v>
      </c>
      <c r="D404" s="202"/>
      <c r="E404" s="211" t="str">
        <f>DAY(表格3_5[[#This Row],[Date]])&amp;""</f>
        <v>0</v>
      </c>
      <c r="F404" s="203"/>
      <c r="G404" s="216">
        <f>_xlfn.XLOOKUP(表格3_5[[#This Row],[Name]],Name_list[Full Name],Name_list[Nick Name])</f>
        <v>0</v>
      </c>
      <c r="H404" s="207"/>
      <c r="I404" s="228"/>
      <c r="J404" s="218"/>
      <c r="K404" s="205"/>
      <c r="L404" s="210">
        <f>(表格3_5[[#This Row],[Out-Time]] - 表格3_5[[#This Row],[In-Time]])*24</f>
        <v>0</v>
      </c>
      <c r="M404" s="210">
        <f>表格3_5[[#This Row],[ Hours]]-表格3_5[[#This Row],[Normal working
 hours]]</f>
        <v>0</v>
      </c>
      <c r="N404" s="205"/>
      <c r="O404" s="205"/>
      <c r="P404" s="210">
        <f>(表格3_5[[#This Row],[Out-Time2]] - 表格3_5[[#This Row],[In-Time2]])*24</f>
        <v>0</v>
      </c>
      <c r="Q404" s="205"/>
      <c r="R404" s="214">
        <f>_xlfn.XLOOKUP(表格3_5[[#This Row],[Name]],Name_list[Full Name],Name_list[Hourr Rate])</f>
        <v>0</v>
      </c>
      <c r="S404" s="210">
        <f>表格3_5[[#This Row],[Hours Worked]]*表格3_5[[#This Row],[Hourly Rate]]</f>
        <v>0</v>
      </c>
    </row>
    <row r="405" spans="1:19">
      <c r="A405" s="201">
        <v>403</v>
      </c>
      <c r="B405" s="210" t="str">
        <f>_xlfn.CONCAT(表格3_5[[#This Row],[Name]],表格3_5[[#This Row],[Location]])</f>
        <v/>
      </c>
      <c r="C405" s="211" t="str">
        <f>表格3_5[[#This Row],[Location]] &amp; 表格3_5[[#This Row],[Date]] &amp;表格3_5[[#This Row],[Nick Name]]</f>
        <v>0</v>
      </c>
      <c r="D405" s="202"/>
      <c r="E405" s="211" t="str">
        <f>DAY(表格3_5[[#This Row],[Date]])&amp;""</f>
        <v>0</v>
      </c>
      <c r="F405" s="203"/>
      <c r="G405" s="216">
        <f>_xlfn.XLOOKUP(表格3_5[[#This Row],[Name]],Name_list[Full Name],Name_list[Nick Name])</f>
        <v>0</v>
      </c>
      <c r="H405" s="207"/>
      <c r="I405" s="228"/>
      <c r="J405" s="218"/>
      <c r="K405" s="205"/>
      <c r="L405" s="210">
        <f>(表格3_5[[#This Row],[Out-Time]] - 表格3_5[[#This Row],[In-Time]])*24</f>
        <v>0</v>
      </c>
      <c r="M405" s="210">
        <f>表格3_5[[#This Row],[ Hours]]-表格3_5[[#This Row],[Normal working
 hours]]</f>
        <v>0</v>
      </c>
      <c r="N405" s="205"/>
      <c r="O405" s="205"/>
      <c r="P405" s="210">
        <f>(表格3_5[[#This Row],[Out-Time2]] - 表格3_5[[#This Row],[In-Time2]])*24</f>
        <v>0</v>
      </c>
      <c r="Q405" s="205"/>
      <c r="R405" s="214">
        <f>_xlfn.XLOOKUP(表格3_5[[#This Row],[Name]],Name_list[Full Name],Name_list[Hourr Rate])</f>
        <v>0</v>
      </c>
      <c r="S405" s="210">
        <f>表格3_5[[#This Row],[Hours Worked]]*表格3_5[[#This Row],[Hourly Rate]]</f>
        <v>0</v>
      </c>
    </row>
    <row r="406" spans="1:19">
      <c r="A406" s="201">
        <v>404</v>
      </c>
      <c r="B406" s="210" t="str">
        <f>_xlfn.CONCAT(表格3_5[[#This Row],[Name]],表格3_5[[#This Row],[Location]])</f>
        <v/>
      </c>
      <c r="C406" s="211" t="str">
        <f>表格3_5[[#This Row],[Location]] &amp; 表格3_5[[#This Row],[Date]] &amp;表格3_5[[#This Row],[Nick Name]]</f>
        <v>0</v>
      </c>
      <c r="D406" s="202"/>
      <c r="E406" s="211" t="str">
        <f>DAY(表格3_5[[#This Row],[Date]])&amp;""</f>
        <v>0</v>
      </c>
      <c r="F406" s="203"/>
      <c r="G406" s="216">
        <f>_xlfn.XLOOKUP(表格3_5[[#This Row],[Name]],Name_list[Full Name],Name_list[Nick Name])</f>
        <v>0</v>
      </c>
      <c r="H406" s="207"/>
      <c r="I406" s="228"/>
      <c r="J406" s="218"/>
      <c r="K406" s="205"/>
      <c r="L406" s="210">
        <f>(表格3_5[[#This Row],[Out-Time]] - 表格3_5[[#This Row],[In-Time]])*24</f>
        <v>0</v>
      </c>
      <c r="M406" s="210">
        <f>表格3_5[[#This Row],[ Hours]]-表格3_5[[#This Row],[Normal working
 hours]]</f>
        <v>0</v>
      </c>
      <c r="N406" s="205"/>
      <c r="O406" s="205"/>
      <c r="P406" s="210">
        <f>(表格3_5[[#This Row],[Out-Time2]] - 表格3_5[[#This Row],[In-Time2]])*24</f>
        <v>0</v>
      </c>
      <c r="Q406" s="205"/>
      <c r="R406" s="214">
        <f>_xlfn.XLOOKUP(表格3_5[[#This Row],[Name]],Name_list[Full Name],Name_list[Hourr Rate])</f>
        <v>0</v>
      </c>
      <c r="S406" s="210">
        <f>表格3_5[[#This Row],[Hours Worked]]*表格3_5[[#This Row],[Hourly Rate]]</f>
        <v>0</v>
      </c>
    </row>
    <row r="407" spans="1:19">
      <c r="A407" s="201">
        <v>405</v>
      </c>
      <c r="B407" s="210" t="str">
        <f>_xlfn.CONCAT(表格3_5[[#This Row],[Name]],表格3_5[[#This Row],[Location]])</f>
        <v/>
      </c>
      <c r="C407" s="211" t="str">
        <f>表格3_5[[#This Row],[Location]] &amp; 表格3_5[[#This Row],[Date]] &amp;表格3_5[[#This Row],[Nick Name]]</f>
        <v>0</v>
      </c>
      <c r="D407" s="202"/>
      <c r="E407" s="211" t="str">
        <f>DAY(表格3_5[[#This Row],[Date]])&amp;""</f>
        <v>0</v>
      </c>
      <c r="F407" s="203"/>
      <c r="G407" s="216">
        <f>_xlfn.XLOOKUP(表格3_5[[#This Row],[Name]],Name_list[Full Name],Name_list[Nick Name])</f>
        <v>0</v>
      </c>
      <c r="H407" s="207"/>
      <c r="I407" s="228"/>
      <c r="J407" s="218"/>
      <c r="K407" s="205"/>
      <c r="L407" s="210">
        <f>(表格3_5[[#This Row],[Out-Time]] - 表格3_5[[#This Row],[In-Time]])*24</f>
        <v>0</v>
      </c>
      <c r="M407" s="210">
        <f>表格3_5[[#This Row],[ Hours]]-表格3_5[[#This Row],[Normal working
 hours]]</f>
        <v>0</v>
      </c>
      <c r="N407" s="205"/>
      <c r="O407" s="205"/>
      <c r="P407" s="210">
        <f>(表格3_5[[#This Row],[Out-Time2]] - 表格3_5[[#This Row],[In-Time2]])*24</f>
        <v>0</v>
      </c>
      <c r="Q407" s="205"/>
      <c r="R407" s="214">
        <f>_xlfn.XLOOKUP(表格3_5[[#This Row],[Name]],Name_list[Full Name],Name_list[Hourr Rate])</f>
        <v>0</v>
      </c>
      <c r="S407" s="210">
        <f>表格3_5[[#This Row],[Hours Worked]]*表格3_5[[#This Row],[Hourly Rate]]</f>
        <v>0</v>
      </c>
    </row>
    <row r="408" spans="1:19">
      <c r="A408" s="201">
        <v>406</v>
      </c>
      <c r="B408" s="210" t="str">
        <f>_xlfn.CONCAT(表格3_5[[#This Row],[Name]],表格3_5[[#This Row],[Location]])</f>
        <v/>
      </c>
      <c r="C408" s="211" t="str">
        <f>表格3_5[[#This Row],[Location]] &amp; 表格3_5[[#This Row],[Date]] &amp;表格3_5[[#This Row],[Nick Name]]</f>
        <v>0</v>
      </c>
      <c r="D408" s="202"/>
      <c r="E408" s="211" t="str">
        <f>DAY(表格3_5[[#This Row],[Date]])&amp;""</f>
        <v>0</v>
      </c>
      <c r="F408" s="203"/>
      <c r="G408" s="216">
        <f>_xlfn.XLOOKUP(表格3_5[[#This Row],[Name]],Name_list[Full Name],Name_list[Nick Name])</f>
        <v>0</v>
      </c>
      <c r="H408" s="207"/>
      <c r="I408" s="228"/>
      <c r="J408" s="218"/>
      <c r="K408" s="205"/>
      <c r="L408" s="210">
        <f>(表格3_5[[#This Row],[Out-Time]] - 表格3_5[[#This Row],[In-Time]])*24</f>
        <v>0</v>
      </c>
      <c r="M408" s="210">
        <f>表格3_5[[#This Row],[ Hours]]-表格3_5[[#This Row],[Normal working
 hours]]</f>
        <v>0</v>
      </c>
      <c r="N408" s="205"/>
      <c r="O408" s="205"/>
      <c r="P408" s="210">
        <f>(表格3_5[[#This Row],[Out-Time2]] - 表格3_5[[#This Row],[In-Time2]])*24</f>
        <v>0</v>
      </c>
      <c r="Q408" s="205"/>
      <c r="R408" s="214">
        <f>_xlfn.XLOOKUP(表格3_5[[#This Row],[Name]],Name_list[Full Name],Name_list[Hourr Rate])</f>
        <v>0</v>
      </c>
      <c r="S408" s="210">
        <f>表格3_5[[#This Row],[Hours Worked]]*表格3_5[[#This Row],[Hourly Rate]]</f>
        <v>0</v>
      </c>
    </row>
    <row r="409" spans="1:19">
      <c r="A409" s="201">
        <v>407</v>
      </c>
      <c r="B409" s="210" t="str">
        <f>_xlfn.CONCAT(表格3_5[[#This Row],[Name]],表格3_5[[#This Row],[Location]])</f>
        <v/>
      </c>
      <c r="C409" s="211" t="str">
        <f>表格3_5[[#This Row],[Location]] &amp; 表格3_5[[#This Row],[Date]] &amp;表格3_5[[#This Row],[Nick Name]]</f>
        <v>0</v>
      </c>
      <c r="D409" s="202"/>
      <c r="E409" s="211" t="str">
        <f>DAY(表格3_5[[#This Row],[Date]])&amp;""</f>
        <v>0</v>
      </c>
      <c r="F409" s="203"/>
      <c r="G409" s="216">
        <f>_xlfn.XLOOKUP(表格3_5[[#This Row],[Name]],Name_list[Full Name],Name_list[Nick Name])</f>
        <v>0</v>
      </c>
      <c r="H409" s="207"/>
      <c r="I409" s="228"/>
      <c r="J409" s="218"/>
      <c r="K409" s="205"/>
      <c r="L409" s="210">
        <f>(表格3_5[[#This Row],[Out-Time]] - 表格3_5[[#This Row],[In-Time]])*24</f>
        <v>0</v>
      </c>
      <c r="M409" s="210">
        <f>表格3_5[[#This Row],[ Hours]]-表格3_5[[#This Row],[Normal working
 hours]]</f>
        <v>0</v>
      </c>
      <c r="N409" s="205"/>
      <c r="O409" s="205"/>
      <c r="P409" s="210">
        <f>(表格3_5[[#This Row],[Out-Time2]] - 表格3_5[[#This Row],[In-Time2]])*24</f>
        <v>0</v>
      </c>
      <c r="Q409" s="205"/>
      <c r="R409" s="214">
        <f>_xlfn.XLOOKUP(表格3_5[[#This Row],[Name]],Name_list[Full Name],Name_list[Hourr Rate])</f>
        <v>0</v>
      </c>
      <c r="S409" s="210">
        <f>表格3_5[[#This Row],[Hours Worked]]*表格3_5[[#This Row],[Hourly Rate]]</f>
        <v>0</v>
      </c>
    </row>
    <row r="410" spans="1:19">
      <c r="A410" s="201">
        <v>408</v>
      </c>
      <c r="B410" s="210" t="str">
        <f>_xlfn.CONCAT(表格3_5[[#This Row],[Name]],表格3_5[[#This Row],[Location]])</f>
        <v/>
      </c>
      <c r="C410" s="211" t="str">
        <f>表格3_5[[#This Row],[Location]] &amp; 表格3_5[[#This Row],[Date]] &amp;表格3_5[[#This Row],[Nick Name]]</f>
        <v>0</v>
      </c>
      <c r="D410" s="202"/>
      <c r="E410" s="211" t="str">
        <f>DAY(表格3_5[[#This Row],[Date]])&amp;""</f>
        <v>0</v>
      </c>
      <c r="F410" s="203"/>
      <c r="G410" s="216">
        <f>_xlfn.XLOOKUP(表格3_5[[#This Row],[Name]],Name_list[Full Name],Name_list[Nick Name])</f>
        <v>0</v>
      </c>
      <c r="H410" s="207"/>
      <c r="I410" s="228"/>
      <c r="J410" s="218"/>
      <c r="K410" s="205"/>
      <c r="L410" s="210">
        <f>(表格3_5[[#This Row],[Out-Time]] - 表格3_5[[#This Row],[In-Time]])*24</f>
        <v>0</v>
      </c>
      <c r="M410" s="210">
        <f>表格3_5[[#This Row],[ Hours]]-表格3_5[[#This Row],[Normal working
 hours]]</f>
        <v>0</v>
      </c>
      <c r="N410" s="205"/>
      <c r="O410" s="205"/>
      <c r="P410" s="210">
        <f>(表格3_5[[#This Row],[Out-Time2]] - 表格3_5[[#This Row],[In-Time2]])*24</f>
        <v>0</v>
      </c>
      <c r="Q410" s="205"/>
      <c r="R410" s="214">
        <f>_xlfn.XLOOKUP(表格3_5[[#This Row],[Name]],Name_list[Full Name],Name_list[Hourr Rate])</f>
        <v>0</v>
      </c>
      <c r="S410" s="210">
        <f>表格3_5[[#This Row],[Hours Worked]]*表格3_5[[#This Row],[Hourly Rate]]</f>
        <v>0</v>
      </c>
    </row>
    <row r="411" spans="1:19">
      <c r="A411" s="201">
        <v>409</v>
      </c>
      <c r="B411" s="210" t="str">
        <f>_xlfn.CONCAT(表格3_5[[#This Row],[Name]],表格3_5[[#This Row],[Location]])</f>
        <v/>
      </c>
      <c r="C411" s="211" t="str">
        <f>表格3_5[[#This Row],[Location]] &amp; 表格3_5[[#This Row],[Date]] &amp;表格3_5[[#This Row],[Nick Name]]</f>
        <v>0</v>
      </c>
      <c r="D411" s="202"/>
      <c r="E411" s="211" t="str">
        <f>DAY(表格3_5[[#This Row],[Date]])&amp;""</f>
        <v>0</v>
      </c>
      <c r="F411" s="203"/>
      <c r="G411" s="216">
        <f>_xlfn.XLOOKUP(表格3_5[[#This Row],[Name]],Name_list[Full Name],Name_list[Nick Name])</f>
        <v>0</v>
      </c>
      <c r="H411" s="207"/>
      <c r="I411" s="228"/>
      <c r="J411" s="218"/>
      <c r="K411" s="205"/>
      <c r="L411" s="210">
        <f>(表格3_5[[#This Row],[Out-Time]] - 表格3_5[[#This Row],[In-Time]])*24</f>
        <v>0</v>
      </c>
      <c r="M411" s="210">
        <f>表格3_5[[#This Row],[ Hours]]-表格3_5[[#This Row],[Normal working
 hours]]</f>
        <v>0</v>
      </c>
      <c r="N411" s="205"/>
      <c r="O411" s="205"/>
      <c r="P411" s="210">
        <f>(表格3_5[[#This Row],[Out-Time2]] - 表格3_5[[#This Row],[In-Time2]])*24</f>
        <v>0</v>
      </c>
      <c r="Q411" s="205"/>
      <c r="R411" s="214">
        <f>_xlfn.XLOOKUP(表格3_5[[#This Row],[Name]],Name_list[Full Name],Name_list[Hourr Rate])</f>
        <v>0</v>
      </c>
      <c r="S411" s="210">
        <f>表格3_5[[#This Row],[Hours Worked]]*表格3_5[[#This Row],[Hourly Rate]]</f>
        <v>0</v>
      </c>
    </row>
    <row r="412" spans="1:19">
      <c r="A412" s="201">
        <v>410</v>
      </c>
      <c r="B412" s="210" t="str">
        <f>_xlfn.CONCAT(表格3_5[[#This Row],[Name]],表格3_5[[#This Row],[Location]])</f>
        <v/>
      </c>
      <c r="C412" s="211" t="str">
        <f>表格3_5[[#This Row],[Location]] &amp; 表格3_5[[#This Row],[Date]] &amp;表格3_5[[#This Row],[Nick Name]]</f>
        <v>0</v>
      </c>
      <c r="D412" s="202"/>
      <c r="E412" s="211" t="str">
        <f>DAY(表格3_5[[#This Row],[Date]])&amp;""</f>
        <v>0</v>
      </c>
      <c r="F412" s="203"/>
      <c r="G412" s="216">
        <f>_xlfn.XLOOKUP(表格3_5[[#This Row],[Name]],Name_list[Full Name],Name_list[Nick Name])</f>
        <v>0</v>
      </c>
      <c r="H412" s="207"/>
      <c r="I412" s="228"/>
      <c r="J412" s="218"/>
      <c r="K412" s="205"/>
      <c r="L412" s="210">
        <f>(表格3_5[[#This Row],[Out-Time]] - 表格3_5[[#This Row],[In-Time]])*24</f>
        <v>0</v>
      </c>
      <c r="M412" s="210">
        <f>表格3_5[[#This Row],[ Hours]]-表格3_5[[#This Row],[Normal working
 hours]]</f>
        <v>0</v>
      </c>
      <c r="N412" s="205"/>
      <c r="O412" s="205"/>
      <c r="P412" s="210">
        <f>(表格3_5[[#This Row],[Out-Time2]] - 表格3_5[[#This Row],[In-Time2]])*24</f>
        <v>0</v>
      </c>
      <c r="Q412" s="205"/>
      <c r="R412" s="214">
        <f>_xlfn.XLOOKUP(表格3_5[[#This Row],[Name]],Name_list[Full Name],Name_list[Hourr Rate])</f>
        <v>0</v>
      </c>
      <c r="S412" s="210">
        <f>表格3_5[[#This Row],[Hours Worked]]*表格3_5[[#This Row],[Hourly Rate]]</f>
        <v>0</v>
      </c>
    </row>
    <row r="413" spans="1:19">
      <c r="A413" s="201">
        <v>411</v>
      </c>
      <c r="B413" s="210" t="str">
        <f>_xlfn.CONCAT(表格3_5[[#This Row],[Name]],表格3_5[[#This Row],[Location]])</f>
        <v/>
      </c>
      <c r="C413" s="211" t="str">
        <f>表格3_5[[#This Row],[Location]] &amp; 表格3_5[[#This Row],[Date]] &amp;表格3_5[[#This Row],[Nick Name]]</f>
        <v>0</v>
      </c>
      <c r="D413" s="202"/>
      <c r="E413" s="211" t="str">
        <f>DAY(表格3_5[[#This Row],[Date]])&amp;""</f>
        <v>0</v>
      </c>
      <c r="F413" s="203"/>
      <c r="G413" s="216">
        <f>_xlfn.XLOOKUP(表格3_5[[#This Row],[Name]],Name_list[Full Name],Name_list[Nick Name])</f>
        <v>0</v>
      </c>
      <c r="H413" s="207"/>
      <c r="I413" s="228"/>
      <c r="J413" s="218"/>
      <c r="K413" s="205"/>
      <c r="L413" s="210">
        <f>(表格3_5[[#This Row],[Out-Time]] - 表格3_5[[#This Row],[In-Time]])*24</f>
        <v>0</v>
      </c>
      <c r="M413" s="210">
        <f>表格3_5[[#This Row],[ Hours]]-表格3_5[[#This Row],[Normal working
 hours]]</f>
        <v>0</v>
      </c>
      <c r="N413" s="205"/>
      <c r="O413" s="205"/>
      <c r="P413" s="210">
        <f>(表格3_5[[#This Row],[Out-Time2]] - 表格3_5[[#This Row],[In-Time2]])*24</f>
        <v>0</v>
      </c>
      <c r="Q413" s="205"/>
      <c r="R413" s="214">
        <f>_xlfn.XLOOKUP(表格3_5[[#This Row],[Name]],Name_list[Full Name],Name_list[Hourr Rate])</f>
        <v>0</v>
      </c>
      <c r="S413" s="210">
        <f>表格3_5[[#This Row],[Hours Worked]]*表格3_5[[#This Row],[Hourly Rate]]</f>
        <v>0</v>
      </c>
    </row>
    <row r="414" spans="1:19">
      <c r="A414" s="201">
        <v>412</v>
      </c>
      <c r="B414" s="210" t="str">
        <f>_xlfn.CONCAT(表格3_5[[#This Row],[Name]],表格3_5[[#This Row],[Location]])</f>
        <v/>
      </c>
      <c r="C414" s="211" t="str">
        <f>表格3_5[[#This Row],[Location]] &amp; 表格3_5[[#This Row],[Date]] &amp;表格3_5[[#This Row],[Nick Name]]</f>
        <v>0</v>
      </c>
      <c r="D414" s="202"/>
      <c r="E414" s="211" t="str">
        <f>DAY(表格3_5[[#This Row],[Date]])&amp;""</f>
        <v>0</v>
      </c>
      <c r="F414" s="203"/>
      <c r="G414" s="216">
        <f>_xlfn.XLOOKUP(表格3_5[[#This Row],[Name]],Name_list[Full Name],Name_list[Nick Name])</f>
        <v>0</v>
      </c>
      <c r="H414" s="207"/>
      <c r="I414" s="228"/>
      <c r="J414" s="218"/>
      <c r="K414" s="205"/>
      <c r="L414" s="210">
        <f>(表格3_5[[#This Row],[Out-Time]] - 表格3_5[[#This Row],[In-Time]])*24</f>
        <v>0</v>
      </c>
      <c r="M414" s="210">
        <f>表格3_5[[#This Row],[ Hours]]-表格3_5[[#This Row],[Normal working
 hours]]</f>
        <v>0</v>
      </c>
      <c r="N414" s="205"/>
      <c r="O414" s="205"/>
      <c r="P414" s="210">
        <f>(表格3_5[[#This Row],[Out-Time2]] - 表格3_5[[#This Row],[In-Time2]])*24</f>
        <v>0</v>
      </c>
      <c r="Q414" s="205"/>
      <c r="R414" s="214">
        <f>_xlfn.XLOOKUP(表格3_5[[#This Row],[Name]],Name_list[Full Name],Name_list[Hourr Rate])</f>
        <v>0</v>
      </c>
      <c r="S414" s="210">
        <f>表格3_5[[#This Row],[Hours Worked]]*表格3_5[[#This Row],[Hourly Rate]]</f>
        <v>0</v>
      </c>
    </row>
    <row r="415" spans="1:19">
      <c r="A415" s="201">
        <v>413</v>
      </c>
      <c r="B415" s="210" t="str">
        <f>_xlfn.CONCAT(表格3_5[[#This Row],[Name]],表格3_5[[#This Row],[Location]])</f>
        <v/>
      </c>
      <c r="C415" s="211" t="str">
        <f>表格3_5[[#This Row],[Location]] &amp; 表格3_5[[#This Row],[Date]] &amp;表格3_5[[#This Row],[Nick Name]]</f>
        <v>0</v>
      </c>
      <c r="D415" s="202"/>
      <c r="E415" s="211" t="str">
        <f>DAY(表格3_5[[#This Row],[Date]])&amp;""</f>
        <v>0</v>
      </c>
      <c r="F415" s="203"/>
      <c r="G415" s="216">
        <f>_xlfn.XLOOKUP(表格3_5[[#This Row],[Name]],Name_list[Full Name],Name_list[Nick Name])</f>
        <v>0</v>
      </c>
      <c r="H415" s="207"/>
      <c r="I415" s="228"/>
      <c r="J415" s="218"/>
      <c r="K415" s="205"/>
      <c r="L415" s="210">
        <f>(表格3_5[[#This Row],[Out-Time]] - 表格3_5[[#This Row],[In-Time]])*24</f>
        <v>0</v>
      </c>
      <c r="M415" s="210">
        <f>表格3_5[[#This Row],[ Hours]]-表格3_5[[#This Row],[Normal working
 hours]]</f>
        <v>0</v>
      </c>
      <c r="N415" s="205"/>
      <c r="O415" s="205"/>
      <c r="P415" s="210">
        <f>(表格3_5[[#This Row],[Out-Time2]] - 表格3_5[[#This Row],[In-Time2]])*24</f>
        <v>0</v>
      </c>
      <c r="Q415" s="205"/>
      <c r="R415" s="214">
        <f>_xlfn.XLOOKUP(表格3_5[[#This Row],[Name]],Name_list[Full Name],Name_list[Hourr Rate])</f>
        <v>0</v>
      </c>
      <c r="S415" s="210">
        <f>表格3_5[[#This Row],[Hours Worked]]*表格3_5[[#This Row],[Hourly Rate]]</f>
        <v>0</v>
      </c>
    </row>
    <row r="416" spans="1:19">
      <c r="A416" s="201">
        <v>414</v>
      </c>
      <c r="B416" s="210" t="str">
        <f>_xlfn.CONCAT(表格3_5[[#This Row],[Name]],表格3_5[[#This Row],[Location]])</f>
        <v/>
      </c>
      <c r="C416" s="211" t="str">
        <f>表格3_5[[#This Row],[Location]] &amp; 表格3_5[[#This Row],[Date]] &amp;表格3_5[[#This Row],[Nick Name]]</f>
        <v>0</v>
      </c>
      <c r="D416" s="202"/>
      <c r="E416" s="211" t="str">
        <f>DAY(表格3_5[[#This Row],[Date]])&amp;""</f>
        <v>0</v>
      </c>
      <c r="F416" s="203"/>
      <c r="G416" s="216">
        <f>_xlfn.XLOOKUP(表格3_5[[#This Row],[Name]],Name_list[Full Name],Name_list[Nick Name])</f>
        <v>0</v>
      </c>
      <c r="H416" s="207"/>
      <c r="I416" s="228"/>
      <c r="J416" s="218"/>
      <c r="K416" s="205"/>
      <c r="L416" s="210">
        <f>(表格3_5[[#This Row],[Out-Time]] - 表格3_5[[#This Row],[In-Time]])*24</f>
        <v>0</v>
      </c>
      <c r="M416" s="210">
        <f>表格3_5[[#This Row],[ Hours]]-表格3_5[[#This Row],[Normal working
 hours]]</f>
        <v>0</v>
      </c>
      <c r="N416" s="205"/>
      <c r="O416" s="205"/>
      <c r="P416" s="210">
        <f>(表格3_5[[#This Row],[Out-Time2]] - 表格3_5[[#This Row],[In-Time2]])*24</f>
        <v>0</v>
      </c>
      <c r="Q416" s="205"/>
      <c r="R416" s="214">
        <f>_xlfn.XLOOKUP(表格3_5[[#This Row],[Name]],Name_list[Full Name],Name_list[Hourr Rate])</f>
        <v>0</v>
      </c>
      <c r="S416" s="210">
        <f>表格3_5[[#This Row],[Hours Worked]]*表格3_5[[#This Row],[Hourly Rate]]</f>
        <v>0</v>
      </c>
    </row>
    <row r="417" spans="1:19">
      <c r="A417" s="201">
        <v>415</v>
      </c>
      <c r="B417" s="210" t="str">
        <f>_xlfn.CONCAT(表格3_5[[#This Row],[Name]],表格3_5[[#This Row],[Location]])</f>
        <v/>
      </c>
      <c r="C417" s="211" t="str">
        <f>表格3_5[[#This Row],[Location]] &amp; 表格3_5[[#This Row],[Date]] &amp;表格3_5[[#This Row],[Nick Name]]</f>
        <v>0</v>
      </c>
      <c r="D417" s="202"/>
      <c r="E417" s="211" t="str">
        <f>DAY(表格3_5[[#This Row],[Date]])&amp;""</f>
        <v>0</v>
      </c>
      <c r="F417" s="203"/>
      <c r="G417" s="216">
        <f>_xlfn.XLOOKUP(表格3_5[[#This Row],[Name]],Name_list[Full Name],Name_list[Nick Name])</f>
        <v>0</v>
      </c>
      <c r="H417" s="207"/>
      <c r="I417" s="228"/>
      <c r="J417" s="218"/>
      <c r="K417" s="205"/>
      <c r="L417" s="210">
        <f>(表格3_5[[#This Row],[Out-Time]] - 表格3_5[[#This Row],[In-Time]])*24</f>
        <v>0</v>
      </c>
      <c r="M417" s="210">
        <f>表格3_5[[#This Row],[ Hours]]-表格3_5[[#This Row],[Normal working
 hours]]</f>
        <v>0</v>
      </c>
      <c r="N417" s="205"/>
      <c r="O417" s="205"/>
      <c r="P417" s="210">
        <f>(表格3_5[[#This Row],[Out-Time2]] - 表格3_5[[#This Row],[In-Time2]])*24</f>
        <v>0</v>
      </c>
      <c r="Q417" s="205"/>
      <c r="R417" s="214">
        <f>_xlfn.XLOOKUP(表格3_5[[#This Row],[Name]],Name_list[Full Name],Name_list[Hourr Rate])</f>
        <v>0</v>
      </c>
      <c r="S417" s="210">
        <f>表格3_5[[#This Row],[Hours Worked]]*表格3_5[[#This Row],[Hourly Rate]]</f>
        <v>0</v>
      </c>
    </row>
    <row r="418" spans="1:19">
      <c r="A418" s="201">
        <v>416</v>
      </c>
      <c r="B418" s="210" t="str">
        <f>_xlfn.CONCAT(表格3_5[[#This Row],[Name]],表格3_5[[#This Row],[Location]])</f>
        <v/>
      </c>
      <c r="C418" s="211" t="str">
        <f>表格3_5[[#This Row],[Location]] &amp; 表格3_5[[#This Row],[Date]] &amp;表格3_5[[#This Row],[Nick Name]]</f>
        <v>0</v>
      </c>
      <c r="D418" s="202"/>
      <c r="E418" s="211" t="str">
        <f>DAY(表格3_5[[#This Row],[Date]])&amp;""</f>
        <v>0</v>
      </c>
      <c r="F418" s="203"/>
      <c r="G418" s="216">
        <f>_xlfn.XLOOKUP(表格3_5[[#This Row],[Name]],Name_list[Full Name],Name_list[Nick Name])</f>
        <v>0</v>
      </c>
      <c r="H418" s="207"/>
      <c r="I418" s="228"/>
      <c r="J418" s="218"/>
      <c r="K418" s="205"/>
      <c r="L418" s="210">
        <f>(表格3_5[[#This Row],[Out-Time]] - 表格3_5[[#This Row],[In-Time]])*24</f>
        <v>0</v>
      </c>
      <c r="M418" s="210">
        <f>表格3_5[[#This Row],[ Hours]]-表格3_5[[#This Row],[Normal working
 hours]]</f>
        <v>0</v>
      </c>
      <c r="N418" s="205"/>
      <c r="O418" s="205"/>
      <c r="P418" s="210">
        <f>(表格3_5[[#This Row],[Out-Time2]] - 表格3_5[[#This Row],[In-Time2]])*24</f>
        <v>0</v>
      </c>
      <c r="Q418" s="205"/>
      <c r="R418" s="214">
        <f>_xlfn.XLOOKUP(表格3_5[[#This Row],[Name]],Name_list[Full Name],Name_list[Hourr Rate])</f>
        <v>0</v>
      </c>
      <c r="S418" s="210">
        <f>表格3_5[[#This Row],[Hours Worked]]*表格3_5[[#This Row],[Hourly Rate]]</f>
        <v>0</v>
      </c>
    </row>
    <row r="419" spans="1:19">
      <c r="A419" s="201">
        <v>417</v>
      </c>
      <c r="B419" s="210" t="str">
        <f>_xlfn.CONCAT(表格3_5[[#This Row],[Name]],表格3_5[[#This Row],[Location]])</f>
        <v/>
      </c>
      <c r="C419" s="211" t="str">
        <f>表格3_5[[#This Row],[Location]] &amp; 表格3_5[[#This Row],[Date]] &amp;表格3_5[[#This Row],[Nick Name]]</f>
        <v>0</v>
      </c>
      <c r="D419" s="202"/>
      <c r="E419" s="211" t="str">
        <f>DAY(表格3_5[[#This Row],[Date]])&amp;""</f>
        <v>0</v>
      </c>
      <c r="F419" s="203"/>
      <c r="G419" s="216">
        <f>_xlfn.XLOOKUP(表格3_5[[#This Row],[Name]],Name_list[Full Name],Name_list[Nick Name])</f>
        <v>0</v>
      </c>
      <c r="H419" s="207"/>
      <c r="I419" s="228"/>
      <c r="J419" s="218"/>
      <c r="K419" s="205"/>
      <c r="L419" s="210">
        <f>(表格3_5[[#This Row],[Out-Time]] - 表格3_5[[#This Row],[In-Time]])*24</f>
        <v>0</v>
      </c>
      <c r="M419" s="210">
        <f>表格3_5[[#This Row],[ Hours]]-表格3_5[[#This Row],[Normal working
 hours]]</f>
        <v>0</v>
      </c>
      <c r="N419" s="205"/>
      <c r="O419" s="205"/>
      <c r="P419" s="210">
        <f>(表格3_5[[#This Row],[Out-Time2]] - 表格3_5[[#This Row],[In-Time2]])*24</f>
        <v>0</v>
      </c>
      <c r="Q419" s="205"/>
      <c r="R419" s="214">
        <f>_xlfn.XLOOKUP(表格3_5[[#This Row],[Name]],Name_list[Full Name],Name_list[Hourr Rate])</f>
        <v>0</v>
      </c>
      <c r="S419" s="210">
        <f>表格3_5[[#This Row],[Hours Worked]]*表格3_5[[#This Row],[Hourly Rate]]</f>
        <v>0</v>
      </c>
    </row>
    <row r="420" spans="1:19">
      <c r="A420" s="201">
        <v>418</v>
      </c>
      <c r="B420" s="210" t="str">
        <f>_xlfn.CONCAT(表格3_5[[#This Row],[Name]],表格3_5[[#This Row],[Location]])</f>
        <v/>
      </c>
      <c r="C420" s="211" t="str">
        <f>表格3_5[[#This Row],[Location]] &amp; 表格3_5[[#This Row],[Date]] &amp;表格3_5[[#This Row],[Nick Name]]</f>
        <v>0</v>
      </c>
      <c r="D420" s="202"/>
      <c r="E420" s="211" t="str">
        <f>DAY(表格3_5[[#This Row],[Date]])&amp;""</f>
        <v>0</v>
      </c>
      <c r="F420" s="203"/>
      <c r="G420" s="216">
        <f>_xlfn.XLOOKUP(表格3_5[[#This Row],[Name]],Name_list[Full Name],Name_list[Nick Name])</f>
        <v>0</v>
      </c>
      <c r="H420" s="207"/>
      <c r="I420" s="228"/>
      <c r="J420" s="218"/>
      <c r="K420" s="205"/>
      <c r="L420" s="210">
        <f>(表格3_5[[#This Row],[Out-Time]] - 表格3_5[[#This Row],[In-Time]])*24</f>
        <v>0</v>
      </c>
      <c r="M420" s="210">
        <f>表格3_5[[#This Row],[ Hours]]-表格3_5[[#This Row],[Normal working
 hours]]</f>
        <v>0</v>
      </c>
      <c r="N420" s="205"/>
      <c r="O420" s="205"/>
      <c r="P420" s="210">
        <f>(表格3_5[[#This Row],[Out-Time2]] - 表格3_5[[#This Row],[In-Time2]])*24</f>
        <v>0</v>
      </c>
      <c r="Q420" s="205"/>
      <c r="R420" s="214">
        <f>_xlfn.XLOOKUP(表格3_5[[#This Row],[Name]],Name_list[Full Name],Name_list[Hourr Rate])</f>
        <v>0</v>
      </c>
      <c r="S420" s="210">
        <f>表格3_5[[#This Row],[Hours Worked]]*表格3_5[[#This Row],[Hourly Rate]]</f>
        <v>0</v>
      </c>
    </row>
    <row r="421" spans="1:19">
      <c r="A421" s="201">
        <v>419</v>
      </c>
      <c r="B421" s="210" t="str">
        <f>_xlfn.CONCAT(表格3_5[[#This Row],[Name]],表格3_5[[#This Row],[Location]])</f>
        <v/>
      </c>
      <c r="C421" s="211" t="str">
        <f>表格3_5[[#This Row],[Location]] &amp; 表格3_5[[#This Row],[Date]] &amp;表格3_5[[#This Row],[Nick Name]]</f>
        <v>0</v>
      </c>
      <c r="D421" s="202"/>
      <c r="E421" s="211" t="str">
        <f>DAY(表格3_5[[#This Row],[Date]])&amp;""</f>
        <v>0</v>
      </c>
      <c r="F421" s="203"/>
      <c r="G421" s="216">
        <f>_xlfn.XLOOKUP(表格3_5[[#This Row],[Name]],Name_list[Full Name],Name_list[Nick Name])</f>
        <v>0</v>
      </c>
      <c r="H421" s="207"/>
      <c r="I421" s="228"/>
      <c r="J421" s="218"/>
      <c r="K421" s="205"/>
      <c r="L421" s="210">
        <f>(表格3_5[[#This Row],[Out-Time]] - 表格3_5[[#This Row],[In-Time]])*24</f>
        <v>0</v>
      </c>
      <c r="M421" s="210">
        <f>表格3_5[[#This Row],[ Hours]]-表格3_5[[#This Row],[Normal working
 hours]]</f>
        <v>0</v>
      </c>
      <c r="N421" s="205"/>
      <c r="O421" s="205"/>
      <c r="P421" s="210">
        <f>(表格3_5[[#This Row],[Out-Time2]] - 表格3_5[[#This Row],[In-Time2]])*24</f>
        <v>0</v>
      </c>
      <c r="Q421" s="205"/>
      <c r="R421" s="214">
        <f>_xlfn.XLOOKUP(表格3_5[[#This Row],[Name]],Name_list[Full Name],Name_list[Hourr Rate])</f>
        <v>0</v>
      </c>
      <c r="S421" s="210">
        <f>表格3_5[[#This Row],[Hours Worked]]*表格3_5[[#This Row],[Hourly Rate]]</f>
        <v>0</v>
      </c>
    </row>
    <row r="422" spans="1:19">
      <c r="A422" s="201">
        <v>420</v>
      </c>
      <c r="B422" s="210" t="str">
        <f>_xlfn.CONCAT(表格3_5[[#This Row],[Name]],表格3_5[[#This Row],[Location]])</f>
        <v/>
      </c>
      <c r="C422" s="211" t="str">
        <f>表格3_5[[#This Row],[Location]] &amp; 表格3_5[[#This Row],[Date]] &amp;表格3_5[[#This Row],[Nick Name]]</f>
        <v>0</v>
      </c>
      <c r="D422" s="202"/>
      <c r="E422" s="211" t="str">
        <f>DAY(表格3_5[[#This Row],[Date]])&amp;""</f>
        <v>0</v>
      </c>
      <c r="F422" s="203"/>
      <c r="G422" s="216">
        <f>_xlfn.XLOOKUP(表格3_5[[#This Row],[Name]],Name_list[Full Name],Name_list[Nick Name])</f>
        <v>0</v>
      </c>
      <c r="H422" s="207"/>
      <c r="I422" s="228"/>
      <c r="J422" s="218"/>
      <c r="K422" s="205"/>
      <c r="L422" s="210">
        <f>(表格3_5[[#This Row],[Out-Time]] - 表格3_5[[#This Row],[In-Time]])*24</f>
        <v>0</v>
      </c>
      <c r="M422" s="210">
        <f>表格3_5[[#This Row],[ Hours]]-表格3_5[[#This Row],[Normal working
 hours]]</f>
        <v>0</v>
      </c>
      <c r="N422" s="205"/>
      <c r="O422" s="205"/>
      <c r="P422" s="210">
        <f>(表格3_5[[#This Row],[Out-Time2]] - 表格3_5[[#This Row],[In-Time2]])*24</f>
        <v>0</v>
      </c>
      <c r="Q422" s="205"/>
      <c r="R422" s="214">
        <f>_xlfn.XLOOKUP(表格3_5[[#This Row],[Name]],Name_list[Full Name],Name_list[Hourr Rate])</f>
        <v>0</v>
      </c>
      <c r="S422" s="210">
        <f>表格3_5[[#This Row],[Hours Worked]]*表格3_5[[#This Row],[Hourly Rate]]</f>
        <v>0</v>
      </c>
    </row>
    <row r="423" spans="1:19">
      <c r="A423" s="201">
        <v>421</v>
      </c>
      <c r="B423" s="210" t="str">
        <f>_xlfn.CONCAT(表格3_5[[#This Row],[Name]],表格3_5[[#This Row],[Location]])</f>
        <v/>
      </c>
      <c r="C423" s="211" t="str">
        <f>表格3_5[[#This Row],[Location]] &amp; 表格3_5[[#This Row],[Date]] &amp;表格3_5[[#This Row],[Nick Name]]</f>
        <v>0</v>
      </c>
      <c r="D423" s="202"/>
      <c r="E423" s="211" t="str">
        <f>DAY(表格3_5[[#This Row],[Date]])&amp;""</f>
        <v>0</v>
      </c>
      <c r="F423" s="203"/>
      <c r="G423" s="216">
        <f>_xlfn.XLOOKUP(表格3_5[[#This Row],[Name]],Name_list[Full Name],Name_list[Nick Name])</f>
        <v>0</v>
      </c>
      <c r="H423" s="207"/>
      <c r="I423" s="228"/>
      <c r="J423" s="218"/>
      <c r="K423" s="205"/>
      <c r="L423" s="210">
        <f>(表格3_5[[#This Row],[Out-Time]] - 表格3_5[[#This Row],[In-Time]])*24</f>
        <v>0</v>
      </c>
      <c r="M423" s="210">
        <f>表格3_5[[#This Row],[ Hours]]-表格3_5[[#This Row],[Normal working
 hours]]</f>
        <v>0</v>
      </c>
      <c r="N423" s="205"/>
      <c r="O423" s="205"/>
      <c r="P423" s="210">
        <f>(表格3_5[[#This Row],[Out-Time2]] - 表格3_5[[#This Row],[In-Time2]])*24</f>
        <v>0</v>
      </c>
      <c r="Q423" s="205"/>
      <c r="R423" s="214">
        <f>_xlfn.XLOOKUP(表格3_5[[#This Row],[Name]],Name_list[Full Name],Name_list[Hourr Rate])</f>
        <v>0</v>
      </c>
      <c r="S423" s="210">
        <f>表格3_5[[#This Row],[Hours Worked]]*表格3_5[[#This Row],[Hourly Rate]]</f>
        <v>0</v>
      </c>
    </row>
    <row r="424" spans="1:19">
      <c r="A424" s="201">
        <v>422</v>
      </c>
      <c r="B424" s="210" t="str">
        <f>_xlfn.CONCAT(表格3_5[[#This Row],[Name]],表格3_5[[#This Row],[Location]])</f>
        <v/>
      </c>
      <c r="C424" s="211" t="str">
        <f>表格3_5[[#This Row],[Location]] &amp; 表格3_5[[#This Row],[Date]] &amp;表格3_5[[#This Row],[Nick Name]]</f>
        <v>0</v>
      </c>
      <c r="D424" s="202"/>
      <c r="E424" s="211" t="str">
        <f>DAY(表格3_5[[#This Row],[Date]])&amp;""</f>
        <v>0</v>
      </c>
      <c r="F424" s="203"/>
      <c r="G424" s="216">
        <f>_xlfn.XLOOKUP(表格3_5[[#This Row],[Name]],Name_list[Full Name],Name_list[Nick Name])</f>
        <v>0</v>
      </c>
      <c r="H424" s="207"/>
      <c r="I424" s="228"/>
      <c r="J424" s="218"/>
      <c r="K424" s="205"/>
      <c r="L424" s="210">
        <f>(表格3_5[[#This Row],[Out-Time]] - 表格3_5[[#This Row],[In-Time]])*24</f>
        <v>0</v>
      </c>
      <c r="M424" s="210">
        <f>表格3_5[[#This Row],[ Hours]]-表格3_5[[#This Row],[Normal working
 hours]]</f>
        <v>0</v>
      </c>
      <c r="N424" s="205"/>
      <c r="O424" s="205"/>
      <c r="P424" s="210">
        <f>(表格3_5[[#This Row],[Out-Time2]] - 表格3_5[[#This Row],[In-Time2]])*24</f>
        <v>0</v>
      </c>
      <c r="Q424" s="205"/>
      <c r="R424" s="214">
        <f>_xlfn.XLOOKUP(表格3_5[[#This Row],[Name]],Name_list[Full Name],Name_list[Hourr Rate])</f>
        <v>0</v>
      </c>
      <c r="S424" s="210">
        <f>表格3_5[[#This Row],[Hours Worked]]*表格3_5[[#This Row],[Hourly Rate]]</f>
        <v>0</v>
      </c>
    </row>
    <row r="425" spans="1:19">
      <c r="A425" s="201">
        <v>423</v>
      </c>
      <c r="B425" s="210" t="str">
        <f>_xlfn.CONCAT(表格3_5[[#This Row],[Name]],表格3_5[[#This Row],[Location]])</f>
        <v/>
      </c>
      <c r="C425" s="211" t="str">
        <f>表格3_5[[#This Row],[Location]] &amp; 表格3_5[[#This Row],[Date]] &amp;表格3_5[[#This Row],[Nick Name]]</f>
        <v>0</v>
      </c>
      <c r="D425" s="202"/>
      <c r="E425" s="211" t="str">
        <f>DAY(表格3_5[[#This Row],[Date]])&amp;""</f>
        <v>0</v>
      </c>
      <c r="F425" s="203"/>
      <c r="G425" s="216">
        <f>_xlfn.XLOOKUP(表格3_5[[#This Row],[Name]],Name_list[Full Name],Name_list[Nick Name])</f>
        <v>0</v>
      </c>
      <c r="H425" s="207"/>
      <c r="I425" s="228"/>
      <c r="J425" s="218"/>
      <c r="K425" s="205"/>
      <c r="L425" s="210">
        <f>(表格3_5[[#This Row],[Out-Time]] - 表格3_5[[#This Row],[In-Time]])*24</f>
        <v>0</v>
      </c>
      <c r="M425" s="210">
        <f>表格3_5[[#This Row],[ Hours]]-表格3_5[[#This Row],[Normal working
 hours]]</f>
        <v>0</v>
      </c>
      <c r="N425" s="205"/>
      <c r="O425" s="205"/>
      <c r="P425" s="210">
        <f>(表格3_5[[#This Row],[Out-Time2]] - 表格3_5[[#This Row],[In-Time2]])*24</f>
        <v>0</v>
      </c>
      <c r="Q425" s="205"/>
      <c r="R425" s="214">
        <f>_xlfn.XLOOKUP(表格3_5[[#This Row],[Name]],Name_list[Full Name],Name_list[Hourr Rate])</f>
        <v>0</v>
      </c>
      <c r="S425" s="210">
        <f>表格3_5[[#This Row],[Hours Worked]]*表格3_5[[#This Row],[Hourly Rate]]</f>
        <v>0</v>
      </c>
    </row>
    <row r="426" spans="1:19">
      <c r="A426" s="201">
        <v>424</v>
      </c>
      <c r="B426" s="210" t="str">
        <f>_xlfn.CONCAT(表格3_5[[#This Row],[Name]],表格3_5[[#This Row],[Location]])</f>
        <v/>
      </c>
      <c r="C426" s="211" t="str">
        <f>表格3_5[[#This Row],[Location]] &amp; 表格3_5[[#This Row],[Date]] &amp;表格3_5[[#This Row],[Nick Name]]</f>
        <v>0</v>
      </c>
      <c r="D426" s="202"/>
      <c r="E426" s="211" t="str">
        <f>DAY(表格3_5[[#This Row],[Date]])&amp;""</f>
        <v>0</v>
      </c>
      <c r="F426" s="203"/>
      <c r="G426" s="216">
        <f>_xlfn.XLOOKUP(表格3_5[[#This Row],[Name]],Name_list[Full Name],Name_list[Nick Name])</f>
        <v>0</v>
      </c>
      <c r="H426" s="207"/>
      <c r="I426" s="228"/>
      <c r="J426" s="218"/>
      <c r="K426" s="205"/>
      <c r="L426" s="210">
        <f>(表格3_5[[#This Row],[Out-Time]] - 表格3_5[[#This Row],[In-Time]])*24</f>
        <v>0</v>
      </c>
      <c r="M426" s="210">
        <f>表格3_5[[#This Row],[ Hours]]-表格3_5[[#This Row],[Normal working
 hours]]</f>
        <v>0</v>
      </c>
      <c r="N426" s="205"/>
      <c r="O426" s="205"/>
      <c r="P426" s="210">
        <f>(表格3_5[[#This Row],[Out-Time2]] - 表格3_5[[#This Row],[In-Time2]])*24</f>
        <v>0</v>
      </c>
      <c r="Q426" s="205"/>
      <c r="R426" s="214">
        <f>_xlfn.XLOOKUP(表格3_5[[#This Row],[Name]],Name_list[Full Name],Name_list[Hourr Rate])</f>
        <v>0</v>
      </c>
      <c r="S426" s="210">
        <f>表格3_5[[#This Row],[Hours Worked]]*表格3_5[[#This Row],[Hourly Rate]]</f>
        <v>0</v>
      </c>
    </row>
    <row r="427" spans="1:19">
      <c r="A427" s="201">
        <v>425</v>
      </c>
      <c r="B427" s="210" t="str">
        <f>_xlfn.CONCAT(表格3_5[[#This Row],[Name]],表格3_5[[#This Row],[Location]])</f>
        <v/>
      </c>
      <c r="C427" s="211" t="str">
        <f>表格3_5[[#This Row],[Location]] &amp; 表格3_5[[#This Row],[Date]] &amp;表格3_5[[#This Row],[Nick Name]]</f>
        <v>0</v>
      </c>
      <c r="D427" s="202"/>
      <c r="E427" s="211" t="str">
        <f>DAY(表格3_5[[#This Row],[Date]])&amp;""</f>
        <v>0</v>
      </c>
      <c r="F427" s="203"/>
      <c r="G427" s="216">
        <f>_xlfn.XLOOKUP(表格3_5[[#This Row],[Name]],Name_list[Full Name],Name_list[Nick Name])</f>
        <v>0</v>
      </c>
      <c r="H427" s="207"/>
      <c r="I427" s="228"/>
      <c r="J427" s="218"/>
      <c r="K427" s="205"/>
      <c r="L427" s="210">
        <f>(表格3_5[[#This Row],[Out-Time]] - 表格3_5[[#This Row],[In-Time]])*24</f>
        <v>0</v>
      </c>
      <c r="M427" s="210">
        <f>表格3_5[[#This Row],[ Hours]]-表格3_5[[#This Row],[Normal working
 hours]]</f>
        <v>0</v>
      </c>
      <c r="N427" s="205"/>
      <c r="O427" s="205"/>
      <c r="P427" s="210">
        <f>(表格3_5[[#This Row],[Out-Time2]] - 表格3_5[[#This Row],[In-Time2]])*24</f>
        <v>0</v>
      </c>
      <c r="Q427" s="205"/>
      <c r="R427" s="214">
        <f>_xlfn.XLOOKUP(表格3_5[[#This Row],[Name]],Name_list[Full Name],Name_list[Hourr Rate])</f>
        <v>0</v>
      </c>
      <c r="S427" s="210">
        <f>表格3_5[[#This Row],[Hours Worked]]*表格3_5[[#This Row],[Hourly Rate]]</f>
        <v>0</v>
      </c>
    </row>
    <row r="428" spans="1:19">
      <c r="A428" s="201">
        <v>426</v>
      </c>
      <c r="B428" s="210" t="str">
        <f>_xlfn.CONCAT(表格3_5[[#This Row],[Name]],表格3_5[[#This Row],[Location]])</f>
        <v/>
      </c>
      <c r="C428" s="211" t="str">
        <f>表格3_5[[#This Row],[Location]] &amp; 表格3_5[[#This Row],[Date]] &amp;表格3_5[[#This Row],[Nick Name]]</f>
        <v>0</v>
      </c>
      <c r="D428" s="202"/>
      <c r="E428" s="211" t="str">
        <f>DAY(表格3_5[[#This Row],[Date]])&amp;""</f>
        <v>0</v>
      </c>
      <c r="F428" s="203"/>
      <c r="G428" s="216">
        <f>_xlfn.XLOOKUP(表格3_5[[#This Row],[Name]],Name_list[Full Name],Name_list[Nick Name])</f>
        <v>0</v>
      </c>
      <c r="H428" s="207"/>
      <c r="I428" s="228"/>
      <c r="J428" s="218"/>
      <c r="K428" s="205"/>
      <c r="L428" s="210">
        <f>(表格3_5[[#This Row],[Out-Time]] - 表格3_5[[#This Row],[In-Time]])*24</f>
        <v>0</v>
      </c>
      <c r="M428" s="210">
        <f>表格3_5[[#This Row],[ Hours]]-表格3_5[[#This Row],[Normal working
 hours]]</f>
        <v>0</v>
      </c>
      <c r="N428" s="205"/>
      <c r="O428" s="205"/>
      <c r="P428" s="210">
        <f>(表格3_5[[#This Row],[Out-Time2]] - 表格3_5[[#This Row],[In-Time2]])*24</f>
        <v>0</v>
      </c>
      <c r="Q428" s="205"/>
      <c r="R428" s="214">
        <f>_xlfn.XLOOKUP(表格3_5[[#This Row],[Name]],Name_list[Full Name],Name_list[Hourr Rate])</f>
        <v>0</v>
      </c>
      <c r="S428" s="210">
        <f>表格3_5[[#This Row],[Hours Worked]]*表格3_5[[#This Row],[Hourly Rate]]</f>
        <v>0</v>
      </c>
    </row>
    <row r="429" spans="1:19">
      <c r="A429" s="201">
        <v>427</v>
      </c>
      <c r="B429" s="210" t="str">
        <f>_xlfn.CONCAT(表格3_5[[#This Row],[Name]],表格3_5[[#This Row],[Location]])</f>
        <v/>
      </c>
      <c r="C429" s="211" t="str">
        <f>表格3_5[[#This Row],[Location]] &amp; 表格3_5[[#This Row],[Date]] &amp;表格3_5[[#This Row],[Nick Name]]</f>
        <v>0</v>
      </c>
      <c r="D429" s="202"/>
      <c r="E429" s="211" t="str">
        <f>DAY(表格3_5[[#This Row],[Date]])&amp;""</f>
        <v>0</v>
      </c>
      <c r="F429" s="203"/>
      <c r="G429" s="216">
        <f>_xlfn.XLOOKUP(表格3_5[[#This Row],[Name]],Name_list[Full Name],Name_list[Nick Name])</f>
        <v>0</v>
      </c>
      <c r="H429" s="207"/>
      <c r="I429" s="228"/>
      <c r="J429" s="218"/>
      <c r="K429" s="205"/>
      <c r="L429" s="210">
        <f>(表格3_5[[#This Row],[Out-Time]] - 表格3_5[[#This Row],[In-Time]])*24</f>
        <v>0</v>
      </c>
      <c r="M429" s="210">
        <f>表格3_5[[#This Row],[ Hours]]-表格3_5[[#This Row],[Normal working
 hours]]</f>
        <v>0</v>
      </c>
      <c r="N429" s="205"/>
      <c r="O429" s="205"/>
      <c r="P429" s="210">
        <f>(表格3_5[[#This Row],[Out-Time2]] - 表格3_5[[#This Row],[In-Time2]])*24</f>
        <v>0</v>
      </c>
      <c r="Q429" s="205"/>
      <c r="R429" s="214">
        <f>_xlfn.XLOOKUP(表格3_5[[#This Row],[Name]],Name_list[Full Name],Name_list[Hourr Rate])</f>
        <v>0</v>
      </c>
      <c r="S429" s="210">
        <f>表格3_5[[#This Row],[Hours Worked]]*表格3_5[[#This Row],[Hourly Rate]]</f>
        <v>0</v>
      </c>
    </row>
    <row r="430" spans="1:19">
      <c r="A430" s="201">
        <v>428</v>
      </c>
      <c r="B430" s="210" t="str">
        <f>_xlfn.CONCAT(表格3_5[[#This Row],[Name]],表格3_5[[#This Row],[Location]])</f>
        <v/>
      </c>
      <c r="C430" s="211" t="str">
        <f>表格3_5[[#This Row],[Location]] &amp; 表格3_5[[#This Row],[Date]] &amp;表格3_5[[#This Row],[Nick Name]]</f>
        <v>0</v>
      </c>
      <c r="D430" s="202"/>
      <c r="E430" s="211" t="str">
        <f>DAY(表格3_5[[#This Row],[Date]])&amp;""</f>
        <v>0</v>
      </c>
      <c r="F430" s="203"/>
      <c r="G430" s="216">
        <f>_xlfn.XLOOKUP(表格3_5[[#This Row],[Name]],Name_list[Full Name],Name_list[Nick Name])</f>
        <v>0</v>
      </c>
      <c r="H430" s="207"/>
      <c r="I430" s="228"/>
      <c r="J430" s="218"/>
      <c r="K430" s="205"/>
      <c r="L430" s="210">
        <f>(表格3_5[[#This Row],[Out-Time]] - 表格3_5[[#This Row],[In-Time]])*24</f>
        <v>0</v>
      </c>
      <c r="M430" s="210">
        <f>表格3_5[[#This Row],[ Hours]]-表格3_5[[#This Row],[Normal working
 hours]]</f>
        <v>0</v>
      </c>
      <c r="N430" s="205"/>
      <c r="O430" s="205"/>
      <c r="P430" s="210">
        <f>(表格3_5[[#This Row],[Out-Time2]] - 表格3_5[[#This Row],[In-Time2]])*24</f>
        <v>0</v>
      </c>
      <c r="Q430" s="205"/>
      <c r="R430" s="214">
        <f>_xlfn.XLOOKUP(表格3_5[[#This Row],[Name]],Name_list[Full Name],Name_list[Hourr Rate])</f>
        <v>0</v>
      </c>
      <c r="S430" s="210">
        <f>表格3_5[[#This Row],[Hours Worked]]*表格3_5[[#This Row],[Hourly Rate]]</f>
        <v>0</v>
      </c>
    </row>
    <row r="431" spans="1:19">
      <c r="A431" s="201">
        <v>429</v>
      </c>
      <c r="B431" s="210" t="str">
        <f>_xlfn.CONCAT(表格3_5[[#This Row],[Name]],表格3_5[[#This Row],[Location]])</f>
        <v/>
      </c>
      <c r="C431" s="211" t="str">
        <f>表格3_5[[#This Row],[Location]] &amp; 表格3_5[[#This Row],[Date]] &amp;表格3_5[[#This Row],[Nick Name]]</f>
        <v>0</v>
      </c>
      <c r="D431" s="202"/>
      <c r="E431" s="211" t="str">
        <f>DAY(表格3_5[[#This Row],[Date]])&amp;""</f>
        <v>0</v>
      </c>
      <c r="F431" s="203"/>
      <c r="G431" s="216">
        <f>_xlfn.XLOOKUP(表格3_5[[#This Row],[Name]],Name_list[Full Name],Name_list[Nick Name])</f>
        <v>0</v>
      </c>
      <c r="H431" s="207"/>
      <c r="I431" s="228"/>
      <c r="J431" s="218"/>
      <c r="K431" s="205"/>
      <c r="L431" s="210">
        <f>(表格3_5[[#This Row],[Out-Time]] - 表格3_5[[#This Row],[In-Time]])*24</f>
        <v>0</v>
      </c>
      <c r="M431" s="210">
        <f>表格3_5[[#This Row],[ Hours]]-表格3_5[[#This Row],[Normal working
 hours]]</f>
        <v>0</v>
      </c>
      <c r="N431" s="205"/>
      <c r="O431" s="205"/>
      <c r="P431" s="210">
        <f>(表格3_5[[#This Row],[Out-Time2]] - 表格3_5[[#This Row],[In-Time2]])*24</f>
        <v>0</v>
      </c>
      <c r="Q431" s="205"/>
      <c r="R431" s="214">
        <f>_xlfn.XLOOKUP(表格3_5[[#This Row],[Name]],Name_list[Full Name],Name_list[Hourr Rate])</f>
        <v>0</v>
      </c>
      <c r="S431" s="210">
        <f>表格3_5[[#This Row],[Hours Worked]]*表格3_5[[#This Row],[Hourly Rate]]</f>
        <v>0</v>
      </c>
    </row>
    <row r="432" spans="1:19">
      <c r="A432" s="201">
        <v>430</v>
      </c>
      <c r="B432" s="210" t="str">
        <f>_xlfn.CONCAT(表格3_5[[#This Row],[Name]],表格3_5[[#This Row],[Location]])</f>
        <v/>
      </c>
      <c r="C432" s="211" t="str">
        <f>表格3_5[[#This Row],[Location]] &amp; 表格3_5[[#This Row],[Date]] &amp;表格3_5[[#This Row],[Nick Name]]</f>
        <v>0</v>
      </c>
      <c r="D432" s="202"/>
      <c r="E432" s="211" t="str">
        <f>DAY(表格3_5[[#This Row],[Date]])&amp;""</f>
        <v>0</v>
      </c>
      <c r="F432" s="203"/>
      <c r="G432" s="216">
        <f>_xlfn.XLOOKUP(表格3_5[[#This Row],[Name]],Name_list[Full Name],Name_list[Nick Name])</f>
        <v>0</v>
      </c>
      <c r="H432" s="207"/>
      <c r="I432" s="228"/>
      <c r="J432" s="218"/>
      <c r="K432" s="205"/>
      <c r="L432" s="210">
        <f>(表格3_5[[#This Row],[Out-Time]] - 表格3_5[[#This Row],[In-Time]])*24</f>
        <v>0</v>
      </c>
      <c r="M432" s="210">
        <f>表格3_5[[#This Row],[ Hours]]-表格3_5[[#This Row],[Normal working
 hours]]</f>
        <v>0</v>
      </c>
      <c r="N432" s="205"/>
      <c r="O432" s="205"/>
      <c r="P432" s="210">
        <f>(表格3_5[[#This Row],[Out-Time2]] - 表格3_5[[#This Row],[In-Time2]])*24</f>
        <v>0</v>
      </c>
      <c r="Q432" s="205"/>
      <c r="R432" s="214">
        <f>_xlfn.XLOOKUP(表格3_5[[#This Row],[Name]],Name_list[Full Name],Name_list[Hourr Rate])</f>
        <v>0</v>
      </c>
      <c r="S432" s="210">
        <f>表格3_5[[#This Row],[Hours Worked]]*表格3_5[[#This Row],[Hourly Rate]]</f>
        <v>0</v>
      </c>
    </row>
    <row r="433" spans="1:19">
      <c r="A433" s="201">
        <v>431</v>
      </c>
      <c r="B433" s="210" t="str">
        <f>_xlfn.CONCAT(表格3_5[[#This Row],[Name]],表格3_5[[#This Row],[Location]])</f>
        <v/>
      </c>
      <c r="C433" s="211" t="str">
        <f>表格3_5[[#This Row],[Location]] &amp; 表格3_5[[#This Row],[Date]] &amp;表格3_5[[#This Row],[Nick Name]]</f>
        <v>0</v>
      </c>
      <c r="D433" s="202"/>
      <c r="E433" s="211" t="str">
        <f>DAY(表格3_5[[#This Row],[Date]])&amp;""</f>
        <v>0</v>
      </c>
      <c r="F433" s="203"/>
      <c r="G433" s="216">
        <f>_xlfn.XLOOKUP(表格3_5[[#This Row],[Name]],Name_list[Full Name],Name_list[Nick Name])</f>
        <v>0</v>
      </c>
      <c r="H433" s="207"/>
      <c r="I433" s="228"/>
      <c r="J433" s="218"/>
      <c r="K433" s="205"/>
      <c r="L433" s="210">
        <f>(表格3_5[[#This Row],[Out-Time]] - 表格3_5[[#This Row],[In-Time]])*24</f>
        <v>0</v>
      </c>
      <c r="M433" s="210">
        <f>表格3_5[[#This Row],[ Hours]]-表格3_5[[#This Row],[Normal working
 hours]]</f>
        <v>0</v>
      </c>
      <c r="N433" s="205"/>
      <c r="O433" s="205"/>
      <c r="P433" s="210">
        <f>(表格3_5[[#This Row],[Out-Time2]] - 表格3_5[[#This Row],[In-Time2]])*24</f>
        <v>0</v>
      </c>
      <c r="Q433" s="205"/>
      <c r="R433" s="214">
        <f>_xlfn.XLOOKUP(表格3_5[[#This Row],[Name]],Name_list[Full Name],Name_list[Hourr Rate])</f>
        <v>0</v>
      </c>
      <c r="S433" s="210">
        <f>表格3_5[[#This Row],[Hours Worked]]*表格3_5[[#This Row],[Hourly Rate]]</f>
        <v>0</v>
      </c>
    </row>
    <row r="434" spans="1:19">
      <c r="A434" s="201">
        <v>432</v>
      </c>
      <c r="B434" s="210" t="str">
        <f>_xlfn.CONCAT(表格3_5[[#This Row],[Name]],表格3_5[[#This Row],[Location]])</f>
        <v/>
      </c>
      <c r="C434" s="211" t="str">
        <f>表格3_5[[#This Row],[Location]] &amp; 表格3_5[[#This Row],[Date]] &amp;表格3_5[[#This Row],[Nick Name]]</f>
        <v>0</v>
      </c>
      <c r="D434" s="202"/>
      <c r="E434" s="211" t="str">
        <f>DAY(表格3_5[[#This Row],[Date]])&amp;""</f>
        <v>0</v>
      </c>
      <c r="F434" s="203"/>
      <c r="G434" s="216">
        <f>_xlfn.XLOOKUP(表格3_5[[#This Row],[Name]],Name_list[Full Name],Name_list[Nick Name])</f>
        <v>0</v>
      </c>
      <c r="H434" s="207"/>
      <c r="I434" s="228"/>
      <c r="J434" s="218"/>
      <c r="K434" s="205"/>
      <c r="L434" s="210">
        <f>(表格3_5[[#This Row],[Out-Time]] - 表格3_5[[#This Row],[In-Time]])*24</f>
        <v>0</v>
      </c>
      <c r="M434" s="210">
        <f>表格3_5[[#This Row],[ Hours]]-表格3_5[[#This Row],[Normal working
 hours]]</f>
        <v>0</v>
      </c>
      <c r="N434" s="205"/>
      <c r="O434" s="205"/>
      <c r="P434" s="210">
        <f>(表格3_5[[#This Row],[Out-Time2]] - 表格3_5[[#This Row],[In-Time2]])*24</f>
        <v>0</v>
      </c>
      <c r="Q434" s="205"/>
      <c r="R434" s="214">
        <f>_xlfn.XLOOKUP(表格3_5[[#This Row],[Name]],Name_list[Full Name],Name_list[Hourr Rate])</f>
        <v>0</v>
      </c>
      <c r="S434" s="210">
        <f>表格3_5[[#This Row],[Hours Worked]]*表格3_5[[#This Row],[Hourly Rate]]</f>
        <v>0</v>
      </c>
    </row>
    <row r="435" spans="1:19">
      <c r="A435" s="201">
        <v>433</v>
      </c>
      <c r="B435" s="210" t="str">
        <f>_xlfn.CONCAT(表格3_5[[#This Row],[Name]],表格3_5[[#This Row],[Location]])</f>
        <v/>
      </c>
      <c r="C435" s="211" t="str">
        <f>表格3_5[[#This Row],[Location]] &amp; 表格3_5[[#This Row],[Date]] &amp;表格3_5[[#This Row],[Nick Name]]</f>
        <v>0</v>
      </c>
      <c r="D435" s="202"/>
      <c r="E435" s="211" t="str">
        <f>DAY(表格3_5[[#This Row],[Date]])&amp;""</f>
        <v>0</v>
      </c>
      <c r="F435" s="203"/>
      <c r="G435" s="216">
        <f>_xlfn.XLOOKUP(表格3_5[[#This Row],[Name]],Name_list[Full Name],Name_list[Nick Name])</f>
        <v>0</v>
      </c>
      <c r="H435" s="207"/>
      <c r="I435" s="228"/>
      <c r="J435" s="218"/>
      <c r="K435" s="205"/>
      <c r="L435" s="210">
        <f>(表格3_5[[#This Row],[Out-Time]] - 表格3_5[[#This Row],[In-Time]])*24</f>
        <v>0</v>
      </c>
      <c r="M435" s="210">
        <f>表格3_5[[#This Row],[ Hours]]-表格3_5[[#This Row],[Normal working
 hours]]</f>
        <v>0</v>
      </c>
      <c r="N435" s="205"/>
      <c r="O435" s="205"/>
      <c r="P435" s="210">
        <f>(表格3_5[[#This Row],[Out-Time2]] - 表格3_5[[#This Row],[In-Time2]])*24</f>
        <v>0</v>
      </c>
      <c r="Q435" s="205"/>
      <c r="R435" s="214">
        <f>_xlfn.XLOOKUP(表格3_5[[#This Row],[Name]],Name_list[Full Name],Name_list[Hourr Rate])</f>
        <v>0</v>
      </c>
      <c r="S435" s="210">
        <f>表格3_5[[#This Row],[Hours Worked]]*表格3_5[[#This Row],[Hourly Rate]]</f>
        <v>0</v>
      </c>
    </row>
    <row r="436" spans="1:19">
      <c r="A436" s="201">
        <v>434</v>
      </c>
      <c r="B436" s="210" t="str">
        <f>_xlfn.CONCAT(表格3_5[[#This Row],[Name]],表格3_5[[#This Row],[Location]])</f>
        <v/>
      </c>
      <c r="C436" s="211" t="str">
        <f>表格3_5[[#This Row],[Location]] &amp; 表格3_5[[#This Row],[Date]] &amp;表格3_5[[#This Row],[Nick Name]]</f>
        <v>0</v>
      </c>
      <c r="D436" s="202"/>
      <c r="E436" s="211" t="str">
        <f>DAY(表格3_5[[#This Row],[Date]])&amp;""</f>
        <v>0</v>
      </c>
      <c r="F436" s="203"/>
      <c r="G436" s="216">
        <f>_xlfn.XLOOKUP(表格3_5[[#This Row],[Name]],Name_list[Full Name],Name_list[Nick Name])</f>
        <v>0</v>
      </c>
      <c r="H436" s="207"/>
      <c r="I436" s="228"/>
      <c r="J436" s="218"/>
      <c r="K436" s="205"/>
      <c r="L436" s="210">
        <f>(表格3_5[[#This Row],[Out-Time]] - 表格3_5[[#This Row],[In-Time]])*24</f>
        <v>0</v>
      </c>
      <c r="M436" s="210">
        <f>表格3_5[[#This Row],[ Hours]]-表格3_5[[#This Row],[Normal working
 hours]]</f>
        <v>0</v>
      </c>
      <c r="N436" s="205"/>
      <c r="O436" s="205"/>
      <c r="P436" s="210">
        <f>(表格3_5[[#This Row],[Out-Time2]] - 表格3_5[[#This Row],[In-Time2]])*24</f>
        <v>0</v>
      </c>
      <c r="Q436" s="205"/>
      <c r="R436" s="214">
        <f>_xlfn.XLOOKUP(表格3_5[[#This Row],[Name]],Name_list[Full Name],Name_list[Hourr Rate])</f>
        <v>0</v>
      </c>
      <c r="S436" s="210">
        <f>表格3_5[[#This Row],[Hours Worked]]*表格3_5[[#This Row],[Hourly Rate]]</f>
        <v>0</v>
      </c>
    </row>
    <row r="437" spans="1:19">
      <c r="A437" s="201">
        <v>435</v>
      </c>
      <c r="B437" s="210" t="str">
        <f>_xlfn.CONCAT(表格3_5[[#This Row],[Name]],表格3_5[[#This Row],[Location]])</f>
        <v/>
      </c>
      <c r="C437" s="211" t="str">
        <f>表格3_5[[#This Row],[Location]] &amp; 表格3_5[[#This Row],[Date]] &amp;表格3_5[[#This Row],[Nick Name]]</f>
        <v>0</v>
      </c>
      <c r="D437" s="202"/>
      <c r="E437" s="211" t="str">
        <f>DAY(表格3_5[[#This Row],[Date]])&amp;""</f>
        <v>0</v>
      </c>
      <c r="F437" s="203"/>
      <c r="G437" s="216">
        <f>_xlfn.XLOOKUP(表格3_5[[#This Row],[Name]],Name_list[Full Name],Name_list[Nick Name])</f>
        <v>0</v>
      </c>
      <c r="H437" s="207"/>
      <c r="I437" s="228"/>
      <c r="J437" s="218"/>
      <c r="K437" s="205"/>
      <c r="L437" s="210">
        <f>(表格3_5[[#This Row],[Out-Time]] - 表格3_5[[#This Row],[In-Time]])*24</f>
        <v>0</v>
      </c>
      <c r="M437" s="210">
        <f>表格3_5[[#This Row],[ Hours]]-表格3_5[[#This Row],[Normal working
 hours]]</f>
        <v>0</v>
      </c>
      <c r="N437" s="205"/>
      <c r="O437" s="205"/>
      <c r="P437" s="210">
        <f>(表格3_5[[#This Row],[Out-Time2]] - 表格3_5[[#This Row],[In-Time2]])*24</f>
        <v>0</v>
      </c>
      <c r="Q437" s="205"/>
      <c r="R437" s="214">
        <f>_xlfn.XLOOKUP(表格3_5[[#This Row],[Name]],Name_list[Full Name],Name_list[Hourr Rate])</f>
        <v>0</v>
      </c>
      <c r="S437" s="210">
        <f>表格3_5[[#This Row],[Hours Worked]]*表格3_5[[#This Row],[Hourly Rate]]</f>
        <v>0</v>
      </c>
    </row>
    <row r="438" spans="1:19">
      <c r="A438" s="201">
        <v>436</v>
      </c>
      <c r="B438" s="210" t="str">
        <f>_xlfn.CONCAT(表格3_5[[#This Row],[Name]],表格3_5[[#This Row],[Location]])</f>
        <v/>
      </c>
      <c r="C438" s="211" t="str">
        <f>表格3_5[[#This Row],[Location]] &amp; 表格3_5[[#This Row],[Date]] &amp;表格3_5[[#This Row],[Nick Name]]</f>
        <v>0</v>
      </c>
      <c r="D438" s="202"/>
      <c r="E438" s="211" t="str">
        <f>DAY(表格3_5[[#This Row],[Date]])&amp;""</f>
        <v>0</v>
      </c>
      <c r="F438" s="203"/>
      <c r="G438" s="216">
        <f>_xlfn.XLOOKUP(表格3_5[[#This Row],[Name]],Name_list[Full Name],Name_list[Nick Name])</f>
        <v>0</v>
      </c>
      <c r="H438" s="207"/>
      <c r="I438" s="228"/>
      <c r="J438" s="218"/>
      <c r="K438" s="205"/>
      <c r="L438" s="210">
        <f>(表格3_5[[#This Row],[Out-Time]] - 表格3_5[[#This Row],[In-Time]])*24</f>
        <v>0</v>
      </c>
      <c r="M438" s="210">
        <f>表格3_5[[#This Row],[ Hours]]-表格3_5[[#This Row],[Normal working
 hours]]</f>
        <v>0</v>
      </c>
      <c r="N438" s="205"/>
      <c r="O438" s="205"/>
      <c r="P438" s="210">
        <f>(表格3_5[[#This Row],[Out-Time2]] - 表格3_5[[#This Row],[In-Time2]])*24</f>
        <v>0</v>
      </c>
      <c r="Q438" s="205"/>
      <c r="R438" s="214">
        <f>_xlfn.XLOOKUP(表格3_5[[#This Row],[Name]],Name_list[Full Name],Name_list[Hourr Rate])</f>
        <v>0</v>
      </c>
      <c r="S438" s="210">
        <f>表格3_5[[#This Row],[Hours Worked]]*表格3_5[[#This Row],[Hourly Rate]]</f>
        <v>0</v>
      </c>
    </row>
    <row r="439" spans="1:19">
      <c r="A439" s="201">
        <v>437</v>
      </c>
      <c r="B439" s="210" t="str">
        <f>_xlfn.CONCAT(表格3_5[[#This Row],[Name]],表格3_5[[#This Row],[Location]])</f>
        <v/>
      </c>
      <c r="C439" s="211" t="str">
        <f>表格3_5[[#This Row],[Location]] &amp; 表格3_5[[#This Row],[Date]] &amp;表格3_5[[#This Row],[Nick Name]]</f>
        <v>0</v>
      </c>
      <c r="D439" s="202"/>
      <c r="E439" s="211" t="str">
        <f>DAY(表格3_5[[#This Row],[Date]])&amp;""</f>
        <v>0</v>
      </c>
      <c r="F439" s="203"/>
      <c r="G439" s="216">
        <f>_xlfn.XLOOKUP(表格3_5[[#This Row],[Name]],Name_list[Full Name],Name_list[Nick Name])</f>
        <v>0</v>
      </c>
      <c r="H439" s="207"/>
      <c r="I439" s="228"/>
      <c r="J439" s="218"/>
      <c r="K439" s="205"/>
      <c r="L439" s="210">
        <f>(表格3_5[[#This Row],[Out-Time]] - 表格3_5[[#This Row],[In-Time]])*24</f>
        <v>0</v>
      </c>
      <c r="M439" s="210">
        <f>表格3_5[[#This Row],[ Hours]]-表格3_5[[#This Row],[Normal working
 hours]]</f>
        <v>0</v>
      </c>
      <c r="N439" s="205"/>
      <c r="O439" s="205"/>
      <c r="P439" s="210">
        <f>(表格3_5[[#This Row],[Out-Time2]] - 表格3_5[[#This Row],[In-Time2]])*24</f>
        <v>0</v>
      </c>
      <c r="Q439" s="205"/>
      <c r="R439" s="214">
        <f>_xlfn.XLOOKUP(表格3_5[[#This Row],[Name]],Name_list[Full Name],Name_list[Hourr Rate])</f>
        <v>0</v>
      </c>
      <c r="S439" s="210">
        <f>表格3_5[[#This Row],[Hours Worked]]*表格3_5[[#This Row],[Hourly Rate]]</f>
        <v>0</v>
      </c>
    </row>
    <row r="440" spans="1:19">
      <c r="A440" s="201">
        <v>438</v>
      </c>
      <c r="B440" s="210" t="str">
        <f>_xlfn.CONCAT(表格3_5[[#This Row],[Name]],表格3_5[[#This Row],[Location]])</f>
        <v/>
      </c>
      <c r="C440" s="211" t="str">
        <f>表格3_5[[#This Row],[Location]] &amp; 表格3_5[[#This Row],[Date]] &amp;表格3_5[[#This Row],[Nick Name]]</f>
        <v>0</v>
      </c>
      <c r="D440" s="202"/>
      <c r="E440" s="211" t="str">
        <f>DAY(表格3_5[[#This Row],[Date]])&amp;""</f>
        <v>0</v>
      </c>
      <c r="F440" s="203"/>
      <c r="G440" s="216">
        <f>_xlfn.XLOOKUP(表格3_5[[#This Row],[Name]],Name_list[Full Name],Name_list[Nick Name])</f>
        <v>0</v>
      </c>
      <c r="H440" s="207"/>
      <c r="I440" s="228"/>
      <c r="J440" s="218"/>
      <c r="K440" s="205"/>
      <c r="L440" s="210">
        <f>(表格3_5[[#This Row],[Out-Time]] - 表格3_5[[#This Row],[In-Time]])*24</f>
        <v>0</v>
      </c>
      <c r="M440" s="210">
        <f>表格3_5[[#This Row],[ Hours]]-表格3_5[[#This Row],[Normal working
 hours]]</f>
        <v>0</v>
      </c>
      <c r="N440" s="205"/>
      <c r="O440" s="205"/>
      <c r="P440" s="210">
        <f>(表格3_5[[#This Row],[Out-Time2]] - 表格3_5[[#This Row],[In-Time2]])*24</f>
        <v>0</v>
      </c>
      <c r="Q440" s="205"/>
      <c r="R440" s="214">
        <f>_xlfn.XLOOKUP(表格3_5[[#This Row],[Name]],Name_list[Full Name],Name_list[Hourr Rate])</f>
        <v>0</v>
      </c>
      <c r="S440" s="210">
        <f>表格3_5[[#This Row],[Hours Worked]]*表格3_5[[#This Row],[Hourly Rate]]</f>
        <v>0</v>
      </c>
    </row>
    <row r="441" spans="1:19">
      <c r="A441" s="201">
        <v>439</v>
      </c>
      <c r="B441" s="210" t="str">
        <f>_xlfn.CONCAT(表格3_5[[#This Row],[Name]],表格3_5[[#This Row],[Location]])</f>
        <v/>
      </c>
      <c r="C441" s="211" t="str">
        <f>表格3_5[[#This Row],[Location]] &amp; 表格3_5[[#This Row],[Date]] &amp;表格3_5[[#This Row],[Nick Name]]</f>
        <v>0</v>
      </c>
      <c r="D441" s="202"/>
      <c r="E441" s="211" t="str">
        <f>DAY(表格3_5[[#This Row],[Date]])&amp;""</f>
        <v>0</v>
      </c>
      <c r="F441" s="203"/>
      <c r="G441" s="216">
        <f>_xlfn.XLOOKUP(表格3_5[[#This Row],[Name]],Name_list[Full Name],Name_list[Nick Name])</f>
        <v>0</v>
      </c>
      <c r="H441" s="207"/>
      <c r="I441" s="228"/>
      <c r="J441" s="218"/>
      <c r="K441" s="205"/>
      <c r="L441" s="210">
        <f>(表格3_5[[#This Row],[Out-Time]] - 表格3_5[[#This Row],[In-Time]])*24</f>
        <v>0</v>
      </c>
      <c r="M441" s="210">
        <f>表格3_5[[#This Row],[ Hours]]-表格3_5[[#This Row],[Normal working
 hours]]</f>
        <v>0</v>
      </c>
      <c r="N441" s="205"/>
      <c r="O441" s="205"/>
      <c r="P441" s="210">
        <f>(表格3_5[[#This Row],[Out-Time2]] - 表格3_5[[#This Row],[In-Time2]])*24</f>
        <v>0</v>
      </c>
      <c r="Q441" s="205"/>
      <c r="R441" s="214">
        <f>_xlfn.XLOOKUP(表格3_5[[#This Row],[Name]],Name_list[Full Name],Name_list[Hourr Rate])</f>
        <v>0</v>
      </c>
      <c r="S441" s="210">
        <f>表格3_5[[#This Row],[Hours Worked]]*表格3_5[[#This Row],[Hourly Rate]]</f>
        <v>0</v>
      </c>
    </row>
    <row r="442" spans="1:19">
      <c r="A442" s="201">
        <v>440</v>
      </c>
      <c r="B442" s="210" t="str">
        <f>_xlfn.CONCAT(表格3_5[[#This Row],[Name]],表格3_5[[#This Row],[Location]])</f>
        <v/>
      </c>
      <c r="C442" s="211" t="str">
        <f>表格3_5[[#This Row],[Location]] &amp; 表格3_5[[#This Row],[Date]] &amp;表格3_5[[#This Row],[Nick Name]]</f>
        <v>0</v>
      </c>
      <c r="D442" s="202"/>
      <c r="E442" s="211" t="str">
        <f>DAY(表格3_5[[#This Row],[Date]])&amp;""</f>
        <v>0</v>
      </c>
      <c r="F442" s="203"/>
      <c r="G442" s="216">
        <f>_xlfn.XLOOKUP(表格3_5[[#This Row],[Name]],Name_list[Full Name],Name_list[Nick Name])</f>
        <v>0</v>
      </c>
      <c r="H442" s="207"/>
      <c r="I442" s="228"/>
      <c r="J442" s="218"/>
      <c r="K442" s="205"/>
      <c r="L442" s="210">
        <f>(表格3_5[[#This Row],[Out-Time]] - 表格3_5[[#This Row],[In-Time]])*24</f>
        <v>0</v>
      </c>
      <c r="M442" s="210">
        <f>表格3_5[[#This Row],[ Hours]]-表格3_5[[#This Row],[Normal working
 hours]]</f>
        <v>0</v>
      </c>
      <c r="N442" s="205"/>
      <c r="O442" s="205"/>
      <c r="P442" s="210">
        <f>(表格3_5[[#This Row],[Out-Time2]] - 表格3_5[[#This Row],[In-Time2]])*24</f>
        <v>0</v>
      </c>
      <c r="Q442" s="205"/>
      <c r="R442" s="214">
        <f>_xlfn.XLOOKUP(表格3_5[[#This Row],[Name]],Name_list[Full Name],Name_list[Hourr Rate])</f>
        <v>0</v>
      </c>
      <c r="S442" s="210">
        <f>表格3_5[[#This Row],[Hours Worked]]*表格3_5[[#This Row],[Hourly Rate]]</f>
        <v>0</v>
      </c>
    </row>
    <row r="443" spans="1:19">
      <c r="A443" s="201">
        <v>441</v>
      </c>
      <c r="B443" s="210" t="str">
        <f>_xlfn.CONCAT(表格3_5[[#This Row],[Name]],表格3_5[[#This Row],[Location]])</f>
        <v/>
      </c>
      <c r="C443" s="211" t="str">
        <f>表格3_5[[#This Row],[Location]] &amp; 表格3_5[[#This Row],[Date]] &amp;表格3_5[[#This Row],[Nick Name]]</f>
        <v>0</v>
      </c>
      <c r="D443" s="202"/>
      <c r="E443" s="211" t="str">
        <f>DAY(表格3_5[[#This Row],[Date]])&amp;""</f>
        <v>0</v>
      </c>
      <c r="F443" s="203"/>
      <c r="G443" s="216">
        <f>_xlfn.XLOOKUP(表格3_5[[#This Row],[Name]],Name_list[Full Name],Name_list[Nick Name])</f>
        <v>0</v>
      </c>
      <c r="H443" s="207"/>
      <c r="I443" s="228"/>
      <c r="J443" s="218"/>
      <c r="K443" s="205"/>
      <c r="L443" s="210">
        <f>(表格3_5[[#This Row],[Out-Time]] - 表格3_5[[#This Row],[In-Time]])*24</f>
        <v>0</v>
      </c>
      <c r="M443" s="210">
        <f>表格3_5[[#This Row],[ Hours]]-表格3_5[[#This Row],[Normal working
 hours]]</f>
        <v>0</v>
      </c>
      <c r="N443" s="205"/>
      <c r="O443" s="205"/>
      <c r="P443" s="210">
        <f>(表格3_5[[#This Row],[Out-Time2]] - 表格3_5[[#This Row],[In-Time2]])*24</f>
        <v>0</v>
      </c>
      <c r="Q443" s="205"/>
      <c r="R443" s="214">
        <f>_xlfn.XLOOKUP(表格3_5[[#This Row],[Name]],Name_list[Full Name],Name_list[Hourr Rate])</f>
        <v>0</v>
      </c>
      <c r="S443" s="210">
        <f>表格3_5[[#This Row],[Hours Worked]]*表格3_5[[#This Row],[Hourly Rate]]</f>
        <v>0</v>
      </c>
    </row>
    <row r="444" spans="1:19">
      <c r="A444" s="201">
        <v>442</v>
      </c>
      <c r="B444" s="210" t="str">
        <f>_xlfn.CONCAT(表格3_5[[#This Row],[Name]],表格3_5[[#This Row],[Location]])</f>
        <v/>
      </c>
      <c r="C444" s="211" t="str">
        <f>表格3_5[[#This Row],[Location]] &amp; 表格3_5[[#This Row],[Date]] &amp;表格3_5[[#This Row],[Nick Name]]</f>
        <v>0</v>
      </c>
      <c r="D444" s="202"/>
      <c r="E444" s="211" t="str">
        <f>DAY(表格3_5[[#This Row],[Date]])&amp;""</f>
        <v>0</v>
      </c>
      <c r="F444" s="203"/>
      <c r="G444" s="216">
        <f>_xlfn.XLOOKUP(表格3_5[[#This Row],[Name]],Name_list[Full Name],Name_list[Nick Name])</f>
        <v>0</v>
      </c>
      <c r="H444" s="207"/>
      <c r="I444" s="228"/>
      <c r="J444" s="218"/>
      <c r="K444" s="205"/>
      <c r="L444" s="210">
        <f>(表格3_5[[#This Row],[Out-Time]] - 表格3_5[[#This Row],[In-Time]])*24</f>
        <v>0</v>
      </c>
      <c r="M444" s="210">
        <f>表格3_5[[#This Row],[ Hours]]-表格3_5[[#This Row],[Normal working
 hours]]</f>
        <v>0</v>
      </c>
      <c r="N444" s="205"/>
      <c r="O444" s="205"/>
      <c r="P444" s="210">
        <f>(表格3_5[[#This Row],[Out-Time2]] - 表格3_5[[#This Row],[In-Time2]])*24</f>
        <v>0</v>
      </c>
      <c r="Q444" s="205"/>
      <c r="R444" s="214">
        <f>_xlfn.XLOOKUP(表格3_5[[#This Row],[Name]],Name_list[Full Name],Name_list[Hourr Rate])</f>
        <v>0</v>
      </c>
      <c r="S444" s="210">
        <f>表格3_5[[#This Row],[Hours Worked]]*表格3_5[[#This Row],[Hourly Rate]]</f>
        <v>0</v>
      </c>
    </row>
    <row r="445" spans="1:19">
      <c r="A445" s="201">
        <v>443</v>
      </c>
      <c r="B445" s="210" t="str">
        <f>_xlfn.CONCAT(表格3_5[[#This Row],[Name]],表格3_5[[#This Row],[Location]])</f>
        <v/>
      </c>
      <c r="C445" s="211" t="str">
        <f>表格3_5[[#This Row],[Location]] &amp; 表格3_5[[#This Row],[Date]] &amp;表格3_5[[#This Row],[Nick Name]]</f>
        <v>0</v>
      </c>
      <c r="D445" s="202"/>
      <c r="E445" s="211" t="str">
        <f>DAY(表格3_5[[#This Row],[Date]])&amp;""</f>
        <v>0</v>
      </c>
      <c r="F445" s="203"/>
      <c r="G445" s="216">
        <f>_xlfn.XLOOKUP(表格3_5[[#This Row],[Name]],Name_list[Full Name],Name_list[Nick Name])</f>
        <v>0</v>
      </c>
      <c r="H445" s="207"/>
      <c r="I445" s="228"/>
      <c r="J445" s="218"/>
      <c r="K445" s="205"/>
      <c r="L445" s="210">
        <f>(表格3_5[[#This Row],[Out-Time]] - 表格3_5[[#This Row],[In-Time]])*24</f>
        <v>0</v>
      </c>
      <c r="M445" s="210">
        <f>表格3_5[[#This Row],[ Hours]]-表格3_5[[#This Row],[Normal working
 hours]]</f>
        <v>0</v>
      </c>
      <c r="N445" s="205"/>
      <c r="O445" s="205"/>
      <c r="P445" s="210">
        <f>(表格3_5[[#This Row],[Out-Time2]] - 表格3_5[[#This Row],[In-Time2]])*24</f>
        <v>0</v>
      </c>
      <c r="Q445" s="205"/>
      <c r="R445" s="214">
        <f>_xlfn.XLOOKUP(表格3_5[[#This Row],[Name]],Name_list[Full Name],Name_list[Hourr Rate])</f>
        <v>0</v>
      </c>
      <c r="S445" s="210">
        <f>表格3_5[[#This Row],[Hours Worked]]*表格3_5[[#This Row],[Hourly Rate]]</f>
        <v>0</v>
      </c>
    </row>
    <row r="446" spans="1:19">
      <c r="A446" s="201">
        <v>444</v>
      </c>
      <c r="B446" s="210" t="str">
        <f>_xlfn.CONCAT(表格3_5[[#This Row],[Name]],表格3_5[[#This Row],[Location]])</f>
        <v/>
      </c>
      <c r="C446" s="211" t="str">
        <f>表格3_5[[#This Row],[Location]] &amp; 表格3_5[[#This Row],[Date]] &amp;表格3_5[[#This Row],[Nick Name]]</f>
        <v>0</v>
      </c>
      <c r="D446" s="202"/>
      <c r="E446" s="211" t="str">
        <f>DAY(表格3_5[[#This Row],[Date]])&amp;""</f>
        <v>0</v>
      </c>
      <c r="F446" s="203"/>
      <c r="G446" s="216">
        <f>_xlfn.XLOOKUP(表格3_5[[#This Row],[Name]],Name_list[Full Name],Name_list[Nick Name])</f>
        <v>0</v>
      </c>
      <c r="H446" s="207"/>
      <c r="I446" s="228"/>
      <c r="J446" s="218"/>
      <c r="K446" s="205"/>
      <c r="L446" s="210">
        <f>(表格3_5[[#This Row],[Out-Time]] - 表格3_5[[#This Row],[In-Time]])*24</f>
        <v>0</v>
      </c>
      <c r="M446" s="210">
        <f>表格3_5[[#This Row],[ Hours]]-表格3_5[[#This Row],[Normal working
 hours]]</f>
        <v>0</v>
      </c>
      <c r="N446" s="205"/>
      <c r="O446" s="205"/>
      <c r="P446" s="210">
        <f>(表格3_5[[#This Row],[Out-Time2]] - 表格3_5[[#This Row],[In-Time2]])*24</f>
        <v>0</v>
      </c>
      <c r="Q446" s="205"/>
      <c r="R446" s="214">
        <f>_xlfn.XLOOKUP(表格3_5[[#This Row],[Name]],Name_list[Full Name],Name_list[Hourr Rate])</f>
        <v>0</v>
      </c>
      <c r="S446" s="210">
        <f>表格3_5[[#This Row],[Hours Worked]]*表格3_5[[#This Row],[Hourly Rate]]</f>
        <v>0</v>
      </c>
    </row>
    <row r="447" spans="1:19">
      <c r="A447" s="201">
        <v>445</v>
      </c>
      <c r="B447" s="210" t="str">
        <f>_xlfn.CONCAT(表格3_5[[#This Row],[Name]],表格3_5[[#This Row],[Location]])</f>
        <v/>
      </c>
      <c r="C447" s="211" t="str">
        <f>表格3_5[[#This Row],[Location]] &amp; 表格3_5[[#This Row],[Date]] &amp;表格3_5[[#This Row],[Nick Name]]</f>
        <v>0</v>
      </c>
      <c r="D447" s="202"/>
      <c r="E447" s="211" t="str">
        <f>DAY(表格3_5[[#This Row],[Date]])&amp;""</f>
        <v>0</v>
      </c>
      <c r="F447" s="203"/>
      <c r="G447" s="216">
        <f>_xlfn.XLOOKUP(表格3_5[[#This Row],[Name]],Name_list[Full Name],Name_list[Nick Name])</f>
        <v>0</v>
      </c>
      <c r="H447" s="207"/>
      <c r="I447" s="228"/>
      <c r="J447" s="218"/>
      <c r="K447" s="205"/>
      <c r="L447" s="210">
        <f>(表格3_5[[#This Row],[Out-Time]] - 表格3_5[[#This Row],[In-Time]])*24</f>
        <v>0</v>
      </c>
      <c r="M447" s="210">
        <f>表格3_5[[#This Row],[ Hours]]-表格3_5[[#This Row],[Normal working
 hours]]</f>
        <v>0</v>
      </c>
      <c r="N447" s="205"/>
      <c r="O447" s="205"/>
      <c r="P447" s="210">
        <f>(表格3_5[[#This Row],[Out-Time2]] - 表格3_5[[#This Row],[In-Time2]])*24</f>
        <v>0</v>
      </c>
      <c r="Q447" s="205"/>
      <c r="R447" s="214">
        <f>_xlfn.XLOOKUP(表格3_5[[#This Row],[Name]],Name_list[Full Name],Name_list[Hourr Rate])</f>
        <v>0</v>
      </c>
      <c r="S447" s="210">
        <f>表格3_5[[#This Row],[Hours Worked]]*表格3_5[[#This Row],[Hourly Rate]]</f>
        <v>0</v>
      </c>
    </row>
    <row r="448" spans="1:19">
      <c r="A448" s="201">
        <v>446</v>
      </c>
      <c r="B448" s="210" t="str">
        <f>_xlfn.CONCAT(表格3_5[[#This Row],[Name]],表格3_5[[#This Row],[Location]])</f>
        <v/>
      </c>
      <c r="C448" s="211" t="str">
        <f>表格3_5[[#This Row],[Location]] &amp; 表格3_5[[#This Row],[Date]] &amp;表格3_5[[#This Row],[Nick Name]]</f>
        <v>0</v>
      </c>
      <c r="D448" s="202"/>
      <c r="E448" s="211" t="str">
        <f>DAY(表格3_5[[#This Row],[Date]])&amp;""</f>
        <v>0</v>
      </c>
      <c r="F448" s="203"/>
      <c r="G448" s="216">
        <f>_xlfn.XLOOKUP(表格3_5[[#This Row],[Name]],Name_list[Full Name],Name_list[Nick Name])</f>
        <v>0</v>
      </c>
      <c r="H448" s="207"/>
      <c r="I448" s="228"/>
      <c r="J448" s="218"/>
      <c r="K448" s="205"/>
      <c r="L448" s="210">
        <f>(表格3_5[[#This Row],[Out-Time]] - 表格3_5[[#This Row],[In-Time]])*24</f>
        <v>0</v>
      </c>
      <c r="M448" s="210">
        <f>表格3_5[[#This Row],[ Hours]]-表格3_5[[#This Row],[Normal working
 hours]]</f>
        <v>0</v>
      </c>
      <c r="N448" s="205"/>
      <c r="O448" s="205"/>
      <c r="P448" s="210">
        <f>(表格3_5[[#This Row],[Out-Time2]] - 表格3_5[[#This Row],[In-Time2]])*24</f>
        <v>0</v>
      </c>
      <c r="Q448" s="205"/>
      <c r="R448" s="214">
        <f>_xlfn.XLOOKUP(表格3_5[[#This Row],[Name]],Name_list[Full Name],Name_list[Hourr Rate])</f>
        <v>0</v>
      </c>
      <c r="S448" s="210">
        <f>表格3_5[[#This Row],[Hours Worked]]*表格3_5[[#This Row],[Hourly Rate]]</f>
        <v>0</v>
      </c>
    </row>
    <row r="449" spans="1:19">
      <c r="A449" s="201">
        <v>447</v>
      </c>
      <c r="B449" s="210" t="str">
        <f>_xlfn.CONCAT(表格3_5[[#This Row],[Name]],表格3_5[[#This Row],[Location]])</f>
        <v/>
      </c>
      <c r="C449" s="211" t="str">
        <f>表格3_5[[#This Row],[Location]] &amp; 表格3_5[[#This Row],[Date]] &amp;表格3_5[[#This Row],[Nick Name]]</f>
        <v>0</v>
      </c>
      <c r="D449" s="202"/>
      <c r="E449" s="211" t="str">
        <f>DAY(表格3_5[[#This Row],[Date]])&amp;""</f>
        <v>0</v>
      </c>
      <c r="F449" s="203"/>
      <c r="G449" s="216">
        <f>_xlfn.XLOOKUP(表格3_5[[#This Row],[Name]],Name_list[Full Name],Name_list[Nick Name])</f>
        <v>0</v>
      </c>
      <c r="H449" s="207"/>
      <c r="I449" s="228"/>
      <c r="J449" s="218"/>
      <c r="K449" s="205"/>
      <c r="L449" s="210">
        <f>(表格3_5[[#This Row],[Out-Time]] - 表格3_5[[#This Row],[In-Time]])*24</f>
        <v>0</v>
      </c>
      <c r="M449" s="210">
        <f>表格3_5[[#This Row],[ Hours]]-表格3_5[[#This Row],[Normal working
 hours]]</f>
        <v>0</v>
      </c>
      <c r="N449" s="205"/>
      <c r="O449" s="205"/>
      <c r="P449" s="210">
        <f>(表格3_5[[#This Row],[Out-Time2]] - 表格3_5[[#This Row],[In-Time2]])*24</f>
        <v>0</v>
      </c>
      <c r="Q449" s="205"/>
      <c r="R449" s="214">
        <f>_xlfn.XLOOKUP(表格3_5[[#This Row],[Name]],Name_list[Full Name],Name_list[Hourr Rate])</f>
        <v>0</v>
      </c>
      <c r="S449" s="210">
        <f>表格3_5[[#This Row],[Hours Worked]]*表格3_5[[#This Row],[Hourly Rate]]</f>
        <v>0</v>
      </c>
    </row>
    <row r="450" spans="1:19">
      <c r="A450" s="201">
        <v>448</v>
      </c>
      <c r="B450" s="210" t="str">
        <f>_xlfn.CONCAT(表格3_5[[#This Row],[Name]],表格3_5[[#This Row],[Location]])</f>
        <v/>
      </c>
      <c r="C450" s="211" t="str">
        <f>表格3_5[[#This Row],[Location]] &amp; 表格3_5[[#This Row],[Date]] &amp;表格3_5[[#This Row],[Nick Name]]</f>
        <v>0</v>
      </c>
      <c r="D450" s="202"/>
      <c r="E450" s="211" t="str">
        <f>DAY(表格3_5[[#This Row],[Date]])&amp;""</f>
        <v>0</v>
      </c>
      <c r="F450" s="203"/>
      <c r="G450" s="216">
        <f>_xlfn.XLOOKUP(表格3_5[[#This Row],[Name]],Name_list[Full Name],Name_list[Nick Name])</f>
        <v>0</v>
      </c>
      <c r="H450" s="207"/>
      <c r="I450" s="228"/>
      <c r="J450" s="218"/>
      <c r="K450" s="205"/>
      <c r="L450" s="210">
        <f>(表格3_5[[#This Row],[Out-Time]] - 表格3_5[[#This Row],[In-Time]])*24</f>
        <v>0</v>
      </c>
      <c r="M450" s="210">
        <f>表格3_5[[#This Row],[ Hours]]-表格3_5[[#This Row],[Normal working
 hours]]</f>
        <v>0</v>
      </c>
      <c r="N450" s="205"/>
      <c r="O450" s="205"/>
      <c r="P450" s="210">
        <f>(表格3_5[[#This Row],[Out-Time2]] - 表格3_5[[#This Row],[In-Time2]])*24</f>
        <v>0</v>
      </c>
      <c r="Q450" s="205"/>
      <c r="R450" s="214">
        <f>_xlfn.XLOOKUP(表格3_5[[#This Row],[Name]],Name_list[Full Name],Name_list[Hourr Rate])</f>
        <v>0</v>
      </c>
      <c r="S450" s="210">
        <f>表格3_5[[#This Row],[Hours Worked]]*表格3_5[[#This Row],[Hourly Rate]]</f>
        <v>0</v>
      </c>
    </row>
    <row r="451" spans="1:19">
      <c r="A451" s="201">
        <v>449</v>
      </c>
      <c r="B451" s="210" t="str">
        <f>_xlfn.CONCAT(表格3_5[[#This Row],[Name]],表格3_5[[#This Row],[Location]])</f>
        <v/>
      </c>
      <c r="C451" s="211" t="str">
        <f>表格3_5[[#This Row],[Location]] &amp; 表格3_5[[#This Row],[Date]] &amp;表格3_5[[#This Row],[Nick Name]]</f>
        <v>0</v>
      </c>
      <c r="D451" s="202"/>
      <c r="E451" s="211" t="str">
        <f>DAY(表格3_5[[#This Row],[Date]])&amp;""</f>
        <v>0</v>
      </c>
      <c r="F451" s="203"/>
      <c r="G451" s="216">
        <f>_xlfn.XLOOKUP(表格3_5[[#This Row],[Name]],Name_list[Full Name],Name_list[Nick Name])</f>
        <v>0</v>
      </c>
      <c r="H451" s="207"/>
      <c r="I451" s="228"/>
      <c r="J451" s="218"/>
      <c r="K451" s="205"/>
      <c r="L451" s="210">
        <f>(表格3_5[[#This Row],[Out-Time]] - 表格3_5[[#This Row],[In-Time]])*24</f>
        <v>0</v>
      </c>
      <c r="M451" s="210">
        <f>表格3_5[[#This Row],[ Hours]]-表格3_5[[#This Row],[Normal working
 hours]]</f>
        <v>0</v>
      </c>
      <c r="N451" s="205"/>
      <c r="O451" s="205"/>
      <c r="P451" s="210">
        <f>(表格3_5[[#This Row],[Out-Time2]] - 表格3_5[[#This Row],[In-Time2]])*24</f>
        <v>0</v>
      </c>
      <c r="Q451" s="205"/>
      <c r="R451" s="214">
        <f>_xlfn.XLOOKUP(表格3_5[[#This Row],[Name]],Name_list[Full Name],Name_list[Hourr Rate])</f>
        <v>0</v>
      </c>
      <c r="S451" s="210">
        <f>表格3_5[[#This Row],[Hours Worked]]*表格3_5[[#This Row],[Hourly Rate]]</f>
        <v>0</v>
      </c>
    </row>
    <row r="452" spans="1:19">
      <c r="A452" s="201">
        <v>450</v>
      </c>
      <c r="B452" s="210" t="str">
        <f>_xlfn.CONCAT(表格3_5[[#This Row],[Name]],表格3_5[[#This Row],[Location]])</f>
        <v/>
      </c>
      <c r="C452" s="211" t="str">
        <f>表格3_5[[#This Row],[Location]] &amp; 表格3_5[[#This Row],[Date]] &amp;表格3_5[[#This Row],[Nick Name]]</f>
        <v>0</v>
      </c>
      <c r="D452" s="202"/>
      <c r="E452" s="211" t="str">
        <f>DAY(表格3_5[[#This Row],[Date]])&amp;""</f>
        <v>0</v>
      </c>
      <c r="F452" s="203"/>
      <c r="G452" s="216">
        <f>_xlfn.XLOOKUP(表格3_5[[#This Row],[Name]],Name_list[Full Name],Name_list[Nick Name])</f>
        <v>0</v>
      </c>
      <c r="H452" s="207"/>
      <c r="I452" s="228"/>
      <c r="J452" s="218"/>
      <c r="K452" s="205"/>
      <c r="L452" s="210">
        <f>(表格3_5[[#This Row],[Out-Time]] - 表格3_5[[#This Row],[In-Time]])*24</f>
        <v>0</v>
      </c>
      <c r="M452" s="210">
        <f>表格3_5[[#This Row],[ Hours]]-表格3_5[[#This Row],[Normal working
 hours]]</f>
        <v>0</v>
      </c>
      <c r="N452" s="205"/>
      <c r="O452" s="205"/>
      <c r="P452" s="210">
        <f>(表格3_5[[#This Row],[Out-Time2]] - 表格3_5[[#This Row],[In-Time2]])*24</f>
        <v>0</v>
      </c>
      <c r="Q452" s="205"/>
      <c r="R452" s="214">
        <f>_xlfn.XLOOKUP(表格3_5[[#This Row],[Name]],Name_list[Full Name],Name_list[Hourr Rate])</f>
        <v>0</v>
      </c>
      <c r="S452" s="210">
        <f>表格3_5[[#This Row],[Hours Worked]]*表格3_5[[#This Row],[Hourly Rate]]</f>
        <v>0</v>
      </c>
    </row>
    <row r="453" spans="1:19">
      <c r="A453" s="201">
        <v>451</v>
      </c>
      <c r="B453" s="210" t="str">
        <f>_xlfn.CONCAT(表格3_5[[#This Row],[Name]],表格3_5[[#This Row],[Location]])</f>
        <v/>
      </c>
      <c r="C453" s="211" t="str">
        <f>表格3_5[[#This Row],[Location]] &amp; 表格3_5[[#This Row],[Date]] &amp;表格3_5[[#This Row],[Nick Name]]</f>
        <v>0</v>
      </c>
      <c r="D453" s="202"/>
      <c r="E453" s="211" t="str">
        <f>DAY(表格3_5[[#This Row],[Date]])&amp;""</f>
        <v>0</v>
      </c>
      <c r="F453" s="203"/>
      <c r="G453" s="216">
        <f>_xlfn.XLOOKUP(表格3_5[[#This Row],[Name]],Name_list[Full Name],Name_list[Nick Name])</f>
        <v>0</v>
      </c>
      <c r="H453" s="207"/>
      <c r="I453" s="228"/>
      <c r="J453" s="218"/>
      <c r="K453" s="205"/>
      <c r="L453" s="210">
        <f>(表格3_5[[#This Row],[Out-Time]] - 表格3_5[[#This Row],[In-Time]])*24</f>
        <v>0</v>
      </c>
      <c r="M453" s="210">
        <f>表格3_5[[#This Row],[ Hours]]-表格3_5[[#This Row],[Normal working
 hours]]</f>
        <v>0</v>
      </c>
      <c r="N453" s="205"/>
      <c r="O453" s="205"/>
      <c r="P453" s="210">
        <f>(表格3_5[[#This Row],[Out-Time2]] - 表格3_5[[#This Row],[In-Time2]])*24</f>
        <v>0</v>
      </c>
      <c r="Q453" s="205"/>
      <c r="R453" s="214">
        <f>_xlfn.XLOOKUP(表格3_5[[#This Row],[Name]],Name_list[Full Name],Name_list[Hourr Rate])</f>
        <v>0</v>
      </c>
      <c r="S453" s="210">
        <f>表格3_5[[#This Row],[Hours Worked]]*表格3_5[[#This Row],[Hourly Rate]]</f>
        <v>0</v>
      </c>
    </row>
    <row r="454" spans="1:19">
      <c r="A454" s="201">
        <v>452</v>
      </c>
      <c r="B454" s="210" t="str">
        <f>_xlfn.CONCAT(表格3_5[[#This Row],[Name]],表格3_5[[#This Row],[Location]])</f>
        <v/>
      </c>
      <c r="C454" s="211" t="str">
        <f>表格3_5[[#This Row],[Location]] &amp; 表格3_5[[#This Row],[Date]] &amp;表格3_5[[#This Row],[Nick Name]]</f>
        <v>0</v>
      </c>
      <c r="D454" s="202"/>
      <c r="E454" s="211" t="str">
        <f>DAY(表格3_5[[#This Row],[Date]])&amp;""</f>
        <v>0</v>
      </c>
      <c r="F454" s="203"/>
      <c r="G454" s="216">
        <f>_xlfn.XLOOKUP(表格3_5[[#This Row],[Name]],Name_list[Full Name],Name_list[Nick Name])</f>
        <v>0</v>
      </c>
      <c r="H454" s="207"/>
      <c r="I454" s="228"/>
      <c r="J454" s="218"/>
      <c r="K454" s="205"/>
      <c r="L454" s="210">
        <f>(表格3_5[[#This Row],[Out-Time]] - 表格3_5[[#This Row],[In-Time]])*24</f>
        <v>0</v>
      </c>
      <c r="M454" s="210">
        <f>表格3_5[[#This Row],[ Hours]]-表格3_5[[#This Row],[Normal working
 hours]]</f>
        <v>0</v>
      </c>
      <c r="N454" s="205"/>
      <c r="O454" s="205"/>
      <c r="P454" s="210">
        <f>(表格3_5[[#This Row],[Out-Time2]] - 表格3_5[[#This Row],[In-Time2]])*24</f>
        <v>0</v>
      </c>
      <c r="Q454" s="205"/>
      <c r="R454" s="214">
        <f>_xlfn.XLOOKUP(表格3_5[[#This Row],[Name]],Name_list[Full Name],Name_list[Hourr Rate])</f>
        <v>0</v>
      </c>
      <c r="S454" s="210">
        <f>表格3_5[[#This Row],[Hours Worked]]*表格3_5[[#This Row],[Hourly Rate]]</f>
        <v>0</v>
      </c>
    </row>
    <row r="455" spans="1:19">
      <c r="A455" s="201">
        <v>453</v>
      </c>
      <c r="B455" s="210" t="str">
        <f>_xlfn.CONCAT(表格3_5[[#This Row],[Name]],表格3_5[[#This Row],[Location]])</f>
        <v/>
      </c>
      <c r="C455" s="211" t="str">
        <f>表格3_5[[#This Row],[Location]] &amp; 表格3_5[[#This Row],[Date]] &amp;表格3_5[[#This Row],[Nick Name]]</f>
        <v>0</v>
      </c>
      <c r="D455" s="202"/>
      <c r="E455" s="211" t="str">
        <f>DAY(表格3_5[[#This Row],[Date]])&amp;""</f>
        <v>0</v>
      </c>
      <c r="F455" s="203"/>
      <c r="G455" s="216">
        <f>_xlfn.XLOOKUP(表格3_5[[#This Row],[Name]],Name_list[Full Name],Name_list[Nick Name])</f>
        <v>0</v>
      </c>
      <c r="H455" s="207"/>
      <c r="I455" s="228"/>
      <c r="J455" s="218"/>
      <c r="K455" s="205"/>
      <c r="L455" s="210">
        <f>(表格3_5[[#This Row],[Out-Time]] - 表格3_5[[#This Row],[In-Time]])*24</f>
        <v>0</v>
      </c>
      <c r="M455" s="210">
        <f>表格3_5[[#This Row],[ Hours]]-表格3_5[[#This Row],[Normal working
 hours]]</f>
        <v>0</v>
      </c>
      <c r="N455" s="205"/>
      <c r="O455" s="205"/>
      <c r="P455" s="210">
        <f>(表格3_5[[#This Row],[Out-Time2]] - 表格3_5[[#This Row],[In-Time2]])*24</f>
        <v>0</v>
      </c>
      <c r="Q455" s="205"/>
      <c r="R455" s="214">
        <f>_xlfn.XLOOKUP(表格3_5[[#This Row],[Name]],Name_list[Full Name],Name_list[Hourr Rate])</f>
        <v>0</v>
      </c>
      <c r="S455" s="210">
        <f>表格3_5[[#This Row],[Hours Worked]]*表格3_5[[#This Row],[Hourly Rate]]</f>
        <v>0</v>
      </c>
    </row>
    <row r="456" spans="1:19">
      <c r="A456" s="201">
        <v>454</v>
      </c>
      <c r="B456" s="210" t="str">
        <f>_xlfn.CONCAT(表格3_5[[#This Row],[Name]],表格3_5[[#This Row],[Location]])</f>
        <v/>
      </c>
      <c r="C456" s="211" t="str">
        <f>表格3_5[[#This Row],[Location]] &amp; 表格3_5[[#This Row],[Date]] &amp;表格3_5[[#This Row],[Nick Name]]</f>
        <v>0</v>
      </c>
      <c r="D456" s="202"/>
      <c r="E456" s="211" t="str">
        <f>DAY(表格3_5[[#This Row],[Date]])&amp;""</f>
        <v>0</v>
      </c>
      <c r="F456" s="203"/>
      <c r="G456" s="216">
        <f>_xlfn.XLOOKUP(表格3_5[[#This Row],[Name]],Name_list[Full Name],Name_list[Nick Name])</f>
        <v>0</v>
      </c>
      <c r="H456" s="207"/>
      <c r="I456" s="228"/>
      <c r="J456" s="218"/>
      <c r="K456" s="205"/>
      <c r="L456" s="210">
        <f>(表格3_5[[#This Row],[Out-Time]] - 表格3_5[[#This Row],[In-Time]])*24</f>
        <v>0</v>
      </c>
      <c r="M456" s="210">
        <f>表格3_5[[#This Row],[ Hours]]-表格3_5[[#This Row],[Normal working
 hours]]</f>
        <v>0</v>
      </c>
      <c r="N456" s="205"/>
      <c r="O456" s="205"/>
      <c r="P456" s="210">
        <f>(表格3_5[[#This Row],[Out-Time2]] - 表格3_5[[#This Row],[In-Time2]])*24</f>
        <v>0</v>
      </c>
      <c r="Q456" s="205"/>
      <c r="R456" s="214">
        <f>_xlfn.XLOOKUP(表格3_5[[#This Row],[Name]],Name_list[Full Name],Name_list[Hourr Rate])</f>
        <v>0</v>
      </c>
      <c r="S456" s="210">
        <f>表格3_5[[#This Row],[Hours Worked]]*表格3_5[[#This Row],[Hourly Rate]]</f>
        <v>0</v>
      </c>
    </row>
    <row r="457" spans="1:19">
      <c r="A457" s="201">
        <v>455</v>
      </c>
      <c r="B457" s="210" t="str">
        <f>_xlfn.CONCAT(表格3_5[[#This Row],[Name]],表格3_5[[#This Row],[Location]])</f>
        <v/>
      </c>
      <c r="C457" s="211" t="str">
        <f>表格3_5[[#This Row],[Location]] &amp; 表格3_5[[#This Row],[Date]] &amp;表格3_5[[#This Row],[Nick Name]]</f>
        <v>0</v>
      </c>
      <c r="D457" s="202"/>
      <c r="E457" s="211" t="str">
        <f>DAY(表格3_5[[#This Row],[Date]])&amp;""</f>
        <v>0</v>
      </c>
      <c r="F457" s="203"/>
      <c r="G457" s="216">
        <f>_xlfn.XLOOKUP(表格3_5[[#This Row],[Name]],Name_list[Full Name],Name_list[Nick Name])</f>
        <v>0</v>
      </c>
      <c r="H457" s="207"/>
      <c r="I457" s="228"/>
      <c r="J457" s="218"/>
      <c r="K457" s="205"/>
      <c r="L457" s="210">
        <f>(表格3_5[[#This Row],[Out-Time]] - 表格3_5[[#This Row],[In-Time]])*24</f>
        <v>0</v>
      </c>
      <c r="M457" s="210">
        <f>表格3_5[[#This Row],[ Hours]]-表格3_5[[#This Row],[Normal working
 hours]]</f>
        <v>0</v>
      </c>
      <c r="N457" s="205"/>
      <c r="O457" s="205"/>
      <c r="P457" s="210">
        <f>(表格3_5[[#This Row],[Out-Time2]] - 表格3_5[[#This Row],[In-Time2]])*24</f>
        <v>0</v>
      </c>
      <c r="Q457" s="205"/>
      <c r="R457" s="214">
        <f>_xlfn.XLOOKUP(表格3_5[[#This Row],[Name]],Name_list[Full Name],Name_list[Hourr Rate])</f>
        <v>0</v>
      </c>
      <c r="S457" s="210">
        <f>表格3_5[[#This Row],[Hours Worked]]*表格3_5[[#This Row],[Hourly Rate]]</f>
        <v>0</v>
      </c>
    </row>
    <row r="458" spans="1:19">
      <c r="A458" s="201">
        <v>456</v>
      </c>
      <c r="B458" s="210" t="str">
        <f>_xlfn.CONCAT(表格3_5[[#This Row],[Name]],表格3_5[[#This Row],[Location]])</f>
        <v/>
      </c>
      <c r="C458" s="211" t="str">
        <f>表格3_5[[#This Row],[Location]] &amp; 表格3_5[[#This Row],[Date]] &amp;表格3_5[[#This Row],[Nick Name]]</f>
        <v>0</v>
      </c>
      <c r="D458" s="202"/>
      <c r="E458" s="211" t="str">
        <f>DAY(表格3_5[[#This Row],[Date]])&amp;""</f>
        <v>0</v>
      </c>
      <c r="F458" s="203"/>
      <c r="G458" s="216">
        <f>_xlfn.XLOOKUP(表格3_5[[#This Row],[Name]],Name_list[Full Name],Name_list[Nick Name])</f>
        <v>0</v>
      </c>
      <c r="H458" s="207"/>
      <c r="I458" s="228"/>
      <c r="J458" s="218"/>
      <c r="K458" s="205"/>
      <c r="L458" s="210">
        <f>(表格3_5[[#This Row],[Out-Time]] - 表格3_5[[#This Row],[In-Time]])*24</f>
        <v>0</v>
      </c>
      <c r="M458" s="210">
        <f>表格3_5[[#This Row],[ Hours]]-表格3_5[[#This Row],[Normal working
 hours]]</f>
        <v>0</v>
      </c>
      <c r="N458" s="205"/>
      <c r="O458" s="205"/>
      <c r="P458" s="210">
        <f>(表格3_5[[#This Row],[Out-Time2]] - 表格3_5[[#This Row],[In-Time2]])*24</f>
        <v>0</v>
      </c>
      <c r="Q458" s="205"/>
      <c r="R458" s="214">
        <f>_xlfn.XLOOKUP(表格3_5[[#This Row],[Name]],Name_list[Full Name],Name_list[Hourr Rate])</f>
        <v>0</v>
      </c>
      <c r="S458" s="210">
        <f>表格3_5[[#This Row],[Hours Worked]]*表格3_5[[#This Row],[Hourly Rate]]</f>
        <v>0</v>
      </c>
    </row>
    <row r="459" spans="1:19">
      <c r="A459" s="201">
        <v>457</v>
      </c>
      <c r="B459" s="210" t="str">
        <f>_xlfn.CONCAT(表格3_5[[#This Row],[Name]],表格3_5[[#This Row],[Location]])</f>
        <v/>
      </c>
      <c r="C459" s="211" t="str">
        <f>表格3_5[[#This Row],[Location]] &amp; 表格3_5[[#This Row],[Date]] &amp;表格3_5[[#This Row],[Nick Name]]</f>
        <v>0</v>
      </c>
      <c r="D459" s="202"/>
      <c r="E459" s="211" t="str">
        <f>DAY(表格3_5[[#This Row],[Date]])&amp;""</f>
        <v>0</v>
      </c>
      <c r="F459" s="203"/>
      <c r="G459" s="216">
        <f>_xlfn.XLOOKUP(表格3_5[[#This Row],[Name]],Name_list[Full Name],Name_list[Nick Name])</f>
        <v>0</v>
      </c>
      <c r="H459" s="207"/>
      <c r="I459" s="228"/>
      <c r="J459" s="218"/>
      <c r="K459" s="205"/>
      <c r="L459" s="210">
        <f>(表格3_5[[#This Row],[Out-Time]] - 表格3_5[[#This Row],[In-Time]])*24</f>
        <v>0</v>
      </c>
      <c r="M459" s="210">
        <f>表格3_5[[#This Row],[ Hours]]-表格3_5[[#This Row],[Normal working
 hours]]</f>
        <v>0</v>
      </c>
      <c r="N459" s="205"/>
      <c r="O459" s="205"/>
      <c r="P459" s="210">
        <f>(表格3_5[[#This Row],[Out-Time2]] - 表格3_5[[#This Row],[In-Time2]])*24</f>
        <v>0</v>
      </c>
      <c r="Q459" s="205"/>
      <c r="R459" s="214">
        <f>_xlfn.XLOOKUP(表格3_5[[#This Row],[Name]],Name_list[Full Name],Name_list[Hourr Rate])</f>
        <v>0</v>
      </c>
      <c r="S459" s="210">
        <f>表格3_5[[#This Row],[Hours Worked]]*表格3_5[[#This Row],[Hourly Rate]]</f>
        <v>0</v>
      </c>
    </row>
    <row r="460" spans="1:19">
      <c r="A460" s="201">
        <v>458</v>
      </c>
      <c r="B460" s="210" t="str">
        <f>_xlfn.CONCAT(表格3_5[[#This Row],[Name]],表格3_5[[#This Row],[Location]])</f>
        <v/>
      </c>
      <c r="C460" s="211" t="str">
        <f>表格3_5[[#This Row],[Location]] &amp; 表格3_5[[#This Row],[Date]] &amp;表格3_5[[#This Row],[Nick Name]]</f>
        <v>0</v>
      </c>
      <c r="D460" s="202"/>
      <c r="E460" s="211" t="str">
        <f>DAY(表格3_5[[#This Row],[Date]])&amp;""</f>
        <v>0</v>
      </c>
      <c r="F460" s="203"/>
      <c r="G460" s="216">
        <f>_xlfn.XLOOKUP(表格3_5[[#This Row],[Name]],Name_list[Full Name],Name_list[Nick Name])</f>
        <v>0</v>
      </c>
      <c r="H460" s="207"/>
      <c r="I460" s="228"/>
      <c r="J460" s="218"/>
      <c r="K460" s="205"/>
      <c r="L460" s="210">
        <f>(表格3_5[[#This Row],[Out-Time]] - 表格3_5[[#This Row],[In-Time]])*24</f>
        <v>0</v>
      </c>
      <c r="M460" s="210">
        <f>表格3_5[[#This Row],[ Hours]]-表格3_5[[#This Row],[Normal working
 hours]]</f>
        <v>0</v>
      </c>
      <c r="N460" s="205"/>
      <c r="O460" s="205"/>
      <c r="P460" s="210">
        <f>(表格3_5[[#This Row],[Out-Time2]] - 表格3_5[[#This Row],[In-Time2]])*24</f>
        <v>0</v>
      </c>
      <c r="Q460" s="205"/>
      <c r="R460" s="214">
        <f>_xlfn.XLOOKUP(表格3_5[[#This Row],[Name]],Name_list[Full Name],Name_list[Hourr Rate])</f>
        <v>0</v>
      </c>
      <c r="S460" s="210">
        <f>表格3_5[[#This Row],[Hours Worked]]*表格3_5[[#This Row],[Hourly Rate]]</f>
        <v>0</v>
      </c>
    </row>
    <row r="461" spans="1:19">
      <c r="A461" s="201">
        <v>459</v>
      </c>
      <c r="B461" s="210" t="str">
        <f>_xlfn.CONCAT(表格3_5[[#This Row],[Name]],表格3_5[[#This Row],[Location]])</f>
        <v/>
      </c>
      <c r="C461" s="211" t="str">
        <f>表格3_5[[#This Row],[Location]] &amp; 表格3_5[[#This Row],[Date]] &amp;表格3_5[[#This Row],[Nick Name]]</f>
        <v>0</v>
      </c>
      <c r="D461" s="202"/>
      <c r="E461" s="211" t="str">
        <f>DAY(表格3_5[[#This Row],[Date]])&amp;""</f>
        <v>0</v>
      </c>
      <c r="F461" s="203"/>
      <c r="G461" s="216">
        <f>_xlfn.XLOOKUP(表格3_5[[#This Row],[Name]],Name_list[Full Name],Name_list[Nick Name])</f>
        <v>0</v>
      </c>
      <c r="H461" s="207"/>
      <c r="I461" s="228"/>
      <c r="J461" s="218"/>
      <c r="K461" s="205"/>
      <c r="L461" s="210">
        <f>(表格3_5[[#This Row],[Out-Time]] - 表格3_5[[#This Row],[In-Time]])*24</f>
        <v>0</v>
      </c>
      <c r="M461" s="210">
        <f>表格3_5[[#This Row],[ Hours]]-表格3_5[[#This Row],[Normal working
 hours]]</f>
        <v>0</v>
      </c>
      <c r="N461" s="205"/>
      <c r="O461" s="205"/>
      <c r="P461" s="210">
        <f>(表格3_5[[#This Row],[Out-Time2]] - 表格3_5[[#This Row],[In-Time2]])*24</f>
        <v>0</v>
      </c>
      <c r="Q461" s="205"/>
      <c r="R461" s="214">
        <f>_xlfn.XLOOKUP(表格3_5[[#This Row],[Name]],Name_list[Full Name],Name_list[Hourr Rate])</f>
        <v>0</v>
      </c>
      <c r="S461" s="210">
        <f>表格3_5[[#This Row],[Hours Worked]]*表格3_5[[#This Row],[Hourly Rate]]</f>
        <v>0</v>
      </c>
    </row>
    <row r="462" spans="1:19">
      <c r="A462" s="201">
        <v>460</v>
      </c>
      <c r="B462" s="210" t="str">
        <f>_xlfn.CONCAT(表格3_5[[#This Row],[Name]],表格3_5[[#This Row],[Location]])</f>
        <v/>
      </c>
      <c r="C462" s="211" t="str">
        <f>表格3_5[[#This Row],[Location]] &amp; 表格3_5[[#This Row],[Date]] &amp;表格3_5[[#This Row],[Nick Name]]</f>
        <v>0</v>
      </c>
      <c r="D462" s="202"/>
      <c r="E462" s="211" t="str">
        <f>DAY(表格3_5[[#This Row],[Date]])&amp;""</f>
        <v>0</v>
      </c>
      <c r="F462" s="203"/>
      <c r="G462" s="216">
        <f>_xlfn.XLOOKUP(表格3_5[[#This Row],[Name]],Name_list[Full Name],Name_list[Nick Name])</f>
        <v>0</v>
      </c>
      <c r="H462" s="207"/>
      <c r="I462" s="228"/>
      <c r="J462" s="218"/>
      <c r="K462" s="205"/>
      <c r="L462" s="210">
        <f>(表格3_5[[#This Row],[Out-Time]] - 表格3_5[[#This Row],[In-Time]])*24</f>
        <v>0</v>
      </c>
      <c r="M462" s="210">
        <f>表格3_5[[#This Row],[ Hours]]-表格3_5[[#This Row],[Normal working
 hours]]</f>
        <v>0</v>
      </c>
      <c r="N462" s="205"/>
      <c r="O462" s="205"/>
      <c r="P462" s="210">
        <f>(表格3_5[[#This Row],[Out-Time2]] - 表格3_5[[#This Row],[In-Time2]])*24</f>
        <v>0</v>
      </c>
      <c r="Q462" s="205"/>
      <c r="R462" s="214">
        <f>_xlfn.XLOOKUP(表格3_5[[#This Row],[Name]],Name_list[Full Name],Name_list[Hourr Rate])</f>
        <v>0</v>
      </c>
      <c r="S462" s="210">
        <f>表格3_5[[#This Row],[Hours Worked]]*表格3_5[[#This Row],[Hourly Rate]]</f>
        <v>0</v>
      </c>
    </row>
    <row r="463" spans="1:19">
      <c r="A463" s="201">
        <v>461</v>
      </c>
      <c r="B463" s="210" t="str">
        <f>_xlfn.CONCAT(表格3_5[[#This Row],[Name]],表格3_5[[#This Row],[Location]])</f>
        <v/>
      </c>
      <c r="C463" s="211" t="str">
        <f>表格3_5[[#This Row],[Location]] &amp; 表格3_5[[#This Row],[Date]] &amp;表格3_5[[#This Row],[Nick Name]]</f>
        <v>0</v>
      </c>
      <c r="D463" s="202"/>
      <c r="E463" s="211" t="str">
        <f>DAY(表格3_5[[#This Row],[Date]])&amp;""</f>
        <v>0</v>
      </c>
      <c r="F463" s="203"/>
      <c r="G463" s="216">
        <f>_xlfn.XLOOKUP(表格3_5[[#This Row],[Name]],Name_list[Full Name],Name_list[Nick Name])</f>
        <v>0</v>
      </c>
      <c r="H463" s="207"/>
      <c r="I463" s="228"/>
      <c r="J463" s="218"/>
      <c r="K463" s="205"/>
      <c r="L463" s="210">
        <f>(表格3_5[[#This Row],[Out-Time]] - 表格3_5[[#This Row],[In-Time]])*24</f>
        <v>0</v>
      </c>
      <c r="M463" s="210">
        <f>表格3_5[[#This Row],[ Hours]]-表格3_5[[#This Row],[Normal working
 hours]]</f>
        <v>0</v>
      </c>
      <c r="N463" s="205"/>
      <c r="O463" s="205"/>
      <c r="P463" s="210">
        <f>(表格3_5[[#This Row],[Out-Time2]] - 表格3_5[[#This Row],[In-Time2]])*24</f>
        <v>0</v>
      </c>
      <c r="Q463" s="205"/>
      <c r="R463" s="214">
        <f>_xlfn.XLOOKUP(表格3_5[[#This Row],[Name]],Name_list[Full Name],Name_list[Hourr Rate])</f>
        <v>0</v>
      </c>
      <c r="S463" s="210">
        <f>表格3_5[[#This Row],[Hours Worked]]*表格3_5[[#This Row],[Hourly Rate]]</f>
        <v>0</v>
      </c>
    </row>
    <row r="464" spans="1:19">
      <c r="A464" s="201">
        <v>462</v>
      </c>
      <c r="B464" s="210" t="str">
        <f>_xlfn.CONCAT(表格3_5[[#This Row],[Name]],表格3_5[[#This Row],[Location]])</f>
        <v/>
      </c>
      <c r="C464" s="211" t="str">
        <f>表格3_5[[#This Row],[Location]] &amp; 表格3_5[[#This Row],[Date]] &amp;表格3_5[[#This Row],[Nick Name]]</f>
        <v>0</v>
      </c>
      <c r="D464" s="202"/>
      <c r="E464" s="211" t="str">
        <f>DAY(表格3_5[[#This Row],[Date]])&amp;""</f>
        <v>0</v>
      </c>
      <c r="F464" s="203"/>
      <c r="G464" s="216">
        <f>_xlfn.XLOOKUP(表格3_5[[#This Row],[Name]],Name_list[Full Name],Name_list[Nick Name])</f>
        <v>0</v>
      </c>
      <c r="H464" s="207"/>
      <c r="I464" s="228"/>
      <c r="J464" s="218"/>
      <c r="K464" s="205"/>
      <c r="L464" s="210">
        <f>(表格3_5[[#This Row],[Out-Time]] - 表格3_5[[#This Row],[In-Time]])*24</f>
        <v>0</v>
      </c>
      <c r="M464" s="210">
        <f>表格3_5[[#This Row],[ Hours]]-表格3_5[[#This Row],[Normal working
 hours]]</f>
        <v>0</v>
      </c>
      <c r="N464" s="205"/>
      <c r="O464" s="205"/>
      <c r="P464" s="210">
        <f>(表格3_5[[#This Row],[Out-Time2]] - 表格3_5[[#This Row],[In-Time2]])*24</f>
        <v>0</v>
      </c>
      <c r="Q464" s="205"/>
      <c r="R464" s="214">
        <f>_xlfn.XLOOKUP(表格3_5[[#This Row],[Name]],Name_list[Full Name],Name_list[Hourr Rate])</f>
        <v>0</v>
      </c>
      <c r="S464" s="210">
        <f>表格3_5[[#This Row],[Hours Worked]]*表格3_5[[#This Row],[Hourly Rate]]</f>
        <v>0</v>
      </c>
    </row>
    <row r="465" spans="1:19">
      <c r="A465" s="201">
        <v>463</v>
      </c>
      <c r="B465" s="210" t="str">
        <f>_xlfn.CONCAT(表格3_5[[#This Row],[Name]],表格3_5[[#This Row],[Location]])</f>
        <v/>
      </c>
      <c r="C465" s="211" t="str">
        <f>表格3_5[[#This Row],[Location]] &amp; 表格3_5[[#This Row],[Date]] &amp;表格3_5[[#This Row],[Nick Name]]</f>
        <v>0</v>
      </c>
      <c r="D465" s="202"/>
      <c r="E465" s="211" t="str">
        <f>DAY(表格3_5[[#This Row],[Date]])&amp;""</f>
        <v>0</v>
      </c>
      <c r="F465" s="203"/>
      <c r="G465" s="216">
        <f>_xlfn.XLOOKUP(表格3_5[[#This Row],[Name]],Name_list[Full Name],Name_list[Nick Name])</f>
        <v>0</v>
      </c>
      <c r="H465" s="207"/>
      <c r="I465" s="228"/>
      <c r="J465" s="218"/>
      <c r="K465" s="205"/>
      <c r="L465" s="210">
        <f>(表格3_5[[#This Row],[Out-Time]] - 表格3_5[[#This Row],[In-Time]])*24</f>
        <v>0</v>
      </c>
      <c r="M465" s="210">
        <f>表格3_5[[#This Row],[ Hours]]-表格3_5[[#This Row],[Normal working
 hours]]</f>
        <v>0</v>
      </c>
      <c r="N465" s="205"/>
      <c r="O465" s="205"/>
      <c r="P465" s="210">
        <f>(表格3_5[[#This Row],[Out-Time2]] - 表格3_5[[#This Row],[In-Time2]])*24</f>
        <v>0</v>
      </c>
      <c r="Q465" s="205"/>
      <c r="R465" s="214">
        <f>_xlfn.XLOOKUP(表格3_5[[#This Row],[Name]],Name_list[Full Name],Name_list[Hourr Rate])</f>
        <v>0</v>
      </c>
      <c r="S465" s="210">
        <f>表格3_5[[#This Row],[Hours Worked]]*表格3_5[[#This Row],[Hourly Rate]]</f>
        <v>0</v>
      </c>
    </row>
    <row r="466" spans="1:19">
      <c r="A466" s="201">
        <v>464</v>
      </c>
      <c r="B466" s="210" t="str">
        <f>_xlfn.CONCAT(表格3_5[[#This Row],[Name]],表格3_5[[#This Row],[Location]])</f>
        <v/>
      </c>
      <c r="C466" s="211" t="str">
        <f>表格3_5[[#This Row],[Location]] &amp; 表格3_5[[#This Row],[Date]] &amp;表格3_5[[#This Row],[Nick Name]]</f>
        <v>0</v>
      </c>
      <c r="D466" s="202"/>
      <c r="E466" s="211" t="str">
        <f>DAY(表格3_5[[#This Row],[Date]])&amp;""</f>
        <v>0</v>
      </c>
      <c r="F466" s="203"/>
      <c r="G466" s="216">
        <f>_xlfn.XLOOKUP(表格3_5[[#This Row],[Name]],Name_list[Full Name],Name_list[Nick Name])</f>
        <v>0</v>
      </c>
      <c r="H466" s="207"/>
      <c r="I466" s="228"/>
      <c r="J466" s="218"/>
      <c r="K466" s="205"/>
      <c r="L466" s="210">
        <f>(表格3_5[[#This Row],[Out-Time]] - 表格3_5[[#This Row],[In-Time]])*24</f>
        <v>0</v>
      </c>
      <c r="M466" s="210">
        <f>表格3_5[[#This Row],[ Hours]]-表格3_5[[#This Row],[Normal working
 hours]]</f>
        <v>0</v>
      </c>
      <c r="N466" s="205"/>
      <c r="O466" s="205"/>
      <c r="P466" s="210">
        <f>(表格3_5[[#This Row],[Out-Time2]] - 表格3_5[[#This Row],[In-Time2]])*24</f>
        <v>0</v>
      </c>
      <c r="Q466" s="205"/>
      <c r="R466" s="214">
        <f>_xlfn.XLOOKUP(表格3_5[[#This Row],[Name]],Name_list[Full Name],Name_list[Hourr Rate])</f>
        <v>0</v>
      </c>
      <c r="S466" s="210">
        <f>表格3_5[[#This Row],[Hours Worked]]*表格3_5[[#This Row],[Hourly Rate]]</f>
        <v>0</v>
      </c>
    </row>
    <row r="467" spans="1:19">
      <c r="A467" s="201">
        <v>465</v>
      </c>
      <c r="B467" s="210" t="str">
        <f>_xlfn.CONCAT(表格3_5[[#This Row],[Name]],表格3_5[[#This Row],[Location]])</f>
        <v/>
      </c>
      <c r="C467" s="211" t="str">
        <f>表格3_5[[#This Row],[Location]] &amp; 表格3_5[[#This Row],[Date]] &amp;表格3_5[[#This Row],[Nick Name]]</f>
        <v>0</v>
      </c>
      <c r="D467" s="202"/>
      <c r="E467" s="211" t="str">
        <f>DAY(表格3_5[[#This Row],[Date]])&amp;""</f>
        <v>0</v>
      </c>
      <c r="F467" s="203"/>
      <c r="G467" s="216">
        <f>_xlfn.XLOOKUP(表格3_5[[#This Row],[Name]],Name_list[Full Name],Name_list[Nick Name])</f>
        <v>0</v>
      </c>
      <c r="H467" s="207"/>
      <c r="I467" s="228"/>
      <c r="J467" s="218"/>
      <c r="K467" s="205"/>
      <c r="L467" s="210">
        <f>(表格3_5[[#This Row],[Out-Time]] - 表格3_5[[#This Row],[In-Time]])*24</f>
        <v>0</v>
      </c>
      <c r="M467" s="210">
        <f>表格3_5[[#This Row],[ Hours]]-表格3_5[[#This Row],[Normal working
 hours]]</f>
        <v>0</v>
      </c>
      <c r="N467" s="205"/>
      <c r="O467" s="205"/>
      <c r="P467" s="210">
        <f>(表格3_5[[#This Row],[Out-Time2]] - 表格3_5[[#This Row],[In-Time2]])*24</f>
        <v>0</v>
      </c>
      <c r="Q467" s="205"/>
      <c r="R467" s="214">
        <f>_xlfn.XLOOKUP(表格3_5[[#This Row],[Name]],Name_list[Full Name],Name_list[Hourr Rate])</f>
        <v>0</v>
      </c>
      <c r="S467" s="210">
        <f>表格3_5[[#This Row],[Hours Worked]]*表格3_5[[#This Row],[Hourly Rate]]</f>
        <v>0</v>
      </c>
    </row>
    <row r="468" spans="1:19">
      <c r="A468" s="201">
        <v>466</v>
      </c>
      <c r="B468" s="210" t="str">
        <f>_xlfn.CONCAT(表格3_5[[#This Row],[Name]],表格3_5[[#This Row],[Location]])</f>
        <v/>
      </c>
      <c r="C468" s="211" t="str">
        <f>表格3_5[[#This Row],[Location]] &amp; 表格3_5[[#This Row],[Date]] &amp;表格3_5[[#This Row],[Nick Name]]</f>
        <v>0</v>
      </c>
      <c r="D468" s="202"/>
      <c r="E468" s="211" t="str">
        <f>DAY(表格3_5[[#This Row],[Date]])&amp;""</f>
        <v>0</v>
      </c>
      <c r="F468" s="203"/>
      <c r="G468" s="216">
        <f>_xlfn.XLOOKUP(表格3_5[[#This Row],[Name]],Name_list[Full Name],Name_list[Nick Name])</f>
        <v>0</v>
      </c>
      <c r="H468" s="207"/>
      <c r="I468" s="228"/>
      <c r="J468" s="218"/>
      <c r="K468" s="205"/>
      <c r="L468" s="210">
        <f>(表格3_5[[#This Row],[Out-Time]] - 表格3_5[[#This Row],[In-Time]])*24</f>
        <v>0</v>
      </c>
      <c r="M468" s="210">
        <f>表格3_5[[#This Row],[ Hours]]-表格3_5[[#This Row],[Normal working
 hours]]</f>
        <v>0</v>
      </c>
      <c r="N468" s="205"/>
      <c r="O468" s="205"/>
      <c r="P468" s="210">
        <f>(表格3_5[[#This Row],[Out-Time2]] - 表格3_5[[#This Row],[In-Time2]])*24</f>
        <v>0</v>
      </c>
      <c r="Q468" s="205"/>
      <c r="R468" s="214">
        <f>_xlfn.XLOOKUP(表格3_5[[#This Row],[Name]],Name_list[Full Name],Name_list[Hourr Rate])</f>
        <v>0</v>
      </c>
      <c r="S468" s="210">
        <f>表格3_5[[#This Row],[Hours Worked]]*表格3_5[[#This Row],[Hourly Rate]]</f>
        <v>0</v>
      </c>
    </row>
    <row r="469" spans="1:19">
      <c r="A469" s="201">
        <v>467</v>
      </c>
      <c r="B469" s="210" t="str">
        <f>_xlfn.CONCAT(表格3_5[[#This Row],[Name]],表格3_5[[#This Row],[Location]])</f>
        <v/>
      </c>
      <c r="C469" s="211" t="str">
        <f>表格3_5[[#This Row],[Location]] &amp; 表格3_5[[#This Row],[Date]] &amp;表格3_5[[#This Row],[Nick Name]]</f>
        <v>0</v>
      </c>
      <c r="D469" s="202"/>
      <c r="E469" s="211" t="str">
        <f>DAY(表格3_5[[#This Row],[Date]])&amp;""</f>
        <v>0</v>
      </c>
      <c r="F469" s="203"/>
      <c r="G469" s="216">
        <f>_xlfn.XLOOKUP(表格3_5[[#This Row],[Name]],Name_list[Full Name],Name_list[Nick Name])</f>
        <v>0</v>
      </c>
      <c r="H469" s="207"/>
      <c r="I469" s="228"/>
      <c r="J469" s="218"/>
      <c r="K469" s="205"/>
      <c r="L469" s="210">
        <f>(表格3_5[[#This Row],[Out-Time]] - 表格3_5[[#This Row],[In-Time]])*24</f>
        <v>0</v>
      </c>
      <c r="M469" s="210">
        <f>表格3_5[[#This Row],[ Hours]]-表格3_5[[#This Row],[Normal working
 hours]]</f>
        <v>0</v>
      </c>
      <c r="N469" s="205"/>
      <c r="O469" s="205"/>
      <c r="P469" s="210">
        <f>(表格3_5[[#This Row],[Out-Time2]] - 表格3_5[[#This Row],[In-Time2]])*24</f>
        <v>0</v>
      </c>
      <c r="Q469" s="205"/>
      <c r="R469" s="214">
        <f>_xlfn.XLOOKUP(表格3_5[[#This Row],[Name]],Name_list[Full Name],Name_list[Hourr Rate])</f>
        <v>0</v>
      </c>
      <c r="S469" s="210">
        <f>表格3_5[[#This Row],[Hours Worked]]*表格3_5[[#This Row],[Hourly Rate]]</f>
        <v>0</v>
      </c>
    </row>
    <row r="470" spans="1:19">
      <c r="A470" s="201">
        <v>468</v>
      </c>
      <c r="B470" s="210" t="str">
        <f>_xlfn.CONCAT(表格3_5[[#This Row],[Name]],表格3_5[[#This Row],[Location]])</f>
        <v/>
      </c>
      <c r="C470" s="211" t="str">
        <f>表格3_5[[#This Row],[Location]] &amp; 表格3_5[[#This Row],[Date]] &amp;表格3_5[[#This Row],[Nick Name]]</f>
        <v>0</v>
      </c>
      <c r="D470" s="202"/>
      <c r="E470" s="211" t="str">
        <f>DAY(表格3_5[[#This Row],[Date]])&amp;""</f>
        <v>0</v>
      </c>
      <c r="F470" s="203"/>
      <c r="G470" s="216">
        <f>_xlfn.XLOOKUP(表格3_5[[#This Row],[Name]],Name_list[Full Name],Name_list[Nick Name])</f>
        <v>0</v>
      </c>
      <c r="H470" s="207"/>
      <c r="I470" s="228"/>
      <c r="J470" s="218"/>
      <c r="K470" s="205"/>
      <c r="L470" s="210">
        <f>(表格3_5[[#This Row],[Out-Time]] - 表格3_5[[#This Row],[In-Time]])*24</f>
        <v>0</v>
      </c>
      <c r="M470" s="210">
        <f>表格3_5[[#This Row],[ Hours]]-表格3_5[[#This Row],[Normal working
 hours]]</f>
        <v>0</v>
      </c>
      <c r="N470" s="205"/>
      <c r="O470" s="205"/>
      <c r="P470" s="210">
        <f>(表格3_5[[#This Row],[Out-Time2]] - 表格3_5[[#This Row],[In-Time2]])*24</f>
        <v>0</v>
      </c>
      <c r="Q470" s="205"/>
      <c r="R470" s="214">
        <f>_xlfn.XLOOKUP(表格3_5[[#This Row],[Name]],Name_list[Full Name],Name_list[Hourr Rate])</f>
        <v>0</v>
      </c>
      <c r="S470" s="210">
        <f>表格3_5[[#This Row],[Hours Worked]]*表格3_5[[#This Row],[Hourly Rate]]</f>
        <v>0</v>
      </c>
    </row>
    <row r="471" spans="1:19">
      <c r="A471" s="201">
        <v>469</v>
      </c>
      <c r="B471" s="210" t="str">
        <f>_xlfn.CONCAT(表格3_5[[#This Row],[Name]],表格3_5[[#This Row],[Location]])</f>
        <v/>
      </c>
      <c r="C471" s="211" t="str">
        <f>表格3_5[[#This Row],[Location]] &amp; 表格3_5[[#This Row],[Date]] &amp;表格3_5[[#This Row],[Nick Name]]</f>
        <v>0</v>
      </c>
      <c r="D471" s="202"/>
      <c r="E471" s="211" t="str">
        <f>DAY(表格3_5[[#This Row],[Date]])&amp;""</f>
        <v>0</v>
      </c>
      <c r="F471" s="203"/>
      <c r="G471" s="216">
        <f>_xlfn.XLOOKUP(表格3_5[[#This Row],[Name]],Name_list[Full Name],Name_list[Nick Name])</f>
        <v>0</v>
      </c>
      <c r="H471" s="207"/>
      <c r="I471" s="228"/>
      <c r="J471" s="218"/>
      <c r="K471" s="205"/>
      <c r="L471" s="210">
        <f>(表格3_5[[#This Row],[Out-Time]] - 表格3_5[[#This Row],[In-Time]])*24</f>
        <v>0</v>
      </c>
      <c r="M471" s="210">
        <f>表格3_5[[#This Row],[ Hours]]-表格3_5[[#This Row],[Normal working
 hours]]</f>
        <v>0</v>
      </c>
      <c r="N471" s="205"/>
      <c r="O471" s="205"/>
      <c r="P471" s="210">
        <f>(表格3_5[[#This Row],[Out-Time2]] - 表格3_5[[#This Row],[In-Time2]])*24</f>
        <v>0</v>
      </c>
      <c r="Q471" s="205"/>
      <c r="R471" s="214">
        <f>_xlfn.XLOOKUP(表格3_5[[#This Row],[Name]],Name_list[Full Name],Name_list[Hourr Rate])</f>
        <v>0</v>
      </c>
      <c r="S471" s="210">
        <f>表格3_5[[#This Row],[Hours Worked]]*表格3_5[[#This Row],[Hourly Rate]]</f>
        <v>0</v>
      </c>
    </row>
    <row r="472" spans="1:19">
      <c r="A472" s="201">
        <v>470</v>
      </c>
      <c r="B472" s="210" t="str">
        <f>_xlfn.CONCAT(表格3_5[[#This Row],[Name]],表格3_5[[#This Row],[Location]])</f>
        <v/>
      </c>
      <c r="C472" s="211" t="str">
        <f>表格3_5[[#This Row],[Location]] &amp; 表格3_5[[#This Row],[Date]] &amp;表格3_5[[#This Row],[Nick Name]]</f>
        <v>0</v>
      </c>
      <c r="D472" s="202"/>
      <c r="E472" s="211" t="str">
        <f>DAY(表格3_5[[#This Row],[Date]])&amp;""</f>
        <v>0</v>
      </c>
      <c r="F472" s="203"/>
      <c r="G472" s="216">
        <f>_xlfn.XLOOKUP(表格3_5[[#This Row],[Name]],Name_list[Full Name],Name_list[Nick Name])</f>
        <v>0</v>
      </c>
      <c r="H472" s="207"/>
      <c r="I472" s="228"/>
      <c r="J472" s="218"/>
      <c r="K472" s="205"/>
      <c r="L472" s="210">
        <f>(表格3_5[[#This Row],[Out-Time]] - 表格3_5[[#This Row],[In-Time]])*24</f>
        <v>0</v>
      </c>
      <c r="M472" s="210">
        <f>表格3_5[[#This Row],[ Hours]]-表格3_5[[#This Row],[Normal working
 hours]]</f>
        <v>0</v>
      </c>
      <c r="N472" s="205"/>
      <c r="O472" s="205"/>
      <c r="P472" s="210">
        <f>(表格3_5[[#This Row],[Out-Time2]] - 表格3_5[[#This Row],[In-Time2]])*24</f>
        <v>0</v>
      </c>
      <c r="Q472" s="205"/>
      <c r="R472" s="214">
        <f>_xlfn.XLOOKUP(表格3_5[[#This Row],[Name]],Name_list[Full Name],Name_list[Hourr Rate])</f>
        <v>0</v>
      </c>
      <c r="S472" s="210">
        <f>表格3_5[[#This Row],[Hours Worked]]*表格3_5[[#This Row],[Hourly Rate]]</f>
        <v>0</v>
      </c>
    </row>
    <row r="473" spans="1:19">
      <c r="A473" s="201">
        <v>471</v>
      </c>
      <c r="B473" s="210" t="str">
        <f>_xlfn.CONCAT(表格3_5[[#This Row],[Name]],表格3_5[[#This Row],[Location]])</f>
        <v/>
      </c>
      <c r="C473" s="211" t="str">
        <f>表格3_5[[#This Row],[Location]] &amp; 表格3_5[[#This Row],[Date]] &amp;表格3_5[[#This Row],[Nick Name]]</f>
        <v>0</v>
      </c>
      <c r="D473" s="202"/>
      <c r="E473" s="211" t="str">
        <f>DAY(表格3_5[[#This Row],[Date]])&amp;""</f>
        <v>0</v>
      </c>
      <c r="F473" s="203"/>
      <c r="G473" s="216">
        <f>_xlfn.XLOOKUP(表格3_5[[#This Row],[Name]],Name_list[Full Name],Name_list[Nick Name])</f>
        <v>0</v>
      </c>
      <c r="H473" s="207"/>
      <c r="I473" s="228"/>
      <c r="J473" s="218"/>
      <c r="K473" s="205"/>
      <c r="L473" s="210">
        <f>(表格3_5[[#This Row],[Out-Time]] - 表格3_5[[#This Row],[In-Time]])*24</f>
        <v>0</v>
      </c>
      <c r="M473" s="210">
        <f>表格3_5[[#This Row],[ Hours]]-表格3_5[[#This Row],[Normal working
 hours]]</f>
        <v>0</v>
      </c>
      <c r="N473" s="205"/>
      <c r="O473" s="205"/>
      <c r="P473" s="210">
        <f>(表格3_5[[#This Row],[Out-Time2]] - 表格3_5[[#This Row],[In-Time2]])*24</f>
        <v>0</v>
      </c>
      <c r="Q473" s="205"/>
      <c r="R473" s="214">
        <f>_xlfn.XLOOKUP(表格3_5[[#This Row],[Name]],Name_list[Full Name],Name_list[Hourr Rate])</f>
        <v>0</v>
      </c>
      <c r="S473" s="210">
        <f>表格3_5[[#This Row],[Hours Worked]]*表格3_5[[#This Row],[Hourly Rate]]</f>
        <v>0</v>
      </c>
    </row>
    <row r="474" spans="1:19">
      <c r="A474" s="201">
        <v>472</v>
      </c>
      <c r="B474" s="210" t="str">
        <f>_xlfn.CONCAT(表格3_5[[#This Row],[Name]],表格3_5[[#This Row],[Location]])</f>
        <v/>
      </c>
      <c r="C474" s="211" t="str">
        <f>表格3_5[[#This Row],[Location]] &amp; 表格3_5[[#This Row],[Date]] &amp;表格3_5[[#This Row],[Nick Name]]</f>
        <v>0</v>
      </c>
      <c r="D474" s="202"/>
      <c r="E474" s="211" t="str">
        <f>DAY(表格3_5[[#This Row],[Date]])&amp;""</f>
        <v>0</v>
      </c>
      <c r="F474" s="203"/>
      <c r="G474" s="216">
        <f>_xlfn.XLOOKUP(表格3_5[[#This Row],[Name]],Name_list[Full Name],Name_list[Nick Name])</f>
        <v>0</v>
      </c>
      <c r="H474" s="207"/>
      <c r="I474" s="228"/>
      <c r="J474" s="218"/>
      <c r="K474" s="205"/>
      <c r="L474" s="210">
        <f>(表格3_5[[#This Row],[Out-Time]] - 表格3_5[[#This Row],[In-Time]])*24</f>
        <v>0</v>
      </c>
      <c r="M474" s="210">
        <f>表格3_5[[#This Row],[ Hours]]-表格3_5[[#This Row],[Normal working
 hours]]</f>
        <v>0</v>
      </c>
      <c r="N474" s="205"/>
      <c r="O474" s="205"/>
      <c r="P474" s="210">
        <f>(表格3_5[[#This Row],[Out-Time2]] - 表格3_5[[#This Row],[In-Time2]])*24</f>
        <v>0</v>
      </c>
      <c r="Q474" s="205"/>
      <c r="R474" s="214">
        <f>_xlfn.XLOOKUP(表格3_5[[#This Row],[Name]],Name_list[Full Name],Name_list[Hourr Rate])</f>
        <v>0</v>
      </c>
      <c r="S474" s="210">
        <f>表格3_5[[#This Row],[Hours Worked]]*表格3_5[[#This Row],[Hourly Rate]]</f>
        <v>0</v>
      </c>
    </row>
    <row r="475" spans="1:19">
      <c r="A475" s="201">
        <v>473</v>
      </c>
      <c r="B475" s="210" t="str">
        <f>_xlfn.CONCAT(表格3_5[[#This Row],[Name]],表格3_5[[#This Row],[Location]])</f>
        <v/>
      </c>
      <c r="C475" s="211" t="str">
        <f>表格3_5[[#This Row],[Location]] &amp; 表格3_5[[#This Row],[Date]] &amp;表格3_5[[#This Row],[Nick Name]]</f>
        <v>0</v>
      </c>
      <c r="D475" s="202"/>
      <c r="E475" s="211" t="str">
        <f>DAY(表格3_5[[#This Row],[Date]])&amp;""</f>
        <v>0</v>
      </c>
      <c r="F475" s="203"/>
      <c r="G475" s="216">
        <f>_xlfn.XLOOKUP(表格3_5[[#This Row],[Name]],Name_list[Full Name],Name_list[Nick Name])</f>
        <v>0</v>
      </c>
      <c r="H475" s="207"/>
      <c r="I475" s="228"/>
      <c r="J475" s="218"/>
      <c r="K475" s="205"/>
      <c r="L475" s="210">
        <f>(表格3_5[[#This Row],[Out-Time]] - 表格3_5[[#This Row],[In-Time]])*24</f>
        <v>0</v>
      </c>
      <c r="M475" s="210">
        <f>表格3_5[[#This Row],[ Hours]]-表格3_5[[#This Row],[Normal working
 hours]]</f>
        <v>0</v>
      </c>
      <c r="N475" s="205"/>
      <c r="O475" s="205"/>
      <c r="P475" s="210">
        <f>(表格3_5[[#This Row],[Out-Time2]] - 表格3_5[[#This Row],[In-Time2]])*24</f>
        <v>0</v>
      </c>
      <c r="Q475" s="205"/>
      <c r="R475" s="214">
        <f>_xlfn.XLOOKUP(表格3_5[[#This Row],[Name]],Name_list[Full Name],Name_list[Hourr Rate])</f>
        <v>0</v>
      </c>
      <c r="S475" s="210">
        <f>表格3_5[[#This Row],[Hours Worked]]*表格3_5[[#This Row],[Hourly Rate]]</f>
        <v>0</v>
      </c>
    </row>
    <row r="476" spans="1:19">
      <c r="A476" s="201">
        <v>474</v>
      </c>
      <c r="B476" s="210" t="str">
        <f>_xlfn.CONCAT(表格3_5[[#This Row],[Name]],表格3_5[[#This Row],[Location]])</f>
        <v/>
      </c>
      <c r="C476" s="211" t="str">
        <f>表格3_5[[#This Row],[Location]] &amp; 表格3_5[[#This Row],[Date]] &amp;表格3_5[[#This Row],[Nick Name]]</f>
        <v>0</v>
      </c>
      <c r="D476" s="202"/>
      <c r="E476" s="211" t="str">
        <f>DAY(表格3_5[[#This Row],[Date]])&amp;""</f>
        <v>0</v>
      </c>
      <c r="F476" s="203"/>
      <c r="G476" s="216">
        <f>_xlfn.XLOOKUP(表格3_5[[#This Row],[Name]],Name_list[Full Name],Name_list[Nick Name])</f>
        <v>0</v>
      </c>
      <c r="H476" s="207"/>
      <c r="I476" s="228"/>
      <c r="J476" s="218"/>
      <c r="K476" s="205"/>
      <c r="L476" s="210">
        <f>(表格3_5[[#This Row],[Out-Time]] - 表格3_5[[#This Row],[In-Time]])*24</f>
        <v>0</v>
      </c>
      <c r="M476" s="210">
        <f>表格3_5[[#This Row],[ Hours]]-表格3_5[[#This Row],[Normal working
 hours]]</f>
        <v>0</v>
      </c>
      <c r="N476" s="205"/>
      <c r="O476" s="205"/>
      <c r="P476" s="210">
        <f>(表格3_5[[#This Row],[Out-Time2]] - 表格3_5[[#This Row],[In-Time2]])*24</f>
        <v>0</v>
      </c>
      <c r="Q476" s="205"/>
      <c r="R476" s="214">
        <f>_xlfn.XLOOKUP(表格3_5[[#This Row],[Name]],Name_list[Full Name],Name_list[Hourr Rate])</f>
        <v>0</v>
      </c>
      <c r="S476" s="210">
        <f>表格3_5[[#This Row],[Hours Worked]]*表格3_5[[#This Row],[Hourly Rate]]</f>
        <v>0</v>
      </c>
    </row>
    <row r="477" spans="1:19">
      <c r="A477" s="201">
        <v>475</v>
      </c>
      <c r="B477" s="210" t="str">
        <f>_xlfn.CONCAT(表格3_5[[#This Row],[Name]],表格3_5[[#This Row],[Location]])</f>
        <v/>
      </c>
      <c r="C477" s="211" t="str">
        <f>表格3_5[[#This Row],[Location]] &amp; 表格3_5[[#This Row],[Date]] &amp;表格3_5[[#This Row],[Nick Name]]</f>
        <v>0</v>
      </c>
      <c r="D477" s="202"/>
      <c r="E477" s="211" t="str">
        <f>DAY(表格3_5[[#This Row],[Date]])&amp;""</f>
        <v>0</v>
      </c>
      <c r="F477" s="203"/>
      <c r="G477" s="216">
        <f>_xlfn.XLOOKUP(表格3_5[[#This Row],[Name]],Name_list[Full Name],Name_list[Nick Name])</f>
        <v>0</v>
      </c>
      <c r="H477" s="207"/>
      <c r="I477" s="228"/>
      <c r="J477" s="218"/>
      <c r="K477" s="205"/>
      <c r="L477" s="210">
        <f>(表格3_5[[#This Row],[Out-Time]] - 表格3_5[[#This Row],[In-Time]])*24</f>
        <v>0</v>
      </c>
      <c r="M477" s="210">
        <f>表格3_5[[#This Row],[ Hours]]-表格3_5[[#This Row],[Normal working
 hours]]</f>
        <v>0</v>
      </c>
      <c r="N477" s="205"/>
      <c r="O477" s="205"/>
      <c r="P477" s="210">
        <f>(表格3_5[[#This Row],[Out-Time2]] - 表格3_5[[#This Row],[In-Time2]])*24</f>
        <v>0</v>
      </c>
      <c r="Q477" s="205"/>
      <c r="R477" s="214">
        <f>_xlfn.XLOOKUP(表格3_5[[#This Row],[Name]],Name_list[Full Name],Name_list[Hourr Rate])</f>
        <v>0</v>
      </c>
      <c r="S477" s="210">
        <f>表格3_5[[#This Row],[Hours Worked]]*表格3_5[[#This Row],[Hourly Rate]]</f>
        <v>0</v>
      </c>
    </row>
    <row r="478" spans="1:19">
      <c r="A478" s="201">
        <v>476</v>
      </c>
      <c r="B478" s="210" t="str">
        <f>_xlfn.CONCAT(表格3_5[[#This Row],[Name]],表格3_5[[#This Row],[Location]])</f>
        <v/>
      </c>
      <c r="C478" s="211" t="str">
        <f>表格3_5[[#This Row],[Location]] &amp; 表格3_5[[#This Row],[Date]] &amp;表格3_5[[#This Row],[Nick Name]]</f>
        <v>0</v>
      </c>
      <c r="D478" s="202"/>
      <c r="E478" s="211" t="str">
        <f>DAY(表格3_5[[#This Row],[Date]])&amp;""</f>
        <v>0</v>
      </c>
      <c r="F478" s="203"/>
      <c r="G478" s="216">
        <f>_xlfn.XLOOKUP(表格3_5[[#This Row],[Name]],Name_list[Full Name],Name_list[Nick Name])</f>
        <v>0</v>
      </c>
      <c r="H478" s="207"/>
      <c r="I478" s="228"/>
      <c r="J478" s="218"/>
      <c r="K478" s="205"/>
      <c r="L478" s="210">
        <f>(表格3_5[[#This Row],[Out-Time]] - 表格3_5[[#This Row],[In-Time]])*24</f>
        <v>0</v>
      </c>
      <c r="M478" s="210">
        <f>表格3_5[[#This Row],[ Hours]]-表格3_5[[#This Row],[Normal working
 hours]]</f>
        <v>0</v>
      </c>
      <c r="N478" s="205"/>
      <c r="O478" s="205"/>
      <c r="P478" s="210">
        <f>(表格3_5[[#This Row],[Out-Time2]] - 表格3_5[[#This Row],[In-Time2]])*24</f>
        <v>0</v>
      </c>
      <c r="Q478" s="205"/>
      <c r="R478" s="214">
        <f>_xlfn.XLOOKUP(表格3_5[[#This Row],[Name]],Name_list[Full Name],Name_list[Hourr Rate])</f>
        <v>0</v>
      </c>
      <c r="S478" s="210">
        <f>表格3_5[[#This Row],[Hours Worked]]*表格3_5[[#This Row],[Hourly Rate]]</f>
        <v>0</v>
      </c>
    </row>
    <row r="479" spans="1:19">
      <c r="A479" s="201">
        <v>477</v>
      </c>
      <c r="B479" s="210" t="str">
        <f>_xlfn.CONCAT(表格3_5[[#This Row],[Name]],表格3_5[[#This Row],[Location]])</f>
        <v/>
      </c>
      <c r="C479" s="211" t="str">
        <f>表格3_5[[#This Row],[Location]] &amp; 表格3_5[[#This Row],[Date]] &amp;表格3_5[[#This Row],[Nick Name]]</f>
        <v>0</v>
      </c>
      <c r="D479" s="202"/>
      <c r="E479" s="211" t="str">
        <f>DAY(表格3_5[[#This Row],[Date]])&amp;""</f>
        <v>0</v>
      </c>
      <c r="F479" s="203"/>
      <c r="G479" s="216">
        <f>_xlfn.XLOOKUP(表格3_5[[#This Row],[Name]],Name_list[Full Name],Name_list[Nick Name])</f>
        <v>0</v>
      </c>
      <c r="H479" s="207"/>
      <c r="I479" s="228"/>
      <c r="J479" s="218"/>
      <c r="K479" s="205"/>
      <c r="L479" s="210">
        <f>(表格3_5[[#This Row],[Out-Time]] - 表格3_5[[#This Row],[In-Time]])*24</f>
        <v>0</v>
      </c>
      <c r="M479" s="210">
        <f>表格3_5[[#This Row],[ Hours]]-表格3_5[[#This Row],[Normal working
 hours]]</f>
        <v>0</v>
      </c>
      <c r="N479" s="205"/>
      <c r="O479" s="205"/>
      <c r="P479" s="210">
        <f>(表格3_5[[#This Row],[Out-Time2]] - 表格3_5[[#This Row],[In-Time2]])*24</f>
        <v>0</v>
      </c>
      <c r="Q479" s="205"/>
      <c r="R479" s="214">
        <f>_xlfn.XLOOKUP(表格3_5[[#This Row],[Name]],Name_list[Full Name],Name_list[Hourr Rate])</f>
        <v>0</v>
      </c>
      <c r="S479" s="210">
        <f>表格3_5[[#This Row],[Hours Worked]]*表格3_5[[#This Row],[Hourly Rate]]</f>
        <v>0</v>
      </c>
    </row>
    <row r="480" spans="1:19">
      <c r="A480" s="201">
        <v>478</v>
      </c>
      <c r="B480" s="210" t="str">
        <f>_xlfn.CONCAT(表格3_5[[#This Row],[Name]],表格3_5[[#This Row],[Location]])</f>
        <v/>
      </c>
      <c r="C480" s="211" t="str">
        <f>表格3_5[[#This Row],[Location]] &amp; 表格3_5[[#This Row],[Date]] &amp;表格3_5[[#This Row],[Nick Name]]</f>
        <v>0</v>
      </c>
      <c r="D480" s="202"/>
      <c r="E480" s="211" t="str">
        <f>DAY(表格3_5[[#This Row],[Date]])&amp;""</f>
        <v>0</v>
      </c>
      <c r="F480" s="203"/>
      <c r="G480" s="216">
        <f>_xlfn.XLOOKUP(表格3_5[[#This Row],[Name]],Name_list[Full Name],Name_list[Nick Name])</f>
        <v>0</v>
      </c>
      <c r="H480" s="207"/>
      <c r="I480" s="228"/>
      <c r="J480" s="218"/>
      <c r="K480" s="205"/>
      <c r="L480" s="210">
        <f>(表格3_5[[#This Row],[Out-Time]] - 表格3_5[[#This Row],[In-Time]])*24</f>
        <v>0</v>
      </c>
      <c r="M480" s="210">
        <f>表格3_5[[#This Row],[ Hours]]-表格3_5[[#This Row],[Normal working
 hours]]</f>
        <v>0</v>
      </c>
      <c r="N480" s="205"/>
      <c r="O480" s="205"/>
      <c r="P480" s="210">
        <f>(表格3_5[[#This Row],[Out-Time2]] - 表格3_5[[#This Row],[In-Time2]])*24</f>
        <v>0</v>
      </c>
      <c r="Q480" s="205"/>
      <c r="R480" s="214">
        <f>_xlfn.XLOOKUP(表格3_5[[#This Row],[Name]],Name_list[Full Name],Name_list[Hourr Rate])</f>
        <v>0</v>
      </c>
      <c r="S480" s="210">
        <f>表格3_5[[#This Row],[Hours Worked]]*表格3_5[[#This Row],[Hourly Rate]]</f>
        <v>0</v>
      </c>
    </row>
    <row r="481" spans="1:19">
      <c r="A481" s="201">
        <v>479</v>
      </c>
      <c r="B481" s="210" t="str">
        <f>_xlfn.CONCAT(表格3_5[[#This Row],[Name]],表格3_5[[#This Row],[Location]])</f>
        <v/>
      </c>
      <c r="C481" s="211" t="str">
        <f>表格3_5[[#This Row],[Location]] &amp; 表格3_5[[#This Row],[Date]] &amp;表格3_5[[#This Row],[Nick Name]]</f>
        <v>0</v>
      </c>
      <c r="D481" s="202"/>
      <c r="E481" s="211" t="str">
        <f>DAY(表格3_5[[#This Row],[Date]])&amp;""</f>
        <v>0</v>
      </c>
      <c r="F481" s="203"/>
      <c r="G481" s="216">
        <f>_xlfn.XLOOKUP(表格3_5[[#This Row],[Name]],Name_list[Full Name],Name_list[Nick Name])</f>
        <v>0</v>
      </c>
      <c r="H481" s="207"/>
      <c r="I481" s="228"/>
      <c r="J481" s="218"/>
      <c r="K481" s="205"/>
      <c r="L481" s="210">
        <f>(表格3_5[[#This Row],[Out-Time]] - 表格3_5[[#This Row],[In-Time]])*24</f>
        <v>0</v>
      </c>
      <c r="M481" s="210">
        <f>表格3_5[[#This Row],[ Hours]]-表格3_5[[#This Row],[Normal working
 hours]]</f>
        <v>0</v>
      </c>
      <c r="N481" s="205"/>
      <c r="O481" s="205"/>
      <c r="P481" s="210">
        <f>(表格3_5[[#This Row],[Out-Time2]] - 表格3_5[[#This Row],[In-Time2]])*24</f>
        <v>0</v>
      </c>
      <c r="Q481" s="205"/>
      <c r="R481" s="214">
        <f>_xlfn.XLOOKUP(表格3_5[[#This Row],[Name]],Name_list[Full Name],Name_list[Hourr Rate])</f>
        <v>0</v>
      </c>
      <c r="S481" s="210">
        <f>表格3_5[[#This Row],[Hours Worked]]*表格3_5[[#This Row],[Hourly Rate]]</f>
        <v>0</v>
      </c>
    </row>
    <row r="482" spans="1:19">
      <c r="A482" s="201">
        <v>480</v>
      </c>
      <c r="B482" s="210" t="str">
        <f>_xlfn.CONCAT(表格3_5[[#This Row],[Name]],表格3_5[[#This Row],[Location]])</f>
        <v/>
      </c>
      <c r="C482" s="211" t="str">
        <f>表格3_5[[#This Row],[Location]] &amp; 表格3_5[[#This Row],[Date]] &amp;表格3_5[[#This Row],[Nick Name]]</f>
        <v>0</v>
      </c>
      <c r="D482" s="202"/>
      <c r="E482" s="211" t="str">
        <f>DAY(表格3_5[[#This Row],[Date]])&amp;""</f>
        <v>0</v>
      </c>
      <c r="F482" s="203"/>
      <c r="G482" s="216">
        <f>_xlfn.XLOOKUP(表格3_5[[#This Row],[Name]],Name_list[Full Name],Name_list[Nick Name])</f>
        <v>0</v>
      </c>
      <c r="H482" s="207"/>
      <c r="I482" s="228"/>
      <c r="J482" s="218"/>
      <c r="K482" s="205"/>
      <c r="L482" s="210">
        <f>(表格3_5[[#This Row],[Out-Time]] - 表格3_5[[#This Row],[In-Time]])*24</f>
        <v>0</v>
      </c>
      <c r="M482" s="210">
        <f>表格3_5[[#This Row],[ Hours]]-表格3_5[[#This Row],[Normal working
 hours]]</f>
        <v>0</v>
      </c>
      <c r="N482" s="205"/>
      <c r="O482" s="205"/>
      <c r="P482" s="210">
        <f>(表格3_5[[#This Row],[Out-Time2]] - 表格3_5[[#This Row],[In-Time2]])*24</f>
        <v>0</v>
      </c>
      <c r="Q482" s="205"/>
      <c r="R482" s="214">
        <f>_xlfn.XLOOKUP(表格3_5[[#This Row],[Name]],Name_list[Full Name],Name_list[Hourr Rate])</f>
        <v>0</v>
      </c>
      <c r="S482" s="210">
        <f>表格3_5[[#This Row],[Hours Worked]]*表格3_5[[#This Row],[Hourly Rate]]</f>
        <v>0</v>
      </c>
    </row>
    <row r="483" spans="1:19">
      <c r="A483" s="201">
        <v>481</v>
      </c>
      <c r="B483" s="210" t="str">
        <f>_xlfn.CONCAT(表格3_5[[#This Row],[Name]],表格3_5[[#This Row],[Location]])</f>
        <v/>
      </c>
      <c r="C483" s="211" t="str">
        <f>表格3_5[[#This Row],[Location]] &amp; 表格3_5[[#This Row],[Date]] &amp;表格3_5[[#This Row],[Nick Name]]</f>
        <v>0</v>
      </c>
      <c r="D483" s="202"/>
      <c r="E483" s="211" t="str">
        <f>DAY(表格3_5[[#This Row],[Date]])&amp;""</f>
        <v>0</v>
      </c>
      <c r="F483" s="203"/>
      <c r="G483" s="216">
        <f>_xlfn.XLOOKUP(表格3_5[[#This Row],[Name]],Name_list[Full Name],Name_list[Nick Name])</f>
        <v>0</v>
      </c>
      <c r="H483" s="207"/>
      <c r="I483" s="228"/>
      <c r="J483" s="218"/>
      <c r="K483" s="205"/>
      <c r="L483" s="210">
        <f>(表格3_5[[#This Row],[Out-Time]] - 表格3_5[[#This Row],[In-Time]])*24</f>
        <v>0</v>
      </c>
      <c r="M483" s="210">
        <f>表格3_5[[#This Row],[ Hours]]-表格3_5[[#This Row],[Normal working
 hours]]</f>
        <v>0</v>
      </c>
      <c r="N483" s="205"/>
      <c r="O483" s="205"/>
      <c r="P483" s="210">
        <f>(表格3_5[[#This Row],[Out-Time2]] - 表格3_5[[#This Row],[In-Time2]])*24</f>
        <v>0</v>
      </c>
      <c r="Q483" s="205"/>
      <c r="R483" s="214">
        <f>_xlfn.XLOOKUP(表格3_5[[#This Row],[Name]],Name_list[Full Name],Name_list[Hourr Rate])</f>
        <v>0</v>
      </c>
      <c r="S483" s="210">
        <f>表格3_5[[#This Row],[Hours Worked]]*表格3_5[[#This Row],[Hourly Rate]]</f>
        <v>0</v>
      </c>
    </row>
    <row r="484" spans="1:19">
      <c r="A484" s="201">
        <v>482</v>
      </c>
      <c r="B484" s="210" t="str">
        <f>_xlfn.CONCAT(表格3_5[[#This Row],[Name]],表格3_5[[#This Row],[Location]])</f>
        <v/>
      </c>
      <c r="C484" s="211" t="str">
        <f>表格3_5[[#This Row],[Location]] &amp; 表格3_5[[#This Row],[Date]] &amp;表格3_5[[#This Row],[Nick Name]]</f>
        <v>0</v>
      </c>
      <c r="D484" s="202"/>
      <c r="E484" s="211" t="str">
        <f>DAY(表格3_5[[#This Row],[Date]])&amp;""</f>
        <v>0</v>
      </c>
      <c r="F484" s="203"/>
      <c r="G484" s="216">
        <f>_xlfn.XLOOKUP(表格3_5[[#This Row],[Name]],Name_list[Full Name],Name_list[Nick Name])</f>
        <v>0</v>
      </c>
      <c r="H484" s="207"/>
      <c r="I484" s="228"/>
      <c r="J484" s="218"/>
      <c r="K484" s="205"/>
      <c r="L484" s="210">
        <f>(表格3_5[[#This Row],[Out-Time]] - 表格3_5[[#This Row],[In-Time]])*24</f>
        <v>0</v>
      </c>
      <c r="M484" s="210">
        <f>表格3_5[[#This Row],[ Hours]]-表格3_5[[#This Row],[Normal working
 hours]]</f>
        <v>0</v>
      </c>
      <c r="N484" s="205"/>
      <c r="O484" s="205"/>
      <c r="P484" s="210">
        <f>(表格3_5[[#This Row],[Out-Time2]] - 表格3_5[[#This Row],[In-Time2]])*24</f>
        <v>0</v>
      </c>
      <c r="Q484" s="205"/>
      <c r="R484" s="214">
        <f>_xlfn.XLOOKUP(表格3_5[[#This Row],[Name]],Name_list[Full Name],Name_list[Hourr Rate])</f>
        <v>0</v>
      </c>
      <c r="S484" s="210">
        <f>表格3_5[[#This Row],[Hours Worked]]*表格3_5[[#This Row],[Hourly Rate]]</f>
        <v>0</v>
      </c>
    </row>
    <row r="485" spans="1:19">
      <c r="A485" s="201">
        <v>483</v>
      </c>
      <c r="B485" s="210" t="str">
        <f>_xlfn.CONCAT(表格3_5[[#This Row],[Name]],表格3_5[[#This Row],[Location]])</f>
        <v/>
      </c>
      <c r="C485" s="211" t="str">
        <f>表格3_5[[#This Row],[Location]] &amp; 表格3_5[[#This Row],[Date]] &amp;表格3_5[[#This Row],[Nick Name]]</f>
        <v>0</v>
      </c>
      <c r="D485" s="202"/>
      <c r="E485" s="211" t="str">
        <f>DAY(表格3_5[[#This Row],[Date]])&amp;""</f>
        <v>0</v>
      </c>
      <c r="F485" s="203"/>
      <c r="G485" s="216">
        <f>_xlfn.XLOOKUP(表格3_5[[#This Row],[Name]],Name_list[Full Name],Name_list[Nick Name])</f>
        <v>0</v>
      </c>
      <c r="H485" s="207"/>
      <c r="I485" s="228"/>
      <c r="J485" s="218"/>
      <c r="K485" s="205"/>
      <c r="L485" s="210">
        <f>(表格3_5[[#This Row],[Out-Time]] - 表格3_5[[#This Row],[In-Time]])*24</f>
        <v>0</v>
      </c>
      <c r="M485" s="210">
        <f>表格3_5[[#This Row],[ Hours]]-表格3_5[[#This Row],[Normal working
 hours]]</f>
        <v>0</v>
      </c>
      <c r="N485" s="205"/>
      <c r="O485" s="205"/>
      <c r="P485" s="210">
        <f>(表格3_5[[#This Row],[Out-Time2]] - 表格3_5[[#This Row],[In-Time2]])*24</f>
        <v>0</v>
      </c>
      <c r="Q485" s="205"/>
      <c r="R485" s="214">
        <f>_xlfn.XLOOKUP(表格3_5[[#This Row],[Name]],Name_list[Full Name],Name_list[Hourr Rate])</f>
        <v>0</v>
      </c>
      <c r="S485" s="210">
        <f>表格3_5[[#This Row],[Hours Worked]]*表格3_5[[#This Row],[Hourly Rate]]</f>
        <v>0</v>
      </c>
    </row>
    <row r="486" spans="1:19">
      <c r="A486" s="201">
        <v>484</v>
      </c>
      <c r="B486" s="210" t="str">
        <f>_xlfn.CONCAT(表格3_5[[#This Row],[Name]],表格3_5[[#This Row],[Location]])</f>
        <v/>
      </c>
      <c r="C486" s="211" t="str">
        <f>表格3_5[[#This Row],[Location]] &amp; 表格3_5[[#This Row],[Date]] &amp;表格3_5[[#This Row],[Nick Name]]</f>
        <v>0</v>
      </c>
      <c r="D486" s="202"/>
      <c r="E486" s="211" t="str">
        <f>DAY(表格3_5[[#This Row],[Date]])&amp;""</f>
        <v>0</v>
      </c>
      <c r="F486" s="203"/>
      <c r="G486" s="216">
        <f>_xlfn.XLOOKUP(表格3_5[[#This Row],[Name]],Name_list[Full Name],Name_list[Nick Name])</f>
        <v>0</v>
      </c>
      <c r="H486" s="207"/>
      <c r="I486" s="228"/>
      <c r="J486" s="218"/>
      <c r="K486" s="205"/>
      <c r="L486" s="210">
        <f>(表格3_5[[#This Row],[Out-Time]] - 表格3_5[[#This Row],[In-Time]])*24</f>
        <v>0</v>
      </c>
      <c r="M486" s="210">
        <f>表格3_5[[#This Row],[ Hours]]-表格3_5[[#This Row],[Normal working
 hours]]</f>
        <v>0</v>
      </c>
      <c r="N486" s="205"/>
      <c r="O486" s="205"/>
      <c r="P486" s="210">
        <f>(表格3_5[[#This Row],[Out-Time2]] - 表格3_5[[#This Row],[In-Time2]])*24</f>
        <v>0</v>
      </c>
      <c r="Q486" s="205"/>
      <c r="R486" s="214">
        <f>_xlfn.XLOOKUP(表格3_5[[#This Row],[Name]],Name_list[Full Name],Name_list[Hourr Rate])</f>
        <v>0</v>
      </c>
      <c r="S486" s="210">
        <f>表格3_5[[#This Row],[Hours Worked]]*表格3_5[[#This Row],[Hourly Rate]]</f>
        <v>0</v>
      </c>
    </row>
    <row r="487" spans="1:19">
      <c r="A487" s="201">
        <v>485</v>
      </c>
      <c r="B487" s="210" t="str">
        <f>_xlfn.CONCAT(表格3_5[[#This Row],[Name]],表格3_5[[#This Row],[Location]])</f>
        <v/>
      </c>
      <c r="C487" s="211" t="str">
        <f>表格3_5[[#This Row],[Location]] &amp; 表格3_5[[#This Row],[Date]] &amp;表格3_5[[#This Row],[Nick Name]]</f>
        <v>0</v>
      </c>
      <c r="D487" s="202"/>
      <c r="E487" s="211" t="str">
        <f>DAY(表格3_5[[#This Row],[Date]])&amp;""</f>
        <v>0</v>
      </c>
      <c r="F487" s="203"/>
      <c r="G487" s="216">
        <f>_xlfn.XLOOKUP(表格3_5[[#This Row],[Name]],Name_list[Full Name],Name_list[Nick Name])</f>
        <v>0</v>
      </c>
      <c r="H487" s="207"/>
      <c r="I487" s="228"/>
      <c r="J487" s="218"/>
      <c r="K487" s="205"/>
      <c r="L487" s="210">
        <f>(表格3_5[[#This Row],[Out-Time]] - 表格3_5[[#This Row],[In-Time]])*24</f>
        <v>0</v>
      </c>
      <c r="M487" s="210">
        <f>表格3_5[[#This Row],[ Hours]]-表格3_5[[#This Row],[Normal working
 hours]]</f>
        <v>0</v>
      </c>
      <c r="N487" s="205"/>
      <c r="O487" s="205"/>
      <c r="P487" s="210">
        <f>(表格3_5[[#This Row],[Out-Time2]] - 表格3_5[[#This Row],[In-Time2]])*24</f>
        <v>0</v>
      </c>
      <c r="Q487" s="205"/>
      <c r="R487" s="214">
        <f>_xlfn.XLOOKUP(表格3_5[[#This Row],[Name]],Name_list[Full Name],Name_list[Hourr Rate])</f>
        <v>0</v>
      </c>
      <c r="S487" s="210">
        <f>表格3_5[[#This Row],[Hours Worked]]*表格3_5[[#This Row],[Hourly Rate]]</f>
        <v>0</v>
      </c>
    </row>
    <row r="488" spans="1:19">
      <c r="A488" s="201">
        <v>486</v>
      </c>
      <c r="B488" s="210" t="str">
        <f>_xlfn.CONCAT(表格3_5[[#This Row],[Name]],表格3_5[[#This Row],[Location]])</f>
        <v/>
      </c>
      <c r="C488" s="211" t="str">
        <f>表格3_5[[#This Row],[Location]] &amp; 表格3_5[[#This Row],[Date]] &amp;表格3_5[[#This Row],[Nick Name]]</f>
        <v>0</v>
      </c>
      <c r="D488" s="202"/>
      <c r="E488" s="211" t="str">
        <f>DAY(表格3_5[[#This Row],[Date]])&amp;""</f>
        <v>0</v>
      </c>
      <c r="F488" s="203"/>
      <c r="G488" s="216">
        <f>_xlfn.XLOOKUP(表格3_5[[#This Row],[Name]],Name_list[Full Name],Name_list[Nick Name])</f>
        <v>0</v>
      </c>
      <c r="H488" s="207"/>
      <c r="I488" s="228"/>
      <c r="J488" s="218"/>
      <c r="K488" s="205"/>
      <c r="L488" s="210">
        <f>(表格3_5[[#This Row],[Out-Time]] - 表格3_5[[#This Row],[In-Time]])*24</f>
        <v>0</v>
      </c>
      <c r="M488" s="210">
        <f>表格3_5[[#This Row],[ Hours]]-表格3_5[[#This Row],[Normal working
 hours]]</f>
        <v>0</v>
      </c>
      <c r="N488" s="205"/>
      <c r="O488" s="205"/>
      <c r="P488" s="210">
        <f>(表格3_5[[#This Row],[Out-Time2]] - 表格3_5[[#This Row],[In-Time2]])*24</f>
        <v>0</v>
      </c>
      <c r="Q488" s="205"/>
      <c r="R488" s="214">
        <f>_xlfn.XLOOKUP(表格3_5[[#This Row],[Name]],Name_list[Full Name],Name_list[Hourr Rate])</f>
        <v>0</v>
      </c>
      <c r="S488" s="210">
        <f>表格3_5[[#This Row],[Hours Worked]]*表格3_5[[#This Row],[Hourly Rate]]</f>
        <v>0</v>
      </c>
    </row>
    <row r="489" spans="1:19">
      <c r="A489" s="201">
        <v>487</v>
      </c>
      <c r="B489" s="210" t="str">
        <f>_xlfn.CONCAT(表格3_5[[#This Row],[Name]],表格3_5[[#This Row],[Location]])</f>
        <v/>
      </c>
      <c r="C489" s="211" t="str">
        <f>表格3_5[[#This Row],[Location]] &amp; 表格3_5[[#This Row],[Date]] &amp;表格3_5[[#This Row],[Nick Name]]</f>
        <v>0</v>
      </c>
      <c r="D489" s="202"/>
      <c r="E489" s="211" t="str">
        <f>DAY(表格3_5[[#This Row],[Date]])&amp;""</f>
        <v>0</v>
      </c>
      <c r="F489" s="203"/>
      <c r="G489" s="216">
        <f>_xlfn.XLOOKUP(表格3_5[[#This Row],[Name]],Name_list[Full Name],Name_list[Nick Name])</f>
        <v>0</v>
      </c>
      <c r="H489" s="207"/>
      <c r="I489" s="228"/>
      <c r="J489" s="218"/>
      <c r="K489" s="205"/>
      <c r="L489" s="210">
        <f>(表格3_5[[#This Row],[Out-Time]] - 表格3_5[[#This Row],[In-Time]])*24</f>
        <v>0</v>
      </c>
      <c r="M489" s="210">
        <f>表格3_5[[#This Row],[ Hours]]-表格3_5[[#This Row],[Normal working
 hours]]</f>
        <v>0</v>
      </c>
      <c r="N489" s="205"/>
      <c r="O489" s="205"/>
      <c r="P489" s="210">
        <f>(表格3_5[[#This Row],[Out-Time2]] - 表格3_5[[#This Row],[In-Time2]])*24</f>
        <v>0</v>
      </c>
      <c r="Q489" s="205"/>
      <c r="R489" s="214">
        <f>_xlfn.XLOOKUP(表格3_5[[#This Row],[Name]],Name_list[Full Name],Name_list[Hourr Rate])</f>
        <v>0</v>
      </c>
      <c r="S489" s="210">
        <f>表格3_5[[#This Row],[Hours Worked]]*表格3_5[[#This Row],[Hourly Rate]]</f>
        <v>0</v>
      </c>
    </row>
    <row r="490" spans="1:19">
      <c r="A490" s="201">
        <v>488</v>
      </c>
      <c r="B490" s="210" t="str">
        <f>_xlfn.CONCAT(表格3_5[[#This Row],[Name]],表格3_5[[#This Row],[Location]])</f>
        <v/>
      </c>
      <c r="C490" s="211" t="str">
        <f>表格3_5[[#This Row],[Location]] &amp; 表格3_5[[#This Row],[Date]] &amp;表格3_5[[#This Row],[Nick Name]]</f>
        <v>0</v>
      </c>
      <c r="D490" s="202"/>
      <c r="E490" s="211" t="str">
        <f>DAY(表格3_5[[#This Row],[Date]])&amp;""</f>
        <v>0</v>
      </c>
      <c r="F490" s="203"/>
      <c r="G490" s="216">
        <f>_xlfn.XLOOKUP(表格3_5[[#This Row],[Name]],Name_list[Full Name],Name_list[Nick Name])</f>
        <v>0</v>
      </c>
      <c r="H490" s="207"/>
      <c r="I490" s="228"/>
      <c r="J490" s="218"/>
      <c r="K490" s="205"/>
      <c r="L490" s="210">
        <f>(表格3_5[[#This Row],[Out-Time]] - 表格3_5[[#This Row],[In-Time]])*24</f>
        <v>0</v>
      </c>
      <c r="M490" s="210">
        <f>表格3_5[[#This Row],[ Hours]]-表格3_5[[#This Row],[Normal working
 hours]]</f>
        <v>0</v>
      </c>
      <c r="N490" s="205"/>
      <c r="O490" s="205"/>
      <c r="P490" s="210">
        <f>(表格3_5[[#This Row],[Out-Time2]] - 表格3_5[[#This Row],[In-Time2]])*24</f>
        <v>0</v>
      </c>
      <c r="Q490" s="205"/>
      <c r="R490" s="214">
        <f>_xlfn.XLOOKUP(表格3_5[[#This Row],[Name]],Name_list[Full Name],Name_list[Hourr Rate])</f>
        <v>0</v>
      </c>
      <c r="S490" s="210">
        <f>表格3_5[[#This Row],[Hours Worked]]*表格3_5[[#This Row],[Hourly Rate]]</f>
        <v>0</v>
      </c>
    </row>
    <row r="491" spans="1:19">
      <c r="A491" s="201">
        <v>489</v>
      </c>
      <c r="B491" s="210" t="str">
        <f>_xlfn.CONCAT(表格3_5[[#This Row],[Name]],表格3_5[[#This Row],[Location]])</f>
        <v/>
      </c>
      <c r="C491" s="211" t="str">
        <f>表格3_5[[#This Row],[Location]] &amp; 表格3_5[[#This Row],[Date]] &amp;表格3_5[[#This Row],[Nick Name]]</f>
        <v>0</v>
      </c>
      <c r="D491" s="202"/>
      <c r="E491" s="211" t="str">
        <f>DAY(表格3_5[[#This Row],[Date]])&amp;""</f>
        <v>0</v>
      </c>
      <c r="F491" s="203"/>
      <c r="G491" s="216">
        <f>_xlfn.XLOOKUP(表格3_5[[#This Row],[Name]],Name_list[Full Name],Name_list[Nick Name])</f>
        <v>0</v>
      </c>
      <c r="H491" s="207"/>
      <c r="I491" s="228"/>
      <c r="J491" s="218"/>
      <c r="K491" s="205"/>
      <c r="L491" s="210">
        <f>(表格3_5[[#This Row],[Out-Time]] - 表格3_5[[#This Row],[In-Time]])*24</f>
        <v>0</v>
      </c>
      <c r="M491" s="210">
        <f>表格3_5[[#This Row],[ Hours]]-表格3_5[[#This Row],[Normal working
 hours]]</f>
        <v>0</v>
      </c>
      <c r="N491" s="205"/>
      <c r="O491" s="205"/>
      <c r="P491" s="210">
        <f>(表格3_5[[#This Row],[Out-Time2]] - 表格3_5[[#This Row],[In-Time2]])*24</f>
        <v>0</v>
      </c>
      <c r="Q491" s="205"/>
      <c r="R491" s="214">
        <f>_xlfn.XLOOKUP(表格3_5[[#This Row],[Name]],Name_list[Full Name],Name_list[Hourr Rate])</f>
        <v>0</v>
      </c>
      <c r="S491" s="210">
        <f>表格3_5[[#This Row],[Hours Worked]]*表格3_5[[#This Row],[Hourly Rate]]</f>
        <v>0</v>
      </c>
    </row>
    <row r="492" spans="1:19">
      <c r="A492" s="201">
        <v>490</v>
      </c>
      <c r="B492" s="210" t="str">
        <f>_xlfn.CONCAT(表格3_5[[#This Row],[Name]],表格3_5[[#This Row],[Location]])</f>
        <v/>
      </c>
      <c r="C492" s="211" t="str">
        <f>表格3_5[[#This Row],[Location]] &amp; 表格3_5[[#This Row],[Date]] &amp;表格3_5[[#This Row],[Nick Name]]</f>
        <v>0</v>
      </c>
      <c r="D492" s="202"/>
      <c r="E492" s="211" t="str">
        <f>DAY(表格3_5[[#This Row],[Date]])&amp;""</f>
        <v>0</v>
      </c>
      <c r="F492" s="203"/>
      <c r="G492" s="216">
        <f>_xlfn.XLOOKUP(表格3_5[[#This Row],[Name]],Name_list[Full Name],Name_list[Nick Name])</f>
        <v>0</v>
      </c>
      <c r="H492" s="207"/>
      <c r="I492" s="228"/>
      <c r="J492" s="218"/>
      <c r="K492" s="205"/>
      <c r="L492" s="210">
        <f>(表格3_5[[#This Row],[Out-Time]] - 表格3_5[[#This Row],[In-Time]])*24</f>
        <v>0</v>
      </c>
      <c r="M492" s="210">
        <f>表格3_5[[#This Row],[ Hours]]-表格3_5[[#This Row],[Normal working
 hours]]</f>
        <v>0</v>
      </c>
      <c r="N492" s="205"/>
      <c r="O492" s="205"/>
      <c r="P492" s="210">
        <f>(表格3_5[[#This Row],[Out-Time2]] - 表格3_5[[#This Row],[In-Time2]])*24</f>
        <v>0</v>
      </c>
      <c r="Q492" s="205"/>
      <c r="R492" s="214">
        <f>_xlfn.XLOOKUP(表格3_5[[#This Row],[Name]],Name_list[Full Name],Name_list[Hourr Rate])</f>
        <v>0</v>
      </c>
      <c r="S492" s="210">
        <f>表格3_5[[#This Row],[Hours Worked]]*表格3_5[[#This Row],[Hourly Rate]]</f>
        <v>0</v>
      </c>
    </row>
    <row r="493" spans="1:19">
      <c r="A493" s="201">
        <v>491</v>
      </c>
      <c r="B493" s="210" t="str">
        <f>_xlfn.CONCAT(表格3_5[[#This Row],[Name]],表格3_5[[#This Row],[Location]])</f>
        <v/>
      </c>
      <c r="C493" s="211" t="str">
        <f>表格3_5[[#This Row],[Location]] &amp; 表格3_5[[#This Row],[Date]] &amp;表格3_5[[#This Row],[Nick Name]]</f>
        <v>0</v>
      </c>
      <c r="D493" s="202"/>
      <c r="E493" s="211" t="str">
        <f>DAY(表格3_5[[#This Row],[Date]])&amp;""</f>
        <v>0</v>
      </c>
      <c r="F493" s="203"/>
      <c r="G493" s="216">
        <f>_xlfn.XLOOKUP(表格3_5[[#This Row],[Name]],Name_list[Full Name],Name_list[Nick Name])</f>
        <v>0</v>
      </c>
      <c r="H493" s="207"/>
      <c r="I493" s="228"/>
      <c r="J493" s="218"/>
      <c r="K493" s="205"/>
      <c r="L493" s="210">
        <f>(表格3_5[[#This Row],[Out-Time]] - 表格3_5[[#This Row],[In-Time]])*24</f>
        <v>0</v>
      </c>
      <c r="M493" s="210">
        <f>表格3_5[[#This Row],[ Hours]]-表格3_5[[#This Row],[Normal working
 hours]]</f>
        <v>0</v>
      </c>
      <c r="N493" s="205"/>
      <c r="O493" s="205"/>
      <c r="P493" s="210">
        <f>(表格3_5[[#This Row],[Out-Time2]] - 表格3_5[[#This Row],[In-Time2]])*24</f>
        <v>0</v>
      </c>
      <c r="Q493" s="205"/>
      <c r="R493" s="214">
        <f>_xlfn.XLOOKUP(表格3_5[[#This Row],[Name]],Name_list[Full Name],Name_list[Hourr Rate])</f>
        <v>0</v>
      </c>
      <c r="S493" s="210">
        <f>表格3_5[[#This Row],[Hours Worked]]*表格3_5[[#This Row],[Hourly Rate]]</f>
        <v>0</v>
      </c>
    </row>
    <row r="494" spans="1:19">
      <c r="A494" s="201">
        <v>492</v>
      </c>
      <c r="B494" s="210" t="str">
        <f>_xlfn.CONCAT(表格3_5[[#This Row],[Name]],表格3_5[[#This Row],[Location]])</f>
        <v/>
      </c>
      <c r="C494" s="211" t="str">
        <f>表格3_5[[#This Row],[Location]] &amp; 表格3_5[[#This Row],[Date]] &amp;表格3_5[[#This Row],[Nick Name]]</f>
        <v>0</v>
      </c>
      <c r="D494" s="202"/>
      <c r="E494" s="211" t="str">
        <f>DAY(表格3_5[[#This Row],[Date]])&amp;""</f>
        <v>0</v>
      </c>
      <c r="F494" s="203"/>
      <c r="G494" s="216">
        <f>_xlfn.XLOOKUP(表格3_5[[#This Row],[Name]],Name_list[Full Name],Name_list[Nick Name])</f>
        <v>0</v>
      </c>
      <c r="H494" s="207"/>
      <c r="I494" s="228"/>
      <c r="J494" s="218"/>
      <c r="K494" s="205"/>
      <c r="L494" s="210">
        <f>(表格3_5[[#This Row],[Out-Time]] - 表格3_5[[#This Row],[In-Time]])*24</f>
        <v>0</v>
      </c>
      <c r="M494" s="210">
        <f>表格3_5[[#This Row],[ Hours]]-表格3_5[[#This Row],[Normal working
 hours]]</f>
        <v>0</v>
      </c>
      <c r="N494" s="205"/>
      <c r="O494" s="205"/>
      <c r="P494" s="210">
        <f>(表格3_5[[#This Row],[Out-Time2]] - 表格3_5[[#This Row],[In-Time2]])*24</f>
        <v>0</v>
      </c>
      <c r="Q494" s="205"/>
      <c r="R494" s="214">
        <f>_xlfn.XLOOKUP(表格3_5[[#This Row],[Name]],Name_list[Full Name],Name_list[Hourr Rate])</f>
        <v>0</v>
      </c>
      <c r="S494" s="210">
        <f>表格3_5[[#This Row],[Hours Worked]]*表格3_5[[#This Row],[Hourly Rate]]</f>
        <v>0</v>
      </c>
    </row>
    <row r="495" spans="1:19">
      <c r="A495" s="201">
        <v>493</v>
      </c>
      <c r="B495" s="210" t="str">
        <f>_xlfn.CONCAT(表格3_5[[#This Row],[Name]],表格3_5[[#This Row],[Location]])</f>
        <v/>
      </c>
      <c r="C495" s="211" t="str">
        <f>表格3_5[[#This Row],[Location]] &amp; 表格3_5[[#This Row],[Date]] &amp;表格3_5[[#This Row],[Nick Name]]</f>
        <v>0</v>
      </c>
      <c r="D495" s="202"/>
      <c r="E495" s="211" t="str">
        <f>DAY(表格3_5[[#This Row],[Date]])&amp;""</f>
        <v>0</v>
      </c>
      <c r="F495" s="203"/>
      <c r="G495" s="216">
        <f>_xlfn.XLOOKUP(表格3_5[[#This Row],[Name]],Name_list[Full Name],Name_list[Nick Name])</f>
        <v>0</v>
      </c>
      <c r="H495" s="207"/>
      <c r="I495" s="228"/>
      <c r="J495" s="218"/>
      <c r="K495" s="205"/>
      <c r="L495" s="210">
        <f>(表格3_5[[#This Row],[Out-Time]] - 表格3_5[[#This Row],[In-Time]])*24</f>
        <v>0</v>
      </c>
      <c r="M495" s="210">
        <f>表格3_5[[#This Row],[ Hours]]-表格3_5[[#This Row],[Normal working
 hours]]</f>
        <v>0</v>
      </c>
      <c r="N495" s="205"/>
      <c r="O495" s="205"/>
      <c r="P495" s="210">
        <f>(表格3_5[[#This Row],[Out-Time2]] - 表格3_5[[#This Row],[In-Time2]])*24</f>
        <v>0</v>
      </c>
      <c r="Q495" s="205"/>
      <c r="R495" s="214">
        <f>_xlfn.XLOOKUP(表格3_5[[#This Row],[Name]],Name_list[Full Name],Name_list[Hourr Rate])</f>
        <v>0</v>
      </c>
      <c r="S495" s="210">
        <f>表格3_5[[#This Row],[Hours Worked]]*表格3_5[[#This Row],[Hourly Rate]]</f>
        <v>0</v>
      </c>
    </row>
    <row r="496" spans="1:19">
      <c r="A496" s="201">
        <v>494</v>
      </c>
      <c r="B496" s="210" t="str">
        <f>_xlfn.CONCAT(表格3_5[[#This Row],[Name]],表格3_5[[#This Row],[Location]])</f>
        <v/>
      </c>
      <c r="C496" s="211" t="str">
        <f>表格3_5[[#This Row],[Location]] &amp; 表格3_5[[#This Row],[Date]] &amp;表格3_5[[#This Row],[Nick Name]]</f>
        <v>0</v>
      </c>
      <c r="D496" s="202"/>
      <c r="E496" s="211" t="str">
        <f>DAY(表格3_5[[#This Row],[Date]])&amp;""</f>
        <v>0</v>
      </c>
      <c r="F496" s="203"/>
      <c r="G496" s="216">
        <f>_xlfn.XLOOKUP(表格3_5[[#This Row],[Name]],Name_list[Full Name],Name_list[Nick Name])</f>
        <v>0</v>
      </c>
      <c r="H496" s="207"/>
      <c r="I496" s="228"/>
      <c r="J496" s="218"/>
      <c r="K496" s="205"/>
      <c r="L496" s="210">
        <f>(表格3_5[[#This Row],[Out-Time]] - 表格3_5[[#This Row],[In-Time]])*24</f>
        <v>0</v>
      </c>
      <c r="M496" s="210">
        <f>表格3_5[[#This Row],[ Hours]]-表格3_5[[#This Row],[Normal working
 hours]]</f>
        <v>0</v>
      </c>
      <c r="N496" s="205"/>
      <c r="O496" s="205"/>
      <c r="P496" s="210">
        <f>(表格3_5[[#This Row],[Out-Time2]] - 表格3_5[[#This Row],[In-Time2]])*24</f>
        <v>0</v>
      </c>
      <c r="Q496" s="205"/>
      <c r="R496" s="214">
        <f>_xlfn.XLOOKUP(表格3_5[[#This Row],[Name]],Name_list[Full Name],Name_list[Hourr Rate])</f>
        <v>0</v>
      </c>
      <c r="S496" s="210">
        <f>表格3_5[[#This Row],[Hours Worked]]*表格3_5[[#This Row],[Hourly Rate]]</f>
        <v>0</v>
      </c>
    </row>
    <row r="497" spans="1:19">
      <c r="A497" s="201">
        <v>495</v>
      </c>
      <c r="B497" s="210" t="str">
        <f>_xlfn.CONCAT(表格3_5[[#This Row],[Name]],表格3_5[[#This Row],[Location]])</f>
        <v/>
      </c>
      <c r="C497" s="211" t="str">
        <f>表格3_5[[#This Row],[Location]] &amp; 表格3_5[[#This Row],[Date]] &amp;表格3_5[[#This Row],[Nick Name]]</f>
        <v>0</v>
      </c>
      <c r="D497" s="202"/>
      <c r="E497" s="211" t="str">
        <f>DAY(表格3_5[[#This Row],[Date]])&amp;""</f>
        <v>0</v>
      </c>
      <c r="F497" s="203"/>
      <c r="G497" s="216">
        <f>_xlfn.XLOOKUP(表格3_5[[#This Row],[Name]],Name_list[Full Name],Name_list[Nick Name])</f>
        <v>0</v>
      </c>
      <c r="H497" s="207"/>
      <c r="I497" s="228"/>
      <c r="J497" s="218"/>
      <c r="K497" s="205"/>
      <c r="L497" s="210">
        <f>(表格3_5[[#This Row],[Out-Time]] - 表格3_5[[#This Row],[In-Time]])*24</f>
        <v>0</v>
      </c>
      <c r="M497" s="210">
        <f>表格3_5[[#This Row],[ Hours]]-表格3_5[[#This Row],[Normal working
 hours]]</f>
        <v>0</v>
      </c>
      <c r="N497" s="205"/>
      <c r="O497" s="205"/>
      <c r="P497" s="210">
        <f>(表格3_5[[#This Row],[Out-Time2]] - 表格3_5[[#This Row],[In-Time2]])*24</f>
        <v>0</v>
      </c>
      <c r="Q497" s="205"/>
      <c r="R497" s="214">
        <f>_xlfn.XLOOKUP(表格3_5[[#This Row],[Name]],Name_list[Full Name],Name_list[Hourr Rate])</f>
        <v>0</v>
      </c>
      <c r="S497" s="210">
        <f>表格3_5[[#This Row],[Hours Worked]]*表格3_5[[#This Row],[Hourly Rate]]</f>
        <v>0</v>
      </c>
    </row>
    <row r="498" spans="1:19">
      <c r="A498" s="201">
        <v>496</v>
      </c>
      <c r="B498" s="210" t="str">
        <f>_xlfn.CONCAT(表格3_5[[#This Row],[Name]],表格3_5[[#This Row],[Location]])</f>
        <v/>
      </c>
      <c r="C498" s="211" t="str">
        <f>表格3_5[[#This Row],[Location]] &amp; 表格3_5[[#This Row],[Date]] &amp;表格3_5[[#This Row],[Nick Name]]</f>
        <v>0</v>
      </c>
      <c r="D498" s="202"/>
      <c r="E498" s="211" t="str">
        <f>DAY(表格3_5[[#This Row],[Date]])&amp;""</f>
        <v>0</v>
      </c>
      <c r="F498" s="203"/>
      <c r="G498" s="216">
        <f>_xlfn.XLOOKUP(表格3_5[[#This Row],[Name]],Name_list[Full Name],Name_list[Nick Name])</f>
        <v>0</v>
      </c>
      <c r="H498" s="207"/>
      <c r="I498" s="228"/>
      <c r="J498" s="218"/>
      <c r="K498" s="205"/>
      <c r="L498" s="210">
        <f>(表格3_5[[#This Row],[Out-Time]] - 表格3_5[[#This Row],[In-Time]])*24</f>
        <v>0</v>
      </c>
      <c r="M498" s="210">
        <f>表格3_5[[#This Row],[ Hours]]-表格3_5[[#This Row],[Normal working
 hours]]</f>
        <v>0</v>
      </c>
      <c r="N498" s="205"/>
      <c r="O498" s="205"/>
      <c r="P498" s="210">
        <f>(表格3_5[[#This Row],[Out-Time2]] - 表格3_5[[#This Row],[In-Time2]])*24</f>
        <v>0</v>
      </c>
      <c r="Q498" s="205"/>
      <c r="R498" s="214">
        <f>_xlfn.XLOOKUP(表格3_5[[#This Row],[Name]],Name_list[Full Name],Name_list[Hourr Rate])</f>
        <v>0</v>
      </c>
      <c r="S498" s="210">
        <f>表格3_5[[#This Row],[Hours Worked]]*表格3_5[[#This Row],[Hourly Rate]]</f>
        <v>0</v>
      </c>
    </row>
    <row r="499" spans="1:19">
      <c r="A499" s="201">
        <v>497</v>
      </c>
      <c r="B499" s="210" t="str">
        <f>_xlfn.CONCAT(表格3_5[[#This Row],[Name]],表格3_5[[#This Row],[Location]])</f>
        <v/>
      </c>
      <c r="C499" s="211" t="str">
        <f>表格3_5[[#This Row],[Location]] &amp; 表格3_5[[#This Row],[Date]] &amp;表格3_5[[#This Row],[Nick Name]]</f>
        <v>0</v>
      </c>
      <c r="D499" s="202"/>
      <c r="E499" s="211" t="str">
        <f>DAY(表格3_5[[#This Row],[Date]])&amp;""</f>
        <v>0</v>
      </c>
      <c r="F499" s="203"/>
      <c r="G499" s="216">
        <f>_xlfn.XLOOKUP(表格3_5[[#This Row],[Name]],Name_list[Full Name],Name_list[Nick Name])</f>
        <v>0</v>
      </c>
      <c r="H499" s="207"/>
      <c r="I499" s="228"/>
      <c r="J499" s="218"/>
      <c r="K499" s="205"/>
      <c r="L499" s="210">
        <f>(表格3_5[[#This Row],[Out-Time]] - 表格3_5[[#This Row],[In-Time]])*24</f>
        <v>0</v>
      </c>
      <c r="M499" s="210">
        <f>表格3_5[[#This Row],[ Hours]]-表格3_5[[#This Row],[Normal working
 hours]]</f>
        <v>0</v>
      </c>
      <c r="N499" s="205"/>
      <c r="O499" s="205"/>
      <c r="P499" s="210">
        <f>(表格3_5[[#This Row],[Out-Time2]] - 表格3_5[[#This Row],[In-Time2]])*24</f>
        <v>0</v>
      </c>
      <c r="Q499" s="205"/>
      <c r="R499" s="214">
        <f>_xlfn.XLOOKUP(表格3_5[[#This Row],[Name]],Name_list[Full Name],Name_list[Hourr Rate])</f>
        <v>0</v>
      </c>
      <c r="S499" s="210">
        <f>表格3_5[[#This Row],[Hours Worked]]*表格3_5[[#This Row],[Hourly Rate]]</f>
        <v>0</v>
      </c>
    </row>
    <row r="500" spans="1:19">
      <c r="A500" s="201">
        <v>498</v>
      </c>
      <c r="B500" s="210" t="str">
        <f>_xlfn.CONCAT(表格3_5[[#This Row],[Name]],表格3_5[[#This Row],[Location]])</f>
        <v/>
      </c>
      <c r="C500" s="211" t="str">
        <f>表格3_5[[#This Row],[Location]] &amp; 表格3_5[[#This Row],[Date]] &amp;表格3_5[[#This Row],[Nick Name]]</f>
        <v>0</v>
      </c>
      <c r="D500" s="202"/>
      <c r="E500" s="211" t="str">
        <f>DAY(表格3_5[[#This Row],[Date]])&amp;""</f>
        <v>0</v>
      </c>
      <c r="F500" s="203"/>
      <c r="G500" s="216">
        <f>_xlfn.XLOOKUP(表格3_5[[#This Row],[Name]],Name_list[Full Name],Name_list[Nick Name])</f>
        <v>0</v>
      </c>
      <c r="H500" s="207"/>
      <c r="I500" s="228"/>
      <c r="J500" s="218"/>
      <c r="K500" s="205"/>
      <c r="L500" s="210">
        <f>(表格3_5[[#This Row],[Out-Time]] - 表格3_5[[#This Row],[In-Time]])*24</f>
        <v>0</v>
      </c>
      <c r="M500" s="210">
        <f>表格3_5[[#This Row],[ Hours]]-表格3_5[[#This Row],[Normal working
 hours]]</f>
        <v>0</v>
      </c>
      <c r="N500" s="205"/>
      <c r="O500" s="205"/>
      <c r="P500" s="210">
        <f>(表格3_5[[#This Row],[Out-Time2]] - 表格3_5[[#This Row],[In-Time2]])*24</f>
        <v>0</v>
      </c>
      <c r="Q500" s="205"/>
      <c r="R500" s="214">
        <f>_xlfn.XLOOKUP(表格3_5[[#This Row],[Name]],Name_list[Full Name],Name_list[Hourr Rate])</f>
        <v>0</v>
      </c>
      <c r="S500" s="210">
        <f>表格3_5[[#This Row],[Hours Worked]]*表格3_5[[#This Row],[Hourly Rate]]</f>
        <v>0</v>
      </c>
    </row>
    <row r="501" spans="1:19">
      <c r="A501" s="201">
        <v>499</v>
      </c>
      <c r="B501" s="210" t="str">
        <f>_xlfn.CONCAT(表格3_5[[#This Row],[Name]],表格3_5[[#This Row],[Location]])</f>
        <v/>
      </c>
      <c r="C501" s="211" t="str">
        <f>表格3_5[[#This Row],[Location]] &amp; 表格3_5[[#This Row],[Date]] &amp;表格3_5[[#This Row],[Nick Name]]</f>
        <v>0</v>
      </c>
      <c r="D501" s="202"/>
      <c r="E501" s="211" t="str">
        <f>DAY(表格3_5[[#This Row],[Date]])&amp;""</f>
        <v>0</v>
      </c>
      <c r="F501" s="203"/>
      <c r="G501" s="216">
        <f>_xlfn.XLOOKUP(表格3_5[[#This Row],[Name]],Name_list[Full Name],Name_list[Nick Name])</f>
        <v>0</v>
      </c>
      <c r="H501" s="207"/>
      <c r="I501" s="228"/>
      <c r="J501" s="218"/>
      <c r="K501" s="205"/>
      <c r="L501" s="210">
        <f>(表格3_5[[#This Row],[Out-Time]] - 表格3_5[[#This Row],[In-Time]])*24</f>
        <v>0</v>
      </c>
      <c r="M501" s="210">
        <f>表格3_5[[#This Row],[ Hours]]-表格3_5[[#This Row],[Normal working
 hours]]</f>
        <v>0</v>
      </c>
      <c r="N501" s="205"/>
      <c r="O501" s="205"/>
      <c r="P501" s="210">
        <f>(表格3_5[[#This Row],[Out-Time2]] - 表格3_5[[#This Row],[In-Time2]])*24</f>
        <v>0</v>
      </c>
      <c r="Q501" s="205"/>
      <c r="R501" s="214">
        <f>_xlfn.XLOOKUP(表格3_5[[#This Row],[Name]],Name_list[Full Name],Name_list[Hourr Rate])</f>
        <v>0</v>
      </c>
      <c r="S501" s="210">
        <f>表格3_5[[#This Row],[Hours Worked]]*表格3_5[[#This Row],[Hourly Rate]]</f>
        <v>0</v>
      </c>
    </row>
    <row r="502" spans="1:19">
      <c r="A502" s="201">
        <v>500</v>
      </c>
      <c r="B502" s="210" t="str">
        <f>_xlfn.CONCAT(表格3_5[[#This Row],[Name]],表格3_5[[#This Row],[Location]])</f>
        <v/>
      </c>
      <c r="C502" s="211" t="str">
        <f>表格3_5[[#This Row],[Location]] &amp; 表格3_5[[#This Row],[Date]] &amp;表格3_5[[#This Row],[Nick Name]]</f>
        <v>0</v>
      </c>
      <c r="D502" s="202"/>
      <c r="E502" s="211" t="str">
        <f>DAY(表格3_5[[#This Row],[Date]])&amp;""</f>
        <v>0</v>
      </c>
      <c r="F502" s="203"/>
      <c r="G502" s="216">
        <f>_xlfn.XLOOKUP(表格3_5[[#This Row],[Name]],Name_list[Full Name],Name_list[Nick Name])</f>
        <v>0</v>
      </c>
      <c r="H502" s="207"/>
      <c r="I502" s="228"/>
      <c r="J502" s="218"/>
      <c r="K502" s="205"/>
      <c r="L502" s="210">
        <f>(表格3_5[[#This Row],[Out-Time]] - 表格3_5[[#This Row],[In-Time]])*24</f>
        <v>0</v>
      </c>
      <c r="M502" s="210">
        <f>表格3_5[[#This Row],[ Hours]]-表格3_5[[#This Row],[Normal working
 hours]]</f>
        <v>0</v>
      </c>
      <c r="N502" s="205"/>
      <c r="O502" s="205"/>
      <c r="P502" s="210">
        <f>(表格3_5[[#This Row],[Out-Time2]] - 表格3_5[[#This Row],[In-Time2]])*24</f>
        <v>0</v>
      </c>
      <c r="Q502" s="205"/>
      <c r="R502" s="214">
        <f>_xlfn.XLOOKUP(表格3_5[[#This Row],[Name]],Name_list[Full Name],Name_list[Hourr Rate])</f>
        <v>0</v>
      </c>
      <c r="S502" s="210">
        <f>表格3_5[[#This Row],[Hours Worked]]*表格3_5[[#This Row],[Hourly Rate]]</f>
        <v>0</v>
      </c>
    </row>
    <row r="503" spans="1:19">
      <c r="A503" s="201">
        <v>501</v>
      </c>
      <c r="B503" s="210" t="str">
        <f>_xlfn.CONCAT(表格3_5[[#This Row],[Name]],表格3_5[[#This Row],[Location]])</f>
        <v/>
      </c>
      <c r="C503" s="211" t="str">
        <f>表格3_5[[#This Row],[Location]] &amp; 表格3_5[[#This Row],[Date]] &amp;表格3_5[[#This Row],[Nick Name]]</f>
        <v>0</v>
      </c>
      <c r="D503" s="202"/>
      <c r="E503" s="211" t="str">
        <f>DAY(表格3_5[[#This Row],[Date]])&amp;""</f>
        <v>0</v>
      </c>
      <c r="F503" s="203"/>
      <c r="G503" s="216">
        <f>_xlfn.XLOOKUP(表格3_5[[#This Row],[Name]],Name_list[Full Name],Name_list[Nick Name])</f>
        <v>0</v>
      </c>
      <c r="H503" s="207"/>
      <c r="I503" s="228"/>
      <c r="J503" s="218"/>
      <c r="K503" s="205"/>
      <c r="L503" s="210">
        <f>(表格3_5[[#This Row],[Out-Time]] - 表格3_5[[#This Row],[In-Time]])*24</f>
        <v>0</v>
      </c>
      <c r="M503" s="210">
        <f>表格3_5[[#This Row],[ Hours]]-表格3_5[[#This Row],[Normal working
 hours]]</f>
        <v>0</v>
      </c>
      <c r="N503" s="205"/>
      <c r="O503" s="205"/>
      <c r="P503" s="210">
        <f>(表格3_5[[#This Row],[Out-Time2]] - 表格3_5[[#This Row],[In-Time2]])*24</f>
        <v>0</v>
      </c>
      <c r="Q503" s="205"/>
      <c r="R503" s="214">
        <f>_xlfn.XLOOKUP(表格3_5[[#This Row],[Name]],Name_list[Full Name],Name_list[Hourr Rate])</f>
        <v>0</v>
      </c>
      <c r="S503" s="210">
        <f>表格3_5[[#This Row],[Hours Worked]]*表格3_5[[#This Row],[Hourly Rate]]</f>
        <v>0</v>
      </c>
    </row>
    <row r="504" spans="1:19">
      <c r="A504" s="201">
        <v>502</v>
      </c>
      <c r="B504" s="210" t="str">
        <f>_xlfn.CONCAT(表格3_5[[#This Row],[Name]],表格3_5[[#This Row],[Location]])</f>
        <v/>
      </c>
      <c r="C504" s="211" t="str">
        <f>表格3_5[[#This Row],[Location]] &amp; 表格3_5[[#This Row],[Date]] &amp;表格3_5[[#This Row],[Nick Name]]</f>
        <v>0</v>
      </c>
      <c r="D504" s="202"/>
      <c r="E504" s="211" t="str">
        <f>DAY(表格3_5[[#This Row],[Date]])&amp;""</f>
        <v>0</v>
      </c>
      <c r="F504" s="203"/>
      <c r="G504" s="216">
        <f>_xlfn.XLOOKUP(表格3_5[[#This Row],[Name]],Name_list[Full Name],Name_list[Nick Name])</f>
        <v>0</v>
      </c>
      <c r="H504" s="207"/>
      <c r="I504" s="228"/>
      <c r="J504" s="218"/>
      <c r="K504" s="205"/>
      <c r="L504" s="210">
        <f>(表格3_5[[#This Row],[Out-Time]] - 表格3_5[[#This Row],[In-Time]])*24</f>
        <v>0</v>
      </c>
      <c r="M504" s="210">
        <f>表格3_5[[#This Row],[ Hours]]-表格3_5[[#This Row],[Normal working
 hours]]</f>
        <v>0</v>
      </c>
      <c r="N504" s="205"/>
      <c r="O504" s="205"/>
      <c r="P504" s="210">
        <f>(表格3_5[[#This Row],[Out-Time2]] - 表格3_5[[#This Row],[In-Time2]])*24</f>
        <v>0</v>
      </c>
      <c r="Q504" s="205"/>
      <c r="R504" s="214">
        <f>_xlfn.XLOOKUP(表格3_5[[#This Row],[Name]],Name_list[Full Name],Name_list[Hourr Rate])</f>
        <v>0</v>
      </c>
      <c r="S504" s="210">
        <f>表格3_5[[#This Row],[Hours Worked]]*表格3_5[[#This Row],[Hourly Rate]]</f>
        <v>0</v>
      </c>
    </row>
    <row r="505" spans="1:19">
      <c r="A505" s="201">
        <v>503</v>
      </c>
      <c r="B505" s="210" t="str">
        <f>_xlfn.CONCAT(表格3_5[[#This Row],[Name]],表格3_5[[#This Row],[Location]])</f>
        <v/>
      </c>
      <c r="C505" s="211" t="str">
        <f>表格3_5[[#This Row],[Location]] &amp; 表格3_5[[#This Row],[Date]] &amp;表格3_5[[#This Row],[Nick Name]]</f>
        <v>0</v>
      </c>
      <c r="D505" s="202"/>
      <c r="E505" s="211" t="str">
        <f>DAY(表格3_5[[#This Row],[Date]])&amp;""</f>
        <v>0</v>
      </c>
      <c r="F505" s="203"/>
      <c r="G505" s="216">
        <f>_xlfn.XLOOKUP(表格3_5[[#This Row],[Name]],Name_list[Full Name],Name_list[Nick Name])</f>
        <v>0</v>
      </c>
      <c r="H505" s="207"/>
      <c r="I505" s="228"/>
      <c r="J505" s="218"/>
      <c r="K505" s="205"/>
      <c r="L505" s="210">
        <f>(表格3_5[[#This Row],[Out-Time]] - 表格3_5[[#This Row],[In-Time]])*24</f>
        <v>0</v>
      </c>
      <c r="M505" s="210">
        <f>表格3_5[[#This Row],[ Hours]]-表格3_5[[#This Row],[Normal working
 hours]]</f>
        <v>0</v>
      </c>
      <c r="N505" s="205"/>
      <c r="O505" s="205"/>
      <c r="P505" s="210">
        <f>(表格3_5[[#This Row],[Out-Time2]] - 表格3_5[[#This Row],[In-Time2]])*24</f>
        <v>0</v>
      </c>
      <c r="Q505" s="205"/>
      <c r="R505" s="214">
        <f>_xlfn.XLOOKUP(表格3_5[[#This Row],[Name]],Name_list[Full Name],Name_list[Hourr Rate])</f>
        <v>0</v>
      </c>
      <c r="S505" s="210">
        <f>表格3_5[[#This Row],[Hours Worked]]*表格3_5[[#This Row],[Hourly Rate]]</f>
        <v>0</v>
      </c>
    </row>
    <row r="506" spans="1:19">
      <c r="A506" s="201">
        <v>504</v>
      </c>
      <c r="B506" s="210" t="str">
        <f>_xlfn.CONCAT(表格3_5[[#This Row],[Name]],表格3_5[[#This Row],[Location]])</f>
        <v/>
      </c>
      <c r="C506" s="211" t="str">
        <f>表格3_5[[#This Row],[Location]] &amp; 表格3_5[[#This Row],[Date]] &amp;表格3_5[[#This Row],[Nick Name]]</f>
        <v>0</v>
      </c>
      <c r="D506" s="202"/>
      <c r="E506" s="211" t="str">
        <f>DAY(表格3_5[[#This Row],[Date]])&amp;""</f>
        <v>0</v>
      </c>
      <c r="F506" s="203"/>
      <c r="G506" s="216">
        <f>_xlfn.XLOOKUP(表格3_5[[#This Row],[Name]],Name_list[Full Name],Name_list[Nick Name])</f>
        <v>0</v>
      </c>
      <c r="H506" s="207"/>
      <c r="I506" s="228"/>
      <c r="J506" s="218"/>
      <c r="K506" s="205"/>
      <c r="L506" s="210">
        <f>(表格3_5[[#This Row],[Out-Time]] - 表格3_5[[#This Row],[In-Time]])*24</f>
        <v>0</v>
      </c>
      <c r="M506" s="210">
        <f>表格3_5[[#This Row],[ Hours]]-表格3_5[[#This Row],[Normal working
 hours]]</f>
        <v>0</v>
      </c>
      <c r="N506" s="205"/>
      <c r="O506" s="205"/>
      <c r="P506" s="210">
        <f>(表格3_5[[#This Row],[Out-Time2]] - 表格3_5[[#This Row],[In-Time2]])*24</f>
        <v>0</v>
      </c>
      <c r="Q506" s="205"/>
      <c r="R506" s="214">
        <f>_xlfn.XLOOKUP(表格3_5[[#This Row],[Name]],Name_list[Full Name],Name_list[Hourr Rate])</f>
        <v>0</v>
      </c>
      <c r="S506" s="210">
        <f>表格3_5[[#This Row],[Hours Worked]]*表格3_5[[#This Row],[Hourly Rate]]</f>
        <v>0</v>
      </c>
    </row>
    <row r="507" spans="1:19">
      <c r="A507" s="201">
        <v>505</v>
      </c>
      <c r="B507" s="210" t="str">
        <f>_xlfn.CONCAT(表格3_5[[#This Row],[Name]],表格3_5[[#This Row],[Location]])</f>
        <v/>
      </c>
      <c r="C507" s="211" t="str">
        <f>表格3_5[[#This Row],[Location]] &amp; 表格3_5[[#This Row],[Date]] &amp;表格3_5[[#This Row],[Nick Name]]</f>
        <v>0</v>
      </c>
      <c r="D507" s="202"/>
      <c r="E507" s="211" t="str">
        <f>DAY(表格3_5[[#This Row],[Date]])&amp;""</f>
        <v>0</v>
      </c>
      <c r="F507" s="203"/>
      <c r="G507" s="216">
        <f>_xlfn.XLOOKUP(表格3_5[[#This Row],[Name]],Name_list[Full Name],Name_list[Nick Name])</f>
        <v>0</v>
      </c>
      <c r="H507" s="207"/>
      <c r="I507" s="228"/>
      <c r="J507" s="218"/>
      <c r="K507" s="205"/>
      <c r="L507" s="210">
        <f>(表格3_5[[#This Row],[Out-Time]] - 表格3_5[[#This Row],[In-Time]])*24</f>
        <v>0</v>
      </c>
      <c r="M507" s="210">
        <f>表格3_5[[#This Row],[ Hours]]-表格3_5[[#This Row],[Normal working
 hours]]</f>
        <v>0</v>
      </c>
      <c r="N507" s="205"/>
      <c r="O507" s="205"/>
      <c r="P507" s="210">
        <f>(表格3_5[[#This Row],[Out-Time2]] - 表格3_5[[#This Row],[In-Time2]])*24</f>
        <v>0</v>
      </c>
      <c r="Q507" s="205"/>
      <c r="R507" s="214">
        <f>_xlfn.XLOOKUP(表格3_5[[#This Row],[Name]],Name_list[Full Name],Name_list[Hourr Rate])</f>
        <v>0</v>
      </c>
      <c r="S507" s="210">
        <f>表格3_5[[#This Row],[Hours Worked]]*表格3_5[[#This Row],[Hourly Rate]]</f>
        <v>0</v>
      </c>
    </row>
    <row r="508" spans="1:19">
      <c r="A508" s="201">
        <v>506</v>
      </c>
      <c r="B508" s="210" t="str">
        <f>_xlfn.CONCAT(表格3_5[[#This Row],[Name]],表格3_5[[#This Row],[Location]])</f>
        <v/>
      </c>
      <c r="C508" s="211" t="str">
        <f>表格3_5[[#This Row],[Location]] &amp; 表格3_5[[#This Row],[Date]] &amp;表格3_5[[#This Row],[Nick Name]]</f>
        <v>0</v>
      </c>
      <c r="D508" s="202"/>
      <c r="E508" s="211" t="str">
        <f>DAY(表格3_5[[#This Row],[Date]])&amp;""</f>
        <v>0</v>
      </c>
      <c r="F508" s="203"/>
      <c r="G508" s="216">
        <f>_xlfn.XLOOKUP(表格3_5[[#This Row],[Name]],Name_list[Full Name],Name_list[Nick Name])</f>
        <v>0</v>
      </c>
      <c r="H508" s="207"/>
      <c r="I508" s="228"/>
      <c r="J508" s="218"/>
      <c r="K508" s="205"/>
      <c r="L508" s="210">
        <f>(表格3_5[[#This Row],[Out-Time]] - 表格3_5[[#This Row],[In-Time]])*24</f>
        <v>0</v>
      </c>
      <c r="M508" s="210">
        <f>表格3_5[[#This Row],[ Hours]]-表格3_5[[#This Row],[Normal working
 hours]]</f>
        <v>0</v>
      </c>
      <c r="N508" s="205"/>
      <c r="O508" s="205"/>
      <c r="P508" s="210">
        <f>(表格3_5[[#This Row],[Out-Time2]] - 表格3_5[[#This Row],[In-Time2]])*24</f>
        <v>0</v>
      </c>
      <c r="Q508" s="205"/>
      <c r="R508" s="214">
        <f>_xlfn.XLOOKUP(表格3_5[[#This Row],[Name]],Name_list[Full Name],Name_list[Hourr Rate])</f>
        <v>0</v>
      </c>
      <c r="S508" s="210">
        <f>表格3_5[[#This Row],[Hours Worked]]*表格3_5[[#This Row],[Hourly Rate]]</f>
        <v>0</v>
      </c>
    </row>
    <row r="509" spans="1:19">
      <c r="A509" s="201">
        <v>507</v>
      </c>
      <c r="B509" s="210" t="str">
        <f>_xlfn.CONCAT(表格3_5[[#This Row],[Name]],表格3_5[[#This Row],[Location]])</f>
        <v/>
      </c>
      <c r="C509" s="211" t="str">
        <f>表格3_5[[#This Row],[Location]] &amp; 表格3_5[[#This Row],[Date]] &amp;表格3_5[[#This Row],[Nick Name]]</f>
        <v>0</v>
      </c>
      <c r="D509" s="202"/>
      <c r="E509" s="211" t="str">
        <f>DAY(表格3_5[[#This Row],[Date]])&amp;""</f>
        <v>0</v>
      </c>
      <c r="F509" s="203"/>
      <c r="G509" s="216">
        <f>_xlfn.XLOOKUP(表格3_5[[#This Row],[Name]],Name_list[Full Name],Name_list[Nick Name])</f>
        <v>0</v>
      </c>
      <c r="H509" s="207"/>
      <c r="I509" s="228"/>
      <c r="J509" s="218"/>
      <c r="K509" s="205"/>
      <c r="L509" s="210">
        <f>(表格3_5[[#This Row],[Out-Time]] - 表格3_5[[#This Row],[In-Time]])*24</f>
        <v>0</v>
      </c>
      <c r="M509" s="210">
        <f>表格3_5[[#This Row],[ Hours]]-表格3_5[[#This Row],[Normal working
 hours]]</f>
        <v>0</v>
      </c>
      <c r="N509" s="205"/>
      <c r="O509" s="205"/>
      <c r="P509" s="210">
        <f>(表格3_5[[#This Row],[Out-Time2]] - 表格3_5[[#This Row],[In-Time2]])*24</f>
        <v>0</v>
      </c>
      <c r="Q509" s="205"/>
      <c r="R509" s="214">
        <f>_xlfn.XLOOKUP(表格3_5[[#This Row],[Name]],Name_list[Full Name],Name_list[Hourr Rate])</f>
        <v>0</v>
      </c>
      <c r="S509" s="210">
        <f>表格3_5[[#This Row],[Hours Worked]]*表格3_5[[#This Row],[Hourly Rate]]</f>
        <v>0</v>
      </c>
    </row>
    <row r="510" spans="1:19">
      <c r="A510" s="201">
        <v>508</v>
      </c>
      <c r="B510" s="210" t="str">
        <f>_xlfn.CONCAT(表格3_5[[#This Row],[Name]],表格3_5[[#This Row],[Location]])</f>
        <v/>
      </c>
      <c r="C510" s="211" t="str">
        <f>表格3_5[[#This Row],[Location]] &amp; 表格3_5[[#This Row],[Date]] &amp;表格3_5[[#This Row],[Nick Name]]</f>
        <v>0</v>
      </c>
      <c r="D510" s="202"/>
      <c r="E510" s="211" t="str">
        <f>DAY(表格3_5[[#This Row],[Date]])&amp;""</f>
        <v>0</v>
      </c>
      <c r="F510" s="203"/>
      <c r="G510" s="216">
        <f>_xlfn.XLOOKUP(表格3_5[[#This Row],[Name]],Name_list[Full Name],Name_list[Nick Name])</f>
        <v>0</v>
      </c>
      <c r="H510" s="207"/>
      <c r="I510" s="228"/>
      <c r="J510" s="218"/>
      <c r="K510" s="205"/>
      <c r="L510" s="210">
        <f>(表格3_5[[#This Row],[Out-Time]] - 表格3_5[[#This Row],[In-Time]])*24</f>
        <v>0</v>
      </c>
      <c r="M510" s="210">
        <f>表格3_5[[#This Row],[ Hours]]-表格3_5[[#This Row],[Normal working
 hours]]</f>
        <v>0</v>
      </c>
      <c r="N510" s="205"/>
      <c r="O510" s="205"/>
      <c r="P510" s="210">
        <f>(表格3_5[[#This Row],[Out-Time2]] - 表格3_5[[#This Row],[In-Time2]])*24</f>
        <v>0</v>
      </c>
      <c r="Q510" s="205"/>
      <c r="R510" s="214">
        <f>_xlfn.XLOOKUP(表格3_5[[#This Row],[Name]],Name_list[Full Name],Name_list[Hourr Rate])</f>
        <v>0</v>
      </c>
      <c r="S510" s="210">
        <f>表格3_5[[#This Row],[Hours Worked]]*表格3_5[[#This Row],[Hourly Rate]]</f>
        <v>0</v>
      </c>
    </row>
    <row r="511" spans="1:19">
      <c r="A511" s="201">
        <v>509</v>
      </c>
      <c r="B511" s="210" t="str">
        <f>_xlfn.CONCAT(表格3_5[[#This Row],[Name]],表格3_5[[#This Row],[Location]])</f>
        <v/>
      </c>
      <c r="C511" s="211" t="str">
        <f>表格3_5[[#This Row],[Location]] &amp; 表格3_5[[#This Row],[Date]] &amp;表格3_5[[#This Row],[Nick Name]]</f>
        <v>0</v>
      </c>
      <c r="D511" s="202"/>
      <c r="E511" s="211" t="str">
        <f>DAY(表格3_5[[#This Row],[Date]])&amp;""</f>
        <v>0</v>
      </c>
      <c r="F511" s="203"/>
      <c r="G511" s="216">
        <f>_xlfn.XLOOKUP(表格3_5[[#This Row],[Name]],Name_list[Full Name],Name_list[Nick Name])</f>
        <v>0</v>
      </c>
      <c r="H511" s="207"/>
      <c r="I511" s="228"/>
      <c r="J511" s="218"/>
      <c r="K511" s="205"/>
      <c r="L511" s="210">
        <f>(表格3_5[[#This Row],[Out-Time]] - 表格3_5[[#This Row],[In-Time]])*24</f>
        <v>0</v>
      </c>
      <c r="M511" s="210">
        <f>表格3_5[[#This Row],[ Hours]]-表格3_5[[#This Row],[Normal working
 hours]]</f>
        <v>0</v>
      </c>
      <c r="N511" s="205"/>
      <c r="O511" s="205"/>
      <c r="P511" s="210">
        <f>(表格3_5[[#This Row],[Out-Time2]] - 表格3_5[[#This Row],[In-Time2]])*24</f>
        <v>0</v>
      </c>
      <c r="Q511" s="205"/>
      <c r="R511" s="214">
        <f>_xlfn.XLOOKUP(表格3_5[[#This Row],[Name]],Name_list[Full Name],Name_list[Hourr Rate])</f>
        <v>0</v>
      </c>
      <c r="S511" s="210">
        <f>表格3_5[[#This Row],[Hours Worked]]*表格3_5[[#This Row],[Hourly Rate]]</f>
        <v>0</v>
      </c>
    </row>
    <row r="512" spans="1:19">
      <c r="A512" s="201">
        <v>510</v>
      </c>
      <c r="B512" s="210" t="str">
        <f>_xlfn.CONCAT(表格3_5[[#This Row],[Name]],表格3_5[[#This Row],[Location]])</f>
        <v/>
      </c>
      <c r="C512" s="211" t="str">
        <f>表格3_5[[#This Row],[Location]] &amp; 表格3_5[[#This Row],[Date]] &amp;表格3_5[[#This Row],[Nick Name]]</f>
        <v>0</v>
      </c>
      <c r="D512" s="202"/>
      <c r="E512" s="211" t="str">
        <f>DAY(表格3_5[[#This Row],[Date]])&amp;""</f>
        <v>0</v>
      </c>
      <c r="F512" s="203"/>
      <c r="G512" s="216">
        <f>_xlfn.XLOOKUP(表格3_5[[#This Row],[Name]],Name_list[Full Name],Name_list[Nick Name])</f>
        <v>0</v>
      </c>
      <c r="H512" s="207"/>
      <c r="I512" s="228"/>
      <c r="J512" s="218"/>
      <c r="K512" s="205"/>
      <c r="L512" s="210">
        <f>(表格3_5[[#This Row],[Out-Time]] - 表格3_5[[#This Row],[In-Time]])*24</f>
        <v>0</v>
      </c>
      <c r="M512" s="210">
        <f>表格3_5[[#This Row],[ Hours]]-表格3_5[[#This Row],[Normal working
 hours]]</f>
        <v>0</v>
      </c>
      <c r="N512" s="205"/>
      <c r="O512" s="205"/>
      <c r="P512" s="210">
        <f>(表格3_5[[#This Row],[Out-Time2]] - 表格3_5[[#This Row],[In-Time2]])*24</f>
        <v>0</v>
      </c>
      <c r="Q512" s="205"/>
      <c r="R512" s="214">
        <f>_xlfn.XLOOKUP(表格3_5[[#This Row],[Name]],Name_list[Full Name],Name_list[Hourr Rate])</f>
        <v>0</v>
      </c>
      <c r="S512" s="210">
        <f>表格3_5[[#This Row],[Hours Worked]]*表格3_5[[#This Row],[Hourly Rate]]</f>
        <v>0</v>
      </c>
    </row>
    <row r="513" spans="1:19">
      <c r="A513" s="201">
        <v>511</v>
      </c>
      <c r="B513" s="210" t="str">
        <f>_xlfn.CONCAT(表格3_5[[#This Row],[Name]],表格3_5[[#This Row],[Location]])</f>
        <v/>
      </c>
      <c r="C513" s="211" t="str">
        <f>表格3_5[[#This Row],[Location]] &amp; 表格3_5[[#This Row],[Date]] &amp;表格3_5[[#This Row],[Nick Name]]</f>
        <v>0</v>
      </c>
      <c r="D513" s="202"/>
      <c r="E513" s="211" t="str">
        <f>DAY(表格3_5[[#This Row],[Date]])&amp;""</f>
        <v>0</v>
      </c>
      <c r="F513" s="203"/>
      <c r="G513" s="216">
        <f>_xlfn.XLOOKUP(表格3_5[[#This Row],[Name]],Name_list[Full Name],Name_list[Nick Name])</f>
        <v>0</v>
      </c>
      <c r="H513" s="207"/>
      <c r="I513" s="228"/>
      <c r="J513" s="218"/>
      <c r="K513" s="205"/>
      <c r="L513" s="210">
        <f>(表格3_5[[#This Row],[Out-Time]] - 表格3_5[[#This Row],[In-Time]])*24</f>
        <v>0</v>
      </c>
      <c r="M513" s="210">
        <f>表格3_5[[#This Row],[ Hours]]-表格3_5[[#This Row],[Normal working
 hours]]</f>
        <v>0</v>
      </c>
      <c r="N513" s="205"/>
      <c r="O513" s="205"/>
      <c r="P513" s="210">
        <f>(表格3_5[[#This Row],[Out-Time2]] - 表格3_5[[#This Row],[In-Time2]])*24</f>
        <v>0</v>
      </c>
      <c r="Q513" s="205"/>
      <c r="R513" s="214">
        <f>_xlfn.XLOOKUP(表格3_5[[#This Row],[Name]],Name_list[Full Name],Name_list[Hourr Rate])</f>
        <v>0</v>
      </c>
      <c r="S513" s="210">
        <f>表格3_5[[#This Row],[Hours Worked]]*表格3_5[[#This Row],[Hourly Rate]]</f>
        <v>0</v>
      </c>
    </row>
    <row r="514" spans="1:19">
      <c r="A514" s="201">
        <v>512</v>
      </c>
      <c r="B514" s="210" t="str">
        <f>_xlfn.CONCAT(表格3_5[[#This Row],[Name]],表格3_5[[#This Row],[Location]])</f>
        <v/>
      </c>
      <c r="C514" s="211" t="str">
        <f>表格3_5[[#This Row],[Location]] &amp; 表格3_5[[#This Row],[Date]] &amp;表格3_5[[#This Row],[Nick Name]]</f>
        <v>0</v>
      </c>
      <c r="D514" s="202"/>
      <c r="E514" s="211" t="str">
        <f>DAY(表格3_5[[#This Row],[Date]])&amp;""</f>
        <v>0</v>
      </c>
      <c r="F514" s="203"/>
      <c r="G514" s="216">
        <f>_xlfn.XLOOKUP(表格3_5[[#This Row],[Name]],Name_list[Full Name],Name_list[Nick Name])</f>
        <v>0</v>
      </c>
      <c r="H514" s="207"/>
      <c r="I514" s="228"/>
      <c r="J514" s="218"/>
      <c r="K514" s="205"/>
      <c r="L514" s="210">
        <f>(表格3_5[[#This Row],[Out-Time]] - 表格3_5[[#This Row],[In-Time]])*24</f>
        <v>0</v>
      </c>
      <c r="M514" s="210">
        <f>表格3_5[[#This Row],[ Hours]]-表格3_5[[#This Row],[Normal working
 hours]]</f>
        <v>0</v>
      </c>
      <c r="N514" s="205"/>
      <c r="O514" s="205"/>
      <c r="P514" s="210">
        <f>(表格3_5[[#This Row],[Out-Time2]] - 表格3_5[[#This Row],[In-Time2]])*24</f>
        <v>0</v>
      </c>
      <c r="Q514" s="205"/>
      <c r="R514" s="214">
        <f>_xlfn.XLOOKUP(表格3_5[[#This Row],[Name]],Name_list[Full Name],Name_list[Hourr Rate])</f>
        <v>0</v>
      </c>
      <c r="S514" s="210">
        <f>表格3_5[[#This Row],[Hours Worked]]*表格3_5[[#This Row],[Hourly Rate]]</f>
        <v>0</v>
      </c>
    </row>
    <row r="515" spans="1:19">
      <c r="A515" s="201">
        <v>513</v>
      </c>
      <c r="B515" s="210" t="str">
        <f>_xlfn.CONCAT(表格3_5[[#This Row],[Name]],表格3_5[[#This Row],[Location]])</f>
        <v/>
      </c>
      <c r="C515" s="211" t="str">
        <f>表格3_5[[#This Row],[Location]] &amp; 表格3_5[[#This Row],[Date]] &amp;表格3_5[[#This Row],[Nick Name]]</f>
        <v>0</v>
      </c>
      <c r="D515" s="202"/>
      <c r="E515" s="211" t="str">
        <f>DAY(表格3_5[[#This Row],[Date]])&amp;""</f>
        <v>0</v>
      </c>
      <c r="F515" s="203"/>
      <c r="G515" s="216">
        <f>_xlfn.XLOOKUP(表格3_5[[#This Row],[Name]],Name_list[Full Name],Name_list[Nick Name])</f>
        <v>0</v>
      </c>
      <c r="H515" s="207"/>
      <c r="I515" s="228"/>
      <c r="J515" s="218"/>
      <c r="K515" s="205"/>
      <c r="L515" s="210">
        <f>(表格3_5[[#This Row],[Out-Time]] - 表格3_5[[#This Row],[In-Time]])*24</f>
        <v>0</v>
      </c>
      <c r="M515" s="210">
        <f>表格3_5[[#This Row],[ Hours]]-表格3_5[[#This Row],[Normal working
 hours]]</f>
        <v>0</v>
      </c>
      <c r="N515" s="205"/>
      <c r="O515" s="205"/>
      <c r="P515" s="210">
        <f>(表格3_5[[#This Row],[Out-Time2]] - 表格3_5[[#This Row],[In-Time2]])*24</f>
        <v>0</v>
      </c>
      <c r="Q515" s="205"/>
      <c r="R515" s="214">
        <f>_xlfn.XLOOKUP(表格3_5[[#This Row],[Name]],Name_list[Full Name],Name_list[Hourr Rate])</f>
        <v>0</v>
      </c>
      <c r="S515" s="210">
        <f>表格3_5[[#This Row],[Hours Worked]]*表格3_5[[#This Row],[Hourly Rate]]</f>
        <v>0</v>
      </c>
    </row>
    <row r="516" spans="1:19">
      <c r="A516" s="201">
        <v>514</v>
      </c>
      <c r="B516" s="210" t="str">
        <f>_xlfn.CONCAT(表格3_5[[#This Row],[Name]],表格3_5[[#This Row],[Location]])</f>
        <v/>
      </c>
      <c r="C516" s="211" t="str">
        <f>表格3_5[[#This Row],[Location]] &amp; 表格3_5[[#This Row],[Date]] &amp;表格3_5[[#This Row],[Nick Name]]</f>
        <v>0</v>
      </c>
      <c r="D516" s="202"/>
      <c r="E516" s="211" t="str">
        <f>DAY(表格3_5[[#This Row],[Date]])&amp;""</f>
        <v>0</v>
      </c>
      <c r="F516" s="203"/>
      <c r="G516" s="216">
        <f>_xlfn.XLOOKUP(表格3_5[[#This Row],[Name]],Name_list[Full Name],Name_list[Nick Name])</f>
        <v>0</v>
      </c>
      <c r="H516" s="207"/>
      <c r="I516" s="228"/>
      <c r="J516" s="218"/>
      <c r="K516" s="205"/>
      <c r="L516" s="210">
        <f>(表格3_5[[#This Row],[Out-Time]] - 表格3_5[[#This Row],[In-Time]])*24</f>
        <v>0</v>
      </c>
      <c r="M516" s="210">
        <f>表格3_5[[#This Row],[ Hours]]-表格3_5[[#This Row],[Normal working
 hours]]</f>
        <v>0</v>
      </c>
      <c r="N516" s="205"/>
      <c r="O516" s="205"/>
      <c r="P516" s="210">
        <f>(表格3_5[[#This Row],[Out-Time2]] - 表格3_5[[#This Row],[In-Time2]])*24</f>
        <v>0</v>
      </c>
      <c r="Q516" s="205"/>
      <c r="R516" s="214">
        <f>_xlfn.XLOOKUP(表格3_5[[#This Row],[Name]],Name_list[Full Name],Name_list[Hourr Rate])</f>
        <v>0</v>
      </c>
      <c r="S516" s="210">
        <f>表格3_5[[#This Row],[Hours Worked]]*表格3_5[[#This Row],[Hourly Rate]]</f>
        <v>0</v>
      </c>
    </row>
    <row r="517" spans="1:19">
      <c r="A517" s="201">
        <v>515</v>
      </c>
      <c r="B517" s="210" t="str">
        <f>_xlfn.CONCAT(表格3_5[[#This Row],[Name]],表格3_5[[#This Row],[Location]])</f>
        <v/>
      </c>
      <c r="C517" s="211" t="str">
        <f>表格3_5[[#This Row],[Location]] &amp; 表格3_5[[#This Row],[Date]] &amp;表格3_5[[#This Row],[Nick Name]]</f>
        <v>0</v>
      </c>
      <c r="D517" s="202"/>
      <c r="E517" s="211" t="str">
        <f>DAY(表格3_5[[#This Row],[Date]])&amp;""</f>
        <v>0</v>
      </c>
      <c r="F517" s="203"/>
      <c r="G517" s="216">
        <f>_xlfn.XLOOKUP(表格3_5[[#This Row],[Name]],Name_list[Full Name],Name_list[Nick Name])</f>
        <v>0</v>
      </c>
      <c r="H517" s="207"/>
      <c r="I517" s="228"/>
      <c r="J517" s="218"/>
      <c r="K517" s="205"/>
      <c r="L517" s="210">
        <f>(表格3_5[[#This Row],[Out-Time]] - 表格3_5[[#This Row],[In-Time]])*24</f>
        <v>0</v>
      </c>
      <c r="M517" s="210">
        <f>表格3_5[[#This Row],[ Hours]]-表格3_5[[#This Row],[Normal working
 hours]]</f>
        <v>0</v>
      </c>
      <c r="N517" s="205"/>
      <c r="O517" s="205"/>
      <c r="P517" s="210">
        <f>(表格3_5[[#This Row],[Out-Time2]] - 表格3_5[[#This Row],[In-Time2]])*24</f>
        <v>0</v>
      </c>
      <c r="Q517" s="205"/>
      <c r="R517" s="214">
        <f>_xlfn.XLOOKUP(表格3_5[[#This Row],[Name]],Name_list[Full Name],Name_list[Hourr Rate])</f>
        <v>0</v>
      </c>
      <c r="S517" s="210">
        <f>表格3_5[[#This Row],[Hours Worked]]*表格3_5[[#This Row],[Hourly Rate]]</f>
        <v>0</v>
      </c>
    </row>
    <row r="518" spans="1:19">
      <c r="A518" s="201">
        <v>516</v>
      </c>
      <c r="B518" s="210" t="str">
        <f>_xlfn.CONCAT(表格3_5[[#This Row],[Name]],表格3_5[[#This Row],[Location]])</f>
        <v/>
      </c>
      <c r="C518" s="211" t="str">
        <f>表格3_5[[#This Row],[Location]] &amp; 表格3_5[[#This Row],[Date]] &amp;表格3_5[[#This Row],[Nick Name]]</f>
        <v>0</v>
      </c>
      <c r="D518" s="202"/>
      <c r="E518" s="211" t="str">
        <f>DAY(表格3_5[[#This Row],[Date]])&amp;""</f>
        <v>0</v>
      </c>
      <c r="F518" s="203"/>
      <c r="G518" s="216">
        <f>_xlfn.XLOOKUP(表格3_5[[#This Row],[Name]],Name_list[Full Name],Name_list[Nick Name])</f>
        <v>0</v>
      </c>
      <c r="H518" s="207"/>
      <c r="I518" s="228"/>
      <c r="J518" s="218"/>
      <c r="K518" s="205"/>
      <c r="L518" s="210">
        <f>(表格3_5[[#This Row],[Out-Time]] - 表格3_5[[#This Row],[In-Time]])*24</f>
        <v>0</v>
      </c>
      <c r="M518" s="210">
        <f>表格3_5[[#This Row],[ Hours]]-表格3_5[[#This Row],[Normal working
 hours]]</f>
        <v>0</v>
      </c>
      <c r="N518" s="205"/>
      <c r="O518" s="205"/>
      <c r="P518" s="210">
        <f>(表格3_5[[#This Row],[Out-Time2]] - 表格3_5[[#This Row],[In-Time2]])*24</f>
        <v>0</v>
      </c>
      <c r="Q518" s="205"/>
      <c r="R518" s="214">
        <f>_xlfn.XLOOKUP(表格3_5[[#This Row],[Name]],Name_list[Full Name],Name_list[Hourr Rate])</f>
        <v>0</v>
      </c>
      <c r="S518" s="210">
        <f>表格3_5[[#This Row],[Hours Worked]]*表格3_5[[#This Row],[Hourly Rate]]</f>
        <v>0</v>
      </c>
    </row>
    <row r="519" spans="1:19">
      <c r="A519" s="201">
        <v>517</v>
      </c>
      <c r="B519" s="210" t="str">
        <f>_xlfn.CONCAT(表格3_5[[#This Row],[Name]],表格3_5[[#This Row],[Location]])</f>
        <v/>
      </c>
      <c r="C519" s="211" t="str">
        <f>表格3_5[[#This Row],[Location]] &amp; 表格3_5[[#This Row],[Date]] &amp;表格3_5[[#This Row],[Nick Name]]</f>
        <v>0</v>
      </c>
      <c r="D519" s="202"/>
      <c r="E519" s="211" t="str">
        <f>DAY(表格3_5[[#This Row],[Date]])&amp;""</f>
        <v>0</v>
      </c>
      <c r="F519" s="203"/>
      <c r="G519" s="216">
        <f>_xlfn.XLOOKUP(表格3_5[[#This Row],[Name]],Name_list[Full Name],Name_list[Nick Name])</f>
        <v>0</v>
      </c>
      <c r="H519" s="207"/>
      <c r="I519" s="228"/>
      <c r="J519" s="218"/>
      <c r="K519" s="205"/>
      <c r="L519" s="210">
        <f>(表格3_5[[#This Row],[Out-Time]] - 表格3_5[[#This Row],[In-Time]])*24</f>
        <v>0</v>
      </c>
      <c r="M519" s="210">
        <f>表格3_5[[#This Row],[ Hours]]-表格3_5[[#This Row],[Normal working
 hours]]</f>
        <v>0</v>
      </c>
      <c r="N519" s="205"/>
      <c r="O519" s="205"/>
      <c r="P519" s="210">
        <f>(表格3_5[[#This Row],[Out-Time2]] - 表格3_5[[#This Row],[In-Time2]])*24</f>
        <v>0</v>
      </c>
      <c r="Q519" s="205"/>
      <c r="R519" s="214">
        <f>_xlfn.XLOOKUP(表格3_5[[#This Row],[Name]],Name_list[Full Name],Name_list[Hourr Rate])</f>
        <v>0</v>
      </c>
      <c r="S519" s="210">
        <f>表格3_5[[#This Row],[Hours Worked]]*表格3_5[[#This Row],[Hourly Rate]]</f>
        <v>0</v>
      </c>
    </row>
    <row r="520" spans="1:19">
      <c r="A520" s="201">
        <v>518</v>
      </c>
      <c r="B520" s="210" t="str">
        <f>_xlfn.CONCAT(表格3_5[[#This Row],[Name]],表格3_5[[#This Row],[Location]])</f>
        <v/>
      </c>
      <c r="C520" s="211" t="str">
        <f>表格3_5[[#This Row],[Location]] &amp; 表格3_5[[#This Row],[Date]] &amp;表格3_5[[#This Row],[Nick Name]]</f>
        <v>0</v>
      </c>
      <c r="D520" s="202"/>
      <c r="E520" s="211" t="str">
        <f>DAY(表格3_5[[#This Row],[Date]])&amp;""</f>
        <v>0</v>
      </c>
      <c r="F520" s="203"/>
      <c r="G520" s="216">
        <f>_xlfn.XLOOKUP(表格3_5[[#This Row],[Name]],Name_list[Full Name],Name_list[Nick Name])</f>
        <v>0</v>
      </c>
      <c r="H520" s="207"/>
      <c r="I520" s="228"/>
      <c r="J520" s="218"/>
      <c r="K520" s="205"/>
      <c r="L520" s="210">
        <f>(表格3_5[[#This Row],[Out-Time]] - 表格3_5[[#This Row],[In-Time]])*24</f>
        <v>0</v>
      </c>
      <c r="M520" s="210">
        <f>表格3_5[[#This Row],[ Hours]]-表格3_5[[#This Row],[Normal working
 hours]]</f>
        <v>0</v>
      </c>
      <c r="N520" s="205"/>
      <c r="O520" s="205"/>
      <c r="P520" s="210">
        <f>(表格3_5[[#This Row],[Out-Time2]] - 表格3_5[[#This Row],[In-Time2]])*24</f>
        <v>0</v>
      </c>
      <c r="Q520" s="205"/>
      <c r="R520" s="214">
        <f>_xlfn.XLOOKUP(表格3_5[[#This Row],[Name]],Name_list[Full Name],Name_list[Hourr Rate])</f>
        <v>0</v>
      </c>
      <c r="S520" s="210">
        <f>表格3_5[[#This Row],[Hours Worked]]*表格3_5[[#This Row],[Hourly Rate]]</f>
        <v>0</v>
      </c>
    </row>
    <row r="521" spans="1:19">
      <c r="A521" s="201">
        <v>519</v>
      </c>
      <c r="B521" s="210" t="str">
        <f>_xlfn.CONCAT(表格3_5[[#This Row],[Name]],表格3_5[[#This Row],[Location]])</f>
        <v/>
      </c>
      <c r="C521" s="211" t="str">
        <f>表格3_5[[#This Row],[Location]] &amp; 表格3_5[[#This Row],[Date]] &amp;表格3_5[[#This Row],[Nick Name]]</f>
        <v>0</v>
      </c>
      <c r="D521" s="202"/>
      <c r="E521" s="211" t="str">
        <f>DAY(表格3_5[[#This Row],[Date]])&amp;""</f>
        <v>0</v>
      </c>
      <c r="F521" s="203"/>
      <c r="G521" s="216">
        <f>_xlfn.XLOOKUP(表格3_5[[#This Row],[Name]],Name_list[Full Name],Name_list[Nick Name])</f>
        <v>0</v>
      </c>
      <c r="H521" s="207"/>
      <c r="I521" s="228"/>
      <c r="J521" s="218"/>
      <c r="K521" s="205"/>
      <c r="L521" s="210">
        <f>(表格3_5[[#This Row],[Out-Time]] - 表格3_5[[#This Row],[In-Time]])*24</f>
        <v>0</v>
      </c>
      <c r="M521" s="210">
        <f>表格3_5[[#This Row],[ Hours]]-表格3_5[[#This Row],[Normal working
 hours]]</f>
        <v>0</v>
      </c>
      <c r="N521" s="205"/>
      <c r="O521" s="205"/>
      <c r="P521" s="210">
        <f>(表格3_5[[#This Row],[Out-Time2]] - 表格3_5[[#This Row],[In-Time2]])*24</f>
        <v>0</v>
      </c>
      <c r="Q521" s="205"/>
      <c r="R521" s="214">
        <f>_xlfn.XLOOKUP(表格3_5[[#This Row],[Name]],Name_list[Full Name],Name_list[Hourr Rate])</f>
        <v>0</v>
      </c>
      <c r="S521" s="210">
        <f>表格3_5[[#This Row],[Hours Worked]]*表格3_5[[#This Row],[Hourly Rate]]</f>
        <v>0</v>
      </c>
    </row>
    <row r="522" spans="1:19">
      <c r="A522" s="201">
        <v>520</v>
      </c>
      <c r="B522" s="210" t="str">
        <f>_xlfn.CONCAT(表格3_5[[#This Row],[Name]],表格3_5[[#This Row],[Location]])</f>
        <v/>
      </c>
      <c r="C522" s="211" t="str">
        <f>表格3_5[[#This Row],[Location]] &amp; 表格3_5[[#This Row],[Date]] &amp;表格3_5[[#This Row],[Nick Name]]</f>
        <v>0</v>
      </c>
      <c r="D522" s="202"/>
      <c r="E522" s="211" t="str">
        <f>DAY(表格3_5[[#This Row],[Date]])&amp;""</f>
        <v>0</v>
      </c>
      <c r="F522" s="203"/>
      <c r="G522" s="216">
        <f>_xlfn.XLOOKUP(表格3_5[[#This Row],[Name]],Name_list[Full Name],Name_list[Nick Name])</f>
        <v>0</v>
      </c>
      <c r="H522" s="207"/>
      <c r="I522" s="228"/>
      <c r="J522" s="218"/>
      <c r="K522" s="205"/>
      <c r="L522" s="210">
        <f>(表格3_5[[#This Row],[Out-Time]] - 表格3_5[[#This Row],[In-Time]])*24</f>
        <v>0</v>
      </c>
      <c r="M522" s="210">
        <f>表格3_5[[#This Row],[ Hours]]-表格3_5[[#This Row],[Normal working
 hours]]</f>
        <v>0</v>
      </c>
      <c r="N522" s="205"/>
      <c r="O522" s="205"/>
      <c r="P522" s="210">
        <f>(表格3_5[[#This Row],[Out-Time2]] - 表格3_5[[#This Row],[In-Time2]])*24</f>
        <v>0</v>
      </c>
      <c r="Q522" s="205"/>
      <c r="R522" s="214">
        <f>_xlfn.XLOOKUP(表格3_5[[#This Row],[Name]],Name_list[Full Name],Name_list[Hourr Rate])</f>
        <v>0</v>
      </c>
      <c r="S522" s="210">
        <f>表格3_5[[#This Row],[Hours Worked]]*表格3_5[[#This Row],[Hourly Rate]]</f>
        <v>0</v>
      </c>
    </row>
    <row r="523" spans="1:19">
      <c r="A523" s="201">
        <v>521</v>
      </c>
      <c r="B523" s="210" t="str">
        <f>_xlfn.CONCAT(表格3_5[[#This Row],[Name]],表格3_5[[#This Row],[Location]])</f>
        <v/>
      </c>
      <c r="C523" s="211" t="str">
        <f>表格3_5[[#This Row],[Location]] &amp; 表格3_5[[#This Row],[Date]] &amp;表格3_5[[#This Row],[Nick Name]]</f>
        <v>0</v>
      </c>
      <c r="D523" s="202"/>
      <c r="E523" s="211" t="str">
        <f>DAY(表格3_5[[#This Row],[Date]])&amp;""</f>
        <v>0</v>
      </c>
      <c r="F523" s="203"/>
      <c r="G523" s="216">
        <f>_xlfn.XLOOKUP(表格3_5[[#This Row],[Name]],Name_list[Full Name],Name_list[Nick Name])</f>
        <v>0</v>
      </c>
      <c r="H523" s="207"/>
      <c r="I523" s="228"/>
      <c r="J523" s="218"/>
      <c r="K523" s="205"/>
      <c r="L523" s="210">
        <f>(表格3_5[[#This Row],[Out-Time]] - 表格3_5[[#This Row],[In-Time]])*24</f>
        <v>0</v>
      </c>
      <c r="M523" s="210">
        <f>表格3_5[[#This Row],[ Hours]]-表格3_5[[#This Row],[Normal working
 hours]]</f>
        <v>0</v>
      </c>
      <c r="N523" s="205"/>
      <c r="O523" s="205"/>
      <c r="P523" s="210">
        <f>(表格3_5[[#This Row],[Out-Time2]] - 表格3_5[[#This Row],[In-Time2]])*24</f>
        <v>0</v>
      </c>
      <c r="Q523" s="205"/>
      <c r="R523" s="214">
        <f>_xlfn.XLOOKUP(表格3_5[[#This Row],[Name]],Name_list[Full Name],Name_list[Hourr Rate])</f>
        <v>0</v>
      </c>
      <c r="S523" s="210">
        <f>表格3_5[[#This Row],[Hours Worked]]*表格3_5[[#This Row],[Hourly Rate]]</f>
        <v>0</v>
      </c>
    </row>
    <row r="524" spans="1:19">
      <c r="A524" s="201">
        <v>522</v>
      </c>
      <c r="B524" s="210" t="str">
        <f>_xlfn.CONCAT(表格3_5[[#This Row],[Name]],表格3_5[[#This Row],[Location]])</f>
        <v/>
      </c>
      <c r="C524" s="211" t="str">
        <f>表格3_5[[#This Row],[Location]] &amp; 表格3_5[[#This Row],[Date]] &amp;表格3_5[[#This Row],[Nick Name]]</f>
        <v>0</v>
      </c>
      <c r="D524" s="202"/>
      <c r="E524" s="211" t="str">
        <f>DAY(表格3_5[[#This Row],[Date]])&amp;""</f>
        <v>0</v>
      </c>
      <c r="F524" s="203"/>
      <c r="G524" s="216">
        <f>_xlfn.XLOOKUP(表格3_5[[#This Row],[Name]],Name_list[Full Name],Name_list[Nick Name])</f>
        <v>0</v>
      </c>
      <c r="H524" s="207"/>
      <c r="I524" s="228"/>
      <c r="J524" s="218"/>
      <c r="K524" s="205"/>
      <c r="L524" s="210">
        <f>(表格3_5[[#This Row],[Out-Time]] - 表格3_5[[#This Row],[In-Time]])*24</f>
        <v>0</v>
      </c>
      <c r="M524" s="210">
        <f>表格3_5[[#This Row],[ Hours]]-表格3_5[[#This Row],[Normal working
 hours]]</f>
        <v>0</v>
      </c>
      <c r="N524" s="205"/>
      <c r="O524" s="205"/>
      <c r="P524" s="210">
        <f>(表格3_5[[#This Row],[Out-Time2]] - 表格3_5[[#This Row],[In-Time2]])*24</f>
        <v>0</v>
      </c>
      <c r="Q524" s="205"/>
      <c r="R524" s="214">
        <f>_xlfn.XLOOKUP(表格3_5[[#This Row],[Name]],Name_list[Full Name],Name_list[Hourr Rate])</f>
        <v>0</v>
      </c>
      <c r="S524" s="210">
        <f>表格3_5[[#This Row],[Hours Worked]]*表格3_5[[#This Row],[Hourly Rate]]</f>
        <v>0</v>
      </c>
    </row>
    <row r="525" spans="1:19">
      <c r="A525" s="201">
        <v>523</v>
      </c>
      <c r="B525" s="210" t="str">
        <f>_xlfn.CONCAT(表格3_5[[#This Row],[Name]],表格3_5[[#This Row],[Location]])</f>
        <v/>
      </c>
      <c r="C525" s="211" t="str">
        <f>表格3_5[[#This Row],[Location]] &amp; 表格3_5[[#This Row],[Date]] &amp;表格3_5[[#This Row],[Nick Name]]</f>
        <v>0</v>
      </c>
      <c r="D525" s="202"/>
      <c r="E525" s="211" t="str">
        <f>DAY(表格3_5[[#This Row],[Date]])&amp;""</f>
        <v>0</v>
      </c>
      <c r="F525" s="203"/>
      <c r="G525" s="216">
        <f>_xlfn.XLOOKUP(表格3_5[[#This Row],[Name]],Name_list[Full Name],Name_list[Nick Name])</f>
        <v>0</v>
      </c>
      <c r="H525" s="207"/>
      <c r="I525" s="228"/>
      <c r="J525" s="218"/>
      <c r="K525" s="205"/>
      <c r="L525" s="210">
        <f>(表格3_5[[#This Row],[Out-Time]] - 表格3_5[[#This Row],[In-Time]])*24</f>
        <v>0</v>
      </c>
      <c r="M525" s="210">
        <f>表格3_5[[#This Row],[ Hours]]-表格3_5[[#This Row],[Normal working
 hours]]</f>
        <v>0</v>
      </c>
      <c r="N525" s="205"/>
      <c r="O525" s="205"/>
      <c r="P525" s="210">
        <f>(表格3_5[[#This Row],[Out-Time2]] - 表格3_5[[#This Row],[In-Time2]])*24</f>
        <v>0</v>
      </c>
      <c r="Q525" s="205"/>
      <c r="R525" s="214">
        <f>_xlfn.XLOOKUP(表格3_5[[#This Row],[Name]],Name_list[Full Name],Name_list[Hourr Rate])</f>
        <v>0</v>
      </c>
      <c r="S525" s="210">
        <f>表格3_5[[#This Row],[Hours Worked]]*表格3_5[[#This Row],[Hourly Rate]]</f>
        <v>0</v>
      </c>
    </row>
    <row r="526" spans="1:19">
      <c r="A526" s="201">
        <v>524</v>
      </c>
      <c r="B526" s="210" t="str">
        <f>_xlfn.CONCAT(表格3_5[[#This Row],[Name]],表格3_5[[#This Row],[Location]])</f>
        <v/>
      </c>
      <c r="C526" s="211" t="str">
        <f>表格3_5[[#This Row],[Location]] &amp; 表格3_5[[#This Row],[Date]] &amp;表格3_5[[#This Row],[Nick Name]]</f>
        <v>0</v>
      </c>
      <c r="D526" s="202"/>
      <c r="E526" s="211" t="str">
        <f>DAY(表格3_5[[#This Row],[Date]])&amp;""</f>
        <v>0</v>
      </c>
      <c r="F526" s="203"/>
      <c r="G526" s="216">
        <f>_xlfn.XLOOKUP(表格3_5[[#This Row],[Name]],Name_list[Full Name],Name_list[Nick Name])</f>
        <v>0</v>
      </c>
      <c r="H526" s="207"/>
      <c r="I526" s="228"/>
      <c r="J526" s="218"/>
      <c r="K526" s="205"/>
      <c r="L526" s="210">
        <f>(表格3_5[[#This Row],[Out-Time]] - 表格3_5[[#This Row],[In-Time]])*24</f>
        <v>0</v>
      </c>
      <c r="M526" s="210">
        <f>表格3_5[[#This Row],[ Hours]]-表格3_5[[#This Row],[Normal working
 hours]]</f>
        <v>0</v>
      </c>
      <c r="N526" s="205"/>
      <c r="O526" s="205"/>
      <c r="P526" s="210">
        <f>(表格3_5[[#This Row],[Out-Time2]] - 表格3_5[[#This Row],[In-Time2]])*24</f>
        <v>0</v>
      </c>
      <c r="Q526" s="205"/>
      <c r="R526" s="214">
        <f>_xlfn.XLOOKUP(表格3_5[[#This Row],[Name]],Name_list[Full Name],Name_list[Hourr Rate])</f>
        <v>0</v>
      </c>
      <c r="S526" s="210">
        <f>表格3_5[[#This Row],[Hours Worked]]*表格3_5[[#This Row],[Hourly Rate]]</f>
        <v>0</v>
      </c>
    </row>
    <row r="527" spans="1:19">
      <c r="A527" s="201">
        <v>525</v>
      </c>
      <c r="B527" s="210" t="str">
        <f>_xlfn.CONCAT(表格3_5[[#This Row],[Name]],表格3_5[[#This Row],[Location]])</f>
        <v/>
      </c>
      <c r="C527" s="211" t="str">
        <f>表格3_5[[#This Row],[Location]] &amp; 表格3_5[[#This Row],[Date]] &amp;表格3_5[[#This Row],[Nick Name]]</f>
        <v>0</v>
      </c>
      <c r="D527" s="202"/>
      <c r="E527" s="211" t="str">
        <f>DAY(表格3_5[[#This Row],[Date]])&amp;""</f>
        <v>0</v>
      </c>
      <c r="F527" s="203"/>
      <c r="G527" s="216">
        <f>_xlfn.XLOOKUP(表格3_5[[#This Row],[Name]],Name_list[Full Name],Name_list[Nick Name])</f>
        <v>0</v>
      </c>
      <c r="H527" s="207"/>
      <c r="I527" s="228"/>
      <c r="J527" s="218"/>
      <c r="K527" s="205"/>
      <c r="L527" s="210">
        <f>(表格3_5[[#This Row],[Out-Time]] - 表格3_5[[#This Row],[In-Time]])*24</f>
        <v>0</v>
      </c>
      <c r="M527" s="210">
        <f>表格3_5[[#This Row],[ Hours]]-表格3_5[[#This Row],[Normal working
 hours]]</f>
        <v>0</v>
      </c>
      <c r="N527" s="205"/>
      <c r="O527" s="205"/>
      <c r="P527" s="210">
        <f>(表格3_5[[#This Row],[Out-Time2]] - 表格3_5[[#This Row],[In-Time2]])*24</f>
        <v>0</v>
      </c>
      <c r="Q527" s="205"/>
      <c r="R527" s="214">
        <f>_xlfn.XLOOKUP(表格3_5[[#This Row],[Name]],Name_list[Full Name],Name_list[Hourr Rate])</f>
        <v>0</v>
      </c>
      <c r="S527" s="210">
        <f>表格3_5[[#This Row],[Hours Worked]]*表格3_5[[#This Row],[Hourly Rate]]</f>
        <v>0</v>
      </c>
    </row>
    <row r="528" spans="1:19">
      <c r="A528" s="201">
        <v>526</v>
      </c>
      <c r="B528" s="210" t="str">
        <f>_xlfn.CONCAT(表格3_5[[#This Row],[Name]],表格3_5[[#This Row],[Location]])</f>
        <v/>
      </c>
      <c r="C528" s="211" t="str">
        <f>表格3_5[[#This Row],[Location]] &amp; 表格3_5[[#This Row],[Date]] &amp;表格3_5[[#This Row],[Nick Name]]</f>
        <v>0</v>
      </c>
      <c r="D528" s="202"/>
      <c r="E528" s="211" t="str">
        <f>DAY(表格3_5[[#This Row],[Date]])&amp;""</f>
        <v>0</v>
      </c>
      <c r="F528" s="203"/>
      <c r="G528" s="216">
        <f>_xlfn.XLOOKUP(表格3_5[[#This Row],[Name]],Name_list[Full Name],Name_list[Nick Name])</f>
        <v>0</v>
      </c>
      <c r="H528" s="207"/>
      <c r="I528" s="228"/>
      <c r="J528" s="218"/>
      <c r="K528" s="205"/>
      <c r="L528" s="210">
        <f>(表格3_5[[#This Row],[Out-Time]] - 表格3_5[[#This Row],[In-Time]])*24</f>
        <v>0</v>
      </c>
      <c r="M528" s="210">
        <f>表格3_5[[#This Row],[ Hours]]-表格3_5[[#This Row],[Normal working
 hours]]</f>
        <v>0</v>
      </c>
      <c r="N528" s="205"/>
      <c r="O528" s="205"/>
      <c r="P528" s="210">
        <f>(表格3_5[[#This Row],[Out-Time2]] - 表格3_5[[#This Row],[In-Time2]])*24</f>
        <v>0</v>
      </c>
      <c r="Q528" s="205"/>
      <c r="R528" s="214">
        <f>_xlfn.XLOOKUP(表格3_5[[#This Row],[Name]],Name_list[Full Name],Name_list[Hourr Rate])</f>
        <v>0</v>
      </c>
      <c r="S528" s="210">
        <f>表格3_5[[#This Row],[Hours Worked]]*表格3_5[[#This Row],[Hourly Rate]]</f>
        <v>0</v>
      </c>
    </row>
    <row r="529" spans="1:19">
      <c r="A529" s="201">
        <v>527</v>
      </c>
      <c r="B529" s="210" t="str">
        <f>_xlfn.CONCAT(表格3_5[[#This Row],[Name]],表格3_5[[#This Row],[Location]])</f>
        <v/>
      </c>
      <c r="C529" s="211" t="str">
        <f>表格3_5[[#This Row],[Location]] &amp; 表格3_5[[#This Row],[Date]] &amp;表格3_5[[#This Row],[Nick Name]]</f>
        <v>0</v>
      </c>
      <c r="D529" s="202"/>
      <c r="E529" s="211" t="str">
        <f>DAY(表格3_5[[#This Row],[Date]])&amp;""</f>
        <v>0</v>
      </c>
      <c r="F529" s="203"/>
      <c r="G529" s="216">
        <f>_xlfn.XLOOKUP(表格3_5[[#This Row],[Name]],Name_list[Full Name],Name_list[Nick Name])</f>
        <v>0</v>
      </c>
      <c r="H529" s="207"/>
      <c r="I529" s="228"/>
      <c r="J529" s="218"/>
      <c r="K529" s="205"/>
      <c r="L529" s="210">
        <f>(表格3_5[[#This Row],[Out-Time]] - 表格3_5[[#This Row],[In-Time]])*24</f>
        <v>0</v>
      </c>
      <c r="M529" s="210">
        <f>表格3_5[[#This Row],[ Hours]]-表格3_5[[#This Row],[Normal working
 hours]]</f>
        <v>0</v>
      </c>
      <c r="N529" s="205"/>
      <c r="O529" s="205"/>
      <c r="P529" s="210">
        <f>(表格3_5[[#This Row],[Out-Time2]] - 表格3_5[[#This Row],[In-Time2]])*24</f>
        <v>0</v>
      </c>
      <c r="Q529" s="205"/>
      <c r="R529" s="214">
        <f>_xlfn.XLOOKUP(表格3_5[[#This Row],[Name]],Name_list[Full Name],Name_list[Hourr Rate])</f>
        <v>0</v>
      </c>
      <c r="S529" s="210">
        <f>表格3_5[[#This Row],[Hours Worked]]*表格3_5[[#This Row],[Hourly Rate]]</f>
        <v>0</v>
      </c>
    </row>
    <row r="530" spans="1:19">
      <c r="A530" s="201">
        <v>528</v>
      </c>
      <c r="B530" s="210" t="str">
        <f>_xlfn.CONCAT(表格3_5[[#This Row],[Name]],表格3_5[[#This Row],[Location]])</f>
        <v/>
      </c>
      <c r="C530" s="211" t="str">
        <f>表格3_5[[#This Row],[Location]] &amp; 表格3_5[[#This Row],[Date]] &amp;表格3_5[[#This Row],[Nick Name]]</f>
        <v>0</v>
      </c>
      <c r="D530" s="202"/>
      <c r="E530" s="211" t="str">
        <f>DAY(表格3_5[[#This Row],[Date]])&amp;""</f>
        <v>0</v>
      </c>
      <c r="F530" s="203"/>
      <c r="G530" s="216">
        <f>_xlfn.XLOOKUP(表格3_5[[#This Row],[Name]],Name_list[Full Name],Name_list[Nick Name])</f>
        <v>0</v>
      </c>
      <c r="H530" s="207"/>
      <c r="I530" s="228"/>
      <c r="J530" s="218"/>
      <c r="K530" s="205"/>
      <c r="L530" s="210">
        <f>(表格3_5[[#This Row],[Out-Time]] - 表格3_5[[#This Row],[In-Time]])*24</f>
        <v>0</v>
      </c>
      <c r="M530" s="210">
        <f>表格3_5[[#This Row],[ Hours]]-表格3_5[[#This Row],[Normal working
 hours]]</f>
        <v>0</v>
      </c>
      <c r="N530" s="205"/>
      <c r="O530" s="205"/>
      <c r="P530" s="210">
        <f>(表格3_5[[#This Row],[Out-Time2]] - 表格3_5[[#This Row],[In-Time2]])*24</f>
        <v>0</v>
      </c>
      <c r="Q530" s="205"/>
      <c r="R530" s="214">
        <f>_xlfn.XLOOKUP(表格3_5[[#This Row],[Name]],Name_list[Full Name],Name_list[Hourr Rate])</f>
        <v>0</v>
      </c>
      <c r="S530" s="210">
        <f>表格3_5[[#This Row],[Hours Worked]]*表格3_5[[#This Row],[Hourly Rate]]</f>
        <v>0</v>
      </c>
    </row>
    <row r="531" spans="1:19">
      <c r="A531" s="201">
        <v>529</v>
      </c>
      <c r="B531" s="210" t="str">
        <f>_xlfn.CONCAT(表格3_5[[#This Row],[Name]],表格3_5[[#This Row],[Location]])</f>
        <v/>
      </c>
      <c r="C531" s="211" t="str">
        <f>表格3_5[[#This Row],[Location]] &amp; 表格3_5[[#This Row],[Date]] &amp;表格3_5[[#This Row],[Nick Name]]</f>
        <v>0</v>
      </c>
      <c r="D531" s="202"/>
      <c r="E531" s="211" t="str">
        <f>DAY(表格3_5[[#This Row],[Date]])&amp;""</f>
        <v>0</v>
      </c>
      <c r="F531" s="203"/>
      <c r="G531" s="216">
        <f>_xlfn.XLOOKUP(表格3_5[[#This Row],[Name]],Name_list[Full Name],Name_list[Nick Name])</f>
        <v>0</v>
      </c>
      <c r="H531" s="207"/>
      <c r="I531" s="228"/>
      <c r="J531" s="218"/>
      <c r="K531" s="205"/>
      <c r="L531" s="210">
        <f>(表格3_5[[#This Row],[Out-Time]] - 表格3_5[[#This Row],[In-Time]])*24</f>
        <v>0</v>
      </c>
      <c r="M531" s="210">
        <f>表格3_5[[#This Row],[ Hours]]-表格3_5[[#This Row],[Normal working
 hours]]</f>
        <v>0</v>
      </c>
      <c r="N531" s="205"/>
      <c r="O531" s="205"/>
      <c r="P531" s="210">
        <f>(表格3_5[[#This Row],[Out-Time2]] - 表格3_5[[#This Row],[In-Time2]])*24</f>
        <v>0</v>
      </c>
      <c r="Q531" s="205"/>
      <c r="R531" s="214">
        <f>_xlfn.XLOOKUP(表格3_5[[#This Row],[Name]],Name_list[Full Name],Name_list[Hourr Rate])</f>
        <v>0</v>
      </c>
      <c r="S531" s="210">
        <f>表格3_5[[#This Row],[Hours Worked]]*表格3_5[[#This Row],[Hourly Rate]]</f>
        <v>0</v>
      </c>
    </row>
    <row r="532" spans="1:19">
      <c r="A532" s="201">
        <v>530</v>
      </c>
      <c r="B532" s="210" t="str">
        <f>_xlfn.CONCAT(表格3_5[[#This Row],[Name]],表格3_5[[#This Row],[Location]])</f>
        <v/>
      </c>
      <c r="C532" s="211" t="str">
        <f>表格3_5[[#This Row],[Location]] &amp; 表格3_5[[#This Row],[Date]] &amp;表格3_5[[#This Row],[Nick Name]]</f>
        <v>0</v>
      </c>
      <c r="D532" s="202"/>
      <c r="E532" s="211" t="str">
        <f>DAY(表格3_5[[#This Row],[Date]])&amp;""</f>
        <v>0</v>
      </c>
      <c r="F532" s="203"/>
      <c r="G532" s="216">
        <f>_xlfn.XLOOKUP(表格3_5[[#This Row],[Name]],Name_list[Full Name],Name_list[Nick Name])</f>
        <v>0</v>
      </c>
      <c r="H532" s="207"/>
      <c r="I532" s="228"/>
      <c r="J532" s="218"/>
      <c r="K532" s="205"/>
      <c r="L532" s="210">
        <f>(表格3_5[[#This Row],[Out-Time]] - 表格3_5[[#This Row],[In-Time]])*24</f>
        <v>0</v>
      </c>
      <c r="M532" s="210">
        <f>表格3_5[[#This Row],[ Hours]]-表格3_5[[#This Row],[Normal working
 hours]]</f>
        <v>0</v>
      </c>
      <c r="N532" s="205"/>
      <c r="O532" s="205"/>
      <c r="P532" s="210">
        <f>(表格3_5[[#This Row],[Out-Time2]] - 表格3_5[[#This Row],[In-Time2]])*24</f>
        <v>0</v>
      </c>
      <c r="Q532" s="205"/>
      <c r="R532" s="214">
        <f>_xlfn.XLOOKUP(表格3_5[[#This Row],[Name]],Name_list[Full Name],Name_list[Hourr Rate])</f>
        <v>0</v>
      </c>
      <c r="S532" s="210">
        <f>表格3_5[[#This Row],[Hours Worked]]*表格3_5[[#This Row],[Hourly Rate]]</f>
        <v>0</v>
      </c>
    </row>
    <row r="533" spans="1:19">
      <c r="A533" s="201">
        <v>531</v>
      </c>
      <c r="B533" s="210" t="str">
        <f>_xlfn.CONCAT(表格3_5[[#This Row],[Name]],表格3_5[[#This Row],[Location]])</f>
        <v/>
      </c>
      <c r="C533" s="211" t="str">
        <f>表格3_5[[#This Row],[Location]] &amp; 表格3_5[[#This Row],[Date]] &amp;表格3_5[[#This Row],[Nick Name]]</f>
        <v>0</v>
      </c>
      <c r="D533" s="202"/>
      <c r="E533" s="211" t="str">
        <f>DAY(表格3_5[[#This Row],[Date]])&amp;""</f>
        <v>0</v>
      </c>
      <c r="F533" s="203"/>
      <c r="G533" s="216">
        <f>_xlfn.XLOOKUP(表格3_5[[#This Row],[Name]],Name_list[Full Name],Name_list[Nick Name])</f>
        <v>0</v>
      </c>
      <c r="H533" s="207"/>
      <c r="I533" s="228"/>
      <c r="J533" s="218"/>
      <c r="K533" s="205"/>
      <c r="L533" s="210">
        <f>(表格3_5[[#This Row],[Out-Time]] - 表格3_5[[#This Row],[In-Time]])*24</f>
        <v>0</v>
      </c>
      <c r="M533" s="210">
        <f>表格3_5[[#This Row],[ Hours]]-表格3_5[[#This Row],[Normal working
 hours]]</f>
        <v>0</v>
      </c>
      <c r="N533" s="205"/>
      <c r="O533" s="205"/>
      <c r="P533" s="210">
        <f>(表格3_5[[#This Row],[Out-Time2]] - 表格3_5[[#This Row],[In-Time2]])*24</f>
        <v>0</v>
      </c>
      <c r="Q533" s="205"/>
      <c r="R533" s="214">
        <f>_xlfn.XLOOKUP(表格3_5[[#This Row],[Name]],Name_list[Full Name],Name_list[Hourr Rate])</f>
        <v>0</v>
      </c>
      <c r="S533" s="210">
        <f>表格3_5[[#This Row],[Hours Worked]]*表格3_5[[#This Row],[Hourly Rate]]</f>
        <v>0</v>
      </c>
    </row>
    <row r="534" spans="1:19">
      <c r="A534" s="201">
        <v>532</v>
      </c>
      <c r="B534" s="210" t="str">
        <f>_xlfn.CONCAT(表格3_5[[#This Row],[Name]],表格3_5[[#This Row],[Location]])</f>
        <v/>
      </c>
      <c r="C534" s="211" t="str">
        <f>表格3_5[[#This Row],[Location]] &amp; 表格3_5[[#This Row],[Date]] &amp;表格3_5[[#This Row],[Nick Name]]</f>
        <v>0</v>
      </c>
      <c r="D534" s="202"/>
      <c r="E534" s="211" t="str">
        <f>DAY(表格3_5[[#This Row],[Date]])&amp;""</f>
        <v>0</v>
      </c>
      <c r="F534" s="203"/>
      <c r="G534" s="216">
        <f>_xlfn.XLOOKUP(表格3_5[[#This Row],[Name]],Name_list[Full Name],Name_list[Nick Name])</f>
        <v>0</v>
      </c>
      <c r="H534" s="207"/>
      <c r="I534" s="228"/>
      <c r="J534" s="218"/>
      <c r="K534" s="205"/>
      <c r="L534" s="210">
        <f>(表格3_5[[#This Row],[Out-Time]] - 表格3_5[[#This Row],[In-Time]])*24</f>
        <v>0</v>
      </c>
      <c r="M534" s="210">
        <f>表格3_5[[#This Row],[ Hours]]-表格3_5[[#This Row],[Normal working
 hours]]</f>
        <v>0</v>
      </c>
      <c r="N534" s="205"/>
      <c r="O534" s="205"/>
      <c r="P534" s="210">
        <f>(表格3_5[[#This Row],[Out-Time2]] - 表格3_5[[#This Row],[In-Time2]])*24</f>
        <v>0</v>
      </c>
      <c r="Q534" s="205"/>
      <c r="R534" s="214">
        <f>_xlfn.XLOOKUP(表格3_5[[#This Row],[Name]],Name_list[Full Name],Name_list[Hourr Rate])</f>
        <v>0</v>
      </c>
      <c r="S534" s="210">
        <f>表格3_5[[#This Row],[Hours Worked]]*表格3_5[[#This Row],[Hourly Rate]]</f>
        <v>0</v>
      </c>
    </row>
    <row r="535" spans="1:19">
      <c r="A535" s="201">
        <v>533</v>
      </c>
      <c r="B535" s="210" t="str">
        <f>_xlfn.CONCAT(表格3_5[[#This Row],[Name]],表格3_5[[#This Row],[Location]])</f>
        <v/>
      </c>
      <c r="C535" s="211" t="str">
        <f>表格3_5[[#This Row],[Location]] &amp; 表格3_5[[#This Row],[Date]] &amp;表格3_5[[#This Row],[Nick Name]]</f>
        <v>0</v>
      </c>
      <c r="D535" s="202"/>
      <c r="E535" s="211" t="str">
        <f>DAY(表格3_5[[#This Row],[Date]])&amp;""</f>
        <v>0</v>
      </c>
      <c r="F535" s="203"/>
      <c r="G535" s="216">
        <f>_xlfn.XLOOKUP(表格3_5[[#This Row],[Name]],Name_list[Full Name],Name_list[Nick Name])</f>
        <v>0</v>
      </c>
      <c r="H535" s="207"/>
      <c r="I535" s="228"/>
      <c r="J535" s="218"/>
      <c r="K535" s="205"/>
      <c r="L535" s="210">
        <f>(表格3_5[[#This Row],[Out-Time]] - 表格3_5[[#This Row],[In-Time]])*24</f>
        <v>0</v>
      </c>
      <c r="M535" s="210">
        <f>表格3_5[[#This Row],[ Hours]]-表格3_5[[#This Row],[Normal working
 hours]]</f>
        <v>0</v>
      </c>
      <c r="N535" s="205"/>
      <c r="O535" s="205"/>
      <c r="P535" s="210">
        <f>(表格3_5[[#This Row],[Out-Time2]] - 表格3_5[[#This Row],[In-Time2]])*24</f>
        <v>0</v>
      </c>
      <c r="Q535" s="205"/>
      <c r="R535" s="214">
        <f>_xlfn.XLOOKUP(表格3_5[[#This Row],[Name]],Name_list[Full Name],Name_list[Hourr Rate])</f>
        <v>0</v>
      </c>
      <c r="S535" s="210">
        <f>表格3_5[[#This Row],[Hours Worked]]*表格3_5[[#This Row],[Hourly Rate]]</f>
        <v>0</v>
      </c>
    </row>
    <row r="536" spans="1:19">
      <c r="A536" s="201">
        <v>534</v>
      </c>
      <c r="B536" s="210" t="str">
        <f>_xlfn.CONCAT(表格3_5[[#This Row],[Name]],表格3_5[[#This Row],[Location]])</f>
        <v/>
      </c>
      <c r="C536" s="211" t="str">
        <f>表格3_5[[#This Row],[Location]] &amp; 表格3_5[[#This Row],[Date]] &amp;表格3_5[[#This Row],[Nick Name]]</f>
        <v>0</v>
      </c>
      <c r="D536" s="202"/>
      <c r="E536" s="211" t="str">
        <f>DAY(表格3_5[[#This Row],[Date]])&amp;""</f>
        <v>0</v>
      </c>
      <c r="F536" s="203"/>
      <c r="G536" s="216">
        <f>_xlfn.XLOOKUP(表格3_5[[#This Row],[Name]],Name_list[Full Name],Name_list[Nick Name])</f>
        <v>0</v>
      </c>
      <c r="H536" s="207"/>
      <c r="I536" s="228"/>
      <c r="J536" s="218"/>
      <c r="K536" s="205"/>
      <c r="L536" s="210">
        <f>(表格3_5[[#This Row],[Out-Time]] - 表格3_5[[#This Row],[In-Time]])*24</f>
        <v>0</v>
      </c>
      <c r="M536" s="210">
        <f>表格3_5[[#This Row],[ Hours]]-表格3_5[[#This Row],[Normal working
 hours]]</f>
        <v>0</v>
      </c>
      <c r="N536" s="205"/>
      <c r="O536" s="205"/>
      <c r="P536" s="210">
        <f>(表格3_5[[#This Row],[Out-Time2]] - 表格3_5[[#This Row],[In-Time2]])*24</f>
        <v>0</v>
      </c>
      <c r="Q536" s="205"/>
      <c r="R536" s="214">
        <f>_xlfn.XLOOKUP(表格3_5[[#This Row],[Name]],Name_list[Full Name],Name_list[Hourr Rate])</f>
        <v>0</v>
      </c>
      <c r="S536" s="210">
        <f>表格3_5[[#This Row],[Hours Worked]]*表格3_5[[#This Row],[Hourly Rate]]</f>
        <v>0</v>
      </c>
    </row>
    <row r="537" spans="1:19">
      <c r="A537" s="201">
        <v>535</v>
      </c>
      <c r="B537" s="210" t="str">
        <f>_xlfn.CONCAT(表格3_5[[#This Row],[Name]],表格3_5[[#This Row],[Location]])</f>
        <v/>
      </c>
      <c r="C537" s="211" t="str">
        <f>表格3_5[[#This Row],[Location]] &amp; 表格3_5[[#This Row],[Date]] &amp;表格3_5[[#This Row],[Nick Name]]</f>
        <v>0</v>
      </c>
      <c r="D537" s="202"/>
      <c r="E537" s="211" t="str">
        <f>DAY(表格3_5[[#This Row],[Date]])&amp;""</f>
        <v>0</v>
      </c>
      <c r="F537" s="203"/>
      <c r="G537" s="216">
        <f>_xlfn.XLOOKUP(表格3_5[[#This Row],[Name]],Name_list[Full Name],Name_list[Nick Name])</f>
        <v>0</v>
      </c>
      <c r="H537" s="207"/>
      <c r="I537" s="228"/>
      <c r="J537" s="218"/>
      <c r="K537" s="205"/>
      <c r="L537" s="210">
        <f>(表格3_5[[#This Row],[Out-Time]] - 表格3_5[[#This Row],[In-Time]])*24</f>
        <v>0</v>
      </c>
      <c r="M537" s="210">
        <f>表格3_5[[#This Row],[ Hours]]-表格3_5[[#This Row],[Normal working
 hours]]</f>
        <v>0</v>
      </c>
      <c r="N537" s="205"/>
      <c r="O537" s="205"/>
      <c r="P537" s="210">
        <f>(表格3_5[[#This Row],[Out-Time2]] - 表格3_5[[#This Row],[In-Time2]])*24</f>
        <v>0</v>
      </c>
      <c r="Q537" s="205"/>
      <c r="R537" s="214">
        <f>_xlfn.XLOOKUP(表格3_5[[#This Row],[Name]],Name_list[Full Name],Name_list[Hourr Rate])</f>
        <v>0</v>
      </c>
      <c r="S537" s="210">
        <f>表格3_5[[#This Row],[Hours Worked]]*表格3_5[[#This Row],[Hourly Rate]]</f>
        <v>0</v>
      </c>
    </row>
    <row r="538" spans="1:19">
      <c r="A538" s="201">
        <v>536</v>
      </c>
      <c r="B538" s="210" t="str">
        <f>_xlfn.CONCAT(表格3_5[[#This Row],[Name]],表格3_5[[#This Row],[Location]])</f>
        <v/>
      </c>
      <c r="C538" s="211" t="str">
        <f>表格3_5[[#This Row],[Location]] &amp; 表格3_5[[#This Row],[Date]] &amp;表格3_5[[#This Row],[Nick Name]]</f>
        <v>0</v>
      </c>
      <c r="D538" s="202"/>
      <c r="E538" s="211" t="str">
        <f>DAY(表格3_5[[#This Row],[Date]])&amp;""</f>
        <v>0</v>
      </c>
      <c r="F538" s="203"/>
      <c r="G538" s="216">
        <f>_xlfn.XLOOKUP(表格3_5[[#This Row],[Name]],Name_list[Full Name],Name_list[Nick Name])</f>
        <v>0</v>
      </c>
      <c r="H538" s="207"/>
      <c r="I538" s="228"/>
      <c r="J538" s="218"/>
      <c r="K538" s="205"/>
      <c r="L538" s="210">
        <f>(表格3_5[[#This Row],[Out-Time]] - 表格3_5[[#This Row],[In-Time]])*24</f>
        <v>0</v>
      </c>
      <c r="M538" s="210">
        <f>表格3_5[[#This Row],[ Hours]]-表格3_5[[#This Row],[Normal working
 hours]]</f>
        <v>0</v>
      </c>
      <c r="N538" s="205"/>
      <c r="O538" s="205"/>
      <c r="P538" s="210">
        <f>(表格3_5[[#This Row],[Out-Time2]] - 表格3_5[[#This Row],[In-Time2]])*24</f>
        <v>0</v>
      </c>
      <c r="Q538" s="205"/>
      <c r="R538" s="214">
        <f>_xlfn.XLOOKUP(表格3_5[[#This Row],[Name]],Name_list[Full Name],Name_list[Hourr Rate])</f>
        <v>0</v>
      </c>
      <c r="S538" s="210">
        <f>表格3_5[[#This Row],[Hours Worked]]*表格3_5[[#This Row],[Hourly Rate]]</f>
        <v>0</v>
      </c>
    </row>
    <row r="539" spans="1:19">
      <c r="A539" s="201">
        <v>537</v>
      </c>
      <c r="B539" s="210" t="str">
        <f>_xlfn.CONCAT(表格3_5[[#This Row],[Name]],表格3_5[[#This Row],[Location]])</f>
        <v/>
      </c>
      <c r="C539" s="211" t="str">
        <f>表格3_5[[#This Row],[Location]] &amp; 表格3_5[[#This Row],[Date]] &amp;表格3_5[[#This Row],[Nick Name]]</f>
        <v>0</v>
      </c>
      <c r="D539" s="202"/>
      <c r="E539" s="211" t="str">
        <f>DAY(表格3_5[[#This Row],[Date]])&amp;""</f>
        <v>0</v>
      </c>
      <c r="F539" s="203"/>
      <c r="G539" s="216">
        <f>_xlfn.XLOOKUP(表格3_5[[#This Row],[Name]],Name_list[Full Name],Name_list[Nick Name])</f>
        <v>0</v>
      </c>
      <c r="H539" s="207"/>
      <c r="I539" s="228"/>
      <c r="J539" s="218"/>
      <c r="K539" s="205"/>
      <c r="L539" s="210">
        <f>(表格3_5[[#This Row],[Out-Time]] - 表格3_5[[#This Row],[In-Time]])*24</f>
        <v>0</v>
      </c>
      <c r="M539" s="210">
        <f>表格3_5[[#This Row],[ Hours]]-表格3_5[[#This Row],[Normal working
 hours]]</f>
        <v>0</v>
      </c>
      <c r="N539" s="205"/>
      <c r="O539" s="205"/>
      <c r="P539" s="210">
        <f>(表格3_5[[#This Row],[Out-Time2]] - 表格3_5[[#This Row],[In-Time2]])*24</f>
        <v>0</v>
      </c>
      <c r="Q539" s="205"/>
      <c r="R539" s="214">
        <f>_xlfn.XLOOKUP(表格3_5[[#This Row],[Name]],Name_list[Full Name],Name_list[Hourr Rate])</f>
        <v>0</v>
      </c>
      <c r="S539" s="210">
        <f>表格3_5[[#This Row],[Hours Worked]]*表格3_5[[#This Row],[Hourly Rate]]</f>
        <v>0</v>
      </c>
    </row>
    <row r="540" spans="1:19">
      <c r="A540" s="201">
        <v>538</v>
      </c>
      <c r="B540" s="210" t="str">
        <f>_xlfn.CONCAT(表格3_5[[#This Row],[Name]],表格3_5[[#This Row],[Location]])</f>
        <v/>
      </c>
      <c r="C540" s="211" t="str">
        <f>表格3_5[[#This Row],[Location]] &amp; 表格3_5[[#This Row],[Date]] &amp;表格3_5[[#This Row],[Nick Name]]</f>
        <v>0</v>
      </c>
      <c r="D540" s="202"/>
      <c r="E540" s="211" t="str">
        <f>DAY(表格3_5[[#This Row],[Date]])&amp;""</f>
        <v>0</v>
      </c>
      <c r="F540" s="203"/>
      <c r="G540" s="216">
        <f>_xlfn.XLOOKUP(表格3_5[[#This Row],[Name]],Name_list[Full Name],Name_list[Nick Name])</f>
        <v>0</v>
      </c>
      <c r="H540" s="207"/>
      <c r="I540" s="228"/>
      <c r="J540" s="218"/>
      <c r="K540" s="205"/>
      <c r="L540" s="210">
        <f>(表格3_5[[#This Row],[Out-Time]] - 表格3_5[[#This Row],[In-Time]])*24</f>
        <v>0</v>
      </c>
      <c r="M540" s="210">
        <f>表格3_5[[#This Row],[ Hours]]-表格3_5[[#This Row],[Normal working
 hours]]</f>
        <v>0</v>
      </c>
      <c r="N540" s="205"/>
      <c r="O540" s="205"/>
      <c r="P540" s="210">
        <f>(表格3_5[[#This Row],[Out-Time2]] - 表格3_5[[#This Row],[In-Time2]])*24</f>
        <v>0</v>
      </c>
      <c r="Q540" s="205"/>
      <c r="R540" s="214">
        <f>_xlfn.XLOOKUP(表格3_5[[#This Row],[Name]],Name_list[Full Name],Name_list[Hourr Rate])</f>
        <v>0</v>
      </c>
      <c r="S540" s="210">
        <f>表格3_5[[#This Row],[Hours Worked]]*表格3_5[[#This Row],[Hourly Rate]]</f>
        <v>0</v>
      </c>
    </row>
    <row r="541" spans="1:19">
      <c r="A541" s="201">
        <v>539</v>
      </c>
      <c r="B541" s="210" t="str">
        <f>_xlfn.CONCAT(表格3_5[[#This Row],[Name]],表格3_5[[#This Row],[Location]])</f>
        <v/>
      </c>
      <c r="C541" s="211" t="str">
        <f>表格3_5[[#This Row],[Location]] &amp; 表格3_5[[#This Row],[Date]] &amp;表格3_5[[#This Row],[Nick Name]]</f>
        <v>0</v>
      </c>
      <c r="D541" s="202"/>
      <c r="E541" s="211" t="str">
        <f>DAY(表格3_5[[#This Row],[Date]])&amp;""</f>
        <v>0</v>
      </c>
      <c r="F541" s="203"/>
      <c r="G541" s="216">
        <f>_xlfn.XLOOKUP(表格3_5[[#This Row],[Name]],Name_list[Full Name],Name_list[Nick Name])</f>
        <v>0</v>
      </c>
      <c r="H541" s="207"/>
      <c r="I541" s="228"/>
      <c r="J541" s="218"/>
      <c r="K541" s="205"/>
      <c r="L541" s="210">
        <f>(表格3_5[[#This Row],[Out-Time]] - 表格3_5[[#This Row],[In-Time]])*24</f>
        <v>0</v>
      </c>
      <c r="M541" s="210">
        <f>表格3_5[[#This Row],[ Hours]]-表格3_5[[#This Row],[Normal working
 hours]]</f>
        <v>0</v>
      </c>
      <c r="N541" s="205"/>
      <c r="O541" s="205"/>
      <c r="P541" s="210">
        <f>(表格3_5[[#This Row],[Out-Time2]] - 表格3_5[[#This Row],[In-Time2]])*24</f>
        <v>0</v>
      </c>
      <c r="Q541" s="205"/>
      <c r="R541" s="214">
        <f>_xlfn.XLOOKUP(表格3_5[[#This Row],[Name]],Name_list[Full Name],Name_list[Hourr Rate])</f>
        <v>0</v>
      </c>
      <c r="S541" s="210">
        <f>表格3_5[[#This Row],[Hours Worked]]*表格3_5[[#This Row],[Hourly Rate]]</f>
        <v>0</v>
      </c>
    </row>
    <row r="542" spans="1:19">
      <c r="A542" s="201">
        <v>540</v>
      </c>
      <c r="B542" s="210" t="str">
        <f>_xlfn.CONCAT(表格3_5[[#This Row],[Name]],表格3_5[[#This Row],[Location]])</f>
        <v/>
      </c>
      <c r="C542" s="211" t="str">
        <f>表格3_5[[#This Row],[Location]] &amp; 表格3_5[[#This Row],[Date]] &amp;表格3_5[[#This Row],[Nick Name]]</f>
        <v>0</v>
      </c>
      <c r="D542" s="202"/>
      <c r="E542" s="211" t="str">
        <f>DAY(表格3_5[[#This Row],[Date]])&amp;""</f>
        <v>0</v>
      </c>
      <c r="F542" s="203"/>
      <c r="G542" s="216">
        <f>_xlfn.XLOOKUP(表格3_5[[#This Row],[Name]],Name_list[Full Name],Name_list[Nick Name])</f>
        <v>0</v>
      </c>
      <c r="H542" s="207"/>
      <c r="I542" s="228"/>
      <c r="J542" s="218"/>
      <c r="K542" s="205"/>
      <c r="L542" s="210">
        <f>(表格3_5[[#This Row],[Out-Time]] - 表格3_5[[#This Row],[In-Time]])*24</f>
        <v>0</v>
      </c>
      <c r="M542" s="210">
        <f>表格3_5[[#This Row],[ Hours]]-表格3_5[[#This Row],[Normal working
 hours]]</f>
        <v>0</v>
      </c>
      <c r="N542" s="205"/>
      <c r="O542" s="205"/>
      <c r="P542" s="210">
        <f>(表格3_5[[#This Row],[Out-Time2]] - 表格3_5[[#This Row],[In-Time2]])*24</f>
        <v>0</v>
      </c>
      <c r="Q542" s="205"/>
      <c r="R542" s="214">
        <f>_xlfn.XLOOKUP(表格3_5[[#This Row],[Name]],Name_list[Full Name],Name_list[Hourr Rate])</f>
        <v>0</v>
      </c>
      <c r="S542" s="210">
        <f>表格3_5[[#This Row],[Hours Worked]]*表格3_5[[#This Row],[Hourly Rate]]</f>
        <v>0</v>
      </c>
    </row>
    <row r="543" spans="1:19">
      <c r="A543" s="201">
        <v>541</v>
      </c>
      <c r="B543" s="210" t="str">
        <f>_xlfn.CONCAT(表格3_5[[#This Row],[Name]],表格3_5[[#This Row],[Location]])</f>
        <v/>
      </c>
      <c r="C543" s="211" t="str">
        <f>表格3_5[[#This Row],[Location]] &amp; 表格3_5[[#This Row],[Date]] &amp;表格3_5[[#This Row],[Nick Name]]</f>
        <v>0</v>
      </c>
      <c r="D543" s="202"/>
      <c r="E543" s="211" t="str">
        <f>DAY(表格3_5[[#This Row],[Date]])&amp;""</f>
        <v>0</v>
      </c>
      <c r="F543" s="203"/>
      <c r="G543" s="216">
        <f>_xlfn.XLOOKUP(表格3_5[[#This Row],[Name]],Name_list[Full Name],Name_list[Nick Name])</f>
        <v>0</v>
      </c>
      <c r="H543" s="207"/>
      <c r="I543" s="228"/>
      <c r="J543" s="218"/>
      <c r="K543" s="205"/>
      <c r="L543" s="210">
        <f>(表格3_5[[#This Row],[Out-Time]] - 表格3_5[[#This Row],[In-Time]])*24</f>
        <v>0</v>
      </c>
      <c r="M543" s="210">
        <f>表格3_5[[#This Row],[ Hours]]-表格3_5[[#This Row],[Normal working
 hours]]</f>
        <v>0</v>
      </c>
      <c r="N543" s="205"/>
      <c r="O543" s="205"/>
      <c r="P543" s="210">
        <f>(表格3_5[[#This Row],[Out-Time2]] - 表格3_5[[#This Row],[In-Time2]])*24</f>
        <v>0</v>
      </c>
      <c r="Q543" s="205"/>
      <c r="R543" s="214">
        <f>_xlfn.XLOOKUP(表格3_5[[#This Row],[Name]],Name_list[Full Name],Name_list[Hourr Rate])</f>
        <v>0</v>
      </c>
      <c r="S543" s="210">
        <f>表格3_5[[#This Row],[Hours Worked]]*表格3_5[[#This Row],[Hourly Rate]]</f>
        <v>0</v>
      </c>
    </row>
    <row r="544" spans="1:19">
      <c r="A544" s="201">
        <v>542</v>
      </c>
      <c r="B544" s="210" t="str">
        <f>_xlfn.CONCAT(表格3_5[[#This Row],[Name]],表格3_5[[#This Row],[Location]])</f>
        <v/>
      </c>
      <c r="C544" s="211" t="str">
        <f>表格3_5[[#This Row],[Location]] &amp; 表格3_5[[#This Row],[Date]] &amp;表格3_5[[#This Row],[Nick Name]]</f>
        <v>0</v>
      </c>
      <c r="D544" s="202"/>
      <c r="E544" s="211" t="str">
        <f>DAY(表格3_5[[#This Row],[Date]])&amp;""</f>
        <v>0</v>
      </c>
      <c r="F544" s="203"/>
      <c r="G544" s="216">
        <f>_xlfn.XLOOKUP(表格3_5[[#This Row],[Name]],Name_list[Full Name],Name_list[Nick Name])</f>
        <v>0</v>
      </c>
      <c r="H544" s="207"/>
      <c r="I544" s="228"/>
      <c r="J544" s="218"/>
      <c r="K544" s="205"/>
      <c r="L544" s="210">
        <f>(表格3_5[[#This Row],[Out-Time]] - 表格3_5[[#This Row],[In-Time]])*24</f>
        <v>0</v>
      </c>
      <c r="M544" s="210">
        <f>表格3_5[[#This Row],[ Hours]]-表格3_5[[#This Row],[Normal working
 hours]]</f>
        <v>0</v>
      </c>
      <c r="N544" s="205"/>
      <c r="O544" s="205"/>
      <c r="P544" s="210">
        <f>(表格3_5[[#This Row],[Out-Time2]] - 表格3_5[[#This Row],[In-Time2]])*24</f>
        <v>0</v>
      </c>
      <c r="Q544" s="205"/>
      <c r="R544" s="214">
        <f>_xlfn.XLOOKUP(表格3_5[[#This Row],[Name]],Name_list[Full Name],Name_list[Hourr Rate])</f>
        <v>0</v>
      </c>
      <c r="S544" s="210">
        <f>表格3_5[[#This Row],[Hours Worked]]*表格3_5[[#This Row],[Hourly Rate]]</f>
        <v>0</v>
      </c>
    </row>
    <row r="545" spans="1:19">
      <c r="A545" s="201">
        <v>543</v>
      </c>
      <c r="B545" s="210" t="str">
        <f>_xlfn.CONCAT(表格3_5[[#This Row],[Name]],表格3_5[[#This Row],[Location]])</f>
        <v/>
      </c>
      <c r="C545" s="211" t="str">
        <f>表格3_5[[#This Row],[Location]] &amp; 表格3_5[[#This Row],[Date]] &amp;表格3_5[[#This Row],[Nick Name]]</f>
        <v>0</v>
      </c>
      <c r="D545" s="202"/>
      <c r="E545" s="211" t="str">
        <f>DAY(表格3_5[[#This Row],[Date]])&amp;""</f>
        <v>0</v>
      </c>
      <c r="F545" s="203"/>
      <c r="G545" s="216">
        <f>_xlfn.XLOOKUP(表格3_5[[#This Row],[Name]],Name_list[Full Name],Name_list[Nick Name])</f>
        <v>0</v>
      </c>
      <c r="H545" s="207"/>
      <c r="I545" s="228"/>
      <c r="J545" s="218"/>
      <c r="K545" s="205"/>
      <c r="L545" s="210">
        <f>(表格3_5[[#This Row],[Out-Time]] - 表格3_5[[#This Row],[In-Time]])*24</f>
        <v>0</v>
      </c>
      <c r="M545" s="210">
        <f>表格3_5[[#This Row],[ Hours]]-表格3_5[[#This Row],[Normal working
 hours]]</f>
        <v>0</v>
      </c>
      <c r="N545" s="205"/>
      <c r="O545" s="205"/>
      <c r="P545" s="210">
        <f>(表格3_5[[#This Row],[Out-Time2]] - 表格3_5[[#This Row],[In-Time2]])*24</f>
        <v>0</v>
      </c>
      <c r="Q545" s="205"/>
      <c r="R545" s="214">
        <f>_xlfn.XLOOKUP(表格3_5[[#This Row],[Name]],Name_list[Full Name],Name_list[Hourr Rate])</f>
        <v>0</v>
      </c>
      <c r="S545" s="210">
        <f>表格3_5[[#This Row],[Hours Worked]]*表格3_5[[#This Row],[Hourly Rate]]</f>
        <v>0</v>
      </c>
    </row>
    <row r="546" spans="1:19">
      <c r="A546" s="201">
        <v>544</v>
      </c>
      <c r="B546" s="210" t="str">
        <f>_xlfn.CONCAT(表格3_5[[#This Row],[Name]],表格3_5[[#This Row],[Location]])</f>
        <v/>
      </c>
      <c r="C546" s="211" t="str">
        <f>表格3_5[[#This Row],[Location]] &amp; 表格3_5[[#This Row],[Date]] &amp;表格3_5[[#This Row],[Nick Name]]</f>
        <v>0</v>
      </c>
      <c r="D546" s="202"/>
      <c r="E546" s="211" t="str">
        <f>DAY(表格3_5[[#This Row],[Date]])&amp;""</f>
        <v>0</v>
      </c>
      <c r="F546" s="203"/>
      <c r="G546" s="216">
        <f>_xlfn.XLOOKUP(表格3_5[[#This Row],[Name]],Name_list[Full Name],Name_list[Nick Name])</f>
        <v>0</v>
      </c>
      <c r="H546" s="207"/>
      <c r="I546" s="228"/>
      <c r="J546" s="218"/>
      <c r="K546" s="205"/>
      <c r="L546" s="210">
        <f>(表格3_5[[#This Row],[Out-Time]] - 表格3_5[[#This Row],[In-Time]])*24</f>
        <v>0</v>
      </c>
      <c r="M546" s="210">
        <f>表格3_5[[#This Row],[ Hours]]-表格3_5[[#This Row],[Normal working
 hours]]</f>
        <v>0</v>
      </c>
      <c r="N546" s="205"/>
      <c r="O546" s="205"/>
      <c r="P546" s="210">
        <f>(表格3_5[[#This Row],[Out-Time2]] - 表格3_5[[#This Row],[In-Time2]])*24</f>
        <v>0</v>
      </c>
      <c r="Q546" s="205"/>
      <c r="R546" s="214">
        <f>_xlfn.XLOOKUP(表格3_5[[#This Row],[Name]],Name_list[Full Name],Name_list[Hourr Rate])</f>
        <v>0</v>
      </c>
      <c r="S546" s="210">
        <f>表格3_5[[#This Row],[Hours Worked]]*表格3_5[[#This Row],[Hourly Rate]]</f>
        <v>0</v>
      </c>
    </row>
    <row r="547" spans="1:19">
      <c r="A547" s="201">
        <v>545</v>
      </c>
      <c r="B547" s="210" t="str">
        <f>_xlfn.CONCAT(表格3_5[[#This Row],[Name]],表格3_5[[#This Row],[Location]])</f>
        <v/>
      </c>
      <c r="C547" s="211" t="str">
        <f>表格3_5[[#This Row],[Location]] &amp; 表格3_5[[#This Row],[Date]] &amp;表格3_5[[#This Row],[Nick Name]]</f>
        <v>0</v>
      </c>
      <c r="D547" s="202"/>
      <c r="E547" s="211" t="str">
        <f>DAY(表格3_5[[#This Row],[Date]])&amp;""</f>
        <v>0</v>
      </c>
      <c r="F547" s="203"/>
      <c r="G547" s="216">
        <f>_xlfn.XLOOKUP(表格3_5[[#This Row],[Name]],Name_list[Full Name],Name_list[Nick Name])</f>
        <v>0</v>
      </c>
      <c r="H547" s="207"/>
      <c r="I547" s="228"/>
      <c r="J547" s="218"/>
      <c r="K547" s="205"/>
      <c r="L547" s="210">
        <f>(表格3_5[[#This Row],[Out-Time]] - 表格3_5[[#This Row],[In-Time]])*24</f>
        <v>0</v>
      </c>
      <c r="M547" s="210">
        <f>表格3_5[[#This Row],[ Hours]]-表格3_5[[#This Row],[Normal working
 hours]]</f>
        <v>0</v>
      </c>
      <c r="N547" s="205"/>
      <c r="O547" s="205"/>
      <c r="P547" s="210">
        <f>(表格3_5[[#This Row],[Out-Time2]] - 表格3_5[[#This Row],[In-Time2]])*24</f>
        <v>0</v>
      </c>
      <c r="Q547" s="205"/>
      <c r="R547" s="214">
        <f>_xlfn.XLOOKUP(表格3_5[[#This Row],[Name]],Name_list[Full Name],Name_list[Hourr Rate])</f>
        <v>0</v>
      </c>
      <c r="S547" s="210">
        <f>表格3_5[[#This Row],[Hours Worked]]*表格3_5[[#This Row],[Hourly Rate]]</f>
        <v>0</v>
      </c>
    </row>
    <row r="548" spans="1:19">
      <c r="A548" s="201">
        <v>546</v>
      </c>
      <c r="B548" s="210" t="str">
        <f>_xlfn.CONCAT(表格3_5[[#This Row],[Name]],表格3_5[[#This Row],[Location]])</f>
        <v/>
      </c>
      <c r="C548" s="211" t="str">
        <f>表格3_5[[#This Row],[Location]] &amp; 表格3_5[[#This Row],[Date]] &amp;表格3_5[[#This Row],[Nick Name]]</f>
        <v>0</v>
      </c>
      <c r="D548" s="202"/>
      <c r="E548" s="211" t="str">
        <f>DAY(表格3_5[[#This Row],[Date]])&amp;""</f>
        <v>0</v>
      </c>
      <c r="F548" s="203"/>
      <c r="G548" s="216">
        <f>_xlfn.XLOOKUP(表格3_5[[#This Row],[Name]],Name_list[Full Name],Name_list[Nick Name])</f>
        <v>0</v>
      </c>
      <c r="H548" s="207"/>
      <c r="I548" s="228"/>
      <c r="J548" s="218"/>
      <c r="K548" s="205"/>
      <c r="L548" s="210">
        <f>(表格3_5[[#This Row],[Out-Time]] - 表格3_5[[#This Row],[In-Time]])*24</f>
        <v>0</v>
      </c>
      <c r="M548" s="210">
        <f>表格3_5[[#This Row],[ Hours]]-表格3_5[[#This Row],[Normal working
 hours]]</f>
        <v>0</v>
      </c>
      <c r="N548" s="205"/>
      <c r="O548" s="205"/>
      <c r="P548" s="210">
        <f>(表格3_5[[#This Row],[Out-Time2]] - 表格3_5[[#This Row],[In-Time2]])*24</f>
        <v>0</v>
      </c>
      <c r="Q548" s="205"/>
      <c r="R548" s="214">
        <f>_xlfn.XLOOKUP(表格3_5[[#This Row],[Name]],Name_list[Full Name],Name_list[Hourr Rate])</f>
        <v>0</v>
      </c>
      <c r="S548" s="210">
        <f>表格3_5[[#This Row],[Hours Worked]]*表格3_5[[#This Row],[Hourly Rate]]</f>
        <v>0</v>
      </c>
    </row>
    <row r="549" spans="1:19">
      <c r="A549" s="201">
        <v>547</v>
      </c>
      <c r="B549" s="210" t="str">
        <f>_xlfn.CONCAT(表格3_5[[#This Row],[Name]],表格3_5[[#This Row],[Location]])</f>
        <v/>
      </c>
      <c r="C549" s="211" t="str">
        <f>表格3_5[[#This Row],[Location]] &amp; 表格3_5[[#This Row],[Date]] &amp;表格3_5[[#This Row],[Nick Name]]</f>
        <v>0</v>
      </c>
      <c r="D549" s="202"/>
      <c r="E549" s="211" t="str">
        <f>DAY(表格3_5[[#This Row],[Date]])&amp;""</f>
        <v>0</v>
      </c>
      <c r="F549" s="203"/>
      <c r="G549" s="216">
        <f>_xlfn.XLOOKUP(表格3_5[[#This Row],[Name]],Name_list[Full Name],Name_list[Nick Name])</f>
        <v>0</v>
      </c>
      <c r="H549" s="207"/>
      <c r="I549" s="228"/>
      <c r="J549" s="218"/>
      <c r="K549" s="205"/>
      <c r="L549" s="210">
        <f>(表格3_5[[#This Row],[Out-Time]] - 表格3_5[[#This Row],[In-Time]])*24</f>
        <v>0</v>
      </c>
      <c r="M549" s="210">
        <f>表格3_5[[#This Row],[ Hours]]-表格3_5[[#This Row],[Normal working
 hours]]</f>
        <v>0</v>
      </c>
      <c r="N549" s="205"/>
      <c r="O549" s="205"/>
      <c r="P549" s="210">
        <f>(表格3_5[[#This Row],[Out-Time2]] - 表格3_5[[#This Row],[In-Time2]])*24</f>
        <v>0</v>
      </c>
      <c r="Q549" s="205"/>
      <c r="R549" s="214">
        <f>_xlfn.XLOOKUP(表格3_5[[#This Row],[Name]],Name_list[Full Name],Name_list[Hourr Rate])</f>
        <v>0</v>
      </c>
      <c r="S549" s="210">
        <f>表格3_5[[#This Row],[Hours Worked]]*表格3_5[[#This Row],[Hourly Rate]]</f>
        <v>0</v>
      </c>
    </row>
    <row r="550" spans="1:19">
      <c r="A550" s="201">
        <v>548</v>
      </c>
      <c r="B550" s="210" t="str">
        <f>_xlfn.CONCAT(表格3_5[[#This Row],[Name]],表格3_5[[#This Row],[Location]])</f>
        <v/>
      </c>
      <c r="C550" s="211" t="str">
        <f>表格3_5[[#This Row],[Location]] &amp; 表格3_5[[#This Row],[Date]] &amp;表格3_5[[#This Row],[Nick Name]]</f>
        <v>0</v>
      </c>
      <c r="D550" s="202"/>
      <c r="E550" s="211" t="str">
        <f>DAY(表格3_5[[#This Row],[Date]])&amp;""</f>
        <v>0</v>
      </c>
      <c r="F550" s="203"/>
      <c r="G550" s="216">
        <f>_xlfn.XLOOKUP(表格3_5[[#This Row],[Name]],Name_list[Full Name],Name_list[Nick Name])</f>
        <v>0</v>
      </c>
      <c r="H550" s="207"/>
      <c r="I550" s="228"/>
      <c r="J550" s="218"/>
      <c r="K550" s="205"/>
      <c r="L550" s="210">
        <f>(表格3_5[[#This Row],[Out-Time]] - 表格3_5[[#This Row],[In-Time]])*24</f>
        <v>0</v>
      </c>
      <c r="M550" s="210">
        <f>表格3_5[[#This Row],[ Hours]]-表格3_5[[#This Row],[Normal working
 hours]]</f>
        <v>0</v>
      </c>
      <c r="N550" s="205"/>
      <c r="O550" s="205"/>
      <c r="P550" s="210">
        <f>(表格3_5[[#This Row],[Out-Time2]] - 表格3_5[[#This Row],[In-Time2]])*24</f>
        <v>0</v>
      </c>
      <c r="Q550" s="205"/>
      <c r="R550" s="214">
        <f>_xlfn.XLOOKUP(表格3_5[[#This Row],[Name]],Name_list[Full Name],Name_list[Hourr Rate])</f>
        <v>0</v>
      </c>
      <c r="S550" s="210">
        <f>表格3_5[[#This Row],[Hours Worked]]*表格3_5[[#This Row],[Hourly Rate]]</f>
        <v>0</v>
      </c>
    </row>
    <row r="551" spans="1:19">
      <c r="A551" s="201">
        <v>549</v>
      </c>
      <c r="B551" s="210" t="str">
        <f>_xlfn.CONCAT(表格3_5[[#This Row],[Name]],表格3_5[[#This Row],[Location]])</f>
        <v/>
      </c>
      <c r="C551" s="211" t="str">
        <f>表格3_5[[#This Row],[Location]] &amp; 表格3_5[[#This Row],[Date]] &amp;表格3_5[[#This Row],[Nick Name]]</f>
        <v>0</v>
      </c>
      <c r="D551" s="202"/>
      <c r="E551" s="211" t="str">
        <f>DAY(表格3_5[[#This Row],[Date]])&amp;""</f>
        <v>0</v>
      </c>
      <c r="F551" s="203"/>
      <c r="G551" s="216">
        <f>_xlfn.XLOOKUP(表格3_5[[#This Row],[Name]],Name_list[Full Name],Name_list[Nick Name])</f>
        <v>0</v>
      </c>
      <c r="H551" s="207"/>
      <c r="I551" s="228"/>
      <c r="J551" s="218"/>
      <c r="K551" s="205"/>
      <c r="L551" s="210">
        <f>(表格3_5[[#This Row],[Out-Time]] - 表格3_5[[#This Row],[In-Time]])*24</f>
        <v>0</v>
      </c>
      <c r="M551" s="210">
        <f>表格3_5[[#This Row],[ Hours]]-表格3_5[[#This Row],[Normal working
 hours]]</f>
        <v>0</v>
      </c>
      <c r="N551" s="205"/>
      <c r="O551" s="205"/>
      <c r="P551" s="210">
        <f>(表格3_5[[#This Row],[Out-Time2]] - 表格3_5[[#This Row],[In-Time2]])*24</f>
        <v>0</v>
      </c>
      <c r="Q551" s="205"/>
      <c r="R551" s="214">
        <f>_xlfn.XLOOKUP(表格3_5[[#This Row],[Name]],Name_list[Full Name],Name_list[Hourr Rate])</f>
        <v>0</v>
      </c>
      <c r="S551" s="210">
        <f>表格3_5[[#This Row],[Hours Worked]]*表格3_5[[#This Row],[Hourly Rate]]</f>
        <v>0</v>
      </c>
    </row>
    <row r="552" spans="1:19">
      <c r="A552" s="201">
        <v>550</v>
      </c>
      <c r="B552" s="210" t="str">
        <f>_xlfn.CONCAT(表格3_5[[#This Row],[Name]],表格3_5[[#This Row],[Location]])</f>
        <v/>
      </c>
      <c r="C552" s="211" t="str">
        <f>表格3_5[[#This Row],[Location]] &amp; 表格3_5[[#This Row],[Date]] &amp;表格3_5[[#This Row],[Nick Name]]</f>
        <v>0</v>
      </c>
      <c r="D552" s="202"/>
      <c r="E552" s="211" t="str">
        <f>DAY(表格3_5[[#This Row],[Date]])&amp;""</f>
        <v>0</v>
      </c>
      <c r="F552" s="203"/>
      <c r="G552" s="216">
        <f>_xlfn.XLOOKUP(表格3_5[[#This Row],[Name]],Name_list[Full Name],Name_list[Nick Name])</f>
        <v>0</v>
      </c>
      <c r="H552" s="207"/>
      <c r="I552" s="228"/>
      <c r="J552" s="218"/>
      <c r="K552" s="205"/>
      <c r="L552" s="210">
        <f>(表格3_5[[#This Row],[Out-Time]] - 表格3_5[[#This Row],[In-Time]])*24</f>
        <v>0</v>
      </c>
      <c r="M552" s="210">
        <f>表格3_5[[#This Row],[ Hours]]-表格3_5[[#This Row],[Normal working
 hours]]</f>
        <v>0</v>
      </c>
      <c r="N552" s="205"/>
      <c r="O552" s="205"/>
      <c r="P552" s="210">
        <f>(表格3_5[[#This Row],[Out-Time2]] - 表格3_5[[#This Row],[In-Time2]])*24</f>
        <v>0</v>
      </c>
      <c r="Q552" s="205"/>
      <c r="R552" s="214">
        <f>_xlfn.XLOOKUP(表格3_5[[#This Row],[Name]],Name_list[Full Name],Name_list[Hourr Rate])</f>
        <v>0</v>
      </c>
      <c r="S552" s="210">
        <f>表格3_5[[#This Row],[Hours Worked]]*表格3_5[[#This Row],[Hourly Rate]]</f>
        <v>0</v>
      </c>
    </row>
    <row r="553" spans="1:19">
      <c r="A553" s="201">
        <v>551</v>
      </c>
      <c r="B553" s="210" t="str">
        <f>_xlfn.CONCAT(表格3_5[[#This Row],[Name]],表格3_5[[#This Row],[Location]])</f>
        <v/>
      </c>
      <c r="C553" s="211" t="str">
        <f>表格3_5[[#This Row],[Location]] &amp; 表格3_5[[#This Row],[Date]] &amp;表格3_5[[#This Row],[Nick Name]]</f>
        <v>0</v>
      </c>
      <c r="D553" s="202"/>
      <c r="E553" s="211" t="str">
        <f>DAY(表格3_5[[#This Row],[Date]])&amp;""</f>
        <v>0</v>
      </c>
      <c r="F553" s="203"/>
      <c r="G553" s="216">
        <f>_xlfn.XLOOKUP(表格3_5[[#This Row],[Name]],Name_list[Full Name],Name_list[Nick Name])</f>
        <v>0</v>
      </c>
      <c r="H553" s="207"/>
      <c r="I553" s="228"/>
      <c r="J553" s="218"/>
      <c r="K553" s="205"/>
      <c r="L553" s="210">
        <f>(表格3_5[[#This Row],[Out-Time]] - 表格3_5[[#This Row],[In-Time]])*24</f>
        <v>0</v>
      </c>
      <c r="M553" s="210">
        <f>表格3_5[[#This Row],[ Hours]]-表格3_5[[#This Row],[Normal working
 hours]]</f>
        <v>0</v>
      </c>
      <c r="N553" s="205"/>
      <c r="O553" s="205"/>
      <c r="P553" s="210">
        <f>(表格3_5[[#This Row],[Out-Time2]] - 表格3_5[[#This Row],[In-Time2]])*24</f>
        <v>0</v>
      </c>
      <c r="Q553" s="205"/>
      <c r="R553" s="214">
        <f>_xlfn.XLOOKUP(表格3_5[[#This Row],[Name]],Name_list[Full Name],Name_list[Hourr Rate])</f>
        <v>0</v>
      </c>
      <c r="S553" s="210">
        <f>表格3_5[[#This Row],[Hours Worked]]*表格3_5[[#This Row],[Hourly Rate]]</f>
        <v>0</v>
      </c>
    </row>
    <row r="554" spans="1:19">
      <c r="A554" s="201">
        <v>552</v>
      </c>
      <c r="B554" s="210" t="str">
        <f>_xlfn.CONCAT(表格3_5[[#This Row],[Name]],表格3_5[[#This Row],[Location]])</f>
        <v/>
      </c>
      <c r="C554" s="211" t="str">
        <f>表格3_5[[#This Row],[Location]] &amp; 表格3_5[[#This Row],[Date]] &amp;表格3_5[[#This Row],[Nick Name]]</f>
        <v>0</v>
      </c>
      <c r="D554" s="202"/>
      <c r="E554" s="211" t="str">
        <f>DAY(表格3_5[[#This Row],[Date]])&amp;""</f>
        <v>0</v>
      </c>
      <c r="F554" s="203"/>
      <c r="G554" s="216">
        <f>_xlfn.XLOOKUP(表格3_5[[#This Row],[Name]],Name_list[Full Name],Name_list[Nick Name])</f>
        <v>0</v>
      </c>
      <c r="H554" s="207"/>
      <c r="I554" s="228"/>
      <c r="J554" s="218"/>
      <c r="K554" s="205"/>
      <c r="L554" s="210">
        <f>(表格3_5[[#This Row],[Out-Time]] - 表格3_5[[#This Row],[In-Time]])*24</f>
        <v>0</v>
      </c>
      <c r="M554" s="210">
        <f>表格3_5[[#This Row],[ Hours]]-表格3_5[[#This Row],[Normal working
 hours]]</f>
        <v>0</v>
      </c>
      <c r="N554" s="205"/>
      <c r="O554" s="205"/>
      <c r="P554" s="210">
        <f>(表格3_5[[#This Row],[Out-Time2]] - 表格3_5[[#This Row],[In-Time2]])*24</f>
        <v>0</v>
      </c>
      <c r="Q554" s="205"/>
      <c r="R554" s="214">
        <f>_xlfn.XLOOKUP(表格3_5[[#This Row],[Name]],Name_list[Full Name],Name_list[Hourr Rate])</f>
        <v>0</v>
      </c>
      <c r="S554" s="210">
        <f>表格3_5[[#This Row],[Hours Worked]]*表格3_5[[#This Row],[Hourly Rate]]</f>
        <v>0</v>
      </c>
    </row>
    <row r="555" spans="1:19">
      <c r="A555" s="201">
        <v>553</v>
      </c>
      <c r="B555" s="210" t="str">
        <f>_xlfn.CONCAT(表格3_5[[#This Row],[Name]],表格3_5[[#This Row],[Location]])</f>
        <v/>
      </c>
      <c r="C555" s="211" t="str">
        <f>表格3_5[[#This Row],[Location]] &amp; 表格3_5[[#This Row],[Date]] &amp;表格3_5[[#This Row],[Nick Name]]</f>
        <v>0</v>
      </c>
      <c r="D555" s="202"/>
      <c r="E555" s="211" t="str">
        <f>DAY(表格3_5[[#This Row],[Date]])&amp;""</f>
        <v>0</v>
      </c>
      <c r="F555" s="203"/>
      <c r="G555" s="216">
        <f>_xlfn.XLOOKUP(表格3_5[[#This Row],[Name]],Name_list[Full Name],Name_list[Nick Name])</f>
        <v>0</v>
      </c>
      <c r="H555" s="207"/>
      <c r="I555" s="228"/>
      <c r="J555" s="218"/>
      <c r="K555" s="205"/>
      <c r="L555" s="210">
        <f>(表格3_5[[#This Row],[Out-Time]] - 表格3_5[[#This Row],[In-Time]])*24</f>
        <v>0</v>
      </c>
      <c r="M555" s="210">
        <f>表格3_5[[#This Row],[ Hours]]-表格3_5[[#This Row],[Normal working
 hours]]</f>
        <v>0</v>
      </c>
      <c r="N555" s="205"/>
      <c r="O555" s="205"/>
      <c r="P555" s="210">
        <f>(表格3_5[[#This Row],[Out-Time2]] - 表格3_5[[#This Row],[In-Time2]])*24</f>
        <v>0</v>
      </c>
      <c r="Q555" s="205"/>
      <c r="R555" s="214">
        <f>_xlfn.XLOOKUP(表格3_5[[#This Row],[Name]],Name_list[Full Name],Name_list[Hourr Rate])</f>
        <v>0</v>
      </c>
      <c r="S555" s="210">
        <f>表格3_5[[#This Row],[Hours Worked]]*表格3_5[[#This Row],[Hourly Rate]]</f>
        <v>0</v>
      </c>
    </row>
    <row r="556" spans="1:19">
      <c r="A556" s="201">
        <v>554</v>
      </c>
      <c r="B556" s="210" t="str">
        <f>_xlfn.CONCAT(表格3_5[[#This Row],[Name]],表格3_5[[#This Row],[Location]])</f>
        <v/>
      </c>
      <c r="C556" s="211" t="str">
        <f>表格3_5[[#This Row],[Location]] &amp; 表格3_5[[#This Row],[Date]] &amp;表格3_5[[#This Row],[Nick Name]]</f>
        <v>0</v>
      </c>
      <c r="D556" s="202"/>
      <c r="E556" s="211" t="str">
        <f>DAY(表格3_5[[#This Row],[Date]])&amp;""</f>
        <v>0</v>
      </c>
      <c r="F556" s="203"/>
      <c r="G556" s="216">
        <f>_xlfn.XLOOKUP(表格3_5[[#This Row],[Name]],Name_list[Full Name],Name_list[Nick Name])</f>
        <v>0</v>
      </c>
      <c r="H556" s="207"/>
      <c r="I556" s="228"/>
      <c r="J556" s="218"/>
      <c r="K556" s="205"/>
      <c r="L556" s="210">
        <f>(表格3_5[[#This Row],[Out-Time]] - 表格3_5[[#This Row],[In-Time]])*24</f>
        <v>0</v>
      </c>
      <c r="M556" s="210">
        <f>表格3_5[[#This Row],[ Hours]]-表格3_5[[#This Row],[Normal working
 hours]]</f>
        <v>0</v>
      </c>
      <c r="N556" s="205"/>
      <c r="O556" s="205"/>
      <c r="P556" s="210">
        <f>(表格3_5[[#This Row],[Out-Time2]] - 表格3_5[[#This Row],[In-Time2]])*24</f>
        <v>0</v>
      </c>
      <c r="Q556" s="205"/>
      <c r="R556" s="214">
        <f>_xlfn.XLOOKUP(表格3_5[[#This Row],[Name]],Name_list[Full Name],Name_list[Hourr Rate])</f>
        <v>0</v>
      </c>
      <c r="S556" s="210">
        <f>表格3_5[[#This Row],[Hours Worked]]*表格3_5[[#This Row],[Hourly Rate]]</f>
        <v>0</v>
      </c>
    </row>
    <row r="557" spans="1:19">
      <c r="A557" s="201">
        <v>555</v>
      </c>
      <c r="B557" s="210" t="str">
        <f>_xlfn.CONCAT(表格3_5[[#This Row],[Name]],表格3_5[[#This Row],[Location]])</f>
        <v/>
      </c>
      <c r="C557" s="211" t="str">
        <f>表格3_5[[#This Row],[Location]] &amp; 表格3_5[[#This Row],[Date]] &amp;表格3_5[[#This Row],[Nick Name]]</f>
        <v>0</v>
      </c>
      <c r="D557" s="202"/>
      <c r="E557" s="211" t="str">
        <f>DAY(表格3_5[[#This Row],[Date]])&amp;""</f>
        <v>0</v>
      </c>
      <c r="F557" s="203"/>
      <c r="G557" s="216">
        <f>_xlfn.XLOOKUP(表格3_5[[#This Row],[Name]],Name_list[Full Name],Name_list[Nick Name])</f>
        <v>0</v>
      </c>
      <c r="H557" s="207"/>
      <c r="I557" s="228"/>
      <c r="J557" s="218"/>
      <c r="K557" s="205"/>
      <c r="L557" s="210">
        <f>(表格3_5[[#This Row],[Out-Time]] - 表格3_5[[#This Row],[In-Time]])*24</f>
        <v>0</v>
      </c>
      <c r="M557" s="210">
        <f>表格3_5[[#This Row],[ Hours]]-表格3_5[[#This Row],[Normal working
 hours]]</f>
        <v>0</v>
      </c>
      <c r="N557" s="205"/>
      <c r="O557" s="205"/>
      <c r="P557" s="210">
        <f>(表格3_5[[#This Row],[Out-Time2]] - 表格3_5[[#This Row],[In-Time2]])*24</f>
        <v>0</v>
      </c>
      <c r="Q557" s="205"/>
      <c r="R557" s="214">
        <f>_xlfn.XLOOKUP(表格3_5[[#This Row],[Name]],Name_list[Full Name],Name_list[Hourr Rate])</f>
        <v>0</v>
      </c>
      <c r="S557" s="210">
        <f>表格3_5[[#This Row],[Hours Worked]]*表格3_5[[#This Row],[Hourly Rate]]</f>
        <v>0</v>
      </c>
    </row>
    <row r="558" spans="1:19">
      <c r="A558" s="201">
        <v>556</v>
      </c>
      <c r="B558" s="210" t="str">
        <f>_xlfn.CONCAT(表格3_5[[#This Row],[Name]],表格3_5[[#This Row],[Location]])</f>
        <v/>
      </c>
      <c r="C558" s="211" t="str">
        <f>表格3_5[[#This Row],[Location]] &amp; 表格3_5[[#This Row],[Date]] &amp;表格3_5[[#This Row],[Nick Name]]</f>
        <v>0</v>
      </c>
      <c r="D558" s="202"/>
      <c r="E558" s="211" t="str">
        <f>DAY(表格3_5[[#This Row],[Date]])&amp;""</f>
        <v>0</v>
      </c>
      <c r="F558" s="203"/>
      <c r="G558" s="216">
        <f>_xlfn.XLOOKUP(表格3_5[[#This Row],[Name]],Name_list[Full Name],Name_list[Nick Name])</f>
        <v>0</v>
      </c>
      <c r="H558" s="207"/>
      <c r="I558" s="228"/>
      <c r="J558" s="218"/>
      <c r="K558" s="205"/>
      <c r="L558" s="210">
        <f>(表格3_5[[#This Row],[Out-Time]] - 表格3_5[[#This Row],[In-Time]])*24</f>
        <v>0</v>
      </c>
      <c r="M558" s="210">
        <f>表格3_5[[#This Row],[ Hours]]-表格3_5[[#This Row],[Normal working
 hours]]</f>
        <v>0</v>
      </c>
      <c r="N558" s="205"/>
      <c r="O558" s="205"/>
      <c r="P558" s="210">
        <f>(表格3_5[[#This Row],[Out-Time2]] - 表格3_5[[#This Row],[In-Time2]])*24</f>
        <v>0</v>
      </c>
      <c r="Q558" s="205"/>
      <c r="R558" s="214">
        <f>_xlfn.XLOOKUP(表格3_5[[#This Row],[Name]],Name_list[Full Name],Name_list[Hourr Rate])</f>
        <v>0</v>
      </c>
      <c r="S558" s="210">
        <f>表格3_5[[#This Row],[Hours Worked]]*表格3_5[[#This Row],[Hourly Rate]]</f>
        <v>0</v>
      </c>
    </row>
    <row r="559" spans="1:19">
      <c r="A559" s="201">
        <v>557</v>
      </c>
      <c r="B559" s="210" t="str">
        <f>_xlfn.CONCAT(表格3_5[[#This Row],[Name]],表格3_5[[#This Row],[Location]])</f>
        <v/>
      </c>
      <c r="C559" s="211" t="str">
        <f>表格3_5[[#This Row],[Location]] &amp; 表格3_5[[#This Row],[Date]] &amp;表格3_5[[#This Row],[Nick Name]]</f>
        <v>0</v>
      </c>
      <c r="D559" s="202"/>
      <c r="E559" s="211" t="str">
        <f>DAY(表格3_5[[#This Row],[Date]])&amp;""</f>
        <v>0</v>
      </c>
      <c r="F559" s="203"/>
      <c r="G559" s="216">
        <f>_xlfn.XLOOKUP(表格3_5[[#This Row],[Name]],Name_list[Full Name],Name_list[Nick Name])</f>
        <v>0</v>
      </c>
      <c r="H559" s="207"/>
      <c r="I559" s="228"/>
      <c r="J559" s="218"/>
      <c r="K559" s="205"/>
      <c r="L559" s="210">
        <f>(表格3_5[[#This Row],[Out-Time]] - 表格3_5[[#This Row],[In-Time]])*24</f>
        <v>0</v>
      </c>
      <c r="M559" s="210">
        <f>表格3_5[[#This Row],[ Hours]]-表格3_5[[#This Row],[Normal working
 hours]]</f>
        <v>0</v>
      </c>
      <c r="N559" s="205"/>
      <c r="O559" s="205"/>
      <c r="P559" s="210">
        <f>(表格3_5[[#This Row],[Out-Time2]] - 表格3_5[[#This Row],[In-Time2]])*24</f>
        <v>0</v>
      </c>
      <c r="Q559" s="205"/>
      <c r="R559" s="214">
        <f>_xlfn.XLOOKUP(表格3_5[[#This Row],[Name]],Name_list[Full Name],Name_list[Hourr Rate])</f>
        <v>0</v>
      </c>
      <c r="S559" s="210">
        <f>表格3_5[[#This Row],[Hours Worked]]*表格3_5[[#This Row],[Hourly Rate]]</f>
        <v>0</v>
      </c>
    </row>
    <row r="560" spans="1:19">
      <c r="A560" s="201">
        <v>558</v>
      </c>
      <c r="B560" s="210" t="str">
        <f>_xlfn.CONCAT(表格3_5[[#This Row],[Name]],表格3_5[[#This Row],[Location]])</f>
        <v/>
      </c>
      <c r="C560" s="211" t="str">
        <f>表格3_5[[#This Row],[Location]] &amp; 表格3_5[[#This Row],[Date]] &amp;表格3_5[[#This Row],[Nick Name]]</f>
        <v>0</v>
      </c>
      <c r="D560" s="202"/>
      <c r="E560" s="211" t="str">
        <f>DAY(表格3_5[[#This Row],[Date]])&amp;""</f>
        <v>0</v>
      </c>
      <c r="F560" s="203"/>
      <c r="G560" s="216">
        <f>_xlfn.XLOOKUP(表格3_5[[#This Row],[Name]],Name_list[Full Name],Name_list[Nick Name])</f>
        <v>0</v>
      </c>
      <c r="H560" s="207"/>
      <c r="I560" s="228"/>
      <c r="J560" s="218"/>
      <c r="K560" s="205"/>
      <c r="L560" s="210">
        <f>(表格3_5[[#This Row],[Out-Time]] - 表格3_5[[#This Row],[In-Time]])*24</f>
        <v>0</v>
      </c>
      <c r="M560" s="210">
        <f>表格3_5[[#This Row],[ Hours]]-表格3_5[[#This Row],[Normal working
 hours]]</f>
        <v>0</v>
      </c>
      <c r="N560" s="205"/>
      <c r="O560" s="205"/>
      <c r="P560" s="210">
        <f>(表格3_5[[#This Row],[Out-Time2]] - 表格3_5[[#This Row],[In-Time2]])*24</f>
        <v>0</v>
      </c>
      <c r="Q560" s="205"/>
      <c r="R560" s="214">
        <f>_xlfn.XLOOKUP(表格3_5[[#This Row],[Name]],Name_list[Full Name],Name_list[Hourr Rate])</f>
        <v>0</v>
      </c>
      <c r="S560" s="210">
        <f>表格3_5[[#This Row],[Hours Worked]]*表格3_5[[#This Row],[Hourly Rate]]</f>
        <v>0</v>
      </c>
    </row>
    <row r="561" spans="1:19">
      <c r="A561" s="201">
        <v>559</v>
      </c>
      <c r="B561" s="210" t="str">
        <f>_xlfn.CONCAT(表格3_5[[#This Row],[Name]],表格3_5[[#This Row],[Location]])</f>
        <v/>
      </c>
      <c r="C561" s="211" t="str">
        <f>表格3_5[[#This Row],[Location]] &amp; 表格3_5[[#This Row],[Date]] &amp;表格3_5[[#This Row],[Nick Name]]</f>
        <v>0</v>
      </c>
      <c r="D561" s="202"/>
      <c r="E561" s="211" t="str">
        <f>DAY(表格3_5[[#This Row],[Date]])&amp;""</f>
        <v>0</v>
      </c>
      <c r="F561" s="203"/>
      <c r="G561" s="216">
        <f>_xlfn.XLOOKUP(表格3_5[[#This Row],[Name]],Name_list[Full Name],Name_list[Nick Name])</f>
        <v>0</v>
      </c>
      <c r="H561" s="207"/>
      <c r="I561" s="228"/>
      <c r="J561" s="218"/>
      <c r="K561" s="205"/>
      <c r="L561" s="210">
        <f>(表格3_5[[#This Row],[Out-Time]] - 表格3_5[[#This Row],[In-Time]])*24</f>
        <v>0</v>
      </c>
      <c r="M561" s="210">
        <f>表格3_5[[#This Row],[ Hours]]-表格3_5[[#This Row],[Normal working
 hours]]</f>
        <v>0</v>
      </c>
      <c r="N561" s="205"/>
      <c r="O561" s="205"/>
      <c r="P561" s="210">
        <f>(表格3_5[[#This Row],[Out-Time2]] - 表格3_5[[#This Row],[In-Time2]])*24</f>
        <v>0</v>
      </c>
      <c r="Q561" s="205"/>
      <c r="R561" s="214">
        <f>_xlfn.XLOOKUP(表格3_5[[#This Row],[Name]],Name_list[Full Name],Name_list[Hourr Rate])</f>
        <v>0</v>
      </c>
      <c r="S561" s="210">
        <f>表格3_5[[#This Row],[Hours Worked]]*表格3_5[[#This Row],[Hourly Rate]]</f>
        <v>0</v>
      </c>
    </row>
    <row r="562" spans="1:19">
      <c r="A562" s="201">
        <v>560</v>
      </c>
      <c r="B562" s="210" t="str">
        <f>_xlfn.CONCAT(表格3_5[[#This Row],[Name]],表格3_5[[#This Row],[Location]])</f>
        <v/>
      </c>
      <c r="C562" s="211" t="str">
        <f>表格3_5[[#This Row],[Location]] &amp; 表格3_5[[#This Row],[Date]] &amp;表格3_5[[#This Row],[Nick Name]]</f>
        <v>0</v>
      </c>
      <c r="D562" s="202"/>
      <c r="E562" s="211" t="str">
        <f>DAY(表格3_5[[#This Row],[Date]])&amp;""</f>
        <v>0</v>
      </c>
      <c r="F562" s="203"/>
      <c r="G562" s="216">
        <f>_xlfn.XLOOKUP(表格3_5[[#This Row],[Name]],Name_list[Full Name],Name_list[Nick Name])</f>
        <v>0</v>
      </c>
      <c r="H562" s="207"/>
      <c r="I562" s="228"/>
      <c r="J562" s="218"/>
      <c r="K562" s="205"/>
      <c r="L562" s="210">
        <f>(表格3_5[[#This Row],[Out-Time]] - 表格3_5[[#This Row],[In-Time]])*24</f>
        <v>0</v>
      </c>
      <c r="M562" s="210">
        <f>表格3_5[[#This Row],[ Hours]]-表格3_5[[#This Row],[Normal working
 hours]]</f>
        <v>0</v>
      </c>
      <c r="N562" s="205"/>
      <c r="O562" s="205"/>
      <c r="P562" s="210">
        <f>(表格3_5[[#This Row],[Out-Time2]] - 表格3_5[[#This Row],[In-Time2]])*24</f>
        <v>0</v>
      </c>
      <c r="Q562" s="205"/>
      <c r="R562" s="214">
        <f>_xlfn.XLOOKUP(表格3_5[[#This Row],[Name]],Name_list[Full Name],Name_list[Hourr Rate])</f>
        <v>0</v>
      </c>
      <c r="S562" s="210">
        <f>表格3_5[[#This Row],[Hours Worked]]*表格3_5[[#This Row],[Hourly Rate]]</f>
        <v>0</v>
      </c>
    </row>
    <row r="563" spans="1:19">
      <c r="A563" s="201">
        <v>561</v>
      </c>
      <c r="B563" s="210" t="str">
        <f>_xlfn.CONCAT(表格3_5[[#This Row],[Name]],表格3_5[[#This Row],[Location]])</f>
        <v/>
      </c>
      <c r="C563" s="211" t="str">
        <f>表格3_5[[#This Row],[Location]] &amp; 表格3_5[[#This Row],[Date]] &amp;表格3_5[[#This Row],[Nick Name]]</f>
        <v>0</v>
      </c>
      <c r="D563" s="202"/>
      <c r="E563" s="211" t="str">
        <f>DAY(表格3_5[[#This Row],[Date]])&amp;""</f>
        <v>0</v>
      </c>
      <c r="F563" s="203"/>
      <c r="G563" s="216">
        <f>_xlfn.XLOOKUP(表格3_5[[#This Row],[Name]],Name_list[Full Name],Name_list[Nick Name])</f>
        <v>0</v>
      </c>
      <c r="H563" s="207"/>
      <c r="I563" s="228"/>
      <c r="J563" s="218"/>
      <c r="K563" s="205"/>
      <c r="L563" s="210">
        <f>(表格3_5[[#This Row],[Out-Time]] - 表格3_5[[#This Row],[In-Time]])*24</f>
        <v>0</v>
      </c>
      <c r="M563" s="210">
        <f>表格3_5[[#This Row],[ Hours]]-表格3_5[[#This Row],[Normal working
 hours]]</f>
        <v>0</v>
      </c>
      <c r="N563" s="205"/>
      <c r="O563" s="205"/>
      <c r="P563" s="210">
        <f>(表格3_5[[#This Row],[Out-Time2]] - 表格3_5[[#This Row],[In-Time2]])*24</f>
        <v>0</v>
      </c>
      <c r="Q563" s="205"/>
      <c r="R563" s="214">
        <f>_xlfn.XLOOKUP(表格3_5[[#This Row],[Name]],Name_list[Full Name],Name_list[Hourr Rate])</f>
        <v>0</v>
      </c>
      <c r="S563" s="210">
        <f>表格3_5[[#This Row],[Hours Worked]]*表格3_5[[#This Row],[Hourly Rate]]</f>
        <v>0</v>
      </c>
    </row>
    <row r="564" spans="1:19">
      <c r="A564" s="201">
        <v>562</v>
      </c>
      <c r="B564" s="210" t="str">
        <f>_xlfn.CONCAT(表格3_5[[#This Row],[Name]],表格3_5[[#This Row],[Location]])</f>
        <v/>
      </c>
      <c r="C564" s="211" t="str">
        <f>表格3_5[[#This Row],[Location]] &amp; 表格3_5[[#This Row],[Date]] &amp;表格3_5[[#This Row],[Nick Name]]</f>
        <v>0</v>
      </c>
      <c r="D564" s="202"/>
      <c r="E564" s="211" t="str">
        <f>DAY(表格3_5[[#This Row],[Date]])&amp;""</f>
        <v>0</v>
      </c>
      <c r="F564" s="203"/>
      <c r="G564" s="216">
        <f>_xlfn.XLOOKUP(表格3_5[[#This Row],[Name]],Name_list[Full Name],Name_list[Nick Name])</f>
        <v>0</v>
      </c>
      <c r="H564" s="207"/>
      <c r="I564" s="228"/>
      <c r="J564" s="218"/>
      <c r="K564" s="205"/>
      <c r="L564" s="210">
        <f>(表格3_5[[#This Row],[Out-Time]] - 表格3_5[[#This Row],[In-Time]])*24</f>
        <v>0</v>
      </c>
      <c r="M564" s="210">
        <f>表格3_5[[#This Row],[ Hours]]-表格3_5[[#This Row],[Normal working
 hours]]</f>
        <v>0</v>
      </c>
      <c r="N564" s="205"/>
      <c r="O564" s="205"/>
      <c r="P564" s="210">
        <f>(表格3_5[[#This Row],[Out-Time2]] - 表格3_5[[#This Row],[In-Time2]])*24</f>
        <v>0</v>
      </c>
      <c r="Q564" s="205"/>
      <c r="R564" s="214">
        <f>_xlfn.XLOOKUP(表格3_5[[#This Row],[Name]],Name_list[Full Name],Name_list[Hourr Rate])</f>
        <v>0</v>
      </c>
      <c r="S564" s="210">
        <f>表格3_5[[#This Row],[Hours Worked]]*表格3_5[[#This Row],[Hourly Rate]]</f>
        <v>0</v>
      </c>
    </row>
    <row r="565" spans="1:19">
      <c r="A565" s="201">
        <v>563</v>
      </c>
      <c r="B565" s="210" t="str">
        <f>_xlfn.CONCAT(表格3_5[[#This Row],[Name]],表格3_5[[#This Row],[Location]])</f>
        <v/>
      </c>
      <c r="C565" s="211" t="str">
        <f>表格3_5[[#This Row],[Location]] &amp; 表格3_5[[#This Row],[Date]] &amp;表格3_5[[#This Row],[Nick Name]]</f>
        <v>0</v>
      </c>
      <c r="D565" s="202"/>
      <c r="E565" s="211" t="str">
        <f>DAY(表格3_5[[#This Row],[Date]])&amp;""</f>
        <v>0</v>
      </c>
      <c r="F565" s="203"/>
      <c r="G565" s="216">
        <f>_xlfn.XLOOKUP(表格3_5[[#This Row],[Name]],Name_list[Full Name],Name_list[Nick Name])</f>
        <v>0</v>
      </c>
      <c r="H565" s="207"/>
      <c r="I565" s="228"/>
      <c r="J565" s="218"/>
      <c r="K565" s="205"/>
      <c r="L565" s="210">
        <f>(表格3_5[[#This Row],[Out-Time]] - 表格3_5[[#This Row],[In-Time]])*24</f>
        <v>0</v>
      </c>
      <c r="M565" s="210">
        <f>表格3_5[[#This Row],[ Hours]]-表格3_5[[#This Row],[Normal working
 hours]]</f>
        <v>0</v>
      </c>
      <c r="N565" s="205"/>
      <c r="O565" s="205"/>
      <c r="P565" s="210">
        <f>(表格3_5[[#This Row],[Out-Time2]] - 表格3_5[[#This Row],[In-Time2]])*24</f>
        <v>0</v>
      </c>
      <c r="Q565" s="205"/>
      <c r="R565" s="214">
        <f>_xlfn.XLOOKUP(表格3_5[[#This Row],[Name]],Name_list[Full Name],Name_list[Hourr Rate])</f>
        <v>0</v>
      </c>
      <c r="S565" s="210">
        <f>表格3_5[[#This Row],[Hours Worked]]*表格3_5[[#This Row],[Hourly Rate]]</f>
        <v>0</v>
      </c>
    </row>
    <row r="566" spans="1:19">
      <c r="A566" s="201">
        <v>564</v>
      </c>
      <c r="B566" s="210" t="str">
        <f>_xlfn.CONCAT(表格3_5[[#This Row],[Name]],表格3_5[[#This Row],[Location]])</f>
        <v/>
      </c>
      <c r="C566" s="211" t="str">
        <f>表格3_5[[#This Row],[Location]] &amp; 表格3_5[[#This Row],[Date]] &amp;表格3_5[[#This Row],[Nick Name]]</f>
        <v>0</v>
      </c>
      <c r="D566" s="202"/>
      <c r="E566" s="211" t="str">
        <f>DAY(表格3_5[[#This Row],[Date]])&amp;""</f>
        <v>0</v>
      </c>
      <c r="F566" s="203"/>
      <c r="G566" s="216">
        <f>_xlfn.XLOOKUP(表格3_5[[#This Row],[Name]],Name_list[Full Name],Name_list[Nick Name])</f>
        <v>0</v>
      </c>
      <c r="H566" s="207"/>
      <c r="I566" s="228"/>
      <c r="J566" s="218"/>
      <c r="K566" s="205"/>
      <c r="L566" s="210">
        <f>(表格3_5[[#This Row],[Out-Time]] - 表格3_5[[#This Row],[In-Time]])*24</f>
        <v>0</v>
      </c>
      <c r="M566" s="210">
        <f>表格3_5[[#This Row],[ Hours]]-表格3_5[[#This Row],[Normal working
 hours]]</f>
        <v>0</v>
      </c>
      <c r="N566" s="205"/>
      <c r="O566" s="205"/>
      <c r="P566" s="210">
        <f>(表格3_5[[#This Row],[Out-Time2]] - 表格3_5[[#This Row],[In-Time2]])*24</f>
        <v>0</v>
      </c>
      <c r="Q566" s="205"/>
      <c r="R566" s="214">
        <f>_xlfn.XLOOKUP(表格3_5[[#This Row],[Name]],Name_list[Full Name],Name_list[Hourr Rate])</f>
        <v>0</v>
      </c>
      <c r="S566" s="210">
        <f>表格3_5[[#This Row],[Hours Worked]]*表格3_5[[#This Row],[Hourly Rate]]</f>
        <v>0</v>
      </c>
    </row>
    <row r="567" spans="1:19">
      <c r="A567" s="201">
        <v>565</v>
      </c>
      <c r="B567" s="210" t="str">
        <f>_xlfn.CONCAT(表格3_5[[#This Row],[Name]],表格3_5[[#This Row],[Location]])</f>
        <v/>
      </c>
      <c r="C567" s="211" t="str">
        <f>表格3_5[[#This Row],[Location]] &amp; 表格3_5[[#This Row],[Date]] &amp;表格3_5[[#This Row],[Nick Name]]</f>
        <v>0</v>
      </c>
      <c r="D567" s="202"/>
      <c r="E567" s="211" t="str">
        <f>DAY(表格3_5[[#This Row],[Date]])&amp;""</f>
        <v>0</v>
      </c>
      <c r="F567" s="203"/>
      <c r="G567" s="216">
        <f>_xlfn.XLOOKUP(表格3_5[[#This Row],[Name]],Name_list[Full Name],Name_list[Nick Name])</f>
        <v>0</v>
      </c>
      <c r="H567" s="207"/>
      <c r="I567" s="228"/>
      <c r="J567" s="218"/>
      <c r="K567" s="205"/>
      <c r="L567" s="210">
        <f>(表格3_5[[#This Row],[Out-Time]] - 表格3_5[[#This Row],[In-Time]])*24</f>
        <v>0</v>
      </c>
      <c r="M567" s="210">
        <f>表格3_5[[#This Row],[ Hours]]-表格3_5[[#This Row],[Normal working
 hours]]</f>
        <v>0</v>
      </c>
      <c r="N567" s="205"/>
      <c r="O567" s="205"/>
      <c r="P567" s="210">
        <f>(表格3_5[[#This Row],[Out-Time2]] - 表格3_5[[#This Row],[In-Time2]])*24</f>
        <v>0</v>
      </c>
      <c r="Q567" s="205"/>
      <c r="R567" s="214">
        <f>_xlfn.XLOOKUP(表格3_5[[#This Row],[Name]],Name_list[Full Name],Name_list[Hourr Rate])</f>
        <v>0</v>
      </c>
      <c r="S567" s="210">
        <f>表格3_5[[#This Row],[Hours Worked]]*表格3_5[[#This Row],[Hourly Rate]]</f>
        <v>0</v>
      </c>
    </row>
    <row r="568" spans="1:19">
      <c r="A568" s="201">
        <v>566</v>
      </c>
      <c r="B568" s="210" t="str">
        <f>_xlfn.CONCAT(表格3_5[[#This Row],[Name]],表格3_5[[#This Row],[Location]])</f>
        <v/>
      </c>
      <c r="C568" s="211" t="str">
        <f>表格3_5[[#This Row],[Location]] &amp; 表格3_5[[#This Row],[Date]] &amp;表格3_5[[#This Row],[Nick Name]]</f>
        <v>0</v>
      </c>
      <c r="D568" s="202"/>
      <c r="E568" s="211" t="str">
        <f>DAY(表格3_5[[#This Row],[Date]])&amp;""</f>
        <v>0</v>
      </c>
      <c r="F568" s="203"/>
      <c r="G568" s="216">
        <f>_xlfn.XLOOKUP(表格3_5[[#This Row],[Name]],Name_list[Full Name],Name_list[Nick Name])</f>
        <v>0</v>
      </c>
      <c r="H568" s="207"/>
      <c r="I568" s="228"/>
      <c r="J568" s="218"/>
      <c r="K568" s="205"/>
      <c r="L568" s="210">
        <f>(表格3_5[[#This Row],[Out-Time]] - 表格3_5[[#This Row],[In-Time]])*24</f>
        <v>0</v>
      </c>
      <c r="M568" s="210">
        <f>表格3_5[[#This Row],[ Hours]]-表格3_5[[#This Row],[Normal working
 hours]]</f>
        <v>0</v>
      </c>
      <c r="N568" s="205"/>
      <c r="O568" s="205"/>
      <c r="P568" s="210">
        <f>(表格3_5[[#This Row],[Out-Time2]] - 表格3_5[[#This Row],[In-Time2]])*24</f>
        <v>0</v>
      </c>
      <c r="Q568" s="205"/>
      <c r="R568" s="214">
        <f>_xlfn.XLOOKUP(表格3_5[[#This Row],[Name]],Name_list[Full Name],Name_list[Hourr Rate])</f>
        <v>0</v>
      </c>
      <c r="S568" s="210">
        <f>表格3_5[[#This Row],[Hours Worked]]*表格3_5[[#This Row],[Hourly Rate]]</f>
        <v>0</v>
      </c>
    </row>
    <row r="569" spans="1:19">
      <c r="A569" s="201">
        <v>567</v>
      </c>
      <c r="B569" s="210" t="str">
        <f>_xlfn.CONCAT(表格3_5[[#This Row],[Name]],表格3_5[[#This Row],[Location]])</f>
        <v/>
      </c>
      <c r="C569" s="211" t="str">
        <f>表格3_5[[#This Row],[Location]] &amp; 表格3_5[[#This Row],[Date]] &amp;表格3_5[[#This Row],[Nick Name]]</f>
        <v>0</v>
      </c>
      <c r="D569" s="202"/>
      <c r="E569" s="211" t="str">
        <f>DAY(表格3_5[[#This Row],[Date]])&amp;""</f>
        <v>0</v>
      </c>
      <c r="F569" s="203"/>
      <c r="G569" s="216">
        <f>_xlfn.XLOOKUP(表格3_5[[#This Row],[Name]],Name_list[Full Name],Name_list[Nick Name])</f>
        <v>0</v>
      </c>
      <c r="H569" s="207"/>
      <c r="I569" s="228"/>
      <c r="J569" s="218"/>
      <c r="K569" s="205"/>
      <c r="L569" s="210">
        <f>(表格3_5[[#This Row],[Out-Time]] - 表格3_5[[#This Row],[In-Time]])*24</f>
        <v>0</v>
      </c>
      <c r="M569" s="210">
        <f>表格3_5[[#This Row],[ Hours]]-表格3_5[[#This Row],[Normal working
 hours]]</f>
        <v>0</v>
      </c>
      <c r="N569" s="205"/>
      <c r="O569" s="205"/>
      <c r="P569" s="210">
        <f>(表格3_5[[#This Row],[Out-Time2]] - 表格3_5[[#This Row],[In-Time2]])*24</f>
        <v>0</v>
      </c>
      <c r="Q569" s="205"/>
      <c r="R569" s="214">
        <f>_xlfn.XLOOKUP(表格3_5[[#This Row],[Name]],Name_list[Full Name],Name_list[Hourr Rate])</f>
        <v>0</v>
      </c>
      <c r="S569" s="210">
        <f>表格3_5[[#This Row],[Hours Worked]]*表格3_5[[#This Row],[Hourly Rate]]</f>
        <v>0</v>
      </c>
    </row>
    <row r="570" spans="1:19">
      <c r="A570" s="201">
        <v>568</v>
      </c>
      <c r="B570" s="210" t="str">
        <f>_xlfn.CONCAT(表格3_5[[#This Row],[Name]],表格3_5[[#This Row],[Location]])</f>
        <v/>
      </c>
      <c r="C570" s="211" t="str">
        <f>表格3_5[[#This Row],[Location]] &amp; 表格3_5[[#This Row],[Date]] &amp;表格3_5[[#This Row],[Nick Name]]</f>
        <v>0</v>
      </c>
      <c r="D570" s="202"/>
      <c r="E570" s="211" t="str">
        <f>DAY(表格3_5[[#This Row],[Date]])&amp;""</f>
        <v>0</v>
      </c>
      <c r="F570" s="203"/>
      <c r="G570" s="216">
        <f>_xlfn.XLOOKUP(表格3_5[[#This Row],[Name]],Name_list[Full Name],Name_list[Nick Name])</f>
        <v>0</v>
      </c>
      <c r="H570" s="207"/>
      <c r="I570" s="228"/>
      <c r="J570" s="218"/>
      <c r="K570" s="205"/>
      <c r="L570" s="210">
        <f>(表格3_5[[#This Row],[Out-Time]] - 表格3_5[[#This Row],[In-Time]])*24</f>
        <v>0</v>
      </c>
      <c r="M570" s="210">
        <f>表格3_5[[#This Row],[ Hours]]-表格3_5[[#This Row],[Normal working
 hours]]</f>
        <v>0</v>
      </c>
      <c r="N570" s="205"/>
      <c r="O570" s="205"/>
      <c r="P570" s="210">
        <f>(表格3_5[[#This Row],[Out-Time2]] - 表格3_5[[#This Row],[In-Time2]])*24</f>
        <v>0</v>
      </c>
      <c r="Q570" s="205"/>
      <c r="R570" s="214">
        <f>_xlfn.XLOOKUP(表格3_5[[#This Row],[Name]],Name_list[Full Name],Name_list[Hourr Rate])</f>
        <v>0</v>
      </c>
      <c r="S570" s="210">
        <f>表格3_5[[#This Row],[Hours Worked]]*表格3_5[[#This Row],[Hourly Rate]]</f>
        <v>0</v>
      </c>
    </row>
    <row r="571" spans="1:19">
      <c r="A571" s="201">
        <v>569</v>
      </c>
      <c r="B571" s="210" t="str">
        <f>_xlfn.CONCAT(表格3_5[[#This Row],[Name]],表格3_5[[#This Row],[Location]])</f>
        <v/>
      </c>
      <c r="C571" s="211" t="str">
        <f>表格3_5[[#This Row],[Location]] &amp; 表格3_5[[#This Row],[Date]] &amp;表格3_5[[#This Row],[Nick Name]]</f>
        <v>0</v>
      </c>
      <c r="D571" s="202"/>
      <c r="E571" s="211" t="str">
        <f>DAY(表格3_5[[#This Row],[Date]])&amp;""</f>
        <v>0</v>
      </c>
      <c r="F571" s="203"/>
      <c r="G571" s="216">
        <f>_xlfn.XLOOKUP(表格3_5[[#This Row],[Name]],Name_list[Full Name],Name_list[Nick Name])</f>
        <v>0</v>
      </c>
      <c r="H571" s="207"/>
      <c r="I571" s="228"/>
      <c r="J571" s="218"/>
      <c r="K571" s="205"/>
      <c r="L571" s="210">
        <f>(表格3_5[[#This Row],[Out-Time]] - 表格3_5[[#This Row],[In-Time]])*24</f>
        <v>0</v>
      </c>
      <c r="M571" s="210">
        <f>表格3_5[[#This Row],[ Hours]]-表格3_5[[#This Row],[Normal working
 hours]]</f>
        <v>0</v>
      </c>
      <c r="N571" s="205"/>
      <c r="O571" s="205"/>
      <c r="P571" s="210">
        <f>(表格3_5[[#This Row],[Out-Time2]] - 表格3_5[[#This Row],[In-Time2]])*24</f>
        <v>0</v>
      </c>
      <c r="Q571" s="205"/>
      <c r="R571" s="214">
        <f>_xlfn.XLOOKUP(表格3_5[[#This Row],[Name]],Name_list[Full Name],Name_list[Hourr Rate])</f>
        <v>0</v>
      </c>
      <c r="S571" s="210">
        <f>表格3_5[[#This Row],[Hours Worked]]*表格3_5[[#This Row],[Hourly Rate]]</f>
        <v>0</v>
      </c>
    </row>
    <row r="572" spans="1:19">
      <c r="A572" s="201">
        <v>570</v>
      </c>
      <c r="B572" s="210" t="str">
        <f>_xlfn.CONCAT(表格3_5[[#This Row],[Name]],表格3_5[[#This Row],[Location]])</f>
        <v/>
      </c>
      <c r="C572" s="211" t="str">
        <f>表格3_5[[#This Row],[Location]] &amp; 表格3_5[[#This Row],[Date]] &amp;表格3_5[[#This Row],[Nick Name]]</f>
        <v>0</v>
      </c>
      <c r="D572" s="202"/>
      <c r="E572" s="211" t="str">
        <f>DAY(表格3_5[[#This Row],[Date]])&amp;""</f>
        <v>0</v>
      </c>
      <c r="F572" s="203"/>
      <c r="G572" s="216">
        <f>_xlfn.XLOOKUP(表格3_5[[#This Row],[Name]],Name_list[Full Name],Name_list[Nick Name])</f>
        <v>0</v>
      </c>
      <c r="H572" s="207"/>
      <c r="I572" s="228"/>
      <c r="J572" s="218"/>
      <c r="K572" s="205"/>
      <c r="L572" s="210">
        <f>(表格3_5[[#This Row],[Out-Time]] - 表格3_5[[#This Row],[In-Time]])*24</f>
        <v>0</v>
      </c>
      <c r="M572" s="210">
        <f>表格3_5[[#This Row],[ Hours]]-表格3_5[[#This Row],[Normal working
 hours]]</f>
        <v>0</v>
      </c>
      <c r="N572" s="205"/>
      <c r="O572" s="205"/>
      <c r="P572" s="210">
        <f>(表格3_5[[#This Row],[Out-Time2]] - 表格3_5[[#This Row],[In-Time2]])*24</f>
        <v>0</v>
      </c>
      <c r="Q572" s="205"/>
      <c r="R572" s="214">
        <f>_xlfn.XLOOKUP(表格3_5[[#This Row],[Name]],Name_list[Full Name],Name_list[Hourr Rate])</f>
        <v>0</v>
      </c>
      <c r="S572" s="210">
        <f>表格3_5[[#This Row],[Hours Worked]]*表格3_5[[#This Row],[Hourly Rate]]</f>
        <v>0</v>
      </c>
    </row>
    <row r="573" spans="1:19">
      <c r="A573" s="201">
        <v>571</v>
      </c>
      <c r="B573" s="210" t="str">
        <f>_xlfn.CONCAT(表格3_5[[#This Row],[Name]],表格3_5[[#This Row],[Location]])</f>
        <v/>
      </c>
      <c r="C573" s="211" t="str">
        <f>表格3_5[[#This Row],[Location]] &amp; 表格3_5[[#This Row],[Date]] &amp;表格3_5[[#This Row],[Nick Name]]</f>
        <v>0</v>
      </c>
      <c r="D573" s="202"/>
      <c r="E573" s="211" t="str">
        <f>DAY(表格3_5[[#This Row],[Date]])&amp;""</f>
        <v>0</v>
      </c>
      <c r="F573" s="203"/>
      <c r="G573" s="216">
        <f>_xlfn.XLOOKUP(表格3_5[[#This Row],[Name]],Name_list[Full Name],Name_list[Nick Name])</f>
        <v>0</v>
      </c>
      <c r="H573" s="207"/>
      <c r="I573" s="228"/>
      <c r="J573" s="218"/>
      <c r="K573" s="205"/>
      <c r="L573" s="210">
        <f>(表格3_5[[#This Row],[Out-Time]] - 表格3_5[[#This Row],[In-Time]])*24</f>
        <v>0</v>
      </c>
      <c r="M573" s="210">
        <f>表格3_5[[#This Row],[ Hours]]-表格3_5[[#This Row],[Normal working
 hours]]</f>
        <v>0</v>
      </c>
      <c r="N573" s="205"/>
      <c r="O573" s="205"/>
      <c r="P573" s="210">
        <f>(表格3_5[[#This Row],[Out-Time2]] - 表格3_5[[#This Row],[In-Time2]])*24</f>
        <v>0</v>
      </c>
      <c r="Q573" s="205"/>
      <c r="R573" s="214">
        <f>_xlfn.XLOOKUP(表格3_5[[#This Row],[Name]],Name_list[Full Name],Name_list[Hourr Rate])</f>
        <v>0</v>
      </c>
      <c r="S573" s="210">
        <f>表格3_5[[#This Row],[Hours Worked]]*表格3_5[[#This Row],[Hourly Rate]]</f>
        <v>0</v>
      </c>
    </row>
    <row r="574" spans="1:19">
      <c r="A574" s="201">
        <v>572</v>
      </c>
      <c r="B574" s="210" t="str">
        <f>_xlfn.CONCAT(表格3_5[[#This Row],[Name]],表格3_5[[#This Row],[Location]])</f>
        <v/>
      </c>
      <c r="C574" s="211" t="str">
        <f>表格3_5[[#This Row],[Location]] &amp; 表格3_5[[#This Row],[Date]] &amp;表格3_5[[#This Row],[Nick Name]]</f>
        <v>0</v>
      </c>
      <c r="D574" s="202"/>
      <c r="E574" s="211" t="str">
        <f>DAY(表格3_5[[#This Row],[Date]])&amp;""</f>
        <v>0</v>
      </c>
      <c r="F574" s="203"/>
      <c r="G574" s="216">
        <f>_xlfn.XLOOKUP(表格3_5[[#This Row],[Name]],Name_list[Full Name],Name_list[Nick Name])</f>
        <v>0</v>
      </c>
      <c r="H574" s="207"/>
      <c r="I574" s="228"/>
      <c r="J574" s="218"/>
      <c r="K574" s="205"/>
      <c r="L574" s="210">
        <f>(表格3_5[[#This Row],[Out-Time]] - 表格3_5[[#This Row],[In-Time]])*24</f>
        <v>0</v>
      </c>
      <c r="M574" s="210">
        <f>表格3_5[[#This Row],[ Hours]]-表格3_5[[#This Row],[Normal working
 hours]]</f>
        <v>0</v>
      </c>
      <c r="N574" s="205"/>
      <c r="O574" s="205"/>
      <c r="P574" s="210">
        <f>(表格3_5[[#This Row],[Out-Time2]] - 表格3_5[[#This Row],[In-Time2]])*24</f>
        <v>0</v>
      </c>
      <c r="Q574" s="205"/>
      <c r="R574" s="214">
        <f>_xlfn.XLOOKUP(表格3_5[[#This Row],[Name]],Name_list[Full Name],Name_list[Hourr Rate])</f>
        <v>0</v>
      </c>
      <c r="S574" s="210">
        <f>表格3_5[[#This Row],[Hours Worked]]*表格3_5[[#This Row],[Hourly Rate]]</f>
        <v>0</v>
      </c>
    </row>
    <row r="575" spans="1:19">
      <c r="A575" s="201">
        <v>573</v>
      </c>
      <c r="B575" s="210" t="str">
        <f>_xlfn.CONCAT(表格3_5[[#This Row],[Name]],表格3_5[[#This Row],[Location]])</f>
        <v/>
      </c>
      <c r="C575" s="211" t="str">
        <f>表格3_5[[#This Row],[Location]] &amp; 表格3_5[[#This Row],[Date]] &amp;表格3_5[[#This Row],[Nick Name]]</f>
        <v>0</v>
      </c>
      <c r="D575" s="202"/>
      <c r="E575" s="211" t="str">
        <f>DAY(表格3_5[[#This Row],[Date]])&amp;""</f>
        <v>0</v>
      </c>
      <c r="F575" s="203"/>
      <c r="G575" s="216">
        <f>_xlfn.XLOOKUP(表格3_5[[#This Row],[Name]],Name_list[Full Name],Name_list[Nick Name])</f>
        <v>0</v>
      </c>
      <c r="H575" s="207"/>
      <c r="I575" s="228"/>
      <c r="J575" s="218"/>
      <c r="K575" s="205"/>
      <c r="L575" s="210">
        <f>(表格3_5[[#This Row],[Out-Time]] - 表格3_5[[#This Row],[In-Time]])*24</f>
        <v>0</v>
      </c>
      <c r="M575" s="210">
        <f>表格3_5[[#This Row],[ Hours]]-表格3_5[[#This Row],[Normal working
 hours]]</f>
        <v>0</v>
      </c>
      <c r="N575" s="205"/>
      <c r="O575" s="205"/>
      <c r="P575" s="210">
        <f>(表格3_5[[#This Row],[Out-Time2]] - 表格3_5[[#This Row],[In-Time2]])*24</f>
        <v>0</v>
      </c>
      <c r="Q575" s="205"/>
      <c r="R575" s="214">
        <f>_xlfn.XLOOKUP(表格3_5[[#This Row],[Name]],Name_list[Full Name],Name_list[Hourr Rate])</f>
        <v>0</v>
      </c>
      <c r="S575" s="210">
        <f>表格3_5[[#This Row],[Hours Worked]]*表格3_5[[#This Row],[Hourly Rate]]</f>
        <v>0</v>
      </c>
    </row>
    <row r="576" spans="1:19">
      <c r="A576" s="201">
        <v>574</v>
      </c>
      <c r="B576" s="210" t="str">
        <f>_xlfn.CONCAT(表格3_5[[#This Row],[Name]],表格3_5[[#This Row],[Location]])</f>
        <v/>
      </c>
      <c r="C576" s="211" t="str">
        <f>表格3_5[[#This Row],[Location]] &amp; 表格3_5[[#This Row],[Date]] &amp;表格3_5[[#This Row],[Nick Name]]</f>
        <v>0</v>
      </c>
      <c r="D576" s="202"/>
      <c r="E576" s="211" t="str">
        <f>DAY(表格3_5[[#This Row],[Date]])&amp;""</f>
        <v>0</v>
      </c>
      <c r="F576" s="203"/>
      <c r="G576" s="216">
        <f>_xlfn.XLOOKUP(表格3_5[[#This Row],[Name]],Name_list[Full Name],Name_list[Nick Name])</f>
        <v>0</v>
      </c>
      <c r="H576" s="207"/>
      <c r="I576" s="228"/>
      <c r="J576" s="218"/>
      <c r="K576" s="205"/>
      <c r="L576" s="210">
        <f>(表格3_5[[#This Row],[Out-Time]] - 表格3_5[[#This Row],[In-Time]])*24</f>
        <v>0</v>
      </c>
      <c r="M576" s="210">
        <f>表格3_5[[#This Row],[ Hours]]-表格3_5[[#This Row],[Normal working
 hours]]</f>
        <v>0</v>
      </c>
      <c r="N576" s="205"/>
      <c r="O576" s="205"/>
      <c r="P576" s="210">
        <f>(表格3_5[[#This Row],[Out-Time2]] - 表格3_5[[#This Row],[In-Time2]])*24</f>
        <v>0</v>
      </c>
      <c r="Q576" s="205"/>
      <c r="R576" s="214">
        <f>_xlfn.XLOOKUP(表格3_5[[#This Row],[Name]],Name_list[Full Name],Name_list[Hourr Rate])</f>
        <v>0</v>
      </c>
      <c r="S576" s="210">
        <f>表格3_5[[#This Row],[Hours Worked]]*表格3_5[[#This Row],[Hourly Rate]]</f>
        <v>0</v>
      </c>
    </row>
    <row r="577" spans="1:19">
      <c r="A577" s="201">
        <v>575</v>
      </c>
      <c r="B577" s="210" t="str">
        <f>_xlfn.CONCAT(表格3_5[[#This Row],[Name]],表格3_5[[#This Row],[Location]])</f>
        <v/>
      </c>
      <c r="C577" s="211" t="str">
        <f>表格3_5[[#This Row],[Location]] &amp; 表格3_5[[#This Row],[Date]] &amp;表格3_5[[#This Row],[Nick Name]]</f>
        <v>0</v>
      </c>
      <c r="D577" s="202"/>
      <c r="E577" s="211" t="str">
        <f>DAY(表格3_5[[#This Row],[Date]])&amp;""</f>
        <v>0</v>
      </c>
      <c r="F577" s="203"/>
      <c r="G577" s="216">
        <f>_xlfn.XLOOKUP(表格3_5[[#This Row],[Name]],Name_list[Full Name],Name_list[Nick Name])</f>
        <v>0</v>
      </c>
      <c r="H577" s="207"/>
      <c r="I577" s="228"/>
      <c r="J577" s="218"/>
      <c r="K577" s="205"/>
      <c r="L577" s="210">
        <f>(表格3_5[[#This Row],[Out-Time]] - 表格3_5[[#This Row],[In-Time]])*24</f>
        <v>0</v>
      </c>
      <c r="M577" s="210">
        <f>表格3_5[[#This Row],[ Hours]]-表格3_5[[#This Row],[Normal working
 hours]]</f>
        <v>0</v>
      </c>
      <c r="N577" s="205"/>
      <c r="O577" s="205"/>
      <c r="P577" s="210">
        <f>(表格3_5[[#This Row],[Out-Time2]] - 表格3_5[[#This Row],[In-Time2]])*24</f>
        <v>0</v>
      </c>
      <c r="Q577" s="205"/>
      <c r="R577" s="214">
        <f>_xlfn.XLOOKUP(表格3_5[[#This Row],[Name]],Name_list[Full Name],Name_list[Hourr Rate])</f>
        <v>0</v>
      </c>
      <c r="S577" s="210">
        <f>表格3_5[[#This Row],[Hours Worked]]*表格3_5[[#This Row],[Hourly Rate]]</f>
        <v>0</v>
      </c>
    </row>
    <row r="578" spans="1:19">
      <c r="A578" s="201">
        <v>576</v>
      </c>
      <c r="B578" s="210" t="str">
        <f>_xlfn.CONCAT(表格3_5[[#This Row],[Name]],表格3_5[[#This Row],[Location]])</f>
        <v/>
      </c>
      <c r="C578" s="211" t="str">
        <f>表格3_5[[#This Row],[Location]] &amp; 表格3_5[[#This Row],[Date]] &amp;表格3_5[[#This Row],[Nick Name]]</f>
        <v>0</v>
      </c>
      <c r="D578" s="202"/>
      <c r="E578" s="211" t="str">
        <f>DAY(表格3_5[[#This Row],[Date]])&amp;""</f>
        <v>0</v>
      </c>
      <c r="F578" s="203"/>
      <c r="G578" s="216">
        <f>_xlfn.XLOOKUP(表格3_5[[#This Row],[Name]],Name_list[Full Name],Name_list[Nick Name])</f>
        <v>0</v>
      </c>
      <c r="H578" s="207"/>
      <c r="I578" s="228"/>
      <c r="J578" s="218"/>
      <c r="K578" s="205"/>
      <c r="L578" s="210">
        <f>(表格3_5[[#This Row],[Out-Time]] - 表格3_5[[#This Row],[In-Time]])*24</f>
        <v>0</v>
      </c>
      <c r="M578" s="210">
        <f>表格3_5[[#This Row],[ Hours]]-表格3_5[[#This Row],[Normal working
 hours]]</f>
        <v>0</v>
      </c>
      <c r="N578" s="205"/>
      <c r="O578" s="205"/>
      <c r="P578" s="210">
        <f>(表格3_5[[#This Row],[Out-Time2]] - 表格3_5[[#This Row],[In-Time2]])*24</f>
        <v>0</v>
      </c>
      <c r="Q578" s="205"/>
      <c r="R578" s="214">
        <f>_xlfn.XLOOKUP(表格3_5[[#This Row],[Name]],Name_list[Full Name],Name_list[Hourr Rate])</f>
        <v>0</v>
      </c>
      <c r="S578" s="210">
        <f>表格3_5[[#This Row],[Hours Worked]]*表格3_5[[#This Row],[Hourly Rate]]</f>
        <v>0</v>
      </c>
    </row>
    <row r="579" spans="1:19">
      <c r="A579" s="201">
        <v>577</v>
      </c>
      <c r="B579" s="210" t="str">
        <f>_xlfn.CONCAT(表格3_5[[#This Row],[Name]],表格3_5[[#This Row],[Location]])</f>
        <v/>
      </c>
      <c r="C579" s="211" t="str">
        <f>表格3_5[[#This Row],[Location]] &amp; 表格3_5[[#This Row],[Date]] &amp;表格3_5[[#This Row],[Nick Name]]</f>
        <v>0</v>
      </c>
      <c r="D579" s="202"/>
      <c r="E579" s="211" t="str">
        <f>DAY(表格3_5[[#This Row],[Date]])&amp;""</f>
        <v>0</v>
      </c>
      <c r="F579" s="203"/>
      <c r="G579" s="216">
        <f>_xlfn.XLOOKUP(表格3_5[[#This Row],[Name]],Name_list[Full Name],Name_list[Nick Name])</f>
        <v>0</v>
      </c>
      <c r="H579" s="207"/>
      <c r="I579" s="228"/>
      <c r="J579" s="218"/>
      <c r="K579" s="205"/>
      <c r="L579" s="210">
        <f>(表格3_5[[#This Row],[Out-Time]] - 表格3_5[[#This Row],[In-Time]])*24</f>
        <v>0</v>
      </c>
      <c r="M579" s="210">
        <f>表格3_5[[#This Row],[ Hours]]-表格3_5[[#This Row],[Normal working
 hours]]</f>
        <v>0</v>
      </c>
      <c r="N579" s="205"/>
      <c r="O579" s="205"/>
      <c r="P579" s="210">
        <f>(表格3_5[[#This Row],[Out-Time2]] - 表格3_5[[#This Row],[In-Time2]])*24</f>
        <v>0</v>
      </c>
      <c r="Q579" s="205"/>
      <c r="R579" s="214">
        <f>_xlfn.XLOOKUP(表格3_5[[#This Row],[Name]],Name_list[Full Name],Name_list[Hourr Rate])</f>
        <v>0</v>
      </c>
      <c r="S579" s="210">
        <f>表格3_5[[#This Row],[Hours Worked]]*表格3_5[[#This Row],[Hourly Rate]]</f>
        <v>0</v>
      </c>
    </row>
    <row r="580" spans="1:19">
      <c r="A580" s="201">
        <v>578</v>
      </c>
      <c r="B580" s="210" t="str">
        <f>_xlfn.CONCAT(表格3_5[[#This Row],[Name]],表格3_5[[#This Row],[Location]])</f>
        <v/>
      </c>
      <c r="C580" s="211" t="str">
        <f>表格3_5[[#This Row],[Location]] &amp; 表格3_5[[#This Row],[Date]] &amp;表格3_5[[#This Row],[Nick Name]]</f>
        <v>0</v>
      </c>
      <c r="D580" s="202"/>
      <c r="E580" s="211" t="str">
        <f>DAY(表格3_5[[#This Row],[Date]])&amp;""</f>
        <v>0</v>
      </c>
      <c r="F580" s="203"/>
      <c r="G580" s="216">
        <f>_xlfn.XLOOKUP(表格3_5[[#This Row],[Name]],Name_list[Full Name],Name_list[Nick Name])</f>
        <v>0</v>
      </c>
      <c r="H580" s="207"/>
      <c r="I580" s="228"/>
      <c r="J580" s="218"/>
      <c r="K580" s="205"/>
      <c r="L580" s="210">
        <f>(表格3_5[[#This Row],[Out-Time]] - 表格3_5[[#This Row],[In-Time]])*24</f>
        <v>0</v>
      </c>
      <c r="M580" s="210">
        <f>表格3_5[[#This Row],[ Hours]]-表格3_5[[#This Row],[Normal working
 hours]]</f>
        <v>0</v>
      </c>
      <c r="N580" s="205"/>
      <c r="O580" s="205"/>
      <c r="P580" s="210">
        <f>(表格3_5[[#This Row],[Out-Time2]] - 表格3_5[[#This Row],[In-Time2]])*24</f>
        <v>0</v>
      </c>
      <c r="Q580" s="205"/>
      <c r="R580" s="214">
        <f>_xlfn.XLOOKUP(表格3_5[[#This Row],[Name]],Name_list[Full Name],Name_list[Hourr Rate])</f>
        <v>0</v>
      </c>
      <c r="S580" s="210">
        <f>表格3_5[[#This Row],[Hours Worked]]*表格3_5[[#This Row],[Hourly Rate]]</f>
        <v>0</v>
      </c>
    </row>
    <row r="581" spans="1:19">
      <c r="A581" s="201">
        <v>579</v>
      </c>
      <c r="B581" s="210" t="str">
        <f>_xlfn.CONCAT(表格3_5[[#This Row],[Name]],表格3_5[[#This Row],[Location]])</f>
        <v/>
      </c>
      <c r="C581" s="211" t="str">
        <f>表格3_5[[#This Row],[Location]] &amp; 表格3_5[[#This Row],[Date]] &amp;表格3_5[[#This Row],[Nick Name]]</f>
        <v>0</v>
      </c>
      <c r="D581" s="202"/>
      <c r="E581" s="211" t="str">
        <f>DAY(表格3_5[[#This Row],[Date]])&amp;""</f>
        <v>0</v>
      </c>
      <c r="F581" s="203"/>
      <c r="G581" s="216">
        <f>_xlfn.XLOOKUP(表格3_5[[#This Row],[Name]],Name_list[Full Name],Name_list[Nick Name])</f>
        <v>0</v>
      </c>
      <c r="H581" s="207"/>
      <c r="I581" s="228"/>
      <c r="J581" s="218"/>
      <c r="K581" s="205"/>
      <c r="L581" s="210">
        <f>(表格3_5[[#This Row],[Out-Time]] - 表格3_5[[#This Row],[In-Time]])*24</f>
        <v>0</v>
      </c>
      <c r="M581" s="210">
        <f>表格3_5[[#This Row],[ Hours]]-表格3_5[[#This Row],[Normal working
 hours]]</f>
        <v>0</v>
      </c>
      <c r="N581" s="205"/>
      <c r="O581" s="205"/>
      <c r="P581" s="210">
        <f>(表格3_5[[#This Row],[Out-Time2]] - 表格3_5[[#This Row],[In-Time2]])*24</f>
        <v>0</v>
      </c>
      <c r="Q581" s="205"/>
      <c r="R581" s="214">
        <f>_xlfn.XLOOKUP(表格3_5[[#This Row],[Name]],Name_list[Full Name],Name_list[Hourr Rate])</f>
        <v>0</v>
      </c>
      <c r="S581" s="210">
        <f>表格3_5[[#This Row],[Hours Worked]]*表格3_5[[#This Row],[Hourly Rate]]</f>
        <v>0</v>
      </c>
    </row>
    <row r="582" spans="1:19">
      <c r="A582" s="201">
        <v>580</v>
      </c>
      <c r="B582" s="210" t="str">
        <f>_xlfn.CONCAT(表格3_5[[#This Row],[Name]],表格3_5[[#This Row],[Location]])</f>
        <v/>
      </c>
      <c r="C582" s="211" t="str">
        <f>表格3_5[[#This Row],[Location]] &amp; 表格3_5[[#This Row],[Date]] &amp;表格3_5[[#This Row],[Nick Name]]</f>
        <v>0</v>
      </c>
      <c r="D582" s="202"/>
      <c r="E582" s="211" t="str">
        <f>DAY(表格3_5[[#This Row],[Date]])&amp;""</f>
        <v>0</v>
      </c>
      <c r="F582" s="203"/>
      <c r="G582" s="216">
        <f>_xlfn.XLOOKUP(表格3_5[[#This Row],[Name]],Name_list[Full Name],Name_list[Nick Name])</f>
        <v>0</v>
      </c>
      <c r="H582" s="207"/>
      <c r="I582" s="228"/>
      <c r="J582" s="218"/>
      <c r="K582" s="205"/>
      <c r="L582" s="210">
        <f>(表格3_5[[#This Row],[Out-Time]] - 表格3_5[[#This Row],[In-Time]])*24</f>
        <v>0</v>
      </c>
      <c r="M582" s="210">
        <f>表格3_5[[#This Row],[ Hours]]-表格3_5[[#This Row],[Normal working
 hours]]</f>
        <v>0</v>
      </c>
      <c r="N582" s="205"/>
      <c r="O582" s="205"/>
      <c r="P582" s="210">
        <f>(表格3_5[[#This Row],[Out-Time2]] - 表格3_5[[#This Row],[In-Time2]])*24</f>
        <v>0</v>
      </c>
      <c r="Q582" s="205"/>
      <c r="R582" s="214">
        <f>_xlfn.XLOOKUP(表格3_5[[#This Row],[Name]],Name_list[Full Name],Name_list[Hourr Rate])</f>
        <v>0</v>
      </c>
      <c r="S582" s="210">
        <f>表格3_5[[#This Row],[Hours Worked]]*表格3_5[[#This Row],[Hourly Rate]]</f>
        <v>0</v>
      </c>
    </row>
    <row r="583" spans="1:19">
      <c r="A583" s="201">
        <v>581</v>
      </c>
      <c r="B583" s="210" t="str">
        <f>_xlfn.CONCAT(表格3_5[[#This Row],[Name]],表格3_5[[#This Row],[Location]])</f>
        <v/>
      </c>
      <c r="C583" s="211" t="str">
        <f>表格3_5[[#This Row],[Location]] &amp; 表格3_5[[#This Row],[Date]] &amp;表格3_5[[#This Row],[Nick Name]]</f>
        <v>0</v>
      </c>
      <c r="D583" s="202"/>
      <c r="E583" s="211" t="str">
        <f>DAY(表格3_5[[#This Row],[Date]])&amp;""</f>
        <v>0</v>
      </c>
      <c r="F583" s="203"/>
      <c r="G583" s="216">
        <f>_xlfn.XLOOKUP(表格3_5[[#This Row],[Name]],Name_list[Full Name],Name_list[Nick Name])</f>
        <v>0</v>
      </c>
      <c r="H583" s="207"/>
      <c r="I583" s="228"/>
      <c r="J583" s="218"/>
      <c r="K583" s="205"/>
      <c r="L583" s="210">
        <f>(表格3_5[[#This Row],[Out-Time]] - 表格3_5[[#This Row],[In-Time]])*24</f>
        <v>0</v>
      </c>
      <c r="M583" s="210">
        <f>表格3_5[[#This Row],[ Hours]]-表格3_5[[#This Row],[Normal working
 hours]]</f>
        <v>0</v>
      </c>
      <c r="N583" s="205"/>
      <c r="O583" s="205"/>
      <c r="P583" s="210">
        <f>(表格3_5[[#This Row],[Out-Time2]] - 表格3_5[[#This Row],[In-Time2]])*24</f>
        <v>0</v>
      </c>
      <c r="Q583" s="205"/>
      <c r="R583" s="214">
        <f>_xlfn.XLOOKUP(表格3_5[[#This Row],[Name]],Name_list[Full Name],Name_list[Hourr Rate])</f>
        <v>0</v>
      </c>
      <c r="S583" s="210">
        <f>表格3_5[[#This Row],[Hours Worked]]*表格3_5[[#This Row],[Hourly Rate]]</f>
        <v>0</v>
      </c>
    </row>
    <row r="584" spans="1:19">
      <c r="A584" s="201">
        <v>582</v>
      </c>
      <c r="B584" s="210" t="str">
        <f>_xlfn.CONCAT(表格3_5[[#This Row],[Name]],表格3_5[[#This Row],[Location]])</f>
        <v/>
      </c>
      <c r="C584" s="211" t="str">
        <f>表格3_5[[#This Row],[Location]] &amp; 表格3_5[[#This Row],[Date]] &amp;表格3_5[[#This Row],[Nick Name]]</f>
        <v>0</v>
      </c>
      <c r="D584" s="202"/>
      <c r="E584" s="211" t="str">
        <f>DAY(表格3_5[[#This Row],[Date]])&amp;""</f>
        <v>0</v>
      </c>
      <c r="F584" s="203"/>
      <c r="G584" s="216">
        <f>_xlfn.XLOOKUP(表格3_5[[#This Row],[Name]],Name_list[Full Name],Name_list[Nick Name])</f>
        <v>0</v>
      </c>
      <c r="H584" s="207"/>
      <c r="I584" s="228"/>
      <c r="J584" s="218"/>
      <c r="K584" s="205"/>
      <c r="L584" s="210">
        <f>(表格3_5[[#This Row],[Out-Time]] - 表格3_5[[#This Row],[In-Time]])*24</f>
        <v>0</v>
      </c>
      <c r="M584" s="210">
        <f>表格3_5[[#This Row],[ Hours]]-表格3_5[[#This Row],[Normal working
 hours]]</f>
        <v>0</v>
      </c>
      <c r="N584" s="205"/>
      <c r="O584" s="205"/>
      <c r="P584" s="210">
        <f>(表格3_5[[#This Row],[Out-Time2]] - 表格3_5[[#This Row],[In-Time2]])*24</f>
        <v>0</v>
      </c>
      <c r="Q584" s="205"/>
      <c r="R584" s="214">
        <f>_xlfn.XLOOKUP(表格3_5[[#This Row],[Name]],Name_list[Full Name],Name_list[Hourr Rate])</f>
        <v>0</v>
      </c>
      <c r="S584" s="210">
        <f>表格3_5[[#This Row],[Hours Worked]]*表格3_5[[#This Row],[Hourly Rate]]</f>
        <v>0</v>
      </c>
    </row>
    <row r="585" spans="1:19">
      <c r="A585" s="201">
        <v>583</v>
      </c>
      <c r="B585" s="210" t="str">
        <f>_xlfn.CONCAT(表格3_5[[#This Row],[Name]],表格3_5[[#This Row],[Location]])</f>
        <v/>
      </c>
      <c r="C585" s="211" t="str">
        <f>表格3_5[[#This Row],[Location]] &amp; 表格3_5[[#This Row],[Date]] &amp;表格3_5[[#This Row],[Nick Name]]</f>
        <v>0</v>
      </c>
      <c r="D585" s="202"/>
      <c r="E585" s="211" t="str">
        <f>DAY(表格3_5[[#This Row],[Date]])&amp;""</f>
        <v>0</v>
      </c>
      <c r="F585" s="203"/>
      <c r="G585" s="216">
        <f>_xlfn.XLOOKUP(表格3_5[[#This Row],[Name]],Name_list[Full Name],Name_list[Nick Name])</f>
        <v>0</v>
      </c>
      <c r="H585" s="207"/>
      <c r="I585" s="228"/>
      <c r="J585" s="218"/>
      <c r="K585" s="205"/>
      <c r="L585" s="210">
        <f>(表格3_5[[#This Row],[Out-Time]] - 表格3_5[[#This Row],[In-Time]])*24</f>
        <v>0</v>
      </c>
      <c r="M585" s="210">
        <f>表格3_5[[#This Row],[ Hours]]-表格3_5[[#This Row],[Normal working
 hours]]</f>
        <v>0</v>
      </c>
      <c r="N585" s="205"/>
      <c r="O585" s="205"/>
      <c r="P585" s="210">
        <f>(表格3_5[[#This Row],[Out-Time2]] - 表格3_5[[#This Row],[In-Time2]])*24</f>
        <v>0</v>
      </c>
      <c r="Q585" s="205"/>
      <c r="R585" s="214">
        <f>_xlfn.XLOOKUP(表格3_5[[#This Row],[Name]],Name_list[Full Name],Name_list[Hourr Rate])</f>
        <v>0</v>
      </c>
      <c r="S585" s="210">
        <f>表格3_5[[#This Row],[Hours Worked]]*表格3_5[[#This Row],[Hourly Rate]]</f>
        <v>0</v>
      </c>
    </row>
    <row r="586" spans="1:19">
      <c r="A586" s="201">
        <v>584</v>
      </c>
      <c r="B586" s="210" t="str">
        <f>_xlfn.CONCAT(表格3_5[[#This Row],[Name]],表格3_5[[#This Row],[Location]])</f>
        <v/>
      </c>
      <c r="C586" s="211" t="str">
        <f>表格3_5[[#This Row],[Location]] &amp; 表格3_5[[#This Row],[Date]] &amp;表格3_5[[#This Row],[Nick Name]]</f>
        <v>0</v>
      </c>
      <c r="D586" s="202"/>
      <c r="E586" s="211" t="str">
        <f>DAY(表格3_5[[#This Row],[Date]])&amp;""</f>
        <v>0</v>
      </c>
      <c r="F586" s="203"/>
      <c r="G586" s="216">
        <f>_xlfn.XLOOKUP(表格3_5[[#This Row],[Name]],Name_list[Full Name],Name_list[Nick Name])</f>
        <v>0</v>
      </c>
      <c r="H586" s="207"/>
      <c r="I586" s="228"/>
      <c r="J586" s="218"/>
      <c r="K586" s="205"/>
      <c r="L586" s="210">
        <f>(表格3_5[[#This Row],[Out-Time]] - 表格3_5[[#This Row],[In-Time]])*24</f>
        <v>0</v>
      </c>
      <c r="M586" s="210">
        <f>表格3_5[[#This Row],[ Hours]]-表格3_5[[#This Row],[Normal working
 hours]]</f>
        <v>0</v>
      </c>
      <c r="N586" s="205"/>
      <c r="O586" s="205"/>
      <c r="P586" s="210">
        <f>(表格3_5[[#This Row],[Out-Time2]] - 表格3_5[[#This Row],[In-Time2]])*24</f>
        <v>0</v>
      </c>
      <c r="Q586" s="205"/>
      <c r="R586" s="214">
        <f>_xlfn.XLOOKUP(表格3_5[[#This Row],[Name]],Name_list[Full Name],Name_list[Hourr Rate])</f>
        <v>0</v>
      </c>
      <c r="S586" s="210">
        <f>表格3_5[[#This Row],[Hours Worked]]*表格3_5[[#This Row],[Hourly Rate]]</f>
        <v>0</v>
      </c>
    </row>
    <row r="587" spans="1:19">
      <c r="A587" s="201">
        <v>585</v>
      </c>
      <c r="B587" s="210" t="str">
        <f>_xlfn.CONCAT(表格3_5[[#This Row],[Name]],表格3_5[[#This Row],[Location]])</f>
        <v/>
      </c>
      <c r="C587" s="211" t="str">
        <f>表格3_5[[#This Row],[Location]] &amp; 表格3_5[[#This Row],[Date]] &amp;表格3_5[[#This Row],[Nick Name]]</f>
        <v>0</v>
      </c>
      <c r="D587" s="202"/>
      <c r="E587" s="211" t="str">
        <f>DAY(表格3_5[[#This Row],[Date]])&amp;""</f>
        <v>0</v>
      </c>
      <c r="F587" s="203"/>
      <c r="G587" s="216">
        <f>_xlfn.XLOOKUP(表格3_5[[#This Row],[Name]],Name_list[Full Name],Name_list[Nick Name])</f>
        <v>0</v>
      </c>
      <c r="H587" s="207"/>
      <c r="I587" s="228"/>
      <c r="J587" s="218"/>
      <c r="K587" s="205"/>
      <c r="L587" s="210">
        <f>(表格3_5[[#This Row],[Out-Time]] - 表格3_5[[#This Row],[In-Time]])*24</f>
        <v>0</v>
      </c>
      <c r="M587" s="210">
        <f>表格3_5[[#This Row],[ Hours]]-表格3_5[[#This Row],[Normal working
 hours]]</f>
        <v>0</v>
      </c>
      <c r="N587" s="205"/>
      <c r="O587" s="205"/>
      <c r="P587" s="210">
        <f>(表格3_5[[#This Row],[Out-Time2]] - 表格3_5[[#This Row],[In-Time2]])*24</f>
        <v>0</v>
      </c>
      <c r="Q587" s="205"/>
      <c r="R587" s="214">
        <f>_xlfn.XLOOKUP(表格3_5[[#This Row],[Name]],Name_list[Full Name],Name_list[Hourr Rate])</f>
        <v>0</v>
      </c>
      <c r="S587" s="210">
        <f>表格3_5[[#This Row],[Hours Worked]]*表格3_5[[#This Row],[Hourly Rate]]</f>
        <v>0</v>
      </c>
    </row>
    <row r="588" spans="1:19">
      <c r="A588" s="201">
        <v>586</v>
      </c>
      <c r="B588" s="210" t="str">
        <f>_xlfn.CONCAT(表格3_5[[#This Row],[Name]],表格3_5[[#This Row],[Location]])</f>
        <v/>
      </c>
      <c r="C588" s="211" t="str">
        <f>表格3_5[[#This Row],[Location]] &amp; 表格3_5[[#This Row],[Date]] &amp;表格3_5[[#This Row],[Nick Name]]</f>
        <v>0</v>
      </c>
      <c r="D588" s="202"/>
      <c r="E588" s="211" t="str">
        <f>DAY(表格3_5[[#This Row],[Date]])&amp;""</f>
        <v>0</v>
      </c>
      <c r="F588" s="203"/>
      <c r="G588" s="216">
        <f>_xlfn.XLOOKUP(表格3_5[[#This Row],[Name]],Name_list[Full Name],Name_list[Nick Name])</f>
        <v>0</v>
      </c>
      <c r="H588" s="207"/>
      <c r="I588" s="228"/>
      <c r="J588" s="218"/>
      <c r="K588" s="205"/>
      <c r="L588" s="210">
        <f>(表格3_5[[#This Row],[Out-Time]] - 表格3_5[[#This Row],[In-Time]])*24</f>
        <v>0</v>
      </c>
      <c r="M588" s="210">
        <f>表格3_5[[#This Row],[ Hours]]-表格3_5[[#This Row],[Normal working
 hours]]</f>
        <v>0</v>
      </c>
      <c r="N588" s="205"/>
      <c r="O588" s="205"/>
      <c r="P588" s="210">
        <f>(表格3_5[[#This Row],[Out-Time2]] - 表格3_5[[#This Row],[In-Time2]])*24</f>
        <v>0</v>
      </c>
      <c r="Q588" s="205"/>
      <c r="R588" s="214">
        <f>_xlfn.XLOOKUP(表格3_5[[#This Row],[Name]],Name_list[Full Name],Name_list[Hourr Rate])</f>
        <v>0</v>
      </c>
      <c r="S588" s="210">
        <f>表格3_5[[#This Row],[Hours Worked]]*表格3_5[[#This Row],[Hourly Rate]]</f>
        <v>0</v>
      </c>
    </row>
    <row r="589" spans="1:19">
      <c r="A589" s="201">
        <v>587</v>
      </c>
      <c r="B589" s="210" t="str">
        <f>_xlfn.CONCAT(表格3_5[[#This Row],[Name]],表格3_5[[#This Row],[Location]])</f>
        <v/>
      </c>
      <c r="C589" s="211" t="str">
        <f>表格3_5[[#This Row],[Location]] &amp; 表格3_5[[#This Row],[Date]] &amp;表格3_5[[#This Row],[Nick Name]]</f>
        <v>0</v>
      </c>
      <c r="D589" s="202"/>
      <c r="E589" s="211" t="str">
        <f>DAY(表格3_5[[#This Row],[Date]])&amp;""</f>
        <v>0</v>
      </c>
      <c r="F589" s="203"/>
      <c r="G589" s="216">
        <f>_xlfn.XLOOKUP(表格3_5[[#This Row],[Name]],Name_list[Full Name],Name_list[Nick Name])</f>
        <v>0</v>
      </c>
      <c r="H589" s="207"/>
      <c r="I589" s="228"/>
      <c r="J589" s="218"/>
      <c r="K589" s="205"/>
      <c r="L589" s="210">
        <f>(表格3_5[[#This Row],[Out-Time]] - 表格3_5[[#This Row],[In-Time]])*24</f>
        <v>0</v>
      </c>
      <c r="M589" s="210">
        <f>表格3_5[[#This Row],[ Hours]]-表格3_5[[#This Row],[Normal working
 hours]]</f>
        <v>0</v>
      </c>
      <c r="N589" s="205"/>
      <c r="O589" s="205"/>
      <c r="P589" s="210">
        <f>(表格3_5[[#This Row],[Out-Time2]] - 表格3_5[[#This Row],[In-Time2]])*24</f>
        <v>0</v>
      </c>
      <c r="Q589" s="205"/>
      <c r="R589" s="214">
        <f>_xlfn.XLOOKUP(表格3_5[[#This Row],[Name]],Name_list[Full Name],Name_list[Hourr Rate])</f>
        <v>0</v>
      </c>
      <c r="S589" s="210">
        <f>表格3_5[[#This Row],[Hours Worked]]*表格3_5[[#This Row],[Hourly Rate]]</f>
        <v>0</v>
      </c>
    </row>
    <row r="590" spans="1:19">
      <c r="A590" s="201">
        <v>588</v>
      </c>
      <c r="B590" s="210" t="str">
        <f>_xlfn.CONCAT(表格3_5[[#This Row],[Name]],表格3_5[[#This Row],[Location]])</f>
        <v/>
      </c>
      <c r="C590" s="211" t="str">
        <f>表格3_5[[#This Row],[Location]] &amp; 表格3_5[[#This Row],[Date]] &amp;表格3_5[[#This Row],[Nick Name]]</f>
        <v>0</v>
      </c>
      <c r="D590" s="202"/>
      <c r="E590" s="211" t="str">
        <f>DAY(表格3_5[[#This Row],[Date]])&amp;""</f>
        <v>0</v>
      </c>
      <c r="F590" s="203"/>
      <c r="G590" s="216">
        <f>_xlfn.XLOOKUP(表格3_5[[#This Row],[Name]],Name_list[Full Name],Name_list[Nick Name])</f>
        <v>0</v>
      </c>
      <c r="H590" s="207"/>
      <c r="I590" s="228"/>
      <c r="J590" s="218"/>
      <c r="K590" s="205"/>
      <c r="L590" s="210">
        <f>(表格3_5[[#This Row],[Out-Time]] - 表格3_5[[#This Row],[In-Time]])*24</f>
        <v>0</v>
      </c>
      <c r="M590" s="210">
        <f>表格3_5[[#This Row],[ Hours]]-表格3_5[[#This Row],[Normal working
 hours]]</f>
        <v>0</v>
      </c>
      <c r="N590" s="205"/>
      <c r="O590" s="205"/>
      <c r="P590" s="210">
        <f>(表格3_5[[#This Row],[Out-Time2]] - 表格3_5[[#This Row],[In-Time2]])*24</f>
        <v>0</v>
      </c>
      <c r="Q590" s="205"/>
      <c r="R590" s="214">
        <f>_xlfn.XLOOKUP(表格3_5[[#This Row],[Name]],Name_list[Full Name],Name_list[Hourr Rate])</f>
        <v>0</v>
      </c>
      <c r="S590" s="210">
        <f>表格3_5[[#This Row],[Hours Worked]]*表格3_5[[#This Row],[Hourly Rate]]</f>
        <v>0</v>
      </c>
    </row>
    <row r="591" spans="1:19">
      <c r="A591" s="201">
        <v>589</v>
      </c>
      <c r="B591" s="210" t="str">
        <f>_xlfn.CONCAT(表格3_5[[#This Row],[Name]],表格3_5[[#This Row],[Location]])</f>
        <v/>
      </c>
      <c r="C591" s="211" t="str">
        <f>表格3_5[[#This Row],[Location]] &amp; 表格3_5[[#This Row],[Date]] &amp;表格3_5[[#This Row],[Nick Name]]</f>
        <v>0</v>
      </c>
      <c r="D591" s="202"/>
      <c r="E591" s="211" t="str">
        <f>DAY(表格3_5[[#This Row],[Date]])&amp;""</f>
        <v>0</v>
      </c>
      <c r="F591" s="203"/>
      <c r="G591" s="216">
        <f>_xlfn.XLOOKUP(表格3_5[[#This Row],[Name]],Name_list[Full Name],Name_list[Nick Name])</f>
        <v>0</v>
      </c>
      <c r="H591" s="207"/>
      <c r="I591" s="228"/>
      <c r="J591" s="218"/>
      <c r="K591" s="205"/>
      <c r="L591" s="210">
        <f>(表格3_5[[#This Row],[Out-Time]] - 表格3_5[[#This Row],[In-Time]])*24</f>
        <v>0</v>
      </c>
      <c r="M591" s="210">
        <f>表格3_5[[#This Row],[ Hours]]-表格3_5[[#This Row],[Normal working
 hours]]</f>
        <v>0</v>
      </c>
      <c r="N591" s="205"/>
      <c r="O591" s="205"/>
      <c r="P591" s="210">
        <f>(表格3_5[[#This Row],[Out-Time2]] - 表格3_5[[#This Row],[In-Time2]])*24</f>
        <v>0</v>
      </c>
      <c r="Q591" s="205"/>
      <c r="R591" s="214">
        <f>_xlfn.XLOOKUP(表格3_5[[#This Row],[Name]],Name_list[Full Name],Name_list[Hourr Rate])</f>
        <v>0</v>
      </c>
      <c r="S591" s="210">
        <f>表格3_5[[#This Row],[Hours Worked]]*表格3_5[[#This Row],[Hourly Rate]]</f>
        <v>0</v>
      </c>
    </row>
    <row r="592" spans="1:19">
      <c r="A592" s="201">
        <v>590</v>
      </c>
      <c r="B592" s="210" t="str">
        <f>_xlfn.CONCAT(表格3_5[[#This Row],[Name]],表格3_5[[#This Row],[Location]])</f>
        <v/>
      </c>
      <c r="C592" s="211" t="str">
        <f>表格3_5[[#This Row],[Location]] &amp; 表格3_5[[#This Row],[Date]] &amp;表格3_5[[#This Row],[Nick Name]]</f>
        <v>0</v>
      </c>
      <c r="D592" s="202"/>
      <c r="E592" s="211" t="str">
        <f>DAY(表格3_5[[#This Row],[Date]])&amp;""</f>
        <v>0</v>
      </c>
      <c r="F592" s="203"/>
      <c r="G592" s="216">
        <f>_xlfn.XLOOKUP(表格3_5[[#This Row],[Name]],Name_list[Full Name],Name_list[Nick Name])</f>
        <v>0</v>
      </c>
      <c r="H592" s="207"/>
      <c r="I592" s="228"/>
      <c r="J592" s="218"/>
      <c r="K592" s="205"/>
      <c r="L592" s="210">
        <f>(表格3_5[[#This Row],[Out-Time]] - 表格3_5[[#This Row],[In-Time]])*24</f>
        <v>0</v>
      </c>
      <c r="M592" s="210">
        <f>表格3_5[[#This Row],[ Hours]]-表格3_5[[#This Row],[Normal working
 hours]]</f>
        <v>0</v>
      </c>
      <c r="N592" s="205"/>
      <c r="O592" s="205"/>
      <c r="P592" s="210">
        <f>(表格3_5[[#This Row],[Out-Time2]] - 表格3_5[[#This Row],[In-Time2]])*24</f>
        <v>0</v>
      </c>
      <c r="Q592" s="205"/>
      <c r="R592" s="214">
        <f>_xlfn.XLOOKUP(表格3_5[[#This Row],[Name]],Name_list[Full Name],Name_list[Hourr Rate])</f>
        <v>0</v>
      </c>
      <c r="S592" s="210">
        <f>表格3_5[[#This Row],[Hours Worked]]*表格3_5[[#This Row],[Hourly Rate]]</f>
        <v>0</v>
      </c>
    </row>
    <row r="593" spans="1:19">
      <c r="A593" s="201">
        <v>591</v>
      </c>
      <c r="B593" s="210" t="str">
        <f>_xlfn.CONCAT(表格3_5[[#This Row],[Name]],表格3_5[[#This Row],[Location]])</f>
        <v/>
      </c>
      <c r="C593" s="211" t="str">
        <f>表格3_5[[#This Row],[Location]] &amp; 表格3_5[[#This Row],[Date]] &amp;表格3_5[[#This Row],[Nick Name]]</f>
        <v>0</v>
      </c>
      <c r="D593" s="202"/>
      <c r="E593" s="211" t="str">
        <f>DAY(表格3_5[[#This Row],[Date]])&amp;""</f>
        <v>0</v>
      </c>
      <c r="F593" s="203"/>
      <c r="G593" s="216">
        <f>_xlfn.XLOOKUP(表格3_5[[#This Row],[Name]],Name_list[Full Name],Name_list[Nick Name])</f>
        <v>0</v>
      </c>
      <c r="H593" s="207"/>
      <c r="I593" s="228"/>
      <c r="J593" s="218"/>
      <c r="K593" s="205"/>
      <c r="L593" s="210">
        <f>(表格3_5[[#This Row],[Out-Time]] - 表格3_5[[#This Row],[In-Time]])*24</f>
        <v>0</v>
      </c>
      <c r="M593" s="210">
        <f>表格3_5[[#This Row],[ Hours]]-表格3_5[[#This Row],[Normal working
 hours]]</f>
        <v>0</v>
      </c>
      <c r="N593" s="205"/>
      <c r="O593" s="205"/>
      <c r="P593" s="210">
        <f>(表格3_5[[#This Row],[Out-Time2]] - 表格3_5[[#This Row],[In-Time2]])*24</f>
        <v>0</v>
      </c>
      <c r="Q593" s="205"/>
      <c r="R593" s="214">
        <f>_xlfn.XLOOKUP(表格3_5[[#This Row],[Name]],Name_list[Full Name],Name_list[Hourr Rate])</f>
        <v>0</v>
      </c>
      <c r="S593" s="210">
        <f>表格3_5[[#This Row],[Hours Worked]]*表格3_5[[#This Row],[Hourly Rate]]</f>
        <v>0</v>
      </c>
    </row>
    <row r="594" spans="1:19">
      <c r="A594" s="201">
        <v>592</v>
      </c>
      <c r="B594" s="210" t="str">
        <f>_xlfn.CONCAT(表格3_5[[#This Row],[Name]],表格3_5[[#This Row],[Location]])</f>
        <v/>
      </c>
      <c r="C594" s="211" t="str">
        <f>表格3_5[[#This Row],[Location]] &amp; 表格3_5[[#This Row],[Date]] &amp;表格3_5[[#This Row],[Nick Name]]</f>
        <v>0</v>
      </c>
      <c r="D594" s="202"/>
      <c r="E594" s="211" t="str">
        <f>DAY(表格3_5[[#This Row],[Date]])&amp;""</f>
        <v>0</v>
      </c>
      <c r="F594" s="203"/>
      <c r="G594" s="216">
        <f>_xlfn.XLOOKUP(表格3_5[[#This Row],[Name]],Name_list[Full Name],Name_list[Nick Name])</f>
        <v>0</v>
      </c>
      <c r="H594" s="207"/>
      <c r="I594" s="228"/>
      <c r="J594" s="218"/>
      <c r="K594" s="205"/>
      <c r="L594" s="210">
        <f>(表格3_5[[#This Row],[Out-Time]] - 表格3_5[[#This Row],[In-Time]])*24</f>
        <v>0</v>
      </c>
      <c r="M594" s="210">
        <f>表格3_5[[#This Row],[ Hours]]-表格3_5[[#This Row],[Normal working
 hours]]</f>
        <v>0</v>
      </c>
      <c r="N594" s="205"/>
      <c r="O594" s="205"/>
      <c r="P594" s="210">
        <f>(表格3_5[[#This Row],[Out-Time2]] - 表格3_5[[#This Row],[In-Time2]])*24</f>
        <v>0</v>
      </c>
      <c r="Q594" s="205"/>
      <c r="R594" s="214">
        <f>_xlfn.XLOOKUP(表格3_5[[#This Row],[Name]],Name_list[Full Name],Name_list[Hourr Rate])</f>
        <v>0</v>
      </c>
      <c r="S594" s="210">
        <f>表格3_5[[#This Row],[Hours Worked]]*表格3_5[[#This Row],[Hourly Rate]]</f>
        <v>0</v>
      </c>
    </row>
    <row r="595" spans="1:19">
      <c r="A595" s="201">
        <v>593</v>
      </c>
      <c r="B595" s="210" t="str">
        <f>_xlfn.CONCAT(表格3_5[[#This Row],[Name]],表格3_5[[#This Row],[Location]])</f>
        <v/>
      </c>
      <c r="C595" s="211" t="str">
        <f>表格3_5[[#This Row],[Location]] &amp; 表格3_5[[#This Row],[Date]] &amp;表格3_5[[#This Row],[Nick Name]]</f>
        <v>0</v>
      </c>
      <c r="D595" s="202"/>
      <c r="E595" s="211" t="str">
        <f>DAY(表格3_5[[#This Row],[Date]])&amp;""</f>
        <v>0</v>
      </c>
      <c r="F595" s="203"/>
      <c r="G595" s="216">
        <f>_xlfn.XLOOKUP(表格3_5[[#This Row],[Name]],Name_list[Full Name],Name_list[Nick Name])</f>
        <v>0</v>
      </c>
      <c r="H595" s="207"/>
      <c r="I595" s="228"/>
      <c r="J595" s="218"/>
      <c r="K595" s="205"/>
      <c r="L595" s="210">
        <f>(表格3_5[[#This Row],[Out-Time]] - 表格3_5[[#This Row],[In-Time]])*24</f>
        <v>0</v>
      </c>
      <c r="M595" s="210">
        <f>表格3_5[[#This Row],[ Hours]]-表格3_5[[#This Row],[Normal working
 hours]]</f>
        <v>0</v>
      </c>
      <c r="N595" s="205"/>
      <c r="O595" s="205"/>
      <c r="P595" s="210">
        <f>(表格3_5[[#This Row],[Out-Time2]] - 表格3_5[[#This Row],[In-Time2]])*24</f>
        <v>0</v>
      </c>
      <c r="Q595" s="205"/>
      <c r="R595" s="214">
        <f>_xlfn.XLOOKUP(表格3_5[[#This Row],[Name]],Name_list[Full Name],Name_list[Hourr Rate])</f>
        <v>0</v>
      </c>
      <c r="S595" s="210">
        <f>表格3_5[[#This Row],[Hours Worked]]*表格3_5[[#This Row],[Hourly Rate]]</f>
        <v>0</v>
      </c>
    </row>
    <row r="596" spans="1:19">
      <c r="A596" s="201">
        <v>594</v>
      </c>
      <c r="B596" s="210" t="str">
        <f>_xlfn.CONCAT(表格3_5[[#This Row],[Name]],表格3_5[[#This Row],[Location]])</f>
        <v/>
      </c>
      <c r="C596" s="211" t="str">
        <f>表格3_5[[#This Row],[Location]] &amp; 表格3_5[[#This Row],[Date]] &amp;表格3_5[[#This Row],[Nick Name]]</f>
        <v>0</v>
      </c>
      <c r="D596" s="202"/>
      <c r="E596" s="211" t="str">
        <f>DAY(表格3_5[[#This Row],[Date]])&amp;""</f>
        <v>0</v>
      </c>
      <c r="F596" s="203"/>
      <c r="G596" s="216">
        <f>_xlfn.XLOOKUP(表格3_5[[#This Row],[Name]],Name_list[Full Name],Name_list[Nick Name])</f>
        <v>0</v>
      </c>
      <c r="H596" s="207"/>
      <c r="I596" s="228"/>
      <c r="J596" s="218"/>
      <c r="K596" s="205"/>
      <c r="L596" s="210">
        <f>(表格3_5[[#This Row],[Out-Time]] - 表格3_5[[#This Row],[In-Time]])*24</f>
        <v>0</v>
      </c>
      <c r="M596" s="210">
        <f>表格3_5[[#This Row],[ Hours]]-表格3_5[[#This Row],[Normal working
 hours]]</f>
        <v>0</v>
      </c>
      <c r="N596" s="205"/>
      <c r="O596" s="205"/>
      <c r="P596" s="210">
        <f>(表格3_5[[#This Row],[Out-Time2]] - 表格3_5[[#This Row],[In-Time2]])*24</f>
        <v>0</v>
      </c>
      <c r="Q596" s="205"/>
      <c r="R596" s="214">
        <f>_xlfn.XLOOKUP(表格3_5[[#This Row],[Name]],Name_list[Full Name],Name_list[Hourr Rate])</f>
        <v>0</v>
      </c>
      <c r="S596" s="210">
        <f>表格3_5[[#This Row],[Hours Worked]]*表格3_5[[#This Row],[Hourly Rate]]</f>
        <v>0</v>
      </c>
    </row>
    <row r="597" spans="1:19">
      <c r="A597" s="201">
        <v>595</v>
      </c>
      <c r="B597" s="210" t="str">
        <f>_xlfn.CONCAT(表格3_5[[#This Row],[Name]],表格3_5[[#This Row],[Location]])</f>
        <v/>
      </c>
      <c r="C597" s="211" t="str">
        <f>表格3_5[[#This Row],[Location]] &amp; 表格3_5[[#This Row],[Date]] &amp;表格3_5[[#This Row],[Nick Name]]</f>
        <v>0</v>
      </c>
      <c r="D597" s="202"/>
      <c r="E597" s="211" t="str">
        <f>DAY(表格3_5[[#This Row],[Date]])&amp;""</f>
        <v>0</v>
      </c>
      <c r="F597" s="203"/>
      <c r="G597" s="216">
        <f>_xlfn.XLOOKUP(表格3_5[[#This Row],[Name]],Name_list[Full Name],Name_list[Nick Name])</f>
        <v>0</v>
      </c>
      <c r="H597" s="207"/>
      <c r="I597" s="228"/>
      <c r="J597" s="218"/>
      <c r="K597" s="205"/>
      <c r="L597" s="210">
        <f>(表格3_5[[#This Row],[Out-Time]] - 表格3_5[[#This Row],[In-Time]])*24</f>
        <v>0</v>
      </c>
      <c r="M597" s="210">
        <f>表格3_5[[#This Row],[ Hours]]-表格3_5[[#This Row],[Normal working
 hours]]</f>
        <v>0</v>
      </c>
      <c r="N597" s="205"/>
      <c r="O597" s="205"/>
      <c r="P597" s="210">
        <f>(表格3_5[[#This Row],[Out-Time2]] - 表格3_5[[#This Row],[In-Time2]])*24</f>
        <v>0</v>
      </c>
      <c r="Q597" s="205"/>
      <c r="R597" s="214">
        <f>_xlfn.XLOOKUP(表格3_5[[#This Row],[Name]],Name_list[Full Name],Name_list[Hourr Rate])</f>
        <v>0</v>
      </c>
      <c r="S597" s="210">
        <f>表格3_5[[#This Row],[Hours Worked]]*表格3_5[[#This Row],[Hourly Rate]]</f>
        <v>0</v>
      </c>
    </row>
    <row r="598" spans="1:19">
      <c r="A598" s="201">
        <v>596</v>
      </c>
      <c r="B598" s="210" t="str">
        <f>_xlfn.CONCAT(表格3_5[[#This Row],[Name]],表格3_5[[#This Row],[Location]])</f>
        <v/>
      </c>
      <c r="C598" s="211" t="str">
        <f>表格3_5[[#This Row],[Location]] &amp; 表格3_5[[#This Row],[Date]] &amp;表格3_5[[#This Row],[Nick Name]]</f>
        <v>0</v>
      </c>
      <c r="D598" s="202"/>
      <c r="E598" s="211" t="str">
        <f>DAY(表格3_5[[#This Row],[Date]])&amp;""</f>
        <v>0</v>
      </c>
      <c r="F598" s="203"/>
      <c r="G598" s="216">
        <f>_xlfn.XLOOKUP(表格3_5[[#This Row],[Name]],Name_list[Full Name],Name_list[Nick Name])</f>
        <v>0</v>
      </c>
      <c r="H598" s="207"/>
      <c r="I598" s="228"/>
      <c r="J598" s="218"/>
      <c r="K598" s="205"/>
      <c r="L598" s="210">
        <f>(表格3_5[[#This Row],[Out-Time]] - 表格3_5[[#This Row],[In-Time]])*24</f>
        <v>0</v>
      </c>
      <c r="M598" s="210">
        <f>表格3_5[[#This Row],[ Hours]]-表格3_5[[#This Row],[Normal working
 hours]]</f>
        <v>0</v>
      </c>
      <c r="N598" s="205"/>
      <c r="O598" s="205"/>
      <c r="P598" s="210">
        <f>(表格3_5[[#This Row],[Out-Time2]] - 表格3_5[[#This Row],[In-Time2]])*24</f>
        <v>0</v>
      </c>
      <c r="Q598" s="205"/>
      <c r="R598" s="214">
        <f>_xlfn.XLOOKUP(表格3_5[[#This Row],[Name]],Name_list[Full Name],Name_list[Hourr Rate])</f>
        <v>0</v>
      </c>
      <c r="S598" s="210">
        <f>表格3_5[[#This Row],[Hours Worked]]*表格3_5[[#This Row],[Hourly Rate]]</f>
        <v>0</v>
      </c>
    </row>
    <row r="599" spans="1:19">
      <c r="A599" s="201">
        <v>597</v>
      </c>
      <c r="B599" s="210" t="str">
        <f>_xlfn.CONCAT(表格3_5[[#This Row],[Name]],表格3_5[[#This Row],[Location]])</f>
        <v/>
      </c>
      <c r="C599" s="211" t="str">
        <f>表格3_5[[#This Row],[Location]] &amp; 表格3_5[[#This Row],[Date]] &amp;表格3_5[[#This Row],[Nick Name]]</f>
        <v>0</v>
      </c>
      <c r="D599" s="202"/>
      <c r="E599" s="211" t="str">
        <f>DAY(表格3_5[[#This Row],[Date]])&amp;""</f>
        <v>0</v>
      </c>
      <c r="F599" s="203"/>
      <c r="G599" s="216">
        <f>_xlfn.XLOOKUP(表格3_5[[#This Row],[Name]],Name_list[Full Name],Name_list[Nick Name])</f>
        <v>0</v>
      </c>
      <c r="H599" s="207"/>
      <c r="I599" s="228"/>
      <c r="J599" s="218"/>
      <c r="K599" s="205"/>
      <c r="L599" s="210">
        <f>(表格3_5[[#This Row],[Out-Time]] - 表格3_5[[#This Row],[In-Time]])*24</f>
        <v>0</v>
      </c>
      <c r="M599" s="210">
        <f>表格3_5[[#This Row],[ Hours]]-表格3_5[[#This Row],[Normal working
 hours]]</f>
        <v>0</v>
      </c>
      <c r="N599" s="205"/>
      <c r="O599" s="205"/>
      <c r="P599" s="210">
        <f>(表格3_5[[#This Row],[Out-Time2]] - 表格3_5[[#This Row],[In-Time2]])*24</f>
        <v>0</v>
      </c>
      <c r="Q599" s="205"/>
      <c r="R599" s="214">
        <f>_xlfn.XLOOKUP(表格3_5[[#This Row],[Name]],Name_list[Full Name],Name_list[Hourr Rate])</f>
        <v>0</v>
      </c>
      <c r="S599" s="210">
        <f>表格3_5[[#This Row],[Hours Worked]]*表格3_5[[#This Row],[Hourly Rate]]</f>
        <v>0</v>
      </c>
    </row>
    <row r="600" spans="1:19">
      <c r="A600" s="201">
        <v>598</v>
      </c>
      <c r="B600" s="210" t="str">
        <f>_xlfn.CONCAT(表格3_5[[#This Row],[Name]],表格3_5[[#This Row],[Location]])</f>
        <v/>
      </c>
      <c r="C600" s="211" t="str">
        <f>表格3_5[[#This Row],[Location]] &amp; 表格3_5[[#This Row],[Date]] &amp;表格3_5[[#This Row],[Nick Name]]</f>
        <v>0</v>
      </c>
      <c r="D600" s="202"/>
      <c r="E600" s="211" t="str">
        <f>DAY(表格3_5[[#This Row],[Date]])&amp;""</f>
        <v>0</v>
      </c>
      <c r="F600" s="203"/>
      <c r="G600" s="216">
        <f>_xlfn.XLOOKUP(表格3_5[[#This Row],[Name]],Name_list[Full Name],Name_list[Nick Name])</f>
        <v>0</v>
      </c>
      <c r="H600" s="207"/>
      <c r="I600" s="228"/>
      <c r="J600" s="218"/>
      <c r="K600" s="205"/>
      <c r="L600" s="210">
        <f>(表格3_5[[#This Row],[Out-Time]] - 表格3_5[[#This Row],[In-Time]])*24</f>
        <v>0</v>
      </c>
      <c r="M600" s="210">
        <f>表格3_5[[#This Row],[ Hours]]-表格3_5[[#This Row],[Normal working
 hours]]</f>
        <v>0</v>
      </c>
      <c r="N600" s="205"/>
      <c r="O600" s="205"/>
      <c r="P600" s="210">
        <f>(表格3_5[[#This Row],[Out-Time2]] - 表格3_5[[#This Row],[In-Time2]])*24</f>
        <v>0</v>
      </c>
      <c r="Q600" s="205"/>
      <c r="R600" s="214">
        <f>_xlfn.XLOOKUP(表格3_5[[#This Row],[Name]],Name_list[Full Name],Name_list[Hourr Rate])</f>
        <v>0</v>
      </c>
      <c r="S600" s="210">
        <f>表格3_5[[#This Row],[Hours Worked]]*表格3_5[[#This Row],[Hourly Rate]]</f>
        <v>0</v>
      </c>
    </row>
    <row r="601" spans="1:19">
      <c r="A601" s="201">
        <v>599</v>
      </c>
      <c r="B601" s="210" t="str">
        <f>_xlfn.CONCAT(表格3_5[[#This Row],[Name]],表格3_5[[#This Row],[Location]])</f>
        <v/>
      </c>
      <c r="C601" s="211" t="str">
        <f>表格3_5[[#This Row],[Location]] &amp; 表格3_5[[#This Row],[Date]] &amp;表格3_5[[#This Row],[Nick Name]]</f>
        <v>0</v>
      </c>
      <c r="D601" s="202"/>
      <c r="E601" s="211" t="str">
        <f>DAY(表格3_5[[#This Row],[Date]])&amp;""</f>
        <v>0</v>
      </c>
      <c r="F601" s="203"/>
      <c r="G601" s="216">
        <f>_xlfn.XLOOKUP(表格3_5[[#This Row],[Name]],Name_list[Full Name],Name_list[Nick Name])</f>
        <v>0</v>
      </c>
      <c r="H601" s="207"/>
      <c r="I601" s="228"/>
      <c r="J601" s="218"/>
      <c r="K601" s="205"/>
      <c r="L601" s="210">
        <f>(表格3_5[[#This Row],[Out-Time]] - 表格3_5[[#This Row],[In-Time]])*24</f>
        <v>0</v>
      </c>
      <c r="M601" s="210">
        <f>表格3_5[[#This Row],[ Hours]]-表格3_5[[#This Row],[Normal working
 hours]]</f>
        <v>0</v>
      </c>
      <c r="N601" s="205"/>
      <c r="O601" s="205"/>
      <c r="P601" s="210">
        <f>(表格3_5[[#This Row],[Out-Time2]] - 表格3_5[[#This Row],[In-Time2]])*24</f>
        <v>0</v>
      </c>
      <c r="Q601" s="205"/>
      <c r="R601" s="214">
        <f>_xlfn.XLOOKUP(表格3_5[[#This Row],[Name]],Name_list[Full Name],Name_list[Hourr Rate])</f>
        <v>0</v>
      </c>
      <c r="S601" s="210">
        <f>表格3_5[[#This Row],[Hours Worked]]*表格3_5[[#This Row],[Hourly Rate]]</f>
        <v>0</v>
      </c>
    </row>
    <row r="602" spans="1:19">
      <c r="A602" s="201">
        <v>600</v>
      </c>
      <c r="B602" s="210" t="str">
        <f>_xlfn.CONCAT(表格3_5[[#This Row],[Name]],表格3_5[[#This Row],[Location]])</f>
        <v/>
      </c>
      <c r="C602" s="211" t="str">
        <f>表格3_5[[#This Row],[Location]] &amp; 表格3_5[[#This Row],[Date]] &amp;表格3_5[[#This Row],[Nick Name]]</f>
        <v>0</v>
      </c>
      <c r="D602" s="202"/>
      <c r="E602" s="211" t="str">
        <f>DAY(表格3_5[[#This Row],[Date]])&amp;""</f>
        <v>0</v>
      </c>
      <c r="F602" s="203"/>
      <c r="G602" s="216">
        <f>_xlfn.XLOOKUP(表格3_5[[#This Row],[Name]],Name_list[Full Name],Name_list[Nick Name])</f>
        <v>0</v>
      </c>
      <c r="H602" s="207"/>
      <c r="I602" s="228"/>
      <c r="J602" s="218"/>
      <c r="K602" s="205"/>
      <c r="L602" s="210">
        <f>(表格3_5[[#This Row],[Out-Time]] - 表格3_5[[#This Row],[In-Time]])*24</f>
        <v>0</v>
      </c>
      <c r="M602" s="210">
        <f>表格3_5[[#This Row],[ Hours]]-表格3_5[[#This Row],[Normal working
 hours]]</f>
        <v>0</v>
      </c>
      <c r="N602" s="205"/>
      <c r="O602" s="205"/>
      <c r="P602" s="210">
        <f>(表格3_5[[#This Row],[Out-Time2]] - 表格3_5[[#This Row],[In-Time2]])*24</f>
        <v>0</v>
      </c>
      <c r="Q602" s="205"/>
      <c r="R602" s="214">
        <f>_xlfn.XLOOKUP(表格3_5[[#This Row],[Name]],Name_list[Full Name],Name_list[Hourr Rate])</f>
        <v>0</v>
      </c>
      <c r="S602" s="210">
        <f>表格3_5[[#This Row],[Hours Worked]]*表格3_5[[#This Row],[Hourly Rate]]</f>
        <v>0</v>
      </c>
    </row>
    <row r="603" spans="1:19">
      <c r="A603" s="201">
        <v>601</v>
      </c>
      <c r="B603" s="210" t="str">
        <f>_xlfn.CONCAT(表格3_5[[#This Row],[Name]],表格3_5[[#This Row],[Location]])</f>
        <v/>
      </c>
      <c r="C603" s="211" t="str">
        <f>表格3_5[[#This Row],[Location]] &amp; 表格3_5[[#This Row],[Date]] &amp;表格3_5[[#This Row],[Nick Name]]</f>
        <v>0</v>
      </c>
      <c r="D603" s="202"/>
      <c r="E603" s="211" t="str">
        <f>DAY(表格3_5[[#This Row],[Date]])&amp;""</f>
        <v>0</v>
      </c>
      <c r="F603" s="203"/>
      <c r="G603" s="216">
        <f>_xlfn.XLOOKUP(表格3_5[[#This Row],[Name]],Name_list[Full Name],Name_list[Nick Name])</f>
        <v>0</v>
      </c>
      <c r="H603" s="207"/>
      <c r="I603" s="228"/>
      <c r="J603" s="218"/>
      <c r="K603" s="205"/>
      <c r="L603" s="210">
        <f>(表格3_5[[#This Row],[Out-Time]] - 表格3_5[[#This Row],[In-Time]])*24</f>
        <v>0</v>
      </c>
      <c r="M603" s="210">
        <f>表格3_5[[#This Row],[ Hours]]-表格3_5[[#This Row],[Normal working
 hours]]</f>
        <v>0</v>
      </c>
      <c r="N603" s="205"/>
      <c r="O603" s="205"/>
      <c r="P603" s="210">
        <f>(表格3_5[[#This Row],[Out-Time2]] - 表格3_5[[#This Row],[In-Time2]])*24</f>
        <v>0</v>
      </c>
      <c r="Q603" s="205"/>
      <c r="R603" s="214">
        <f>_xlfn.XLOOKUP(表格3_5[[#This Row],[Name]],Name_list[Full Name],Name_list[Hourr Rate])</f>
        <v>0</v>
      </c>
      <c r="S603" s="210">
        <f>表格3_5[[#This Row],[Hours Worked]]*表格3_5[[#This Row],[Hourly Rate]]</f>
        <v>0</v>
      </c>
    </row>
    <row r="604" spans="1:19">
      <c r="A604" s="201">
        <v>602</v>
      </c>
      <c r="B604" s="210" t="str">
        <f>_xlfn.CONCAT(表格3_5[[#This Row],[Name]],表格3_5[[#This Row],[Location]])</f>
        <v/>
      </c>
      <c r="C604" s="211" t="str">
        <f>表格3_5[[#This Row],[Location]] &amp; 表格3_5[[#This Row],[Date]] &amp;表格3_5[[#This Row],[Nick Name]]</f>
        <v>0</v>
      </c>
      <c r="D604" s="202"/>
      <c r="E604" s="211" t="str">
        <f>DAY(表格3_5[[#This Row],[Date]])&amp;""</f>
        <v>0</v>
      </c>
      <c r="F604" s="203"/>
      <c r="G604" s="216">
        <f>_xlfn.XLOOKUP(表格3_5[[#This Row],[Name]],Name_list[Full Name],Name_list[Nick Name])</f>
        <v>0</v>
      </c>
      <c r="H604" s="207"/>
      <c r="I604" s="228"/>
      <c r="J604" s="218"/>
      <c r="K604" s="205"/>
      <c r="L604" s="210">
        <f>(表格3_5[[#This Row],[Out-Time]] - 表格3_5[[#This Row],[In-Time]])*24</f>
        <v>0</v>
      </c>
      <c r="M604" s="210">
        <f>表格3_5[[#This Row],[ Hours]]-表格3_5[[#This Row],[Normal working
 hours]]</f>
        <v>0</v>
      </c>
      <c r="N604" s="205"/>
      <c r="O604" s="205"/>
      <c r="P604" s="210">
        <f>(表格3_5[[#This Row],[Out-Time2]] - 表格3_5[[#This Row],[In-Time2]])*24</f>
        <v>0</v>
      </c>
      <c r="Q604" s="205"/>
      <c r="R604" s="214">
        <f>_xlfn.XLOOKUP(表格3_5[[#This Row],[Name]],Name_list[Full Name],Name_list[Hourr Rate])</f>
        <v>0</v>
      </c>
      <c r="S604" s="210">
        <f>表格3_5[[#This Row],[Hours Worked]]*表格3_5[[#This Row],[Hourly Rate]]</f>
        <v>0</v>
      </c>
    </row>
    <row r="605" spans="1:19">
      <c r="A605" s="201">
        <v>603</v>
      </c>
      <c r="B605" s="210" t="str">
        <f>_xlfn.CONCAT(表格3_5[[#This Row],[Name]],表格3_5[[#This Row],[Location]])</f>
        <v/>
      </c>
      <c r="C605" s="211" t="str">
        <f>表格3_5[[#This Row],[Location]] &amp; 表格3_5[[#This Row],[Date]] &amp;表格3_5[[#This Row],[Nick Name]]</f>
        <v>0</v>
      </c>
      <c r="D605" s="202"/>
      <c r="E605" s="211" t="str">
        <f>DAY(表格3_5[[#This Row],[Date]])&amp;""</f>
        <v>0</v>
      </c>
      <c r="F605" s="203"/>
      <c r="G605" s="216">
        <f>_xlfn.XLOOKUP(表格3_5[[#This Row],[Name]],Name_list[Full Name],Name_list[Nick Name])</f>
        <v>0</v>
      </c>
      <c r="H605" s="207"/>
      <c r="I605" s="228"/>
      <c r="J605" s="218"/>
      <c r="K605" s="205"/>
      <c r="L605" s="210">
        <f>(表格3_5[[#This Row],[Out-Time]] - 表格3_5[[#This Row],[In-Time]])*24</f>
        <v>0</v>
      </c>
      <c r="M605" s="210">
        <f>表格3_5[[#This Row],[ Hours]]-表格3_5[[#This Row],[Normal working
 hours]]</f>
        <v>0</v>
      </c>
      <c r="N605" s="205"/>
      <c r="O605" s="205"/>
      <c r="P605" s="210">
        <f>(表格3_5[[#This Row],[Out-Time2]] - 表格3_5[[#This Row],[In-Time2]])*24</f>
        <v>0</v>
      </c>
      <c r="Q605" s="205"/>
      <c r="R605" s="214">
        <f>_xlfn.XLOOKUP(表格3_5[[#This Row],[Name]],Name_list[Full Name],Name_list[Hourr Rate])</f>
        <v>0</v>
      </c>
      <c r="S605" s="210">
        <f>表格3_5[[#This Row],[Hours Worked]]*表格3_5[[#This Row],[Hourly Rate]]</f>
        <v>0</v>
      </c>
    </row>
    <row r="606" spans="1:19">
      <c r="A606" s="201">
        <v>604</v>
      </c>
      <c r="B606" s="210" t="str">
        <f>_xlfn.CONCAT(表格3_5[[#This Row],[Name]],表格3_5[[#This Row],[Location]])</f>
        <v/>
      </c>
      <c r="C606" s="211" t="str">
        <f>表格3_5[[#This Row],[Location]] &amp; 表格3_5[[#This Row],[Date]] &amp;表格3_5[[#This Row],[Nick Name]]</f>
        <v>0</v>
      </c>
      <c r="D606" s="202"/>
      <c r="E606" s="211" t="str">
        <f>DAY(表格3_5[[#This Row],[Date]])&amp;""</f>
        <v>0</v>
      </c>
      <c r="F606" s="203"/>
      <c r="G606" s="216">
        <f>_xlfn.XLOOKUP(表格3_5[[#This Row],[Name]],Name_list[Full Name],Name_list[Nick Name])</f>
        <v>0</v>
      </c>
      <c r="H606" s="207"/>
      <c r="I606" s="228"/>
      <c r="J606" s="218"/>
      <c r="K606" s="205"/>
      <c r="L606" s="210">
        <f>(表格3_5[[#This Row],[Out-Time]] - 表格3_5[[#This Row],[In-Time]])*24</f>
        <v>0</v>
      </c>
      <c r="M606" s="210">
        <f>表格3_5[[#This Row],[ Hours]]-表格3_5[[#This Row],[Normal working
 hours]]</f>
        <v>0</v>
      </c>
      <c r="N606" s="205"/>
      <c r="O606" s="205"/>
      <c r="P606" s="210">
        <f>(表格3_5[[#This Row],[Out-Time2]] - 表格3_5[[#This Row],[In-Time2]])*24</f>
        <v>0</v>
      </c>
      <c r="Q606" s="205"/>
      <c r="R606" s="214">
        <f>_xlfn.XLOOKUP(表格3_5[[#This Row],[Name]],Name_list[Full Name],Name_list[Hourr Rate])</f>
        <v>0</v>
      </c>
      <c r="S606" s="210">
        <f>表格3_5[[#This Row],[Hours Worked]]*表格3_5[[#This Row],[Hourly Rate]]</f>
        <v>0</v>
      </c>
    </row>
    <row r="607" spans="1:19">
      <c r="A607" s="201">
        <v>605</v>
      </c>
      <c r="B607" s="210" t="str">
        <f>_xlfn.CONCAT(表格3_5[[#This Row],[Name]],表格3_5[[#This Row],[Location]])</f>
        <v/>
      </c>
      <c r="C607" s="211" t="str">
        <f>表格3_5[[#This Row],[Location]] &amp; 表格3_5[[#This Row],[Date]] &amp;表格3_5[[#This Row],[Nick Name]]</f>
        <v>0</v>
      </c>
      <c r="D607" s="202"/>
      <c r="E607" s="211" t="str">
        <f>DAY(表格3_5[[#This Row],[Date]])&amp;""</f>
        <v>0</v>
      </c>
      <c r="F607" s="203"/>
      <c r="G607" s="216">
        <f>_xlfn.XLOOKUP(表格3_5[[#This Row],[Name]],Name_list[Full Name],Name_list[Nick Name])</f>
        <v>0</v>
      </c>
      <c r="H607" s="207"/>
      <c r="I607" s="228"/>
      <c r="J607" s="218"/>
      <c r="K607" s="205"/>
      <c r="L607" s="210">
        <f>(表格3_5[[#This Row],[Out-Time]] - 表格3_5[[#This Row],[In-Time]])*24</f>
        <v>0</v>
      </c>
      <c r="M607" s="210">
        <f>表格3_5[[#This Row],[ Hours]]-表格3_5[[#This Row],[Normal working
 hours]]</f>
        <v>0</v>
      </c>
      <c r="N607" s="205"/>
      <c r="O607" s="205"/>
      <c r="P607" s="210">
        <f>(表格3_5[[#This Row],[Out-Time2]] - 表格3_5[[#This Row],[In-Time2]])*24</f>
        <v>0</v>
      </c>
      <c r="Q607" s="205"/>
      <c r="R607" s="214">
        <f>_xlfn.XLOOKUP(表格3_5[[#This Row],[Name]],Name_list[Full Name],Name_list[Hourr Rate])</f>
        <v>0</v>
      </c>
      <c r="S607" s="210">
        <f>表格3_5[[#This Row],[Hours Worked]]*表格3_5[[#This Row],[Hourly Rate]]</f>
        <v>0</v>
      </c>
    </row>
    <row r="608" spans="1:19">
      <c r="A608" s="201">
        <v>606</v>
      </c>
      <c r="B608" s="210" t="str">
        <f>_xlfn.CONCAT(表格3_5[[#This Row],[Name]],表格3_5[[#This Row],[Location]])</f>
        <v/>
      </c>
      <c r="C608" s="211" t="str">
        <f>表格3_5[[#This Row],[Location]] &amp; 表格3_5[[#This Row],[Date]] &amp;表格3_5[[#This Row],[Nick Name]]</f>
        <v>0</v>
      </c>
      <c r="D608" s="202"/>
      <c r="E608" s="211" t="str">
        <f>DAY(表格3_5[[#This Row],[Date]])&amp;""</f>
        <v>0</v>
      </c>
      <c r="F608" s="203"/>
      <c r="G608" s="216">
        <f>_xlfn.XLOOKUP(表格3_5[[#This Row],[Name]],Name_list[Full Name],Name_list[Nick Name])</f>
        <v>0</v>
      </c>
      <c r="H608" s="207"/>
      <c r="I608" s="228"/>
      <c r="J608" s="218"/>
      <c r="K608" s="205"/>
      <c r="L608" s="210">
        <f>(表格3_5[[#This Row],[Out-Time]] - 表格3_5[[#This Row],[In-Time]])*24</f>
        <v>0</v>
      </c>
      <c r="M608" s="210">
        <f>表格3_5[[#This Row],[ Hours]]-表格3_5[[#This Row],[Normal working
 hours]]</f>
        <v>0</v>
      </c>
      <c r="N608" s="205"/>
      <c r="O608" s="205"/>
      <c r="P608" s="210">
        <f>(表格3_5[[#This Row],[Out-Time2]] - 表格3_5[[#This Row],[In-Time2]])*24</f>
        <v>0</v>
      </c>
      <c r="Q608" s="205"/>
      <c r="R608" s="214">
        <f>_xlfn.XLOOKUP(表格3_5[[#This Row],[Name]],Name_list[Full Name],Name_list[Hourr Rate])</f>
        <v>0</v>
      </c>
      <c r="S608" s="210">
        <f>表格3_5[[#This Row],[Hours Worked]]*表格3_5[[#This Row],[Hourly Rate]]</f>
        <v>0</v>
      </c>
    </row>
    <row r="609" spans="1:19">
      <c r="A609" s="201">
        <v>607</v>
      </c>
      <c r="B609" s="210" t="str">
        <f>_xlfn.CONCAT(表格3_5[[#This Row],[Name]],表格3_5[[#This Row],[Location]])</f>
        <v/>
      </c>
      <c r="C609" s="211" t="str">
        <f>表格3_5[[#This Row],[Location]] &amp; 表格3_5[[#This Row],[Date]] &amp;表格3_5[[#This Row],[Nick Name]]</f>
        <v>0</v>
      </c>
      <c r="D609" s="202"/>
      <c r="E609" s="211" t="str">
        <f>DAY(表格3_5[[#This Row],[Date]])&amp;""</f>
        <v>0</v>
      </c>
      <c r="F609" s="203"/>
      <c r="G609" s="216">
        <f>_xlfn.XLOOKUP(表格3_5[[#This Row],[Name]],Name_list[Full Name],Name_list[Nick Name])</f>
        <v>0</v>
      </c>
      <c r="H609" s="207"/>
      <c r="I609" s="228"/>
      <c r="J609" s="218"/>
      <c r="K609" s="205"/>
      <c r="L609" s="210">
        <f>(表格3_5[[#This Row],[Out-Time]] - 表格3_5[[#This Row],[In-Time]])*24</f>
        <v>0</v>
      </c>
      <c r="M609" s="210">
        <f>表格3_5[[#This Row],[ Hours]]-表格3_5[[#This Row],[Normal working
 hours]]</f>
        <v>0</v>
      </c>
      <c r="N609" s="205"/>
      <c r="O609" s="205"/>
      <c r="P609" s="210">
        <f>(表格3_5[[#This Row],[Out-Time2]] - 表格3_5[[#This Row],[In-Time2]])*24</f>
        <v>0</v>
      </c>
      <c r="Q609" s="205"/>
      <c r="R609" s="214">
        <f>_xlfn.XLOOKUP(表格3_5[[#This Row],[Name]],Name_list[Full Name],Name_list[Hourr Rate])</f>
        <v>0</v>
      </c>
      <c r="S609" s="210">
        <f>表格3_5[[#This Row],[Hours Worked]]*表格3_5[[#This Row],[Hourly Rate]]</f>
        <v>0</v>
      </c>
    </row>
    <row r="610" spans="1:19">
      <c r="A610" s="201">
        <v>608</v>
      </c>
      <c r="B610" s="210" t="str">
        <f>_xlfn.CONCAT(表格3_5[[#This Row],[Name]],表格3_5[[#This Row],[Location]])</f>
        <v/>
      </c>
      <c r="C610" s="211" t="str">
        <f>表格3_5[[#This Row],[Location]] &amp; 表格3_5[[#This Row],[Date]] &amp;表格3_5[[#This Row],[Nick Name]]</f>
        <v>0</v>
      </c>
      <c r="D610" s="202"/>
      <c r="E610" s="211" t="str">
        <f>DAY(表格3_5[[#This Row],[Date]])&amp;""</f>
        <v>0</v>
      </c>
      <c r="F610" s="203"/>
      <c r="G610" s="216">
        <f>_xlfn.XLOOKUP(表格3_5[[#This Row],[Name]],Name_list[Full Name],Name_list[Nick Name])</f>
        <v>0</v>
      </c>
      <c r="H610" s="207"/>
      <c r="I610" s="228"/>
      <c r="J610" s="218"/>
      <c r="K610" s="205"/>
      <c r="L610" s="210">
        <f>(表格3_5[[#This Row],[Out-Time]] - 表格3_5[[#This Row],[In-Time]])*24</f>
        <v>0</v>
      </c>
      <c r="M610" s="210">
        <f>表格3_5[[#This Row],[ Hours]]-表格3_5[[#This Row],[Normal working
 hours]]</f>
        <v>0</v>
      </c>
      <c r="N610" s="205"/>
      <c r="O610" s="205"/>
      <c r="P610" s="210">
        <f>(表格3_5[[#This Row],[Out-Time2]] - 表格3_5[[#This Row],[In-Time2]])*24</f>
        <v>0</v>
      </c>
      <c r="Q610" s="205"/>
      <c r="R610" s="214">
        <f>_xlfn.XLOOKUP(表格3_5[[#This Row],[Name]],Name_list[Full Name],Name_list[Hourr Rate])</f>
        <v>0</v>
      </c>
      <c r="S610" s="210">
        <f>表格3_5[[#This Row],[Hours Worked]]*表格3_5[[#This Row],[Hourly Rate]]</f>
        <v>0</v>
      </c>
    </row>
    <row r="611" spans="1:19">
      <c r="A611" s="201">
        <v>609</v>
      </c>
      <c r="B611" s="210" t="str">
        <f>_xlfn.CONCAT(表格3_5[[#This Row],[Name]],表格3_5[[#This Row],[Location]])</f>
        <v/>
      </c>
      <c r="C611" s="211" t="str">
        <f>表格3_5[[#This Row],[Location]] &amp; 表格3_5[[#This Row],[Date]] &amp;表格3_5[[#This Row],[Nick Name]]</f>
        <v>0</v>
      </c>
      <c r="D611" s="202"/>
      <c r="E611" s="211" t="str">
        <f>DAY(表格3_5[[#This Row],[Date]])&amp;""</f>
        <v>0</v>
      </c>
      <c r="F611" s="203"/>
      <c r="G611" s="216">
        <f>_xlfn.XLOOKUP(表格3_5[[#This Row],[Name]],Name_list[Full Name],Name_list[Nick Name])</f>
        <v>0</v>
      </c>
      <c r="H611" s="207"/>
      <c r="I611" s="228"/>
      <c r="J611" s="218"/>
      <c r="K611" s="205"/>
      <c r="L611" s="210">
        <f>(表格3_5[[#This Row],[Out-Time]] - 表格3_5[[#This Row],[In-Time]])*24</f>
        <v>0</v>
      </c>
      <c r="M611" s="210">
        <f>表格3_5[[#This Row],[ Hours]]-表格3_5[[#This Row],[Normal working
 hours]]</f>
        <v>0</v>
      </c>
      <c r="N611" s="205"/>
      <c r="O611" s="205"/>
      <c r="P611" s="210">
        <f>(表格3_5[[#This Row],[Out-Time2]] - 表格3_5[[#This Row],[In-Time2]])*24</f>
        <v>0</v>
      </c>
      <c r="Q611" s="205"/>
      <c r="R611" s="214">
        <f>_xlfn.XLOOKUP(表格3_5[[#This Row],[Name]],Name_list[Full Name],Name_list[Hourr Rate])</f>
        <v>0</v>
      </c>
      <c r="S611" s="210">
        <f>表格3_5[[#This Row],[Hours Worked]]*表格3_5[[#This Row],[Hourly Rate]]</f>
        <v>0</v>
      </c>
    </row>
    <row r="612" spans="1:19">
      <c r="A612" s="201">
        <v>610</v>
      </c>
      <c r="B612" s="210" t="str">
        <f>_xlfn.CONCAT(表格3_5[[#This Row],[Name]],表格3_5[[#This Row],[Location]])</f>
        <v/>
      </c>
      <c r="C612" s="211" t="str">
        <f>表格3_5[[#This Row],[Location]] &amp; 表格3_5[[#This Row],[Date]] &amp;表格3_5[[#This Row],[Nick Name]]</f>
        <v>0</v>
      </c>
      <c r="D612" s="202"/>
      <c r="E612" s="211" t="str">
        <f>DAY(表格3_5[[#This Row],[Date]])&amp;""</f>
        <v>0</v>
      </c>
      <c r="F612" s="203"/>
      <c r="G612" s="216">
        <f>_xlfn.XLOOKUP(表格3_5[[#This Row],[Name]],Name_list[Full Name],Name_list[Nick Name])</f>
        <v>0</v>
      </c>
      <c r="H612" s="207"/>
      <c r="I612" s="228"/>
      <c r="J612" s="218"/>
      <c r="K612" s="205"/>
      <c r="L612" s="210">
        <f>(表格3_5[[#This Row],[Out-Time]] - 表格3_5[[#This Row],[In-Time]])*24</f>
        <v>0</v>
      </c>
      <c r="M612" s="210">
        <f>表格3_5[[#This Row],[ Hours]]-表格3_5[[#This Row],[Normal working
 hours]]</f>
        <v>0</v>
      </c>
      <c r="N612" s="205"/>
      <c r="O612" s="205"/>
      <c r="P612" s="210">
        <f>(表格3_5[[#This Row],[Out-Time2]] - 表格3_5[[#This Row],[In-Time2]])*24</f>
        <v>0</v>
      </c>
      <c r="Q612" s="205"/>
      <c r="R612" s="214">
        <f>_xlfn.XLOOKUP(表格3_5[[#This Row],[Name]],Name_list[Full Name],Name_list[Hourr Rate])</f>
        <v>0</v>
      </c>
      <c r="S612" s="210">
        <f>表格3_5[[#This Row],[Hours Worked]]*表格3_5[[#This Row],[Hourly Rate]]</f>
        <v>0</v>
      </c>
    </row>
    <row r="613" spans="1:19">
      <c r="A613" s="201">
        <v>611</v>
      </c>
      <c r="B613" s="210" t="str">
        <f>_xlfn.CONCAT(表格3_5[[#This Row],[Name]],表格3_5[[#This Row],[Location]])</f>
        <v/>
      </c>
      <c r="C613" s="211" t="str">
        <f>表格3_5[[#This Row],[Location]] &amp; 表格3_5[[#This Row],[Date]] &amp;表格3_5[[#This Row],[Nick Name]]</f>
        <v>0</v>
      </c>
      <c r="D613" s="202"/>
      <c r="E613" s="211" t="str">
        <f>DAY(表格3_5[[#This Row],[Date]])&amp;""</f>
        <v>0</v>
      </c>
      <c r="F613" s="203"/>
      <c r="G613" s="216">
        <f>_xlfn.XLOOKUP(表格3_5[[#This Row],[Name]],Name_list[Full Name],Name_list[Nick Name])</f>
        <v>0</v>
      </c>
      <c r="H613" s="207"/>
      <c r="I613" s="228"/>
      <c r="J613" s="218"/>
      <c r="K613" s="205"/>
      <c r="L613" s="210">
        <f>(表格3_5[[#This Row],[Out-Time]] - 表格3_5[[#This Row],[In-Time]])*24</f>
        <v>0</v>
      </c>
      <c r="M613" s="210">
        <f>表格3_5[[#This Row],[ Hours]]-表格3_5[[#This Row],[Normal working
 hours]]</f>
        <v>0</v>
      </c>
      <c r="N613" s="205"/>
      <c r="O613" s="205"/>
      <c r="P613" s="210">
        <f>(表格3_5[[#This Row],[Out-Time2]] - 表格3_5[[#This Row],[In-Time2]])*24</f>
        <v>0</v>
      </c>
      <c r="Q613" s="205"/>
      <c r="R613" s="214">
        <f>_xlfn.XLOOKUP(表格3_5[[#This Row],[Name]],Name_list[Full Name],Name_list[Hourr Rate])</f>
        <v>0</v>
      </c>
      <c r="S613" s="210">
        <f>表格3_5[[#This Row],[Hours Worked]]*表格3_5[[#This Row],[Hourly Rate]]</f>
        <v>0</v>
      </c>
    </row>
    <row r="614" spans="1:19">
      <c r="A614" s="201">
        <v>612</v>
      </c>
      <c r="B614" s="210" t="str">
        <f>_xlfn.CONCAT(表格3_5[[#This Row],[Name]],表格3_5[[#This Row],[Location]])</f>
        <v/>
      </c>
      <c r="C614" s="211" t="str">
        <f>表格3_5[[#This Row],[Location]] &amp; 表格3_5[[#This Row],[Date]] &amp;表格3_5[[#This Row],[Nick Name]]</f>
        <v>0</v>
      </c>
      <c r="D614" s="202"/>
      <c r="E614" s="211" t="str">
        <f>DAY(表格3_5[[#This Row],[Date]])&amp;""</f>
        <v>0</v>
      </c>
      <c r="F614" s="203"/>
      <c r="G614" s="216">
        <f>_xlfn.XLOOKUP(表格3_5[[#This Row],[Name]],Name_list[Full Name],Name_list[Nick Name])</f>
        <v>0</v>
      </c>
      <c r="H614" s="207"/>
      <c r="I614" s="228"/>
      <c r="J614" s="218"/>
      <c r="K614" s="205"/>
      <c r="L614" s="210">
        <f>(表格3_5[[#This Row],[Out-Time]] - 表格3_5[[#This Row],[In-Time]])*24</f>
        <v>0</v>
      </c>
      <c r="M614" s="210">
        <f>表格3_5[[#This Row],[ Hours]]-表格3_5[[#This Row],[Normal working
 hours]]</f>
        <v>0</v>
      </c>
      <c r="N614" s="205"/>
      <c r="O614" s="205"/>
      <c r="P614" s="210">
        <f>(表格3_5[[#This Row],[Out-Time2]] - 表格3_5[[#This Row],[In-Time2]])*24</f>
        <v>0</v>
      </c>
      <c r="Q614" s="205"/>
      <c r="R614" s="214">
        <f>_xlfn.XLOOKUP(表格3_5[[#This Row],[Name]],Name_list[Full Name],Name_list[Hourr Rate])</f>
        <v>0</v>
      </c>
      <c r="S614" s="210">
        <f>表格3_5[[#This Row],[Hours Worked]]*表格3_5[[#This Row],[Hourly Rate]]</f>
        <v>0</v>
      </c>
    </row>
    <row r="615" spans="1:19">
      <c r="A615" s="201">
        <v>613</v>
      </c>
      <c r="B615" s="210" t="str">
        <f>_xlfn.CONCAT(表格3_5[[#This Row],[Name]],表格3_5[[#This Row],[Location]])</f>
        <v/>
      </c>
      <c r="C615" s="211" t="str">
        <f>表格3_5[[#This Row],[Location]] &amp; 表格3_5[[#This Row],[Date]] &amp;表格3_5[[#This Row],[Nick Name]]</f>
        <v>0</v>
      </c>
      <c r="D615" s="202"/>
      <c r="E615" s="211" t="str">
        <f>DAY(表格3_5[[#This Row],[Date]])&amp;""</f>
        <v>0</v>
      </c>
      <c r="F615" s="203"/>
      <c r="G615" s="216">
        <f>_xlfn.XLOOKUP(表格3_5[[#This Row],[Name]],Name_list[Full Name],Name_list[Nick Name])</f>
        <v>0</v>
      </c>
      <c r="H615" s="207"/>
      <c r="I615" s="228"/>
      <c r="J615" s="218"/>
      <c r="K615" s="205"/>
      <c r="L615" s="210">
        <f>(表格3_5[[#This Row],[Out-Time]] - 表格3_5[[#This Row],[In-Time]])*24</f>
        <v>0</v>
      </c>
      <c r="M615" s="210">
        <f>表格3_5[[#This Row],[ Hours]]-表格3_5[[#This Row],[Normal working
 hours]]</f>
        <v>0</v>
      </c>
      <c r="N615" s="205"/>
      <c r="O615" s="205"/>
      <c r="P615" s="210">
        <f>(表格3_5[[#This Row],[Out-Time2]] - 表格3_5[[#This Row],[In-Time2]])*24</f>
        <v>0</v>
      </c>
      <c r="Q615" s="205"/>
      <c r="R615" s="214">
        <f>_xlfn.XLOOKUP(表格3_5[[#This Row],[Name]],Name_list[Full Name],Name_list[Hourr Rate])</f>
        <v>0</v>
      </c>
      <c r="S615" s="210">
        <f>表格3_5[[#This Row],[Hours Worked]]*表格3_5[[#This Row],[Hourly Rate]]</f>
        <v>0</v>
      </c>
    </row>
    <row r="616" spans="1:19">
      <c r="A616" s="201">
        <v>614</v>
      </c>
      <c r="B616" s="210" t="str">
        <f>_xlfn.CONCAT(表格3_5[[#This Row],[Name]],表格3_5[[#This Row],[Location]])</f>
        <v/>
      </c>
      <c r="C616" s="211" t="str">
        <f>表格3_5[[#This Row],[Location]] &amp; 表格3_5[[#This Row],[Date]] &amp;表格3_5[[#This Row],[Nick Name]]</f>
        <v>0</v>
      </c>
      <c r="D616" s="202"/>
      <c r="E616" s="211" t="str">
        <f>DAY(表格3_5[[#This Row],[Date]])&amp;""</f>
        <v>0</v>
      </c>
      <c r="F616" s="203"/>
      <c r="G616" s="216">
        <f>_xlfn.XLOOKUP(表格3_5[[#This Row],[Name]],Name_list[Full Name],Name_list[Nick Name])</f>
        <v>0</v>
      </c>
      <c r="H616" s="207"/>
      <c r="I616" s="228"/>
      <c r="J616" s="218"/>
      <c r="K616" s="205"/>
      <c r="L616" s="210">
        <f>(表格3_5[[#This Row],[Out-Time]] - 表格3_5[[#This Row],[In-Time]])*24</f>
        <v>0</v>
      </c>
      <c r="M616" s="210">
        <f>表格3_5[[#This Row],[ Hours]]-表格3_5[[#This Row],[Normal working
 hours]]</f>
        <v>0</v>
      </c>
      <c r="N616" s="205"/>
      <c r="O616" s="205"/>
      <c r="P616" s="210">
        <f>(表格3_5[[#This Row],[Out-Time2]] - 表格3_5[[#This Row],[In-Time2]])*24</f>
        <v>0</v>
      </c>
      <c r="Q616" s="205"/>
      <c r="R616" s="214">
        <f>_xlfn.XLOOKUP(表格3_5[[#This Row],[Name]],Name_list[Full Name],Name_list[Hourr Rate])</f>
        <v>0</v>
      </c>
      <c r="S616" s="210">
        <f>表格3_5[[#This Row],[Hours Worked]]*表格3_5[[#This Row],[Hourly Rate]]</f>
        <v>0</v>
      </c>
    </row>
    <row r="617" spans="1:19">
      <c r="A617" s="201">
        <v>615</v>
      </c>
      <c r="B617" s="210" t="str">
        <f>_xlfn.CONCAT(表格3_5[[#This Row],[Name]],表格3_5[[#This Row],[Location]])</f>
        <v/>
      </c>
      <c r="C617" s="211" t="str">
        <f>表格3_5[[#This Row],[Location]] &amp; 表格3_5[[#This Row],[Date]] &amp;表格3_5[[#This Row],[Nick Name]]</f>
        <v>0</v>
      </c>
      <c r="D617" s="202"/>
      <c r="E617" s="211" t="str">
        <f>DAY(表格3_5[[#This Row],[Date]])&amp;""</f>
        <v>0</v>
      </c>
      <c r="F617" s="203"/>
      <c r="G617" s="216">
        <f>_xlfn.XLOOKUP(表格3_5[[#This Row],[Name]],Name_list[Full Name],Name_list[Nick Name])</f>
        <v>0</v>
      </c>
      <c r="H617" s="207"/>
      <c r="I617" s="228"/>
      <c r="J617" s="218"/>
      <c r="K617" s="205"/>
      <c r="L617" s="210">
        <f>(表格3_5[[#This Row],[Out-Time]] - 表格3_5[[#This Row],[In-Time]])*24</f>
        <v>0</v>
      </c>
      <c r="M617" s="210">
        <f>表格3_5[[#This Row],[ Hours]]-表格3_5[[#This Row],[Normal working
 hours]]</f>
        <v>0</v>
      </c>
      <c r="N617" s="205"/>
      <c r="O617" s="205"/>
      <c r="P617" s="210">
        <f>(表格3_5[[#This Row],[Out-Time2]] - 表格3_5[[#This Row],[In-Time2]])*24</f>
        <v>0</v>
      </c>
      <c r="Q617" s="205"/>
      <c r="R617" s="214">
        <f>_xlfn.XLOOKUP(表格3_5[[#This Row],[Name]],Name_list[Full Name],Name_list[Hourr Rate])</f>
        <v>0</v>
      </c>
      <c r="S617" s="210">
        <f>表格3_5[[#This Row],[Hours Worked]]*表格3_5[[#This Row],[Hourly Rate]]</f>
        <v>0</v>
      </c>
    </row>
    <row r="618" spans="1:19">
      <c r="A618" s="201">
        <v>616</v>
      </c>
      <c r="B618" s="210" t="str">
        <f>_xlfn.CONCAT(表格3_5[[#This Row],[Name]],表格3_5[[#This Row],[Location]])</f>
        <v/>
      </c>
      <c r="C618" s="211" t="str">
        <f>表格3_5[[#This Row],[Location]] &amp; 表格3_5[[#This Row],[Date]] &amp;表格3_5[[#This Row],[Nick Name]]</f>
        <v>0</v>
      </c>
      <c r="D618" s="202"/>
      <c r="E618" s="211" t="str">
        <f>DAY(表格3_5[[#This Row],[Date]])&amp;""</f>
        <v>0</v>
      </c>
      <c r="F618" s="203"/>
      <c r="G618" s="216">
        <f>_xlfn.XLOOKUP(表格3_5[[#This Row],[Name]],Name_list[Full Name],Name_list[Nick Name])</f>
        <v>0</v>
      </c>
      <c r="H618" s="207"/>
      <c r="I618" s="228"/>
      <c r="J618" s="218"/>
      <c r="K618" s="205"/>
      <c r="L618" s="210">
        <f>(表格3_5[[#This Row],[Out-Time]] - 表格3_5[[#This Row],[In-Time]])*24</f>
        <v>0</v>
      </c>
      <c r="M618" s="210">
        <f>表格3_5[[#This Row],[ Hours]]-表格3_5[[#This Row],[Normal working
 hours]]</f>
        <v>0</v>
      </c>
      <c r="N618" s="205"/>
      <c r="O618" s="205"/>
      <c r="P618" s="210">
        <f>(表格3_5[[#This Row],[Out-Time2]] - 表格3_5[[#This Row],[In-Time2]])*24</f>
        <v>0</v>
      </c>
      <c r="Q618" s="205"/>
      <c r="R618" s="214">
        <f>_xlfn.XLOOKUP(表格3_5[[#This Row],[Name]],Name_list[Full Name],Name_list[Hourr Rate])</f>
        <v>0</v>
      </c>
      <c r="S618" s="210">
        <f>表格3_5[[#This Row],[Hours Worked]]*表格3_5[[#This Row],[Hourly Rate]]</f>
        <v>0</v>
      </c>
    </row>
    <row r="619" spans="1:19">
      <c r="A619" s="201">
        <v>617</v>
      </c>
      <c r="B619" s="210" t="str">
        <f>_xlfn.CONCAT(表格3_5[[#This Row],[Name]],表格3_5[[#This Row],[Location]])</f>
        <v/>
      </c>
      <c r="C619" s="211" t="str">
        <f>表格3_5[[#This Row],[Location]] &amp; 表格3_5[[#This Row],[Date]] &amp;表格3_5[[#This Row],[Nick Name]]</f>
        <v>0</v>
      </c>
      <c r="D619" s="202"/>
      <c r="E619" s="211" t="str">
        <f>DAY(表格3_5[[#This Row],[Date]])&amp;""</f>
        <v>0</v>
      </c>
      <c r="F619" s="203"/>
      <c r="G619" s="216">
        <f>_xlfn.XLOOKUP(表格3_5[[#This Row],[Name]],Name_list[Full Name],Name_list[Nick Name])</f>
        <v>0</v>
      </c>
      <c r="H619" s="207"/>
      <c r="I619" s="228"/>
      <c r="J619" s="218"/>
      <c r="K619" s="205"/>
      <c r="L619" s="210">
        <f>(表格3_5[[#This Row],[Out-Time]] - 表格3_5[[#This Row],[In-Time]])*24</f>
        <v>0</v>
      </c>
      <c r="M619" s="210">
        <f>表格3_5[[#This Row],[ Hours]]-表格3_5[[#This Row],[Normal working
 hours]]</f>
        <v>0</v>
      </c>
      <c r="N619" s="205"/>
      <c r="O619" s="205"/>
      <c r="P619" s="210">
        <f>(表格3_5[[#This Row],[Out-Time2]] - 表格3_5[[#This Row],[In-Time2]])*24</f>
        <v>0</v>
      </c>
      <c r="Q619" s="205"/>
      <c r="R619" s="214">
        <f>_xlfn.XLOOKUP(表格3_5[[#This Row],[Name]],Name_list[Full Name],Name_list[Hourr Rate])</f>
        <v>0</v>
      </c>
      <c r="S619" s="210">
        <f>表格3_5[[#This Row],[Hours Worked]]*表格3_5[[#This Row],[Hourly Rate]]</f>
        <v>0</v>
      </c>
    </row>
    <row r="620" spans="1:19">
      <c r="A620" s="201">
        <v>618</v>
      </c>
      <c r="B620" s="210" t="str">
        <f>_xlfn.CONCAT(表格3_5[[#This Row],[Name]],表格3_5[[#This Row],[Location]])</f>
        <v/>
      </c>
      <c r="C620" s="211" t="str">
        <f>表格3_5[[#This Row],[Location]] &amp; 表格3_5[[#This Row],[Date]] &amp;表格3_5[[#This Row],[Nick Name]]</f>
        <v>0</v>
      </c>
      <c r="D620" s="202"/>
      <c r="E620" s="211" t="str">
        <f>DAY(表格3_5[[#This Row],[Date]])&amp;""</f>
        <v>0</v>
      </c>
      <c r="F620" s="203"/>
      <c r="G620" s="216">
        <f>_xlfn.XLOOKUP(表格3_5[[#This Row],[Name]],Name_list[Full Name],Name_list[Nick Name])</f>
        <v>0</v>
      </c>
      <c r="H620" s="207"/>
      <c r="I620" s="228"/>
      <c r="J620" s="218"/>
      <c r="K620" s="205"/>
      <c r="L620" s="210">
        <f>(表格3_5[[#This Row],[Out-Time]] - 表格3_5[[#This Row],[In-Time]])*24</f>
        <v>0</v>
      </c>
      <c r="M620" s="210">
        <f>表格3_5[[#This Row],[ Hours]]-表格3_5[[#This Row],[Normal working
 hours]]</f>
        <v>0</v>
      </c>
      <c r="N620" s="205"/>
      <c r="O620" s="205"/>
      <c r="P620" s="210">
        <f>(表格3_5[[#This Row],[Out-Time2]] - 表格3_5[[#This Row],[In-Time2]])*24</f>
        <v>0</v>
      </c>
      <c r="Q620" s="205"/>
      <c r="R620" s="214">
        <f>_xlfn.XLOOKUP(表格3_5[[#This Row],[Name]],Name_list[Full Name],Name_list[Hourr Rate])</f>
        <v>0</v>
      </c>
      <c r="S620" s="210">
        <f>表格3_5[[#This Row],[Hours Worked]]*表格3_5[[#This Row],[Hourly Rate]]</f>
        <v>0</v>
      </c>
    </row>
    <row r="621" spans="1:19">
      <c r="A621" s="201">
        <v>619</v>
      </c>
      <c r="B621" s="210" t="str">
        <f>_xlfn.CONCAT(表格3_5[[#This Row],[Name]],表格3_5[[#This Row],[Location]])</f>
        <v/>
      </c>
      <c r="C621" s="211" t="str">
        <f>表格3_5[[#This Row],[Location]] &amp; 表格3_5[[#This Row],[Date]] &amp;表格3_5[[#This Row],[Nick Name]]</f>
        <v>0</v>
      </c>
      <c r="D621" s="202"/>
      <c r="E621" s="211" t="str">
        <f>DAY(表格3_5[[#This Row],[Date]])&amp;""</f>
        <v>0</v>
      </c>
      <c r="F621" s="203"/>
      <c r="G621" s="216">
        <f>_xlfn.XLOOKUP(表格3_5[[#This Row],[Name]],Name_list[Full Name],Name_list[Nick Name])</f>
        <v>0</v>
      </c>
      <c r="H621" s="207"/>
      <c r="I621" s="228"/>
      <c r="J621" s="218"/>
      <c r="K621" s="205"/>
      <c r="L621" s="210">
        <f>(表格3_5[[#This Row],[Out-Time]] - 表格3_5[[#This Row],[In-Time]])*24</f>
        <v>0</v>
      </c>
      <c r="M621" s="210">
        <f>表格3_5[[#This Row],[ Hours]]-表格3_5[[#This Row],[Normal working
 hours]]</f>
        <v>0</v>
      </c>
      <c r="N621" s="205"/>
      <c r="O621" s="205"/>
      <c r="P621" s="210">
        <f>(表格3_5[[#This Row],[Out-Time2]] - 表格3_5[[#This Row],[In-Time2]])*24</f>
        <v>0</v>
      </c>
      <c r="Q621" s="205"/>
      <c r="R621" s="214">
        <f>_xlfn.XLOOKUP(表格3_5[[#This Row],[Name]],Name_list[Full Name],Name_list[Hourr Rate])</f>
        <v>0</v>
      </c>
      <c r="S621" s="210">
        <f>表格3_5[[#This Row],[Hours Worked]]*表格3_5[[#This Row],[Hourly Rate]]</f>
        <v>0</v>
      </c>
    </row>
    <row r="622" spans="1:19">
      <c r="A622" s="201">
        <v>620</v>
      </c>
      <c r="B622" s="210" t="str">
        <f>_xlfn.CONCAT(表格3_5[[#This Row],[Name]],表格3_5[[#This Row],[Location]])</f>
        <v/>
      </c>
      <c r="C622" s="211" t="str">
        <f>表格3_5[[#This Row],[Location]] &amp; 表格3_5[[#This Row],[Date]] &amp;表格3_5[[#This Row],[Nick Name]]</f>
        <v>0</v>
      </c>
      <c r="D622" s="202"/>
      <c r="E622" s="211" t="str">
        <f>DAY(表格3_5[[#This Row],[Date]])&amp;""</f>
        <v>0</v>
      </c>
      <c r="F622" s="203"/>
      <c r="G622" s="216">
        <f>_xlfn.XLOOKUP(表格3_5[[#This Row],[Name]],Name_list[Full Name],Name_list[Nick Name])</f>
        <v>0</v>
      </c>
      <c r="H622" s="207"/>
      <c r="I622" s="228"/>
      <c r="J622" s="218"/>
      <c r="K622" s="205"/>
      <c r="L622" s="210">
        <f>(表格3_5[[#This Row],[Out-Time]] - 表格3_5[[#This Row],[In-Time]])*24</f>
        <v>0</v>
      </c>
      <c r="M622" s="210">
        <f>表格3_5[[#This Row],[ Hours]]-表格3_5[[#This Row],[Normal working
 hours]]</f>
        <v>0</v>
      </c>
      <c r="N622" s="205"/>
      <c r="O622" s="205"/>
      <c r="P622" s="210">
        <f>(表格3_5[[#This Row],[Out-Time2]] - 表格3_5[[#This Row],[In-Time2]])*24</f>
        <v>0</v>
      </c>
      <c r="Q622" s="205"/>
      <c r="R622" s="214">
        <f>_xlfn.XLOOKUP(表格3_5[[#This Row],[Name]],Name_list[Full Name],Name_list[Hourr Rate])</f>
        <v>0</v>
      </c>
      <c r="S622" s="210">
        <f>表格3_5[[#This Row],[Hours Worked]]*表格3_5[[#This Row],[Hourly Rate]]</f>
        <v>0</v>
      </c>
    </row>
    <row r="623" spans="1:19">
      <c r="A623" s="201">
        <v>621</v>
      </c>
      <c r="B623" s="210" t="str">
        <f>_xlfn.CONCAT(表格3_5[[#This Row],[Name]],表格3_5[[#This Row],[Location]])</f>
        <v/>
      </c>
      <c r="C623" s="211" t="str">
        <f>表格3_5[[#This Row],[Location]] &amp; 表格3_5[[#This Row],[Date]] &amp;表格3_5[[#This Row],[Nick Name]]</f>
        <v>0</v>
      </c>
      <c r="D623" s="202"/>
      <c r="E623" s="211" t="str">
        <f>DAY(表格3_5[[#This Row],[Date]])&amp;""</f>
        <v>0</v>
      </c>
      <c r="F623" s="203"/>
      <c r="G623" s="216">
        <f>_xlfn.XLOOKUP(表格3_5[[#This Row],[Name]],Name_list[Full Name],Name_list[Nick Name])</f>
        <v>0</v>
      </c>
      <c r="H623" s="207"/>
      <c r="I623" s="228"/>
      <c r="J623" s="218"/>
      <c r="K623" s="205"/>
      <c r="L623" s="210">
        <f>(表格3_5[[#This Row],[Out-Time]] - 表格3_5[[#This Row],[In-Time]])*24</f>
        <v>0</v>
      </c>
      <c r="M623" s="210">
        <f>表格3_5[[#This Row],[ Hours]]-表格3_5[[#This Row],[Normal working
 hours]]</f>
        <v>0</v>
      </c>
      <c r="N623" s="205"/>
      <c r="O623" s="205"/>
      <c r="P623" s="210">
        <f>(表格3_5[[#This Row],[Out-Time2]] - 表格3_5[[#This Row],[In-Time2]])*24</f>
        <v>0</v>
      </c>
      <c r="Q623" s="205"/>
      <c r="R623" s="214">
        <f>_xlfn.XLOOKUP(表格3_5[[#This Row],[Name]],Name_list[Full Name],Name_list[Hourr Rate])</f>
        <v>0</v>
      </c>
      <c r="S623" s="210">
        <f>表格3_5[[#This Row],[Hours Worked]]*表格3_5[[#This Row],[Hourly Rate]]</f>
        <v>0</v>
      </c>
    </row>
    <row r="624" spans="1:19">
      <c r="A624" s="201">
        <v>622</v>
      </c>
      <c r="B624" s="210" t="str">
        <f>_xlfn.CONCAT(表格3_5[[#This Row],[Name]],表格3_5[[#This Row],[Location]])</f>
        <v/>
      </c>
      <c r="C624" s="211" t="str">
        <f>表格3_5[[#This Row],[Location]] &amp; 表格3_5[[#This Row],[Date]] &amp;表格3_5[[#This Row],[Nick Name]]</f>
        <v>0</v>
      </c>
      <c r="D624" s="202"/>
      <c r="E624" s="211" t="str">
        <f>DAY(表格3_5[[#This Row],[Date]])&amp;""</f>
        <v>0</v>
      </c>
      <c r="F624" s="203"/>
      <c r="G624" s="216">
        <f>_xlfn.XLOOKUP(表格3_5[[#This Row],[Name]],Name_list[Full Name],Name_list[Nick Name])</f>
        <v>0</v>
      </c>
      <c r="H624" s="207"/>
      <c r="I624" s="228"/>
      <c r="J624" s="218"/>
      <c r="K624" s="205"/>
      <c r="L624" s="210">
        <f>(表格3_5[[#This Row],[Out-Time]] - 表格3_5[[#This Row],[In-Time]])*24</f>
        <v>0</v>
      </c>
      <c r="M624" s="210">
        <f>表格3_5[[#This Row],[ Hours]]-表格3_5[[#This Row],[Normal working
 hours]]</f>
        <v>0</v>
      </c>
      <c r="N624" s="205"/>
      <c r="O624" s="205"/>
      <c r="P624" s="210">
        <f>(表格3_5[[#This Row],[Out-Time2]] - 表格3_5[[#This Row],[In-Time2]])*24</f>
        <v>0</v>
      </c>
      <c r="Q624" s="205"/>
      <c r="R624" s="214">
        <f>_xlfn.XLOOKUP(表格3_5[[#This Row],[Name]],Name_list[Full Name],Name_list[Hourr Rate])</f>
        <v>0</v>
      </c>
      <c r="S624" s="210">
        <f>表格3_5[[#This Row],[Hours Worked]]*表格3_5[[#This Row],[Hourly Rate]]</f>
        <v>0</v>
      </c>
    </row>
    <row r="625" spans="1:19">
      <c r="A625" s="201">
        <v>623</v>
      </c>
      <c r="B625" s="210" t="str">
        <f>_xlfn.CONCAT(表格3_5[[#This Row],[Name]],表格3_5[[#This Row],[Location]])</f>
        <v/>
      </c>
      <c r="C625" s="211" t="str">
        <f>表格3_5[[#This Row],[Location]] &amp; 表格3_5[[#This Row],[Date]] &amp;表格3_5[[#This Row],[Nick Name]]</f>
        <v>0</v>
      </c>
      <c r="D625" s="202"/>
      <c r="E625" s="211" t="str">
        <f>DAY(表格3_5[[#This Row],[Date]])&amp;""</f>
        <v>0</v>
      </c>
      <c r="F625" s="203"/>
      <c r="G625" s="216">
        <f>_xlfn.XLOOKUP(表格3_5[[#This Row],[Name]],Name_list[Full Name],Name_list[Nick Name])</f>
        <v>0</v>
      </c>
      <c r="H625" s="207"/>
      <c r="I625" s="228"/>
      <c r="J625" s="218"/>
      <c r="K625" s="205"/>
      <c r="L625" s="210">
        <f>(表格3_5[[#This Row],[Out-Time]] - 表格3_5[[#This Row],[In-Time]])*24</f>
        <v>0</v>
      </c>
      <c r="M625" s="210">
        <f>表格3_5[[#This Row],[ Hours]]-表格3_5[[#This Row],[Normal working
 hours]]</f>
        <v>0</v>
      </c>
      <c r="N625" s="205"/>
      <c r="O625" s="205"/>
      <c r="P625" s="210">
        <f>(表格3_5[[#This Row],[Out-Time2]] - 表格3_5[[#This Row],[In-Time2]])*24</f>
        <v>0</v>
      </c>
      <c r="Q625" s="205"/>
      <c r="R625" s="214">
        <f>_xlfn.XLOOKUP(表格3_5[[#This Row],[Name]],Name_list[Full Name],Name_list[Hourr Rate])</f>
        <v>0</v>
      </c>
      <c r="S625" s="210">
        <f>表格3_5[[#This Row],[Hours Worked]]*表格3_5[[#This Row],[Hourly Rate]]</f>
        <v>0</v>
      </c>
    </row>
    <row r="626" spans="1:19">
      <c r="A626" s="201">
        <v>624</v>
      </c>
      <c r="B626" s="210" t="str">
        <f>_xlfn.CONCAT(表格3_5[[#This Row],[Name]],表格3_5[[#This Row],[Location]])</f>
        <v/>
      </c>
      <c r="C626" s="211" t="str">
        <f>表格3_5[[#This Row],[Location]] &amp; 表格3_5[[#This Row],[Date]] &amp;表格3_5[[#This Row],[Nick Name]]</f>
        <v>0</v>
      </c>
      <c r="D626" s="202"/>
      <c r="E626" s="211" t="str">
        <f>DAY(表格3_5[[#This Row],[Date]])&amp;""</f>
        <v>0</v>
      </c>
      <c r="F626" s="203"/>
      <c r="G626" s="216">
        <f>_xlfn.XLOOKUP(表格3_5[[#This Row],[Name]],Name_list[Full Name],Name_list[Nick Name])</f>
        <v>0</v>
      </c>
      <c r="H626" s="207"/>
      <c r="I626" s="228"/>
      <c r="J626" s="218"/>
      <c r="K626" s="205"/>
      <c r="L626" s="210">
        <f>(表格3_5[[#This Row],[Out-Time]] - 表格3_5[[#This Row],[In-Time]])*24</f>
        <v>0</v>
      </c>
      <c r="M626" s="210">
        <f>表格3_5[[#This Row],[ Hours]]-表格3_5[[#This Row],[Normal working
 hours]]</f>
        <v>0</v>
      </c>
      <c r="N626" s="205"/>
      <c r="O626" s="205"/>
      <c r="P626" s="210">
        <f>(表格3_5[[#This Row],[Out-Time2]] - 表格3_5[[#This Row],[In-Time2]])*24</f>
        <v>0</v>
      </c>
      <c r="Q626" s="205"/>
      <c r="R626" s="214">
        <f>_xlfn.XLOOKUP(表格3_5[[#This Row],[Name]],Name_list[Full Name],Name_list[Hourr Rate])</f>
        <v>0</v>
      </c>
      <c r="S626" s="210">
        <f>表格3_5[[#This Row],[Hours Worked]]*表格3_5[[#This Row],[Hourly Rate]]</f>
        <v>0</v>
      </c>
    </row>
    <row r="627" spans="1:19">
      <c r="A627" s="201">
        <v>625</v>
      </c>
      <c r="B627" s="210" t="str">
        <f>_xlfn.CONCAT(表格3_5[[#This Row],[Name]],表格3_5[[#This Row],[Location]])</f>
        <v/>
      </c>
      <c r="C627" s="211" t="str">
        <f>表格3_5[[#This Row],[Location]] &amp; 表格3_5[[#This Row],[Date]] &amp;表格3_5[[#This Row],[Nick Name]]</f>
        <v>0</v>
      </c>
      <c r="D627" s="202"/>
      <c r="E627" s="211" t="str">
        <f>DAY(表格3_5[[#This Row],[Date]])&amp;""</f>
        <v>0</v>
      </c>
      <c r="F627" s="203"/>
      <c r="G627" s="216">
        <f>_xlfn.XLOOKUP(表格3_5[[#This Row],[Name]],Name_list[Full Name],Name_list[Nick Name])</f>
        <v>0</v>
      </c>
      <c r="H627" s="207"/>
      <c r="I627" s="228"/>
      <c r="J627" s="218"/>
      <c r="K627" s="205"/>
      <c r="L627" s="210">
        <f>(表格3_5[[#This Row],[Out-Time]] - 表格3_5[[#This Row],[In-Time]])*24</f>
        <v>0</v>
      </c>
      <c r="M627" s="210">
        <f>表格3_5[[#This Row],[ Hours]]-表格3_5[[#This Row],[Normal working
 hours]]</f>
        <v>0</v>
      </c>
      <c r="N627" s="205"/>
      <c r="O627" s="205"/>
      <c r="P627" s="210">
        <f>(表格3_5[[#This Row],[Out-Time2]] - 表格3_5[[#This Row],[In-Time2]])*24</f>
        <v>0</v>
      </c>
      <c r="Q627" s="205"/>
      <c r="R627" s="214">
        <f>_xlfn.XLOOKUP(表格3_5[[#This Row],[Name]],Name_list[Full Name],Name_list[Hourr Rate])</f>
        <v>0</v>
      </c>
      <c r="S627" s="210">
        <f>表格3_5[[#This Row],[Hours Worked]]*表格3_5[[#This Row],[Hourly Rate]]</f>
        <v>0</v>
      </c>
    </row>
    <row r="628" spans="1:19">
      <c r="A628" s="201">
        <v>626</v>
      </c>
      <c r="B628" s="210" t="str">
        <f>_xlfn.CONCAT(表格3_5[[#This Row],[Name]],表格3_5[[#This Row],[Location]])</f>
        <v/>
      </c>
      <c r="C628" s="211" t="str">
        <f>表格3_5[[#This Row],[Location]] &amp; 表格3_5[[#This Row],[Date]] &amp;表格3_5[[#This Row],[Nick Name]]</f>
        <v>0</v>
      </c>
      <c r="D628" s="202"/>
      <c r="E628" s="211" t="str">
        <f>DAY(表格3_5[[#This Row],[Date]])&amp;""</f>
        <v>0</v>
      </c>
      <c r="F628" s="203"/>
      <c r="G628" s="216">
        <f>_xlfn.XLOOKUP(表格3_5[[#This Row],[Name]],Name_list[Full Name],Name_list[Nick Name])</f>
        <v>0</v>
      </c>
      <c r="H628" s="207"/>
      <c r="I628" s="228"/>
      <c r="J628" s="218"/>
      <c r="K628" s="205"/>
      <c r="L628" s="210">
        <f>(表格3_5[[#This Row],[Out-Time]] - 表格3_5[[#This Row],[In-Time]])*24</f>
        <v>0</v>
      </c>
      <c r="M628" s="210">
        <f>表格3_5[[#This Row],[ Hours]]-表格3_5[[#This Row],[Normal working
 hours]]</f>
        <v>0</v>
      </c>
      <c r="N628" s="205"/>
      <c r="O628" s="205"/>
      <c r="P628" s="210">
        <f>(表格3_5[[#This Row],[Out-Time2]] - 表格3_5[[#This Row],[In-Time2]])*24</f>
        <v>0</v>
      </c>
      <c r="Q628" s="205"/>
      <c r="R628" s="214">
        <f>_xlfn.XLOOKUP(表格3_5[[#This Row],[Name]],Name_list[Full Name],Name_list[Hourr Rate])</f>
        <v>0</v>
      </c>
      <c r="S628" s="210">
        <f>表格3_5[[#This Row],[Hours Worked]]*表格3_5[[#This Row],[Hourly Rate]]</f>
        <v>0</v>
      </c>
    </row>
    <row r="629" spans="1:19">
      <c r="A629" s="201">
        <v>627</v>
      </c>
      <c r="B629" s="210" t="str">
        <f>_xlfn.CONCAT(表格3_5[[#This Row],[Name]],表格3_5[[#This Row],[Location]])</f>
        <v/>
      </c>
      <c r="C629" s="211" t="str">
        <f>表格3_5[[#This Row],[Location]] &amp; 表格3_5[[#This Row],[Date]] &amp;表格3_5[[#This Row],[Nick Name]]</f>
        <v>0</v>
      </c>
      <c r="D629" s="202"/>
      <c r="E629" s="211" t="str">
        <f>DAY(表格3_5[[#This Row],[Date]])&amp;""</f>
        <v>0</v>
      </c>
      <c r="F629" s="203"/>
      <c r="G629" s="216">
        <f>_xlfn.XLOOKUP(表格3_5[[#This Row],[Name]],Name_list[Full Name],Name_list[Nick Name])</f>
        <v>0</v>
      </c>
      <c r="H629" s="207"/>
      <c r="I629" s="228"/>
      <c r="J629" s="218"/>
      <c r="K629" s="205"/>
      <c r="L629" s="210">
        <f>(表格3_5[[#This Row],[Out-Time]] - 表格3_5[[#This Row],[In-Time]])*24</f>
        <v>0</v>
      </c>
      <c r="M629" s="210">
        <f>表格3_5[[#This Row],[ Hours]]-表格3_5[[#This Row],[Normal working
 hours]]</f>
        <v>0</v>
      </c>
      <c r="N629" s="205"/>
      <c r="O629" s="205"/>
      <c r="P629" s="210">
        <f>(表格3_5[[#This Row],[Out-Time2]] - 表格3_5[[#This Row],[In-Time2]])*24</f>
        <v>0</v>
      </c>
      <c r="Q629" s="205"/>
      <c r="R629" s="214">
        <f>_xlfn.XLOOKUP(表格3_5[[#This Row],[Name]],Name_list[Full Name],Name_list[Hourr Rate])</f>
        <v>0</v>
      </c>
      <c r="S629" s="210">
        <f>表格3_5[[#This Row],[Hours Worked]]*表格3_5[[#This Row],[Hourly Rate]]</f>
        <v>0</v>
      </c>
    </row>
    <row r="630" spans="1:19">
      <c r="A630" s="201">
        <v>628</v>
      </c>
      <c r="B630" s="210" t="str">
        <f>_xlfn.CONCAT(表格3_5[[#This Row],[Name]],表格3_5[[#This Row],[Location]])</f>
        <v/>
      </c>
      <c r="C630" s="211" t="str">
        <f>表格3_5[[#This Row],[Location]] &amp; 表格3_5[[#This Row],[Date]] &amp;表格3_5[[#This Row],[Nick Name]]</f>
        <v>0</v>
      </c>
      <c r="D630" s="202"/>
      <c r="E630" s="211" t="str">
        <f>DAY(表格3_5[[#This Row],[Date]])&amp;""</f>
        <v>0</v>
      </c>
      <c r="F630" s="203"/>
      <c r="G630" s="216">
        <f>_xlfn.XLOOKUP(表格3_5[[#This Row],[Name]],Name_list[Full Name],Name_list[Nick Name])</f>
        <v>0</v>
      </c>
      <c r="H630" s="207"/>
      <c r="I630" s="228"/>
      <c r="J630" s="218"/>
      <c r="K630" s="205"/>
      <c r="L630" s="210">
        <f>(表格3_5[[#This Row],[Out-Time]] - 表格3_5[[#This Row],[In-Time]])*24</f>
        <v>0</v>
      </c>
      <c r="M630" s="210">
        <f>表格3_5[[#This Row],[ Hours]]-表格3_5[[#This Row],[Normal working
 hours]]</f>
        <v>0</v>
      </c>
      <c r="N630" s="205"/>
      <c r="O630" s="205"/>
      <c r="P630" s="210">
        <f>(表格3_5[[#This Row],[Out-Time2]] - 表格3_5[[#This Row],[In-Time2]])*24</f>
        <v>0</v>
      </c>
      <c r="Q630" s="205"/>
      <c r="R630" s="214">
        <f>_xlfn.XLOOKUP(表格3_5[[#This Row],[Name]],Name_list[Full Name],Name_list[Hourr Rate])</f>
        <v>0</v>
      </c>
      <c r="S630" s="210">
        <f>表格3_5[[#This Row],[Hours Worked]]*表格3_5[[#This Row],[Hourly Rate]]</f>
        <v>0</v>
      </c>
    </row>
    <row r="631" spans="1:19">
      <c r="A631" s="201">
        <v>629</v>
      </c>
      <c r="B631" s="210" t="str">
        <f>_xlfn.CONCAT(表格3_5[[#This Row],[Name]],表格3_5[[#This Row],[Location]])</f>
        <v/>
      </c>
      <c r="C631" s="211" t="str">
        <f>表格3_5[[#This Row],[Location]] &amp; 表格3_5[[#This Row],[Date]] &amp;表格3_5[[#This Row],[Nick Name]]</f>
        <v>0</v>
      </c>
      <c r="D631" s="202"/>
      <c r="E631" s="211" t="str">
        <f>DAY(表格3_5[[#This Row],[Date]])&amp;""</f>
        <v>0</v>
      </c>
      <c r="F631" s="203"/>
      <c r="G631" s="216">
        <f>_xlfn.XLOOKUP(表格3_5[[#This Row],[Name]],Name_list[Full Name],Name_list[Nick Name])</f>
        <v>0</v>
      </c>
      <c r="H631" s="207"/>
      <c r="I631" s="228"/>
      <c r="J631" s="218"/>
      <c r="K631" s="205"/>
      <c r="L631" s="210">
        <f>(表格3_5[[#This Row],[Out-Time]] - 表格3_5[[#This Row],[In-Time]])*24</f>
        <v>0</v>
      </c>
      <c r="M631" s="210">
        <f>表格3_5[[#This Row],[ Hours]]-表格3_5[[#This Row],[Normal working
 hours]]</f>
        <v>0</v>
      </c>
      <c r="N631" s="205"/>
      <c r="O631" s="205"/>
      <c r="P631" s="210">
        <f>(表格3_5[[#This Row],[Out-Time2]] - 表格3_5[[#This Row],[In-Time2]])*24</f>
        <v>0</v>
      </c>
      <c r="Q631" s="205"/>
      <c r="R631" s="214">
        <f>_xlfn.XLOOKUP(表格3_5[[#This Row],[Name]],Name_list[Full Name],Name_list[Hourr Rate])</f>
        <v>0</v>
      </c>
      <c r="S631" s="210">
        <f>表格3_5[[#This Row],[Hours Worked]]*表格3_5[[#This Row],[Hourly Rate]]</f>
        <v>0</v>
      </c>
    </row>
    <row r="632" spans="1:19">
      <c r="A632" s="201">
        <v>630</v>
      </c>
      <c r="B632" s="210" t="str">
        <f>_xlfn.CONCAT(表格3_5[[#This Row],[Name]],表格3_5[[#This Row],[Location]])</f>
        <v/>
      </c>
      <c r="C632" s="211" t="str">
        <f>表格3_5[[#This Row],[Location]] &amp; 表格3_5[[#This Row],[Date]] &amp;表格3_5[[#This Row],[Nick Name]]</f>
        <v>0</v>
      </c>
      <c r="D632" s="202"/>
      <c r="E632" s="211" t="str">
        <f>DAY(表格3_5[[#This Row],[Date]])&amp;""</f>
        <v>0</v>
      </c>
      <c r="F632" s="203"/>
      <c r="G632" s="216">
        <f>_xlfn.XLOOKUP(表格3_5[[#This Row],[Name]],Name_list[Full Name],Name_list[Nick Name])</f>
        <v>0</v>
      </c>
      <c r="H632" s="207"/>
      <c r="I632" s="228"/>
      <c r="J632" s="218"/>
      <c r="K632" s="205"/>
      <c r="L632" s="210">
        <f>(表格3_5[[#This Row],[Out-Time]] - 表格3_5[[#This Row],[In-Time]])*24</f>
        <v>0</v>
      </c>
      <c r="M632" s="210">
        <f>表格3_5[[#This Row],[ Hours]]-表格3_5[[#This Row],[Normal working
 hours]]</f>
        <v>0</v>
      </c>
      <c r="N632" s="205"/>
      <c r="O632" s="205"/>
      <c r="P632" s="210">
        <f>(表格3_5[[#This Row],[Out-Time2]] - 表格3_5[[#This Row],[In-Time2]])*24</f>
        <v>0</v>
      </c>
      <c r="Q632" s="205"/>
      <c r="R632" s="214">
        <f>_xlfn.XLOOKUP(表格3_5[[#This Row],[Name]],Name_list[Full Name],Name_list[Hourr Rate])</f>
        <v>0</v>
      </c>
      <c r="S632" s="210">
        <f>表格3_5[[#This Row],[Hours Worked]]*表格3_5[[#This Row],[Hourly Rate]]</f>
        <v>0</v>
      </c>
    </row>
    <row r="633" spans="1:19">
      <c r="A633" s="201">
        <v>631</v>
      </c>
      <c r="B633" s="210" t="str">
        <f>_xlfn.CONCAT(表格3_5[[#This Row],[Name]],表格3_5[[#This Row],[Location]])</f>
        <v/>
      </c>
      <c r="C633" s="211" t="str">
        <f>表格3_5[[#This Row],[Location]] &amp; 表格3_5[[#This Row],[Date]] &amp;表格3_5[[#This Row],[Nick Name]]</f>
        <v>0</v>
      </c>
      <c r="D633" s="202"/>
      <c r="E633" s="211" t="str">
        <f>DAY(表格3_5[[#This Row],[Date]])&amp;""</f>
        <v>0</v>
      </c>
      <c r="F633" s="203"/>
      <c r="G633" s="216">
        <f>_xlfn.XLOOKUP(表格3_5[[#This Row],[Name]],Name_list[Full Name],Name_list[Nick Name])</f>
        <v>0</v>
      </c>
      <c r="H633" s="207"/>
      <c r="I633" s="228"/>
      <c r="J633" s="218"/>
      <c r="K633" s="205"/>
      <c r="L633" s="210">
        <f>(表格3_5[[#This Row],[Out-Time]] - 表格3_5[[#This Row],[In-Time]])*24</f>
        <v>0</v>
      </c>
      <c r="M633" s="210">
        <f>表格3_5[[#This Row],[ Hours]]-表格3_5[[#This Row],[Normal working
 hours]]</f>
        <v>0</v>
      </c>
      <c r="N633" s="205"/>
      <c r="O633" s="205"/>
      <c r="P633" s="210">
        <f>(表格3_5[[#This Row],[Out-Time2]] - 表格3_5[[#This Row],[In-Time2]])*24</f>
        <v>0</v>
      </c>
      <c r="Q633" s="205"/>
      <c r="R633" s="214">
        <f>_xlfn.XLOOKUP(表格3_5[[#This Row],[Name]],Name_list[Full Name],Name_list[Hourr Rate])</f>
        <v>0</v>
      </c>
      <c r="S633" s="210">
        <f>表格3_5[[#This Row],[Hours Worked]]*表格3_5[[#This Row],[Hourly Rate]]</f>
        <v>0</v>
      </c>
    </row>
    <row r="634" spans="1:19">
      <c r="A634" s="201">
        <v>632</v>
      </c>
      <c r="B634" s="210" t="str">
        <f>_xlfn.CONCAT(表格3_5[[#This Row],[Name]],表格3_5[[#This Row],[Location]])</f>
        <v/>
      </c>
      <c r="C634" s="211" t="str">
        <f>表格3_5[[#This Row],[Location]] &amp; 表格3_5[[#This Row],[Date]] &amp;表格3_5[[#This Row],[Nick Name]]</f>
        <v>0</v>
      </c>
      <c r="D634" s="202"/>
      <c r="E634" s="211" t="str">
        <f>DAY(表格3_5[[#This Row],[Date]])&amp;""</f>
        <v>0</v>
      </c>
      <c r="F634" s="203"/>
      <c r="G634" s="216">
        <f>_xlfn.XLOOKUP(表格3_5[[#This Row],[Name]],Name_list[Full Name],Name_list[Nick Name])</f>
        <v>0</v>
      </c>
      <c r="H634" s="207"/>
      <c r="I634" s="228"/>
      <c r="J634" s="218"/>
      <c r="K634" s="205"/>
      <c r="L634" s="210">
        <f>(表格3_5[[#This Row],[Out-Time]] - 表格3_5[[#This Row],[In-Time]])*24</f>
        <v>0</v>
      </c>
      <c r="M634" s="210">
        <f>表格3_5[[#This Row],[ Hours]]-表格3_5[[#This Row],[Normal working
 hours]]</f>
        <v>0</v>
      </c>
      <c r="N634" s="205"/>
      <c r="O634" s="205"/>
      <c r="P634" s="210">
        <f>(表格3_5[[#This Row],[Out-Time2]] - 表格3_5[[#This Row],[In-Time2]])*24</f>
        <v>0</v>
      </c>
      <c r="Q634" s="205"/>
      <c r="R634" s="214">
        <f>_xlfn.XLOOKUP(表格3_5[[#This Row],[Name]],Name_list[Full Name],Name_list[Hourr Rate])</f>
        <v>0</v>
      </c>
      <c r="S634" s="210">
        <f>表格3_5[[#This Row],[Hours Worked]]*表格3_5[[#This Row],[Hourly Rate]]</f>
        <v>0</v>
      </c>
    </row>
    <row r="635" spans="1:19">
      <c r="A635" s="201">
        <v>633</v>
      </c>
      <c r="B635" s="210" t="str">
        <f>_xlfn.CONCAT(表格3_5[[#This Row],[Name]],表格3_5[[#This Row],[Location]])</f>
        <v/>
      </c>
      <c r="C635" s="211" t="str">
        <f>表格3_5[[#This Row],[Location]] &amp; 表格3_5[[#This Row],[Date]] &amp;表格3_5[[#This Row],[Nick Name]]</f>
        <v>0</v>
      </c>
      <c r="D635" s="202"/>
      <c r="E635" s="211" t="str">
        <f>DAY(表格3_5[[#This Row],[Date]])&amp;""</f>
        <v>0</v>
      </c>
      <c r="F635" s="203"/>
      <c r="G635" s="216">
        <f>_xlfn.XLOOKUP(表格3_5[[#This Row],[Name]],Name_list[Full Name],Name_list[Nick Name])</f>
        <v>0</v>
      </c>
      <c r="H635" s="207"/>
      <c r="I635" s="228"/>
      <c r="J635" s="218"/>
      <c r="K635" s="205"/>
      <c r="L635" s="210">
        <f>(表格3_5[[#This Row],[Out-Time]] - 表格3_5[[#This Row],[In-Time]])*24</f>
        <v>0</v>
      </c>
      <c r="M635" s="210">
        <f>表格3_5[[#This Row],[ Hours]]-表格3_5[[#This Row],[Normal working
 hours]]</f>
        <v>0</v>
      </c>
      <c r="N635" s="205"/>
      <c r="O635" s="205"/>
      <c r="P635" s="210">
        <f>(表格3_5[[#This Row],[Out-Time2]] - 表格3_5[[#This Row],[In-Time2]])*24</f>
        <v>0</v>
      </c>
      <c r="Q635" s="205"/>
      <c r="R635" s="214">
        <f>_xlfn.XLOOKUP(表格3_5[[#This Row],[Name]],Name_list[Full Name],Name_list[Hourr Rate])</f>
        <v>0</v>
      </c>
      <c r="S635" s="210">
        <f>表格3_5[[#This Row],[Hours Worked]]*表格3_5[[#This Row],[Hourly Rate]]</f>
        <v>0</v>
      </c>
    </row>
    <row r="636" spans="1:19">
      <c r="A636" s="201">
        <v>634</v>
      </c>
      <c r="B636" s="210" t="str">
        <f>_xlfn.CONCAT(表格3_5[[#This Row],[Name]],表格3_5[[#This Row],[Location]])</f>
        <v/>
      </c>
      <c r="C636" s="211" t="str">
        <f>表格3_5[[#This Row],[Location]] &amp; 表格3_5[[#This Row],[Date]] &amp;表格3_5[[#This Row],[Nick Name]]</f>
        <v>0</v>
      </c>
      <c r="D636" s="202"/>
      <c r="E636" s="211" t="str">
        <f>DAY(表格3_5[[#This Row],[Date]])&amp;""</f>
        <v>0</v>
      </c>
      <c r="F636" s="203"/>
      <c r="G636" s="216">
        <f>_xlfn.XLOOKUP(表格3_5[[#This Row],[Name]],Name_list[Full Name],Name_list[Nick Name])</f>
        <v>0</v>
      </c>
      <c r="H636" s="207"/>
      <c r="I636" s="228"/>
      <c r="J636" s="218"/>
      <c r="K636" s="205"/>
      <c r="L636" s="210">
        <f>(表格3_5[[#This Row],[Out-Time]] - 表格3_5[[#This Row],[In-Time]])*24</f>
        <v>0</v>
      </c>
      <c r="M636" s="210">
        <f>表格3_5[[#This Row],[ Hours]]-表格3_5[[#This Row],[Normal working
 hours]]</f>
        <v>0</v>
      </c>
      <c r="N636" s="205"/>
      <c r="O636" s="205"/>
      <c r="P636" s="210">
        <f>(表格3_5[[#This Row],[Out-Time2]] - 表格3_5[[#This Row],[In-Time2]])*24</f>
        <v>0</v>
      </c>
      <c r="Q636" s="205"/>
      <c r="R636" s="214">
        <f>_xlfn.XLOOKUP(表格3_5[[#This Row],[Name]],Name_list[Full Name],Name_list[Hourr Rate])</f>
        <v>0</v>
      </c>
      <c r="S636" s="210">
        <f>表格3_5[[#This Row],[Hours Worked]]*表格3_5[[#This Row],[Hourly Rate]]</f>
        <v>0</v>
      </c>
    </row>
    <row r="637" spans="1:19">
      <c r="A637" s="201">
        <v>635</v>
      </c>
      <c r="B637" s="210" t="str">
        <f>_xlfn.CONCAT(表格3_5[[#This Row],[Name]],表格3_5[[#This Row],[Location]])</f>
        <v/>
      </c>
      <c r="C637" s="211" t="str">
        <f>表格3_5[[#This Row],[Location]] &amp; 表格3_5[[#This Row],[Date]] &amp;表格3_5[[#This Row],[Nick Name]]</f>
        <v>0</v>
      </c>
      <c r="D637" s="202"/>
      <c r="E637" s="211" t="str">
        <f>DAY(表格3_5[[#This Row],[Date]])&amp;""</f>
        <v>0</v>
      </c>
      <c r="F637" s="203"/>
      <c r="G637" s="216">
        <f>_xlfn.XLOOKUP(表格3_5[[#This Row],[Name]],Name_list[Full Name],Name_list[Nick Name])</f>
        <v>0</v>
      </c>
      <c r="H637" s="207"/>
      <c r="I637" s="228"/>
      <c r="J637" s="218"/>
      <c r="K637" s="205"/>
      <c r="L637" s="210">
        <f>(表格3_5[[#This Row],[Out-Time]] - 表格3_5[[#This Row],[In-Time]])*24</f>
        <v>0</v>
      </c>
      <c r="M637" s="210">
        <f>表格3_5[[#This Row],[ Hours]]-表格3_5[[#This Row],[Normal working
 hours]]</f>
        <v>0</v>
      </c>
      <c r="N637" s="205"/>
      <c r="O637" s="205"/>
      <c r="P637" s="210">
        <f>(表格3_5[[#This Row],[Out-Time2]] - 表格3_5[[#This Row],[In-Time2]])*24</f>
        <v>0</v>
      </c>
      <c r="Q637" s="205"/>
      <c r="R637" s="214">
        <f>_xlfn.XLOOKUP(表格3_5[[#This Row],[Name]],Name_list[Full Name],Name_list[Hourr Rate])</f>
        <v>0</v>
      </c>
      <c r="S637" s="210">
        <f>表格3_5[[#This Row],[Hours Worked]]*表格3_5[[#This Row],[Hourly Rate]]</f>
        <v>0</v>
      </c>
    </row>
    <row r="638" spans="1:19">
      <c r="A638" s="201">
        <v>636</v>
      </c>
      <c r="B638" s="210" t="str">
        <f>_xlfn.CONCAT(表格3_5[[#This Row],[Name]],表格3_5[[#This Row],[Location]])</f>
        <v/>
      </c>
      <c r="C638" s="211" t="str">
        <f>表格3_5[[#This Row],[Location]] &amp; 表格3_5[[#This Row],[Date]] &amp;表格3_5[[#This Row],[Nick Name]]</f>
        <v>0</v>
      </c>
      <c r="D638" s="202"/>
      <c r="E638" s="211" t="str">
        <f>DAY(表格3_5[[#This Row],[Date]])&amp;""</f>
        <v>0</v>
      </c>
      <c r="F638" s="203"/>
      <c r="G638" s="216">
        <f>_xlfn.XLOOKUP(表格3_5[[#This Row],[Name]],Name_list[Full Name],Name_list[Nick Name])</f>
        <v>0</v>
      </c>
      <c r="H638" s="207"/>
      <c r="I638" s="228"/>
      <c r="J638" s="218"/>
      <c r="K638" s="205"/>
      <c r="L638" s="210">
        <f>(表格3_5[[#This Row],[Out-Time]] - 表格3_5[[#This Row],[In-Time]])*24</f>
        <v>0</v>
      </c>
      <c r="M638" s="210">
        <f>表格3_5[[#This Row],[ Hours]]-表格3_5[[#This Row],[Normal working
 hours]]</f>
        <v>0</v>
      </c>
      <c r="N638" s="205"/>
      <c r="O638" s="205"/>
      <c r="P638" s="210">
        <f>(表格3_5[[#This Row],[Out-Time2]] - 表格3_5[[#This Row],[In-Time2]])*24</f>
        <v>0</v>
      </c>
      <c r="Q638" s="205"/>
      <c r="R638" s="214">
        <f>_xlfn.XLOOKUP(表格3_5[[#This Row],[Name]],Name_list[Full Name],Name_list[Hourr Rate])</f>
        <v>0</v>
      </c>
      <c r="S638" s="210">
        <f>表格3_5[[#This Row],[Hours Worked]]*表格3_5[[#This Row],[Hourly Rate]]</f>
        <v>0</v>
      </c>
    </row>
    <row r="639" spans="1:19">
      <c r="A639" s="201">
        <v>637</v>
      </c>
      <c r="B639" s="210" t="str">
        <f>_xlfn.CONCAT(表格3_5[[#This Row],[Name]],表格3_5[[#This Row],[Location]])</f>
        <v/>
      </c>
      <c r="C639" s="211" t="str">
        <f>表格3_5[[#This Row],[Location]] &amp; 表格3_5[[#This Row],[Date]] &amp;表格3_5[[#This Row],[Nick Name]]</f>
        <v>0</v>
      </c>
      <c r="D639" s="202"/>
      <c r="E639" s="211" t="str">
        <f>DAY(表格3_5[[#This Row],[Date]])&amp;""</f>
        <v>0</v>
      </c>
      <c r="F639" s="203"/>
      <c r="G639" s="216">
        <f>_xlfn.XLOOKUP(表格3_5[[#This Row],[Name]],Name_list[Full Name],Name_list[Nick Name])</f>
        <v>0</v>
      </c>
      <c r="H639" s="207"/>
      <c r="I639" s="228"/>
      <c r="J639" s="218"/>
      <c r="K639" s="205"/>
      <c r="L639" s="210">
        <f>(表格3_5[[#This Row],[Out-Time]] - 表格3_5[[#This Row],[In-Time]])*24</f>
        <v>0</v>
      </c>
      <c r="M639" s="210">
        <f>表格3_5[[#This Row],[ Hours]]-表格3_5[[#This Row],[Normal working
 hours]]</f>
        <v>0</v>
      </c>
      <c r="N639" s="205"/>
      <c r="O639" s="205"/>
      <c r="P639" s="210">
        <f>(表格3_5[[#This Row],[Out-Time2]] - 表格3_5[[#This Row],[In-Time2]])*24</f>
        <v>0</v>
      </c>
      <c r="Q639" s="205"/>
      <c r="R639" s="214">
        <f>_xlfn.XLOOKUP(表格3_5[[#This Row],[Name]],Name_list[Full Name],Name_list[Hourr Rate])</f>
        <v>0</v>
      </c>
      <c r="S639" s="210">
        <f>表格3_5[[#This Row],[Hours Worked]]*表格3_5[[#This Row],[Hourly Rate]]</f>
        <v>0</v>
      </c>
    </row>
    <row r="640" spans="1:19">
      <c r="A640" s="201">
        <v>638</v>
      </c>
      <c r="B640" s="210" t="str">
        <f>_xlfn.CONCAT(表格3_5[[#This Row],[Name]],表格3_5[[#This Row],[Location]])</f>
        <v/>
      </c>
      <c r="C640" s="211" t="str">
        <f>表格3_5[[#This Row],[Location]] &amp; 表格3_5[[#This Row],[Date]] &amp;表格3_5[[#This Row],[Nick Name]]</f>
        <v>0</v>
      </c>
      <c r="D640" s="202"/>
      <c r="E640" s="211" t="str">
        <f>DAY(表格3_5[[#This Row],[Date]])&amp;""</f>
        <v>0</v>
      </c>
      <c r="F640" s="203"/>
      <c r="G640" s="216">
        <f>_xlfn.XLOOKUP(表格3_5[[#This Row],[Name]],Name_list[Full Name],Name_list[Nick Name])</f>
        <v>0</v>
      </c>
      <c r="H640" s="207"/>
      <c r="I640" s="228"/>
      <c r="J640" s="218"/>
      <c r="K640" s="205"/>
      <c r="L640" s="210">
        <f>(表格3_5[[#This Row],[Out-Time]] - 表格3_5[[#This Row],[In-Time]])*24</f>
        <v>0</v>
      </c>
      <c r="M640" s="210">
        <f>表格3_5[[#This Row],[ Hours]]-表格3_5[[#This Row],[Normal working
 hours]]</f>
        <v>0</v>
      </c>
      <c r="N640" s="205"/>
      <c r="O640" s="205"/>
      <c r="P640" s="210">
        <f>(表格3_5[[#This Row],[Out-Time2]] - 表格3_5[[#This Row],[In-Time2]])*24</f>
        <v>0</v>
      </c>
      <c r="Q640" s="205"/>
      <c r="R640" s="214">
        <f>_xlfn.XLOOKUP(表格3_5[[#This Row],[Name]],Name_list[Full Name],Name_list[Hourr Rate])</f>
        <v>0</v>
      </c>
      <c r="S640" s="210">
        <f>表格3_5[[#This Row],[Hours Worked]]*表格3_5[[#This Row],[Hourly Rate]]</f>
        <v>0</v>
      </c>
    </row>
    <row r="641" spans="1:19">
      <c r="A641" s="201">
        <v>639</v>
      </c>
      <c r="B641" s="210" t="str">
        <f>_xlfn.CONCAT(表格3_5[[#This Row],[Name]],表格3_5[[#This Row],[Location]])</f>
        <v/>
      </c>
      <c r="C641" s="211" t="str">
        <f>表格3_5[[#This Row],[Location]] &amp; 表格3_5[[#This Row],[Date]] &amp;表格3_5[[#This Row],[Nick Name]]</f>
        <v>0</v>
      </c>
      <c r="D641" s="202"/>
      <c r="E641" s="211" t="str">
        <f>DAY(表格3_5[[#This Row],[Date]])&amp;""</f>
        <v>0</v>
      </c>
      <c r="F641" s="203"/>
      <c r="G641" s="216">
        <f>_xlfn.XLOOKUP(表格3_5[[#This Row],[Name]],Name_list[Full Name],Name_list[Nick Name])</f>
        <v>0</v>
      </c>
      <c r="H641" s="207"/>
      <c r="I641" s="228"/>
      <c r="J641" s="218"/>
      <c r="K641" s="205"/>
      <c r="L641" s="210">
        <f>(表格3_5[[#This Row],[Out-Time]] - 表格3_5[[#This Row],[In-Time]])*24</f>
        <v>0</v>
      </c>
      <c r="M641" s="210">
        <f>表格3_5[[#This Row],[ Hours]]-表格3_5[[#This Row],[Normal working
 hours]]</f>
        <v>0</v>
      </c>
      <c r="N641" s="205"/>
      <c r="O641" s="205"/>
      <c r="P641" s="210">
        <f>(表格3_5[[#This Row],[Out-Time2]] - 表格3_5[[#This Row],[In-Time2]])*24</f>
        <v>0</v>
      </c>
      <c r="Q641" s="205"/>
      <c r="R641" s="214">
        <f>_xlfn.XLOOKUP(表格3_5[[#This Row],[Name]],Name_list[Full Name],Name_list[Hourr Rate])</f>
        <v>0</v>
      </c>
      <c r="S641" s="210">
        <f>表格3_5[[#This Row],[Hours Worked]]*表格3_5[[#This Row],[Hourly Rate]]</f>
        <v>0</v>
      </c>
    </row>
    <row r="642" spans="1:19">
      <c r="A642" s="201">
        <v>640</v>
      </c>
      <c r="B642" s="210" t="str">
        <f>_xlfn.CONCAT(表格3_5[[#This Row],[Name]],表格3_5[[#This Row],[Location]])</f>
        <v/>
      </c>
      <c r="C642" s="211" t="str">
        <f>表格3_5[[#This Row],[Location]] &amp; 表格3_5[[#This Row],[Date]] &amp;表格3_5[[#This Row],[Nick Name]]</f>
        <v>0</v>
      </c>
      <c r="D642" s="202"/>
      <c r="E642" s="211" t="str">
        <f>DAY(表格3_5[[#This Row],[Date]])&amp;""</f>
        <v>0</v>
      </c>
      <c r="F642" s="203"/>
      <c r="G642" s="216">
        <f>_xlfn.XLOOKUP(表格3_5[[#This Row],[Name]],Name_list[Full Name],Name_list[Nick Name])</f>
        <v>0</v>
      </c>
      <c r="H642" s="207"/>
      <c r="I642" s="228"/>
      <c r="J642" s="218"/>
      <c r="K642" s="205"/>
      <c r="L642" s="210">
        <f>(表格3_5[[#This Row],[Out-Time]] - 表格3_5[[#This Row],[In-Time]])*24</f>
        <v>0</v>
      </c>
      <c r="M642" s="210">
        <f>表格3_5[[#This Row],[ Hours]]-表格3_5[[#This Row],[Normal working
 hours]]</f>
        <v>0</v>
      </c>
      <c r="N642" s="205"/>
      <c r="O642" s="205"/>
      <c r="P642" s="210">
        <f>(表格3_5[[#This Row],[Out-Time2]] - 表格3_5[[#This Row],[In-Time2]])*24</f>
        <v>0</v>
      </c>
      <c r="Q642" s="205"/>
      <c r="R642" s="214">
        <f>_xlfn.XLOOKUP(表格3_5[[#This Row],[Name]],Name_list[Full Name],Name_list[Hourr Rate])</f>
        <v>0</v>
      </c>
      <c r="S642" s="210">
        <f>表格3_5[[#This Row],[Hours Worked]]*表格3_5[[#This Row],[Hourly Rate]]</f>
        <v>0</v>
      </c>
    </row>
    <row r="643" spans="1:19">
      <c r="A643" s="201">
        <v>641</v>
      </c>
      <c r="B643" s="210" t="str">
        <f>_xlfn.CONCAT(表格3_5[[#This Row],[Name]],表格3_5[[#This Row],[Location]])</f>
        <v/>
      </c>
      <c r="C643" s="211" t="str">
        <f>表格3_5[[#This Row],[Location]] &amp; 表格3_5[[#This Row],[Date]] &amp;表格3_5[[#This Row],[Nick Name]]</f>
        <v>0</v>
      </c>
      <c r="D643" s="202"/>
      <c r="E643" s="211" t="str">
        <f>DAY(表格3_5[[#This Row],[Date]])&amp;""</f>
        <v>0</v>
      </c>
      <c r="F643" s="203"/>
      <c r="G643" s="216">
        <f>_xlfn.XLOOKUP(表格3_5[[#This Row],[Name]],Name_list[Full Name],Name_list[Nick Name])</f>
        <v>0</v>
      </c>
      <c r="H643" s="207"/>
      <c r="I643" s="228"/>
      <c r="J643" s="218"/>
      <c r="K643" s="205"/>
      <c r="L643" s="210">
        <f>(表格3_5[[#This Row],[Out-Time]] - 表格3_5[[#This Row],[In-Time]])*24</f>
        <v>0</v>
      </c>
      <c r="M643" s="210">
        <f>表格3_5[[#This Row],[ Hours]]-表格3_5[[#This Row],[Normal working
 hours]]</f>
        <v>0</v>
      </c>
      <c r="N643" s="205"/>
      <c r="O643" s="205"/>
      <c r="P643" s="210">
        <f>(表格3_5[[#This Row],[Out-Time2]] - 表格3_5[[#This Row],[In-Time2]])*24</f>
        <v>0</v>
      </c>
      <c r="Q643" s="205"/>
      <c r="R643" s="214">
        <f>_xlfn.XLOOKUP(表格3_5[[#This Row],[Name]],Name_list[Full Name],Name_list[Hourr Rate])</f>
        <v>0</v>
      </c>
      <c r="S643" s="210">
        <f>表格3_5[[#This Row],[Hours Worked]]*表格3_5[[#This Row],[Hourly Rate]]</f>
        <v>0</v>
      </c>
    </row>
    <row r="644" spans="1:19">
      <c r="A644" s="201">
        <v>642</v>
      </c>
      <c r="B644" s="210" t="str">
        <f>_xlfn.CONCAT(表格3_5[[#This Row],[Name]],表格3_5[[#This Row],[Location]])</f>
        <v/>
      </c>
      <c r="C644" s="211" t="str">
        <f>表格3_5[[#This Row],[Location]] &amp; 表格3_5[[#This Row],[Date]] &amp;表格3_5[[#This Row],[Nick Name]]</f>
        <v>0</v>
      </c>
      <c r="D644" s="202"/>
      <c r="E644" s="211" t="str">
        <f>DAY(表格3_5[[#This Row],[Date]])&amp;""</f>
        <v>0</v>
      </c>
      <c r="F644" s="203"/>
      <c r="G644" s="216">
        <f>_xlfn.XLOOKUP(表格3_5[[#This Row],[Name]],Name_list[Full Name],Name_list[Nick Name])</f>
        <v>0</v>
      </c>
      <c r="H644" s="207"/>
      <c r="I644" s="228"/>
      <c r="J644" s="218"/>
      <c r="K644" s="205"/>
      <c r="L644" s="210">
        <f>(表格3_5[[#This Row],[Out-Time]] - 表格3_5[[#This Row],[In-Time]])*24</f>
        <v>0</v>
      </c>
      <c r="M644" s="210">
        <f>表格3_5[[#This Row],[ Hours]]-表格3_5[[#This Row],[Normal working
 hours]]</f>
        <v>0</v>
      </c>
      <c r="N644" s="205"/>
      <c r="O644" s="205"/>
      <c r="P644" s="210">
        <f>(表格3_5[[#This Row],[Out-Time2]] - 表格3_5[[#This Row],[In-Time2]])*24</f>
        <v>0</v>
      </c>
      <c r="Q644" s="205"/>
      <c r="R644" s="214">
        <f>_xlfn.XLOOKUP(表格3_5[[#This Row],[Name]],Name_list[Full Name],Name_list[Hourr Rate])</f>
        <v>0</v>
      </c>
      <c r="S644" s="210">
        <f>表格3_5[[#This Row],[Hours Worked]]*表格3_5[[#This Row],[Hourly Rate]]</f>
        <v>0</v>
      </c>
    </row>
    <row r="645" spans="1:19">
      <c r="A645" s="201">
        <v>643</v>
      </c>
      <c r="B645" s="210" t="str">
        <f>_xlfn.CONCAT(表格3_5[[#This Row],[Name]],表格3_5[[#This Row],[Location]])</f>
        <v/>
      </c>
      <c r="C645" s="211" t="str">
        <f>表格3_5[[#This Row],[Location]] &amp; 表格3_5[[#This Row],[Date]] &amp;表格3_5[[#This Row],[Nick Name]]</f>
        <v>0</v>
      </c>
      <c r="D645" s="202"/>
      <c r="E645" s="211" t="str">
        <f>DAY(表格3_5[[#This Row],[Date]])&amp;""</f>
        <v>0</v>
      </c>
      <c r="F645" s="203"/>
      <c r="G645" s="216">
        <f>_xlfn.XLOOKUP(表格3_5[[#This Row],[Name]],Name_list[Full Name],Name_list[Nick Name])</f>
        <v>0</v>
      </c>
      <c r="H645" s="207"/>
      <c r="I645" s="228"/>
      <c r="J645" s="218"/>
      <c r="K645" s="205"/>
      <c r="L645" s="210">
        <f>(表格3_5[[#This Row],[Out-Time]] - 表格3_5[[#This Row],[In-Time]])*24</f>
        <v>0</v>
      </c>
      <c r="M645" s="210">
        <f>表格3_5[[#This Row],[ Hours]]-表格3_5[[#This Row],[Normal working
 hours]]</f>
        <v>0</v>
      </c>
      <c r="N645" s="205"/>
      <c r="O645" s="205"/>
      <c r="P645" s="210">
        <f>(表格3_5[[#This Row],[Out-Time2]] - 表格3_5[[#This Row],[In-Time2]])*24</f>
        <v>0</v>
      </c>
      <c r="Q645" s="205"/>
      <c r="R645" s="214">
        <f>_xlfn.XLOOKUP(表格3_5[[#This Row],[Name]],Name_list[Full Name],Name_list[Hourr Rate])</f>
        <v>0</v>
      </c>
      <c r="S645" s="210">
        <f>表格3_5[[#This Row],[Hours Worked]]*表格3_5[[#This Row],[Hourly Rate]]</f>
        <v>0</v>
      </c>
    </row>
    <row r="646" spans="1:19">
      <c r="A646" s="201">
        <v>644</v>
      </c>
      <c r="B646" s="210" t="str">
        <f>_xlfn.CONCAT(表格3_5[[#This Row],[Name]],表格3_5[[#This Row],[Location]])</f>
        <v/>
      </c>
      <c r="C646" s="211" t="str">
        <f>表格3_5[[#This Row],[Location]] &amp; 表格3_5[[#This Row],[Date]] &amp;表格3_5[[#This Row],[Nick Name]]</f>
        <v>0</v>
      </c>
      <c r="D646" s="202"/>
      <c r="E646" s="211" t="str">
        <f>DAY(表格3_5[[#This Row],[Date]])&amp;""</f>
        <v>0</v>
      </c>
      <c r="F646" s="203"/>
      <c r="G646" s="216">
        <f>_xlfn.XLOOKUP(表格3_5[[#This Row],[Name]],Name_list[Full Name],Name_list[Nick Name])</f>
        <v>0</v>
      </c>
      <c r="H646" s="207"/>
      <c r="I646" s="228"/>
      <c r="J646" s="218"/>
      <c r="K646" s="205"/>
      <c r="L646" s="210">
        <f>(表格3_5[[#This Row],[Out-Time]] - 表格3_5[[#This Row],[In-Time]])*24</f>
        <v>0</v>
      </c>
      <c r="M646" s="210">
        <f>表格3_5[[#This Row],[ Hours]]-表格3_5[[#This Row],[Normal working
 hours]]</f>
        <v>0</v>
      </c>
      <c r="N646" s="205"/>
      <c r="O646" s="205"/>
      <c r="P646" s="210">
        <f>(表格3_5[[#This Row],[Out-Time2]] - 表格3_5[[#This Row],[In-Time2]])*24</f>
        <v>0</v>
      </c>
      <c r="Q646" s="205"/>
      <c r="R646" s="214">
        <f>_xlfn.XLOOKUP(表格3_5[[#This Row],[Name]],Name_list[Full Name],Name_list[Hourr Rate])</f>
        <v>0</v>
      </c>
      <c r="S646" s="210">
        <f>表格3_5[[#This Row],[Hours Worked]]*表格3_5[[#This Row],[Hourly Rate]]</f>
        <v>0</v>
      </c>
    </row>
    <row r="647" spans="1:19">
      <c r="A647" s="201">
        <v>645</v>
      </c>
      <c r="B647" s="210" t="str">
        <f>_xlfn.CONCAT(表格3_5[[#This Row],[Name]],表格3_5[[#This Row],[Location]])</f>
        <v/>
      </c>
      <c r="C647" s="211" t="str">
        <f>表格3_5[[#This Row],[Location]] &amp; 表格3_5[[#This Row],[Date]] &amp;表格3_5[[#This Row],[Nick Name]]</f>
        <v>0</v>
      </c>
      <c r="D647" s="202"/>
      <c r="E647" s="211" t="str">
        <f>DAY(表格3_5[[#This Row],[Date]])&amp;""</f>
        <v>0</v>
      </c>
      <c r="F647" s="203"/>
      <c r="G647" s="216">
        <f>_xlfn.XLOOKUP(表格3_5[[#This Row],[Name]],Name_list[Full Name],Name_list[Nick Name])</f>
        <v>0</v>
      </c>
      <c r="H647" s="207"/>
      <c r="I647" s="228"/>
      <c r="J647" s="218"/>
      <c r="K647" s="205"/>
      <c r="L647" s="210">
        <f>(表格3_5[[#This Row],[Out-Time]] - 表格3_5[[#This Row],[In-Time]])*24</f>
        <v>0</v>
      </c>
      <c r="M647" s="210">
        <f>表格3_5[[#This Row],[ Hours]]-表格3_5[[#This Row],[Normal working
 hours]]</f>
        <v>0</v>
      </c>
      <c r="N647" s="205"/>
      <c r="O647" s="205"/>
      <c r="P647" s="210">
        <f>(表格3_5[[#This Row],[Out-Time2]] - 表格3_5[[#This Row],[In-Time2]])*24</f>
        <v>0</v>
      </c>
      <c r="Q647" s="205"/>
      <c r="R647" s="214">
        <f>_xlfn.XLOOKUP(表格3_5[[#This Row],[Name]],Name_list[Full Name],Name_list[Hourr Rate])</f>
        <v>0</v>
      </c>
      <c r="S647" s="210">
        <f>表格3_5[[#This Row],[Hours Worked]]*表格3_5[[#This Row],[Hourly Rate]]</f>
        <v>0</v>
      </c>
    </row>
    <row r="648" spans="1:19">
      <c r="A648" s="201">
        <v>646</v>
      </c>
      <c r="B648" s="210" t="str">
        <f>_xlfn.CONCAT(表格3_5[[#This Row],[Name]],表格3_5[[#This Row],[Location]])</f>
        <v/>
      </c>
      <c r="C648" s="211" t="str">
        <f>表格3_5[[#This Row],[Location]] &amp; 表格3_5[[#This Row],[Date]] &amp;表格3_5[[#This Row],[Nick Name]]</f>
        <v>0</v>
      </c>
      <c r="D648" s="202"/>
      <c r="E648" s="211" t="str">
        <f>DAY(表格3_5[[#This Row],[Date]])&amp;""</f>
        <v>0</v>
      </c>
      <c r="F648" s="203"/>
      <c r="G648" s="216">
        <f>_xlfn.XLOOKUP(表格3_5[[#This Row],[Name]],Name_list[Full Name],Name_list[Nick Name])</f>
        <v>0</v>
      </c>
      <c r="H648" s="207"/>
      <c r="I648" s="228"/>
      <c r="J648" s="218"/>
      <c r="K648" s="205"/>
      <c r="L648" s="210">
        <f>(表格3_5[[#This Row],[Out-Time]] - 表格3_5[[#This Row],[In-Time]])*24</f>
        <v>0</v>
      </c>
      <c r="M648" s="210">
        <f>表格3_5[[#This Row],[ Hours]]-表格3_5[[#This Row],[Normal working
 hours]]</f>
        <v>0</v>
      </c>
      <c r="N648" s="205"/>
      <c r="O648" s="205"/>
      <c r="P648" s="210">
        <f>(表格3_5[[#This Row],[Out-Time2]] - 表格3_5[[#This Row],[In-Time2]])*24</f>
        <v>0</v>
      </c>
      <c r="Q648" s="205"/>
      <c r="R648" s="214">
        <f>_xlfn.XLOOKUP(表格3_5[[#This Row],[Name]],Name_list[Full Name],Name_list[Hourr Rate])</f>
        <v>0</v>
      </c>
      <c r="S648" s="210">
        <f>表格3_5[[#This Row],[Hours Worked]]*表格3_5[[#This Row],[Hourly Rate]]</f>
        <v>0</v>
      </c>
    </row>
    <row r="649" spans="1:19">
      <c r="A649" s="201">
        <v>647</v>
      </c>
      <c r="B649" s="210" t="str">
        <f>_xlfn.CONCAT(表格3_5[[#This Row],[Name]],表格3_5[[#This Row],[Location]])</f>
        <v/>
      </c>
      <c r="C649" s="211" t="str">
        <f>表格3_5[[#This Row],[Location]] &amp; 表格3_5[[#This Row],[Date]] &amp;表格3_5[[#This Row],[Nick Name]]</f>
        <v>0</v>
      </c>
      <c r="D649" s="202"/>
      <c r="E649" s="211" t="str">
        <f>DAY(表格3_5[[#This Row],[Date]])&amp;""</f>
        <v>0</v>
      </c>
      <c r="F649" s="203"/>
      <c r="G649" s="216">
        <f>_xlfn.XLOOKUP(表格3_5[[#This Row],[Name]],Name_list[Full Name],Name_list[Nick Name])</f>
        <v>0</v>
      </c>
      <c r="H649" s="207"/>
      <c r="I649" s="228"/>
      <c r="J649" s="218"/>
      <c r="K649" s="205"/>
      <c r="L649" s="210">
        <f>(表格3_5[[#This Row],[Out-Time]] - 表格3_5[[#This Row],[In-Time]])*24</f>
        <v>0</v>
      </c>
      <c r="M649" s="210">
        <f>表格3_5[[#This Row],[ Hours]]-表格3_5[[#This Row],[Normal working
 hours]]</f>
        <v>0</v>
      </c>
      <c r="N649" s="205"/>
      <c r="O649" s="205"/>
      <c r="P649" s="210">
        <f>(表格3_5[[#This Row],[Out-Time2]] - 表格3_5[[#This Row],[In-Time2]])*24</f>
        <v>0</v>
      </c>
      <c r="Q649" s="205"/>
      <c r="R649" s="214">
        <f>_xlfn.XLOOKUP(表格3_5[[#This Row],[Name]],Name_list[Full Name],Name_list[Hourr Rate])</f>
        <v>0</v>
      </c>
      <c r="S649" s="210">
        <f>表格3_5[[#This Row],[Hours Worked]]*表格3_5[[#This Row],[Hourly Rate]]</f>
        <v>0</v>
      </c>
    </row>
    <row r="650" spans="1:19">
      <c r="A650" s="201">
        <v>648</v>
      </c>
      <c r="B650" s="210" t="str">
        <f>_xlfn.CONCAT(表格3_5[[#This Row],[Name]],表格3_5[[#This Row],[Location]])</f>
        <v/>
      </c>
      <c r="C650" s="211" t="str">
        <f>表格3_5[[#This Row],[Location]] &amp; 表格3_5[[#This Row],[Date]] &amp;表格3_5[[#This Row],[Nick Name]]</f>
        <v>0</v>
      </c>
      <c r="D650" s="202"/>
      <c r="E650" s="211" t="str">
        <f>DAY(表格3_5[[#This Row],[Date]])&amp;""</f>
        <v>0</v>
      </c>
      <c r="F650" s="203"/>
      <c r="G650" s="216">
        <f>_xlfn.XLOOKUP(表格3_5[[#This Row],[Name]],Name_list[Full Name],Name_list[Nick Name])</f>
        <v>0</v>
      </c>
      <c r="H650" s="207"/>
      <c r="I650" s="228"/>
      <c r="J650" s="218"/>
      <c r="K650" s="205"/>
      <c r="L650" s="210">
        <f>(表格3_5[[#This Row],[Out-Time]] - 表格3_5[[#This Row],[In-Time]])*24</f>
        <v>0</v>
      </c>
      <c r="M650" s="210">
        <f>表格3_5[[#This Row],[ Hours]]-表格3_5[[#This Row],[Normal working
 hours]]</f>
        <v>0</v>
      </c>
      <c r="N650" s="205"/>
      <c r="O650" s="205"/>
      <c r="P650" s="210">
        <f>(表格3_5[[#This Row],[Out-Time2]] - 表格3_5[[#This Row],[In-Time2]])*24</f>
        <v>0</v>
      </c>
      <c r="Q650" s="205"/>
      <c r="R650" s="214">
        <f>_xlfn.XLOOKUP(表格3_5[[#This Row],[Name]],Name_list[Full Name],Name_list[Hourr Rate])</f>
        <v>0</v>
      </c>
      <c r="S650" s="210">
        <f>表格3_5[[#This Row],[Hours Worked]]*表格3_5[[#This Row],[Hourly Rate]]</f>
        <v>0</v>
      </c>
    </row>
    <row r="651" spans="1:19">
      <c r="A651" s="201">
        <v>649</v>
      </c>
      <c r="B651" s="210" t="str">
        <f>_xlfn.CONCAT(表格3_5[[#This Row],[Name]],表格3_5[[#This Row],[Location]])</f>
        <v/>
      </c>
      <c r="C651" s="211" t="str">
        <f>表格3_5[[#This Row],[Location]] &amp; 表格3_5[[#This Row],[Date]] &amp;表格3_5[[#This Row],[Nick Name]]</f>
        <v>0</v>
      </c>
      <c r="D651" s="202"/>
      <c r="E651" s="211" t="str">
        <f>DAY(表格3_5[[#This Row],[Date]])&amp;""</f>
        <v>0</v>
      </c>
      <c r="F651" s="203"/>
      <c r="G651" s="216">
        <f>_xlfn.XLOOKUP(表格3_5[[#This Row],[Name]],Name_list[Full Name],Name_list[Nick Name])</f>
        <v>0</v>
      </c>
      <c r="H651" s="207"/>
      <c r="I651" s="228"/>
      <c r="J651" s="218"/>
      <c r="K651" s="205"/>
      <c r="L651" s="210">
        <f>(表格3_5[[#This Row],[Out-Time]] - 表格3_5[[#This Row],[In-Time]])*24</f>
        <v>0</v>
      </c>
      <c r="M651" s="210">
        <f>表格3_5[[#This Row],[ Hours]]-表格3_5[[#This Row],[Normal working
 hours]]</f>
        <v>0</v>
      </c>
      <c r="N651" s="205"/>
      <c r="O651" s="205"/>
      <c r="P651" s="210">
        <f>(表格3_5[[#This Row],[Out-Time2]] - 表格3_5[[#This Row],[In-Time2]])*24</f>
        <v>0</v>
      </c>
      <c r="Q651" s="205"/>
      <c r="R651" s="214">
        <f>_xlfn.XLOOKUP(表格3_5[[#This Row],[Name]],Name_list[Full Name],Name_list[Hourr Rate])</f>
        <v>0</v>
      </c>
      <c r="S651" s="210">
        <f>表格3_5[[#This Row],[Hours Worked]]*表格3_5[[#This Row],[Hourly Rate]]</f>
        <v>0</v>
      </c>
    </row>
    <row r="652" spans="1:19">
      <c r="A652" s="201">
        <v>650</v>
      </c>
      <c r="B652" s="210" t="str">
        <f>_xlfn.CONCAT(表格3_5[[#This Row],[Name]],表格3_5[[#This Row],[Location]])</f>
        <v/>
      </c>
      <c r="C652" s="211" t="str">
        <f>表格3_5[[#This Row],[Location]] &amp; 表格3_5[[#This Row],[Date]] &amp;表格3_5[[#This Row],[Nick Name]]</f>
        <v>0</v>
      </c>
      <c r="D652" s="202"/>
      <c r="E652" s="211" t="str">
        <f>DAY(表格3_5[[#This Row],[Date]])&amp;""</f>
        <v>0</v>
      </c>
      <c r="F652" s="203"/>
      <c r="G652" s="216">
        <f>_xlfn.XLOOKUP(表格3_5[[#This Row],[Name]],Name_list[Full Name],Name_list[Nick Name])</f>
        <v>0</v>
      </c>
      <c r="H652" s="207"/>
      <c r="I652" s="228"/>
      <c r="J652" s="218"/>
      <c r="K652" s="205"/>
      <c r="L652" s="210">
        <f>(表格3_5[[#This Row],[Out-Time]] - 表格3_5[[#This Row],[In-Time]])*24</f>
        <v>0</v>
      </c>
      <c r="M652" s="210">
        <f>表格3_5[[#This Row],[ Hours]]-表格3_5[[#This Row],[Normal working
 hours]]</f>
        <v>0</v>
      </c>
      <c r="N652" s="205"/>
      <c r="O652" s="205"/>
      <c r="P652" s="210">
        <f>(表格3_5[[#This Row],[Out-Time2]] - 表格3_5[[#This Row],[In-Time2]])*24</f>
        <v>0</v>
      </c>
      <c r="Q652" s="205"/>
      <c r="R652" s="214">
        <f>_xlfn.XLOOKUP(表格3_5[[#This Row],[Name]],Name_list[Full Name],Name_list[Hourr Rate])</f>
        <v>0</v>
      </c>
      <c r="S652" s="210">
        <f>表格3_5[[#This Row],[Hours Worked]]*表格3_5[[#This Row],[Hourly Rate]]</f>
        <v>0</v>
      </c>
    </row>
    <row r="653" spans="1:19">
      <c r="A653" s="201">
        <v>651</v>
      </c>
      <c r="B653" s="210" t="str">
        <f>_xlfn.CONCAT(表格3_5[[#This Row],[Name]],表格3_5[[#This Row],[Location]])</f>
        <v/>
      </c>
      <c r="C653" s="211" t="str">
        <f>表格3_5[[#This Row],[Location]] &amp; 表格3_5[[#This Row],[Date]] &amp;表格3_5[[#This Row],[Nick Name]]</f>
        <v>0</v>
      </c>
      <c r="D653" s="202"/>
      <c r="E653" s="211" t="str">
        <f>DAY(表格3_5[[#This Row],[Date]])&amp;""</f>
        <v>0</v>
      </c>
      <c r="F653" s="203"/>
      <c r="G653" s="216">
        <f>_xlfn.XLOOKUP(表格3_5[[#This Row],[Name]],Name_list[Full Name],Name_list[Nick Name])</f>
        <v>0</v>
      </c>
      <c r="H653" s="207"/>
      <c r="I653" s="228"/>
      <c r="J653" s="218"/>
      <c r="K653" s="205"/>
      <c r="L653" s="210">
        <f>(表格3_5[[#This Row],[Out-Time]] - 表格3_5[[#This Row],[In-Time]])*24</f>
        <v>0</v>
      </c>
      <c r="M653" s="210">
        <f>表格3_5[[#This Row],[ Hours]]-表格3_5[[#This Row],[Normal working
 hours]]</f>
        <v>0</v>
      </c>
      <c r="N653" s="205"/>
      <c r="O653" s="205"/>
      <c r="P653" s="210">
        <f>(表格3_5[[#This Row],[Out-Time2]] - 表格3_5[[#This Row],[In-Time2]])*24</f>
        <v>0</v>
      </c>
      <c r="Q653" s="205"/>
      <c r="R653" s="214">
        <f>_xlfn.XLOOKUP(表格3_5[[#This Row],[Name]],Name_list[Full Name],Name_list[Hourr Rate])</f>
        <v>0</v>
      </c>
      <c r="S653" s="210">
        <f>表格3_5[[#This Row],[Hours Worked]]*表格3_5[[#This Row],[Hourly Rate]]</f>
        <v>0</v>
      </c>
    </row>
    <row r="654" spans="1:19">
      <c r="A654" s="201">
        <v>652</v>
      </c>
      <c r="B654" s="210" t="str">
        <f>_xlfn.CONCAT(表格3_5[[#This Row],[Name]],表格3_5[[#This Row],[Location]])</f>
        <v/>
      </c>
      <c r="C654" s="211" t="str">
        <f>表格3_5[[#This Row],[Location]] &amp; 表格3_5[[#This Row],[Date]] &amp;表格3_5[[#This Row],[Nick Name]]</f>
        <v>0</v>
      </c>
      <c r="D654" s="202"/>
      <c r="E654" s="211" t="str">
        <f>DAY(表格3_5[[#This Row],[Date]])&amp;""</f>
        <v>0</v>
      </c>
      <c r="F654" s="203"/>
      <c r="G654" s="216">
        <f>_xlfn.XLOOKUP(表格3_5[[#This Row],[Name]],Name_list[Full Name],Name_list[Nick Name])</f>
        <v>0</v>
      </c>
      <c r="H654" s="207"/>
      <c r="I654" s="228"/>
      <c r="J654" s="218"/>
      <c r="K654" s="205"/>
      <c r="L654" s="210">
        <f>(表格3_5[[#This Row],[Out-Time]] - 表格3_5[[#This Row],[In-Time]])*24</f>
        <v>0</v>
      </c>
      <c r="M654" s="210">
        <f>表格3_5[[#This Row],[ Hours]]-表格3_5[[#This Row],[Normal working
 hours]]</f>
        <v>0</v>
      </c>
      <c r="N654" s="205"/>
      <c r="O654" s="205"/>
      <c r="P654" s="210">
        <f>(表格3_5[[#This Row],[Out-Time2]] - 表格3_5[[#This Row],[In-Time2]])*24</f>
        <v>0</v>
      </c>
      <c r="Q654" s="205"/>
      <c r="R654" s="214">
        <f>_xlfn.XLOOKUP(表格3_5[[#This Row],[Name]],Name_list[Full Name],Name_list[Hourr Rate])</f>
        <v>0</v>
      </c>
      <c r="S654" s="210">
        <f>表格3_5[[#This Row],[Hours Worked]]*表格3_5[[#This Row],[Hourly Rate]]</f>
        <v>0</v>
      </c>
    </row>
    <row r="655" spans="1:19">
      <c r="A655" s="201">
        <v>653</v>
      </c>
      <c r="B655" s="210" t="str">
        <f>_xlfn.CONCAT(表格3_5[[#This Row],[Name]],表格3_5[[#This Row],[Location]])</f>
        <v/>
      </c>
      <c r="C655" s="211" t="str">
        <f>表格3_5[[#This Row],[Location]] &amp; 表格3_5[[#This Row],[Date]] &amp;表格3_5[[#This Row],[Nick Name]]</f>
        <v>0</v>
      </c>
      <c r="D655" s="202"/>
      <c r="E655" s="211" t="str">
        <f>DAY(表格3_5[[#This Row],[Date]])&amp;""</f>
        <v>0</v>
      </c>
      <c r="F655" s="203"/>
      <c r="G655" s="216">
        <f>_xlfn.XLOOKUP(表格3_5[[#This Row],[Name]],Name_list[Full Name],Name_list[Nick Name])</f>
        <v>0</v>
      </c>
      <c r="H655" s="207"/>
      <c r="I655" s="228"/>
      <c r="J655" s="218"/>
      <c r="K655" s="205"/>
      <c r="L655" s="210">
        <f>(表格3_5[[#This Row],[Out-Time]] - 表格3_5[[#This Row],[In-Time]])*24</f>
        <v>0</v>
      </c>
      <c r="M655" s="210">
        <f>表格3_5[[#This Row],[ Hours]]-表格3_5[[#This Row],[Normal working
 hours]]</f>
        <v>0</v>
      </c>
      <c r="N655" s="205"/>
      <c r="O655" s="205"/>
      <c r="P655" s="210">
        <f>(表格3_5[[#This Row],[Out-Time2]] - 表格3_5[[#This Row],[In-Time2]])*24</f>
        <v>0</v>
      </c>
      <c r="Q655" s="205"/>
      <c r="R655" s="214">
        <f>_xlfn.XLOOKUP(表格3_5[[#This Row],[Name]],Name_list[Full Name],Name_list[Hourr Rate])</f>
        <v>0</v>
      </c>
      <c r="S655" s="210">
        <f>表格3_5[[#This Row],[Hours Worked]]*表格3_5[[#This Row],[Hourly Rate]]</f>
        <v>0</v>
      </c>
    </row>
    <row r="656" spans="1:19">
      <c r="A656" s="201">
        <v>654</v>
      </c>
      <c r="B656" s="210" t="str">
        <f>_xlfn.CONCAT(表格3_5[[#This Row],[Name]],表格3_5[[#This Row],[Location]])</f>
        <v/>
      </c>
      <c r="C656" s="211" t="str">
        <f>表格3_5[[#This Row],[Location]] &amp; 表格3_5[[#This Row],[Date]] &amp;表格3_5[[#This Row],[Nick Name]]</f>
        <v>0</v>
      </c>
      <c r="D656" s="202"/>
      <c r="E656" s="211" t="str">
        <f>DAY(表格3_5[[#This Row],[Date]])&amp;""</f>
        <v>0</v>
      </c>
      <c r="F656" s="203"/>
      <c r="G656" s="216">
        <f>_xlfn.XLOOKUP(表格3_5[[#This Row],[Name]],Name_list[Full Name],Name_list[Nick Name])</f>
        <v>0</v>
      </c>
      <c r="H656" s="207"/>
      <c r="I656" s="228"/>
      <c r="J656" s="218"/>
      <c r="K656" s="205"/>
      <c r="L656" s="210">
        <f>(表格3_5[[#This Row],[Out-Time]] - 表格3_5[[#This Row],[In-Time]])*24</f>
        <v>0</v>
      </c>
      <c r="M656" s="210">
        <f>表格3_5[[#This Row],[ Hours]]-表格3_5[[#This Row],[Normal working
 hours]]</f>
        <v>0</v>
      </c>
      <c r="N656" s="205"/>
      <c r="O656" s="205"/>
      <c r="P656" s="210">
        <f>(表格3_5[[#This Row],[Out-Time2]] - 表格3_5[[#This Row],[In-Time2]])*24</f>
        <v>0</v>
      </c>
      <c r="Q656" s="205"/>
      <c r="R656" s="214">
        <f>_xlfn.XLOOKUP(表格3_5[[#This Row],[Name]],Name_list[Full Name],Name_list[Hourr Rate])</f>
        <v>0</v>
      </c>
      <c r="S656" s="210">
        <f>表格3_5[[#This Row],[Hours Worked]]*表格3_5[[#This Row],[Hourly Rate]]</f>
        <v>0</v>
      </c>
    </row>
    <row r="657" spans="1:19">
      <c r="A657" s="201">
        <v>655</v>
      </c>
      <c r="B657" s="210" t="str">
        <f>_xlfn.CONCAT(表格3_5[[#This Row],[Name]],表格3_5[[#This Row],[Location]])</f>
        <v/>
      </c>
      <c r="C657" s="211" t="str">
        <f>表格3_5[[#This Row],[Location]] &amp; 表格3_5[[#This Row],[Date]] &amp;表格3_5[[#This Row],[Nick Name]]</f>
        <v>0</v>
      </c>
      <c r="D657" s="202"/>
      <c r="E657" s="211" t="str">
        <f>DAY(表格3_5[[#This Row],[Date]])&amp;""</f>
        <v>0</v>
      </c>
      <c r="F657" s="203"/>
      <c r="G657" s="216">
        <f>_xlfn.XLOOKUP(表格3_5[[#This Row],[Name]],Name_list[Full Name],Name_list[Nick Name])</f>
        <v>0</v>
      </c>
      <c r="H657" s="207"/>
      <c r="I657" s="228"/>
      <c r="J657" s="218"/>
      <c r="K657" s="205"/>
      <c r="L657" s="210">
        <f>(表格3_5[[#This Row],[Out-Time]] - 表格3_5[[#This Row],[In-Time]])*24</f>
        <v>0</v>
      </c>
      <c r="M657" s="210">
        <f>表格3_5[[#This Row],[ Hours]]-表格3_5[[#This Row],[Normal working
 hours]]</f>
        <v>0</v>
      </c>
      <c r="N657" s="205"/>
      <c r="O657" s="205"/>
      <c r="P657" s="210">
        <f>(表格3_5[[#This Row],[Out-Time2]] - 表格3_5[[#This Row],[In-Time2]])*24</f>
        <v>0</v>
      </c>
      <c r="Q657" s="205"/>
      <c r="R657" s="214">
        <f>_xlfn.XLOOKUP(表格3_5[[#This Row],[Name]],Name_list[Full Name],Name_list[Hourr Rate])</f>
        <v>0</v>
      </c>
      <c r="S657" s="210">
        <f>表格3_5[[#This Row],[Hours Worked]]*表格3_5[[#This Row],[Hourly Rate]]</f>
        <v>0</v>
      </c>
    </row>
    <row r="658" spans="1:19">
      <c r="A658" s="201">
        <v>656</v>
      </c>
      <c r="B658" s="210" t="str">
        <f>_xlfn.CONCAT(表格3_5[[#This Row],[Name]],表格3_5[[#This Row],[Location]])</f>
        <v/>
      </c>
      <c r="C658" s="211" t="str">
        <f>表格3_5[[#This Row],[Location]] &amp; 表格3_5[[#This Row],[Date]] &amp;表格3_5[[#This Row],[Nick Name]]</f>
        <v>0</v>
      </c>
      <c r="D658" s="202"/>
      <c r="E658" s="211" t="str">
        <f>DAY(表格3_5[[#This Row],[Date]])&amp;""</f>
        <v>0</v>
      </c>
      <c r="F658" s="203"/>
      <c r="G658" s="216">
        <f>_xlfn.XLOOKUP(表格3_5[[#This Row],[Name]],Name_list[Full Name],Name_list[Nick Name])</f>
        <v>0</v>
      </c>
      <c r="H658" s="207"/>
      <c r="I658" s="228"/>
      <c r="J658" s="218"/>
      <c r="K658" s="205"/>
      <c r="L658" s="210">
        <f>(表格3_5[[#This Row],[Out-Time]] - 表格3_5[[#This Row],[In-Time]])*24</f>
        <v>0</v>
      </c>
      <c r="M658" s="210">
        <f>表格3_5[[#This Row],[ Hours]]-表格3_5[[#This Row],[Normal working
 hours]]</f>
        <v>0</v>
      </c>
      <c r="N658" s="205"/>
      <c r="O658" s="205"/>
      <c r="P658" s="210">
        <f>(表格3_5[[#This Row],[Out-Time2]] - 表格3_5[[#This Row],[In-Time2]])*24</f>
        <v>0</v>
      </c>
      <c r="Q658" s="205"/>
      <c r="R658" s="214">
        <f>_xlfn.XLOOKUP(表格3_5[[#This Row],[Name]],Name_list[Full Name],Name_list[Hourr Rate])</f>
        <v>0</v>
      </c>
      <c r="S658" s="210">
        <f>表格3_5[[#This Row],[Hours Worked]]*表格3_5[[#This Row],[Hourly Rate]]</f>
        <v>0</v>
      </c>
    </row>
    <row r="659" spans="1:19">
      <c r="A659" s="201">
        <v>657</v>
      </c>
      <c r="B659" s="210" t="str">
        <f>_xlfn.CONCAT(表格3_5[[#This Row],[Name]],表格3_5[[#This Row],[Location]])</f>
        <v/>
      </c>
      <c r="C659" s="211" t="str">
        <f>表格3_5[[#This Row],[Location]] &amp; 表格3_5[[#This Row],[Date]] &amp;表格3_5[[#This Row],[Nick Name]]</f>
        <v>0</v>
      </c>
      <c r="D659" s="202"/>
      <c r="E659" s="211" t="str">
        <f>DAY(表格3_5[[#This Row],[Date]])&amp;""</f>
        <v>0</v>
      </c>
      <c r="F659" s="203"/>
      <c r="G659" s="216">
        <f>_xlfn.XLOOKUP(表格3_5[[#This Row],[Name]],Name_list[Full Name],Name_list[Nick Name])</f>
        <v>0</v>
      </c>
      <c r="H659" s="207"/>
      <c r="I659" s="228"/>
      <c r="J659" s="218"/>
      <c r="K659" s="205"/>
      <c r="L659" s="210">
        <f>(表格3_5[[#This Row],[Out-Time]] - 表格3_5[[#This Row],[In-Time]])*24</f>
        <v>0</v>
      </c>
      <c r="M659" s="210">
        <f>表格3_5[[#This Row],[ Hours]]-表格3_5[[#This Row],[Normal working
 hours]]</f>
        <v>0</v>
      </c>
      <c r="N659" s="205"/>
      <c r="O659" s="205"/>
      <c r="P659" s="210">
        <f>(表格3_5[[#This Row],[Out-Time2]] - 表格3_5[[#This Row],[In-Time2]])*24</f>
        <v>0</v>
      </c>
      <c r="Q659" s="205"/>
      <c r="R659" s="214">
        <f>_xlfn.XLOOKUP(表格3_5[[#This Row],[Name]],Name_list[Full Name],Name_list[Hourr Rate])</f>
        <v>0</v>
      </c>
      <c r="S659" s="210">
        <f>表格3_5[[#This Row],[Hours Worked]]*表格3_5[[#This Row],[Hourly Rate]]</f>
        <v>0</v>
      </c>
    </row>
    <row r="660" spans="1:19">
      <c r="A660" s="201">
        <v>658</v>
      </c>
      <c r="B660" s="210" t="str">
        <f>_xlfn.CONCAT(表格3_5[[#This Row],[Name]],表格3_5[[#This Row],[Location]])</f>
        <v/>
      </c>
      <c r="C660" s="211" t="str">
        <f>表格3_5[[#This Row],[Location]] &amp; 表格3_5[[#This Row],[Date]] &amp;表格3_5[[#This Row],[Nick Name]]</f>
        <v>0</v>
      </c>
      <c r="D660" s="202"/>
      <c r="E660" s="211" t="str">
        <f>DAY(表格3_5[[#This Row],[Date]])&amp;""</f>
        <v>0</v>
      </c>
      <c r="F660" s="203"/>
      <c r="G660" s="216">
        <f>_xlfn.XLOOKUP(表格3_5[[#This Row],[Name]],Name_list[Full Name],Name_list[Nick Name])</f>
        <v>0</v>
      </c>
      <c r="H660" s="207"/>
      <c r="I660" s="228"/>
      <c r="J660" s="218"/>
      <c r="K660" s="205"/>
      <c r="L660" s="210">
        <f>(表格3_5[[#This Row],[Out-Time]] - 表格3_5[[#This Row],[In-Time]])*24</f>
        <v>0</v>
      </c>
      <c r="M660" s="210">
        <f>表格3_5[[#This Row],[ Hours]]-表格3_5[[#This Row],[Normal working
 hours]]</f>
        <v>0</v>
      </c>
      <c r="N660" s="205"/>
      <c r="O660" s="205"/>
      <c r="P660" s="210">
        <f>(表格3_5[[#This Row],[Out-Time2]] - 表格3_5[[#This Row],[In-Time2]])*24</f>
        <v>0</v>
      </c>
      <c r="Q660" s="205"/>
      <c r="R660" s="214">
        <f>_xlfn.XLOOKUP(表格3_5[[#This Row],[Name]],Name_list[Full Name],Name_list[Hourr Rate])</f>
        <v>0</v>
      </c>
      <c r="S660" s="210">
        <f>表格3_5[[#This Row],[Hours Worked]]*表格3_5[[#This Row],[Hourly Rate]]</f>
        <v>0</v>
      </c>
    </row>
    <row r="661" spans="1:19">
      <c r="A661" s="201">
        <v>659</v>
      </c>
      <c r="B661" s="210" t="str">
        <f>_xlfn.CONCAT(表格3_5[[#This Row],[Name]],表格3_5[[#This Row],[Location]])</f>
        <v/>
      </c>
      <c r="C661" s="211" t="str">
        <f>表格3_5[[#This Row],[Location]] &amp; 表格3_5[[#This Row],[Date]] &amp;表格3_5[[#This Row],[Nick Name]]</f>
        <v>0</v>
      </c>
      <c r="D661" s="202"/>
      <c r="E661" s="211" t="str">
        <f>DAY(表格3_5[[#This Row],[Date]])&amp;""</f>
        <v>0</v>
      </c>
      <c r="F661" s="203"/>
      <c r="G661" s="216">
        <f>_xlfn.XLOOKUP(表格3_5[[#This Row],[Name]],Name_list[Full Name],Name_list[Nick Name])</f>
        <v>0</v>
      </c>
      <c r="H661" s="207"/>
      <c r="I661" s="228"/>
      <c r="J661" s="218"/>
      <c r="K661" s="205"/>
      <c r="L661" s="210">
        <f>(表格3_5[[#This Row],[Out-Time]] - 表格3_5[[#This Row],[In-Time]])*24</f>
        <v>0</v>
      </c>
      <c r="M661" s="210">
        <f>表格3_5[[#This Row],[ Hours]]-表格3_5[[#This Row],[Normal working
 hours]]</f>
        <v>0</v>
      </c>
      <c r="N661" s="205"/>
      <c r="O661" s="205"/>
      <c r="P661" s="210">
        <f>(表格3_5[[#This Row],[Out-Time2]] - 表格3_5[[#This Row],[In-Time2]])*24</f>
        <v>0</v>
      </c>
      <c r="Q661" s="205"/>
      <c r="R661" s="214">
        <f>_xlfn.XLOOKUP(表格3_5[[#This Row],[Name]],Name_list[Full Name],Name_list[Hourr Rate])</f>
        <v>0</v>
      </c>
      <c r="S661" s="210">
        <f>表格3_5[[#This Row],[Hours Worked]]*表格3_5[[#This Row],[Hourly Rate]]</f>
        <v>0</v>
      </c>
    </row>
    <row r="662" spans="1:19">
      <c r="A662" s="201">
        <v>660</v>
      </c>
      <c r="B662" s="210" t="str">
        <f>_xlfn.CONCAT(表格3_5[[#This Row],[Name]],表格3_5[[#This Row],[Location]])</f>
        <v/>
      </c>
      <c r="C662" s="211" t="str">
        <f>表格3_5[[#This Row],[Location]] &amp; 表格3_5[[#This Row],[Date]] &amp;表格3_5[[#This Row],[Nick Name]]</f>
        <v>0</v>
      </c>
      <c r="D662" s="202"/>
      <c r="E662" s="211" t="str">
        <f>DAY(表格3_5[[#This Row],[Date]])&amp;""</f>
        <v>0</v>
      </c>
      <c r="F662" s="203"/>
      <c r="G662" s="216">
        <f>_xlfn.XLOOKUP(表格3_5[[#This Row],[Name]],Name_list[Full Name],Name_list[Nick Name])</f>
        <v>0</v>
      </c>
      <c r="H662" s="207"/>
      <c r="I662" s="228"/>
      <c r="J662" s="218"/>
      <c r="K662" s="205"/>
      <c r="L662" s="210">
        <f>(表格3_5[[#This Row],[Out-Time]] - 表格3_5[[#This Row],[In-Time]])*24</f>
        <v>0</v>
      </c>
      <c r="M662" s="210">
        <f>表格3_5[[#This Row],[ Hours]]-表格3_5[[#This Row],[Normal working
 hours]]</f>
        <v>0</v>
      </c>
      <c r="N662" s="205"/>
      <c r="O662" s="205"/>
      <c r="P662" s="210">
        <f>(表格3_5[[#This Row],[Out-Time2]] - 表格3_5[[#This Row],[In-Time2]])*24</f>
        <v>0</v>
      </c>
      <c r="Q662" s="205"/>
      <c r="R662" s="214">
        <f>_xlfn.XLOOKUP(表格3_5[[#This Row],[Name]],Name_list[Full Name],Name_list[Hourr Rate])</f>
        <v>0</v>
      </c>
      <c r="S662" s="210">
        <f>表格3_5[[#This Row],[Hours Worked]]*表格3_5[[#This Row],[Hourly Rate]]</f>
        <v>0</v>
      </c>
    </row>
    <row r="663" spans="1:19">
      <c r="A663" s="201">
        <v>661</v>
      </c>
      <c r="B663" s="210" t="str">
        <f>_xlfn.CONCAT(表格3_5[[#This Row],[Name]],表格3_5[[#This Row],[Location]])</f>
        <v/>
      </c>
      <c r="C663" s="211" t="str">
        <f>表格3_5[[#This Row],[Location]] &amp; 表格3_5[[#This Row],[Date]] &amp;表格3_5[[#This Row],[Nick Name]]</f>
        <v>0</v>
      </c>
      <c r="D663" s="202"/>
      <c r="E663" s="211" t="str">
        <f>DAY(表格3_5[[#This Row],[Date]])&amp;""</f>
        <v>0</v>
      </c>
      <c r="F663" s="203"/>
      <c r="G663" s="216">
        <f>_xlfn.XLOOKUP(表格3_5[[#This Row],[Name]],Name_list[Full Name],Name_list[Nick Name])</f>
        <v>0</v>
      </c>
      <c r="H663" s="207"/>
      <c r="I663" s="228"/>
      <c r="J663" s="218"/>
      <c r="K663" s="205"/>
      <c r="L663" s="210">
        <f>(表格3_5[[#This Row],[Out-Time]] - 表格3_5[[#This Row],[In-Time]])*24</f>
        <v>0</v>
      </c>
      <c r="M663" s="210">
        <f>表格3_5[[#This Row],[ Hours]]-表格3_5[[#This Row],[Normal working
 hours]]</f>
        <v>0</v>
      </c>
      <c r="N663" s="205"/>
      <c r="O663" s="205"/>
      <c r="P663" s="210">
        <f>(表格3_5[[#This Row],[Out-Time2]] - 表格3_5[[#This Row],[In-Time2]])*24</f>
        <v>0</v>
      </c>
      <c r="Q663" s="205"/>
      <c r="R663" s="214">
        <f>_xlfn.XLOOKUP(表格3_5[[#This Row],[Name]],Name_list[Full Name],Name_list[Hourr Rate])</f>
        <v>0</v>
      </c>
      <c r="S663" s="210">
        <f>表格3_5[[#This Row],[Hours Worked]]*表格3_5[[#This Row],[Hourly Rate]]</f>
        <v>0</v>
      </c>
    </row>
    <row r="664" spans="1:19">
      <c r="A664" s="201">
        <v>662</v>
      </c>
      <c r="B664" s="210" t="str">
        <f>_xlfn.CONCAT(表格3_5[[#This Row],[Name]],表格3_5[[#This Row],[Location]])</f>
        <v/>
      </c>
      <c r="C664" s="211" t="str">
        <f>表格3_5[[#This Row],[Location]] &amp; 表格3_5[[#This Row],[Date]] &amp;表格3_5[[#This Row],[Nick Name]]</f>
        <v>0</v>
      </c>
      <c r="D664" s="202"/>
      <c r="E664" s="211" t="str">
        <f>DAY(表格3_5[[#This Row],[Date]])&amp;""</f>
        <v>0</v>
      </c>
      <c r="F664" s="203"/>
      <c r="G664" s="216">
        <f>_xlfn.XLOOKUP(表格3_5[[#This Row],[Name]],Name_list[Full Name],Name_list[Nick Name])</f>
        <v>0</v>
      </c>
      <c r="H664" s="207"/>
      <c r="I664" s="228"/>
      <c r="J664" s="218"/>
      <c r="K664" s="205"/>
      <c r="L664" s="210">
        <f>(表格3_5[[#This Row],[Out-Time]] - 表格3_5[[#This Row],[In-Time]])*24</f>
        <v>0</v>
      </c>
      <c r="M664" s="210">
        <f>表格3_5[[#This Row],[ Hours]]-表格3_5[[#This Row],[Normal working
 hours]]</f>
        <v>0</v>
      </c>
      <c r="N664" s="205"/>
      <c r="O664" s="205"/>
      <c r="P664" s="210">
        <f>(表格3_5[[#This Row],[Out-Time2]] - 表格3_5[[#This Row],[In-Time2]])*24</f>
        <v>0</v>
      </c>
      <c r="Q664" s="205"/>
      <c r="R664" s="214">
        <f>_xlfn.XLOOKUP(表格3_5[[#This Row],[Name]],Name_list[Full Name],Name_list[Hourr Rate])</f>
        <v>0</v>
      </c>
      <c r="S664" s="210">
        <f>表格3_5[[#This Row],[Hours Worked]]*表格3_5[[#This Row],[Hourly Rate]]</f>
        <v>0</v>
      </c>
    </row>
    <row r="665" spans="1:19">
      <c r="A665" s="201">
        <v>663</v>
      </c>
      <c r="B665" s="210" t="str">
        <f>_xlfn.CONCAT(表格3_5[[#This Row],[Name]],表格3_5[[#This Row],[Location]])</f>
        <v/>
      </c>
      <c r="C665" s="211" t="str">
        <f>表格3_5[[#This Row],[Location]] &amp; 表格3_5[[#This Row],[Date]] &amp;表格3_5[[#This Row],[Nick Name]]</f>
        <v>0</v>
      </c>
      <c r="D665" s="202"/>
      <c r="E665" s="211" t="str">
        <f>DAY(表格3_5[[#This Row],[Date]])&amp;""</f>
        <v>0</v>
      </c>
      <c r="F665" s="203"/>
      <c r="G665" s="216">
        <f>_xlfn.XLOOKUP(表格3_5[[#This Row],[Name]],Name_list[Full Name],Name_list[Nick Name])</f>
        <v>0</v>
      </c>
      <c r="H665" s="207"/>
      <c r="I665" s="228"/>
      <c r="J665" s="218"/>
      <c r="K665" s="205"/>
      <c r="L665" s="210">
        <f>(表格3_5[[#This Row],[Out-Time]] - 表格3_5[[#This Row],[In-Time]])*24</f>
        <v>0</v>
      </c>
      <c r="M665" s="210">
        <f>表格3_5[[#This Row],[ Hours]]-表格3_5[[#This Row],[Normal working
 hours]]</f>
        <v>0</v>
      </c>
      <c r="N665" s="205"/>
      <c r="O665" s="205"/>
      <c r="P665" s="210">
        <f>(表格3_5[[#This Row],[Out-Time2]] - 表格3_5[[#This Row],[In-Time2]])*24</f>
        <v>0</v>
      </c>
      <c r="Q665" s="205"/>
      <c r="R665" s="214">
        <f>_xlfn.XLOOKUP(表格3_5[[#This Row],[Name]],Name_list[Full Name],Name_list[Hourr Rate])</f>
        <v>0</v>
      </c>
      <c r="S665" s="210">
        <f>表格3_5[[#This Row],[Hours Worked]]*表格3_5[[#This Row],[Hourly Rate]]</f>
        <v>0</v>
      </c>
    </row>
    <row r="666" spans="1:19">
      <c r="A666" s="201">
        <v>664</v>
      </c>
      <c r="B666" s="210" t="str">
        <f>_xlfn.CONCAT(表格3_5[[#This Row],[Name]],表格3_5[[#This Row],[Location]])</f>
        <v/>
      </c>
      <c r="C666" s="211" t="str">
        <f>表格3_5[[#This Row],[Location]] &amp; 表格3_5[[#This Row],[Date]] &amp;表格3_5[[#This Row],[Nick Name]]</f>
        <v>0</v>
      </c>
      <c r="D666" s="202"/>
      <c r="E666" s="211" t="str">
        <f>DAY(表格3_5[[#This Row],[Date]])&amp;""</f>
        <v>0</v>
      </c>
      <c r="F666" s="203"/>
      <c r="G666" s="216">
        <f>_xlfn.XLOOKUP(表格3_5[[#This Row],[Name]],Name_list[Full Name],Name_list[Nick Name])</f>
        <v>0</v>
      </c>
      <c r="H666" s="207"/>
      <c r="I666" s="228"/>
      <c r="J666" s="218"/>
      <c r="K666" s="205"/>
      <c r="L666" s="210">
        <f>(表格3_5[[#This Row],[Out-Time]] - 表格3_5[[#This Row],[In-Time]])*24</f>
        <v>0</v>
      </c>
      <c r="M666" s="210">
        <f>表格3_5[[#This Row],[ Hours]]-表格3_5[[#This Row],[Normal working
 hours]]</f>
        <v>0</v>
      </c>
      <c r="N666" s="205"/>
      <c r="O666" s="205"/>
      <c r="P666" s="210">
        <f>(表格3_5[[#This Row],[Out-Time2]] - 表格3_5[[#This Row],[In-Time2]])*24</f>
        <v>0</v>
      </c>
      <c r="Q666" s="205"/>
      <c r="R666" s="214">
        <f>_xlfn.XLOOKUP(表格3_5[[#This Row],[Name]],Name_list[Full Name],Name_list[Hourr Rate])</f>
        <v>0</v>
      </c>
      <c r="S666" s="210">
        <f>表格3_5[[#This Row],[Hours Worked]]*表格3_5[[#This Row],[Hourly Rate]]</f>
        <v>0</v>
      </c>
    </row>
    <row r="667" spans="1:19">
      <c r="A667" s="201">
        <v>665</v>
      </c>
      <c r="B667" s="210" t="str">
        <f>_xlfn.CONCAT(表格3_5[[#This Row],[Name]],表格3_5[[#This Row],[Location]])</f>
        <v/>
      </c>
      <c r="C667" s="211" t="str">
        <f>表格3_5[[#This Row],[Location]] &amp; 表格3_5[[#This Row],[Date]] &amp;表格3_5[[#This Row],[Nick Name]]</f>
        <v>0</v>
      </c>
      <c r="D667" s="202"/>
      <c r="E667" s="211" t="str">
        <f>DAY(表格3_5[[#This Row],[Date]])&amp;""</f>
        <v>0</v>
      </c>
      <c r="F667" s="203"/>
      <c r="G667" s="216">
        <f>_xlfn.XLOOKUP(表格3_5[[#This Row],[Name]],Name_list[Full Name],Name_list[Nick Name])</f>
        <v>0</v>
      </c>
      <c r="H667" s="207"/>
      <c r="I667" s="228"/>
      <c r="J667" s="218"/>
      <c r="K667" s="205"/>
      <c r="L667" s="210">
        <f>(表格3_5[[#This Row],[Out-Time]] - 表格3_5[[#This Row],[In-Time]])*24</f>
        <v>0</v>
      </c>
      <c r="M667" s="210">
        <f>表格3_5[[#This Row],[ Hours]]-表格3_5[[#This Row],[Normal working
 hours]]</f>
        <v>0</v>
      </c>
      <c r="N667" s="205"/>
      <c r="O667" s="205"/>
      <c r="P667" s="210">
        <f>(表格3_5[[#This Row],[Out-Time2]] - 表格3_5[[#This Row],[In-Time2]])*24</f>
        <v>0</v>
      </c>
      <c r="Q667" s="205"/>
      <c r="R667" s="214">
        <f>_xlfn.XLOOKUP(表格3_5[[#This Row],[Name]],Name_list[Full Name],Name_list[Hourr Rate])</f>
        <v>0</v>
      </c>
      <c r="S667" s="210">
        <f>表格3_5[[#This Row],[Hours Worked]]*表格3_5[[#This Row],[Hourly Rate]]</f>
        <v>0</v>
      </c>
    </row>
    <row r="668" spans="1:19">
      <c r="A668" s="201">
        <v>666</v>
      </c>
      <c r="B668" s="210" t="str">
        <f>_xlfn.CONCAT(表格3_5[[#This Row],[Name]],表格3_5[[#This Row],[Location]])</f>
        <v/>
      </c>
      <c r="C668" s="211" t="str">
        <f>表格3_5[[#This Row],[Location]] &amp; 表格3_5[[#This Row],[Date]] &amp;表格3_5[[#This Row],[Nick Name]]</f>
        <v>0</v>
      </c>
      <c r="D668" s="202"/>
      <c r="E668" s="211" t="str">
        <f>DAY(表格3_5[[#This Row],[Date]])&amp;""</f>
        <v>0</v>
      </c>
      <c r="F668" s="203"/>
      <c r="G668" s="216">
        <f>_xlfn.XLOOKUP(表格3_5[[#This Row],[Name]],Name_list[Full Name],Name_list[Nick Name])</f>
        <v>0</v>
      </c>
      <c r="H668" s="207"/>
      <c r="I668" s="228"/>
      <c r="J668" s="218"/>
      <c r="K668" s="205"/>
      <c r="L668" s="210">
        <f>(表格3_5[[#This Row],[Out-Time]] - 表格3_5[[#This Row],[In-Time]])*24</f>
        <v>0</v>
      </c>
      <c r="M668" s="210">
        <f>表格3_5[[#This Row],[ Hours]]-表格3_5[[#This Row],[Normal working
 hours]]</f>
        <v>0</v>
      </c>
      <c r="N668" s="205"/>
      <c r="O668" s="205"/>
      <c r="P668" s="210">
        <f>(表格3_5[[#This Row],[Out-Time2]] - 表格3_5[[#This Row],[In-Time2]])*24</f>
        <v>0</v>
      </c>
      <c r="Q668" s="205"/>
      <c r="R668" s="214">
        <f>_xlfn.XLOOKUP(表格3_5[[#This Row],[Name]],Name_list[Full Name],Name_list[Hourr Rate])</f>
        <v>0</v>
      </c>
      <c r="S668" s="210">
        <f>表格3_5[[#This Row],[Hours Worked]]*表格3_5[[#This Row],[Hourly Rate]]</f>
        <v>0</v>
      </c>
    </row>
    <row r="669" spans="1:19">
      <c r="A669" s="201">
        <v>667</v>
      </c>
      <c r="B669" s="210" t="str">
        <f>_xlfn.CONCAT(表格3_5[[#This Row],[Name]],表格3_5[[#This Row],[Location]])</f>
        <v/>
      </c>
      <c r="C669" s="211" t="str">
        <f>表格3_5[[#This Row],[Location]] &amp; 表格3_5[[#This Row],[Date]] &amp;表格3_5[[#This Row],[Nick Name]]</f>
        <v>0</v>
      </c>
      <c r="D669" s="202"/>
      <c r="E669" s="211" t="str">
        <f>DAY(表格3_5[[#This Row],[Date]])&amp;""</f>
        <v>0</v>
      </c>
      <c r="F669" s="203"/>
      <c r="G669" s="216">
        <f>_xlfn.XLOOKUP(表格3_5[[#This Row],[Name]],Name_list[Full Name],Name_list[Nick Name])</f>
        <v>0</v>
      </c>
      <c r="H669" s="207"/>
      <c r="I669" s="228"/>
      <c r="J669" s="218"/>
      <c r="K669" s="205"/>
      <c r="L669" s="210">
        <f>(表格3_5[[#This Row],[Out-Time]] - 表格3_5[[#This Row],[In-Time]])*24</f>
        <v>0</v>
      </c>
      <c r="M669" s="210">
        <f>表格3_5[[#This Row],[ Hours]]-表格3_5[[#This Row],[Normal working
 hours]]</f>
        <v>0</v>
      </c>
      <c r="N669" s="205"/>
      <c r="O669" s="205"/>
      <c r="P669" s="210">
        <f>(表格3_5[[#This Row],[Out-Time2]] - 表格3_5[[#This Row],[In-Time2]])*24</f>
        <v>0</v>
      </c>
      <c r="Q669" s="205"/>
      <c r="R669" s="214">
        <f>_xlfn.XLOOKUP(表格3_5[[#This Row],[Name]],Name_list[Full Name],Name_list[Hourr Rate])</f>
        <v>0</v>
      </c>
      <c r="S669" s="210">
        <f>表格3_5[[#This Row],[Hours Worked]]*表格3_5[[#This Row],[Hourly Rate]]</f>
        <v>0</v>
      </c>
    </row>
    <row r="670" spans="1:19">
      <c r="A670" s="201">
        <v>668</v>
      </c>
      <c r="B670" s="210" t="str">
        <f>_xlfn.CONCAT(表格3_5[[#This Row],[Name]],表格3_5[[#This Row],[Location]])</f>
        <v/>
      </c>
      <c r="C670" s="211" t="str">
        <f>表格3_5[[#This Row],[Location]] &amp; 表格3_5[[#This Row],[Date]] &amp;表格3_5[[#This Row],[Nick Name]]</f>
        <v>0</v>
      </c>
      <c r="D670" s="202"/>
      <c r="E670" s="211" t="str">
        <f>DAY(表格3_5[[#This Row],[Date]])&amp;""</f>
        <v>0</v>
      </c>
      <c r="F670" s="203"/>
      <c r="G670" s="216">
        <f>_xlfn.XLOOKUP(表格3_5[[#This Row],[Name]],Name_list[Full Name],Name_list[Nick Name])</f>
        <v>0</v>
      </c>
      <c r="H670" s="207"/>
      <c r="I670" s="228"/>
      <c r="J670" s="218"/>
      <c r="K670" s="205"/>
      <c r="L670" s="210">
        <f>(表格3_5[[#This Row],[Out-Time]] - 表格3_5[[#This Row],[In-Time]])*24</f>
        <v>0</v>
      </c>
      <c r="M670" s="210">
        <f>表格3_5[[#This Row],[ Hours]]-表格3_5[[#This Row],[Normal working
 hours]]</f>
        <v>0</v>
      </c>
      <c r="N670" s="205"/>
      <c r="O670" s="205"/>
      <c r="P670" s="210">
        <f>(表格3_5[[#This Row],[Out-Time2]] - 表格3_5[[#This Row],[In-Time2]])*24</f>
        <v>0</v>
      </c>
      <c r="Q670" s="205"/>
      <c r="R670" s="214">
        <f>_xlfn.XLOOKUP(表格3_5[[#This Row],[Name]],Name_list[Full Name],Name_list[Hourr Rate])</f>
        <v>0</v>
      </c>
      <c r="S670" s="210">
        <f>表格3_5[[#This Row],[Hours Worked]]*表格3_5[[#This Row],[Hourly Rate]]</f>
        <v>0</v>
      </c>
    </row>
    <row r="671" spans="1:19">
      <c r="A671" s="201">
        <v>669</v>
      </c>
      <c r="B671" s="210" t="str">
        <f>_xlfn.CONCAT(表格3_5[[#This Row],[Name]],表格3_5[[#This Row],[Location]])</f>
        <v/>
      </c>
      <c r="C671" s="211" t="str">
        <f>表格3_5[[#This Row],[Location]] &amp; 表格3_5[[#This Row],[Date]] &amp;表格3_5[[#This Row],[Nick Name]]</f>
        <v>0</v>
      </c>
      <c r="D671" s="202"/>
      <c r="E671" s="211" t="str">
        <f>DAY(表格3_5[[#This Row],[Date]])&amp;""</f>
        <v>0</v>
      </c>
      <c r="F671" s="203"/>
      <c r="G671" s="216">
        <f>_xlfn.XLOOKUP(表格3_5[[#This Row],[Name]],Name_list[Full Name],Name_list[Nick Name])</f>
        <v>0</v>
      </c>
      <c r="H671" s="207"/>
      <c r="I671" s="228"/>
      <c r="J671" s="218"/>
      <c r="K671" s="205"/>
      <c r="L671" s="210">
        <f>(表格3_5[[#This Row],[Out-Time]] - 表格3_5[[#This Row],[In-Time]])*24</f>
        <v>0</v>
      </c>
      <c r="M671" s="210">
        <f>表格3_5[[#This Row],[ Hours]]-表格3_5[[#This Row],[Normal working
 hours]]</f>
        <v>0</v>
      </c>
      <c r="N671" s="205"/>
      <c r="O671" s="205"/>
      <c r="P671" s="210">
        <f>(表格3_5[[#This Row],[Out-Time2]] - 表格3_5[[#This Row],[In-Time2]])*24</f>
        <v>0</v>
      </c>
      <c r="Q671" s="205"/>
      <c r="R671" s="214">
        <f>_xlfn.XLOOKUP(表格3_5[[#This Row],[Name]],Name_list[Full Name],Name_list[Hourr Rate])</f>
        <v>0</v>
      </c>
      <c r="S671" s="210">
        <f>表格3_5[[#This Row],[Hours Worked]]*表格3_5[[#This Row],[Hourly Rate]]</f>
        <v>0</v>
      </c>
    </row>
    <row r="672" spans="1:19">
      <c r="A672" s="201">
        <v>670</v>
      </c>
      <c r="B672" s="210" t="str">
        <f>_xlfn.CONCAT(表格3_5[[#This Row],[Name]],表格3_5[[#This Row],[Location]])</f>
        <v/>
      </c>
      <c r="C672" s="211" t="str">
        <f>表格3_5[[#This Row],[Location]] &amp; 表格3_5[[#This Row],[Date]] &amp;表格3_5[[#This Row],[Nick Name]]</f>
        <v>0</v>
      </c>
      <c r="D672" s="202"/>
      <c r="E672" s="211" t="str">
        <f>DAY(表格3_5[[#This Row],[Date]])&amp;""</f>
        <v>0</v>
      </c>
      <c r="F672" s="203"/>
      <c r="G672" s="216">
        <f>_xlfn.XLOOKUP(表格3_5[[#This Row],[Name]],Name_list[Full Name],Name_list[Nick Name])</f>
        <v>0</v>
      </c>
      <c r="H672" s="207"/>
      <c r="I672" s="228"/>
      <c r="J672" s="218"/>
      <c r="K672" s="205"/>
      <c r="L672" s="210">
        <f>(表格3_5[[#This Row],[Out-Time]] - 表格3_5[[#This Row],[In-Time]])*24</f>
        <v>0</v>
      </c>
      <c r="M672" s="210">
        <f>表格3_5[[#This Row],[ Hours]]-表格3_5[[#This Row],[Normal working
 hours]]</f>
        <v>0</v>
      </c>
      <c r="N672" s="205"/>
      <c r="O672" s="205"/>
      <c r="P672" s="210">
        <f>(表格3_5[[#This Row],[Out-Time2]] - 表格3_5[[#This Row],[In-Time2]])*24</f>
        <v>0</v>
      </c>
      <c r="Q672" s="205"/>
      <c r="R672" s="214">
        <f>_xlfn.XLOOKUP(表格3_5[[#This Row],[Name]],Name_list[Full Name],Name_list[Hourr Rate])</f>
        <v>0</v>
      </c>
      <c r="S672" s="210">
        <f>表格3_5[[#This Row],[Hours Worked]]*表格3_5[[#This Row],[Hourly Rate]]</f>
        <v>0</v>
      </c>
    </row>
    <row r="673" spans="1:19">
      <c r="A673" s="201">
        <v>671</v>
      </c>
      <c r="B673" s="210" t="str">
        <f>_xlfn.CONCAT(表格3_5[[#This Row],[Name]],表格3_5[[#This Row],[Location]])</f>
        <v/>
      </c>
      <c r="C673" s="211" t="str">
        <f>表格3_5[[#This Row],[Location]] &amp; 表格3_5[[#This Row],[Date]] &amp;表格3_5[[#This Row],[Nick Name]]</f>
        <v>0</v>
      </c>
      <c r="D673" s="202"/>
      <c r="E673" s="211" t="str">
        <f>DAY(表格3_5[[#This Row],[Date]])&amp;""</f>
        <v>0</v>
      </c>
      <c r="F673" s="203"/>
      <c r="G673" s="216">
        <f>_xlfn.XLOOKUP(表格3_5[[#This Row],[Name]],Name_list[Full Name],Name_list[Nick Name])</f>
        <v>0</v>
      </c>
      <c r="H673" s="207"/>
      <c r="I673" s="228"/>
      <c r="J673" s="218"/>
      <c r="K673" s="205"/>
      <c r="L673" s="210">
        <f>(表格3_5[[#This Row],[Out-Time]] - 表格3_5[[#This Row],[In-Time]])*24</f>
        <v>0</v>
      </c>
      <c r="M673" s="210">
        <f>表格3_5[[#This Row],[ Hours]]-表格3_5[[#This Row],[Normal working
 hours]]</f>
        <v>0</v>
      </c>
      <c r="N673" s="205"/>
      <c r="O673" s="205"/>
      <c r="P673" s="210">
        <f>(表格3_5[[#This Row],[Out-Time2]] - 表格3_5[[#This Row],[In-Time2]])*24</f>
        <v>0</v>
      </c>
      <c r="Q673" s="205"/>
      <c r="R673" s="214">
        <f>_xlfn.XLOOKUP(表格3_5[[#This Row],[Name]],Name_list[Full Name],Name_list[Hourr Rate])</f>
        <v>0</v>
      </c>
      <c r="S673" s="210">
        <f>表格3_5[[#This Row],[Hours Worked]]*表格3_5[[#This Row],[Hourly Rate]]</f>
        <v>0</v>
      </c>
    </row>
    <row r="674" spans="1:19">
      <c r="A674" s="201">
        <v>672</v>
      </c>
      <c r="B674" s="210" t="str">
        <f>_xlfn.CONCAT(表格3_5[[#This Row],[Name]],表格3_5[[#This Row],[Location]])</f>
        <v/>
      </c>
      <c r="C674" s="211" t="str">
        <f>表格3_5[[#This Row],[Location]] &amp; 表格3_5[[#This Row],[Date]] &amp;表格3_5[[#This Row],[Nick Name]]</f>
        <v>0</v>
      </c>
      <c r="D674" s="202"/>
      <c r="E674" s="211" t="str">
        <f>DAY(表格3_5[[#This Row],[Date]])&amp;""</f>
        <v>0</v>
      </c>
      <c r="F674" s="203"/>
      <c r="G674" s="216">
        <f>_xlfn.XLOOKUP(表格3_5[[#This Row],[Name]],Name_list[Full Name],Name_list[Nick Name])</f>
        <v>0</v>
      </c>
      <c r="H674" s="207"/>
      <c r="I674" s="228"/>
      <c r="J674" s="218"/>
      <c r="K674" s="205"/>
      <c r="L674" s="210">
        <f>(表格3_5[[#This Row],[Out-Time]] - 表格3_5[[#This Row],[In-Time]])*24</f>
        <v>0</v>
      </c>
      <c r="M674" s="210">
        <f>表格3_5[[#This Row],[ Hours]]-表格3_5[[#This Row],[Normal working
 hours]]</f>
        <v>0</v>
      </c>
      <c r="N674" s="205"/>
      <c r="O674" s="205"/>
      <c r="P674" s="210">
        <f>(表格3_5[[#This Row],[Out-Time2]] - 表格3_5[[#This Row],[In-Time2]])*24</f>
        <v>0</v>
      </c>
      <c r="Q674" s="205"/>
      <c r="R674" s="214">
        <f>_xlfn.XLOOKUP(表格3_5[[#This Row],[Name]],Name_list[Full Name],Name_list[Hourr Rate])</f>
        <v>0</v>
      </c>
      <c r="S674" s="210">
        <f>表格3_5[[#This Row],[Hours Worked]]*表格3_5[[#This Row],[Hourly Rate]]</f>
        <v>0</v>
      </c>
    </row>
    <row r="675" spans="1:19">
      <c r="A675" s="201">
        <v>673</v>
      </c>
      <c r="B675" s="210" t="str">
        <f>_xlfn.CONCAT(表格3_5[[#This Row],[Name]],表格3_5[[#This Row],[Location]])</f>
        <v/>
      </c>
      <c r="C675" s="211" t="str">
        <f>表格3_5[[#This Row],[Location]] &amp; 表格3_5[[#This Row],[Date]] &amp;表格3_5[[#This Row],[Nick Name]]</f>
        <v>0</v>
      </c>
      <c r="D675" s="202"/>
      <c r="E675" s="211" t="str">
        <f>DAY(表格3_5[[#This Row],[Date]])&amp;""</f>
        <v>0</v>
      </c>
      <c r="F675" s="203"/>
      <c r="G675" s="216">
        <f>_xlfn.XLOOKUP(表格3_5[[#This Row],[Name]],Name_list[Full Name],Name_list[Nick Name])</f>
        <v>0</v>
      </c>
      <c r="H675" s="207"/>
      <c r="I675" s="228"/>
      <c r="J675" s="218"/>
      <c r="K675" s="205"/>
      <c r="L675" s="210">
        <f>(表格3_5[[#This Row],[Out-Time]] - 表格3_5[[#This Row],[In-Time]])*24</f>
        <v>0</v>
      </c>
      <c r="M675" s="210">
        <f>表格3_5[[#This Row],[ Hours]]-表格3_5[[#This Row],[Normal working
 hours]]</f>
        <v>0</v>
      </c>
      <c r="N675" s="205"/>
      <c r="O675" s="205"/>
      <c r="P675" s="210">
        <f>(表格3_5[[#This Row],[Out-Time2]] - 表格3_5[[#This Row],[In-Time2]])*24</f>
        <v>0</v>
      </c>
      <c r="Q675" s="205"/>
      <c r="R675" s="214">
        <f>_xlfn.XLOOKUP(表格3_5[[#This Row],[Name]],Name_list[Full Name],Name_list[Hourr Rate])</f>
        <v>0</v>
      </c>
      <c r="S675" s="210">
        <f>表格3_5[[#This Row],[Hours Worked]]*表格3_5[[#This Row],[Hourly Rate]]</f>
        <v>0</v>
      </c>
    </row>
    <row r="676" spans="1:19">
      <c r="A676" s="201">
        <v>674</v>
      </c>
      <c r="B676" s="210" t="str">
        <f>_xlfn.CONCAT(表格3_5[[#This Row],[Name]],表格3_5[[#This Row],[Location]])</f>
        <v/>
      </c>
      <c r="C676" s="211" t="str">
        <f>表格3_5[[#This Row],[Location]] &amp; 表格3_5[[#This Row],[Date]] &amp;表格3_5[[#This Row],[Nick Name]]</f>
        <v>0</v>
      </c>
      <c r="D676" s="202"/>
      <c r="E676" s="211" t="str">
        <f>DAY(表格3_5[[#This Row],[Date]])&amp;""</f>
        <v>0</v>
      </c>
      <c r="F676" s="203"/>
      <c r="G676" s="216">
        <f>_xlfn.XLOOKUP(表格3_5[[#This Row],[Name]],Name_list[Full Name],Name_list[Nick Name])</f>
        <v>0</v>
      </c>
      <c r="H676" s="207"/>
      <c r="I676" s="228"/>
      <c r="J676" s="218"/>
      <c r="K676" s="205"/>
      <c r="L676" s="210">
        <f>(表格3_5[[#This Row],[Out-Time]] - 表格3_5[[#This Row],[In-Time]])*24</f>
        <v>0</v>
      </c>
      <c r="M676" s="210">
        <f>表格3_5[[#This Row],[ Hours]]-表格3_5[[#This Row],[Normal working
 hours]]</f>
        <v>0</v>
      </c>
      <c r="N676" s="205"/>
      <c r="O676" s="205"/>
      <c r="P676" s="210">
        <f>(表格3_5[[#This Row],[Out-Time2]] - 表格3_5[[#This Row],[In-Time2]])*24</f>
        <v>0</v>
      </c>
      <c r="Q676" s="205"/>
      <c r="R676" s="214">
        <f>_xlfn.XLOOKUP(表格3_5[[#This Row],[Name]],Name_list[Full Name],Name_list[Hourr Rate])</f>
        <v>0</v>
      </c>
      <c r="S676" s="210">
        <f>表格3_5[[#This Row],[Hours Worked]]*表格3_5[[#This Row],[Hourly Rate]]</f>
        <v>0</v>
      </c>
    </row>
    <row r="677" spans="1:19">
      <c r="A677" s="201">
        <v>675</v>
      </c>
      <c r="B677" s="210" t="str">
        <f>_xlfn.CONCAT(表格3_5[[#This Row],[Name]],表格3_5[[#This Row],[Location]])</f>
        <v/>
      </c>
      <c r="C677" s="211" t="str">
        <f>表格3_5[[#This Row],[Location]] &amp; 表格3_5[[#This Row],[Date]] &amp;表格3_5[[#This Row],[Nick Name]]</f>
        <v>0</v>
      </c>
      <c r="D677" s="202"/>
      <c r="E677" s="211" t="str">
        <f>DAY(表格3_5[[#This Row],[Date]])&amp;""</f>
        <v>0</v>
      </c>
      <c r="F677" s="203"/>
      <c r="G677" s="216">
        <f>_xlfn.XLOOKUP(表格3_5[[#This Row],[Name]],Name_list[Full Name],Name_list[Nick Name])</f>
        <v>0</v>
      </c>
      <c r="H677" s="207"/>
      <c r="I677" s="228"/>
      <c r="J677" s="218"/>
      <c r="K677" s="205"/>
      <c r="L677" s="210">
        <f>(表格3_5[[#This Row],[Out-Time]] - 表格3_5[[#This Row],[In-Time]])*24</f>
        <v>0</v>
      </c>
      <c r="M677" s="210">
        <f>表格3_5[[#This Row],[ Hours]]-表格3_5[[#This Row],[Normal working
 hours]]</f>
        <v>0</v>
      </c>
      <c r="N677" s="205"/>
      <c r="O677" s="205"/>
      <c r="P677" s="210">
        <f>(表格3_5[[#This Row],[Out-Time2]] - 表格3_5[[#This Row],[In-Time2]])*24</f>
        <v>0</v>
      </c>
      <c r="Q677" s="205"/>
      <c r="R677" s="214">
        <f>_xlfn.XLOOKUP(表格3_5[[#This Row],[Name]],Name_list[Full Name],Name_list[Hourr Rate])</f>
        <v>0</v>
      </c>
      <c r="S677" s="210">
        <f>表格3_5[[#This Row],[Hours Worked]]*表格3_5[[#This Row],[Hourly Rate]]</f>
        <v>0</v>
      </c>
    </row>
    <row r="678" spans="1:19">
      <c r="A678" s="201">
        <v>676</v>
      </c>
      <c r="B678" s="210" t="str">
        <f>_xlfn.CONCAT(表格3_5[[#This Row],[Name]],表格3_5[[#This Row],[Location]])</f>
        <v/>
      </c>
      <c r="C678" s="211" t="str">
        <f>表格3_5[[#This Row],[Location]] &amp; 表格3_5[[#This Row],[Date]] &amp;表格3_5[[#This Row],[Nick Name]]</f>
        <v>0</v>
      </c>
      <c r="D678" s="202"/>
      <c r="E678" s="211" t="str">
        <f>DAY(表格3_5[[#This Row],[Date]])&amp;""</f>
        <v>0</v>
      </c>
      <c r="F678" s="203"/>
      <c r="G678" s="216">
        <f>_xlfn.XLOOKUP(表格3_5[[#This Row],[Name]],Name_list[Full Name],Name_list[Nick Name])</f>
        <v>0</v>
      </c>
      <c r="H678" s="207"/>
      <c r="I678" s="228"/>
      <c r="J678" s="218"/>
      <c r="K678" s="205"/>
      <c r="L678" s="210">
        <f>(表格3_5[[#This Row],[Out-Time]] - 表格3_5[[#This Row],[In-Time]])*24</f>
        <v>0</v>
      </c>
      <c r="M678" s="210">
        <f>表格3_5[[#This Row],[ Hours]]-表格3_5[[#This Row],[Normal working
 hours]]</f>
        <v>0</v>
      </c>
      <c r="N678" s="205"/>
      <c r="O678" s="205"/>
      <c r="P678" s="210">
        <f>(表格3_5[[#This Row],[Out-Time2]] - 表格3_5[[#This Row],[In-Time2]])*24</f>
        <v>0</v>
      </c>
      <c r="Q678" s="205"/>
      <c r="R678" s="214">
        <f>_xlfn.XLOOKUP(表格3_5[[#This Row],[Name]],Name_list[Full Name],Name_list[Hourr Rate])</f>
        <v>0</v>
      </c>
      <c r="S678" s="210">
        <f>表格3_5[[#This Row],[Hours Worked]]*表格3_5[[#This Row],[Hourly Rate]]</f>
        <v>0</v>
      </c>
    </row>
    <row r="679" spans="1:19">
      <c r="A679" s="201">
        <v>677</v>
      </c>
      <c r="B679" s="210" t="str">
        <f>_xlfn.CONCAT(表格3_5[[#This Row],[Name]],表格3_5[[#This Row],[Location]])</f>
        <v/>
      </c>
      <c r="C679" s="211" t="str">
        <f>表格3_5[[#This Row],[Location]] &amp; 表格3_5[[#This Row],[Date]] &amp;表格3_5[[#This Row],[Nick Name]]</f>
        <v>0</v>
      </c>
      <c r="D679" s="202"/>
      <c r="E679" s="211" t="str">
        <f>DAY(表格3_5[[#This Row],[Date]])&amp;""</f>
        <v>0</v>
      </c>
      <c r="F679" s="203"/>
      <c r="G679" s="216">
        <f>_xlfn.XLOOKUP(表格3_5[[#This Row],[Name]],Name_list[Full Name],Name_list[Nick Name])</f>
        <v>0</v>
      </c>
      <c r="H679" s="207"/>
      <c r="I679" s="228"/>
      <c r="J679" s="218"/>
      <c r="K679" s="205"/>
      <c r="L679" s="210">
        <f>(表格3_5[[#This Row],[Out-Time]] - 表格3_5[[#This Row],[In-Time]])*24</f>
        <v>0</v>
      </c>
      <c r="M679" s="210">
        <f>表格3_5[[#This Row],[ Hours]]-表格3_5[[#This Row],[Normal working
 hours]]</f>
        <v>0</v>
      </c>
      <c r="N679" s="205"/>
      <c r="O679" s="205"/>
      <c r="P679" s="210">
        <f>(表格3_5[[#This Row],[Out-Time2]] - 表格3_5[[#This Row],[In-Time2]])*24</f>
        <v>0</v>
      </c>
      <c r="Q679" s="205"/>
      <c r="R679" s="214">
        <f>_xlfn.XLOOKUP(表格3_5[[#This Row],[Name]],Name_list[Full Name],Name_list[Hourr Rate])</f>
        <v>0</v>
      </c>
      <c r="S679" s="210">
        <f>表格3_5[[#This Row],[Hours Worked]]*表格3_5[[#This Row],[Hourly Rate]]</f>
        <v>0</v>
      </c>
    </row>
    <row r="680" spans="1:19">
      <c r="A680" s="201">
        <v>678</v>
      </c>
      <c r="B680" s="210" t="str">
        <f>_xlfn.CONCAT(表格3_5[[#This Row],[Name]],表格3_5[[#This Row],[Location]])</f>
        <v/>
      </c>
      <c r="C680" s="211" t="str">
        <f>表格3_5[[#This Row],[Location]] &amp; 表格3_5[[#This Row],[Date]] &amp;表格3_5[[#This Row],[Nick Name]]</f>
        <v>0</v>
      </c>
      <c r="D680" s="202"/>
      <c r="E680" s="211" t="str">
        <f>DAY(表格3_5[[#This Row],[Date]])&amp;""</f>
        <v>0</v>
      </c>
      <c r="F680" s="203"/>
      <c r="G680" s="216">
        <f>_xlfn.XLOOKUP(表格3_5[[#This Row],[Name]],Name_list[Full Name],Name_list[Nick Name])</f>
        <v>0</v>
      </c>
      <c r="H680" s="207"/>
      <c r="I680" s="228"/>
      <c r="J680" s="218"/>
      <c r="K680" s="205"/>
      <c r="L680" s="210">
        <f>(表格3_5[[#This Row],[Out-Time]] - 表格3_5[[#This Row],[In-Time]])*24</f>
        <v>0</v>
      </c>
      <c r="M680" s="210">
        <f>表格3_5[[#This Row],[ Hours]]-表格3_5[[#This Row],[Normal working
 hours]]</f>
        <v>0</v>
      </c>
      <c r="N680" s="205"/>
      <c r="O680" s="205"/>
      <c r="P680" s="210">
        <f>(表格3_5[[#This Row],[Out-Time2]] - 表格3_5[[#This Row],[In-Time2]])*24</f>
        <v>0</v>
      </c>
      <c r="Q680" s="205"/>
      <c r="R680" s="214">
        <f>_xlfn.XLOOKUP(表格3_5[[#This Row],[Name]],Name_list[Full Name],Name_list[Hourr Rate])</f>
        <v>0</v>
      </c>
      <c r="S680" s="210">
        <f>表格3_5[[#This Row],[Hours Worked]]*表格3_5[[#This Row],[Hourly Rate]]</f>
        <v>0</v>
      </c>
    </row>
    <row r="681" spans="1:19">
      <c r="A681" s="201">
        <v>679</v>
      </c>
      <c r="B681" s="210" t="str">
        <f>_xlfn.CONCAT(表格3_5[[#This Row],[Name]],表格3_5[[#This Row],[Location]])</f>
        <v/>
      </c>
      <c r="C681" s="211" t="str">
        <f>表格3_5[[#This Row],[Location]] &amp; 表格3_5[[#This Row],[Date]] &amp;表格3_5[[#This Row],[Nick Name]]</f>
        <v>0</v>
      </c>
      <c r="D681" s="202"/>
      <c r="E681" s="211" t="str">
        <f>DAY(表格3_5[[#This Row],[Date]])&amp;""</f>
        <v>0</v>
      </c>
      <c r="F681" s="203"/>
      <c r="G681" s="216">
        <f>_xlfn.XLOOKUP(表格3_5[[#This Row],[Name]],Name_list[Full Name],Name_list[Nick Name])</f>
        <v>0</v>
      </c>
      <c r="H681" s="207"/>
      <c r="I681" s="228"/>
      <c r="J681" s="218"/>
      <c r="K681" s="205"/>
      <c r="L681" s="210">
        <f>(表格3_5[[#This Row],[Out-Time]] - 表格3_5[[#This Row],[In-Time]])*24</f>
        <v>0</v>
      </c>
      <c r="M681" s="210">
        <f>表格3_5[[#This Row],[ Hours]]-表格3_5[[#This Row],[Normal working
 hours]]</f>
        <v>0</v>
      </c>
      <c r="N681" s="205"/>
      <c r="O681" s="205"/>
      <c r="P681" s="210">
        <f>(表格3_5[[#This Row],[Out-Time2]] - 表格3_5[[#This Row],[In-Time2]])*24</f>
        <v>0</v>
      </c>
      <c r="Q681" s="205"/>
      <c r="R681" s="214">
        <f>_xlfn.XLOOKUP(表格3_5[[#This Row],[Name]],Name_list[Full Name],Name_list[Hourr Rate])</f>
        <v>0</v>
      </c>
      <c r="S681" s="210">
        <f>表格3_5[[#This Row],[Hours Worked]]*表格3_5[[#This Row],[Hourly Rate]]</f>
        <v>0</v>
      </c>
    </row>
    <row r="682" spans="1:19">
      <c r="A682" s="201">
        <v>680</v>
      </c>
      <c r="B682" s="210" t="str">
        <f>_xlfn.CONCAT(表格3_5[[#This Row],[Name]],表格3_5[[#This Row],[Location]])</f>
        <v/>
      </c>
      <c r="C682" s="211" t="str">
        <f>表格3_5[[#This Row],[Location]] &amp; 表格3_5[[#This Row],[Date]] &amp;表格3_5[[#This Row],[Nick Name]]</f>
        <v>0</v>
      </c>
      <c r="D682" s="202"/>
      <c r="E682" s="211" t="str">
        <f>DAY(表格3_5[[#This Row],[Date]])&amp;""</f>
        <v>0</v>
      </c>
      <c r="F682" s="203"/>
      <c r="G682" s="216">
        <f>_xlfn.XLOOKUP(表格3_5[[#This Row],[Name]],Name_list[Full Name],Name_list[Nick Name])</f>
        <v>0</v>
      </c>
      <c r="H682" s="207"/>
      <c r="I682" s="228"/>
      <c r="J682" s="218"/>
      <c r="K682" s="205"/>
      <c r="L682" s="210">
        <f>(表格3_5[[#This Row],[Out-Time]] - 表格3_5[[#This Row],[In-Time]])*24</f>
        <v>0</v>
      </c>
      <c r="M682" s="210">
        <f>表格3_5[[#This Row],[ Hours]]-表格3_5[[#This Row],[Normal working
 hours]]</f>
        <v>0</v>
      </c>
      <c r="N682" s="205"/>
      <c r="O682" s="205"/>
      <c r="P682" s="210">
        <f>(表格3_5[[#This Row],[Out-Time2]] - 表格3_5[[#This Row],[In-Time2]])*24</f>
        <v>0</v>
      </c>
      <c r="Q682" s="205"/>
      <c r="R682" s="214">
        <f>_xlfn.XLOOKUP(表格3_5[[#This Row],[Name]],Name_list[Full Name],Name_list[Hourr Rate])</f>
        <v>0</v>
      </c>
      <c r="S682" s="210">
        <f>表格3_5[[#This Row],[Hours Worked]]*表格3_5[[#This Row],[Hourly Rate]]</f>
        <v>0</v>
      </c>
    </row>
    <row r="683" spans="1:19">
      <c r="A683" s="201">
        <v>681</v>
      </c>
      <c r="B683" s="210" t="str">
        <f>_xlfn.CONCAT(表格3_5[[#This Row],[Name]],表格3_5[[#This Row],[Location]])</f>
        <v/>
      </c>
      <c r="C683" s="211" t="str">
        <f>表格3_5[[#This Row],[Location]] &amp; 表格3_5[[#This Row],[Date]] &amp;表格3_5[[#This Row],[Nick Name]]</f>
        <v>0</v>
      </c>
      <c r="D683" s="202"/>
      <c r="E683" s="211" t="str">
        <f>DAY(表格3_5[[#This Row],[Date]])&amp;""</f>
        <v>0</v>
      </c>
      <c r="F683" s="203"/>
      <c r="G683" s="216">
        <f>_xlfn.XLOOKUP(表格3_5[[#This Row],[Name]],Name_list[Full Name],Name_list[Nick Name])</f>
        <v>0</v>
      </c>
      <c r="H683" s="207"/>
      <c r="I683" s="228"/>
      <c r="J683" s="218"/>
      <c r="K683" s="205"/>
      <c r="L683" s="210">
        <f>(表格3_5[[#This Row],[Out-Time]] - 表格3_5[[#This Row],[In-Time]])*24</f>
        <v>0</v>
      </c>
      <c r="M683" s="210">
        <f>表格3_5[[#This Row],[ Hours]]-表格3_5[[#This Row],[Normal working
 hours]]</f>
        <v>0</v>
      </c>
      <c r="N683" s="205"/>
      <c r="O683" s="205"/>
      <c r="P683" s="210">
        <f>(表格3_5[[#This Row],[Out-Time2]] - 表格3_5[[#This Row],[In-Time2]])*24</f>
        <v>0</v>
      </c>
      <c r="Q683" s="205"/>
      <c r="R683" s="214">
        <f>_xlfn.XLOOKUP(表格3_5[[#This Row],[Name]],Name_list[Full Name],Name_list[Hourr Rate])</f>
        <v>0</v>
      </c>
      <c r="S683" s="210">
        <f>表格3_5[[#This Row],[Hours Worked]]*表格3_5[[#This Row],[Hourly Rate]]</f>
        <v>0</v>
      </c>
    </row>
    <row r="684" spans="1:19">
      <c r="A684" s="201">
        <v>682</v>
      </c>
      <c r="B684" s="210" t="str">
        <f>_xlfn.CONCAT(表格3_5[[#This Row],[Name]],表格3_5[[#This Row],[Location]])</f>
        <v/>
      </c>
      <c r="C684" s="211" t="str">
        <f>表格3_5[[#This Row],[Location]] &amp; 表格3_5[[#This Row],[Date]] &amp;表格3_5[[#This Row],[Nick Name]]</f>
        <v>0</v>
      </c>
      <c r="D684" s="202"/>
      <c r="E684" s="211" t="str">
        <f>DAY(表格3_5[[#This Row],[Date]])&amp;""</f>
        <v>0</v>
      </c>
      <c r="F684" s="203"/>
      <c r="G684" s="216">
        <f>_xlfn.XLOOKUP(表格3_5[[#This Row],[Name]],Name_list[Full Name],Name_list[Nick Name])</f>
        <v>0</v>
      </c>
      <c r="H684" s="207"/>
      <c r="I684" s="228"/>
      <c r="J684" s="218"/>
      <c r="K684" s="205"/>
      <c r="L684" s="210">
        <f>(表格3_5[[#This Row],[Out-Time]] - 表格3_5[[#This Row],[In-Time]])*24</f>
        <v>0</v>
      </c>
      <c r="M684" s="210">
        <f>表格3_5[[#This Row],[ Hours]]-表格3_5[[#This Row],[Normal working
 hours]]</f>
        <v>0</v>
      </c>
      <c r="N684" s="205"/>
      <c r="O684" s="205"/>
      <c r="P684" s="210">
        <f>(表格3_5[[#This Row],[Out-Time2]] - 表格3_5[[#This Row],[In-Time2]])*24</f>
        <v>0</v>
      </c>
      <c r="Q684" s="205"/>
      <c r="R684" s="214">
        <f>_xlfn.XLOOKUP(表格3_5[[#This Row],[Name]],Name_list[Full Name],Name_list[Hourr Rate])</f>
        <v>0</v>
      </c>
      <c r="S684" s="210">
        <f>表格3_5[[#This Row],[Hours Worked]]*表格3_5[[#This Row],[Hourly Rate]]</f>
        <v>0</v>
      </c>
    </row>
    <row r="685" spans="1:19">
      <c r="A685" s="201">
        <v>683</v>
      </c>
      <c r="B685" s="210" t="str">
        <f>_xlfn.CONCAT(表格3_5[[#This Row],[Name]],表格3_5[[#This Row],[Location]])</f>
        <v/>
      </c>
      <c r="C685" s="211" t="str">
        <f>表格3_5[[#This Row],[Location]] &amp; 表格3_5[[#This Row],[Date]] &amp;表格3_5[[#This Row],[Nick Name]]</f>
        <v>0</v>
      </c>
      <c r="D685" s="202"/>
      <c r="E685" s="211" t="str">
        <f>DAY(表格3_5[[#This Row],[Date]])&amp;""</f>
        <v>0</v>
      </c>
      <c r="F685" s="203"/>
      <c r="G685" s="216">
        <f>_xlfn.XLOOKUP(表格3_5[[#This Row],[Name]],Name_list[Full Name],Name_list[Nick Name])</f>
        <v>0</v>
      </c>
      <c r="H685" s="207"/>
      <c r="I685" s="228"/>
      <c r="J685" s="218"/>
      <c r="K685" s="205"/>
      <c r="L685" s="210">
        <f>(表格3_5[[#This Row],[Out-Time]] - 表格3_5[[#This Row],[In-Time]])*24</f>
        <v>0</v>
      </c>
      <c r="M685" s="210">
        <f>表格3_5[[#This Row],[ Hours]]-表格3_5[[#This Row],[Normal working
 hours]]</f>
        <v>0</v>
      </c>
      <c r="N685" s="205"/>
      <c r="O685" s="205"/>
      <c r="P685" s="210">
        <f>(表格3_5[[#This Row],[Out-Time2]] - 表格3_5[[#This Row],[In-Time2]])*24</f>
        <v>0</v>
      </c>
      <c r="Q685" s="205"/>
      <c r="R685" s="214">
        <f>_xlfn.XLOOKUP(表格3_5[[#This Row],[Name]],Name_list[Full Name],Name_list[Hourr Rate])</f>
        <v>0</v>
      </c>
      <c r="S685" s="210">
        <f>表格3_5[[#This Row],[Hours Worked]]*表格3_5[[#This Row],[Hourly Rate]]</f>
        <v>0</v>
      </c>
    </row>
    <row r="686" spans="1:19">
      <c r="A686" s="201">
        <v>684</v>
      </c>
      <c r="B686" s="210" t="str">
        <f>_xlfn.CONCAT(表格3_5[[#This Row],[Name]],表格3_5[[#This Row],[Location]])</f>
        <v/>
      </c>
      <c r="C686" s="211" t="str">
        <f>表格3_5[[#This Row],[Location]] &amp; 表格3_5[[#This Row],[Date]] &amp;表格3_5[[#This Row],[Nick Name]]</f>
        <v>0</v>
      </c>
      <c r="D686" s="202"/>
      <c r="E686" s="211" t="str">
        <f>DAY(表格3_5[[#This Row],[Date]])&amp;""</f>
        <v>0</v>
      </c>
      <c r="F686" s="203"/>
      <c r="G686" s="216">
        <f>_xlfn.XLOOKUP(表格3_5[[#This Row],[Name]],Name_list[Full Name],Name_list[Nick Name])</f>
        <v>0</v>
      </c>
      <c r="H686" s="207"/>
      <c r="I686" s="228"/>
      <c r="J686" s="218"/>
      <c r="K686" s="205"/>
      <c r="L686" s="210">
        <f>(表格3_5[[#This Row],[Out-Time]] - 表格3_5[[#This Row],[In-Time]])*24</f>
        <v>0</v>
      </c>
      <c r="M686" s="210">
        <f>表格3_5[[#This Row],[ Hours]]-表格3_5[[#This Row],[Normal working
 hours]]</f>
        <v>0</v>
      </c>
      <c r="N686" s="205"/>
      <c r="O686" s="205"/>
      <c r="P686" s="210">
        <f>(表格3_5[[#This Row],[Out-Time2]] - 表格3_5[[#This Row],[In-Time2]])*24</f>
        <v>0</v>
      </c>
      <c r="Q686" s="205"/>
      <c r="R686" s="214">
        <f>_xlfn.XLOOKUP(表格3_5[[#This Row],[Name]],Name_list[Full Name],Name_list[Hourr Rate])</f>
        <v>0</v>
      </c>
      <c r="S686" s="210">
        <f>表格3_5[[#This Row],[Hours Worked]]*表格3_5[[#This Row],[Hourly Rate]]</f>
        <v>0</v>
      </c>
    </row>
    <row r="687" spans="1:19">
      <c r="A687" s="201">
        <v>685</v>
      </c>
      <c r="B687" s="210" t="str">
        <f>_xlfn.CONCAT(表格3_5[[#This Row],[Name]],表格3_5[[#This Row],[Location]])</f>
        <v/>
      </c>
      <c r="C687" s="211" t="str">
        <f>表格3_5[[#This Row],[Location]] &amp; 表格3_5[[#This Row],[Date]] &amp;表格3_5[[#This Row],[Nick Name]]</f>
        <v>0</v>
      </c>
      <c r="D687" s="202"/>
      <c r="E687" s="211" t="str">
        <f>DAY(表格3_5[[#This Row],[Date]])&amp;""</f>
        <v>0</v>
      </c>
      <c r="F687" s="203"/>
      <c r="G687" s="216">
        <f>_xlfn.XLOOKUP(表格3_5[[#This Row],[Name]],Name_list[Full Name],Name_list[Nick Name])</f>
        <v>0</v>
      </c>
      <c r="H687" s="207"/>
      <c r="I687" s="228"/>
      <c r="J687" s="218"/>
      <c r="K687" s="205"/>
      <c r="L687" s="210">
        <f>(表格3_5[[#This Row],[Out-Time]] - 表格3_5[[#This Row],[In-Time]])*24</f>
        <v>0</v>
      </c>
      <c r="M687" s="210">
        <f>表格3_5[[#This Row],[ Hours]]-表格3_5[[#This Row],[Normal working
 hours]]</f>
        <v>0</v>
      </c>
      <c r="N687" s="205"/>
      <c r="O687" s="205"/>
      <c r="P687" s="210">
        <f>(表格3_5[[#This Row],[Out-Time2]] - 表格3_5[[#This Row],[In-Time2]])*24</f>
        <v>0</v>
      </c>
      <c r="Q687" s="205"/>
      <c r="R687" s="214">
        <f>_xlfn.XLOOKUP(表格3_5[[#This Row],[Name]],Name_list[Full Name],Name_list[Hourr Rate])</f>
        <v>0</v>
      </c>
      <c r="S687" s="210">
        <f>表格3_5[[#This Row],[Hours Worked]]*表格3_5[[#This Row],[Hourly Rate]]</f>
        <v>0</v>
      </c>
    </row>
    <row r="688" spans="1:19">
      <c r="A688" s="201">
        <v>686</v>
      </c>
      <c r="B688" s="210" t="str">
        <f>_xlfn.CONCAT(表格3_5[[#This Row],[Name]],表格3_5[[#This Row],[Location]])</f>
        <v/>
      </c>
      <c r="C688" s="211" t="str">
        <f>表格3_5[[#This Row],[Location]] &amp; 表格3_5[[#This Row],[Date]] &amp;表格3_5[[#This Row],[Nick Name]]</f>
        <v>0</v>
      </c>
      <c r="D688" s="202"/>
      <c r="E688" s="211" t="str">
        <f>DAY(表格3_5[[#This Row],[Date]])&amp;""</f>
        <v>0</v>
      </c>
      <c r="F688" s="203"/>
      <c r="G688" s="216">
        <f>_xlfn.XLOOKUP(表格3_5[[#This Row],[Name]],Name_list[Full Name],Name_list[Nick Name])</f>
        <v>0</v>
      </c>
      <c r="H688" s="207"/>
      <c r="I688" s="228"/>
      <c r="J688" s="218"/>
      <c r="K688" s="205"/>
      <c r="L688" s="210">
        <f>(表格3_5[[#This Row],[Out-Time]] - 表格3_5[[#This Row],[In-Time]])*24</f>
        <v>0</v>
      </c>
      <c r="M688" s="210">
        <f>表格3_5[[#This Row],[ Hours]]-表格3_5[[#This Row],[Normal working
 hours]]</f>
        <v>0</v>
      </c>
      <c r="N688" s="205"/>
      <c r="O688" s="205"/>
      <c r="P688" s="210">
        <f>(表格3_5[[#This Row],[Out-Time2]] - 表格3_5[[#This Row],[In-Time2]])*24</f>
        <v>0</v>
      </c>
      <c r="Q688" s="205"/>
      <c r="R688" s="214">
        <f>_xlfn.XLOOKUP(表格3_5[[#This Row],[Name]],Name_list[Full Name],Name_list[Hourr Rate])</f>
        <v>0</v>
      </c>
      <c r="S688" s="210">
        <f>表格3_5[[#This Row],[Hours Worked]]*表格3_5[[#This Row],[Hourly Rate]]</f>
        <v>0</v>
      </c>
    </row>
    <row r="689" spans="1:19">
      <c r="A689" s="201">
        <v>687</v>
      </c>
      <c r="B689" s="210" t="str">
        <f>_xlfn.CONCAT(表格3_5[[#This Row],[Name]],表格3_5[[#This Row],[Location]])</f>
        <v/>
      </c>
      <c r="C689" s="211" t="str">
        <f>表格3_5[[#This Row],[Location]] &amp; 表格3_5[[#This Row],[Date]] &amp;表格3_5[[#This Row],[Nick Name]]</f>
        <v>0</v>
      </c>
      <c r="D689" s="202"/>
      <c r="E689" s="211" t="str">
        <f>DAY(表格3_5[[#This Row],[Date]])&amp;""</f>
        <v>0</v>
      </c>
      <c r="F689" s="203"/>
      <c r="G689" s="216">
        <f>_xlfn.XLOOKUP(表格3_5[[#This Row],[Name]],Name_list[Full Name],Name_list[Nick Name])</f>
        <v>0</v>
      </c>
      <c r="H689" s="207"/>
      <c r="I689" s="228"/>
      <c r="J689" s="218"/>
      <c r="K689" s="205"/>
      <c r="L689" s="210">
        <f>(表格3_5[[#This Row],[Out-Time]] - 表格3_5[[#This Row],[In-Time]])*24</f>
        <v>0</v>
      </c>
      <c r="M689" s="210">
        <f>表格3_5[[#This Row],[ Hours]]-表格3_5[[#This Row],[Normal working
 hours]]</f>
        <v>0</v>
      </c>
      <c r="N689" s="205"/>
      <c r="O689" s="205"/>
      <c r="P689" s="210">
        <f>(表格3_5[[#This Row],[Out-Time2]] - 表格3_5[[#This Row],[In-Time2]])*24</f>
        <v>0</v>
      </c>
      <c r="Q689" s="205"/>
      <c r="R689" s="214">
        <f>_xlfn.XLOOKUP(表格3_5[[#This Row],[Name]],Name_list[Full Name],Name_list[Hourr Rate])</f>
        <v>0</v>
      </c>
      <c r="S689" s="210">
        <f>表格3_5[[#This Row],[Hours Worked]]*表格3_5[[#This Row],[Hourly Rate]]</f>
        <v>0</v>
      </c>
    </row>
    <row r="690" spans="1:19">
      <c r="A690" s="201">
        <v>688</v>
      </c>
      <c r="B690" s="210" t="str">
        <f>_xlfn.CONCAT(表格3_5[[#This Row],[Name]],表格3_5[[#This Row],[Location]])</f>
        <v/>
      </c>
      <c r="C690" s="211" t="str">
        <f>表格3_5[[#This Row],[Location]] &amp; 表格3_5[[#This Row],[Date]] &amp;表格3_5[[#This Row],[Nick Name]]</f>
        <v>0</v>
      </c>
      <c r="D690" s="202"/>
      <c r="E690" s="211" t="str">
        <f>DAY(表格3_5[[#This Row],[Date]])&amp;""</f>
        <v>0</v>
      </c>
      <c r="F690" s="203"/>
      <c r="G690" s="216">
        <f>_xlfn.XLOOKUP(表格3_5[[#This Row],[Name]],Name_list[Full Name],Name_list[Nick Name])</f>
        <v>0</v>
      </c>
      <c r="H690" s="207"/>
      <c r="I690" s="228"/>
      <c r="J690" s="218"/>
      <c r="K690" s="205"/>
      <c r="L690" s="210">
        <f>(表格3_5[[#This Row],[Out-Time]] - 表格3_5[[#This Row],[In-Time]])*24</f>
        <v>0</v>
      </c>
      <c r="M690" s="210">
        <f>表格3_5[[#This Row],[ Hours]]-表格3_5[[#This Row],[Normal working
 hours]]</f>
        <v>0</v>
      </c>
      <c r="N690" s="205"/>
      <c r="O690" s="205"/>
      <c r="P690" s="210">
        <f>(表格3_5[[#This Row],[Out-Time2]] - 表格3_5[[#This Row],[In-Time2]])*24</f>
        <v>0</v>
      </c>
      <c r="Q690" s="205"/>
      <c r="R690" s="214">
        <f>_xlfn.XLOOKUP(表格3_5[[#This Row],[Name]],Name_list[Full Name],Name_list[Hourr Rate])</f>
        <v>0</v>
      </c>
      <c r="S690" s="210">
        <f>表格3_5[[#This Row],[Hours Worked]]*表格3_5[[#This Row],[Hourly Rate]]</f>
        <v>0</v>
      </c>
    </row>
    <row r="691" spans="1:19">
      <c r="A691" s="201">
        <v>689</v>
      </c>
      <c r="B691" s="210" t="str">
        <f>_xlfn.CONCAT(表格3_5[[#This Row],[Name]],表格3_5[[#This Row],[Location]])</f>
        <v/>
      </c>
      <c r="C691" s="211" t="str">
        <f>表格3_5[[#This Row],[Location]] &amp; 表格3_5[[#This Row],[Date]] &amp;表格3_5[[#This Row],[Nick Name]]</f>
        <v>0</v>
      </c>
      <c r="D691" s="202"/>
      <c r="E691" s="211" t="str">
        <f>DAY(表格3_5[[#This Row],[Date]])&amp;""</f>
        <v>0</v>
      </c>
      <c r="F691" s="203"/>
      <c r="G691" s="216">
        <f>_xlfn.XLOOKUP(表格3_5[[#This Row],[Name]],Name_list[Full Name],Name_list[Nick Name])</f>
        <v>0</v>
      </c>
      <c r="H691" s="207"/>
      <c r="I691" s="228"/>
      <c r="J691" s="218"/>
      <c r="K691" s="205"/>
      <c r="L691" s="210">
        <f>(表格3_5[[#This Row],[Out-Time]] - 表格3_5[[#This Row],[In-Time]])*24</f>
        <v>0</v>
      </c>
      <c r="M691" s="210">
        <f>表格3_5[[#This Row],[ Hours]]-表格3_5[[#This Row],[Normal working
 hours]]</f>
        <v>0</v>
      </c>
      <c r="N691" s="205"/>
      <c r="O691" s="205"/>
      <c r="P691" s="210">
        <f>(表格3_5[[#This Row],[Out-Time2]] - 表格3_5[[#This Row],[In-Time2]])*24</f>
        <v>0</v>
      </c>
      <c r="Q691" s="205"/>
      <c r="R691" s="214">
        <f>_xlfn.XLOOKUP(表格3_5[[#This Row],[Name]],Name_list[Full Name],Name_list[Hourr Rate])</f>
        <v>0</v>
      </c>
      <c r="S691" s="210">
        <f>表格3_5[[#This Row],[Hours Worked]]*表格3_5[[#This Row],[Hourly Rate]]</f>
        <v>0</v>
      </c>
    </row>
    <row r="692" spans="1:19">
      <c r="A692" s="201">
        <v>690</v>
      </c>
      <c r="B692" s="210" t="str">
        <f>_xlfn.CONCAT(表格3_5[[#This Row],[Name]],表格3_5[[#This Row],[Location]])</f>
        <v/>
      </c>
      <c r="C692" s="211" t="str">
        <f>表格3_5[[#This Row],[Location]] &amp; 表格3_5[[#This Row],[Date]] &amp;表格3_5[[#This Row],[Nick Name]]</f>
        <v>0</v>
      </c>
      <c r="D692" s="202"/>
      <c r="E692" s="211" t="str">
        <f>DAY(表格3_5[[#This Row],[Date]])&amp;""</f>
        <v>0</v>
      </c>
      <c r="F692" s="203"/>
      <c r="G692" s="216">
        <f>_xlfn.XLOOKUP(表格3_5[[#This Row],[Name]],Name_list[Full Name],Name_list[Nick Name])</f>
        <v>0</v>
      </c>
      <c r="H692" s="207"/>
      <c r="I692" s="228"/>
      <c r="J692" s="218"/>
      <c r="K692" s="205"/>
      <c r="L692" s="210">
        <f>(表格3_5[[#This Row],[Out-Time]] - 表格3_5[[#This Row],[In-Time]])*24</f>
        <v>0</v>
      </c>
      <c r="M692" s="210">
        <f>表格3_5[[#This Row],[ Hours]]-表格3_5[[#This Row],[Normal working
 hours]]</f>
        <v>0</v>
      </c>
      <c r="N692" s="205"/>
      <c r="O692" s="205"/>
      <c r="P692" s="210">
        <f>(表格3_5[[#This Row],[Out-Time2]] - 表格3_5[[#This Row],[In-Time2]])*24</f>
        <v>0</v>
      </c>
      <c r="Q692" s="205"/>
      <c r="R692" s="214">
        <f>_xlfn.XLOOKUP(表格3_5[[#This Row],[Name]],Name_list[Full Name],Name_list[Hourr Rate])</f>
        <v>0</v>
      </c>
      <c r="S692" s="210">
        <f>表格3_5[[#This Row],[Hours Worked]]*表格3_5[[#This Row],[Hourly Rate]]</f>
        <v>0</v>
      </c>
    </row>
    <row r="693" spans="1:19">
      <c r="A693" s="201">
        <v>691</v>
      </c>
      <c r="B693" s="210" t="str">
        <f>_xlfn.CONCAT(表格3_5[[#This Row],[Name]],表格3_5[[#This Row],[Location]])</f>
        <v/>
      </c>
      <c r="C693" s="211" t="str">
        <f>表格3_5[[#This Row],[Location]] &amp; 表格3_5[[#This Row],[Date]] &amp;表格3_5[[#This Row],[Nick Name]]</f>
        <v>0</v>
      </c>
      <c r="D693" s="202"/>
      <c r="E693" s="211" t="str">
        <f>DAY(表格3_5[[#This Row],[Date]])&amp;""</f>
        <v>0</v>
      </c>
      <c r="F693" s="203"/>
      <c r="G693" s="216">
        <f>_xlfn.XLOOKUP(表格3_5[[#This Row],[Name]],Name_list[Full Name],Name_list[Nick Name])</f>
        <v>0</v>
      </c>
      <c r="H693" s="207"/>
      <c r="I693" s="228"/>
      <c r="J693" s="218"/>
      <c r="K693" s="205"/>
      <c r="L693" s="210">
        <f>(表格3_5[[#This Row],[Out-Time]] - 表格3_5[[#This Row],[In-Time]])*24</f>
        <v>0</v>
      </c>
      <c r="M693" s="210">
        <f>表格3_5[[#This Row],[ Hours]]-表格3_5[[#This Row],[Normal working
 hours]]</f>
        <v>0</v>
      </c>
      <c r="N693" s="205"/>
      <c r="O693" s="205"/>
      <c r="P693" s="210">
        <f>(表格3_5[[#This Row],[Out-Time2]] - 表格3_5[[#This Row],[In-Time2]])*24</f>
        <v>0</v>
      </c>
      <c r="Q693" s="205"/>
      <c r="R693" s="214">
        <f>_xlfn.XLOOKUP(表格3_5[[#This Row],[Name]],Name_list[Full Name],Name_list[Hourr Rate])</f>
        <v>0</v>
      </c>
      <c r="S693" s="210">
        <f>表格3_5[[#This Row],[Hours Worked]]*表格3_5[[#This Row],[Hourly Rate]]</f>
        <v>0</v>
      </c>
    </row>
    <row r="694" spans="1:19">
      <c r="A694" s="201">
        <v>692</v>
      </c>
      <c r="B694" s="210" t="str">
        <f>_xlfn.CONCAT(表格3_5[[#This Row],[Name]],表格3_5[[#This Row],[Location]])</f>
        <v/>
      </c>
      <c r="C694" s="211" t="str">
        <f>表格3_5[[#This Row],[Location]] &amp; 表格3_5[[#This Row],[Date]] &amp;表格3_5[[#This Row],[Nick Name]]</f>
        <v>0</v>
      </c>
      <c r="D694" s="202"/>
      <c r="E694" s="211" t="str">
        <f>DAY(表格3_5[[#This Row],[Date]])&amp;""</f>
        <v>0</v>
      </c>
      <c r="F694" s="203"/>
      <c r="G694" s="216">
        <f>_xlfn.XLOOKUP(表格3_5[[#This Row],[Name]],Name_list[Full Name],Name_list[Nick Name])</f>
        <v>0</v>
      </c>
      <c r="H694" s="207"/>
      <c r="I694" s="228"/>
      <c r="J694" s="218"/>
      <c r="K694" s="205"/>
      <c r="L694" s="210">
        <f>(表格3_5[[#This Row],[Out-Time]] - 表格3_5[[#This Row],[In-Time]])*24</f>
        <v>0</v>
      </c>
      <c r="M694" s="210">
        <f>表格3_5[[#This Row],[ Hours]]-表格3_5[[#This Row],[Normal working
 hours]]</f>
        <v>0</v>
      </c>
      <c r="N694" s="205"/>
      <c r="O694" s="205"/>
      <c r="P694" s="210">
        <f>(表格3_5[[#This Row],[Out-Time2]] - 表格3_5[[#This Row],[In-Time2]])*24</f>
        <v>0</v>
      </c>
      <c r="Q694" s="205"/>
      <c r="R694" s="214">
        <f>_xlfn.XLOOKUP(表格3_5[[#This Row],[Name]],Name_list[Full Name],Name_list[Hourr Rate])</f>
        <v>0</v>
      </c>
      <c r="S694" s="210">
        <f>表格3_5[[#This Row],[Hours Worked]]*表格3_5[[#This Row],[Hourly Rate]]</f>
        <v>0</v>
      </c>
    </row>
    <row r="695" spans="1:19">
      <c r="A695" s="201">
        <v>693</v>
      </c>
      <c r="B695" s="210" t="str">
        <f>_xlfn.CONCAT(表格3_5[[#This Row],[Name]],表格3_5[[#This Row],[Location]])</f>
        <v/>
      </c>
      <c r="C695" s="211" t="str">
        <f>表格3_5[[#This Row],[Location]] &amp; 表格3_5[[#This Row],[Date]] &amp;表格3_5[[#This Row],[Nick Name]]</f>
        <v>0</v>
      </c>
      <c r="D695" s="202"/>
      <c r="E695" s="211" t="str">
        <f>DAY(表格3_5[[#This Row],[Date]])&amp;""</f>
        <v>0</v>
      </c>
      <c r="F695" s="203"/>
      <c r="G695" s="216">
        <f>_xlfn.XLOOKUP(表格3_5[[#This Row],[Name]],Name_list[Full Name],Name_list[Nick Name])</f>
        <v>0</v>
      </c>
      <c r="H695" s="207"/>
      <c r="I695" s="228"/>
      <c r="J695" s="218"/>
      <c r="K695" s="205"/>
      <c r="L695" s="210">
        <f>(表格3_5[[#This Row],[Out-Time]] - 表格3_5[[#This Row],[In-Time]])*24</f>
        <v>0</v>
      </c>
      <c r="M695" s="210">
        <f>表格3_5[[#This Row],[ Hours]]-表格3_5[[#This Row],[Normal working
 hours]]</f>
        <v>0</v>
      </c>
      <c r="N695" s="205"/>
      <c r="O695" s="205"/>
      <c r="P695" s="210">
        <f>(表格3_5[[#This Row],[Out-Time2]] - 表格3_5[[#This Row],[In-Time2]])*24</f>
        <v>0</v>
      </c>
      <c r="Q695" s="205"/>
      <c r="R695" s="214">
        <f>_xlfn.XLOOKUP(表格3_5[[#This Row],[Name]],Name_list[Full Name],Name_list[Hourr Rate])</f>
        <v>0</v>
      </c>
      <c r="S695" s="210">
        <f>表格3_5[[#This Row],[Hours Worked]]*表格3_5[[#This Row],[Hourly Rate]]</f>
        <v>0</v>
      </c>
    </row>
    <row r="696" spans="1:19">
      <c r="A696" s="201">
        <v>694</v>
      </c>
      <c r="B696" s="210" t="str">
        <f>_xlfn.CONCAT(表格3_5[[#This Row],[Name]],表格3_5[[#This Row],[Location]])</f>
        <v/>
      </c>
      <c r="C696" s="211" t="str">
        <f>表格3_5[[#This Row],[Location]] &amp; 表格3_5[[#This Row],[Date]] &amp;表格3_5[[#This Row],[Nick Name]]</f>
        <v>0</v>
      </c>
      <c r="D696" s="202"/>
      <c r="E696" s="211" t="str">
        <f>DAY(表格3_5[[#This Row],[Date]])&amp;""</f>
        <v>0</v>
      </c>
      <c r="F696" s="203"/>
      <c r="G696" s="216">
        <f>_xlfn.XLOOKUP(表格3_5[[#This Row],[Name]],Name_list[Full Name],Name_list[Nick Name])</f>
        <v>0</v>
      </c>
      <c r="H696" s="207"/>
      <c r="I696" s="228"/>
      <c r="J696" s="218"/>
      <c r="K696" s="205"/>
      <c r="L696" s="210">
        <f>(表格3_5[[#This Row],[Out-Time]] - 表格3_5[[#This Row],[In-Time]])*24</f>
        <v>0</v>
      </c>
      <c r="M696" s="210">
        <f>表格3_5[[#This Row],[ Hours]]-表格3_5[[#This Row],[Normal working
 hours]]</f>
        <v>0</v>
      </c>
      <c r="N696" s="205"/>
      <c r="O696" s="205"/>
      <c r="P696" s="210">
        <f>(表格3_5[[#This Row],[Out-Time2]] - 表格3_5[[#This Row],[In-Time2]])*24</f>
        <v>0</v>
      </c>
      <c r="Q696" s="205"/>
      <c r="R696" s="214">
        <f>_xlfn.XLOOKUP(表格3_5[[#This Row],[Name]],Name_list[Full Name],Name_list[Hourr Rate])</f>
        <v>0</v>
      </c>
      <c r="S696" s="210">
        <f>表格3_5[[#This Row],[Hours Worked]]*表格3_5[[#This Row],[Hourly Rate]]</f>
        <v>0</v>
      </c>
    </row>
    <row r="697" spans="1:19">
      <c r="A697" s="201">
        <v>695</v>
      </c>
      <c r="B697" s="210" t="str">
        <f>_xlfn.CONCAT(表格3_5[[#This Row],[Name]],表格3_5[[#This Row],[Location]])</f>
        <v/>
      </c>
      <c r="C697" s="211" t="str">
        <f>表格3_5[[#This Row],[Location]] &amp; 表格3_5[[#This Row],[Date]] &amp;表格3_5[[#This Row],[Nick Name]]</f>
        <v>0</v>
      </c>
      <c r="D697" s="202"/>
      <c r="E697" s="211" t="str">
        <f>DAY(表格3_5[[#This Row],[Date]])&amp;""</f>
        <v>0</v>
      </c>
      <c r="F697" s="203"/>
      <c r="G697" s="216">
        <f>_xlfn.XLOOKUP(表格3_5[[#This Row],[Name]],Name_list[Full Name],Name_list[Nick Name])</f>
        <v>0</v>
      </c>
      <c r="H697" s="207"/>
      <c r="I697" s="228"/>
      <c r="J697" s="218"/>
      <c r="K697" s="205"/>
      <c r="L697" s="210">
        <f>(表格3_5[[#This Row],[Out-Time]] - 表格3_5[[#This Row],[In-Time]])*24</f>
        <v>0</v>
      </c>
      <c r="M697" s="210">
        <f>表格3_5[[#This Row],[ Hours]]-表格3_5[[#This Row],[Normal working
 hours]]</f>
        <v>0</v>
      </c>
      <c r="N697" s="205"/>
      <c r="O697" s="205"/>
      <c r="P697" s="210">
        <f>(表格3_5[[#This Row],[Out-Time2]] - 表格3_5[[#This Row],[In-Time2]])*24</f>
        <v>0</v>
      </c>
      <c r="Q697" s="205"/>
      <c r="R697" s="214">
        <f>_xlfn.XLOOKUP(表格3_5[[#This Row],[Name]],Name_list[Full Name],Name_list[Hourr Rate])</f>
        <v>0</v>
      </c>
      <c r="S697" s="210">
        <f>表格3_5[[#This Row],[Hours Worked]]*表格3_5[[#This Row],[Hourly Rate]]</f>
        <v>0</v>
      </c>
    </row>
    <row r="698" spans="1:19">
      <c r="A698" s="201">
        <v>696</v>
      </c>
      <c r="B698" s="210" t="str">
        <f>_xlfn.CONCAT(表格3_5[[#This Row],[Name]],表格3_5[[#This Row],[Location]])</f>
        <v/>
      </c>
      <c r="C698" s="211" t="str">
        <f>表格3_5[[#This Row],[Location]] &amp; 表格3_5[[#This Row],[Date]] &amp;表格3_5[[#This Row],[Nick Name]]</f>
        <v>0</v>
      </c>
      <c r="D698" s="202"/>
      <c r="E698" s="211" t="str">
        <f>DAY(表格3_5[[#This Row],[Date]])&amp;""</f>
        <v>0</v>
      </c>
      <c r="F698" s="203"/>
      <c r="G698" s="216">
        <f>_xlfn.XLOOKUP(表格3_5[[#This Row],[Name]],Name_list[Full Name],Name_list[Nick Name])</f>
        <v>0</v>
      </c>
      <c r="H698" s="207"/>
      <c r="I698" s="228"/>
      <c r="J698" s="218"/>
      <c r="K698" s="205"/>
      <c r="L698" s="210">
        <f>(表格3_5[[#This Row],[Out-Time]] - 表格3_5[[#This Row],[In-Time]])*24</f>
        <v>0</v>
      </c>
      <c r="M698" s="210">
        <f>表格3_5[[#This Row],[ Hours]]-表格3_5[[#This Row],[Normal working
 hours]]</f>
        <v>0</v>
      </c>
      <c r="N698" s="205"/>
      <c r="O698" s="205"/>
      <c r="P698" s="210">
        <f>(表格3_5[[#This Row],[Out-Time2]] - 表格3_5[[#This Row],[In-Time2]])*24</f>
        <v>0</v>
      </c>
      <c r="Q698" s="205"/>
      <c r="R698" s="214">
        <f>_xlfn.XLOOKUP(表格3_5[[#This Row],[Name]],Name_list[Full Name],Name_list[Hourr Rate])</f>
        <v>0</v>
      </c>
      <c r="S698" s="210">
        <f>表格3_5[[#This Row],[Hours Worked]]*表格3_5[[#This Row],[Hourly Rate]]</f>
        <v>0</v>
      </c>
    </row>
    <row r="699" spans="1:19">
      <c r="A699" s="201">
        <v>697</v>
      </c>
      <c r="B699" s="210" t="str">
        <f>_xlfn.CONCAT(表格3_5[[#This Row],[Name]],表格3_5[[#This Row],[Location]])</f>
        <v/>
      </c>
      <c r="C699" s="211" t="str">
        <f>表格3_5[[#This Row],[Location]] &amp; 表格3_5[[#This Row],[Date]] &amp;表格3_5[[#This Row],[Nick Name]]</f>
        <v>0</v>
      </c>
      <c r="D699" s="202"/>
      <c r="E699" s="211" t="str">
        <f>DAY(表格3_5[[#This Row],[Date]])&amp;""</f>
        <v>0</v>
      </c>
      <c r="F699" s="203"/>
      <c r="G699" s="216">
        <f>_xlfn.XLOOKUP(表格3_5[[#This Row],[Name]],Name_list[Full Name],Name_list[Nick Name])</f>
        <v>0</v>
      </c>
      <c r="H699" s="207"/>
      <c r="I699" s="228"/>
      <c r="J699" s="218"/>
      <c r="K699" s="205"/>
      <c r="L699" s="210">
        <f>(表格3_5[[#This Row],[Out-Time]] - 表格3_5[[#This Row],[In-Time]])*24</f>
        <v>0</v>
      </c>
      <c r="M699" s="210">
        <f>表格3_5[[#This Row],[ Hours]]-表格3_5[[#This Row],[Normal working
 hours]]</f>
        <v>0</v>
      </c>
      <c r="N699" s="205"/>
      <c r="O699" s="205"/>
      <c r="P699" s="210">
        <f>(表格3_5[[#This Row],[Out-Time2]] - 表格3_5[[#This Row],[In-Time2]])*24</f>
        <v>0</v>
      </c>
      <c r="Q699" s="205"/>
      <c r="R699" s="214">
        <f>_xlfn.XLOOKUP(表格3_5[[#This Row],[Name]],Name_list[Full Name],Name_list[Hourr Rate])</f>
        <v>0</v>
      </c>
      <c r="S699" s="210">
        <f>表格3_5[[#This Row],[Hours Worked]]*表格3_5[[#This Row],[Hourly Rate]]</f>
        <v>0</v>
      </c>
    </row>
    <row r="700" spans="1:19">
      <c r="A700" s="201">
        <v>698</v>
      </c>
      <c r="B700" s="210" t="str">
        <f>_xlfn.CONCAT(表格3_5[[#This Row],[Name]],表格3_5[[#This Row],[Location]])</f>
        <v/>
      </c>
      <c r="C700" s="211" t="str">
        <f>表格3_5[[#This Row],[Location]] &amp; 表格3_5[[#This Row],[Date]] &amp;表格3_5[[#This Row],[Nick Name]]</f>
        <v>0</v>
      </c>
      <c r="D700" s="202"/>
      <c r="E700" s="211" t="str">
        <f>DAY(表格3_5[[#This Row],[Date]])&amp;""</f>
        <v>0</v>
      </c>
      <c r="F700" s="203"/>
      <c r="G700" s="216">
        <f>_xlfn.XLOOKUP(表格3_5[[#This Row],[Name]],Name_list[Full Name],Name_list[Nick Name])</f>
        <v>0</v>
      </c>
      <c r="H700" s="207"/>
      <c r="I700" s="228"/>
      <c r="J700" s="218"/>
      <c r="K700" s="205"/>
      <c r="L700" s="210">
        <f>(表格3_5[[#This Row],[Out-Time]] - 表格3_5[[#This Row],[In-Time]])*24</f>
        <v>0</v>
      </c>
      <c r="M700" s="210">
        <f>表格3_5[[#This Row],[ Hours]]-表格3_5[[#This Row],[Normal working
 hours]]</f>
        <v>0</v>
      </c>
      <c r="N700" s="205"/>
      <c r="O700" s="205"/>
      <c r="P700" s="210">
        <f>(表格3_5[[#This Row],[Out-Time2]] - 表格3_5[[#This Row],[In-Time2]])*24</f>
        <v>0</v>
      </c>
      <c r="Q700" s="205"/>
      <c r="R700" s="214">
        <f>_xlfn.XLOOKUP(表格3_5[[#This Row],[Name]],Name_list[Full Name],Name_list[Hourr Rate])</f>
        <v>0</v>
      </c>
      <c r="S700" s="210">
        <f>表格3_5[[#This Row],[Hours Worked]]*表格3_5[[#This Row],[Hourly Rate]]</f>
        <v>0</v>
      </c>
    </row>
    <row r="701" spans="1:19">
      <c r="A701" s="201">
        <v>699</v>
      </c>
      <c r="B701" s="210" t="str">
        <f>_xlfn.CONCAT(表格3_5[[#This Row],[Name]],表格3_5[[#This Row],[Location]])</f>
        <v/>
      </c>
      <c r="C701" s="211" t="str">
        <f>表格3_5[[#This Row],[Location]] &amp; 表格3_5[[#This Row],[Date]] &amp;表格3_5[[#This Row],[Nick Name]]</f>
        <v>0</v>
      </c>
      <c r="D701" s="202"/>
      <c r="E701" s="211" t="str">
        <f>DAY(表格3_5[[#This Row],[Date]])&amp;""</f>
        <v>0</v>
      </c>
      <c r="F701" s="203"/>
      <c r="G701" s="216">
        <f>_xlfn.XLOOKUP(表格3_5[[#This Row],[Name]],Name_list[Full Name],Name_list[Nick Name])</f>
        <v>0</v>
      </c>
      <c r="H701" s="207"/>
      <c r="I701" s="228"/>
      <c r="J701" s="218"/>
      <c r="K701" s="205"/>
      <c r="L701" s="210">
        <f>(表格3_5[[#This Row],[Out-Time]] - 表格3_5[[#This Row],[In-Time]])*24</f>
        <v>0</v>
      </c>
      <c r="M701" s="210">
        <f>表格3_5[[#This Row],[ Hours]]-表格3_5[[#This Row],[Normal working
 hours]]</f>
        <v>0</v>
      </c>
      <c r="N701" s="205"/>
      <c r="O701" s="205"/>
      <c r="P701" s="210">
        <f>(表格3_5[[#This Row],[Out-Time2]] - 表格3_5[[#This Row],[In-Time2]])*24</f>
        <v>0</v>
      </c>
      <c r="Q701" s="205"/>
      <c r="R701" s="214">
        <f>_xlfn.XLOOKUP(表格3_5[[#This Row],[Name]],Name_list[Full Name],Name_list[Hourr Rate])</f>
        <v>0</v>
      </c>
      <c r="S701" s="210">
        <f>表格3_5[[#This Row],[Hours Worked]]*表格3_5[[#This Row],[Hourly Rate]]</f>
        <v>0</v>
      </c>
    </row>
    <row r="702" spans="1:19">
      <c r="A702" s="201">
        <v>700</v>
      </c>
      <c r="B702" s="210" t="str">
        <f>_xlfn.CONCAT(表格3_5[[#This Row],[Name]],表格3_5[[#This Row],[Location]])</f>
        <v/>
      </c>
      <c r="C702" s="211" t="str">
        <f>表格3_5[[#This Row],[Location]] &amp; 表格3_5[[#This Row],[Date]] &amp;表格3_5[[#This Row],[Nick Name]]</f>
        <v>0</v>
      </c>
      <c r="D702" s="202"/>
      <c r="E702" s="211" t="str">
        <f>DAY(表格3_5[[#This Row],[Date]])&amp;""</f>
        <v>0</v>
      </c>
      <c r="F702" s="203"/>
      <c r="G702" s="216">
        <f>_xlfn.XLOOKUP(表格3_5[[#This Row],[Name]],Name_list[Full Name],Name_list[Nick Name])</f>
        <v>0</v>
      </c>
      <c r="H702" s="207"/>
      <c r="I702" s="228"/>
      <c r="J702" s="218"/>
      <c r="K702" s="205"/>
      <c r="L702" s="210">
        <f>(表格3_5[[#This Row],[Out-Time]] - 表格3_5[[#This Row],[In-Time]])*24</f>
        <v>0</v>
      </c>
      <c r="M702" s="210">
        <f>表格3_5[[#This Row],[ Hours]]-表格3_5[[#This Row],[Normal working
 hours]]</f>
        <v>0</v>
      </c>
      <c r="N702" s="205"/>
      <c r="O702" s="205"/>
      <c r="P702" s="210">
        <f>(表格3_5[[#This Row],[Out-Time2]] - 表格3_5[[#This Row],[In-Time2]])*24</f>
        <v>0</v>
      </c>
      <c r="Q702" s="205"/>
      <c r="R702" s="214">
        <f>_xlfn.XLOOKUP(表格3_5[[#This Row],[Name]],Name_list[Full Name],Name_list[Hourr Rate])</f>
        <v>0</v>
      </c>
      <c r="S702" s="210">
        <f>表格3_5[[#This Row],[Hours Worked]]*表格3_5[[#This Row],[Hourly Rate]]</f>
        <v>0</v>
      </c>
    </row>
    <row r="703" spans="1:19">
      <c r="A703" s="201">
        <v>701</v>
      </c>
      <c r="B703" s="210" t="str">
        <f>_xlfn.CONCAT(表格3_5[[#This Row],[Name]],表格3_5[[#This Row],[Location]])</f>
        <v/>
      </c>
      <c r="C703" s="211" t="str">
        <f>表格3_5[[#This Row],[Location]] &amp; 表格3_5[[#This Row],[Date]] &amp;表格3_5[[#This Row],[Nick Name]]</f>
        <v>0</v>
      </c>
      <c r="D703" s="202"/>
      <c r="E703" s="211" t="str">
        <f>DAY(表格3_5[[#This Row],[Date]])&amp;""</f>
        <v>0</v>
      </c>
      <c r="F703" s="203"/>
      <c r="G703" s="216">
        <f>_xlfn.XLOOKUP(表格3_5[[#This Row],[Name]],Name_list[Full Name],Name_list[Nick Name])</f>
        <v>0</v>
      </c>
      <c r="H703" s="207"/>
      <c r="I703" s="228"/>
      <c r="J703" s="218"/>
      <c r="K703" s="205"/>
      <c r="L703" s="210">
        <f>(表格3_5[[#This Row],[Out-Time]] - 表格3_5[[#This Row],[In-Time]])*24</f>
        <v>0</v>
      </c>
      <c r="M703" s="210">
        <f>表格3_5[[#This Row],[ Hours]]-表格3_5[[#This Row],[Normal working
 hours]]</f>
        <v>0</v>
      </c>
      <c r="N703" s="205"/>
      <c r="O703" s="205"/>
      <c r="P703" s="210">
        <f>(表格3_5[[#This Row],[Out-Time2]] - 表格3_5[[#This Row],[In-Time2]])*24</f>
        <v>0</v>
      </c>
      <c r="Q703" s="205"/>
      <c r="R703" s="214">
        <f>_xlfn.XLOOKUP(表格3_5[[#This Row],[Name]],Name_list[Full Name],Name_list[Hourr Rate])</f>
        <v>0</v>
      </c>
      <c r="S703" s="210">
        <f>表格3_5[[#This Row],[Hours Worked]]*表格3_5[[#This Row],[Hourly Rate]]</f>
        <v>0</v>
      </c>
    </row>
    <row r="704" spans="1:19">
      <c r="A704" s="201">
        <v>702</v>
      </c>
      <c r="B704" s="210" t="str">
        <f>_xlfn.CONCAT(表格3_5[[#This Row],[Name]],表格3_5[[#This Row],[Location]])</f>
        <v/>
      </c>
      <c r="C704" s="211" t="str">
        <f>表格3_5[[#This Row],[Location]] &amp; 表格3_5[[#This Row],[Date]] &amp;表格3_5[[#This Row],[Nick Name]]</f>
        <v>0</v>
      </c>
      <c r="D704" s="202"/>
      <c r="E704" s="211" t="str">
        <f>DAY(表格3_5[[#This Row],[Date]])&amp;""</f>
        <v>0</v>
      </c>
      <c r="F704" s="203"/>
      <c r="G704" s="216">
        <f>_xlfn.XLOOKUP(表格3_5[[#This Row],[Name]],Name_list[Full Name],Name_list[Nick Name])</f>
        <v>0</v>
      </c>
      <c r="H704" s="207"/>
      <c r="I704" s="228"/>
      <c r="J704" s="218"/>
      <c r="K704" s="205"/>
      <c r="L704" s="210">
        <f>(表格3_5[[#This Row],[Out-Time]] - 表格3_5[[#This Row],[In-Time]])*24</f>
        <v>0</v>
      </c>
      <c r="M704" s="210">
        <f>表格3_5[[#This Row],[ Hours]]-表格3_5[[#This Row],[Normal working
 hours]]</f>
        <v>0</v>
      </c>
      <c r="N704" s="205"/>
      <c r="O704" s="205"/>
      <c r="P704" s="210">
        <f>(表格3_5[[#This Row],[Out-Time2]] - 表格3_5[[#This Row],[In-Time2]])*24</f>
        <v>0</v>
      </c>
      <c r="Q704" s="205"/>
      <c r="R704" s="214">
        <f>_xlfn.XLOOKUP(表格3_5[[#This Row],[Name]],Name_list[Full Name],Name_list[Hourr Rate])</f>
        <v>0</v>
      </c>
      <c r="S704" s="210">
        <f>表格3_5[[#This Row],[Hours Worked]]*表格3_5[[#This Row],[Hourly Rate]]</f>
        <v>0</v>
      </c>
    </row>
    <row r="705" spans="1:19">
      <c r="A705" s="201">
        <v>703</v>
      </c>
      <c r="B705" s="210" t="str">
        <f>_xlfn.CONCAT(表格3_5[[#This Row],[Name]],表格3_5[[#This Row],[Location]])</f>
        <v/>
      </c>
      <c r="C705" s="211" t="str">
        <f>表格3_5[[#This Row],[Location]] &amp; 表格3_5[[#This Row],[Date]] &amp;表格3_5[[#This Row],[Nick Name]]</f>
        <v>0</v>
      </c>
      <c r="D705" s="202"/>
      <c r="E705" s="211" t="str">
        <f>DAY(表格3_5[[#This Row],[Date]])&amp;""</f>
        <v>0</v>
      </c>
      <c r="F705" s="203"/>
      <c r="G705" s="216">
        <f>_xlfn.XLOOKUP(表格3_5[[#This Row],[Name]],Name_list[Full Name],Name_list[Nick Name])</f>
        <v>0</v>
      </c>
      <c r="H705" s="207"/>
      <c r="I705" s="228"/>
      <c r="J705" s="218"/>
      <c r="K705" s="205"/>
      <c r="L705" s="210">
        <f>(表格3_5[[#This Row],[Out-Time]] - 表格3_5[[#This Row],[In-Time]])*24</f>
        <v>0</v>
      </c>
      <c r="M705" s="210">
        <f>表格3_5[[#This Row],[ Hours]]-表格3_5[[#This Row],[Normal working
 hours]]</f>
        <v>0</v>
      </c>
      <c r="N705" s="205"/>
      <c r="O705" s="205"/>
      <c r="P705" s="210">
        <f>(表格3_5[[#This Row],[Out-Time2]] - 表格3_5[[#This Row],[In-Time2]])*24</f>
        <v>0</v>
      </c>
      <c r="Q705" s="205"/>
      <c r="R705" s="214">
        <f>_xlfn.XLOOKUP(表格3_5[[#This Row],[Name]],Name_list[Full Name],Name_list[Hourr Rate])</f>
        <v>0</v>
      </c>
      <c r="S705" s="210">
        <f>表格3_5[[#This Row],[Hours Worked]]*表格3_5[[#This Row],[Hourly Rate]]</f>
        <v>0</v>
      </c>
    </row>
    <row r="706" spans="1:19">
      <c r="A706" s="201">
        <v>704</v>
      </c>
      <c r="B706" s="210" t="str">
        <f>_xlfn.CONCAT(表格3_5[[#This Row],[Name]],表格3_5[[#This Row],[Location]])</f>
        <v/>
      </c>
      <c r="C706" s="211" t="str">
        <f>表格3_5[[#This Row],[Location]] &amp; 表格3_5[[#This Row],[Date]] &amp;表格3_5[[#This Row],[Nick Name]]</f>
        <v>0</v>
      </c>
      <c r="D706" s="202"/>
      <c r="E706" s="211" t="str">
        <f>DAY(表格3_5[[#This Row],[Date]])&amp;""</f>
        <v>0</v>
      </c>
      <c r="F706" s="203"/>
      <c r="G706" s="216">
        <f>_xlfn.XLOOKUP(表格3_5[[#This Row],[Name]],Name_list[Full Name],Name_list[Nick Name])</f>
        <v>0</v>
      </c>
      <c r="H706" s="207"/>
      <c r="I706" s="228"/>
      <c r="J706" s="218"/>
      <c r="K706" s="205"/>
      <c r="L706" s="210">
        <f>(表格3_5[[#This Row],[Out-Time]] - 表格3_5[[#This Row],[In-Time]])*24</f>
        <v>0</v>
      </c>
      <c r="M706" s="210">
        <f>表格3_5[[#This Row],[ Hours]]-表格3_5[[#This Row],[Normal working
 hours]]</f>
        <v>0</v>
      </c>
      <c r="N706" s="205"/>
      <c r="O706" s="205"/>
      <c r="P706" s="210">
        <f>(表格3_5[[#This Row],[Out-Time2]] - 表格3_5[[#This Row],[In-Time2]])*24</f>
        <v>0</v>
      </c>
      <c r="Q706" s="205"/>
      <c r="R706" s="214">
        <f>_xlfn.XLOOKUP(表格3_5[[#This Row],[Name]],Name_list[Full Name],Name_list[Hourr Rate])</f>
        <v>0</v>
      </c>
      <c r="S706" s="210">
        <f>表格3_5[[#This Row],[Hours Worked]]*表格3_5[[#This Row],[Hourly Rate]]</f>
        <v>0</v>
      </c>
    </row>
    <row r="707" spans="1:19">
      <c r="A707" s="201">
        <v>705</v>
      </c>
      <c r="B707" s="210" t="str">
        <f>_xlfn.CONCAT(表格3_5[[#This Row],[Name]],表格3_5[[#This Row],[Location]])</f>
        <v/>
      </c>
      <c r="C707" s="211" t="str">
        <f>表格3_5[[#This Row],[Location]] &amp; 表格3_5[[#This Row],[Date]] &amp;表格3_5[[#This Row],[Nick Name]]</f>
        <v>0</v>
      </c>
      <c r="D707" s="202"/>
      <c r="E707" s="211" t="str">
        <f>DAY(表格3_5[[#This Row],[Date]])&amp;""</f>
        <v>0</v>
      </c>
      <c r="F707" s="203"/>
      <c r="G707" s="216">
        <f>_xlfn.XLOOKUP(表格3_5[[#This Row],[Name]],Name_list[Full Name],Name_list[Nick Name])</f>
        <v>0</v>
      </c>
      <c r="H707" s="207"/>
      <c r="I707" s="228"/>
      <c r="J707" s="218"/>
      <c r="K707" s="205"/>
      <c r="L707" s="210">
        <f>(表格3_5[[#This Row],[Out-Time]] - 表格3_5[[#This Row],[In-Time]])*24</f>
        <v>0</v>
      </c>
      <c r="M707" s="210">
        <f>表格3_5[[#This Row],[ Hours]]-表格3_5[[#This Row],[Normal working
 hours]]</f>
        <v>0</v>
      </c>
      <c r="N707" s="205"/>
      <c r="O707" s="205"/>
      <c r="P707" s="210">
        <f>(表格3_5[[#This Row],[Out-Time2]] - 表格3_5[[#This Row],[In-Time2]])*24</f>
        <v>0</v>
      </c>
      <c r="Q707" s="205"/>
      <c r="R707" s="214">
        <f>_xlfn.XLOOKUP(表格3_5[[#This Row],[Name]],Name_list[Full Name],Name_list[Hourr Rate])</f>
        <v>0</v>
      </c>
      <c r="S707" s="210">
        <f>表格3_5[[#This Row],[Hours Worked]]*表格3_5[[#This Row],[Hourly Rate]]</f>
        <v>0</v>
      </c>
    </row>
    <row r="708" spans="1:19">
      <c r="A708" s="201">
        <v>706</v>
      </c>
      <c r="B708" s="210" t="str">
        <f>_xlfn.CONCAT(表格3_5[[#This Row],[Name]],表格3_5[[#This Row],[Location]])</f>
        <v/>
      </c>
      <c r="C708" s="211" t="str">
        <f>表格3_5[[#This Row],[Location]] &amp; 表格3_5[[#This Row],[Date]] &amp;表格3_5[[#This Row],[Nick Name]]</f>
        <v>0</v>
      </c>
      <c r="D708" s="202"/>
      <c r="E708" s="211" t="str">
        <f>DAY(表格3_5[[#This Row],[Date]])&amp;""</f>
        <v>0</v>
      </c>
      <c r="F708" s="203"/>
      <c r="G708" s="216">
        <f>_xlfn.XLOOKUP(表格3_5[[#This Row],[Name]],Name_list[Full Name],Name_list[Nick Name])</f>
        <v>0</v>
      </c>
      <c r="H708" s="207"/>
      <c r="I708" s="228"/>
      <c r="J708" s="218"/>
      <c r="K708" s="205"/>
      <c r="L708" s="210">
        <f>(表格3_5[[#This Row],[Out-Time]] - 表格3_5[[#This Row],[In-Time]])*24</f>
        <v>0</v>
      </c>
      <c r="M708" s="210">
        <f>表格3_5[[#This Row],[ Hours]]-表格3_5[[#This Row],[Normal working
 hours]]</f>
        <v>0</v>
      </c>
      <c r="N708" s="205"/>
      <c r="O708" s="205"/>
      <c r="P708" s="210">
        <f>(表格3_5[[#This Row],[Out-Time2]] - 表格3_5[[#This Row],[In-Time2]])*24</f>
        <v>0</v>
      </c>
      <c r="Q708" s="205"/>
      <c r="R708" s="214">
        <f>_xlfn.XLOOKUP(表格3_5[[#This Row],[Name]],Name_list[Full Name],Name_list[Hourr Rate])</f>
        <v>0</v>
      </c>
      <c r="S708" s="210">
        <f>表格3_5[[#This Row],[Hours Worked]]*表格3_5[[#This Row],[Hourly Rate]]</f>
        <v>0</v>
      </c>
    </row>
    <row r="709" spans="1:19">
      <c r="A709" s="201">
        <v>707</v>
      </c>
      <c r="B709" s="210" t="str">
        <f>_xlfn.CONCAT(表格3_5[[#This Row],[Name]],表格3_5[[#This Row],[Location]])</f>
        <v/>
      </c>
      <c r="C709" s="211" t="str">
        <f>表格3_5[[#This Row],[Location]] &amp; 表格3_5[[#This Row],[Date]] &amp;表格3_5[[#This Row],[Nick Name]]</f>
        <v>0</v>
      </c>
      <c r="D709" s="202"/>
      <c r="E709" s="211" t="str">
        <f>DAY(表格3_5[[#This Row],[Date]])&amp;""</f>
        <v>0</v>
      </c>
      <c r="F709" s="203"/>
      <c r="G709" s="216">
        <f>_xlfn.XLOOKUP(表格3_5[[#This Row],[Name]],Name_list[Full Name],Name_list[Nick Name])</f>
        <v>0</v>
      </c>
      <c r="H709" s="207"/>
      <c r="I709" s="228"/>
      <c r="J709" s="218"/>
      <c r="K709" s="205"/>
      <c r="L709" s="210">
        <f>(表格3_5[[#This Row],[Out-Time]] - 表格3_5[[#This Row],[In-Time]])*24</f>
        <v>0</v>
      </c>
      <c r="M709" s="210">
        <f>表格3_5[[#This Row],[ Hours]]-表格3_5[[#This Row],[Normal working
 hours]]</f>
        <v>0</v>
      </c>
      <c r="N709" s="205"/>
      <c r="O709" s="205"/>
      <c r="P709" s="210">
        <f>(表格3_5[[#This Row],[Out-Time2]] - 表格3_5[[#This Row],[In-Time2]])*24</f>
        <v>0</v>
      </c>
      <c r="Q709" s="205"/>
      <c r="R709" s="214">
        <f>_xlfn.XLOOKUP(表格3_5[[#This Row],[Name]],Name_list[Full Name],Name_list[Hourr Rate])</f>
        <v>0</v>
      </c>
      <c r="S709" s="210">
        <f>表格3_5[[#This Row],[Hours Worked]]*表格3_5[[#This Row],[Hourly Rate]]</f>
        <v>0</v>
      </c>
    </row>
    <row r="710" spans="1:19">
      <c r="A710" s="201">
        <v>708</v>
      </c>
      <c r="B710" s="210" t="str">
        <f>_xlfn.CONCAT(表格3_5[[#This Row],[Name]],表格3_5[[#This Row],[Location]])</f>
        <v/>
      </c>
      <c r="C710" s="211" t="str">
        <f>表格3_5[[#This Row],[Location]] &amp; 表格3_5[[#This Row],[Date]] &amp;表格3_5[[#This Row],[Nick Name]]</f>
        <v>0</v>
      </c>
      <c r="D710" s="202"/>
      <c r="E710" s="211" t="str">
        <f>DAY(表格3_5[[#This Row],[Date]])&amp;""</f>
        <v>0</v>
      </c>
      <c r="F710" s="203"/>
      <c r="G710" s="216">
        <f>_xlfn.XLOOKUP(表格3_5[[#This Row],[Name]],Name_list[Full Name],Name_list[Nick Name])</f>
        <v>0</v>
      </c>
      <c r="H710" s="207"/>
      <c r="I710" s="228"/>
      <c r="J710" s="218"/>
      <c r="K710" s="205"/>
      <c r="L710" s="210">
        <f>(表格3_5[[#This Row],[Out-Time]] - 表格3_5[[#This Row],[In-Time]])*24</f>
        <v>0</v>
      </c>
      <c r="M710" s="210">
        <f>表格3_5[[#This Row],[ Hours]]-表格3_5[[#This Row],[Normal working
 hours]]</f>
        <v>0</v>
      </c>
      <c r="N710" s="205"/>
      <c r="O710" s="205"/>
      <c r="P710" s="210">
        <f>(表格3_5[[#This Row],[Out-Time2]] - 表格3_5[[#This Row],[In-Time2]])*24</f>
        <v>0</v>
      </c>
      <c r="Q710" s="205"/>
      <c r="R710" s="214">
        <f>_xlfn.XLOOKUP(表格3_5[[#This Row],[Name]],Name_list[Full Name],Name_list[Hourr Rate])</f>
        <v>0</v>
      </c>
      <c r="S710" s="210">
        <f>表格3_5[[#This Row],[Hours Worked]]*表格3_5[[#This Row],[Hourly Rate]]</f>
        <v>0</v>
      </c>
    </row>
    <row r="711" spans="1:19">
      <c r="A711" s="201">
        <v>709</v>
      </c>
      <c r="B711" s="210" t="str">
        <f>_xlfn.CONCAT(表格3_5[[#This Row],[Name]],表格3_5[[#This Row],[Location]])</f>
        <v/>
      </c>
      <c r="C711" s="211" t="str">
        <f>表格3_5[[#This Row],[Location]] &amp; 表格3_5[[#This Row],[Date]] &amp;表格3_5[[#This Row],[Nick Name]]</f>
        <v>0</v>
      </c>
      <c r="D711" s="202"/>
      <c r="E711" s="211" t="str">
        <f>DAY(表格3_5[[#This Row],[Date]])&amp;""</f>
        <v>0</v>
      </c>
      <c r="F711" s="203"/>
      <c r="G711" s="216">
        <f>_xlfn.XLOOKUP(表格3_5[[#This Row],[Name]],Name_list[Full Name],Name_list[Nick Name])</f>
        <v>0</v>
      </c>
      <c r="H711" s="207"/>
      <c r="I711" s="228"/>
      <c r="J711" s="218"/>
      <c r="K711" s="205"/>
      <c r="L711" s="210">
        <f>(表格3_5[[#This Row],[Out-Time]] - 表格3_5[[#This Row],[In-Time]])*24</f>
        <v>0</v>
      </c>
      <c r="M711" s="210">
        <f>表格3_5[[#This Row],[ Hours]]-表格3_5[[#This Row],[Normal working
 hours]]</f>
        <v>0</v>
      </c>
      <c r="N711" s="205"/>
      <c r="O711" s="205"/>
      <c r="P711" s="210">
        <f>(表格3_5[[#This Row],[Out-Time2]] - 表格3_5[[#This Row],[In-Time2]])*24</f>
        <v>0</v>
      </c>
      <c r="Q711" s="205"/>
      <c r="R711" s="214">
        <f>_xlfn.XLOOKUP(表格3_5[[#This Row],[Name]],Name_list[Full Name],Name_list[Hourr Rate])</f>
        <v>0</v>
      </c>
      <c r="S711" s="210">
        <f>表格3_5[[#This Row],[Hours Worked]]*表格3_5[[#This Row],[Hourly Rate]]</f>
        <v>0</v>
      </c>
    </row>
    <row r="712" spans="1:19">
      <c r="A712" s="201">
        <v>710</v>
      </c>
      <c r="B712" s="210" t="str">
        <f>_xlfn.CONCAT(表格3_5[[#This Row],[Name]],表格3_5[[#This Row],[Location]])</f>
        <v/>
      </c>
      <c r="C712" s="211" t="str">
        <f>表格3_5[[#This Row],[Location]] &amp; 表格3_5[[#This Row],[Date]] &amp;表格3_5[[#This Row],[Nick Name]]</f>
        <v>0</v>
      </c>
      <c r="D712" s="202"/>
      <c r="E712" s="211" t="str">
        <f>DAY(表格3_5[[#This Row],[Date]])&amp;""</f>
        <v>0</v>
      </c>
      <c r="F712" s="203"/>
      <c r="G712" s="216">
        <f>_xlfn.XLOOKUP(表格3_5[[#This Row],[Name]],Name_list[Full Name],Name_list[Nick Name])</f>
        <v>0</v>
      </c>
      <c r="H712" s="207"/>
      <c r="I712" s="228"/>
      <c r="J712" s="218"/>
      <c r="K712" s="205"/>
      <c r="L712" s="210">
        <f>(表格3_5[[#This Row],[Out-Time]] - 表格3_5[[#This Row],[In-Time]])*24</f>
        <v>0</v>
      </c>
      <c r="M712" s="210">
        <f>表格3_5[[#This Row],[ Hours]]-表格3_5[[#This Row],[Normal working
 hours]]</f>
        <v>0</v>
      </c>
      <c r="N712" s="205"/>
      <c r="O712" s="205"/>
      <c r="P712" s="210">
        <f>(表格3_5[[#This Row],[Out-Time2]] - 表格3_5[[#This Row],[In-Time2]])*24</f>
        <v>0</v>
      </c>
      <c r="Q712" s="205"/>
      <c r="R712" s="214">
        <f>_xlfn.XLOOKUP(表格3_5[[#This Row],[Name]],Name_list[Full Name],Name_list[Hourr Rate])</f>
        <v>0</v>
      </c>
      <c r="S712" s="210">
        <f>表格3_5[[#This Row],[Hours Worked]]*表格3_5[[#This Row],[Hourly Rate]]</f>
        <v>0</v>
      </c>
    </row>
    <row r="713" spans="1:19">
      <c r="A713" s="201">
        <v>711</v>
      </c>
      <c r="B713" s="210" t="str">
        <f>_xlfn.CONCAT(表格3_5[[#This Row],[Name]],表格3_5[[#This Row],[Location]])</f>
        <v/>
      </c>
      <c r="C713" s="211" t="str">
        <f>表格3_5[[#This Row],[Location]] &amp; 表格3_5[[#This Row],[Date]] &amp;表格3_5[[#This Row],[Nick Name]]</f>
        <v>0</v>
      </c>
      <c r="D713" s="202"/>
      <c r="E713" s="211" t="str">
        <f>DAY(表格3_5[[#This Row],[Date]])&amp;""</f>
        <v>0</v>
      </c>
      <c r="F713" s="203"/>
      <c r="G713" s="216">
        <f>_xlfn.XLOOKUP(表格3_5[[#This Row],[Name]],Name_list[Full Name],Name_list[Nick Name])</f>
        <v>0</v>
      </c>
      <c r="H713" s="207"/>
      <c r="I713" s="228"/>
      <c r="J713" s="218"/>
      <c r="K713" s="205"/>
      <c r="L713" s="210">
        <f>(表格3_5[[#This Row],[Out-Time]] - 表格3_5[[#This Row],[In-Time]])*24</f>
        <v>0</v>
      </c>
      <c r="M713" s="210">
        <f>表格3_5[[#This Row],[ Hours]]-表格3_5[[#This Row],[Normal working
 hours]]</f>
        <v>0</v>
      </c>
      <c r="N713" s="205"/>
      <c r="O713" s="205"/>
      <c r="P713" s="210">
        <f>(表格3_5[[#This Row],[Out-Time2]] - 表格3_5[[#This Row],[In-Time2]])*24</f>
        <v>0</v>
      </c>
      <c r="Q713" s="205"/>
      <c r="R713" s="214">
        <f>_xlfn.XLOOKUP(表格3_5[[#This Row],[Name]],Name_list[Full Name],Name_list[Hourr Rate])</f>
        <v>0</v>
      </c>
      <c r="S713" s="210">
        <f>表格3_5[[#This Row],[Hours Worked]]*表格3_5[[#This Row],[Hourly Rate]]</f>
        <v>0</v>
      </c>
    </row>
    <row r="714" spans="1:19">
      <c r="A714" s="201">
        <v>712</v>
      </c>
      <c r="B714" s="210" t="str">
        <f>_xlfn.CONCAT(表格3_5[[#This Row],[Name]],表格3_5[[#This Row],[Location]])</f>
        <v/>
      </c>
      <c r="C714" s="211" t="str">
        <f>表格3_5[[#This Row],[Location]] &amp; 表格3_5[[#This Row],[Date]] &amp;表格3_5[[#This Row],[Nick Name]]</f>
        <v>0</v>
      </c>
      <c r="D714" s="202"/>
      <c r="E714" s="211" t="str">
        <f>DAY(表格3_5[[#This Row],[Date]])&amp;""</f>
        <v>0</v>
      </c>
      <c r="F714" s="203"/>
      <c r="G714" s="216">
        <f>_xlfn.XLOOKUP(表格3_5[[#This Row],[Name]],Name_list[Full Name],Name_list[Nick Name])</f>
        <v>0</v>
      </c>
      <c r="H714" s="207"/>
      <c r="I714" s="228"/>
      <c r="J714" s="218"/>
      <c r="K714" s="205"/>
      <c r="L714" s="210">
        <f>(表格3_5[[#This Row],[Out-Time]] - 表格3_5[[#This Row],[In-Time]])*24</f>
        <v>0</v>
      </c>
      <c r="M714" s="210">
        <f>表格3_5[[#This Row],[ Hours]]-表格3_5[[#This Row],[Normal working
 hours]]</f>
        <v>0</v>
      </c>
      <c r="N714" s="205"/>
      <c r="O714" s="205"/>
      <c r="P714" s="210">
        <f>(表格3_5[[#This Row],[Out-Time2]] - 表格3_5[[#This Row],[In-Time2]])*24</f>
        <v>0</v>
      </c>
      <c r="Q714" s="205"/>
      <c r="R714" s="214">
        <f>_xlfn.XLOOKUP(表格3_5[[#This Row],[Name]],Name_list[Full Name],Name_list[Hourr Rate])</f>
        <v>0</v>
      </c>
      <c r="S714" s="210">
        <f>表格3_5[[#This Row],[Hours Worked]]*表格3_5[[#This Row],[Hourly Rate]]</f>
        <v>0</v>
      </c>
    </row>
    <row r="715" spans="1:19">
      <c r="A715" s="201">
        <v>713</v>
      </c>
      <c r="B715" s="210" t="str">
        <f>_xlfn.CONCAT(表格3_5[[#This Row],[Name]],表格3_5[[#This Row],[Location]])</f>
        <v/>
      </c>
      <c r="C715" s="211" t="str">
        <f>表格3_5[[#This Row],[Location]] &amp; 表格3_5[[#This Row],[Date]] &amp;表格3_5[[#This Row],[Nick Name]]</f>
        <v>0</v>
      </c>
      <c r="D715" s="202"/>
      <c r="E715" s="211" t="str">
        <f>DAY(表格3_5[[#This Row],[Date]])&amp;""</f>
        <v>0</v>
      </c>
      <c r="F715" s="203"/>
      <c r="G715" s="216">
        <f>_xlfn.XLOOKUP(表格3_5[[#This Row],[Name]],Name_list[Full Name],Name_list[Nick Name])</f>
        <v>0</v>
      </c>
      <c r="H715" s="207"/>
      <c r="I715" s="228"/>
      <c r="J715" s="218"/>
      <c r="K715" s="205"/>
      <c r="L715" s="210">
        <f>(表格3_5[[#This Row],[Out-Time]] - 表格3_5[[#This Row],[In-Time]])*24</f>
        <v>0</v>
      </c>
      <c r="M715" s="210">
        <f>表格3_5[[#This Row],[ Hours]]-表格3_5[[#This Row],[Normal working
 hours]]</f>
        <v>0</v>
      </c>
      <c r="N715" s="205"/>
      <c r="O715" s="205"/>
      <c r="P715" s="210">
        <f>(表格3_5[[#This Row],[Out-Time2]] - 表格3_5[[#This Row],[In-Time2]])*24</f>
        <v>0</v>
      </c>
      <c r="Q715" s="205"/>
      <c r="R715" s="214">
        <f>_xlfn.XLOOKUP(表格3_5[[#This Row],[Name]],Name_list[Full Name],Name_list[Hourr Rate])</f>
        <v>0</v>
      </c>
      <c r="S715" s="210">
        <f>表格3_5[[#This Row],[Hours Worked]]*表格3_5[[#This Row],[Hourly Rate]]</f>
        <v>0</v>
      </c>
    </row>
    <row r="716" spans="1:19">
      <c r="A716" s="201">
        <v>714</v>
      </c>
      <c r="B716" s="210" t="str">
        <f>_xlfn.CONCAT(表格3_5[[#This Row],[Name]],表格3_5[[#This Row],[Location]])</f>
        <v/>
      </c>
      <c r="C716" s="211" t="str">
        <f>表格3_5[[#This Row],[Location]] &amp; 表格3_5[[#This Row],[Date]] &amp;表格3_5[[#This Row],[Nick Name]]</f>
        <v>0</v>
      </c>
      <c r="D716" s="202"/>
      <c r="E716" s="211" t="str">
        <f>DAY(表格3_5[[#This Row],[Date]])&amp;""</f>
        <v>0</v>
      </c>
      <c r="F716" s="203"/>
      <c r="G716" s="216">
        <f>_xlfn.XLOOKUP(表格3_5[[#This Row],[Name]],Name_list[Full Name],Name_list[Nick Name])</f>
        <v>0</v>
      </c>
      <c r="H716" s="207"/>
      <c r="I716" s="228"/>
      <c r="J716" s="218"/>
      <c r="K716" s="205"/>
      <c r="L716" s="210">
        <f>(表格3_5[[#This Row],[Out-Time]] - 表格3_5[[#This Row],[In-Time]])*24</f>
        <v>0</v>
      </c>
      <c r="M716" s="210">
        <f>表格3_5[[#This Row],[ Hours]]-表格3_5[[#This Row],[Normal working
 hours]]</f>
        <v>0</v>
      </c>
      <c r="N716" s="205"/>
      <c r="O716" s="205"/>
      <c r="P716" s="210">
        <f>(表格3_5[[#This Row],[Out-Time2]] - 表格3_5[[#This Row],[In-Time2]])*24</f>
        <v>0</v>
      </c>
      <c r="Q716" s="205"/>
      <c r="R716" s="214">
        <f>_xlfn.XLOOKUP(表格3_5[[#This Row],[Name]],Name_list[Full Name],Name_list[Hourr Rate])</f>
        <v>0</v>
      </c>
      <c r="S716" s="210">
        <f>表格3_5[[#This Row],[Hours Worked]]*表格3_5[[#This Row],[Hourly Rate]]</f>
        <v>0</v>
      </c>
    </row>
    <row r="717" spans="1:19">
      <c r="A717" s="201">
        <v>715</v>
      </c>
      <c r="B717" s="210" t="str">
        <f>_xlfn.CONCAT(表格3_5[[#This Row],[Name]],表格3_5[[#This Row],[Location]])</f>
        <v/>
      </c>
      <c r="C717" s="211" t="str">
        <f>表格3_5[[#This Row],[Location]] &amp; 表格3_5[[#This Row],[Date]] &amp;表格3_5[[#This Row],[Nick Name]]</f>
        <v>0</v>
      </c>
      <c r="D717" s="202"/>
      <c r="E717" s="211" t="str">
        <f>DAY(表格3_5[[#This Row],[Date]])&amp;""</f>
        <v>0</v>
      </c>
      <c r="F717" s="203"/>
      <c r="G717" s="216">
        <f>_xlfn.XLOOKUP(表格3_5[[#This Row],[Name]],Name_list[Full Name],Name_list[Nick Name])</f>
        <v>0</v>
      </c>
      <c r="H717" s="207"/>
      <c r="I717" s="228"/>
      <c r="J717" s="218"/>
      <c r="K717" s="205"/>
      <c r="L717" s="210">
        <f>(表格3_5[[#This Row],[Out-Time]] - 表格3_5[[#This Row],[In-Time]])*24</f>
        <v>0</v>
      </c>
      <c r="M717" s="210">
        <f>表格3_5[[#This Row],[ Hours]]-表格3_5[[#This Row],[Normal working
 hours]]</f>
        <v>0</v>
      </c>
      <c r="N717" s="205"/>
      <c r="O717" s="205"/>
      <c r="P717" s="210">
        <f>(表格3_5[[#This Row],[Out-Time2]] - 表格3_5[[#This Row],[In-Time2]])*24</f>
        <v>0</v>
      </c>
      <c r="Q717" s="205"/>
      <c r="R717" s="214">
        <f>_xlfn.XLOOKUP(表格3_5[[#This Row],[Name]],Name_list[Full Name],Name_list[Hourr Rate])</f>
        <v>0</v>
      </c>
      <c r="S717" s="210">
        <f>表格3_5[[#This Row],[Hours Worked]]*表格3_5[[#This Row],[Hourly Rate]]</f>
        <v>0</v>
      </c>
    </row>
    <row r="718" spans="1:19">
      <c r="A718" s="201">
        <v>716</v>
      </c>
      <c r="B718" s="210" t="str">
        <f>_xlfn.CONCAT(表格3_5[[#This Row],[Name]],表格3_5[[#This Row],[Location]])</f>
        <v/>
      </c>
      <c r="C718" s="211" t="str">
        <f>表格3_5[[#This Row],[Location]] &amp; 表格3_5[[#This Row],[Date]] &amp;表格3_5[[#This Row],[Nick Name]]</f>
        <v>0</v>
      </c>
      <c r="D718" s="202"/>
      <c r="E718" s="211" t="str">
        <f>DAY(表格3_5[[#This Row],[Date]])&amp;""</f>
        <v>0</v>
      </c>
      <c r="F718" s="203"/>
      <c r="G718" s="216">
        <f>_xlfn.XLOOKUP(表格3_5[[#This Row],[Name]],Name_list[Full Name],Name_list[Nick Name])</f>
        <v>0</v>
      </c>
      <c r="H718" s="207"/>
      <c r="I718" s="228"/>
      <c r="J718" s="218"/>
      <c r="K718" s="205"/>
      <c r="L718" s="210">
        <f>(表格3_5[[#This Row],[Out-Time]] - 表格3_5[[#This Row],[In-Time]])*24</f>
        <v>0</v>
      </c>
      <c r="M718" s="210">
        <f>表格3_5[[#This Row],[ Hours]]-表格3_5[[#This Row],[Normal working
 hours]]</f>
        <v>0</v>
      </c>
      <c r="N718" s="205"/>
      <c r="O718" s="205"/>
      <c r="P718" s="210">
        <f>(表格3_5[[#This Row],[Out-Time2]] - 表格3_5[[#This Row],[In-Time2]])*24</f>
        <v>0</v>
      </c>
      <c r="Q718" s="205"/>
      <c r="R718" s="214">
        <f>_xlfn.XLOOKUP(表格3_5[[#This Row],[Name]],Name_list[Full Name],Name_list[Hourr Rate])</f>
        <v>0</v>
      </c>
      <c r="S718" s="210">
        <f>表格3_5[[#This Row],[Hours Worked]]*表格3_5[[#This Row],[Hourly Rate]]</f>
        <v>0</v>
      </c>
    </row>
    <row r="719" spans="1:19">
      <c r="A719" s="201">
        <v>717</v>
      </c>
      <c r="B719" s="210" t="str">
        <f>_xlfn.CONCAT(表格3_5[[#This Row],[Name]],表格3_5[[#This Row],[Location]])</f>
        <v/>
      </c>
      <c r="C719" s="211" t="str">
        <f>表格3_5[[#This Row],[Location]] &amp; 表格3_5[[#This Row],[Date]] &amp;表格3_5[[#This Row],[Nick Name]]</f>
        <v>0</v>
      </c>
      <c r="D719" s="202"/>
      <c r="E719" s="211" t="str">
        <f>DAY(表格3_5[[#This Row],[Date]])&amp;""</f>
        <v>0</v>
      </c>
      <c r="F719" s="203"/>
      <c r="G719" s="216">
        <f>_xlfn.XLOOKUP(表格3_5[[#This Row],[Name]],Name_list[Full Name],Name_list[Nick Name])</f>
        <v>0</v>
      </c>
      <c r="H719" s="207"/>
      <c r="I719" s="228"/>
      <c r="J719" s="218"/>
      <c r="K719" s="205"/>
      <c r="L719" s="210">
        <f>(表格3_5[[#This Row],[Out-Time]] - 表格3_5[[#This Row],[In-Time]])*24</f>
        <v>0</v>
      </c>
      <c r="M719" s="210">
        <f>表格3_5[[#This Row],[ Hours]]-表格3_5[[#This Row],[Normal working
 hours]]</f>
        <v>0</v>
      </c>
      <c r="N719" s="205"/>
      <c r="O719" s="205"/>
      <c r="P719" s="210">
        <f>(表格3_5[[#This Row],[Out-Time2]] - 表格3_5[[#This Row],[In-Time2]])*24</f>
        <v>0</v>
      </c>
      <c r="Q719" s="205"/>
      <c r="R719" s="214">
        <f>_xlfn.XLOOKUP(表格3_5[[#This Row],[Name]],Name_list[Full Name],Name_list[Hourr Rate])</f>
        <v>0</v>
      </c>
      <c r="S719" s="210">
        <f>表格3_5[[#This Row],[Hours Worked]]*表格3_5[[#This Row],[Hourly Rate]]</f>
        <v>0</v>
      </c>
    </row>
    <row r="720" spans="1:19">
      <c r="A720" s="201">
        <v>718</v>
      </c>
      <c r="B720" s="210" t="str">
        <f>_xlfn.CONCAT(表格3_5[[#This Row],[Name]],表格3_5[[#This Row],[Location]])</f>
        <v/>
      </c>
      <c r="C720" s="211" t="str">
        <f>表格3_5[[#This Row],[Location]] &amp; 表格3_5[[#This Row],[Date]] &amp;表格3_5[[#This Row],[Nick Name]]</f>
        <v>0</v>
      </c>
      <c r="D720" s="202"/>
      <c r="E720" s="211" t="str">
        <f>DAY(表格3_5[[#This Row],[Date]])&amp;""</f>
        <v>0</v>
      </c>
      <c r="F720" s="203"/>
      <c r="G720" s="216">
        <f>_xlfn.XLOOKUP(表格3_5[[#This Row],[Name]],Name_list[Full Name],Name_list[Nick Name])</f>
        <v>0</v>
      </c>
      <c r="H720" s="207"/>
      <c r="I720" s="228"/>
      <c r="J720" s="218"/>
      <c r="K720" s="205"/>
      <c r="L720" s="210">
        <f>(表格3_5[[#This Row],[Out-Time]] - 表格3_5[[#This Row],[In-Time]])*24</f>
        <v>0</v>
      </c>
      <c r="M720" s="210">
        <f>表格3_5[[#This Row],[ Hours]]-表格3_5[[#This Row],[Normal working
 hours]]</f>
        <v>0</v>
      </c>
      <c r="N720" s="205"/>
      <c r="O720" s="205"/>
      <c r="P720" s="210">
        <f>(表格3_5[[#This Row],[Out-Time2]] - 表格3_5[[#This Row],[In-Time2]])*24</f>
        <v>0</v>
      </c>
      <c r="Q720" s="205"/>
      <c r="R720" s="214">
        <f>_xlfn.XLOOKUP(表格3_5[[#This Row],[Name]],Name_list[Full Name],Name_list[Hourr Rate])</f>
        <v>0</v>
      </c>
      <c r="S720" s="210">
        <f>表格3_5[[#This Row],[Hours Worked]]*表格3_5[[#This Row],[Hourly Rate]]</f>
        <v>0</v>
      </c>
    </row>
    <row r="721" spans="1:19">
      <c r="A721" s="201">
        <v>719</v>
      </c>
      <c r="B721" s="210" t="str">
        <f>_xlfn.CONCAT(表格3_5[[#This Row],[Name]],表格3_5[[#This Row],[Location]])</f>
        <v/>
      </c>
      <c r="C721" s="211" t="str">
        <f>表格3_5[[#This Row],[Location]] &amp; 表格3_5[[#This Row],[Date]] &amp;表格3_5[[#This Row],[Nick Name]]</f>
        <v>0</v>
      </c>
      <c r="D721" s="202"/>
      <c r="E721" s="211" t="str">
        <f>DAY(表格3_5[[#This Row],[Date]])&amp;""</f>
        <v>0</v>
      </c>
      <c r="F721" s="203"/>
      <c r="G721" s="216">
        <f>_xlfn.XLOOKUP(表格3_5[[#This Row],[Name]],Name_list[Full Name],Name_list[Nick Name])</f>
        <v>0</v>
      </c>
      <c r="H721" s="207"/>
      <c r="I721" s="228"/>
      <c r="J721" s="218"/>
      <c r="K721" s="205"/>
      <c r="L721" s="210">
        <f>(表格3_5[[#This Row],[Out-Time]] - 表格3_5[[#This Row],[In-Time]])*24</f>
        <v>0</v>
      </c>
      <c r="M721" s="210">
        <f>表格3_5[[#This Row],[ Hours]]-表格3_5[[#This Row],[Normal working
 hours]]</f>
        <v>0</v>
      </c>
      <c r="N721" s="205"/>
      <c r="O721" s="205"/>
      <c r="P721" s="210">
        <f>(表格3_5[[#This Row],[Out-Time2]] - 表格3_5[[#This Row],[In-Time2]])*24</f>
        <v>0</v>
      </c>
      <c r="Q721" s="205"/>
      <c r="R721" s="214">
        <f>_xlfn.XLOOKUP(表格3_5[[#This Row],[Name]],Name_list[Full Name],Name_list[Hourr Rate])</f>
        <v>0</v>
      </c>
      <c r="S721" s="210">
        <f>表格3_5[[#This Row],[Hours Worked]]*表格3_5[[#This Row],[Hourly Rate]]</f>
        <v>0</v>
      </c>
    </row>
    <row r="722" spans="1:19">
      <c r="A722" s="201">
        <v>720</v>
      </c>
      <c r="B722" s="210" t="str">
        <f>_xlfn.CONCAT(表格3_5[[#This Row],[Name]],表格3_5[[#This Row],[Location]])</f>
        <v/>
      </c>
      <c r="C722" s="211" t="str">
        <f>表格3_5[[#This Row],[Location]] &amp; 表格3_5[[#This Row],[Date]] &amp;表格3_5[[#This Row],[Nick Name]]</f>
        <v>0</v>
      </c>
      <c r="D722" s="202"/>
      <c r="E722" s="211" t="str">
        <f>DAY(表格3_5[[#This Row],[Date]])&amp;""</f>
        <v>0</v>
      </c>
      <c r="F722" s="203"/>
      <c r="G722" s="216">
        <f>_xlfn.XLOOKUP(表格3_5[[#This Row],[Name]],Name_list[Full Name],Name_list[Nick Name])</f>
        <v>0</v>
      </c>
      <c r="H722" s="207"/>
      <c r="I722" s="228"/>
      <c r="J722" s="218"/>
      <c r="K722" s="205"/>
      <c r="L722" s="210">
        <f>(表格3_5[[#This Row],[Out-Time]] - 表格3_5[[#This Row],[In-Time]])*24</f>
        <v>0</v>
      </c>
      <c r="M722" s="210">
        <f>表格3_5[[#This Row],[ Hours]]-表格3_5[[#This Row],[Normal working
 hours]]</f>
        <v>0</v>
      </c>
      <c r="N722" s="205"/>
      <c r="O722" s="205"/>
      <c r="P722" s="210">
        <f>(表格3_5[[#This Row],[Out-Time2]] - 表格3_5[[#This Row],[In-Time2]])*24</f>
        <v>0</v>
      </c>
      <c r="Q722" s="205"/>
      <c r="R722" s="214">
        <f>_xlfn.XLOOKUP(表格3_5[[#This Row],[Name]],Name_list[Full Name],Name_list[Hourr Rate])</f>
        <v>0</v>
      </c>
      <c r="S722" s="210">
        <f>表格3_5[[#This Row],[Hours Worked]]*表格3_5[[#This Row],[Hourly Rate]]</f>
        <v>0</v>
      </c>
    </row>
    <row r="723" spans="1:19">
      <c r="A723" s="201">
        <v>721</v>
      </c>
      <c r="B723" s="210" t="str">
        <f>_xlfn.CONCAT(表格3_5[[#This Row],[Name]],表格3_5[[#This Row],[Location]])</f>
        <v/>
      </c>
      <c r="C723" s="211" t="str">
        <f>表格3_5[[#This Row],[Location]] &amp; 表格3_5[[#This Row],[Date]] &amp;表格3_5[[#This Row],[Nick Name]]</f>
        <v>0</v>
      </c>
      <c r="D723" s="202"/>
      <c r="E723" s="211" t="str">
        <f>DAY(表格3_5[[#This Row],[Date]])&amp;""</f>
        <v>0</v>
      </c>
      <c r="F723" s="203"/>
      <c r="G723" s="216">
        <f>_xlfn.XLOOKUP(表格3_5[[#This Row],[Name]],Name_list[Full Name],Name_list[Nick Name])</f>
        <v>0</v>
      </c>
      <c r="H723" s="207"/>
      <c r="I723" s="228"/>
      <c r="J723" s="218"/>
      <c r="K723" s="205"/>
      <c r="L723" s="210">
        <f>(表格3_5[[#This Row],[Out-Time]] - 表格3_5[[#This Row],[In-Time]])*24</f>
        <v>0</v>
      </c>
      <c r="M723" s="210">
        <f>表格3_5[[#This Row],[ Hours]]-表格3_5[[#This Row],[Normal working
 hours]]</f>
        <v>0</v>
      </c>
      <c r="N723" s="205"/>
      <c r="O723" s="205"/>
      <c r="P723" s="210">
        <f>(表格3_5[[#This Row],[Out-Time2]] - 表格3_5[[#This Row],[In-Time2]])*24</f>
        <v>0</v>
      </c>
      <c r="Q723" s="205"/>
      <c r="R723" s="214">
        <f>_xlfn.XLOOKUP(表格3_5[[#This Row],[Name]],Name_list[Full Name],Name_list[Hourr Rate])</f>
        <v>0</v>
      </c>
      <c r="S723" s="210">
        <f>表格3_5[[#This Row],[Hours Worked]]*表格3_5[[#This Row],[Hourly Rate]]</f>
        <v>0</v>
      </c>
    </row>
    <row r="724" spans="1:19">
      <c r="A724" s="201">
        <v>722</v>
      </c>
      <c r="B724" s="210" t="str">
        <f>_xlfn.CONCAT(表格3_5[[#This Row],[Name]],表格3_5[[#This Row],[Location]])</f>
        <v/>
      </c>
      <c r="C724" s="211" t="str">
        <f>表格3_5[[#This Row],[Location]] &amp; 表格3_5[[#This Row],[Date]] &amp;表格3_5[[#This Row],[Nick Name]]</f>
        <v>0</v>
      </c>
      <c r="D724" s="202"/>
      <c r="E724" s="211" t="str">
        <f>DAY(表格3_5[[#This Row],[Date]])&amp;""</f>
        <v>0</v>
      </c>
      <c r="F724" s="203"/>
      <c r="G724" s="216">
        <f>_xlfn.XLOOKUP(表格3_5[[#This Row],[Name]],Name_list[Full Name],Name_list[Nick Name])</f>
        <v>0</v>
      </c>
      <c r="H724" s="207"/>
      <c r="I724" s="228"/>
      <c r="J724" s="218"/>
      <c r="K724" s="205"/>
      <c r="L724" s="210">
        <f>(表格3_5[[#This Row],[Out-Time]] - 表格3_5[[#This Row],[In-Time]])*24</f>
        <v>0</v>
      </c>
      <c r="M724" s="210">
        <f>表格3_5[[#This Row],[ Hours]]-表格3_5[[#This Row],[Normal working
 hours]]</f>
        <v>0</v>
      </c>
      <c r="N724" s="205"/>
      <c r="O724" s="205"/>
      <c r="P724" s="210">
        <f>(表格3_5[[#This Row],[Out-Time2]] - 表格3_5[[#This Row],[In-Time2]])*24</f>
        <v>0</v>
      </c>
      <c r="Q724" s="205"/>
      <c r="R724" s="214">
        <f>_xlfn.XLOOKUP(表格3_5[[#This Row],[Name]],Name_list[Full Name],Name_list[Hourr Rate])</f>
        <v>0</v>
      </c>
      <c r="S724" s="210">
        <f>表格3_5[[#This Row],[Hours Worked]]*表格3_5[[#This Row],[Hourly Rate]]</f>
        <v>0</v>
      </c>
    </row>
    <row r="725" spans="1:19">
      <c r="A725" s="201">
        <v>723</v>
      </c>
      <c r="B725" s="210" t="str">
        <f>_xlfn.CONCAT(表格3_5[[#This Row],[Name]],表格3_5[[#This Row],[Location]])</f>
        <v/>
      </c>
      <c r="C725" s="211" t="str">
        <f>表格3_5[[#This Row],[Location]] &amp; 表格3_5[[#This Row],[Date]] &amp;表格3_5[[#This Row],[Nick Name]]</f>
        <v>0</v>
      </c>
      <c r="D725" s="202"/>
      <c r="E725" s="211" t="str">
        <f>DAY(表格3_5[[#This Row],[Date]])&amp;""</f>
        <v>0</v>
      </c>
      <c r="F725" s="203"/>
      <c r="G725" s="216">
        <f>_xlfn.XLOOKUP(表格3_5[[#This Row],[Name]],Name_list[Full Name],Name_list[Nick Name])</f>
        <v>0</v>
      </c>
      <c r="H725" s="207"/>
      <c r="I725" s="228"/>
      <c r="J725" s="218"/>
      <c r="K725" s="205"/>
      <c r="L725" s="210">
        <f>(表格3_5[[#This Row],[Out-Time]] - 表格3_5[[#This Row],[In-Time]])*24</f>
        <v>0</v>
      </c>
      <c r="M725" s="210">
        <f>表格3_5[[#This Row],[ Hours]]-表格3_5[[#This Row],[Normal working
 hours]]</f>
        <v>0</v>
      </c>
      <c r="N725" s="205"/>
      <c r="O725" s="205"/>
      <c r="P725" s="210">
        <f>(表格3_5[[#This Row],[Out-Time2]] - 表格3_5[[#This Row],[In-Time2]])*24</f>
        <v>0</v>
      </c>
      <c r="Q725" s="205"/>
      <c r="R725" s="214">
        <f>_xlfn.XLOOKUP(表格3_5[[#This Row],[Name]],Name_list[Full Name],Name_list[Hourr Rate])</f>
        <v>0</v>
      </c>
      <c r="S725" s="210">
        <f>表格3_5[[#This Row],[Hours Worked]]*表格3_5[[#This Row],[Hourly Rate]]</f>
        <v>0</v>
      </c>
    </row>
    <row r="726" spans="1:19">
      <c r="A726" s="201">
        <v>724</v>
      </c>
      <c r="B726" s="210" t="str">
        <f>_xlfn.CONCAT(表格3_5[[#This Row],[Name]],表格3_5[[#This Row],[Location]])</f>
        <v/>
      </c>
      <c r="C726" s="211" t="str">
        <f>表格3_5[[#This Row],[Location]] &amp; 表格3_5[[#This Row],[Date]] &amp;表格3_5[[#This Row],[Nick Name]]</f>
        <v>0</v>
      </c>
      <c r="D726" s="202"/>
      <c r="E726" s="211" t="str">
        <f>DAY(表格3_5[[#This Row],[Date]])&amp;""</f>
        <v>0</v>
      </c>
      <c r="F726" s="203"/>
      <c r="G726" s="216">
        <f>_xlfn.XLOOKUP(表格3_5[[#This Row],[Name]],Name_list[Full Name],Name_list[Nick Name])</f>
        <v>0</v>
      </c>
      <c r="H726" s="207"/>
      <c r="I726" s="228"/>
      <c r="J726" s="218"/>
      <c r="K726" s="205"/>
      <c r="L726" s="210">
        <f>(表格3_5[[#This Row],[Out-Time]] - 表格3_5[[#This Row],[In-Time]])*24</f>
        <v>0</v>
      </c>
      <c r="M726" s="210">
        <f>表格3_5[[#This Row],[ Hours]]-表格3_5[[#This Row],[Normal working
 hours]]</f>
        <v>0</v>
      </c>
      <c r="N726" s="205"/>
      <c r="O726" s="205"/>
      <c r="P726" s="210">
        <f>(表格3_5[[#This Row],[Out-Time2]] - 表格3_5[[#This Row],[In-Time2]])*24</f>
        <v>0</v>
      </c>
      <c r="Q726" s="205"/>
      <c r="R726" s="214">
        <f>_xlfn.XLOOKUP(表格3_5[[#This Row],[Name]],Name_list[Full Name],Name_list[Hourr Rate])</f>
        <v>0</v>
      </c>
      <c r="S726" s="210">
        <f>表格3_5[[#This Row],[Hours Worked]]*表格3_5[[#This Row],[Hourly Rate]]</f>
        <v>0</v>
      </c>
    </row>
    <row r="727" spans="1:19">
      <c r="A727" s="201">
        <v>725</v>
      </c>
      <c r="B727" s="210" t="str">
        <f>_xlfn.CONCAT(表格3_5[[#This Row],[Name]],表格3_5[[#This Row],[Location]])</f>
        <v/>
      </c>
      <c r="C727" s="211" t="str">
        <f>表格3_5[[#This Row],[Location]] &amp; 表格3_5[[#This Row],[Date]] &amp;表格3_5[[#This Row],[Nick Name]]</f>
        <v>0</v>
      </c>
      <c r="D727" s="202"/>
      <c r="E727" s="211" t="str">
        <f>DAY(表格3_5[[#This Row],[Date]])&amp;""</f>
        <v>0</v>
      </c>
      <c r="F727" s="203"/>
      <c r="G727" s="216">
        <f>_xlfn.XLOOKUP(表格3_5[[#This Row],[Name]],Name_list[Full Name],Name_list[Nick Name])</f>
        <v>0</v>
      </c>
      <c r="H727" s="207"/>
      <c r="I727" s="228"/>
      <c r="J727" s="218"/>
      <c r="K727" s="205"/>
      <c r="L727" s="210">
        <f>(表格3_5[[#This Row],[Out-Time]] - 表格3_5[[#This Row],[In-Time]])*24</f>
        <v>0</v>
      </c>
      <c r="M727" s="210">
        <f>表格3_5[[#This Row],[ Hours]]-表格3_5[[#This Row],[Normal working
 hours]]</f>
        <v>0</v>
      </c>
      <c r="N727" s="205"/>
      <c r="O727" s="205"/>
      <c r="P727" s="210">
        <f>(表格3_5[[#This Row],[Out-Time2]] - 表格3_5[[#This Row],[In-Time2]])*24</f>
        <v>0</v>
      </c>
      <c r="Q727" s="205"/>
      <c r="R727" s="214">
        <f>_xlfn.XLOOKUP(表格3_5[[#This Row],[Name]],Name_list[Full Name],Name_list[Hourr Rate])</f>
        <v>0</v>
      </c>
      <c r="S727" s="210">
        <f>表格3_5[[#This Row],[Hours Worked]]*表格3_5[[#This Row],[Hourly Rate]]</f>
        <v>0</v>
      </c>
    </row>
    <row r="728" spans="1:19">
      <c r="A728" s="201">
        <v>726</v>
      </c>
      <c r="B728" s="210" t="str">
        <f>_xlfn.CONCAT(表格3_5[[#This Row],[Name]],表格3_5[[#This Row],[Location]])</f>
        <v/>
      </c>
      <c r="C728" s="211" t="str">
        <f>表格3_5[[#This Row],[Location]] &amp; 表格3_5[[#This Row],[Date]] &amp;表格3_5[[#This Row],[Nick Name]]</f>
        <v>0</v>
      </c>
      <c r="D728" s="202"/>
      <c r="E728" s="211" t="str">
        <f>DAY(表格3_5[[#This Row],[Date]])&amp;""</f>
        <v>0</v>
      </c>
      <c r="F728" s="203"/>
      <c r="G728" s="216">
        <f>_xlfn.XLOOKUP(表格3_5[[#This Row],[Name]],Name_list[Full Name],Name_list[Nick Name])</f>
        <v>0</v>
      </c>
      <c r="H728" s="207"/>
      <c r="I728" s="228"/>
      <c r="J728" s="218"/>
      <c r="K728" s="205"/>
      <c r="L728" s="210">
        <f>(表格3_5[[#This Row],[Out-Time]] - 表格3_5[[#This Row],[In-Time]])*24</f>
        <v>0</v>
      </c>
      <c r="M728" s="210">
        <f>表格3_5[[#This Row],[ Hours]]-表格3_5[[#This Row],[Normal working
 hours]]</f>
        <v>0</v>
      </c>
      <c r="N728" s="205"/>
      <c r="O728" s="205"/>
      <c r="P728" s="210">
        <f>(表格3_5[[#This Row],[Out-Time2]] - 表格3_5[[#This Row],[In-Time2]])*24</f>
        <v>0</v>
      </c>
      <c r="Q728" s="205"/>
      <c r="R728" s="214">
        <f>_xlfn.XLOOKUP(表格3_5[[#This Row],[Name]],Name_list[Full Name],Name_list[Hourr Rate])</f>
        <v>0</v>
      </c>
      <c r="S728" s="210">
        <f>表格3_5[[#This Row],[Hours Worked]]*表格3_5[[#This Row],[Hourly Rate]]</f>
        <v>0</v>
      </c>
    </row>
    <row r="729" spans="1:19">
      <c r="A729" s="201">
        <v>727</v>
      </c>
      <c r="B729" s="210" t="str">
        <f>_xlfn.CONCAT(表格3_5[[#This Row],[Name]],表格3_5[[#This Row],[Location]])</f>
        <v/>
      </c>
      <c r="C729" s="211" t="str">
        <f>表格3_5[[#This Row],[Location]] &amp; 表格3_5[[#This Row],[Date]] &amp;表格3_5[[#This Row],[Nick Name]]</f>
        <v>0</v>
      </c>
      <c r="D729" s="202"/>
      <c r="E729" s="211" t="str">
        <f>DAY(表格3_5[[#This Row],[Date]])&amp;""</f>
        <v>0</v>
      </c>
      <c r="F729" s="203"/>
      <c r="G729" s="216">
        <f>_xlfn.XLOOKUP(表格3_5[[#This Row],[Name]],Name_list[Full Name],Name_list[Nick Name])</f>
        <v>0</v>
      </c>
      <c r="H729" s="207"/>
      <c r="I729" s="228"/>
      <c r="J729" s="218"/>
      <c r="K729" s="205"/>
      <c r="L729" s="210">
        <f>(表格3_5[[#This Row],[Out-Time]] - 表格3_5[[#This Row],[In-Time]])*24</f>
        <v>0</v>
      </c>
      <c r="M729" s="210">
        <f>表格3_5[[#This Row],[ Hours]]-表格3_5[[#This Row],[Normal working
 hours]]</f>
        <v>0</v>
      </c>
      <c r="N729" s="205"/>
      <c r="O729" s="205"/>
      <c r="P729" s="210">
        <f>(表格3_5[[#This Row],[Out-Time2]] - 表格3_5[[#This Row],[In-Time2]])*24</f>
        <v>0</v>
      </c>
      <c r="Q729" s="205"/>
      <c r="R729" s="214">
        <f>_xlfn.XLOOKUP(表格3_5[[#This Row],[Name]],Name_list[Full Name],Name_list[Hourr Rate])</f>
        <v>0</v>
      </c>
      <c r="S729" s="210">
        <f>表格3_5[[#This Row],[Hours Worked]]*表格3_5[[#This Row],[Hourly Rate]]</f>
        <v>0</v>
      </c>
    </row>
    <row r="730" spans="1:19">
      <c r="A730" s="201">
        <v>728</v>
      </c>
      <c r="B730" s="210" t="str">
        <f>_xlfn.CONCAT(表格3_5[[#This Row],[Name]],表格3_5[[#This Row],[Location]])</f>
        <v/>
      </c>
      <c r="C730" s="211" t="str">
        <f>表格3_5[[#This Row],[Location]] &amp; 表格3_5[[#This Row],[Date]] &amp;表格3_5[[#This Row],[Nick Name]]</f>
        <v>0</v>
      </c>
      <c r="D730" s="202"/>
      <c r="E730" s="211" t="str">
        <f>DAY(表格3_5[[#This Row],[Date]])&amp;""</f>
        <v>0</v>
      </c>
      <c r="F730" s="203"/>
      <c r="G730" s="216">
        <f>_xlfn.XLOOKUP(表格3_5[[#This Row],[Name]],Name_list[Full Name],Name_list[Nick Name])</f>
        <v>0</v>
      </c>
      <c r="H730" s="207"/>
      <c r="I730" s="228"/>
      <c r="J730" s="218"/>
      <c r="K730" s="205"/>
      <c r="L730" s="210">
        <f>(表格3_5[[#This Row],[Out-Time]] - 表格3_5[[#This Row],[In-Time]])*24</f>
        <v>0</v>
      </c>
      <c r="M730" s="210">
        <f>表格3_5[[#This Row],[ Hours]]-表格3_5[[#This Row],[Normal working
 hours]]</f>
        <v>0</v>
      </c>
      <c r="N730" s="205"/>
      <c r="O730" s="205"/>
      <c r="P730" s="210">
        <f>(表格3_5[[#This Row],[Out-Time2]] - 表格3_5[[#This Row],[In-Time2]])*24</f>
        <v>0</v>
      </c>
      <c r="Q730" s="205"/>
      <c r="R730" s="214">
        <f>_xlfn.XLOOKUP(表格3_5[[#This Row],[Name]],Name_list[Full Name],Name_list[Hourr Rate])</f>
        <v>0</v>
      </c>
      <c r="S730" s="210">
        <f>表格3_5[[#This Row],[Hours Worked]]*表格3_5[[#This Row],[Hourly Rate]]</f>
        <v>0</v>
      </c>
    </row>
    <row r="731" spans="1:19">
      <c r="A731" s="201">
        <v>729</v>
      </c>
      <c r="B731" s="210" t="str">
        <f>_xlfn.CONCAT(表格3_5[[#This Row],[Name]],表格3_5[[#This Row],[Location]])</f>
        <v/>
      </c>
      <c r="C731" s="211" t="str">
        <f>表格3_5[[#This Row],[Location]] &amp; 表格3_5[[#This Row],[Date]] &amp;表格3_5[[#This Row],[Nick Name]]</f>
        <v>0</v>
      </c>
      <c r="D731" s="202"/>
      <c r="E731" s="211" t="str">
        <f>DAY(表格3_5[[#This Row],[Date]])&amp;""</f>
        <v>0</v>
      </c>
      <c r="F731" s="203"/>
      <c r="G731" s="216">
        <f>_xlfn.XLOOKUP(表格3_5[[#This Row],[Name]],Name_list[Full Name],Name_list[Nick Name])</f>
        <v>0</v>
      </c>
      <c r="H731" s="207"/>
      <c r="I731" s="228"/>
      <c r="J731" s="218"/>
      <c r="K731" s="205"/>
      <c r="L731" s="210">
        <f>(表格3_5[[#This Row],[Out-Time]] - 表格3_5[[#This Row],[In-Time]])*24</f>
        <v>0</v>
      </c>
      <c r="M731" s="210">
        <f>表格3_5[[#This Row],[ Hours]]-表格3_5[[#This Row],[Normal working
 hours]]</f>
        <v>0</v>
      </c>
      <c r="N731" s="205"/>
      <c r="O731" s="205"/>
      <c r="P731" s="210">
        <f>(表格3_5[[#This Row],[Out-Time2]] - 表格3_5[[#This Row],[In-Time2]])*24</f>
        <v>0</v>
      </c>
      <c r="Q731" s="205"/>
      <c r="R731" s="214">
        <f>_xlfn.XLOOKUP(表格3_5[[#This Row],[Name]],Name_list[Full Name],Name_list[Hourr Rate])</f>
        <v>0</v>
      </c>
      <c r="S731" s="210">
        <f>表格3_5[[#This Row],[Hours Worked]]*表格3_5[[#This Row],[Hourly Rate]]</f>
        <v>0</v>
      </c>
    </row>
    <row r="732" spans="1:19">
      <c r="A732" s="201">
        <v>730</v>
      </c>
      <c r="B732" s="210" t="str">
        <f>_xlfn.CONCAT(表格3_5[[#This Row],[Name]],表格3_5[[#This Row],[Location]])</f>
        <v/>
      </c>
      <c r="C732" s="211" t="str">
        <f>表格3_5[[#This Row],[Location]] &amp; 表格3_5[[#This Row],[Date]] &amp;表格3_5[[#This Row],[Nick Name]]</f>
        <v>0</v>
      </c>
      <c r="D732" s="202"/>
      <c r="E732" s="211" t="str">
        <f>DAY(表格3_5[[#This Row],[Date]])&amp;""</f>
        <v>0</v>
      </c>
      <c r="F732" s="203"/>
      <c r="G732" s="216">
        <f>_xlfn.XLOOKUP(表格3_5[[#This Row],[Name]],Name_list[Full Name],Name_list[Nick Name])</f>
        <v>0</v>
      </c>
      <c r="H732" s="207"/>
      <c r="I732" s="228"/>
      <c r="J732" s="218"/>
      <c r="K732" s="205"/>
      <c r="L732" s="210">
        <f>(表格3_5[[#This Row],[Out-Time]] - 表格3_5[[#This Row],[In-Time]])*24</f>
        <v>0</v>
      </c>
      <c r="M732" s="210">
        <f>表格3_5[[#This Row],[ Hours]]-表格3_5[[#This Row],[Normal working
 hours]]</f>
        <v>0</v>
      </c>
      <c r="N732" s="205"/>
      <c r="O732" s="205"/>
      <c r="P732" s="210">
        <f>(表格3_5[[#This Row],[Out-Time2]] - 表格3_5[[#This Row],[In-Time2]])*24</f>
        <v>0</v>
      </c>
      <c r="Q732" s="205"/>
      <c r="R732" s="214">
        <f>_xlfn.XLOOKUP(表格3_5[[#This Row],[Name]],Name_list[Full Name],Name_list[Hourr Rate])</f>
        <v>0</v>
      </c>
      <c r="S732" s="210">
        <f>表格3_5[[#This Row],[Hours Worked]]*表格3_5[[#This Row],[Hourly Rate]]</f>
        <v>0</v>
      </c>
    </row>
    <row r="733" spans="1:19">
      <c r="A733" s="201">
        <v>731</v>
      </c>
      <c r="B733" s="210" t="str">
        <f>_xlfn.CONCAT(表格3_5[[#This Row],[Name]],表格3_5[[#This Row],[Location]])</f>
        <v/>
      </c>
      <c r="C733" s="211" t="str">
        <f>表格3_5[[#This Row],[Location]] &amp; 表格3_5[[#This Row],[Date]] &amp;表格3_5[[#This Row],[Nick Name]]</f>
        <v>0</v>
      </c>
      <c r="D733" s="202"/>
      <c r="E733" s="211" t="str">
        <f>DAY(表格3_5[[#This Row],[Date]])&amp;""</f>
        <v>0</v>
      </c>
      <c r="F733" s="203"/>
      <c r="G733" s="216">
        <f>_xlfn.XLOOKUP(表格3_5[[#This Row],[Name]],Name_list[Full Name],Name_list[Nick Name])</f>
        <v>0</v>
      </c>
      <c r="H733" s="207"/>
      <c r="I733" s="228"/>
      <c r="J733" s="218"/>
      <c r="K733" s="205"/>
      <c r="L733" s="210">
        <f>(表格3_5[[#This Row],[Out-Time]] - 表格3_5[[#This Row],[In-Time]])*24</f>
        <v>0</v>
      </c>
      <c r="M733" s="210">
        <f>表格3_5[[#This Row],[ Hours]]-表格3_5[[#This Row],[Normal working
 hours]]</f>
        <v>0</v>
      </c>
      <c r="N733" s="205"/>
      <c r="O733" s="205"/>
      <c r="P733" s="210">
        <f>(表格3_5[[#This Row],[Out-Time2]] - 表格3_5[[#This Row],[In-Time2]])*24</f>
        <v>0</v>
      </c>
      <c r="Q733" s="205"/>
      <c r="R733" s="214">
        <f>_xlfn.XLOOKUP(表格3_5[[#This Row],[Name]],Name_list[Full Name],Name_list[Hourr Rate])</f>
        <v>0</v>
      </c>
      <c r="S733" s="210">
        <f>表格3_5[[#This Row],[Hours Worked]]*表格3_5[[#This Row],[Hourly Rate]]</f>
        <v>0</v>
      </c>
    </row>
    <row r="734" spans="1:19">
      <c r="A734" s="201">
        <v>732</v>
      </c>
      <c r="B734" s="210" t="str">
        <f>_xlfn.CONCAT(表格3_5[[#This Row],[Name]],表格3_5[[#This Row],[Location]])</f>
        <v/>
      </c>
      <c r="C734" s="211" t="str">
        <f>表格3_5[[#This Row],[Location]] &amp; 表格3_5[[#This Row],[Date]] &amp;表格3_5[[#This Row],[Nick Name]]</f>
        <v>0</v>
      </c>
      <c r="D734" s="202"/>
      <c r="E734" s="211" t="str">
        <f>DAY(表格3_5[[#This Row],[Date]])&amp;""</f>
        <v>0</v>
      </c>
      <c r="F734" s="203"/>
      <c r="G734" s="216">
        <f>_xlfn.XLOOKUP(表格3_5[[#This Row],[Name]],Name_list[Full Name],Name_list[Nick Name])</f>
        <v>0</v>
      </c>
      <c r="H734" s="207"/>
      <c r="I734" s="228"/>
      <c r="J734" s="218"/>
      <c r="K734" s="205"/>
      <c r="L734" s="210">
        <f>(表格3_5[[#This Row],[Out-Time]] - 表格3_5[[#This Row],[In-Time]])*24</f>
        <v>0</v>
      </c>
      <c r="M734" s="210">
        <f>表格3_5[[#This Row],[ Hours]]-表格3_5[[#This Row],[Normal working
 hours]]</f>
        <v>0</v>
      </c>
      <c r="N734" s="205"/>
      <c r="O734" s="205"/>
      <c r="P734" s="210">
        <f>(表格3_5[[#This Row],[Out-Time2]] - 表格3_5[[#This Row],[In-Time2]])*24</f>
        <v>0</v>
      </c>
      <c r="Q734" s="205"/>
      <c r="R734" s="214">
        <f>_xlfn.XLOOKUP(表格3_5[[#This Row],[Name]],Name_list[Full Name],Name_list[Hourr Rate])</f>
        <v>0</v>
      </c>
      <c r="S734" s="210">
        <f>表格3_5[[#This Row],[Hours Worked]]*表格3_5[[#This Row],[Hourly Rate]]</f>
        <v>0</v>
      </c>
    </row>
    <row r="735" spans="1:19">
      <c r="A735" s="201">
        <v>733</v>
      </c>
      <c r="B735" s="210" t="str">
        <f>_xlfn.CONCAT(表格3_5[[#This Row],[Name]],表格3_5[[#This Row],[Location]])</f>
        <v/>
      </c>
      <c r="C735" s="211" t="str">
        <f>表格3_5[[#This Row],[Location]] &amp; 表格3_5[[#This Row],[Date]] &amp;表格3_5[[#This Row],[Nick Name]]</f>
        <v>0</v>
      </c>
      <c r="D735" s="202"/>
      <c r="E735" s="211" t="str">
        <f>DAY(表格3_5[[#This Row],[Date]])&amp;""</f>
        <v>0</v>
      </c>
      <c r="F735" s="203"/>
      <c r="G735" s="216">
        <f>_xlfn.XLOOKUP(表格3_5[[#This Row],[Name]],Name_list[Full Name],Name_list[Nick Name])</f>
        <v>0</v>
      </c>
      <c r="H735" s="207"/>
      <c r="I735" s="228"/>
      <c r="J735" s="218"/>
      <c r="K735" s="205"/>
      <c r="L735" s="210">
        <f>(表格3_5[[#This Row],[Out-Time]] - 表格3_5[[#This Row],[In-Time]])*24</f>
        <v>0</v>
      </c>
      <c r="M735" s="210">
        <f>表格3_5[[#This Row],[ Hours]]-表格3_5[[#This Row],[Normal working
 hours]]</f>
        <v>0</v>
      </c>
      <c r="N735" s="205"/>
      <c r="O735" s="205"/>
      <c r="P735" s="210">
        <f>(表格3_5[[#This Row],[Out-Time2]] - 表格3_5[[#This Row],[In-Time2]])*24</f>
        <v>0</v>
      </c>
      <c r="Q735" s="205"/>
      <c r="R735" s="214">
        <f>_xlfn.XLOOKUP(表格3_5[[#This Row],[Name]],Name_list[Full Name],Name_list[Hourr Rate])</f>
        <v>0</v>
      </c>
      <c r="S735" s="210">
        <f>表格3_5[[#This Row],[Hours Worked]]*表格3_5[[#This Row],[Hourly Rate]]</f>
        <v>0</v>
      </c>
    </row>
    <row r="736" spans="1:19">
      <c r="A736" s="201">
        <v>734</v>
      </c>
      <c r="B736" s="210" t="str">
        <f>_xlfn.CONCAT(表格3_5[[#This Row],[Name]],表格3_5[[#This Row],[Location]])</f>
        <v/>
      </c>
      <c r="C736" s="211" t="str">
        <f>表格3_5[[#This Row],[Location]] &amp; 表格3_5[[#This Row],[Date]] &amp;表格3_5[[#This Row],[Nick Name]]</f>
        <v>0</v>
      </c>
      <c r="D736" s="202"/>
      <c r="E736" s="211" t="str">
        <f>DAY(表格3_5[[#This Row],[Date]])&amp;""</f>
        <v>0</v>
      </c>
      <c r="F736" s="203"/>
      <c r="G736" s="216">
        <f>_xlfn.XLOOKUP(表格3_5[[#This Row],[Name]],Name_list[Full Name],Name_list[Nick Name])</f>
        <v>0</v>
      </c>
      <c r="H736" s="207"/>
      <c r="I736" s="228"/>
      <c r="J736" s="218"/>
      <c r="K736" s="205"/>
      <c r="L736" s="210">
        <f>(表格3_5[[#This Row],[Out-Time]] - 表格3_5[[#This Row],[In-Time]])*24</f>
        <v>0</v>
      </c>
      <c r="M736" s="210">
        <f>表格3_5[[#This Row],[ Hours]]-表格3_5[[#This Row],[Normal working
 hours]]</f>
        <v>0</v>
      </c>
      <c r="N736" s="205"/>
      <c r="O736" s="205"/>
      <c r="P736" s="210">
        <f>(表格3_5[[#This Row],[Out-Time2]] - 表格3_5[[#This Row],[In-Time2]])*24</f>
        <v>0</v>
      </c>
      <c r="Q736" s="205"/>
      <c r="R736" s="214">
        <f>_xlfn.XLOOKUP(表格3_5[[#This Row],[Name]],Name_list[Full Name],Name_list[Hourr Rate])</f>
        <v>0</v>
      </c>
      <c r="S736" s="210">
        <f>表格3_5[[#This Row],[Hours Worked]]*表格3_5[[#This Row],[Hourly Rate]]</f>
        <v>0</v>
      </c>
    </row>
    <row r="737" spans="1:19">
      <c r="A737" s="201">
        <v>735</v>
      </c>
      <c r="B737" s="210" t="str">
        <f>_xlfn.CONCAT(表格3_5[[#This Row],[Name]],表格3_5[[#This Row],[Location]])</f>
        <v/>
      </c>
      <c r="C737" s="211" t="str">
        <f>表格3_5[[#This Row],[Location]] &amp; 表格3_5[[#This Row],[Date]] &amp;表格3_5[[#This Row],[Nick Name]]</f>
        <v>0</v>
      </c>
      <c r="D737" s="202"/>
      <c r="E737" s="211" t="str">
        <f>DAY(表格3_5[[#This Row],[Date]])&amp;""</f>
        <v>0</v>
      </c>
      <c r="F737" s="203"/>
      <c r="G737" s="216">
        <f>_xlfn.XLOOKUP(表格3_5[[#This Row],[Name]],Name_list[Full Name],Name_list[Nick Name])</f>
        <v>0</v>
      </c>
      <c r="H737" s="207"/>
      <c r="I737" s="228"/>
      <c r="J737" s="218"/>
      <c r="K737" s="205"/>
      <c r="L737" s="210">
        <f>(表格3_5[[#This Row],[Out-Time]] - 表格3_5[[#This Row],[In-Time]])*24</f>
        <v>0</v>
      </c>
      <c r="M737" s="210">
        <f>表格3_5[[#This Row],[ Hours]]-表格3_5[[#This Row],[Normal working
 hours]]</f>
        <v>0</v>
      </c>
      <c r="N737" s="205"/>
      <c r="O737" s="205"/>
      <c r="P737" s="210">
        <f>(表格3_5[[#This Row],[Out-Time2]] - 表格3_5[[#This Row],[In-Time2]])*24</f>
        <v>0</v>
      </c>
      <c r="Q737" s="205"/>
      <c r="R737" s="214">
        <f>_xlfn.XLOOKUP(表格3_5[[#This Row],[Name]],Name_list[Full Name],Name_list[Hourr Rate])</f>
        <v>0</v>
      </c>
      <c r="S737" s="210">
        <f>表格3_5[[#This Row],[Hours Worked]]*表格3_5[[#This Row],[Hourly Rate]]</f>
        <v>0</v>
      </c>
    </row>
    <row r="738" spans="1:19">
      <c r="A738" s="201">
        <v>736</v>
      </c>
      <c r="B738" s="210" t="str">
        <f>_xlfn.CONCAT(表格3_5[[#This Row],[Name]],表格3_5[[#This Row],[Location]])</f>
        <v/>
      </c>
      <c r="C738" s="211" t="str">
        <f>表格3_5[[#This Row],[Location]] &amp; 表格3_5[[#This Row],[Date]] &amp;表格3_5[[#This Row],[Nick Name]]</f>
        <v>0</v>
      </c>
      <c r="D738" s="202"/>
      <c r="E738" s="211" t="str">
        <f>DAY(表格3_5[[#This Row],[Date]])&amp;""</f>
        <v>0</v>
      </c>
      <c r="F738" s="203"/>
      <c r="G738" s="216">
        <f>_xlfn.XLOOKUP(表格3_5[[#This Row],[Name]],Name_list[Full Name],Name_list[Nick Name])</f>
        <v>0</v>
      </c>
      <c r="H738" s="207"/>
      <c r="I738" s="228"/>
      <c r="J738" s="218"/>
      <c r="K738" s="205"/>
      <c r="L738" s="210">
        <f>(表格3_5[[#This Row],[Out-Time]] - 表格3_5[[#This Row],[In-Time]])*24</f>
        <v>0</v>
      </c>
      <c r="M738" s="210">
        <f>表格3_5[[#This Row],[ Hours]]-表格3_5[[#This Row],[Normal working
 hours]]</f>
        <v>0</v>
      </c>
      <c r="N738" s="205"/>
      <c r="O738" s="205"/>
      <c r="P738" s="210">
        <f>(表格3_5[[#This Row],[Out-Time2]] - 表格3_5[[#This Row],[In-Time2]])*24</f>
        <v>0</v>
      </c>
      <c r="Q738" s="205"/>
      <c r="R738" s="214">
        <f>_xlfn.XLOOKUP(表格3_5[[#This Row],[Name]],Name_list[Full Name],Name_list[Hourr Rate])</f>
        <v>0</v>
      </c>
      <c r="S738" s="210">
        <f>表格3_5[[#This Row],[Hours Worked]]*表格3_5[[#This Row],[Hourly Rate]]</f>
        <v>0</v>
      </c>
    </row>
    <row r="739" spans="1:19">
      <c r="A739" s="201">
        <v>737</v>
      </c>
      <c r="B739" s="210" t="str">
        <f>_xlfn.CONCAT(表格3_5[[#This Row],[Name]],表格3_5[[#This Row],[Location]])</f>
        <v/>
      </c>
      <c r="C739" s="211" t="str">
        <f>表格3_5[[#This Row],[Location]] &amp; 表格3_5[[#This Row],[Date]] &amp;表格3_5[[#This Row],[Nick Name]]</f>
        <v>0</v>
      </c>
      <c r="D739" s="202"/>
      <c r="E739" s="211" t="str">
        <f>DAY(表格3_5[[#This Row],[Date]])&amp;""</f>
        <v>0</v>
      </c>
      <c r="F739" s="203"/>
      <c r="G739" s="216">
        <f>_xlfn.XLOOKUP(表格3_5[[#This Row],[Name]],Name_list[Full Name],Name_list[Nick Name])</f>
        <v>0</v>
      </c>
      <c r="H739" s="207"/>
      <c r="I739" s="228"/>
      <c r="J739" s="218"/>
      <c r="K739" s="205"/>
      <c r="L739" s="210">
        <f>(表格3_5[[#This Row],[Out-Time]] - 表格3_5[[#This Row],[In-Time]])*24</f>
        <v>0</v>
      </c>
      <c r="M739" s="210">
        <f>表格3_5[[#This Row],[ Hours]]-表格3_5[[#This Row],[Normal working
 hours]]</f>
        <v>0</v>
      </c>
      <c r="N739" s="205"/>
      <c r="O739" s="205"/>
      <c r="P739" s="210">
        <f>(表格3_5[[#This Row],[Out-Time2]] - 表格3_5[[#This Row],[In-Time2]])*24</f>
        <v>0</v>
      </c>
      <c r="Q739" s="205"/>
      <c r="R739" s="214">
        <f>_xlfn.XLOOKUP(表格3_5[[#This Row],[Name]],Name_list[Full Name],Name_list[Hourr Rate])</f>
        <v>0</v>
      </c>
      <c r="S739" s="210">
        <f>表格3_5[[#This Row],[Hours Worked]]*表格3_5[[#This Row],[Hourly Rate]]</f>
        <v>0</v>
      </c>
    </row>
    <row r="740" spans="1:19">
      <c r="A740" s="201">
        <v>738</v>
      </c>
      <c r="B740" s="210" t="str">
        <f>_xlfn.CONCAT(表格3_5[[#This Row],[Name]],表格3_5[[#This Row],[Location]])</f>
        <v/>
      </c>
      <c r="C740" s="211" t="str">
        <f>表格3_5[[#This Row],[Location]] &amp; 表格3_5[[#This Row],[Date]] &amp;表格3_5[[#This Row],[Nick Name]]</f>
        <v>0</v>
      </c>
      <c r="D740" s="202"/>
      <c r="E740" s="211" t="str">
        <f>DAY(表格3_5[[#This Row],[Date]])&amp;""</f>
        <v>0</v>
      </c>
      <c r="F740" s="203"/>
      <c r="G740" s="216">
        <f>_xlfn.XLOOKUP(表格3_5[[#This Row],[Name]],Name_list[Full Name],Name_list[Nick Name])</f>
        <v>0</v>
      </c>
      <c r="H740" s="207"/>
      <c r="I740" s="228"/>
      <c r="J740" s="218"/>
      <c r="K740" s="205"/>
      <c r="L740" s="210">
        <f>(表格3_5[[#This Row],[Out-Time]] - 表格3_5[[#This Row],[In-Time]])*24</f>
        <v>0</v>
      </c>
      <c r="M740" s="210">
        <f>表格3_5[[#This Row],[ Hours]]-表格3_5[[#This Row],[Normal working
 hours]]</f>
        <v>0</v>
      </c>
      <c r="N740" s="205"/>
      <c r="O740" s="205"/>
      <c r="P740" s="210">
        <f>(表格3_5[[#This Row],[Out-Time2]] - 表格3_5[[#This Row],[In-Time2]])*24</f>
        <v>0</v>
      </c>
      <c r="Q740" s="205"/>
      <c r="R740" s="214">
        <f>_xlfn.XLOOKUP(表格3_5[[#This Row],[Name]],Name_list[Full Name],Name_list[Hourr Rate])</f>
        <v>0</v>
      </c>
      <c r="S740" s="210">
        <f>表格3_5[[#This Row],[Hours Worked]]*表格3_5[[#This Row],[Hourly Rate]]</f>
        <v>0</v>
      </c>
    </row>
    <row r="741" spans="1:19">
      <c r="A741" s="201">
        <v>739</v>
      </c>
      <c r="B741" s="210" t="str">
        <f>_xlfn.CONCAT(表格3_5[[#This Row],[Name]],表格3_5[[#This Row],[Location]])</f>
        <v/>
      </c>
      <c r="C741" s="211" t="str">
        <f>表格3_5[[#This Row],[Location]] &amp; 表格3_5[[#This Row],[Date]] &amp;表格3_5[[#This Row],[Nick Name]]</f>
        <v>0</v>
      </c>
      <c r="D741" s="202"/>
      <c r="E741" s="211" t="str">
        <f>DAY(表格3_5[[#This Row],[Date]])&amp;""</f>
        <v>0</v>
      </c>
      <c r="F741" s="203"/>
      <c r="G741" s="216">
        <f>_xlfn.XLOOKUP(表格3_5[[#This Row],[Name]],Name_list[Full Name],Name_list[Nick Name])</f>
        <v>0</v>
      </c>
      <c r="H741" s="207"/>
      <c r="I741" s="228"/>
      <c r="J741" s="218"/>
      <c r="K741" s="205"/>
      <c r="L741" s="210">
        <f>(表格3_5[[#This Row],[Out-Time]] - 表格3_5[[#This Row],[In-Time]])*24</f>
        <v>0</v>
      </c>
      <c r="M741" s="210">
        <f>表格3_5[[#This Row],[ Hours]]-表格3_5[[#This Row],[Normal working
 hours]]</f>
        <v>0</v>
      </c>
      <c r="N741" s="205"/>
      <c r="O741" s="205"/>
      <c r="P741" s="210">
        <f>(表格3_5[[#This Row],[Out-Time2]] - 表格3_5[[#This Row],[In-Time2]])*24</f>
        <v>0</v>
      </c>
      <c r="Q741" s="205"/>
      <c r="R741" s="214">
        <f>_xlfn.XLOOKUP(表格3_5[[#This Row],[Name]],Name_list[Full Name],Name_list[Hourr Rate])</f>
        <v>0</v>
      </c>
      <c r="S741" s="210">
        <f>表格3_5[[#This Row],[Hours Worked]]*表格3_5[[#This Row],[Hourly Rate]]</f>
        <v>0</v>
      </c>
    </row>
    <row r="742" spans="1:19">
      <c r="A742" s="201">
        <v>740</v>
      </c>
      <c r="B742" s="210" t="str">
        <f>_xlfn.CONCAT(表格3_5[[#This Row],[Name]],表格3_5[[#This Row],[Location]])</f>
        <v/>
      </c>
      <c r="C742" s="211" t="str">
        <f>表格3_5[[#This Row],[Location]] &amp; 表格3_5[[#This Row],[Date]] &amp;表格3_5[[#This Row],[Nick Name]]</f>
        <v>0</v>
      </c>
      <c r="D742" s="202"/>
      <c r="E742" s="211" t="str">
        <f>DAY(表格3_5[[#This Row],[Date]])&amp;""</f>
        <v>0</v>
      </c>
      <c r="F742" s="203"/>
      <c r="G742" s="216">
        <f>_xlfn.XLOOKUP(表格3_5[[#This Row],[Name]],Name_list[Full Name],Name_list[Nick Name])</f>
        <v>0</v>
      </c>
      <c r="H742" s="207"/>
      <c r="I742" s="228"/>
      <c r="J742" s="218"/>
      <c r="K742" s="205"/>
      <c r="L742" s="210">
        <f>(表格3_5[[#This Row],[Out-Time]] - 表格3_5[[#This Row],[In-Time]])*24</f>
        <v>0</v>
      </c>
      <c r="M742" s="210">
        <f>表格3_5[[#This Row],[ Hours]]-表格3_5[[#This Row],[Normal working
 hours]]</f>
        <v>0</v>
      </c>
      <c r="N742" s="205"/>
      <c r="O742" s="205"/>
      <c r="P742" s="210">
        <f>(表格3_5[[#This Row],[Out-Time2]] - 表格3_5[[#This Row],[In-Time2]])*24</f>
        <v>0</v>
      </c>
      <c r="Q742" s="205"/>
      <c r="R742" s="214">
        <f>_xlfn.XLOOKUP(表格3_5[[#This Row],[Name]],Name_list[Full Name],Name_list[Hourr Rate])</f>
        <v>0</v>
      </c>
      <c r="S742" s="210">
        <f>表格3_5[[#This Row],[Hours Worked]]*表格3_5[[#This Row],[Hourly Rate]]</f>
        <v>0</v>
      </c>
    </row>
    <row r="743" spans="1:19">
      <c r="A743" s="201">
        <v>741</v>
      </c>
      <c r="B743" s="210" t="str">
        <f>_xlfn.CONCAT(表格3_5[[#This Row],[Name]],表格3_5[[#This Row],[Location]])</f>
        <v/>
      </c>
      <c r="C743" s="211" t="str">
        <f>表格3_5[[#This Row],[Location]] &amp; 表格3_5[[#This Row],[Date]] &amp;表格3_5[[#This Row],[Nick Name]]</f>
        <v>0</v>
      </c>
      <c r="D743" s="202"/>
      <c r="E743" s="211" t="str">
        <f>DAY(表格3_5[[#This Row],[Date]])&amp;""</f>
        <v>0</v>
      </c>
      <c r="F743" s="203"/>
      <c r="G743" s="216">
        <f>_xlfn.XLOOKUP(表格3_5[[#This Row],[Name]],Name_list[Full Name],Name_list[Nick Name])</f>
        <v>0</v>
      </c>
      <c r="H743" s="207"/>
      <c r="I743" s="228"/>
      <c r="J743" s="218"/>
      <c r="K743" s="205"/>
      <c r="L743" s="210">
        <f>(表格3_5[[#This Row],[Out-Time]] - 表格3_5[[#This Row],[In-Time]])*24</f>
        <v>0</v>
      </c>
      <c r="M743" s="210">
        <f>表格3_5[[#This Row],[ Hours]]-表格3_5[[#This Row],[Normal working
 hours]]</f>
        <v>0</v>
      </c>
      <c r="N743" s="205"/>
      <c r="O743" s="205"/>
      <c r="P743" s="210">
        <f>(表格3_5[[#This Row],[Out-Time2]] - 表格3_5[[#This Row],[In-Time2]])*24</f>
        <v>0</v>
      </c>
      <c r="Q743" s="205"/>
      <c r="R743" s="214">
        <f>_xlfn.XLOOKUP(表格3_5[[#This Row],[Name]],Name_list[Full Name],Name_list[Hourr Rate])</f>
        <v>0</v>
      </c>
      <c r="S743" s="210">
        <f>表格3_5[[#This Row],[Hours Worked]]*表格3_5[[#This Row],[Hourly Rate]]</f>
        <v>0</v>
      </c>
    </row>
    <row r="744" spans="1:19">
      <c r="A744" s="201">
        <v>742</v>
      </c>
      <c r="B744" s="210" t="str">
        <f>_xlfn.CONCAT(表格3_5[[#This Row],[Name]],表格3_5[[#This Row],[Location]])</f>
        <v/>
      </c>
      <c r="C744" s="211" t="str">
        <f>表格3_5[[#This Row],[Location]] &amp; 表格3_5[[#This Row],[Date]] &amp;表格3_5[[#This Row],[Nick Name]]</f>
        <v>0</v>
      </c>
      <c r="D744" s="202"/>
      <c r="E744" s="211" t="str">
        <f>DAY(表格3_5[[#This Row],[Date]])&amp;""</f>
        <v>0</v>
      </c>
      <c r="F744" s="203"/>
      <c r="G744" s="216">
        <f>_xlfn.XLOOKUP(表格3_5[[#This Row],[Name]],Name_list[Full Name],Name_list[Nick Name])</f>
        <v>0</v>
      </c>
      <c r="H744" s="207"/>
      <c r="I744" s="228"/>
      <c r="J744" s="218"/>
      <c r="K744" s="205"/>
      <c r="L744" s="210">
        <f>(表格3_5[[#This Row],[Out-Time]] - 表格3_5[[#This Row],[In-Time]])*24</f>
        <v>0</v>
      </c>
      <c r="M744" s="210">
        <f>表格3_5[[#This Row],[ Hours]]-表格3_5[[#This Row],[Normal working
 hours]]</f>
        <v>0</v>
      </c>
      <c r="N744" s="205"/>
      <c r="O744" s="205"/>
      <c r="P744" s="210">
        <f>(表格3_5[[#This Row],[Out-Time2]] - 表格3_5[[#This Row],[In-Time2]])*24</f>
        <v>0</v>
      </c>
      <c r="Q744" s="205"/>
      <c r="R744" s="214">
        <f>_xlfn.XLOOKUP(表格3_5[[#This Row],[Name]],Name_list[Full Name],Name_list[Hourr Rate])</f>
        <v>0</v>
      </c>
      <c r="S744" s="210">
        <f>表格3_5[[#This Row],[Hours Worked]]*表格3_5[[#This Row],[Hourly Rate]]</f>
        <v>0</v>
      </c>
    </row>
    <row r="745" spans="1:19">
      <c r="A745" s="201">
        <v>743</v>
      </c>
      <c r="B745" s="210" t="str">
        <f>_xlfn.CONCAT(表格3_5[[#This Row],[Name]],表格3_5[[#This Row],[Location]])</f>
        <v/>
      </c>
      <c r="C745" s="211" t="str">
        <f>表格3_5[[#This Row],[Location]] &amp; 表格3_5[[#This Row],[Date]] &amp;表格3_5[[#This Row],[Nick Name]]</f>
        <v>0</v>
      </c>
      <c r="D745" s="202"/>
      <c r="E745" s="211" t="str">
        <f>DAY(表格3_5[[#This Row],[Date]])&amp;""</f>
        <v>0</v>
      </c>
      <c r="F745" s="203"/>
      <c r="G745" s="216">
        <f>_xlfn.XLOOKUP(表格3_5[[#This Row],[Name]],Name_list[Full Name],Name_list[Nick Name])</f>
        <v>0</v>
      </c>
      <c r="H745" s="207"/>
      <c r="I745" s="228"/>
      <c r="J745" s="218"/>
      <c r="K745" s="205"/>
      <c r="L745" s="210">
        <f>(表格3_5[[#This Row],[Out-Time]] - 表格3_5[[#This Row],[In-Time]])*24</f>
        <v>0</v>
      </c>
      <c r="M745" s="210">
        <f>表格3_5[[#This Row],[ Hours]]-表格3_5[[#This Row],[Normal working
 hours]]</f>
        <v>0</v>
      </c>
      <c r="N745" s="205"/>
      <c r="O745" s="205"/>
      <c r="P745" s="210">
        <f>(表格3_5[[#This Row],[Out-Time2]] - 表格3_5[[#This Row],[In-Time2]])*24</f>
        <v>0</v>
      </c>
      <c r="Q745" s="205"/>
      <c r="R745" s="214">
        <f>_xlfn.XLOOKUP(表格3_5[[#This Row],[Name]],Name_list[Full Name],Name_list[Hourr Rate])</f>
        <v>0</v>
      </c>
      <c r="S745" s="210">
        <f>表格3_5[[#This Row],[Hours Worked]]*表格3_5[[#This Row],[Hourly Rate]]</f>
        <v>0</v>
      </c>
    </row>
    <row r="746" spans="1:19">
      <c r="A746" s="201">
        <v>744</v>
      </c>
      <c r="B746" s="210" t="str">
        <f>_xlfn.CONCAT(表格3_5[[#This Row],[Name]],表格3_5[[#This Row],[Location]])</f>
        <v/>
      </c>
      <c r="C746" s="211" t="str">
        <f>表格3_5[[#This Row],[Location]] &amp; 表格3_5[[#This Row],[Date]] &amp;表格3_5[[#This Row],[Nick Name]]</f>
        <v>0</v>
      </c>
      <c r="D746" s="202"/>
      <c r="E746" s="211" t="str">
        <f>DAY(表格3_5[[#This Row],[Date]])&amp;""</f>
        <v>0</v>
      </c>
      <c r="F746" s="203"/>
      <c r="G746" s="216">
        <f>_xlfn.XLOOKUP(表格3_5[[#This Row],[Name]],Name_list[Full Name],Name_list[Nick Name])</f>
        <v>0</v>
      </c>
      <c r="H746" s="207"/>
      <c r="I746" s="228"/>
      <c r="J746" s="218"/>
      <c r="K746" s="205"/>
      <c r="L746" s="210">
        <f>(表格3_5[[#This Row],[Out-Time]] - 表格3_5[[#This Row],[In-Time]])*24</f>
        <v>0</v>
      </c>
      <c r="M746" s="210">
        <f>表格3_5[[#This Row],[ Hours]]-表格3_5[[#This Row],[Normal working
 hours]]</f>
        <v>0</v>
      </c>
      <c r="N746" s="205"/>
      <c r="O746" s="205"/>
      <c r="P746" s="210">
        <f>(表格3_5[[#This Row],[Out-Time2]] - 表格3_5[[#This Row],[In-Time2]])*24</f>
        <v>0</v>
      </c>
      <c r="Q746" s="205"/>
      <c r="R746" s="214">
        <f>_xlfn.XLOOKUP(表格3_5[[#This Row],[Name]],Name_list[Full Name],Name_list[Hourr Rate])</f>
        <v>0</v>
      </c>
      <c r="S746" s="210">
        <f>表格3_5[[#This Row],[Hours Worked]]*表格3_5[[#This Row],[Hourly Rate]]</f>
        <v>0</v>
      </c>
    </row>
    <row r="747" spans="1:19">
      <c r="A747" s="201">
        <v>745</v>
      </c>
      <c r="B747" s="210" t="str">
        <f>_xlfn.CONCAT(表格3_5[[#This Row],[Name]],表格3_5[[#This Row],[Location]])</f>
        <v/>
      </c>
      <c r="C747" s="211" t="str">
        <f>表格3_5[[#This Row],[Location]] &amp; 表格3_5[[#This Row],[Date]] &amp;表格3_5[[#This Row],[Nick Name]]</f>
        <v>0</v>
      </c>
      <c r="D747" s="202"/>
      <c r="E747" s="211" t="str">
        <f>DAY(表格3_5[[#This Row],[Date]])&amp;""</f>
        <v>0</v>
      </c>
      <c r="F747" s="203"/>
      <c r="G747" s="216">
        <f>_xlfn.XLOOKUP(表格3_5[[#This Row],[Name]],Name_list[Full Name],Name_list[Nick Name])</f>
        <v>0</v>
      </c>
      <c r="H747" s="207"/>
      <c r="I747" s="228"/>
      <c r="J747" s="218"/>
      <c r="K747" s="205"/>
      <c r="L747" s="210">
        <f>(表格3_5[[#This Row],[Out-Time]] - 表格3_5[[#This Row],[In-Time]])*24</f>
        <v>0</v>
      </c>
      <c r="M747" s="210">
        <f>表格3_5[[#This Row],[ Hours]]-表格3_5[[#This Row],[Normal working
 hours]]</f>
        <v>0</v>
      </c>
      <c r="N747" s="205"/>
      <c r="O747" s="205"/>
      <c r="P747" s="210">
        <f>(表格3_5[[#This Row],[Out-Time2]] - 表格3_5[[#This Row],[In-Time2]])*24</f>
        <v>0</v>
      </c>
      <c r="Q747" s="205"/>
      <c r="R747" s="214">
        <f>_xlfn.XLOOKUP(表格3_5[[#This Row],[Name]],Name_list[Full Name],Name_list[Hourr Rate])</f>
        <v>0</v>
      </c>
      <c r="S747" s="210">
        <f>表格3_5[[#This Row],[Hours Worked]]*表格3_5[[#This Row],[Hourly Rate]]</f>
        <v>0</v>
      </c>
    </row>
    <row r="748" spans="1:19">
      <c r="A748" s="201">
        <v>746</v>
      </c>
      <c r="B748" s="210" t="str">
        <f>_xlfn.CONCAT(表格3_5[[#This Row],[Name]],表格3_5[[#This Row],[Location]])</f>
        <v/>
      </c>
      <c r="C748" s="211" t="str">
        <f>表格3_5[[#This Row],[Location]] &amp; 表格3_5[[#This Row],[Date]] &amp;表格3_5[[#This Row],[Nick Name]]</f>
        <v>0</v>
      </c>
      <c r="D748" s="202"/>
      <c r="E748" s="211" t="str">
        <f>DAY(表格3_5[[#This Row],[Date]])&amp;""</f>
        <v>0</v>
      </c>
      <c r="F748" s="203"/>
      <c r="G748" s="216">
        <f>_xlfn.XLOOKUP(表格3_5[[#This Row],[Name]],Name_list[Full Name],Name_list[Nick Name])</f>
        <v>0</v>
      </c>
      <c r="H748" s="207"/>
      <c r="I748" s="228"/>
      <c r="J748" s="218"/>
      <c r="K748" s="205"/>
      <c r="L748" s="210">
        <f>(表格3_5[[#This Row],[Out-Time]] - 表格3_5[[#This Row],[In-Time]])*24</f>
        <v>0</v>
      </c>
      <c r="M748" s="210">
        <f>表格3_5[[#This Row],[ Hours]]-表格3_5[[#This Row],[Normal working
 hours]]</f>
        <v>0</v>
      </c>
      <c r="N748" s="205"/>
      <c r="O748" s="205"/>
      <c r="P748" s="210">
        <f>(表格3_5[[#This Row],[Out-Time2]] - 表格3_5[[#This Row],[In-Time2]])*24</f>
        <v>0</v>
      </c>
      <c r="Q748" s="205"/>
      <c r="R748" s="214">
        <f>_xlfn.XLOOKUP(表格3_5[[#This Row],[Name]],Name_list[Full Name],Name_list[Hourr Rate])</f>
        <v>0</v>
      </c>
      <c r="S748" s="210">
        <f>表格3_5[[#This Row],[Hours Worked]]*表格3_5[[#This Row],[Hourly Rate]]</f>
        <v>0</v>
      </c>
    </row>
    <row r="749" spans="1:19">
      <c r="A749" s="201">
        <v>747</v>
      </c>
      <c r="B749" s="210" t="str">
        <f>_xlfn.CONCAT(表格3_5[[#This Row],[Name]],表格3_5[[#This Row],[Location]])</f>
        <v/>
      </c>
      <c r="C749" s="211" t="str">
        <f>表格3_5[[#This Row],[Location]] &amp; 表格3_5[[#This Row],[Date]] &amp;表格3_5[[#This Row],[Nick Name]]</f>
        <v>0</v>
      </c>
      <c r="D749" s="202"/>
      <c r="E749" s="211" t="str">
        <f>DAY(表格3_5[[#This Row],[Date]])&amp;""</f>
        <v>0</v>
      </c>
      <c r="F749" s="203"/>
      <c r="G749" s="216">
        <f>_xlfn.XLOOKUP(表格3_5[[#This Row],[Name]],Name_list[Full Name],Name_list[Nick Name])</f>
        <v>0</v>
      </c>
      <c r="H749" s="207"/>
      <c r="I749" s="228"/>
      <c r="J749" s="218"/>
      <c r="K749" s="205"/>
      <c r="L749" s="210">
        <f>(表格3_5[[#This Row],[Out-Time]] - 表格3_5[[#This Row],[In-Time]])*24</f>
        <v>0</v>
      </c>
      <c r="M749" s="210">
        <f>表格3_5[[#This Row],[ Hours]]-表格3_5[[#This Row],[Normal working
 hours]]</f>
        <v>0</v>
      </c>
      <c r="N749" s="205"/>
      <c r="O749" s="205"/>
      <c r="P749" s="210">
        <f>(表格3_5[[#This Row],[Out-Time2]] - 表格3_5[[#This Row],[In-Time2]])*24</f>
        <v>0</v>
      </c>
      <c r="Q749" s="205"/>
      <c r="R749" s="214">
        <f>_xlfn.XLOOKUP(表格3_5[[#This Row],[Name]],Name_list[Full Name],Name_list[Hourr Rate])</f>
        <v>0</v>
      </c>
      <c r="S749" s="210">
        <f>表格3_5[[#This Row],[Hours Worked]]*表格3_5[[#This Row],[Hourly Rate]]</f>
        <v>0</v>
      </c>
    </row>
    <row r="750" spans="1:19">
      <c r="A750" s="201">
        <v>748</v>
      </c>
      <c r="B750" s="210" t="str">
        <f>_xlfn.CONCAT(表格3_5[[#This Row],[Name]],表格3_5[[#This Row],[Location]])</f>
        <v/>
      </c>
      <c r="C750" s="211" t="str">
        <f>表格3_5[[#This Row],[Location]] &amp; 表格3_5[[#This Row],[Date]] &amp;表格3_5[[#This Row],[Nick Name]]</f>
        <v>0</v>
      </c>
      <c r="D750" s="202"/>
      <c r="E750" s="211" t="str">
        <f>DAY(表格3_5[[#This Row],[Date]])&amp;""</f>
        <v>0</v>
      </c>
      <c r="F750" s="203"/>
      <c r="G750" s="216">
        <f>_xlfn.XLOOKUP(表格3_5[[#This Row],[Name]],Name_list[Full Name],Name_list[Nick Name])</f>
        <v>0</v>
      </c>
      <c r="H750" s="207"/>
      <c r="I750" s="228"/>
      <c r="J750" s="218"/>
      <c r="K750" s="205"/>
      <c r="L750" s="210">
        <f>(表格3_5[[#This Row],[Out-Time]] - 表格3_5[[#This Row],[In-Time]])*24</f>
        <v>0</v>
      </c>
      <c r="M750" s="210">
        <f>表格3_5[[#This Row],[ Hours]]-表格3_5[[#This Row],[Normal working
 hours]]</f>
        <v>0</v>
      </c>
      <c r="N750" s="205"/>
      <c r="O750" s="205"/>
      <c r="P750" s="210">
        <f>(表格3_5[[#This Row],[Out-Time2]] - 表格3_5[[#This Row],[In-Time2]])*24</f>
        <v>0</v>
      </c>
      <c r="Q750" s="205"/>
      <c r="R750" s="214">
        <f>_xlfn.XLOOKUP(表格3_5[[#This Row],[Name]],Name_list[Full Name],Name_list[Hourr Rate])</f>
        <v>0</v>
      </c>
      <c r="S750" s="210">
        <f>表格3_5[[#This Row],[Hours Worked]]*表格3_5[[#This Row],[Hourly Rate]]</f>
        <v>0</v>
      </c>
    </row>
    <row r="751" spans="1:19">
      <c r="A751" s="201">
        <v>749</v>
      </c>
      <c r="B751" s="210" t="str">
        <f>_xlfn.CONCAT(表格3_5[[#This Row],[Name]],表格3_5[[#This Row],[Location]])</f>
        <v/>
      </c>
      <c r="C751" s="211" t="str">
        <f>表格3_5[[#This Row],[Location]] &amp; 表格3_5[[#This Row],[Date]] &amp;表格3_5[[#This Row],[Nick Name]]</f>
        <v>0</v>
      </c>
      <c r="D751" s="202"/>
      <c r="E751" s="211" t="str">
        <f>DAY(表格3_5[[#This Row],[Date]])&amp;""</f>
        <v>0</v>
      </c>
      <c r="F751" s="203"/>
      <c r="G751" s="216">
        <f>_xlfn.XLOOKUP(表格3_5[[#This Row],[Name]],Name_list[Full Name],Name_list[Nick Name])</f>
        <v>0</v>
      </c>
      <c r="H751" s="207"/>
      <c r="I751" s="228"/>
      <c r="J751" s="218"/>
      <c r="K751" s="205"/>
      <c r="L751" s="210">
        <f>(表格3_5[[#This Row],[Out-Time]] - 表格3_5[[#This Row],[In-Time]])*24</f>
        <v>0</v>
      </c>
      <c r="M751" s="210">
        <f>表格3_5[[#This Row],[ Hours]]-表格3_5[[#This Row],[Normal working
 hours]]</f>
        <v>0</v>
      </c>
      <c r="N751" s="205"/>
      <c r="O751" s="205"/>
      <c r="P751" s="210">
        <f>(表格3_5[[#This Row],[Out-Time2]] - 表格3_5[[#This Row],[In-Time2]])*24</f>
        <v>0</v>
      </c>
      <c r="Q751" s="205"/>
      <c r="R751" s="214">
        <f>_xlfn.XLOOKUP(表格3_5[[#This Row],[Name]],Name_list[Full Name],Name_list[Hourr Rate])</f>
        <v>0</v>
      </c>
      <c r="S751" s="210">
        <f>表格3_5[[#This Row],[Hours Worked]]*表格3_5[[#This Row],[Hourly Rate]]</f>
        <v>0</v>
      </c>
    </row>
    <row r="752" spans="1:19">
      <c r="A752" s="201">
        <v>750</v>
      </c>
      <c r="B752" s="210" t="str">
        <f>_xlfn.CONCAT(表格3_5[[#This Row],[Name]],表格3_5[[#This Row],[Location]])</f>
        <v/>
      </c>
      <c r="C752" s="211" t="str">
        <f>表格3_5[[#This Row],[Location]] &amp; 表格3_5[[#This Row],[Date]] &amp;表格3_5[[#This Row],[Nick Name]]</f>
        <v>0</v>
      </c>
      <c r="D752" s="202"/>
      <c r="E752" s="211" t="str">
        <f>DAY(表格3_5[[#This Row],[Date]])&amp;""</f>
        <v>0</v>
      </c>
      <c r="F752" s="203"/>
      <c r="G752" s="216">
        <f>_xlfn.XLOOKUP(表格3_5[[#This Row],[Name]],Name_list[Full Name],Name_list[Nick Name])</f>
        <v>0</v>
      </c>
      <c r="H752" s="207"/>
      <c r="I752" s="228"/>
      <c r="J752" s="218"/>
      <c r="K752" s="205"/>
      <c r="L752" s="210">
        <f>(表格3_5[[#This Row],[Out-Time]] - 表格3_5[[#This Row],[In-Time]])*24</f>
        <v>0</v>
      </c>
      <c r="M752" s="210">
        <f>表格3_5[[#This Row],[ Hours]]-表格3_5[[#This Row],[Normal working
 hours]]</f>
        <v>0</v>
      </c>
      <c r="N752" s="205"/>
      <c r="O752" s="205"/>
      <c r="P752" s="210">
        <f>(表格3_5[[#This Row],[Out-Time2]] - 表格3_5[[#This Row],[In-Time2]])*24</f>
        <v>0</v>
      </c>
      <c r="Q752" s="205"/>
      <c r="R752" s="214">
        <f>_xlfn.XLOOKUP(表格3_5[[#This Row],[Name]],Name_list[Full Name],Name_list[Hourr Rate])</f>
        <v>0</v>
      </c>
      <c r="S752" s="210">
        <f>表格3_5[[#This Row],[Hours Worked]]*表格3_5[[#This Row],[Hourly Rate]]</f>
        <v>0</v>
      </c>
    </row>
    <row r="753" spans="1:19">
      <c r="A753" s="201">
        <v>751</v>
      </c>
      <c r="B753" s="210" t="str">
        <f>_xlfn.CONCAT(表格3_5[[#This Row],[Name]],表格3_5[[#This Row],[Location]])</f>
        <v/>
      </c>
      <c r="C753" s="211" t="str">
        <f>表格3_5[[#This Row],[Location]] &amp; 表格3_5[[#This Row],[Date]] &amp;表格3_5[[#This Row],[Nick Name]]</f>
        <v>0</v>
      </c>
      <c r="D753" s="202"/>
      <c r="E753" s="211" t="str">
        <f>DAY(表格3_5[[#This Row],[Date]])&amp;""</f>
        <v>0</v>
      </c>
      <c r="F753" s="203"/>
      <c r="G753" s="216">
        <f>_xlfn.XLOOKUP(表格3_5[[#This Row],[Name]],Name_list[Full Name],Name_list[Nick Name])</f>
        <v>0</v>
      </c>
      <c r="H753" s="207"/>
      <c r="I753" s="228"/>
      <c r="J753" s="218"/>
      <c r="K753" s="205"/>
      <c r="L753" s="210">
        <f>(表格3_5[[#This Row],[Out-Time]] - 表格3_5[[#This Row],[In-Time]])*24</f>
        <v>0</v>
      </c>
      <c r="M753" s="210">
        <f>表格3_5[[#This Row],[ Hours]]-表格3_5[[#This Row],[Normal working
 hours]]</f>
        <v>0</v>
      </c>
      <c r="N753" s="205"/>
      <c r="O753" s="205"/>
      <c r="P753" s="210">
        <f>(表格3_5[[#This Row],[Out-Time2]] - 表格3_5[[#This Row],[In-Time2]])*24</f>
        <v>0</v>
      </c>
      <c r="Q753" s="205"/>
      <c r="R753" s="214">
        <f>_xlfn.XLOOKUP(表格3_5[[#This Row],[Name]],Name_list[Full Name],Name_list[Hourr Rate])</f>
        <v>0</v>
      </c>
      <c r="S753" s="210">
        <f>表格3_5[[#This Row],[Hours Worked]]*表格3_5[[#This Row],[Hourly Rate]]</f>
        <v>0</v>
      </c>
    </row>
    <row r="754" spans="1:19">
      <c r="A754" s="201">
        <v>752</v>
      </c>
      <c r="B754" s="210" t="str">
        <f>_xlfn.CONCAT(表格3_5[[#This Row],[Name]],表格3_5[[#This Row],[Location]])</f>
        <v/>
      </c>
      <c r="C754" s="211" t="str">
        <f>表格3_5[[#This Row],[Location]] &amp; 表格3_5[[#This Row],[Date]] &amp;表格3_5[[#This Row],[Nick Name]]</f>
        <v>0</v>
      </c>
      <c r="D754" s="202"/>
      <c r="E754" s="211" t="str">
        <f>DAY(表格3_5[[#This Row],[Date]])&amp;""</f>
        <v>0</v>
      </c>
      <c r="F754" s="203"/>
      <c r="G754" s="216">
        <f>_xlfn.XLOOKUP(表格3_5[[#This Row],[Name]],Name_list[Full Name],Name_list[Nick Name])</f>
        <v>0</v>
      </c>
      <c r="H754" s="207"/>
      <c r="I754" s="228"/>
      <c r="J754" s="218"/>
      <c r="K754" s="205"/>
      <c r="L754" s="210">
        <f>(表格3_5[[#This Row],[Out-Time]] - 表格3_5[[#This Row],[In-Time]])*24</f>
        <v>0</v>
      </c>
      <c r="M754" s="210">
        <f>表格3_5[[#This Row],[ Hours]]-表格3_5[[#This Row],[Normal working
 hours]]</f>
        <v>0</v>
      </c>
      <c r="N754" s="205"/>
      <c r="O754" s="205"/>
      <c r="P754" s="210">
        <f>(表格3_5[[#This Row],[Out-Time2]] - 表格3_5[[#This Row],[In-Time2]])*24</f>
        <v>0</v>
      </c>
      <c r="Q754" s="205"/>
      <c r="R754" s="214">
        <f>_xlfn.XLOOKUP(表格3_5[[#This Row],[Name]],Name_list[Full Name],Name_list[Hourr Rate])</f>
        <v>0</v>
      </c>
      <c r="S754" s="210">
        <f>表格3_5[[#This Row],[Hours Worked]]*表格3_5[[#This Row],[Hourly Rate]]</f>
        <v>0</v>
      </c>
    </row>
    <row r="755" spans="1:19">
      <c r="A755" s="201">
        <v>753</v>
      </c>
      <c r="B755" s="210" t="str">
        <f>_xlfn.CONCAT(表格3_5[[#This Row],[Name]],表格3_5[[#This Row],[Location]])</f>
        <v/>
      </c>
      <c r="C755" s="211" t="str">
        <f>表格3_5[[#This Row],[Location]] &amp; 表格3_5[[#This Row],[Date]] &amp;表格3_5[[#This Row],[Nick Name]]</f>
        <v>0</v>
      </c>
      <c r="D755" s="202"/>
      <c r="E755" s="211" t="str">
        <f>DAY(表格3_5[[#This Row],[Date]])&amp;""</f>
        <v>0</v>
      </c>
      <c r="F755" s="203"/>
      <c r="G755" s="216">
        <f>_xlfn.XLOOKUP(表格3_5[[#This Row],[Name]],Name_list[Full Name],Name_list[Nick Name])</f>
        <v>0</v>
      </c>
      <c r="H755" s="207"/>
      <c r="I755" s="228"/>
      <c r="J755" s="218"/>
      <c r="K755" s="205"/>
      <c r="L755" s="210">
        <f>(表格3_5[[#This Row],[Out-Time]] - 表格3_5[[#This Row],[In-Time]])*24</f>
        <v>0</v>
      </c>
      <c r="M755" s="210">
        <f>表格3_5[[#This Row],[ Hours]]-表格3_5[[#This Row],[Normal working
 hours]]</f>
        <v>0</v>
      </c>
      <c r="N755" s="205"/>
      <c r="O755" s="205"/>
      <c r="P755" s="210">
        <f>(表格3_5[[#This Row],[Out-Time2]] - 表格3_5[[#This Row],[In-Time2]])*24</f>
        <v>0</v>
      </c>
      <c r="Q755" s="205"/>
      <c r="R755" s="214">
        <f>_xlfn.XLOOKUP(表格3_5[[#This Row],[Name]],Name_list[Full Name],Name_list[Hourr Rate])</f>
        <v>0</v>
      </c>
      <c r="S755" s="210">
        <f>表格3_5[[#This Row],[Hours Worked]]*表格3_5[[#This Row],[Hourly Rate]]</f>
        <v>0</v>
      </c>
    </row>
    <row r="756" spans="1:19">
      <c r="A756" s="201">
        <v>754</v>
      </c>
      <c r="B756" s="210" t="str">
        <f>_xlfn.CONCAT(表格3_5[[#This Row],[Name]],表格3_5[[#This Row],[Location]])</f>
        <v/>
      </c>
      <c r="C756" s="211" t="str">
        <f>表格3_5[[#This Row],[Location]] &amp; 表格3_5[[#This Row],[Date]] &amp;表格3_5[[#This Row],[Nick Name]]</f>
        <v>0</v>
      </c>
      <c r="D756" s="202"/>
      <c r="E756" s="211" t="str">
        <f>DAY(表格3_5[[#This Row],[Date]])&amp;""</f>
        <v>0</v>
      </c>
      <c r="F756" s="203"/>
      <c r="G756" s="216">
        <f>_xlfn.XLOOKUP(表格3_5[[#This Row],[Name]],Name_list[Full Name],Name_list[Nick Name])</f>
        <v>0</v>
      </c>
      <c r="H756" s="207"/>
      <c r="I756" s="228"/>
      <c r="J756" s="218"/>
      <c r="K756" s="205"/>
      <c r="L756" s="210">
        <f>(表格3_5[[#This Row],[Out-Time]] - 表格3_5[[#This Row],[In-Time]])*24</f>
        <v>0</v>
      </c>
      <c r="M756" s="210">
        <f>表格3_5[[#This Row],[ Hours]]-表格3_5[[#This Row],[Normal working
 hours]]</f>
        <v>0</v>
      </c>
      <c r="N756" s="205"/>
      <c r="O756" s="205"/>
      <c r="P756" s="210">
        <f>(表格3_5[[#This Row],[Out-Time2]] - 表格3_5[[#This Row],[In-Time2]])*24</f>
        <v>0</v>
      </c>
      <c r="Q756" s="205"/>
      <c r="R756" s="214">
        <f>_xlfn.XLOOKUP(表格3_5[[#This Row],[Name]],Name_list[Full Name],Name_list[Hourr Rate])</f>
        <v>0</v>
      </c>
      <c r="S756" s="210">
        <f>表格3_5[[#This Row],[Hours Worked]]*表格3_5[[#This Row],[Hourly Rate]]</f>
        <v>0</v>
      </c>
    </row>
    <row r="757" spans="1:19">
      <c r="A757" s="201">
        <v>755</v>
      </c>
      <c r="B757" s="210" t="str">
        <f>_xlfn.CONCAT(表格3_5[[#This Row],[Name]],表格3_5[[#This Row],[Location]])</f>
        <v/>
      </c>
      <c r="C757" s="211" t="str">
        <f>表格3_5[[#This Row],[Location]] &amp; 表格3_5[[#This Row],[Date]] &amp;表格3_5[[#This Row],[Nick Name]]</f>
        <v>0</v>
      </c>
      <c r="D757" s="202"/>
      <c r="E757" s="211" t="str">
        <f>DAY(表格3_5[[#This Row],[Date]])&amp;""</f>
        <v>0</v>
      </c>
      <c r="F757" s="203"/>
      <c r="G757" s="216">
        <f>_xlfn.XLOOKUP(表格3_5[[#This Row],[Name]],Name_list[Full Name],Name_list[Nick Name])</f>
        <v>0</v>
      </c>
      <c r="H757" s="207"/>
      <c r="I757" s="228"/>
      <c r="J757" s="218"/>
      <c r="K757" s="205"/>
      <c r="L757" s="210">
        <f>(表格3_5[[#This Row],[Out-Time]] - 表格3_5[[#This Row],[In-Time]])*24</f>
        <v>0</v>
      </c>
      <c r="M757" s="210">
        <f>表格3_5[[#This Row],[ Hours]]-表格3_5[[#This Row],[Normal working
 hours]]</f>
        <v>0</v>
      </c>
      <c r="N757" s="205"/>
      <c r="O757" s="205"/>
      <c r="P757" s="210">
        <f>(表格3_5[[#This Row],[Out-Time2]] - 表格3_5[[#This Row],[In-Time2]])*24</f>
        <v>0</v>
      </c>
      <c r="Q757" s="205"/>
      <c r="R757" s="214">
        <f>_xlfn.XLOOKUP(表格3_5[[#This Row],[Name]],Name_list[Full Name],Name_list[Hourr Rate])</f>
        <v>0</v>
      </c>
      <c r="S757" s="210">
        <f>表格3_5[[#This Row],[Hours Worked]]*表格3_5[[#This Row],[Hourly Rate]]</f>
        <v>0</v>
      </c>
    </row>
    <row r="758" spans="1:19">
      <c r="A758" s="201">
        <v>756</v>
      </c>
      <c r="B758" s="210" t="str">
        <f>_xlfn.CONCAT(表格3_5[[#This Row],[Name]],表格3_5[[#This Row],[Location]])</f>
        <v/>
      </c>
      <c r="C758" s="211" t="str">
        <f>表格3_5[[#This Row],[Location]] &amp; 表格3_5[[#This Row],[Date]] &amp;表格3_5[[#This Row],[Nick Name]]</f>
        <v>0</v>
      </c>
      <c r="D758" s="202"/>
      <c r="E758" s="211" t="str">
        <f>DAY(表格3_5[[#This Row],[Date]])&amp;""</f>
        <v>0</v>
      </c>
      <c r="F758" s="203"/>
      <c r="G758" s="216">
        <f>_xlfn.XLOOKUP(表格3_5[[#This Row],[Name]],Name_list[Full Name],Name_list[Nick Name])</f>
        <v>0</v>
      </c>
      <c r="H758" s="207"/>
      <c r="I758" s="228"/>
      <c r="J758" s="218"/>
      <c r="K758" s="205"/>
      <c r="L758" s="210">
        <f>(表格3_5[[#This Row],[Out-Time]] - 表格3_5[[#This Row],[In-Time]])*24</f>
        <v>0</v>
      </c>
      <c r="M758" s="210">
        <f>表格3_5[[#This Row],[ Hours]]-表格3_5[[#This Row],[Normal working
 hours]]</f>
        <v>0</v>
      </c>
      <c r="N758" s="205"/>
      <c r="O758" s="205"/>
      <c r="P758" s="210">
        <f>(表格3_5[[#This Row],[Out-Time2]] - 表格3_5[[#This Row],[In-Time2]])*24</f>
        <v>0</v>
      </c>
      <c r="Q758" s="205"/>
      <c r="R758" s="214">
        <f>_xlfn.XLOOKUP(表格3_5[[#This Row],[Name]],Name_list[Full Name],Name_list[Hourr Rate])</f>
        <v>0</v>
      </c>
      <c r="S758" s="210">
        <f>表格3_5[[#This Row],[Hours Worked]]*表格3_5[[#This Row],[Hourly Rate]]</f>
        <v>0</v>
      </c>
    </row>
    <row r="759" spans="1:19">
      <c r="A759" s="201">
        <v>757</v>
      </c>
      <c r="B759" s="210" t="str">
        <f>_xlfn.CONCAT(表格3_5[[#This Row],[Name]],表格3_5[[#This Row],[Location]])</f>
        <v/>
      </c>
      <c r="C759" s="211" t="str">
        <f>表格3_5[[#This Row],[Location]] &amp; 表格3_5[[#This Row],[Date]] &amp;表格3_5[[#This Row],[Nick Name]]</f>
        <v>0</v>
      </c>
      <c r="D759" s="202"/>
      <c r="E759" s="211" t="str">
        <f>DAY(表格3_5[[#This Row],[Date]])&amp;""</f>
        <v>0</v>
      </c>
      <c r="F759" s="203"/>
      <c r="G759" s="216">
        <f>_xlfn.XLOOKUP(表格3_5[[#This Row],[Name]],Name_list[Full Name],Name_list[Nick Name])</f>
        <v>0</v>
      </c>
      <c r="H759" s="207"/>
      <c r="I759" s="228"/>
      <c r="J759" s="218"/>
      <c r="K759" s="205"/>
      <c r="L759" s="210">
        <f>(表格3_5[[#This Row],[Out-Time]] - 表格3_5[[#This Row],[In-Time]])*24</f>
        <v>0</v>
      </c>
      <c r="M759" s="210">
        <f>表格3_5[[#This Row],[ Hours]]-表格3_5[[#This Row],[Normal working
 hours]]</f>
        <v>0</v>
      </c>
      <c r="N759" s="205"/>
      <c r="O759" s="205"/>
      <c r="P759" s="210">
        <f>(表格3_5[[#This Row],[Out-Time2]] - 表格3_5[[#This Row],[In-Time2]])*24</f>
        <v>0</v>
      </c>
      <c r="Q759" s="205"/>
      <c r="R759" s="214">
        <f>_xlfn.XLOOKUP(表格3_5[[#This Row],[Name]],Name_list[Full Name],Name_list[Hourr Rate])</f>
        <v>0</v>
      </c>
      <c r="S759" s="210">
        <f>表格3_5[[#This Row],[Hours Worked]]*表格3_5[[#This Row],[Hourly Rate]]</f>
        <v>0</v>
      </c>
    </row>
    <row r="760" spans="1:19">
      <c r="A760" s="201">
        <v>758</v>
      </c>
      <c r="B760" s="210" t="str">
        <f>_xlfn.CONCAT(表格3_5[[#This Row],[Name]],表格3_5[[#This Row],[Location]])</f>
        <v/>
      </c>
      <c r="C760" s="211" t="str">
        <f>表格3_5[[#This Row],[Location]] &amp; 表格3_5[[#This Row],[Date]] &amp;表格3_5[[#This Row],[Nick Name]]</f>
        <v>0</v>
      </c>
      <c r="D760" s="202"/>
      <c r="E760" s="211" t="str">
        <f>DAY(表格3_5[[#This Row],[Date]])&amp;""</f>
        <v>0</v>
      </c>
      <c r="F760" s="203"/>
      <c r="G760" s="216">
        <f>_xlfn.XLOOKUP(表格3_5[[#This Row],[Name]],Name_list[Full Name],Name_list[Nick Name])</f>
        <v>0</v>
      </c>
      <c r="H760" s="207"/>
      <c r="I760" s="228"/>
      <c r="J760" s="218"/>
      <c r="K760" s="205"/>
      <c r="L760" s="210">
        <f>(表格3_5[[#This Row],[Out-Time]] - 表格3_5[[#This Row],[In-Time]])*24</f>
        <v>0</v>
      </c>
      <c r="M760" s="210">
        <f>表格3_5[[#This Row],[ Hours]]-表格3_5[[#This Row],[Normal working
 hours]]</f>
        <v>0</v>
      </c>
      <c r="N760" s="205"/>
      <c r="O760" s="205"/>
      <c r="P760" s="210">
        <f>(表格3_5[[#This Row],[Out-Time2]] - 表格3_5[[#This Row],[In-Time2]])*24</f>
        <v>0</v>
      </c>
      <c r="Q760" s="205"/>
      <c r="R760" s="214">
        <f>_xlfn.XLOOKUP(表格3_5[[#This Row],[Name]],Name_list[Full Name],Name_list[Hourr Rate])</f>
        <v>0</v>
      </c>
      <c r="S760" s="210">
        <f>表格3_5[[#This Row],[Hours Worked]]*表格3_5[[#This Row],[Hourly Rate]]</f>
        <v>0</v>
      </c>
    </row>
    <row r="761" spans="1:19">
      <c r="A761" s="201">
        <v>759</v>
      </c>
      <c r="B761" s="210" t="str">
        <f>_xlfn.CONCAT(表格3_5[[#This Row],[Name]],表格3_5[[#This Row],[Location]])</f>
        <v/>
      </c>
      <c r="C761" s="211" t="str">
        <f>表格3_5[[#This Row],[Location]] &amp; 表格3_5[[#This Row],[Date]] &amp;表格3_5[[#This Row],[Nick Name]]</f>
        <v>0</v>
      </c>
      <c r="D761" s="202"/>
      <c r="E761" s="211" t="str">
        <f>DAY(表格3_5[[#This Row],[Date]])&amp;""</f>
        <v>0</v>
      </c>
      <c r="F761" s="203"/>
      <c r="G761" s="216">
        <f>_xlfn.XLOOKUP(表格3_5[[#This Row],[Name]],Name_list[Full Name],Name_list[Nick Name])</f>
        <v>0</v>
      </c>
      <c r="H761" s="207"/>
      <c r="I761" s="228"/>
      <c r="J761" s="218"/>
      <c r="K761" s="205"/>
      <c r="L761" s="210">
        <f>(表格3_5[[#This Row],[Out-Time]] - 表格3_5[[#This Row],[In-Time]])*24</f>
        <v>0</v>
      </c>
      <c r="M761" s="210">
        <f>表格3_5[[#This Row],[ Hours]]-表格3_5[[#This Row],[Normal working
 hours]]</f>
        <v>0</v>
      </c>
      <c r="N761" s="205"/>
      <c r="O761" s="205"/>
      <c r="P761" s="210">
        <f>(表格3_5[[#This Row],[Out-Time2]] - 表格3_5[[#This Row],[In-Time2]])*24</f>
        <v>0</v>
      </c>
      <c r="Q761" s="205"/>
      <c r="R761" s="214">
        <f>_xlfn.XLOOKUP(表格3_5[[#This Row],[Name]],Name_list[Full Name],Name_list[Hourr Rate])</f>
        <v>0</v>
      </c>
      <c r="S761" s="210">
        <f>表格3_5[[#This Row],[Hours Worked]]*表格3_5[[#This Row],[Hourly Rate]]</f>
        <v>0</v>
      </c>
    </row>
    <row r="762" spans="1:19">
      <c r="A762" s="201">
        <v>760</v>
      </c>
      <c r="B762" s="210" t="str">
        <f>_xlfn.CONCAT(表格3_5[[#This Row],[Name]],表格3_5[[#This Row],[Location]])</f>
        <v/>
      </c>
      <c r="C762" s="211" t="str">
        <f>表格3_5[[#This Row],[Location]] &amp; 表格3_5[[#This Row],[Date]] &amp;表格3_5[[#This Row],[Nick Name]]</f>
        <v>0</v>
      </c>
      <c r="D762" s="202"/>
      <c r="E762" s="211" t="str">
        <f>DAY(表格3_5[[#This Row],[Date]])&amp;""</f>
        <v>0</v>
      </c>
      <c r="F762" s="203"/>
      <c r="G762" s="216">
        <f>_xlfn.XLOOKUP(表格3_5[[#This Row],[Name]],Name_list[Full Name],Name_list[Nick Name])</f>
        <v>0</v>
      </c>
      <c r="H762" s="207"/>
      <c r="I762" s="228"/>
      <c r="J762" s="218"/>
      <c r="K762" s="205"/>
      <c r="L762" s="210">
        <f>(表格3_5[[#This Row],[Out-Time]] - 表格3_5[[#This Row],[In-Time]])*24</f>
        <v>0</v>
      </c>
      <c r="M762" s="210">
        <f>表格3_5[[#This Row],[ Hours]]-表格3_5[[#This Row],[Normal working
 hours]]</f>
        <v>0</v>
      </c>
      <c r="N762" s="205"/>
      <c r="O762" s="205"/>
      <c r="P762" s="210">
        <f>(表格3_5[[#This Row],[Out-Time2]] - 表格3_5[[#This Row],[In-Time2]])*24</f>
        <v>0</v>
      </c>
      <c r="Q762" s="205"/>
      <c r="R762" s="214">
        <f>_xlfn.XLOOKUP(表格3_5[[#This Row],[Name]],Name_list[Full Name],Name_list[Hourr Rate])</f>
        <v>0</v>
      </c>
      <c r="S762" s="210">
        <f>表格3_5[[#This Row],[Hours Worked]]*表格3_5[[#This Row],[Hourly Rate]]</f>
        <v>0</v>
      </c>
    </row>
    <row r="763" spans="1:19">
      <c r="A763" s="201">
        <v>761</v>
      </c>
      <c r="B763" s="210" t="str">
        <f>_xlfn.CONCAT(表格3_5[[#This Row],[Name]],表格3_5[[#This Row],[Location]])</f>
        <v/>
      </c>
      <c r="C763" s="211" t="str">
        <f>表格3_5[[#This Row],[Location]] &amp; 表格3_5[[#This Row],[Date]] &amp;表格3_5[[#This Row],[Nick Name]]</f>
        <v>0</v>
      </c>
      <c r="D763" s="202"/>
      <c r="E763" s="211" t="str">
        <f>DAY(表格3_5[[#This Row],[Date]])&amp;""</f>
        <v>0</v>
      </c>
      <c r="F763" s="203"/>
      <c r="G763" s="216">
        <f>_xlfn.XLOOKUP(表格3_5[[#This Row],[Name]],Name_list[Full Name],Name_list[Nick Name])</f>
        <v>0</v>
      </c>
      <c r="H763" s="207"/>
      <c r="I763" s="228"/>
      <c r="J763" s="218"/>
      <c r="K763" s="205"/>
      <c r="L763" s="210">
        <f>(表格3_5[[#This Row],[Out-Time]] - 表格3_5[[#This Row],[In-Time]])*24</f>
        <v>0</v>
      </c>
      <c r="M763" s="210">
        <f>表格3_5[[#This Row],[ Hours]]-表格3_5[[#This Row],[Normal working
 hours]]</f>
        <v>0</v>
      </c>
      <c r="N763" s="205"/>
      <c r="O763" s="205"/>
      <c r="P763" s="210">
        <f>(表格3_5[[#This Row],[Out-Time2]] - 表格3_5[[#This Row],[In-Time2]])*24</f>
        <v>0</v>
      </c>
      <c r="Q763" s="205"/>
      <c r="R763" s="214">
        <f>_xlfn.XLOOKUP(表格3_5[[#This Row],[Name]],Name_list[Full Name],Name_list[Hourr Rate])</f>
        <v>0</v>
      </c>
      <c r="S763" s="210">
        <f>表格3_5[[#This Row],[Hours Worked]]*表格3_5[[#This Row],[Hourly Rate]]</f>
        <v>0</v>
      </c>
    </row>
    <row r="764" spans="1:19">
      <c r="A764" s="201">
        <v>762</v>
      </c>
      <c r="B764" s="210" t="str">
        <f>_xlfn.CONCAT(表格3_5[[#This Row],[Name]],表格3_5[[#This Row],[Location]])</f>
        <v/>
      </c>
      <c r="C764" s="211" t="str">
        <f>表格3_5[[#This Row],[Location]] &amp; 表格3_5[[#This Row],[Date]] &amp;表格3_5[[#This Row],[Nick Name]]</f>
        <v>0</v>
      </c>
      <c r="D764" s="202"/>
      <c r="E764" s="211" t="str">
        <f>DAY(表格3_5[[#This Row],[Date]])&amp;""</f>
        <v>0</v>
      </c>
      <c r="F764" s="203"/>
      <c r="G764" s="216">
        <f>_xlfn.XLOOKUP(表格3_5[[#This Row],[Name]],Name_list[Full Name],Name_list[Nick Name])</f>
        <v>0</v>
      </c>
      <c r="H764" s="207"/>
      <c r="I764" s="228"/>
      <c r="J764" s="218"/>
      <c r="K764" s="205"/>
      <c r="L764" s="210">
        <f>(表格3_5[[#This Row],[Out-Time]] - 表格3_5[[#This Row],[In-Time]])*24</f>
        <v>0</v>
      </c>
      <c r="M764" s="210">
        <f>表格3_5[[#This Row],[ Hours]]-表格3_5[[#This Row],[Normal working
 hours]]</f>
        <v>0</v>
      </c>
      <c r="N764" s="205"/>
      <c r="O764" s="205"/>
      <c r="P764" s="210">
        <f>(表格3_5[[#This Row],[Out-Time2]] - 表格3_5[[#This Row],[In-Time2]])*24</f>
        <v>0</v>
      </c>
      <c r="Q764" s="205"/>
      <c r="R764" s="214">
        <f>_xlfn.XLOOKUP(表格3_5[[#This Row],[Name]],Name_list[Full Name],Name_list[Hourr Rate])</f>
        <v>0</v>
      </c>
      <c r="S764" s="210">
        <f>表格3_5[[#This Row],[Hours Worked]]*表格3_5[[#This Row],[Hourly Rate]]</f>
        <v>0</v>
      </c>
    </row>
    <row r="765" spans="1:19">
      <c r="A765" s="201">
        <v>763</v>
      </c>
      <c r="B765" s="210" t="str">
        <f>_xlfn.CONCAT(表格3_5[[#This Row],[Name]],表格3_5[[#This Row],[Location]])</f>
        <v/>
      </c>
      <c r="C765" s="211" t="str">
        <f>表格3_5[[#This Row],[Location]] &amp; 表格3_5[[#This Row],[Date]] &amp;表格3_5[[#This Row],[Nick Name]]</f>
        <v>0</v>
      </c>
      <c r="D765" s="202"/>
      <c r="E765" s="211" t="str">
        <f>DAY(表格3_5[[#This Row],[Date]])&amp;""</f>
        <v>0</v>
      </c>
      <c r="F765" s="203"/>
      <c r="G765" s="216">
        <f>_xlfn.XLOOKUP(表格3_5[[#This Row],[Name]],Name_list[Full Name],Name_list[Nick Name])</f>
        <v>0</v>
      </c>
      <c r="H765" s="207"/>
      <c r="I765" s="228"/>
      <c r="J765" s="218"/>
      <c r="K765" s="205"/>
      <c r="L765" s="210">
        <f>(表格3_5[[#This Row],[Out-Time]] - 表格3_5[[#This Row],[In-Time]])*24</f>
        <v>0</v>
      </c>
      <c r="M765" s="210">
        <f>表格3_5[[#This Row],[ Hours]]-表格3_5[[#This Row],[Normal working
 hours]]</f>
        <v>0</v>
      </c>
      <c r="N765" s="205"/>
      <c r="O765" s="205"/>
      <c r="P765" s="210">
        <f>(表格3_5[[#This Row],[Out-Time2]] - 表格3_5[[#This Row],[In-Time2]])*24</f>
        <v>0</v>
      </c>
      <c r="Q765" s="205"/>
      <c r="R765" s="214">
        <f>_xlfn.XLOOKUP(表格3_5[[#This Row],[Name]],Name_list[Full Name],Name_list[Hourr Rate])</f>
        <v>0</v>
      </c>
      <c r="S765" s="210">
        <f>表格3_5[[#This Row],[Hours Worked]]*表格3_5[[#This Row],[Hourly Rate]]</f>
        <v>0</v>
      </c>
    </row>
    <row r="766" spans="1:19">
      <c r="A766" s="201">
        <v>764</v>
      </c>
      <c r="B766" s="210" t="str">
        <f>_xlfn.CONCAT(表格3_5[[#This Row],[Name]],表格3_5[[#This Row],[Location]])</f>
        <v/>
      </c>
      <c r="C766" s="211" t="str">
        <f>表格3_5[[#This Row],[Location]] &amp; 表格3_5[[#This Row],[Date]] &amp;表格3_5[[#This Row],[Nick Name]]</f>
        <v>0</v>
      </c>
      <c r="D766" s="202"/>
      <c r="E766" s="211" t="str">
        <f>DAY(表格3_5[[#This Row],[Date]])&amp;""</f>
        <v>0</v>
      </c>
      <c r="F766" s="203"/>
      <c r="G766" s="216">
        <f>_xlfn.XLOOKUP(表格3_5[[#This Row],[Name]],Name_list[Full Name],Name_list[Nick Name])</f>
        <v>0</v>
      </c>
      <c r="H766" s="207"/>
      <c r="I766" s="228"/>
      <c r="J766" s="218"/>
      <c r="K766" s="205"/>
      <c r="L766" s="210">
        <f>(表格3_5[[#This Row],[Out-Time]] - 表格3_5[[#This Row],[In-Time]])*24</f>
        <v>0</v>
      </c>
      <c r="M766" s="210">
        <f>表格3_5[[#This Row],[ Hours]]-表格3_5[[#This Row],[Normal working
 hours]]</f>
        <v>0</v>
      </c>
      <c r="N766" s="205"/>
      <c r="O766" s="205"/>
      <c r="P766" s="210">
        <f>(表格3_5[[#This Row],[Out-Time2]] - 表格3_5[[#This Row],[In-Time2]])*24</f>
        <v>0</v>
      </c>
      <c r="Q766" s="205"/>
      <c r="R766" s="214">
        <f>_xlfn.XLOOKUP(表格3_5[[#This Row],[Name]],Name_list[Full Name],Name_list[Hourr Rate])</f>
        <v>0</v>
      </c>
      <c r="S766" s="210">
        <f>表格3_5[[#This Row],[Hours Worked]]*表格3_5[[#This Row],[Hourly Rate]]</f>
        <v>0</v>
      </c>
    </row>
    <row r="767" spans="1:19">
      <c r="A767" s="201">
        <v>765</v>
      </c>
      <c r="B767" s="210" t="str">
        <f>_xlfn.CONCAT(表格3_5[[#This Row],[Name]],表格3_5[[#This Row],[Location]])</f>
        <v/>
      </c>
      <c r="C767" s="211" t="str">
        <f>表格3_5[[#This Row],[Location]] &amp; 表格3_5[[#This Row],[Date]] &amp;表格3_5[[#This Row],[Nick Name]]</f>
        <v>0</v>
      </c>
      <c r="D767" s="202"/>
      <c r="E767" s="211" t="str">
        <f>DAY(表格3_5[[#This Row],[Date]])&amp;""</f>
        <v>0</v>
      </c>
      <c r="F767" s="203"/>
      <c r="G767" s="216">
        <f>_xlfn.XLOOKUP(表格3_5[[#This Row],[Name]],Name_list[Full Name],Name_list[Nick Name])</f>
        <v>0</v>
      </c>
      <c r="H767" s="207"/>
      <c r="I767" s="228"/>
      <c r="J767" s="218"/>
      <c r="K767" s="205"/>
      <c r="L767" s="210">
        <f>(表格3_5[[#This Row],[Out-Time]] - 表格3_5[[#This Row],[In-Time]])*24</f>
        <v>0</v>
      </c>
      <c r="M767" s="210">
        <f>表格3_5[[#This Row],[ Hours]]-表格3_5[[#This Row],[Normal working
 hours]]</f>
        <v>0</v>
      </c>
      <c r="N767" s="205"/>
      <c r="O767" s="205"/>
      <c r="P767" s="210">
        <f>(表格3_5[[#This Row],[Out-Time2]] - 表格3_5[[#This Row],[In-Time2]])*24</f>
        <v>0</v>
      </c>
      <c r="Q767" s="205"/>
      <c r="R767" s="214">
        <f>_xlfn.XLOOKUP(表格3_5[[#This Row],[Name]],Name_list[Full Name],Name_list[Hourr Rate])</f>
        <v>0</v>
      </c>
      <c r="S767" s="210">
        <f>表格3_5[[#This Row],[Hours Worked]]*表格3_5[[#This Row],[Hourly Rate]]</f>
        <v>0</v>
      </c>
    </row>
    <row r="768" spans="1:19">
      <c r="A768" s="201">
        <v>766</v>
      </c>
      <c r="B768" s="210" t="str">
        <f>_xlfn.CONCAT(表格3_5[[#This Row],[Name]],表格3_5[[#This Row],[Location]])</f>
        <v/>
      </c>
      <c r="C768" s="211" t="str">
        <f>表格3_5[[#This Row],[Location]] &amp; 表格3_5[[#This Row],[Date]] &amp;表格3_5[[#This Row],[Nick Name]]</f>
        <v>0</v>
      </c>
      <c r="D768" s="202"/>
      <c r="E768" s="211" t="str">
        <f>DAY(表格3_5[[#This Row],[Date]])&amp;""</f>
        <v>0</v>
      </c>
      <c r="F768" s="203"/>
      <c r="G768" s="216">
        <f>_xlfn.XLOOKUP(表格3_5[[#This Row],[Name]],Name_list[Full Name],Name_list[Nick Name])</f>
        <v>0</v>
      </c>
      <c r="H768" s="207"/>
      <c r="I768" s="228"/>
      <c r="J768" s="218"/>
      <c r="K768" s="205"/>
      <c r="L768" s="210">
        <f>(表格3_5[[#This Row],[Out-Time]] - 表格3_5[[#This Row],[In-Time]])*24</f>
        <v>0</v>
      </c>
      <c r="M768" s="210">
        <f>表格3_5[[#This Row],[ Hours]]-表格3_5[[#This Row],[Normal working
 hours]]</f>
        <v>0</v>
      </c>
      <c r="N768" s="205"/>
      <c r="O768" s="205"/>
      <c r="P768" s="210">
        <f>(表格3_5[[#This Row],[Out-Time2]] - 表格3_5[[#This Row],[In-Time2]])*24</f>
        <v>0</v>
      </c>
      <c r="Q768" s="205"/>
      <c r="R768" s="214">
        <f>_xlfn.XLOOKUP(表格3_5[[#This Row],[Name]],Name_list[Full Name],Name_list[Hourr Rate])</f>
        <v>0</v>
      </c>
      <c r="S768" s="210">
        <f>表格3_5[[#This Row],[Hours Worked]]*表格3_5[[#This Row],[Hourly Rate]]</f>
        <v>0</v>
      </c>
    </row>
    <row r="769" spans="1:19">
      <c r="A769" s="201">
        <v>767</v>
      </c>
      <c r="B769" s="210" t="str">
        <f>_xlfn.CONCAT(表格3_5[[#This Row],[Name]],表格3_5[[#This Row],[Location]])</f>
        <v/>
      </c>
      <c r="C769" s="211" t="str">
        <f>表格3_5[[#This Row],[Location]] &amp; 表格3_5[[#This Row],[Date]] &amp;表格3_5[[#This Row],[Nick Name]]</f>
        <v>0</v>
      </c>
      <c r="D769" s="202"/>
      <c r="E769" s="211" t="str">
        <f>DAY(表格3_5[[#This Row],[Date]])&amp;""</f>
        <v>0</v>
      </c>
      <c r="F769" s="203"/>
      <c r="G769" s="216">
        <f>_xlfn.XLOOKUP(表格3_5[[#This Row],[Name]],Name_list[Full Name],Name_list[Nick Name])</f>
        <v>0</v>
      </c>
      <c r="H769" s="207"/>
      <c r="I769" s="228"/>
      <c r="J769" s="218"/>
      <c r="K769" s="205"/>
      <c r="L769" s="210">
        <f>(表格3_5[[#This Row],[Out-Time]] - 表格3_5[[#This Row],[In-Time]])*24</f>
        <v>0</v>
      </c>
      <c r="M769" s="210">
        <f>表格3_5[[#This Row],[ Hours]]-表格3_5[[#This Row],[Normal working
 hours]]</f>
        <v>0</v>
      </c>
      <c r="N769" s="205"/>
      <c r="O769" s="205"/>
      <c r="P769" s="210">
        <f>(表格3_5[[#This Row],[Out-Time2]] - 表格3_5[[#This Row],[In-Time2]])*24</f>
        <v>0</v>
      </c>
      <c r="Q769" s="205"/>
      <c r="R769" s="214">
        <f>_xlfn.XLOOKUP(表格3_5[[#This Row],[Name]],Name_list[Full Name],Name_list[Hourr Rate])</f>
        <v>0</v>
      </c>
      <c r="S769" s="210">
        <f>表格3_5[[#This Row],[Hours Worked]]*表格3_5[[#This Row],[Hourly Rate]]</f>
        <v>0</v>
      </c>
    </row>
    <row r="770" spans="1:19">
      <c r="A770" s="201">
        <v>768</v>
      </c>
      <c r="B770" s="210" t="str">
        <f>_xlfn.CONCAT(表格3_5[[#This Row],[Name]],表格3_5[[#This Row],[Location]])</f>
        <v/>
      </c>
      <c r="C770" s="211" t="str">
        <f>表格3_5[[#This Row],[Location]] &amp; 表格3_5[[#This Row],[Date]] &amp;表格3_5[[#This Row],[Nick Name]]</f>
        <v>0</v>
      </c>
      <c r="D770" s="202"/>
      <c r="E770" s="211" t="str">
        <f>DAY(表格3_5[[#This Row],[Date]])&amp;""</f>
        <v>0</v>
      </c>
      <c r="F770" s="203"/>
      <c r="G770" s="216">
        <f>_xlfn.XLOOKUP(表格3_5[[#This Row],[Name]],Name_list[Full Name],Name_list[Nick Name])</f>
        <v>0</v>
      </c>
      <c r="H770" s="207"/>
      <c r="I770" s="228"/>
      <c r="J770" s="218"/>
      <c r="K770" s="205"/>
      <c r="L770" s="210">
        <f>(表格3_5[[#This Row],[Out-Time]] - 表格3_5[[#This Row],[In-Time]])*24</f>
        <v>0</v>
      </c>
      <c r="M770" s="210">
        <f>表格3_5[[#This Row],[ Hours]]-表格3_5[[#This Row],[Normal working
 hours]]</f>
        <v>0</v>
      </c>
      <c r="N770" s="205"/>
      <c r="O770" s="205"/>
      <c r="P770" s="210">
        <f>(表格3_5[[#This Row],[Out-Time2]] - 表格3_5[[#This Row],[In-Time2]])*24</f>
        <v>0</v>
      </c>
      <c r="Q770" s="205"/>
      <c r="R770" s="214">
        <f>_xlfn.XLOOKUP(表格3_5[[#This Row],[Name]],Name_list[Full Name],Name_list[Hourr Rate])</f>
        <v>0</v>
      </c>
      <c r="S770" s="210">
        <f>表格3_5[[#This Row],[Hours Worked]]*表格3_5[[#This Row],[Hourly Rate]]</f>
        <v>0</v>
      </c>
    </row>
    <row r="771" spans="1:19">
      <c r="A771" s="201">
        <v>769</v>
      </c>
      <c r="B771" s="210" t="str">
        <f>_xlfn.CONCAT(表格3_5[[#This Row],[Name]],表格3_5[[#This Row],[Location]])</f>
        <v/>
      </c>
      <c r="C771" s="211" t="str">
        <f>表格3_5[[#This Row],[Location]] &amp; 表格3_5[[#This Row],[Date]] &amp;表格3_5[[#This Row],[Nick Name]]</f>
        <v>0</v>
      </c>
      <c r="D771" s="202"/>
      <c r="E771" s="211" t="str">
        <f>DAY(表格3_5[[#This Row],[Date]])&amp;""</f>
        <v>0</v>
      </c>
      <c r="F771" s="203"/>
      <c r="G771" s="216">
        <f>_xlfn.XLOOKUP(表格3_5[[#This Row],[Name]],Name_list[Full Name],Name_list[Nick Name])</f>
        <v>0</v>
      </c>
      <c r="H771" s="207"/>
      <c r="I771" s="228"/>
      <c r="J771" s="218"/>
      <c r="K771" s="205"/>
      <c r="L771" s="210">
        <f>(表格3_5[[#This Row],[Out-Time]] - 表格3_5[[#This Row],[In-Time]])*24</f>
        <v>0</v>
      </c>
      <c r="M771" s="210">
        <f>表格3_5[[#This Row],[ Hours]]-表格3_5[[#This Row],[Normal working
 hours]]</f>
        <v>0</v>
      </c>
      <c r="N771" s="205"/>
      <c r="O771" s="205"/>
      <c r="P771" s="210">
        <f>(表格3_5[[#This Row],[Out-Time2]] - 表格3_5[[#This Row],[In-Time2]])*24</f>
        <v>0</v>
      </c>
      <c r="Q771" s="205"/>
      <c r="R771" s="214">
        <f>_xlfn.XLOOKUP(表格3_5[[#This Row],[Name]],Name_list[Full Name],Name_list[Hourr Rate])</f>
        <v>0</v>
      </c>
      <c r="S771" s="210">
        <f>表格3_5[[#This Row],[Hours Worked]]*表格3_5[[#This Row],[Hourly Rate]]</f>
        <v>0</v>
      </c>
    </row>
    <row r="772" spans="1:19">
      <c r="A772" s="201">
        <v>770</v>
      </c>
      <c r="B772" s="210" t="str">
        <f>_xlfn.CONCAT(表格3_5[[#This Row],[Name]],表格3_5[[#This Row],[Location]])</f>
        <v/>
      </c>
      <c r="C772" s="211" t="str">
        <f>表格3_5[[#This Row],[Location]] &amp; 表格3_5[[#This Row],[Date]] &amp;表格3_5[[#This Row],[Nick Name]]</f>
        <v>0</v>
      </c>
      <c r="D772" s="202"/>
      <c r="E772" s="211" t="str">
        <f>DAY(表格3_5[[#This Row],[Date]])&amp;""</f>
        <v>0</v>
      </c>
      <c r="F772" s="203"/>
      <c r="G772" s="216">
        <f>_xlfn.XLOOKUP(表格3_5[[#This Row],[Name]],Name_list[Full Name],Name_list[Nick Name])</f>
        <v>0</v>
      </c>
      <c r="H772" s="207"/>
      <c r="I772" s="228"/>
      <c r="J772" s="218"/>
      <c r="K772" s="205"/>
      <c r="L772" s="210">
        <f>(表格3_5[[#This Row],[Out-Time]] - 表格3_5[[#This Row],[In-Time]])*24</f>
        <v>0</v>
      </c>
      <c r="M772" s="210">
        <f>表格3_5[[#This Row],[ Hours]]-表格3_5[[#This Row],[Normal working
 hours]]</f>
        <v>0</v>
      </c>
      <c r="N772" s="205"/>
      <c r="O772" s="205"/>
      <c r="P772" s="210">
        <f>(表格3_5[[#This Row],[Out-Time2]] - 表格3_5[[#This Row],[In-Time2]])*24</f>
        <v>0</v>
      </c>
      <c r="Q772" s="205"/>
      <c r="R772" s="214">
        <f>_xlfn.XLOOKUP(表格3_5[[#This Row],[Name]],Name_list[Full Name],Name_list[Hourr Rate])</f>
        <v>0</v>
      </c>
      <c r="S772" s="210">
        <f>表格3_5[[#This Row],[Hours Worked]]*表格3_5[[#This Row],[Hourly Rate]]</f>
        <v>0</v>
      </c>
    </row>
    <row r="773" spans="1:19">
      <c r="A773" s="201">
        <v>771</v>
      </c>
      <c r="B773" s="210" t="str">
        <f>_xlfn.CONCAT(表格3_5[[#This Row],[Name]],表格3_5[[#This Row],[Location]])</f>
        <v/>
      </c>
      <c r="C773" s="211" t="str">
        <f>表格3_5[[#This Row],[Location]] &amp; 表格3_5[[#This Row],[Date]] &amp;表格3_5[[#This Row],[Nick Name]]</f>
        <v>0</v>
      </c>
      <c r="D773" s="202"/>
      <c r="E773" s="211" t="str">
        <f>DAY(表格3_5[[#This Row],[Date]])&amp;""</f>
        <v>0</v>
      </c>
      <c r="F773" s="203"/>
      <c r="G773" s="216">
        <f>_xlfn.XLOOKUP(表格3_5[[#This Row],[Name]],Name_list[Full Name],Name_list[Nick Name])</f>
        <v>0</v>
      </c>
      <c r="H773" s="207"/>
      <c r="I773" s="228"/>
      <c r="J773" s="218"/>
      <c r="K773" s="205"/>
      <c r="L773" s="210">
        <f>(表格3_5[[#This Row],[Out-Time]] - 表格3_5[[#This Row],[In-Time]])*24</f>
        <v>0</v>
      </c>
      <c r="M773" s="210">
        <f>表格3_5[[#This Row],[ Hours]]-表格3_5[[#This Row],[Normal working
 hours]]</f>
        <v>0</v>
      </c>
      <c r="N773" s="205"/>
      <c r="O773" s="205"/>
      <c r="P773" s="210">
        <f>(表格3_5[[#This Row],[Out-Time2]] - 表格3_5[[#This Row],[In-Time2]])*24</f>
        <v>0</v>
      </c>
      <c r="Q773" s="205"/>
      <c r="R773" s="214">
        <f>_xlfn.XLOOKUP(表格3_5[[#This Row],[Name]],Name_list[Full Name],Name_list[Hourr Rate])</f>
        <v>0</v>
      </c>
      <c r="S773" s="210">
        <f>表格3_5[[#This Row],[Hours Worked]]*表格3_5[[#This Row],[Hourly Rate]]</f>
        <v>0</v>
      </c>
    </row>
    <row r="774" spans="1:19">
      <c r="A774" s="201">
        <v>772</v>
      </c>
      <c r="B774" s="210" t="str">
        <f>_xlfn.CONCAT(表格3_5[[#This Row],[Name]],表格3_5[[#This Row],[Location]])</f>
        <v/>
      </c>
      <c r="C774" s="211" t="str">
        <f>表格3_5[[#This Row],[Location]] &amp; 表格3_5[[#This Row],[Date]] &amp;表格3_5[[#This Row],[Nick Name]]</f>
        <v>0</v>
      </c>
      <c r="D774" s="202"/>
      <c r="E774" s="211" t="str">
        <f>DAY(表格3_5[[#This Row],[Date]])&amp;""</f>
        <v>0</v>
      </c>
      <c r="F774" s="203"/>
      <c r="G774" s="216">
        <f>_xlfn.XLOOKUP(表格3_5[[#This Row],[Name]],Name_list[Full Name],Name_list[Nick Name])</f>
        <v>0</v>
      </c>
      <c r="H774" s="207"/>
      <c r="I774" s="228"/>
      <c r="J774" s="218"/>
      <c r="K774" s="205"/>
      <c r="L774" s="210">
        <f>(表格3_5[[#This Row],[Out-Time]] - 表格3_5[[#This Row],[In-Time]])*24</f>
        <v>0</v>
      </c>
      <c r="M774" s="210">
        <f>表格3_5[[#This Row],[ Hours]]-表格3_5[[#This Row],[Normal working
 hours]]</f>
        <v>0</v>
      </c>
      <c r="N774" s="205"/>
      <c r="O774" s="205"/>
      <c r="P774" s="210">
        <f>(表格3_5[[#This Row],[Out-Time2]] - 表格3_5[[#This Row],[In-Time2]])*24</f>
        <v>0</v>
      </c>
      <c r="Q774" s="205"/>
      <c r="R774" s="214">
        <f>_xlfn.XLOOKUP(表格3_5[[#This Row],[Name]],Name_list[Full Name],Name_list[Hourr Rate])</f>
        <v>0</v>
      </c>
      <c r="S774" s="210">
        <f>表格3_5[[#This Row],[Hours Worked]]*表格3_5[[#This Row],[Hourly Rate]]</f>
        <v>0</v>
      </c>
    </row>
    <row r="775" spans="1:19">
      <c r="A775" s="201">
        <v>773</v>
      </c>
      <c r="B775" s="210" t="str">
        <f>_xlfn.CONCAT(表格3_5[[#This Row],[Name]],表格3_5[[#This Row],[Location]])</f>
        <v/>
      </c>
      <c r="C775" s="211" t="str">
        <f>表格3_5[[#This Row],[Location]] &amp; 表格3_5[[#This Row],[Date]] &amp;表格3_5[[#This Row],[Nick Name]]</f>
        <v>0</v>
      </c>
      <c r="D775" s="202"/>
      <c r="E775" s="211" t="str">
        <f>DAY(表格3_5[[#This Row],[Date]])&amp;""</f>
        <v>0</v>
      </c>
      <c r="F775" s="203"/>
      <c r="G775" s="216">
        <f>_xlfn.XLOOKUP(表格3_5[[#This Row],[Name]],Name_list[Full Name],Name_list[Nick Name])</f>
        <v>0</v>
      </c>
      <c r="H775" s="207"/>
      <c r="I775" s="228"/>
      <c r="J775" s="218"/>
      <c r="K775" s="205"/>
      <c r="L775" s="210">
        <f>(表格3_5[[#This Row],[Out-Time]] - 表格3_5[[#This Row],[In-Time]])*24</f>
        <v>0</v>
      </c>
      <c r="M775" s="210">
        <f>表格3_5[[#This Row],[ Hours]]-表格3_5[[#This Row],[Normal working
 hours]]</f>
        <v>0</v>
      </c>
      <c r="N775" s="205"/>
      <c r="O775" s="205"/>
      <c r="P775" s="210">
        <f>(表格3_5[[#This Row],[Out-Time2]] - 表格3_5[[#This Row],[In-Time2]])*24</f>
        <v>0</v>
      </c>
      <c r="Q775" s="205"/>
      <c r="R775" s="214">
        <f>_xlfn.XLOOKUP(表格3_5[[#This Row],[Name]],Name_list[Full Name],Name_list[Hourr Rate])</f>
        <v>0</v>
      </c>
      <c r="S775" s="210">
        <f>表格3_5[[#This Row],[Hours Worked]]*表格3_5[[#This Row],[Hourly Rate]]</f>
        <v>0</v>
      </c>
    </row>
    <row r="776" spans="1:19">
      <c r="A776" s="201">
        <v>774</v>
      </c>
      <c r="B776" s="210" t="str">
        <f>_xlfn.CONCAT(表格3_5[[#This Row],[Name]],表格3_5[[#This Row],[Location]])</f>
        <v/>
      </c>
      <c r="C776" s="211" t="str">
        <f>表格3_5[[#This Row],[Location]] &amp; 表格3_5[[#This Row],[Date]] &amp;表格3_5[[#This Row],[Nick Name]]</f>
        <v>0</v>
      </c>
      <c r="D776" s="202"/>
      <c r="E776" s="211" t="str">
        <f>DAY(表格3_5[[#This Row],[Date]])&amp;""</f>
        <v>0</v>
      </c>
      <c r="F776" s="203"/>
      <c r="G776" s="216">
        <f>_xlfn.XLOOKUP(表格3_5[[#This Row],[Name]],Name_list[Full Name],Name_list[Nick Name])</f>
        <v>0</v>
      </c>
      <c r="H776" s="207"/>
      <c r="I776" s="228"/>
      <c r="J776" s="218"/>
      <c r="K776" s="205"/>
      <c r="L776" s="210">
        <f>(表格3_5[[#This Row],[Out-Time]] - 表格3_5[[#This Row],[In-Time]])*24</f>
        <v>0</v>
      </c>
      <c r="M776" s="210">
        <f>表格3_5[[#This Row],[ Hours]]-表格3_5[[#This Row],[Normal working
 hours]]</f>
        <v>0</v>
      </c>
      <c r="N776" s="205"/>
      <c r="O776" s="205"/>
      <c r="P776" s="210">
        <f>(表格3_5[[#This Row],[Out-Time2]] - 表格3_5[[#This Row],[In-Time2]])*24</f>
        <v>0</v>
      </c>
      <c r="Q776" s="205"/>
      <c r="R776" s="214">
        <f>_xlfn.XLOOKUP(表格3_5[[#This Row],[Name]],Name_list[Full Name],Name_list[Hourr Rate])</f>
        <v>0</v>
      </c>
      <c r="S776" s="210">
        <f>表格3_5[[#This Row],[Hours Worked]]*表格3_5[[#This Row],[Hourly Rate]]</f>
        <v>0</v>
      </c>
    </row>
    <row r="777" spans="1:19">
      <c r="A777" s="201">
        <v>775</v>
      </c>
      <c r="B777" s="210" t="str">
        <f>_xlfn.CONCAT(表格3_5[[#This Row],[Name]],表格3_5[[#This Row],[Location]])</f>
        <v/>
      </c>
      <c r="C777" s="211" t="str">
        <f>表格3_5[[#This Row],[Location]] &amp; 表格3_5[[#This Row],[Date]] &amp;表格3_5[[#This Row],[Nick Name]]</f>
        <v>0</v>
      </c>
      <c r="D777" s="202"/>
      <c r="E777" s="211" t="str">
        <f>DAY(表格3_5[[#This Row],[Date]])&amp;""</f>
        <v>0</v>
      </c>
      <c r="F777" s="203"/>
      <c r="G777" s="216">
        <f>_xlfn.XLOOKUP(表格3_5[[#This Row],[Name]],Name_list[Full Name],Name_list[Nick Name])</f>
        <v>0</v>
      </c>
      <c r="H777" s="207"/>
      <c r="I777" s="228"/>
      <c r="J777" s="218"/>
      <c r="K777" s="205"/>
      <c r="L777" s="210">
        <f>(表格3_5[[#This Row],[Out-Time]] - 表格3_5[[#This Row],[In-Time]])*24</f>
        <v>0</v>
      </c>
      <c r="M777" s="210">
        <f>表格3_5[[#This Row],[ Hours]]-表格3_5[[#This Row],[Normal working
 hours]]</f>
        <v>0</v>
      </c>
      <c r="N777" s="205"/>
      <c r="O777" s="205"/>
      <c r="P777" s="210">
        <f>(表格3_5[[#This Row],[Out-Time2]] - 表格3_5[[#This Row],[In-Time2]])*24</f>
        <v>0</v>
      </c>
      <c r="Q777" s="205"/>
      <c r="R777" s="214">
        <f>_xlfn.XLOOKUP(表格3_5[[#This Row],[Name]],Name_list[Full Name],Name_list[Hourr Rate])</f>
        <v>0</v>
      </c>
      <c r="S777" s="210">
        <f>表格3_5[[#This Row],[Hours Worked]]*表格3_5[[#This Row],[Hourly Rate]]</f>
        <v>0</v>
      </c>
    </row>
    <row r="778" spans="1:19">
      <c r="A778" s="201">
        <v>776</v>
      </c>
      <c r="B778" s="210" t="str">
        <f>_xlfn.CONCAT(表格3_5[[#This Row],[Name]],表格3_5[[#This Row],[Location]])</f>
        <v/>
      </c>
      <c r="C778" s="211" t="str">
        <f>表格3_5[[#This Row],[Location]] &amp; 表格3_5[[#This Row],[Date]] &amp;表格3_5[[#This Row],[Nick Name]]</f>
        <v>0</v>
      </c>
      <c r="D778" s="202"/>
      <c r="E778" s="211" t="str">
        <f>DAY(表格3_5[[#This Row],[Date]])&amp;""</f>
        <v>0</v>
      </c>
      <c r="F778" s="203"/>
      <c r="G778" s="216">
        <f>_xlfn.XLOOKUP(表格3_5[[#This Row],[Name]],Name_list[Full Name],Name_list[Nick Name])</f>
        <v>0</v>
      </c>
      <c r="H778" s="207"/>
      <c r="I778" s="228"/>
      <c r="J778" s="218"/>
      <c r="K778" s="205"/>
      <c r="L778" s="210">
        <f>(表格3_5[[#This Row],[Out-Time]] - 表格3_5[[#This Row],[In-Time]])*24</f>
        <v>0</v>
      </c>
      <c r="M778" s="210">
        <f>表格3_5[[#This Row],[ Hours]]-表格3_5[[#This Row],[Normal working
 hours]]</f>
        <v>0</v>
      </c>
      <c r="N778" s="205"/>
      <c r="O778" s="205"/>
      <c r="P778" s="210">
        <f>(表格3_5[[#This Row],[Out-Time2]] - 表格3_5[[#This Row],[In-Time2]])*24</f>
        <v>0</v>
      </c>
      <c r="Q778" s="205"/>
      <c r="R778" s="214">
        <f>_xlfn.XLOOKUP(表格3_5[[#This Row],[Name]],Name_list[Full Name],Name_list[Hourr Rate])</f>
        <v>0</v>
      </c>
      <c r="S778" s="210">
        <f>表格3_5[[#This Row],[Hours Worked]]*表格3_5[[#This Row],[Hourly Rate]]</f>
        <v>0</v>
      </c>
    </row>
    <row r="779" spans="1:19">
      <c r="A779" s="201">
        <v>777</v>
      </c>
      <c r="B779" s="210" t="str">
        <f>_xlfn.CONCAT(表格3_5[[#This Row],[Name]],表格3_5[[#This Row],[Location]])</f>
        <v/>
      </c>
      <c r="C779" s="211" t="str">
        <f>表格3_5[[#This Row],[Location]] &amp; 表格3_5[[#This Row],[Date]] &amp;表格3_5[[#This Row],[Nick Name]]</f>
        <v>0</v>
      </c>
      <c r="D779" s="202"/>
      <c r="E779" s="211" t="str">
        <f>DAY(表格3_5[[#This Row],[Date]])&amp;""</f>
        <v>0</v>
      </c>
      <c r="F779" s="203"/>
      <c r="G779" s="216">
        <f>_xlfn.XLOOKUP(表格3_5[[#This Row],[Name]],Name_list[Full Name],Name_list[Nick Name])</f>
        <v>0</v>
      </c>
      <c r="H779" s="207"/>
      <c r="I779" s="228"/>
      <c r="J779" s="218"/>
      <c r="K779" s="205"/>
      <c r="L779" s="210">
        <f>(表格3_5[[#This Row],[Out-Time]] - 表格3_5[[#This Row],[In-Time]])*24</f>
        <v>0</v>
      </c>
      <c r="M779" s="210">
        <f>表格3_5[[#This Row],[ Hours]]-表格3_5[[#This Row],[Normal working
 hours]]</f>
        <v>0</v>
      </c>
      <c r="N779" s="205"/>
      <c r="O779" s="205"/>
      <c r="P779" s="210">
        <f>(表格3_5[[#This Row],[Out-Time2]] - 表格3_5[[#This Row],[In-Time2]])*24</f>
        <v>0</v>
      </c>
      <c r="Q779" s="205"/>
      <c r="R779" s="214">
        <f>_xlfn.XLOOKUP(表格3_5[[#This Row],[Name]],Name_list[Full Name],Name_list[Hourr Rate])</f>
        <v>0</v>
      </c>
      <c r="S779" s="210">
        <f>表格3_5[[#This Row],[Hours Worked]]*表格3_5[[#This Row],[Hourly Rate]]</f>
        <v>0</v>
      </c>
    </row>
    <row r="780" spans="1:19">
      <c r="A780" s="201">
        <v>778</v>
      </c>
      <c r="B780" s="210" t="str">
        <f>_xlfn.CONCAT(表格3_5[[#This Row],[Name]],表格3_5[[#This Row],[Location]])</f>
        <v/>
      </c>
      <c r="C780" s="211" t="str">
        <f>表格3_5[[#This Row],[Location]] &amp; 表格3_5[[#This Row],[Date]] &amp;表格3_5[[#This Row],[Nick Name]]</f>
        <v>0</v>
      </c>
      <c r="D780" s="202"/>
      <c r="E780" s="211" t="str">
        <f>DAY(表格3_5[[#This Row],[Date]])&amp;""</f>
        <v>0</v>
      </c>
      <c r="F780" s="203"/>
      <c r="G780" s="216">
        <f>_xlfn.XLOOKUP(表格3_5[[#This Row],[Name]],Name_list[Full Name],Name_list[Nick Name])</f>
        <v>0</v>
      </c>
      <c r="H780" s="207"/>
      <c r="I780" s="228"/>
      <c r="J780" s="218"/>
      <c r="K780" s="205"/>
      <c r="L780" s="210">
        <f>(表格3_5[[#This Row],[Out-Time]] - 表格3_5[[#This Row],[In-Time]])*24</f>
        <v>0</v>
      </c>
      <c r="M780" s="210">
        <f>表格3_5[[#This Row],[ Hours]]-表格3_5[[#This Row],[Normal working
 hours]]</f>
        <v>0</v>
      </c>
      <c r="N780" s="205"/>
      <c r="O780" s="205"/>
      <c r="P780" s="210">
        <f>(表格3_5[[#This Row],[Out-Time2]] - 表格3_5[[#This Row],[In-Time2]])*24</f>
        <v>0</v>
      </c>
      <c r="Q780" s="205"/>
      <c r="R780" s="214">
        <f>_xlfn.XLOOKUP(表格3_5[[#This Row],[Name]],Name_list[Full Name],Name_list[Hourr Rate])</f>
        <v>0</v>
      </c>
      <c r="S780" s="210">
        <f>表格3_5[[#This Row],[Hours Worked]]*表格3_5[[#This Row],[Hourly Rate]]</f>
        <v>0</v>
      </c>
    </row>
    <row r="781" spans="1:19">
      <c r="A781" s="201">
        <v>779</v>
      </c>
      <c r="B781" s="210" t="str">
        <f>_xlfn.CONCAT(表格3_5[[#This Row],[Name]],表格3_5[[#This Row],[Location]])</f>
        <v/>
      </c>
      <c r="C781" s="211" t="str">
        <f>表格3_5[[#This Row],[Location]] &amp; 表格3_5[[#This Row],[Date]] &amp;表格3_5[[#This Row],[Nick Name]]</f>
        <v>0</v>
      </c>
      <c r="D781" s="202"/>
      <c r="E781" s="211" t="str">
        <f>DAY(表格3_5[[#This Row],[Date]])&amp;""</f>
        <v>0</v>
      </c>
      <c r="F781" s="203"/>
      <c r="G781" s="216">
        <f>_xlfn.XLOOKUP(表格3_5[[#This Row],[Name]],Name_list[Full Name],Name_list[Nick Name])</f>
        <v>0</v>
      </c>
      <c r="H781" s="207"/>
      <c r="I781" s="228"/>
      <c r="J781" s="218"/>
      <c r="K781" s="205"/>
      <c r="L781" s="210">
        <f>(表格3_5[[#This Row],[Out-Time]] - 表格3_5[[#This Row],[In-Time]])*24</f>
        <v>0</v>
      </c>
      <c r="M781" s="210">
        <f>表格3_5[[#This Row],[ Hours]]-表格3_5[[#This Row],[Normal working
 hours]]</f>
        <v>0</v>
      </c>
      <c r="N781" s="205"/>
      <c r="O781" s="205"/>
      <c r="P781" s="210">
        <f>(表格3_5[[#This Row],[Out-Time2]] - 表格3_5[[#This Row],[In-Time2]])*24</f>
        <v>0</v>
      </c>
      <c r="Q781" s="205"/>
      <c r="R781" s="214">
        <f>_xlfn.XLOOKUP(表格3_5[[#This Row],[Name]],Name_list[Full Name],Name_list[Hourr Rate])</f>
        <v>0</v>
      </c>
      <c r="S781" s="210">
        <f>表格3_5[[#This Row],[Hours Worked]]*表格3_5[[#This Row],[Hourly Rate]]</f>
        <v>0</v>
      </c>
    </row>
    <row r="782" spans="1:19">
      <c r="A782" s="201">
        <v>780</v>
      </c>
      <c r="B782" s="210" t="str">
        <f>_xlfn.CONCAT(表格3_5[[#This Row],[Name]],表格3_5[[#This Row],[Location]])</f>
        <v/>
      </c>
      <c r="C782" s="211" t="str">
        <f>表格3_5[[#This Row],[Location]] &amp; 表格3_5[[#This Row],[Date]] &amp;表格3_5[[#This Row],[Nick Name]]</f>
        <v>0</v>
      </c>
      <c r="D782" s="202"/>
      <c r="E782" s="211" t="str">
        <f>DAY(表格3_5[[#This Row],[Date]])&amp;""</f>
        <v>0</v>
      </c>
      <c r="F782" s="203"/>
      <c r="G782" s="216">
        <f>_xlfn.XLOOKUP(表格3_5[[#This Row],[Name]],Name_list[Full Name],Name_list[Nick Name])</f>
        <v>0</v>
      </c>
      <c r="H782" s="207"/>
      <c r="I782" s="228"/>
      <c r="J782" s="218"/>
      <c r="K782" s="205"/>
      <c r="L782" s="210">
        <f>(表格3_5[[#This Row],[Out-Time]] - 表格3_5[[#This Row],[In-Time]])*24</f>
        <v>0</v>
      </c>
      <c r="M782" s="210">
        <f>表格3_5[[#This Row],[ Hours]]-表格3_5[[#This Row],[Normal working
 hours]]</f>
        <v>0</v>
      </c>
      <c r="N782" s="205"/>
      <c r="O782" s="205"/>
      <c r="P782" s="210">
        <f>(表格3_5[[#This Row],[Out-Time2]] - 表格3_5[[#This Row],[In-Time2]])*24</f>
        <v>0</v>
      </c>
      <c r="Q782" s="205"/>
      <c r="R782" s="214">
        <f>_xlfn.XLOOKUP(表格3_5[[#This Row],[Name]],Name_list[Full Name],Name_list[Hourr Rate])</f>
        <v>0</v>
      </c>
      <c r="S782" s="210">
        <f>表格3_5[[#This Row],[Hours Worked]]*表格3_5[[#This Row],[Hourly Rate]]</f>
        <v>0</v>
      </c>
    </row>
    <row r="783" spans="1:19">
      <c r="A783" s="201">
        <v>781</v>
      </c>
      <c r="B783" s="210" t="str">
        <f>_xlfn.CONCAT(表格3_5[[#This Row],[Name]],表格3_5[[#This Row],[Location]])</f>
        <v/>
      </c>
      <c r="C783" s="211" t="str">
        <f>表格3_5[[#This Row],[Location]] &amp; 表格3_5[[#This Row],[Date]] &amp;表格3_5[[#This Row],[Nick Name]]</f>
        <v>0</v>
      </c>
      <c r="D783" s="202"/>
      <c r="E783" s="211" t="str">
        <f>DAY(表格3_5[[#This Row],[Date]])&amp;""</f>
        <v>0</v>
      </c>
      <c r="F783" s="203"/>
      <c r="G783" s="216">
        <f>_xlfn.XLOOKUP(表格3_5[[#This Row],[Name]],Name_list[Full Name],Name_list[Nick Name])</f>
        <v>0</v>
      </c>
      <c r="H783" s="207"/>
      <c r="I783" s="228"/>
      <c r="J783" s="218"/>
      <c r="K783" s="205"/>
      <c r="L783" s="210">
        <f>(表格3_5[[#This Row],[Out-Time]] - 表格3_5[[#This Row],[In-Time]])*24</f>
        <v>0</v>
      </c>
      <c r="M783" s="210">
        <f>表格3_5[[#This Row],[ Hours]]-表格3_5[[#This Row],[Normal working
 hours]]</f>
        <v>0</v>
      </c>
      <c r="N783" s="205"/>
      <c r="O783" s="205"/>
      <c r="P783" s="210">
        <f>(表格3_5[[#This Row],[Out-Time2]] - 表格3_5[[#This Row],[In-Time2]])*24</f>
        <v>0</v>
      </c>
      <c r="Q783" s="205"/>
      <c r="R783" s="214">
        <f>_xlfn.XLOOKUP(表格3_5[[#This Row],[Name]],Name_list[Full Name],Name_list[Hourr Rate])</f>
        <v>0</v>
      </c>
      <c r="S783" s="210">
        <f>表格3_5[[#This Row],[Hours Worked]]*表格3_5[[#This Row],[Hourly Rate]]</f>
        <v>0</v>
      </c>
    </row>
    <row r="784" spans="1:19">
      <c r="A784" s="201">
        <v>782</v>
      </c>
      <c r="B784" s="210" t="str">
        <f>_xlfn.CONCAT(表格3_5[[#This Row],[Name]],表格3_5[[#This Row],[Location]])</f>
        <v/>
      </c>
      <c r="C784" s="211" t="str">
        <f>表格3_5[[#This Row],[Location]] &amp; 表格3_5[[#This Row],[Date]] &amp;表格3_5[[#This Row],[Nick Name]]</f>
        <v>0</v>
      </c>
      <c r="D784" s="202"/>
      <c r="E784" s="211" t="str">
        <f>DAY(表格3_5[[#This Row],[Date]])&amp;""</f>
        <v>0</v>
      </c>
      <c r="F784" s="203"/>
      <c r="G784" s="216">
        <f>_xlfn.XLOOKUP(表格3_5[[#This Row],[Name]],Name_list[Full Name],Name_list[Nick Name])</f>
        <v>0</v>
      </c>
      <c r="H784" s="207"/>
      <c r="I784" s="228"/>
      <c r="J784" s="218"/>
      <c r="K784" s="205"/>
      <c r="L784" s="210">
        <f>(表格3_5[[#This Row],[Out-Time]] - 表格3_5[[#This Row],[In-Time]])*24</f>
        <v>0</v>
      </c>
      <c r="M784" s="210">
        <f>表格3_5[[#This Row],[ Hours]]-表格3_5[[#This Row],[Normal working
 hours]]</f>
        <v>0</v>
      </c>
      <c r="N784" s="205"/>
      <c r="O784" s="205"/>
      <c r="P784" s="210">
        <f>(表格3_5[[#This Row],[Out-Time2]] - 表格3_5[[#This Row],[In-Time2]])*24</f>
        <v>0</v>
      </c>
      <c r="Q784" s="205"/>
      <c r="R784" s="214">
        <f>_xlfn.XLOOKUP(表格3_5[[#This Row],[Name]],Name_list[Full Name],Name_list[Hourr Rate])</f>
        <v>0</v>
      </c>
      <c r="S784" s="210">
        <f>表格3_5[[#This Row],[Hours Worked]]*表格3_5[[#This Row],[Hourly Rate]]</f>
        <v>0</v>
      </c>
    </row>
    <row r="785" spans="1:19">
      <c r="A785" s="201">
        <v>783</v>
      </c>
      <c r="B785" s="210" t="str">
        <f>_xlfn.CONCAT(表格3_5[[#This Row],[Name]],表格3_5[[#This Row],[Location]])</f>
        <v/>
      </c>
      <c r="C785" s="211" t="str">
        <f>表格3_5[[#This Row],[Location]] &amp; 表格3_5[[#This Row],[Date]] &amp;表格3_5[[#This Row],[Nick Name]]</f>
        <v>0</v>
      </c>
      <c r="D785" s="202"/>
      <c r="E785" s="211" t="str">
        <f>DAY(表格3_5[[#This Row],[Date]])&amp;""</f>
        <v>0</v>
      </c>
      <c r="F785" s="203"/>
      <c r="G785" s="216">
        <f>_xlfn.XLOOKUP(表格3_5[[#This Row],[Name]],Name_list[Full Name],Name_list[Nick Name])</f>
        <v>0</v>
      </c>
      <c r="H785" s="207"/>
      <c r="I785" s="228"/>
      <c r="J785" s="218"/>
      <c r="K785" s="205"/>
      <c r="L785" s="210">
        <f>(表格3_5[[#This Row],[Out-Time]] - 表格3_5[[#This Row],[In-Time]])*24</f>
        <v>0</v>
      </c>
      <c r="M785" s="210">
        <f>表格3_5[[#This Row],[ Hours]]-表格3_5[[#This Row],[Normal working
 hours]]</f>
        <v>0</v>
      </c>
      <c r="N785" s="205"/>
      <c r="O785" s="205"/>
      <c r="P785" s="210">
        <f>(表格3_5[[#This Row],[Out-Time2]] - 表格3_5[[#This Row],[In-Time2]])*24</f>
        <v>0</v>
      </c>
      <c r="Q785" s="205"/>
      <c r="R785" s="214">
        <f>_xlfn.XLOOKUP(表格3_5[[#This Row],[Name]],Name_list[Full Name],Name_list[Hourr Rate])</f>
        <v>0</v>
      </c>
      <c r="S785" s="210">
        <f>表格3_5[[#This Row],[Hours Worked]]*表格3_5[[#This Row],[Hourly Rate]]</f>
        <v>0</v>
      </c>
    </row>
    <row r="786" spans="1:19">
      <c r="A786" s="201">
        <v>784</v>
      </c>
      <c r="B786" s="210" t="str">
        <f>_xlfn.CONCAT(表格3_5[[#This Row],[Name]],表格3_5[[#This Row],[Location]])</f>
        <v/>
      </c>
      <c r="C786" s="211" t="str">
        <f>表格3_5[[#This Row],[Location]] &amp; 表格3_5[[#This Row],[Date]] &amp;表格3_5[[#This Row],[Nick Name]]</f>
        <v>0</v>
      </c>
      <c r="D786" s="202"/>
      <c r="E786" s="211" t="str">
        <f>DAY(表格3_5[[#This Row],[Date]])&amp;""</f>
        <v>0</v>
      </c>
      <c r="F786" s="203"/>
      <c r="G786" s="216">
        <f>_xlfn.XLOOKUP(表格3_5[[#This Row],[Name]],Name_list[Full Name],Name_list[Nick Name])</f>
        <v>0</v>
      </c>
      <c r="H786" s="207"/>
      <c r="I786" s="228"/>
      <c r="J786" s="218"/>
      <c r="K786" s="205"/>
      <c r="L786" s="210">
        <f>(表格3_5[[#This Row],[Out-Time]] - 表格3_5[[#This Row],[In-Time]])*24</f>
        <v>0</v>
      </c>
      <c r="M786" s="210">
        <f>表格3_5[[#This Row],[ Hours]]-表格3_5[[#This Row],[Normal working
 hours]]</f>
        <v>0</v>
      </c>
      <c r="N786" s="205"/>
      <c r="O786" s="205"/>
      <c r="P786" s="210">
        <f>(表格3_5[[#This Row],[Out-Time2]] - 表格3_5[[#This Row],[In-Time2]])*24</f>
        <v>0</v>
      </c>
      <c r="Q786" s="205"/>
      <c r="R786" s="214">
        <f>_xlfn.XLOOKUP(表格3_5[[#This Row],[Name]],Name_list[Full Name],Name_list[Hourr Rate])</f>
        <v>0</v>
      </c>
      <c r="S786" s="210">
        <f>表格3_5[[#This Row],[Hours Worked]]*表格3_5[[#This Row],[Hourly Rate]]</f>
        <v>0</v>
      </c>
    </row>
    <row r="787" spans="1:19">
      <c r="A787" s="201">
        <v>785</v>
      </c>
      <c r="B787" s="210" t="str">
        <f>_xlfn.CONCAT(表格3_5[[#This Row],[Name]],表格3_5[[#This Row],[Location]])</f>
        <v/>
      </c>
      <c r="C787" s="211" t="str">
        <f>表格3_5[[#This Row],[Location]] &amp; 表格3_5[[#This Row],[Date]] &amp;表格3_5[[#This Row],[Nick Name]]</f>
        <v>0</v>
      </c>
      <c r="D787" s="202"/>
      <c r="E787" s="211" t="str">
        <f>DAY(表格3_5[[#This Row],[Date]])&amp;""</f>
        <v>0</v>
      </c>
      <c r="F787" s="203"/>
      <c r="G787" s="216">
        <f>_xlfn.XLOOKUP(表格3_5[[#This Row],[Name]],Name_list[Full Name],Name_list[Nick Name])</f>
        <v>0</v>
      </c>
      <c r="H787" s="207"/>
      <c r="I787" s="228"/>
      <c r="J787" s="218"/>
      <c r="K787" s="205"/>
      <c r="L787" s="210">
        <f>(表格3_5[[#This Row],[Out-Time]] - 表格3_5[[#This Row],[In-Time]])*24</f>
        <v>0</v>
      </c>
      <c r="M787" s="210">
        <f>表格3_5[[#This Row],[ Hours]]-表格3_5[[#This Row],[Normal working
 hours]]</f>
        <v>0</v>
      </c>
      <c r="N787" s="205"/>
      <c r="O787" s="205"/>
      <c r="P787" s="210">
        <f>(表格3_5[[#This Row],[Out-Time2]] - 表格3_5[[#This Row],[In-Time2]])*24</f>
        <v>0</v>
      </c>
      <c r="Q787" s="205"/>
      <c r="R787" s="214">
        <f>_xlfn.XLOOKUP(表格3_5[[#This Row],[Name]],Name_list[Full Name],Name_list[Hourr Rate])</f>
        <v>0</v>
      </c>
      <c r="S787" s="210">
        <f>表格3_5[[#This Row],[Hours Worked]]*表格3_5[[#This Row],[Hourly Rate]]</f>
        <v>0</v>
      </c>
    </row>
    <row r="788" spans="1:19">
      <c r="A788" s="201">
        <v>786</v>
      </c>
      <c r="B788" s="210" t="str">
        <f>_xlfn.CONCAT(表格3_5[[#This Row],[Name]],表格3_5[[#This Row],[Location]])</f>
        <v/>
      </c>
      <c r="C788" s="211" t="str">
        <f>表格3_5[[#This Row],[Location]] &amp; 表格3_5[[#This Row],[Date]] &amp;表格3_5[[#This Row],[Nick Name]]</f>
        <v>0</v>
      </c>
      <c r="D788" s="202"/>
      <c r="E788" s="211" t="str">
        <f>DAY(表格3_5[[#This Row],[Date]])&amp;""</f>
        <v>0</v>
      </c>
      <c r="F788" s="203"/>
      <c r="G788" s="216">
        <f>_xlfn.XLOOKUP(表格3_5[[#This Row],[Name]],Name_list[Full Name],Name_list[Nick Name])</f>
        <v>0</v>
      </c>
      <c r="H788" s="207"/>
      <c r="I788" s="228"/>
      <c r="J788" s="218"/>
      <c r="K788" s="205"/>
      <c r="L788" s="210">
        <f>(表格3_5[[#This Row],[Out-Time]] - 表格3_5[[#This Row],[In-Time]])*24</f>
        <v>0</v>
      </c>
      <c r="M788" s="210">
        <f>表格3_5[[#This Row],[ Hours]]-表格3_5[[#This Row],[Normal working
 hours]]</f>
        <v>0</v>
      </c>
      <c r="N788" s="205"/>
      <c r="O788" s="205"/>
      <c r="P788" s="210">
        <f>(表格3_5[[#This Row],[Out-Time2]] - 表格3_5[[#This Row],[In-Time2]])*24</f>
        <v>0</v>
      </c>
      <c r="Q788" s="205"/>
      <c r="R788" s="214">
        <f>_xlfn.XLOOKUP(表格3_5[[#This Row],[Name]],Name_list[Full Name],Name_list[Hourr Rate])</f>
        <v>0</v>
      </c>
      <c r="S788" s="210">
        <f>表格3_5[[#This Row],[Hours Worked]]*表格3_5[[#This Row],[Hourly Rate]]</f>
        <v>0</v>
      </c>
    </row>
    <row r="789" spans="1:19">
      <c r="A789" s="201">
        <v>787</v>
      </c>
      <c r="B789" s="210" t="str">
        <f>_xlfn.CONCAT(表格3_5[[#This Row],[Name]],表格3_5[[#This Row],[Location]])</f>
        <v/>
      </c>
      <c r="C789" s="211" t="str">
        <f>表格3_5[[#This Row],[Location]] &amp; 表格3_5[[#This Row],[Date]] &amp;表格3_5[[#This Row],[Nick Name]]</f>
        <v>0</v>
      </c>
      <c r="D789" s="202"/>
      <c r="E789" s="211" t="str">
        <f>DAY(表格3_5[[#This Row],[Date]])&amp;""</f>
        <v>0</v>
      </c>
      <c r="F789" s="203"/>
      <c r="G789" s="216">
        <f>_xlfn.XLOOKUP(表格3_5[[#This Row],[Name]],Name_list[Full Name],Name_list[Nick Name])</f>
        <v>0</v>
      </c>
      <c r="H789" s="207"/>
      <c r="I789" s="228"/>
      <c r="J789" s="218"/>
      <c r="K789" s="205"/>
      <c r="L789" s="210">
        <f>(表格3_5[[#This Row],[Out-Time]] - 表格3_5[[#This Row],[In-Time]])*24</f>
        <v>0</v>
      </c>
      <c r="M789" s="210">
        <f>表格3_5[[#This Row],[ Hours]]-表格3_5[[#This Row],[Normal working
 hours]]</f>
        <v>0</v>
      </c>
      <c r="N789" s="205"/>
      <c r="O789" s="205"/>
      <c r="P789" s="210">
        <f>(表格3_5[[#This Row],[Out-Time2]] - 表格3_5[[#This Row],[In-Time2]])*24</f>
        <v>0</v>
      </c>
      <c r="Q789" s="205"/>
      <c r="R789" s="214">
        <f>_xlfn.XLOOKUP(表格3_5[[#This Row],[Name]],Name_list[Full Name],Name_list[Hourr Rate])</f>
        <v>0</v>
      </c>
      <c r="S789" s="210">
        <f>表格3_5[[#This Row],[Hours Worked]]*表格3_5[[#This Row],[Hourly Rate]]</f>
        <v>0</v>
      </c>
    </row>
    <row r="790" spans="1:19">
      <c r="A790" s="201">
        <v>788</v>
      </c>
      <c r="B790" s="210" t="str">
        <f>_xlfn.CONCAT(表格3_5[[#This Row],[Name]],表格3_5[[#This Row],[Location]])</f>
        <v/>
      </c>
      <c r="C790" s="211" t="str">
        <f>表格3_5[[#This Row],[Location]] &amp; 表格3_5[[#This Row],[Date]] &amp;表格3_5[[#This Row],[Nick Name]]</f>
        <v>0</v>
      </c>
      <c r="D790" s="202"/>
      <c r="E790" s="211" t="str">
        <f>DAY(表格3_5[[#This Row],[Date]])&amp;""</f>
        <v>0</v>
      </c>
      <c r="F790" s="203"/>
      <c r="G790" s="216">
        <f>_xlfn.XLOOKUP(表格3_5[[#This Row],[Name]],Name_list[Full Name],Name_list[Nick Name])</f>
        <v>0</v>
      </c>
      <c r="H790" s="207"/>
      <c r="I790" s="228"/>
      <c r="J790" s="218"/>
      <c r="K790" s="205"/>
      <c r="L790" s="210">
        <f>(表格3_5[[#This Row],[Out-Time]] - 表格3_5[[#This Row],[In-Time]])*24</f>
        <v>0</v>
      </c>
      <c r="M790" s="210">
        <f>表格3_5[[#This Row],[ Hours]]-表格3_5[[#This Row],[Normal working
 hours]]</f>
        <v>0</v>
      </c>
      <c r="N790" s="205"/>
      <c r="O790" s="205"/>
      <c r="P790" s="210">
        <f>(表格3_5[[#This Row],[Out-Time2]] - 表格3_5[[#This Row],[In-Time2]])*24</f>
        <v>0</v>
      </c>
      <c r="Q790" s="205"/>
      <c r="R790" s="214">
        <f>_xlfn.XLOOKUP(表格3_5[[#This Row],[Name]],Name_list[Full Name],Name_list[Hourr Rate])</f>
        <v>0</v>
      </c>
      <c r="S790" s="210">
        <f>表格3_5[[#This Row],[Hours Worked]]*表格3_5[[#This Row],[Hourly Rate]]</f>
        <v>0</v>
      </c>
    </row>
    <row r="791" spans="1:19">
      <c r="A791" s="201">
        <v>789</v>
      </c>
      <c r="B791" s="210" t="str">
        <f>_xlfn.CONCAT(表格3_5[[#This Row],[Name]],表格3_5[[#This Row],[Location]])</f>
        <v/>
      </c>
      <c r="C791" s="211" t="str">
        <f>表格3_5[[#This Row],[Location]] &amp; 表格3_5[[#This Row],[Date]] &amp;表格3_5[[#This Row],[Nick Name]]</f>
        <v>0</v>
      </c>
      <c r="D791" s="202"/>
      <c r="E791" s="211" t="str">
        <f>DAY(表格3_5[[#This Row],[Date]])&amp;""</f>
        <v>0</v>
      </c>
      <c r="F791" s="203"/>
      <c r="G791" s="216">
        <f>_xlfn.XLOOKUP(表格3_5[[#This Row],[Name]],Name_list[Full Name],Name_list[Nick Name])</f>
        <v>0</v>
      </c>
      <c r="H791" s="207"/>
      <c r="I791" s="228"/>
      <c r="J791" s="218"/>
      <c r="K791" s="205"/>
      <c r="L791" s="210">
        <f>(表格3_5[[#This Row],[Out-Time]] - 表格3_5[[#This Row],[In-Time]])*24</f>
        <v>0</v>
      </c>
      <c r="M791" s="210">
        <f>表格3_5[[#This Row],[ Hours]]-表格3_5[[#This Row],[Normal working
 hours]]</f>
        <v>0</v>
      </c>
      <c r="N791" s="205"/>
      <c r="O791" s="205"/>
      <c r="P791" s="210">
        <f>(表格3_5[[#This Row],[Out-Time2]] - 表格3_5[[#This Row],[In-Time2]])*24</f>
        <v>0</v>
      </c>
      <c r="Q791" s="205"/>
      <c r="R791" s="214">
        <f>_xlfn.XLOOKUP(表格3_5[[#This Row],[Name]],Name_list[Full Name],Name_list[Hourr Rate])</f>
        <v>0</v>
      </c>
      <c r="S791" s="210">
        <f>表格3_5[[#This Row],[Hours Worked]]*表格3_5[[#This Row],[Hourly Rate]]</f>
        <v>0</v>
      </c>
    </row>
    <row r="792" spans="1:19">
      <c r="A792" s="201">
        <v>790</v>
      </c>
      <c r="B792" s="210" t="str">
        <f>_xlfn.CONCAT(表格3_5[[#This Row],[Name]],表格3_5[[#This Row],[Location]])</f>
        <v/>
      </c>
      <c r="C792" s="211" t="str">
        <f>表格3_5[[#This Row],[Location]] &amp; 表格3_5[[#This Row],[Date]] &amp;表格3_5[[#This Row],[Nick Name]]</f>
        <v>0</v>
      </c>
      <c r="D792" s="202"/>
      <c r="E792" s="211" t="str">
        <f>DAY(表格3_5[[#This Row],[Date]])&amp;""</f>
        <v>0</v>
      </c>
      <c r="F792" s="203"/>
      <c r="G792" s="216">
        <f>_xlfn.XLOOKUP(表格3_5[[#This Row],[Name]],Name_list[Full Name],Name_list[Nick Name])</f>
        <v>0</v>
      </c>
      <c r="H792" s="207"/>
      <c r="I792" s="228"/>
      <c r="J792" s="218"/>
      <c r="K792" s="205"/>
      <c r="L792" s="210">
        <f>(表格3_5[[#This Row],[Out-Time]] - 表格3_5[[#This Row],[In-Time]])*24</f>
        <v>0</v>
      </c>
      <c r="M792" s="210">
        <f>表格3_5[[#This Row],[ Hours]]-表格3_5[[#This Row],[Normal working
 hours]]</f>
        <v>0</v>
      </c>
      <c r="N792" s="205"/>
      <c r="O792" s="205"/>
      <c r="P792" s="210">
        <f>(表格3_5[[#This Row],[Out-Time2]] - 表格3_5[[#This Row],[In-Time2]])*24</f>
        <v>0</v>
      </c>
      <c r="Q792" s="205"/>
      <c r="R792" s="214">
        <f>_xlfn.XLOOKUP(表格3_5[[#This Row],[Name]],Name_list[Full Name],Name_list[Hourr Rate])</f>
        <v>0</v>
      </c>
      <c r="S792" s="210">
        <f>表格3_5[[#This Row],[Hours Worked]]*表格3_5[[#This Row],[Hourly Rate]]</f>
        <v>0</v>
      </c>
    </row>
    <row r="793" spans="1:19">
      <c r="A793" s="201">
        <v>791</v>
      </c>
      <c r="B793" s="210" t="str">
        <f>_xlfn.CONCAT(表格3_5[[#This Row],[Name]],表格3_5[[#This Row],[Location]])</f>
        <v/>
      </c>
      <c r="C793" s="211" t="str">
        <f>表格3_5[[#This Row],[Location]] &amp; 表格3_5[[#This Row],[Date]] &amp;表格3_5[[#This Row],[Nick Name]]</f>
        <v>0</v>
      </c>
      <c r="D793" s="202"/>
      <c r="E793" s="211" t="str">
        <f>DAY(表格3_5[[#This Row],[Date]])&amp;""</f>
        <v>0</v>
      </c>
      <c r="F793" s="203"/>
      <c r="G793" s="216">
        <f>_xlfn.XLOOKUP(表格3_5[[#This Row],[Name]],Name_list[Full Name],Name_list[Nick Name])</f>
        <v>0</v>
      </c>
      <c r="H793" s="207"/>
      <c r="I793" s="228"/>
      <c r="J793" s="218"/>
      <c r="K793" s="205"/>
      <c r="L793" s="210">
        <f>(表格3_5[[#This Row],[Out-Time]] - 表格3_5[[#This Row],[In-Time]])*24</f>
        <v>0</v>
      </c>
      <c r="M793" s="210">
        <f>表格3_5[[#This Row],[ Hours]]-表格3_5[[#This Row],[Normal working
 hours]]</f>
        <v>0</v>
      </c>
      <c r="N793" s="205"/>
      <c r="O793" s="205"/>
      <c r="P793" s="210">
        <f>(表格3_5[[#This Row],[Out-Time2]] - 表格3_5[[#This Row],[In-Time2]])*24</f>
        <v>0</v>
      </c>
      <c r="Q793" s="205"/>
      <c r="R793" s="214">
        <f>_xlfn.XLOOKUP(表格3_5[[#This Row],[Name]],Name_list[Full Name],Name_list[Hourr Rate])</f>
        <v>0</v>
      </c>
      <c r="S793" s="210">
        <f>表格3_5[[#This Row],[Hours Worked]]*表格3_5[[#This Row],[Hourly Rate]]</f>
        <v>0</v>
      </c>
    </row>
    <row r="794" spans="1:19">
      <c r="A794" s="201">
        <v>792</v>
      </c>
      <c r="B794" s="210" t="str">
        <f>_xlfn.CONCAT(表格3_5[[#This Row],[Name]],表格3_5[[#This Row],[Location]])</f>
        <v/>
      </c>
      <c r="C794" s="211" t="str">
        <f>表格3_5[[#This Row],[Location]] &amp; 表格3_5[[#This Row],[Date]] &amp;表格3_5[[#This Row],[Nick Name]]</f>
        <v>0</v>
      </c>
      <c r="D794" s="202"/>
      <c r="E794" s="211" t="str">
        <f>DAY(表格3_5[[#This Row],[Date]])&amp;""</f>
        <v>0</v>
      </c>
      <c r="F794" s="203"/>
      <c r="G794" s="216">
        <f>_xlfn.XLOOKUP(表格3_5[[#This Row],[Name]],Name_list[Full Name],Name_list[Nick Name])</f>
        <v>0</v>
      </c>
      <c r="H794" s="207"/>
      <c r="I794" s="228"/>
      <c r="J794" s="218"/>
      <c r="K794" s="205"/>
      <c r="L794" s="210">
        <f>(表格3_5[[#This Row],[Out-Time]] - 表格3_5[[#This Row],[In-Time]])*24</f>
        <v>0</v>
      </c>
      <c r="M794" s="210">
        <f>表格3_5[[#This Row],[ Hours]]-表格3_5[[#This Row],[Normal working
 hours]]</f>
        <v>0</v>
      </c>
      <c r="N794" s="205"/>
      <c r="O794" s="205"/>
      <c r="P794" s="210">
        <f>(表格3_5[[#This Row],[Out-Time2]] - 表格3_5[[#This Row],[In-Time2]])*24</f>
        <v>0</v>
      </c>
      <c r="Q794" s="205"/>
      <c r="R794" s="214">
        <f>_xlfn.XLOOKUP(表格3_5[[#This Row],[Name]],Name_list[Full Name],Name_list[Hourr Rate])</f>
        <v>0</v>
      </c>
      <c r="S794" s="210">
        <f>表格3_5[[#This Row],[Hours Worked]]*表格3_5[[#This Row],[Hourly Rate]]</f>
        <v>0</v>
      </c>
    </row>
    <row r="795" spans="1:19">
      <c r="A795" s="201">
        <v>793</v>
      </c>
      <c r="B795" s="210" t="str">
        <f>_xlfn.CONCAT(表格3_5[[#This Row],[Name]],表格3_5[[#This Row],[Location]])</f>
        <v/>
      </c>
      <c r="C795" s="211" t="str">
        <f>表格3_5[[#This Row],[Location]] &amp; 表格3_5[[#This Row],[Date]] &amp;表格3_5[[#This Row],[Nick Name]]</f>
        <v>0</v>
      </c>
      <c r="D795" s="202"/>
      <c r="E795" s="211" t="str">
        <f>DAY(表格3_5[[#This Row],[Date]])&amp;""</f>
        <v>0</v>
      </c>
      <c r="F795" s="203"/>
      <c r="G795" s="216">
        <f>_xlfn.XLOOKUP(表格3_5[[#This Row],[Name]],Name_list[Full Name],Name_list[Nick Name])</f>
        <v>0</v>
      </c>
      <c r="H795" s="207"/>
      <c r="I795" s="228"/>
      <c r="J795" s="218"/>
      <c r="K795" s="205"/>
      <c r="L795" s="210">
        <f>(表格3_5[[#This Row],[Out-Time]] - 表格3_5[[#This Row],[In-Time]])*24</f>
        <v>0</v>
      </c>
      <c r="M795" s="210">
        <f>表格3_5[[#This Row],[ Hours]]-表格3_5[[#This Row],[Normal working
 hours]]</f>
        <v>0</v>
      </c>
      <c r="N795" s="205"/>
      <c r="O795" s="205"/>
      <c r="P795" s="210">
        <f>(表格3_5[[#This Row],[Out-Time2]] - 表格3_5[[#This Row],[In-Time2]])*24</f>
        <v>0</v>
      </c>
      <c r="Q795" s="205"/>
      <c r="R795" s="214">
        <f>_xlfn.XLOOKUP(表格3_5[[#This Row],[Name]],Name_list[Full Name],Name_list[Hourr Rate])</f>
        <v>0</v>
      </c>
      <c r="S795" s="210">
        <f>表格3_5[[#This Row],[Hours Worked]]*表格3_5[[#This Row],[Hourly Rate]]</f>
        <v>0</v>
      </c>
    </row>
    <row r="796" spans="1:19">
      <c r="A796" s="201">
        <v>794</v>
      </c>
      <c r="B796" s="210" t="str">
        <f>_xlfn.CONCAT(表格3_5[[#This Row],[Name]],表格3_5[[#This Row],[Location]])</f>
        <v/>
      </c>
      <c r="C796" s="211" t="str">
        <f>表格3_5[[#This Row],[Location]] &amp; 表格3_5[[#This Row],[Date]] &amp;表格3_5[[#This Row],[Nick Name]]</f>
        <v>0</v>
      </c>
      <c r="D796" s="202"/>
      <c r="E796" s="211" t="str">
        <f>DAY(表格3_5[[#This Row],[Date]])&amp;""</f>
        <v>0</v>
      </c>
      <c r="F796" s="203"/>
      <c r="G796" s="216">
        <f>_xlfn.XLOOKUP(表格3_5[[#This Row],[Name]],Name_list[Full Name],Name_list[Nick Name])</f>
        <v>0</v>
      </c>
      <c r="H796" s="207"/>
      <c r="I796" s="228"/>
      <c r="J796" s="218"/>
      <c r="K796" s="205"/>
      <c r="L796" s="210">
        <f>(表格3_5[[#This Row],[Out-Time]] - 表格3_5[[#This Row],[In-Time]])*24</f>
        <v>0</v>
      </c>
      <c r="M796" s="210">
        <f>表格3_5[[#This Row],[ Hours]]-表格3_5[[#This Row],[Normal working
 hours]]</f>
        <v>0</v>
      </c>
      <c r="N796" s="205"/>
      <c r="O796" s="205"/>
      <c r="P796" s="210">
        <f>(表格3_5[[#This Row],[Out-Time2]] - 表格3_5[[#This Row],[In-Time2]])*24</f>
        <v>0</v>
      </c>
      <c r="Q796" s="205"/>
      <c r="R796" s="214">
        <f>_xlfn.XLOOKUP(表格3_5[[#This Row],[Name]],Name_list[Full Name],Name_list[Hourr Rate])</f>
        <v>0</v>
      </c>
      <c r="S796" s="210">
        <f>表格3_5[[#This Row],[Hours Worked]]*表格3_5[[#This Row],[Hourly Rate]]</f>
        <v>0</v>
      </c>
    </row>
    <row r="797" spans="1:19">
      <c r="A797" s="201">
        <v>795</v>
      </c>
      <c r="B797" s="210" t="str">
        <f>_xlfn.CONCAT(表格3_5[[#This Row],[Name]],表格3_5[[#This Row],[Location]])</f>
        <v/>
      </c>
      <c r="C797" s="211" t="str">
        <f>表格3_5[[#This Row],[Location]] &amp; 表格3_5[[#This Row],[Date]] &amp;表格3_5[[#This Row],[Nick Name]]</f>
        <v>0</v>
      </c>
      <c r="D797" s="202"/>
      <c r="E797" s="211" t="str">
        <f>DAY(表格3_5[[#This Row],[Date]])&amp;""</f>
        <v>0</v>
      </c>
      <c r="F797" s="203"/>
      <c r="G797" s="216">
        <f>_xlfn.XLOOKUP(表格3_5[[#This Row],[Name]],Name_list[Full Name],Name_list[Nick Name])</f>
        <v>0</v>
      </c>
      <c r="H797" s="207"/>
      <c r="I797" s="228"/>
      <c r="J797" s="218"/>
      <c r="K797" s="205"/>
      <c r="L797" s="210">
        <f>(表格3_5[[#This Row],[Out-Time]] - 表格3_5[[#This Row],[In-Time]])*24</f>
        <v>0</v>
      </c>
      <c r="M797" s="210">
        <f>表格3_5[[#This Row],[ Hours]]-表格3_5[[#This Row],[Normal working
 hours]]</f>
        <v>0</v>
      </c>
      <c r="N797" s="205"/>
      <c r="O797" s="205"/>
      <c r="P797" s="210">
        <f>(表格3_5[[#This Row],[Out-Time2]] - 表格3_5[[#This Row],[In-Time2]])*24</f>
        <v>0</v>
      </c>
      <c r="Q797" s="205"/>
      <c r="R797" s="214">
        <f>_xlfn.XLOOKUP(表格3_5[[#This Row],[Name]],Name_list[Full Name],Name_list[Hourr Rate])</f>
        <v>0</v>
      </c>
      <c r="S797" s="210">
        <f>表格3_5[[#This Row],[Hours Worked]]*表格3_5[[#This Row],[Hourly Rate]]</f>
        <v>0</v>
      </c>
    </row>
    <row r="798" spans="1:19">
      <c r="A798" s="201">
        <v>796</v>
      </c>
      <c r="B798" s="210" t="str">
        <f>_xlfn.CONCAT(表格3_5[[#This Row],[Name]],表格3_5[[#This Row],[Location]])</f>
        <v/>
      </c>
      <c r="C798" s="211" t="str">
        <f>表格3_5[[#This Row],[Location]] &amp; 表格3_5[[#This Row],[Date]] &amp;表格3_5[[#This Row],[Nick Name]]</f>
        <v>0</v>
      </c>
      <c r="D798" s="202"/>
      <c r="E798" s="211" t="str">
        <f>DAY(表格3_5[[#This Row],[Date]])&amp;""</f>
        <v>0</v>
      </c>
      <c r="F798" s="203"/>
      <c r="G798" s="216">
        <f>_xlfn.XLOOKUP(表格3_5[[#This Row],[Name]],Name_list[Full Name],Name_list[Nick Name])</f>
        <v>0</v>
      </c>
      <c r="H798" s="207"/>
      <c r="I798" s="228"/>
      <c r="J798" s="218"/>
      <c r="K798" s="205"/>
      <c r="L798" s="210">
        <f>(表格3_5[[#This Row],[Out-Time]] - 表格3_5[[#This Row],[In-Time]])*24</f>
        <v>0</v>
      </c>
      <c r="M798" s="210">
        <f>表格3_5[[#This Row],[ Hours]]-表格3_5[[#This Row],[Normal working
 hours]]</f>
        <v>0</v>
      </c>
      <c r="N798" s="205"/>
      <c r="O798" s="205"/>
      <c r="P798" s="210">
        <f>(表格3_5[[#This Row],[Out-Time2]] - 表格3_5[[#This Row],[In-Time2]])*24</f>
        <v>0</v>
      </c>
      <c r="Q798" s="205"/>
      <c r="R798" s="214">
        <f>_xlfn.XLOOKUP(表格3_5[[#This Row],[Name]],Name_list[Full Name],Name_list[Hourr Rate])</f>
        <v>0</v>
      </c>
      <c r="S798" s="210">
        <f>表格3_5[[#This Row],[Hours Worked]]*表格3_5[[#This Row],[Hourly Rate]]</f>
        <v>0</v>
      </c>
    </row>
    <row r="799" spans="1:19">
      <c r="A799" s="201">
        <v>797</v>
      </c>
      <c r="B799" s="210" t="str">
        <f>_xlfn.CONCAT(表格3_5[[#This Row],[Name]],表格3_5[[#This Row],[Location]])</f>
        <v/>
      </c>
      <c r="C799" s="211" t="str">
        <f>表格3_5[[#This Row],[Location]] &amp; 表格3_5[[#This Row],[Date]] &amp;表格3_5[[#This Row],[Nick Name]]</f>
        <v>0</v>
      </c>
      <c r="D799" s="202"/>
      <c r="E799" s="211" t="str">
        <f>DAY(表格3_5[[#This Row],[Date]])&amp;""</f>
        <v>0</v>
      </c>
      <c r="F799" s="203"/>
      <c r="G799" s="216">
        <f>_xlfn.XLOOKUP(表格3_5[[#This Row],[Name]],Name_list[Full Name],Name_list[Nick Name])</f>
        <v>0</v>
      </c>
      <c r="H799" s="207"/>
      <c r="I799" s="228"/>
      <c r="J799" s="218"/>
      <c r="K799" s="205"/>
      <c r="L799" s="210">
        <f>(表格3_5[[#This Row],[Out-Time]] - 表格3_5[[#This Row],[In-Time]])*24</f>
        <v>0</v>
      </c>
      <c r="M799" s="210">
        <f>表格3_5[[#This Row],[ Hours]]-表格3_5[[#This Row],[Normal working
 hours]]</f>
        <v>0</v>
      </c>
      <c r="N799" s="205"/>
      <c r="O799" s="205"/>
      <c r="P799" s="210">
        <f>(表格3_5[[#This Row],[Out-Time2]] - 表格3_5[[#This Row],[In-Time2]])*24</f>
        <v>0</v>
      </c>
      <c r="Q799" s="205"/>
      <c r="R799" s="214">
        <f>_xlfn.XLOOKUP(表格3_5[[#This Row],[Name]],Name_list[Full Name],Name_list[Hourr Rate])</f>
        <v>0</v>
      </c>
      <c r="S799" s="210">
        <f>表格3_5[[#This Row],[Hours Worked]]*表格3_5[[#This Row],[Hourly Rate]]</f>
        <v>0</v>
      </c>
    </row>
    <row r="800" spans="1:19">
      <c r="A800" s="201">
        <v>798</v>
      </c>
      <c r="B800" s="210" t="str">
        <f>_xlfn.CONCAT(表格3_5[[#This Row],[Name]],表格3_5[[#This Row],[Location]])</f>
        <v/>
      </c>
      <c r="C800" s="211" t="str">
        <f>表格3_5[[#This Row],[Location]] &amp; 表格3_5[[#This Row],[Date]] &amp;表格3_5[[#This Row],[Nick Name]]</f>
        <v>0</v>
      </c>
      <c r="D800" s="202"/>
      <c r="E800" s="211" t="str">
        <f>DAY(表格3_5[[#This Row],[Date]])&amp;""</f>
        <v>0</v>
      </c>
      <c r="F800" s="203"/>
      <c r="G800" s="216">
        <f>_xlfn.XLOOKUP(表格3_5[[#This Row],[Name]],Name_list[Full Name],Name_list[Nick Name])</f>
        <v>0</v>
      </c>
      <c r="H800" s="207"/>
      <c r="I800" s="228"/>
      <c r="J800" s="218"/>
      <c r="K800" s="205"/>
      <c r="L800" s="210">
        <f>(表格3_5[[#This Row],[Out-Time]] - 表格3_5[[#This Row],[In-Time]])*24</f>
        <v>0</v>
      </c>
      <c r="M800" s="210">
        <f>表格3_5[[#This Row],[ Hours]]-表格3_5[[#This Row],[Normal working
 hours]]</f>
        <v>0</v>
      </c>
      <c r="N800" s="205"/>
      <c r="O800" s="205"/>
      <c r="P800" s="210">
        <f>(表格3_5[[#This Row],[Out-Time2]] - 表格3_5[[#This Row],[In-Time2]])*24</f>
        <v>0</v>
      </c>
      <c r="Q800" s="205"/>
      <c r="R800" s="214">
        <f>_xlfn.XLOOKUP(表格3_5[[#This Row],[Name]],Name_list[Full Name],Name_list[Hourr Rate])</f>
        <v>0</v>
      </c>
      <c r="S800" s="210">
        <f>表格3_5[[#This Row],[Hours Worked]]*表格3_5[[#This Row],[Hourly Rate]]</f>
        <v>0</v>
      </c>
    </row>
    <row r="801" spans="1:19">
      <c r="A801" s="201">
        <v>799</v>
      </c>
      <c r="B801" s="210" t="str">
        <f>_xlfn.CONCAT(表格3_5[[#This Row],[Name]],表格3_5[[#This Row],[Location]])</f>
        <v/>
      </c>
      <c r="C801" s="211" t="str">
        <f>表格3_5[[#This Row],[Location]] &amp; 表格3_5[[#This Row],[Date]] &amp;表格3_5[[#This Row],[Nick Name]]</f>
        <v>0</v>
      </c>
      <c r="D801" s="202"/>
      <c r="E801" s="211" t="str">
        <f>DAY(表格3_5[[#This Row],[Date]])&amp;""</f>
        <v>0</v>
      </c>
      <c r="F801" s="203"/>
      <c r="G801" s="216">
        <f>_xlfn.XLOOKUP(表格3_5[[#This Row],[Name]],Name_list[Full Name],Name_list[Nick Name])</f>
        <v>0</v>
      </c>
      <c r="H801" s="207"/>
      <c r="I801" s="228"/>
      <c r="J801" s="218"/>
      <c r="K801" s="205"/>
      <c r="L801" s="210">
        <f>(表格3_5[[#This Row],[Out-Time]] - 表格3_5[[#This Row],[In-Time]])*24</f>
        <v>0</v>
      </c>
      <c r="M801" s="210">
        <f>表格3_5[[#This Row],[ Hours]]-表格3_5[[#This Row],[Normal working
 hours]]</f>
        <v>0</v>
      </c>
      <c r="N801" s="205"/>
      <c r="O801" s="205"/>
      <c r="P801" s="210">
        <f>(表格3_5[[#This Row],[Out-Time2]] - 表格3_5[[#This Row],[In-Time2]])*24</f>
        <v>0</v>
      </c>
      <c r="Q801" s="205"/>
      <c r="R801" s="214">
        <f>_xlfn.XLOOKUP(表格3_5[[#This Row],[Name]],Name_list[Full Name],Name_list[Hourr Rate])</f>
        <v>0</v>
      </c>
      <c r="S801" s="210">
        <f>表格3_5[[#This Row],[Hours Worked]]*表格3_5[[#This Row],[Hourly Rate]]</f>
        <v>0</v>
      </c>
    </row>
    <row r="802" spans="1:19">
      <c r="A802" s="201">
        <v>800</v>
      </c>
      <c r="B802" s="210" t="str">
        <f>_xlfn.CONCAT(表格3_5[[#This Row],[Name]],表格3_5[[#This Row],[Location]])</f>
        <v/>
      </c>
      <c r="C802" s="211" t="str">
        <f>表格3_5[[#This Row],[Location]] &amp; 表格3_5[[#This Row],[Date]] &amp;表格3_5[[#This Row],[Nick Name]]</f>
        <v>0</v>
      </c>
      <c r="D802" s="202"/>
      <c r="E802" s="211" t="str">
        <f>DAY(表格3_5[[#This Row],[Date]])&amp;""</f>
        <v>0</v>
      </c>
      <c r="F802" s="203"/>
      <c r="G802" s="216">
        <f>_xlfn.XLOOKUP(表格3_5[[#This Row],[Name]],Name_list[Full Name],Name_list[Nick Name])</f>
        <v>0</v>
      </c>
      <c r="H802" s="207"/>
      <c r="I802" s="228"/>
      <c r="J802" s="218"/>
      <c r="K802" s="205"/>
      <c r="L802" s="210">
        <f>(表格3_5[[#This Row],[Out-Time]] - 表格3_5[[#This Row],[In-Time]])*24</f>
        <v>0</v>
      </c>
      <c r="M802" s="210">
        <f>表格3_5[[#This Row],[ Hours]]-表格3_5[[#This Row],[Normal working
 hours]]</f>
        <v>0</v>
      </c>
      <c r="N802" s="205"/>
      <c r="O802" s="205"/>
      <c r="P802" s="210">
        <f>(表格3_5[[#This Row],[Out-Time2]] - 表格3_5[[#This Row],[In-Time2]])*24</f>
        <v>0</v>
      </c>
      <c r="Q802" s="205"/>
      <c r="R802" s="214">
        <f>_xlfn.XLOOKUP(表格3_5[[#This Row],[Name]],Name_list[Full Name],Name_list[Hourr Rate])</f>
        <v>0</v>
      </c>
      <c r="S802" s="210">
        <f>表格3_5[[#This Row],[Hours Worked]]*表格3_5[[#This Row],[Hourly Rate]]</f>
        <v>0</v>
      </c>
    </row>
    <row r="803" spans="1:19">
      <c r="A803" s="201">
        <v>801</v>
      </c>
      <c r="B803" s="210" t="str">
        <f>_xlfn.CONCAT(表格3_5[[#This Row],[Name]],表格3_5[[#This Row],[Location]])</f>
        <v/>
      </c>
      <c r="C803" s="211" t="str">
        <f>表格3_5[[#This Row],[Location]] &amp; 表格3_5[[#This Row],[Date]] &amp;表格3_5[[#This Row],[Nick Name]]</f>
        <v>0</v>
      </c>
      <c r="D803" s="202"/>
      <c r="E803" s="211" t="str">
        <f>DAY(表格3_5[[#This Row],[Date]])&amp;""</f>
        <v>0</v>
      </c>
      <c r="F803" s="203"/>
      <c r="G803" s="216">
        <f>_xlfn.XLOOKUP(表格3_5[[#This Row],[Name]],Name_list[Full Name],Name_list[Nick Name])</f>
        <v>0</v>
      </c>
      <c r="H803" s="207"/>
      <c r="I803" s="228"/>
      <c r="J803" s="218"/>
      <c r="K803" s="205"/>
      <c r="L803" s="210">
        <f>(表格3_5[[#This Row],[Out-Time]] - 表格3_5[[#This Row],[In-Time]])*24</f>
        <v>0</v>
      </c>
      <c r="M803" s="210">
        <f>表格3_5[[#This Row],[ Hours]]-表格3_5[[#This Row],[Normal working
 hours]]</f>
        <v>0</v>
      </c>
      <c r="N803" s="205"/>
      <c r="O803" s="205"/>
      <c r="P803" s="210">
        <f>(表格3_5[[#This Row],[Out-Time2]] - 表格3_5[[#This Row],[In-Time2]])*24</f>
        <v>0</v>
      </c>
      <c r="Q803" s="205"/>
      <c r="R803" s="214">
        <f>_xlfn.XLOOKUP(表格3_5[[#This Row],[Name]],Name_list[Full Name],Name_list[Hourr Rate])</f>
        <v>0</v>
      </c>
      <c r="S803" s="210">
        <f>表格3_5[[#This Row],[Hours Worked]]*表格3_5[[#This Row],[Hourly Rate]]</f>
        <v>0</v>
      </c>
    </row>
    <row r="804" spans="1:19">
      <c r="A804" s="201">
        <v>802</v>
      </c>
      <c r="B804" s="210" t="str">
        <f>_xlfn.CONCAT(表格3_5[[#This Row],[Name]],表格3_5[[#This Row],[Location]])</f>
        <v/>
      </c>
      <c r="C804" s="211" t="str">
        <f>表格3_5[[#This Row],[Location]] &amp; 表格3_5[[#This Row],[Date]] &amp;表格3_5[[#This Row],[Nick Name]]</f>
        <v>0</v>
      </c>
      <c r="D804" s="202"/>
      <c r="E804" s="211" t="str">
        <f>DAY(表格3_5[[#This Row],[Date]])&amp;""</f>
        <v>0</v>
      </c>
      <c r="F804" s="203"/>
      <c r="G804" s="216">
        <f>_xlfn.XLOOKUP(表格3_5[[#This Row],[Name]],Name_list[Full Name],Name_list[Nick Name])</f>
        <v>0</v>
      </c>
      <c r="H804" s="207"/>
      <c r="I804" s="228"/>
      <c r="J804" s="218"/>
      <c r="K804" s="205"/>
      <c r="L804" s="210">
        <f>(表格3_5[[#This Row],[Out-Time]] - 表格3_5[[#This Row],[In-Time]])*24</f>
        <v>0</v>
      </c>
      <c r="M804" s="210">
        <f>表格3_5[[#This Row],[ Hours]]-表格3_5[[#This Row],[Normal working
 hours]]</f>
        <v>0</v>
      </c>
      <c r="N804" s="205"/>
      <c r="O804" s="205"/>
      <c r="P804" s="210">
        <f>(表格3_5[[#This Row],[Out-Time2]] - 表格3_5[[#This Row],[In-Time2]])*24</f>
        <v>0</v>
      </c>
      <c r="Q804" s="205"/>
      <c r="R804" s="214">
        <f>_xlfn.XLOOKUP(表格3_5[[#This Row],[Name]],Name_list[Full Name],Name_list[Hourr Rate])</f>
        <v>0</v>
      </c>
      <c r="S804" s="210">
        <f>表格3_5[[#This Row],[Hours Worked]]*表格3_5[[#This Row],[Hourly Rate]]</f>
        <v>0</v>
      </c>
    </row>
    <row r="805" spans="1:19">
      <c r="A805" s="201">
        <v>803</v>
      </c>
      <c r="B805" s="210" t="str">
        <f>_xlfn.CONCAT(表格3_5[[#This Row],[Name]],表格3_5[[#This Row],[Location]])</f>
        <v/>
      </c>
      <c r="C805" s="211" t="str">
        <f>表格3_5[[#This Row],[Location]] &amp; 表格3_5[[#This Row],[Date]] &amp;表格3_5[[#This Row],[Nick Name]]</f>
        <v>0</v>
      </c>
      <c r="D805" s="202"/>
      <c r="E805" s="211" t="str">
        <f>DAY(表格3_5[[#This Row],[Date]])&amp;""</f>
        <v>0</v>
      </c>
      <c r="F805" s="203"/>
      <c r="G805" s="216">
        <f>_xlfn.XLOOKUP(表格3_5[[#This Row],[Name]],Name_list[Full Name],Name_list[Nick Name])</f>
        <v>0</v>
      </c>
      <c r="H805" s="207"/>
      <c r="I805" s="228"/>
      <c r="J805" s="218"/>
      <c r="K805" s="205"/>
      <c r="L805" s="210">
        <f>(表格3_5[[#This Row],[Out-Time]] - 表格3_5[[#This Row],[In-Time]])*24</f>
        <v>0</v>
      </c>
      <c r="M805" s="210">
        <f>表格3_5[[#This Row],[ Hours]]-表格3_5[[#This Row],[Normal working
 hours]]</f>
        <v>0</v>
      </c>
      <c r="N805" s="205"/>
      <c r="O805" s="205"/>
      <c r="P805" s="210">
        <f>(表格3_5[[#This Row],[Out-Time2]] - 表格3_5[[#This Row],[In-Time2]])*24</f>
        <v>0</v>
      </c>
      <c r="Q805" s="205"/>
      <c r="R805" s="214">
        <f>_xlfn.XLOOKUP(表格3_5[[#This Row],[Name]],Name_list[Full Name],Name_list[Hourr Rate])</f>
        <v>0</v>
      </c>
      <c r="S805" s="210">
        <f>表格3_5[[#This Row],[Hours Worked]]*表格3_5[[#This Row],[Hourly Rate]]</f>
        <v>0</v>
      </c>
    </row>
    <row r="806" spans="1:19">
      <c r="A806" s="201">
        <v>804</v>
      </c>
      <c r="B806" s="210" t="str">
        <f>_xlfn.CONCAT(表格3_5[[#This Row],[Name]],表格3_5[[#This Row],[Location]])</f>
        <v/>
      </c>
      <c r="C806" s="211" t="str">
        <f>表格3_5[[#This Row],[Location]] &amp; 表格3_5[[#This Row],[Date]] &amp;表格3_5[[#This Row],[Nick Name]]</f>
        <v>0</v>
      </c>
      <c r="D806" s="202"/>
      <c r="E806" s="211" t="str">
        <f>DAY(表格3_5[[#This Row],[Date]])&amp;""</f>
        <v>0</v>
      </c>
      <c r="F806" s="203"/>
      <c r="G806" s="216">
        <f>_xlfn.XLOOKUP(表格3_5[[#This Row],[Name]],Name_list[Full Name],Name_list[Nick Name])</f>
        <v>0</v>
      </c>
      <c r="H806" s="207"/>
      <c r="I806" s="228"/>
      <c r="J806" s="218"/>
      <c r="K806" s="205"/>
      <c r="L806" s="210">
        <f>(表格3_5[[#This Row],[Out-Time]] - 表格3_5[[#This Row],[In-Time]])*24</f>
        <v>0</v>
      </c>
      <c r="M806" s="210">
        <f>表格3_5[[#This Row],[ Hours]]-表格3_5[[#This Row],[Normal working
 hours]]</f>
        <v>0</v>
      </c>
      <c r="N806" s="205"/>
      <c r="O806" s="205"/>
      <c r="P806" s="210">
        <f>(表格3_5[[#This Row],[Out-Time2]] - 表格3_5[[#This Row],[In-Time2]])*24</f>
        <v>0</v>
      </c>
      <c r="Q806" s="205"/>
      <c r="R806" s="214">
        <f>_xlfn.XLOOKUP(表格3_5[[#This Row],[Name]],Name_list[Full Name],Name_list[Hourr Rate])</f>
        <v>0</v>
      </c>
      <c r="S806" s="210">
        <f>表格3_5[[#This Row],[Hours Worked]]*表格3_5[[#This Row],[Hourly Rate]]</f>
        <v>0</v>
      </c>
    </row>
    <row r="807" spans="1:19">
      <c r="A807" s="201">
        <v>805</v>
      </c>
      <c r="B807" s="210" t="str">
        <f>_xlfn.CONCAT(表格3_5[[#This Row],[Name]],表格3_5[[#This Row],[Location]])</f>
        <v/>
      </c>
      <c r="C807" s="211" t="str">
        <f>表格3_5[[#This Row],[Location]] &amp; 表格3_5[[#This Row],[Date]] &amp;表格3_5[[#This Row],[Nick Name]]</f>
        <v>0</v>
      </c>
      <c r="D807" s="202"/>
      <c r="E807" s="211" t="str">
        <f>DAY(表格3_5[[#This Row],[Date]])&amp;""</f>
        <v>0</v>
      </c>
      <c r="F807" s="203"/>
      <c r="G807" s="216">
        <f>_xlfn.XLOOKUP(表格3_5[[#This Row],[Name]],Name_list[Full Name],Name_list[Nick Name])</f>
        <v>0</v>
      </c>
      <c r="H807" s="207"/>
      <c r="I807" s="228"/>
      <c r="J807" s="218"/>
      <c r="K807" s="205"/>
      <c r="L807" s="210">
        <f>(表格3_5[[#This Row],[Out-Time]] - 表格3_5[[#This Row],[In-Time]])*24</f>
        <v>0</v>
      </c>
      <c r="M807" s="210">
        <f>表格3_5[[#This Row],[ Hours]]-表格3_5[[#This Row],[Normal working
 hours]]</f>
        <v>0</v>
      </c>
      <c r="N807" s="205"/>
      <c r="O807" s="205"/>
      <c r="P807" s="210">
        <f>(表格3_5[[#This Row],[Out-Time2]] - 表格3_5[[#This Row],[In-Time2]])*24</f>
        <v>0</v>
      </c>
      <c r="Q807" s="205"/>
      <c r="R807" s="214">
        <f>_xlfn.XLOOKUP(表格3_5[[#This Row],[Name]],Name_list[Full Name],Name_list[Hourr Rate])</f>
        <v>0</v>
      </c>
      <c r="S807" s="210">
        <f>表格3_5[[#This Row],[Hours Worked]]*表格3_5[[#This Row],[Hourly Rate]]</f>
        <v>0</v>
      </c>
    </row>
    <row r="808" spans="1:19">
      <c r="A808" s="201">
        <v>806</v>
      </c>
      <c r="B808" s="210" t="str">
        <f>_xlfn.CONCAT(表格3_5[[#This Row],[Name]],表格3_5[[#This Row],[Location]])</f>
        <v/>
      </c>
      <c r="C808" s="211" t="str">
        <f>表格3_5[[#This Row],[Location]] &amp; 表格3_5[[#This Row],[Date]] &amp;表格3_5[[#This Row],[Nick Name]]</f>
        <v>0</v>
      </c>
      <c r="D808" s="202"/>
      <c r="E808" s="211" t="str">
        <f>DAY(表格3_5[[#This Row],[Date]])&amp;""</f>
        <v>0</v>
      </c>
      <c r="F808" s="203"/>
      <c r="G808" s="216">
        <f>_xlfn.XLOOKUP(表格3_5[[#This Row],[Name]],Name_list[Full Name],Name_list[Nick Name])</f>
        <v>0</v>
      </c>
      <c r="H808" s="207"/>
      <c r="I808" s="228"/>
      <c r="J808" s="218"/>
      <c r="K808" s="205"/>
      <c r="L808" s="210">
        <f>(表格3_5[[#This Row],[Out-Time]] - 表格3_5[[#This Row],[In-Time]])*24</f>
        <v>0</v>
      </c>
      <c r="M808" s="210">
        <f>表格3_5[[#This Row],[ Hours]]-表格3_5[[#This Row],[Normal working
 hours]]</f>
        <v>0</v>
      </c>
      <c r="N808" s="205"/>
      <c r="O808" s="205"/>
      <c r="P808" s="210">
        <f>(表格3_5[[#This Row],[Out-Time2]] - 表格3_5[[#This Row],[In-Time2]])*24</f>
        <v>0</v>
      </c>
      <c r="Q808" s="205"/>
      <c r="R808" s="214">
        <f>_xlfn.XLOOKUP(表格3_5[[#This Row],[Name]],Name_list[Full Name],Name_list[Hourr Rate])</f>
        <v>0</v>
      </c>
      <c r="S808" s="210">
        <f>表格3_5[[#This Row],[Hours Worked]]*表格3_5[[#This Row],[Hourly Rate]]</f>
        <v>0</v>
      </c>
    </row>
    <row r="809" spans="1:19">
      <c r="A809" s="201">
        <v>807</v>
      </c>
      <c r="B809" s="210" t="str">
        <f>_xlfn.CONCAT(表格3_5[[#This Row],[Name]],表格3_5[[#This Row],[Location]])</f>
        <v/>
      </c>
      <c r="C809" s="211" t="str">
        <f>表格3_5[[#This Row],[Location]] &amp; 表格3_5[[#This Row],[Date]] &amp;表格3_5[[#This Row],[Nick Name]]</f>
        <v>0</v>
      </c>
      <c r="D809" s="202"/>
      <c r="E809" s="211" t="str">
        <f>DAY(表格3_5[[#This Row],[Date]])&amp;""</f>
        <v>0</v>
      </c>
      <c r="F809" s="203"/>
      <c r="G809" s="216">
        <f>_xlfn.XLOOKUP(表格3_5[[#This Row],[Name]],Name_list[Full Name],Name_list[Nick Name])</f>
        <v>0</v>
      </c>
      <c r="H809" s="207"/>
      <c r="I809" s="228"/>
      <c r="J809" s="218"/>
      <c r="K809" s="205"/>
      <c r="L809" s="210">
        <f>(表格3_5[[#This Row],[Out-Time]] - 表格3_5[[#This Row],[In-Time]])*24</f>
        <v>0</v>
      </c>
      <c r="M809" s="210">
        <f>表格3_5[[#This Row],[ Hours]]-表格3_5[[#This Row],[Normal working
 hours]]</f>
        <v>0</v>
      </c>
      <c r="N809" s="205"/>
      <c r="O809" s="205"/>
      <c r="P809" s="210">
        <f>(表格3_5[[#This Row],[Out-Time2]] - 表格3_5[[#This Row],[In-Time2]])*24</f>
        <v>0</v>
      </c>
      <c r="Q809" s="205"/>
      <c r="R809" s="214">
        <f>_xlfn.XLOOKUP(表格3_5[[#This Row],[Name]],Name_list[Full Name],Name_list[Hourr Rate])</f>
        <v>0</v>
      </c>
      <c r="S809" s="210">
        <f>表格3_5[[#This Row],[Hours Worked]]*表格3_5[[#This Row],[Hourly Rate]]</f>
        <v>0</v>
      </c>
    </row>
    <row r="810" spans="1:19">
      <c r="A810" s="201">
        <v>808</v>
      </c>
      <c r="B810" s="210" t="str">
        <f>_xlfn.CONCAT(表格3_5[[#This Row],[Name]],表格3_5[[#This Row],[Location]])</f>
        <v/>
      </c>
      <c r="C810" s="211" t="str">
        <f>表格3_5[[#This Row],[Location]] &amp; 表格3_5[[#This Row],[Date]] &amp;表格3_5[[#This Row],[Nick Name]]</f>
        <v>0</v>
      </c>
      <c r="D810" s="202"/>
      <c r="E810" s="211" t="str">
        <f>DAY(表格3_5[[#This Row],[Date]])&amp;""</f>
        <v>0</v>
      </c>
      <c r="F810" s="203"/>
      <c r="G810" s="216">
        <f>_xlfn.XLOOKUP(表格3_5[[#This Row],[Name]],Name_list[Full Name],Name_list[Nick Name])</f>
        <v>0</v>
      </c>
      <c r="H810" s="207"/>
      <c r="I810" s="228"/>
      <c r="J810" s="218"/>
      <c r="K810" s="205"/>
      <c r="L810" s="210">
        <f>(表格3_5[[#This Row],[Out-Time]] - 表格3_5[[#This Row],[In-Time]])*24</f>
        <v>0</v>
      </c>
      <c r="M810" s="210">
        <f>表格3_5[[#This Row],[ Hours]]-表格3_5[[#This Row],[Normal working
 hours]]</f>
        <v>0</v>
      </c>
      <c r="N810" s="205"/>
      <c r="O810" s="205"/>
      <c r="P810" s="210">
        <f>(表格3_5[[#This Row],[Out-Time2]] - 表格3_5[[#This Row],[In-Time2]])*24</f>
        <v>0</v>
      </c>
      <c r="Q810" s="205"/>
      <c r="R810" s="214">
        <f>_xlfn.XLOOKUP(表格3_5[[#This Row],[Name]],Name_list[Full Name],Name_list[Hourr Rate])</f>
        <v>0</v>
      </c>
      <c r="S810" s="210">
        <f>表格3_5[[#This Row],[Hours Worked]]*表格3_5[[#This Row],[Hourly Rate]]</f>
        <v>0</v>
      </c>
    </row>
    <row r="811" spans="1:19">
      <c r="A811" s="201">
        <v>809</v>
      </c>
      <c r="B811" s="210" t="str">
        <f>_xlfn.CONCAT(表格3_5[[#This Row],[Name]],表格3_5[[#This Row],[Location]])</f>
        <v/>
      </c>
      <c r="C811" s="211" t="str">
        <f>表格3_5[[#This Row],[Location]] &amp; 表格3_5[[#This Row],[Date]] &amp;表格3_5[[#This Row],[Nick Name]]</f>
        <v>0</v>
      </c>
      <c r="D811" s="202"/>
      <c r="E811" s="211" t="str">
        <f>DAY(表格3_5[[#This Row],[Date]])&amp;""</f>
        <v>0</v>
      </c>
      <c r="F811" s="203"/>
      <c r="G811" s="216">
        <f>_xlfn.XLOOKUP(表格3_5[[#This Row],[Name]],Name_list[Full Name],Name_list[Nick Name])</f>
        <v>0</v>
      </c>
      <c r="H811" s="207"/>
      <c r="I811" s="228"/>
      <c r="J811" s="218"/>
      <c r="K811" s="205"/>
      <c r="L811" s="210">
        <f>(表格3_5[[#This Row],[Out-Time]] - 表格3_5[[#This Row],[In-Time]])*24</f>
        <v>0</v>
      </c>
      <c r="M811" s="210">
        <f>表格3_5[[#This Row],[ Hours]]-表格3_5[[#This Row],[Normal working
 hours]]</f>
        <v>0</v>
      </c>
      <c r="N811" s="205"/>
      <c r="O811" s="205"/>
      <c r="P811" s="210">
        <f>(表格3_5[[#This Row],[Out-Time2]] - 表格3_5[[#This Row],[In-Time2]])*24</f>
        <v>0</v>
      </c>
      <c r="Q811" s="205"/>
      <c r="R811" s="214">
        <f>_xlfn.XLOOKUP(表格3_5[[#This Row],[Name]],Name_list[Full Name],Name_list[Hourr Rate])</f>
        <v>0</v>
      </c>
      <c r="S811" s="210">
        <f>表格3_5[[#This Row],[Hours Worked]]*表格3_5[[#This Row],[Hourly Rate]]</f>
        <v>0</v>
      </c>
    </row>
    <row r="812" spans="1:19">
      <c r="A812" s="201">
        <v>810</v>
      </c>
      <c r="B812" s="210" t="str">
        <f>_xlfn.CONCAT(表格3_5[[#This Row],[Name]],表格3_5[[#This Row],[Location]])</f>
        <v/>
      </c>
      <c r="C812" s="211" t="str">
        <f>表格3_5[[#This Row],[Location]] &amp; 表格3_5[[#This Row],[Date]] &amp;表格3_5[[#This Row],[Nick Name]]</f>
        <v>0</v>
      </c>
      <c r="D812" s="202"/>
      <c r="E812" s="211" t="str">
        <f>DAY(表格3_5[[#This Row],[Date]])&amp;""</f>
        <v>0</v>
      </c>
      <c r="F812" s="203"/>
      <c r="G812" s="216">
        <f>_xlfn.XLOOKUP(表格3_5[[#This Row],[Name]],Name_list[Full Name],Name_list[Nick Name])</f>
        <v>0</v>
      </c>
      <c r="H812" s="207"/>
      <c r="I812" s="228"/>
      <c r="J812" s="218"/>
      <c r="K812" s="205"/>
      <c r="L812" s="210">
        <f>(表格3_5[[#This Row],[Out-Time]] - 表格3_5[[#This Row],[In-Time]])*24</f>
        <v>0</v>
      </c>
      <c r="M812" s="210">
        <f>表格3_5[[#This Row],[ Hours]]-表格3_5[[#This Row],[Normal working
 hours]]</f>
        <v>0</v>
      </c>
      <c r="N812" s="205"/>
      <c r="O812" s="205"/>
      <c r="P812" s="210">
        <f>(表格3_5[[#This Row],[Out-Time2]] - 表格3_5[[#This Row],[In-Time2]])*24</f>
        <v>0</v>
      </c>
      <c r="Q812" s="205"/>
      <c r="R812" s="214">
        <f>_xlfn.XLOOKUP(表格3_5[[#This Row],[Name]],Name_list[Full Name],Name_list[Hourr Rate])</f>
        <v>0</v>
      </c>
      <c r="S812" s="210">
        <f>表格3_5[[#This Row],[Hours Worked]]*表格3_5[[#This Row],[Hourly Rate]]</f>
        <v>0</v>
      </c>
    </row>
    <row r="813" spans="1:19">
      <c r="A813" s="201">
        <v>811</v>
      </c>
      <c r="B813" s="210" t="str">
        <f>_xlfn.CONCAT(表格3_5[[#This Row],[Name]],表格3_5[[#This Row],[Location]])</f>
        <v/>
      </c>
      <c r="C813" s="211" t="str">
        <f>表格3_5[[#This Row],[Location]] &amp; 表格3_5[[#This Row],[Date]] &amp;表格3_5[[#This Row],[Nick Name]]</f>
        <v>0</v>
      </c>
      <c r="D813" s="202"/>
      <c r="E813" s="211" t="str">
        <f>DAY(表格3_5[[#This Row],[Date]])&amp;""</f>
        <v>0</v>
      </c>
      <c r="F813" s="203"/>
      <c r="G813" s="216">
        <f>_xlfn.XLOOKUP(表格3_5[[#This Row],[Name]],Name_list[Full Name],Name_list[Nick Name])</f>
        <v>0</v>
      </c>
      <c r="H813" s="207"/>
      <c r="I813" s="228"/>
      <c r="J813" s="218"/>
      <c r="K813" s="205"/>
      <c r="L813" s="210">
        <f>(表格3_5[[#This Row],[Out-Time]] - 表格3_5[[#This Row],[In-Time]])*24</f>
        <v>0</v>
      </c>
      <c r="M813" s="210">
        <f>表格3_5[[#This Row],[ Hours]]-表格3_5[[#This Row],[Normal working
 hours]]</f>
        <v>0</v>
      </c>
      <c r="N813" s="205"/>
      <c r="O813" s="205"/>
      <c r="P813" s="210">
        <f>(表格3_5[[#This Row],[Out-Time2]] - 表格3_5[[#This Row],[In-Time2]])*24</f>
        <v>0</v>
      </c>
      <c r="Q813" s="205"/>
      <c r="R813" s="214">
        <f>_xlfn.XLOOKUP(表格3_5[[#This Row],[Name]],Name_list[Full Name],Name_list[Hourr Rate])</f>
        <v>0</v>
      </c>
      <c r="S813" s="210">
        <f>表格3_5[[#This Row],[Hours Worked]]*表格3_5[[#This Row],[Hourly Rate]]</f>
        <v>0</v>
      </c>
    </row>
    <row r="814" spans="1:19">
      <c r="A814" s="201">
        <v>812</v>
      </c>
      <c r="B814" s="210" t="str">
        <f>_xlfn.CONCAT(表格3_5[[#This Row],[Name]],表格3_5[[#This Row],[Location]])</f>
        <v/>
      </c>
      <c r="C814" s="211" t="str">
        <f>表格3_5[[#This Row],[Location]] &amp; 表格3_5[[#This Row],[Date]] &amp;表格3_5[[#This Row],[Nick Name]]</f>
        <v>0</v>
      </c>
      <c r="D814" s="202"/>
      <c r="E814" s="211" t="str">
        <f>DAY(表格3_5[[#This Row],[Date]])&amp;""</f>
        <v>0</v>
      </c>
      <c r="F814" s="203"/>
      <c r="G814" s="216">
        <f>_xlfn.XLOOKUP(表格3_5[[#This Row],[Name]],Name_list[Full Name],Name_list[Nick Name])</f>
        <v>0</v>
      </c>
      <c r="H814" s="207"/>
      <c r="I814" s="228"/>
      <c r="J814" s="218"/>
      <c r="K814" s="205"/>
      <c r="L814" s="210">
        <f>(表格3_5[[#This Row],[Out-Time]] - 表格3_5[[#This Row],[In-Time]])*24</f>
        <v>0</v>
      </c>
      <c r="M814" s="210">
        <f>表格3_5[[#This Row],[ Hours]]-表格3_5[[#This Row],[Normal working
 hours]]</f>
        <v>0</v>
      </c>
      <c r="N814" s="205"/>
      <c r="O814" s="205"/>
      <c r="P814" s="210">
        <f>(表格3_5[[#This Row],[Out-Time2]] - 表格3_5[[#This Row],[In-Time2]])*24</f>
        <v>0</v>
      </c>
      <c r="Q814" s="205"/>
      <c r="R814" s="214">
        <f>_xlfn.XLOOKUP(表格3_5[[#This Row],[Name]],Name_list[Full Name],Name_list[Hourr Rate])</f>
        <v>0</v>
      </c>
      <c r="S814" s="210">
        <f>表格3_5[[#This Row],[Hours Worked]]*表格3_5[[#This Row],[Hourly Rate]]</f>
        <v>0</v>
      </c>
    </row>
    <row r="815" spans="1:19">
      <c r="A815" s="201">
        <v>813</v>
      </c>
      <c r="B815" s="210" t="str">
        <f>_xlfn.CONCAT(表格3_5[[#This Row],[Name]],表格3_5[[#This Row],[Location]])</f>
        <v/>
      </c>
      <c r="C815" s="211" t="str">
        <f>表格3_5[[#This Row],[Location]] &amp; 表格3_5[[#This Row],[Date]] &amp;表格3_5[[#This Row],[Nick Name]]</f>
        <v>0</v>
      </c>
      <c r="D815" s="202"/>
      <c r="E815" s="211" t="str">
        <f>DAY(表格3_5[[#This Row],[Date]])&amp;""</f>
        <v>0</v>
      </c>
      <c r="F815" s="203"/>
      <c r="G815" s="216">
        <f>_xlfn.XLOOKUP(表格3_5[[#This Row],[Name]],Name_list[Full Name],Name_list[Nick Name])</f>
        <v>0</v>
      </c>
      <c r="H815" s="207"/>
      <c r="I815" s="228"/>
      <c r="J815" s="218"/>
      <c r="K815" s="205"/>
      <c r="L815" s="210">
        <f>(表格3_5[[#This Row],[Out-Time]] - 表格3_5[[#This Row],[In-Time]])*24</f>
        <v>0</v>
      </c>
      <c r="M815" s="210">
        <f>表格3_5[[#This Row],[ Hours]]-表格3_5[[#This Row],[Normal working
 hours]]</f>
        <v>0</v>
      </c>
      <c r="N815" s="205"/>
      <c r="O815" s="205"/>
      <c r="P815" s="210">
        <f>(表格3_5[[#This Row],[Out-Time2]] - 表格3_5[[#This Row],[In-Time2]])*24</f>
        <v>0</v>
      </c>
      <c r="Q815" s="205"/>
      <c r="R815" s="214">
        <f>_xlfn.XLOOKUP(表格3_5[[#This Row],[Name]],Name_list[Full Name],Name_list[Hourr Rate])</f>
        <v>0</v>
      </c>
      <c r="S815" s="210">
        <f>表格3_5[[#This Row],[Hours Worked]]*表格3_5[[#This Row],[Hourly Rate]]</f>
        <v>0</v>
      </c>
    </row>
    <row r="816" spans="1:19">
      <c r="A816" s="201">
        <v>814</v>
      </c>
      <c r="B816" s="210" t="str">
        <f>_xlfn.CONCAT(表格3_5[[#This Row],[Name]],表格3_5[[#This Row],[Location]])</f>
        <v/>
      </c>
      <c r="C816" s="211" t="str">
        <f>表格3_5[[#This Row],[Location]] &amp; 表格3_5[[#This Row],[Date]] &amp;表格3_5[[#This Row],[Nick Name]]</f>
        <v>0</v>
      </c>
      <c r="D816" s="202"/>
      <c r="E816" s="211" t="str">
        <f>DAY(表格3_5[[#This Row],[Date]])&amp;""</f>
        <v>0</v>
      </c>
      <c r="F816" s="203"/>
      <c r="G816" s="216">
        <f>_xlfn.XLOOKUP(表格3_5[[#This Row],[Name]],Name_list[Full Name],Name_list[Nick Name])</f>
        <v>0</v>
      </c>
      <c r="H816" s="207"/>
      <c r="I816" s="228"/>
      <c r="J816" s="218"/>
      <c r="K816" s="205"/>
      <c r="L816" s="210">
        <f>(表格3_5[[#This Row],[Out-Time]] - 表格3_5[[#This Row],[In-Time]])*24</f>
        <v>0</v>
      </c>
      <c r="M816" s="210">
        <f>表格3_5[[#This Row],[ Hours]]-表格3_5[[#This Row],[Normal working
 hours]]</f>
        <v>0</v>
      </c>
      <c r="N816" s="205"/>
      <c r="O816" s="205"/>
      <c r="P816" s="210">
        <f>(表格3_5[[#This Row],[Out-Time2]] - 表格3_5[[#This Row],[In-Time2]])*24</f>
        <v>0</v>
      </c>
      <c r="Q816" s="205"/>
      <c r="R816" s="214">
        <f>_xlfn.XLOOKUP(表格3_5[[#This Row],[Name]],Name_list[Full Name],Name_list[Hourr Rate])</f>
        <v>0</v>
      </c>
      <c r="S816" s="210">
        <f>表格3_5[[#This Row],[Hours Worked]]*表格3_5[[#This Row],[Hourly Rate]]</f>
        <v>0</v>
      </c>
    </row>
    <row r="817" spans="1:19">
      <c r="A817" s="201">
        <v>815</v>
      </c>
      <c r="B817" s="210" t="str">
        <f>_xlfn.CONCAT(表格3_5[[#This Row],[Name]],表格3_5[[#This Row],[Location]])</f>
        <v/>
      </c>
      <c r="C817" s="211" t="str">
        <f>表格3_5[[#This Row],[Location]] &amp; 表格3_5[[#This Row],[Date]] &amp;表格3_5[[#This Row],[Nick Name]]</f>
        <v>0</v>
      </c>
      <c r="D817" s="202"/>
      <c r="E817" s="211" t="str">
        <f>DAY(表格3_5[[#This Row],[Date]])&amp;""</f>
        <v>0</v>
      </c>
      <c r="F817" s="203"/>
      <c r="G817" s="216">
        <f>_xlfn.XLOOKUP(表格3_5[[#This Row],[Name]],Name_list[Full Name],Name_list[Nick Name])</f>
        <v>0</v>
      </c>
      <c r="H817" s="207"/>
      <c r="I817" s="228"/>
      <c r="J817" s="218"/>
      <c r="K817" s="205"/>
      <c r="L817" s="210">
        <f>(表格3_5[[#This Row],[Out-Time]] - 表格3_5[[#This Row],[In-Time]])*24</f>
        <v>0</v>
      </c>
      <c r="M817" s="210">
        <f>表格3_5[[#This Row],[ Hours]]-表格3_5[[#This Row],[Normal working
 hours]]</f>
        <v>0</v>
      </c>
      <c r="N817" s="205"/>
      <c r="O817" s="205"/>
      <c r="P817" s="210">
        <f>(表格3_5[[#This Row],[Out-Time2]] - 表格3_5[[#This Row],[In-Time2]])*24</f>
        <v>0</v>
      </c>
      <c r="Q817" s="205"/>
      <c r="R817" s="214">
        <f>_xlfn.XLOOKUP(表格3_5[[#This Row],[Name]],Name_list[Full Name],Name_list[Hourr Rate])</f>
        <v>0</v>
      </c>
      <c r="S817" s="210">
        <f>表格3_5[[#This Row],[Hours Worked]]*表格3_5[[#This Row],[Hourly Rate]]</f>
        <v>0</v>
      </c>
    </row>
    <row r="818" spans="1:19">
      <c r="A818" s="201">
        <v>816</v>
      </c>
      <c r="B818" s="210" t="str">
        <f>_xlfn.CONCAT(表格3_5[[#This Row],[Name]],表格3_5[[#This Row],[Location]])</f>
        <v/>
      </c>
      <c r="C818" s="211" t="str">
        <f>表格3_5[[#This Row],[Location]] &amp; 表格3_5[[#This Row],[Date]] &amp;表格3_5[[#This Row],[Nick Name]]</f>
        <v>0</v>
      </c>
      <c r="D818" s="202"/>
      <c r="E818" s="211" t="str">
        <f>DAY(表格3_5[[#This Row],[Date]])&amp;""</f>
        <v>0</v>
      </c>
      <c r="F818" s="203"/>
      <c r="G818" s="216">
        <f>_xlfn.XLOOKUP(表格3_5[[#This Row],[Name]],Name_list[Full Name],Name_list[Nick Name])</f>
        <v>0</v>
      </c>
      <c r="H818" s="207"/>
      <c r="I818" s="228"/>
      <c r="J818" s="218"/>
      <c r="K818" s="205"/>
      <c r="L818" s="210">
        <f>(表格3_5[[#This Row],[Out-Time]] - 表格3_5[[#This Row],[In-Time]])*24</f>
        <v>0</v>
      </c>
      <c r="M818" s="210">
        <f>表格3_5[[#This Row],[ Hours]]-表格3_5[[#This Row],[Normal working
 hours]]</f>
        <v>0</v>
      </c>
      <c r="N818" s="205"/>
      <c r="O818" s="205"/>
      <c r="P818" s="210">
        <f>(表格3_5[[#This Row],[Out-Time2]] - 表格3_5[[#This Row],[In-Time2]])*24</f>
        <v>0</v>
      </c>
      <c r="Q818" s="205"/>
      <c r="R818" s="214">
        <f>_xlfn.XLOOKUP(表格3_5[[#This Row],[Name]],Name_list[Full Name],Name_list[Hourr Rate])</f>
        <v>0</v>
      </c>
      <c r="S818" s="210">
        <f>表格3_5[[#This Row],[Hours Worked]]*表格3_5[[#This Row],[Hourly Rate]]</f>
        <v>0</v>
      </c>
    </row>
    <row r="819" spans="1:19">
      <c r="A819" s="201">
        <v>817</v>
      </c>
      <c r="B819" s="210" t="str">
        <f>_xlfn.CONCAT(表格3_5[[#This Row],[Name]],表格3_5[[#This Row],[Location]])</f>
        <v/>
      </c>
      <c r="C819" s="211" t="str">
        <f>表格3_5[[#This Row],[Location]] &amp; 表格3_5[[#This Row],[Date]] &amp;表格3_5[[#This Row],[Nick Name]]</f>
        <v>0</v>
      </c>
      <c r="D819" s="202"/>
      <c r="E819" s="211" t="str">
        <f>DAY(表格3_5[[#This Row],[Date]])&amp;""</f>
        <v>0</v>
      </c>
      <c r="F819" s="203"/>
      <c r="G819" s="216">
        <f>_xlfn.XLOOKUP(表格3_5[[#This Row],[Name]],Name_list[Full Name],Name_list[Nick Name])</f>
        <v>0</v>
      </c>
      <c r="H819" s="207"/>
      <c r="I819" s="228"/>
      <c r="J819" s="218"/>
      <c r="K819" s="205"/>
      <c r="L819" s="210">
        <f>(表格3_5[[#This Row],[Out-Time]] - 表格3_5[[#This Row],[In-Time]])*24</f>
        <v>0</v>
      </c>
      <c r="M819" s="210">
        <f>表格3_5[[#This Row],[ Hours]]-表格3_5[[#This Row],[Normal working
 hours]]</f>
        <v>0</v>
      </c>
      <c r="N819" s="205"/>
      <c r="O819" s="205"/>
      <c r="P819" s="210">
        <f>(表格3_5[[#This Row],[Out-Time2]] - 表格3_5[[#This Row],[In-Time2]])*24</f>
        <v>0</v>
      </c>
      <c r="Q819" s="205"/>
      <c r="R819" s="214">
        <f>_xlfn.XLOOKUP(表格3_5[[#This Row],[Name]],Name_list[Full Name],Name_list[Hourr Rate])</f>
        <v>0</v>
      </c>
      <c r="S819" s="210">
        <f>表格3_5[[#This Row],[Hours Worked]]*表格3_5[[#This Row],[Hourly Rate]]</f>
        <v>0</v>
      </c>
    </row>
    <row r="820" spans="1:19">
      <c r="A820" s="201">
        <v>818</v>
      </c>
      <c r="B820" s="210" t="str">
        <f>_xlfn.CONCAT(表格3_5[[#This Row],[Name]],表格3_5[[#This Row],[Location]])</f>
        <v/>
      </c>
      <c r="C820" s="211" t="str">
        <f>表格3_5[[#This Row],[Location]] &amp; 表格3_5[[#This Row],[Date]] &amp;表格3_5[[#This Row],[Nick Name]]</f>
        <v>0</v>
      </c>
      <c r="D820" s="202"/>
      <c r="E820" s="211" t="str">
        <f>DAY(表格3_5[[#This Row],[Date]])&amp;""</f>
        <v>0</v>
      </c>
      <c r="F820" s="203"/>
      <c r="G820" s="216">
        <f>_xlfn.XLOOKUP(表格3_5[[#This Row],[Name]],Name_list[Full Name],Name_list[Nick Name])</f>
        <v>0</v>
      </c>
      <c r="H820" s="207"/>
      <c r="I820" s="228"/>
      <c r="J820" s="218"/>
      <c r="K820" s="205"/>
      <c r="L820" s="210">
        <f>(表格3_5[[#This Row],[Out-Time]] - 表格3_5[[#This Row],[In-Time]])*24</f>
        <v>0</v>
      </c>
      <c r="M820" s="210">
        <f>表格3_5[[#This Row],[ Hours]]-表格3_5[[#This Row],[Normal working
 hours]]</f>
        <v>0</v>
      </c>
      <c r="N820" s="205"/>
      <c r="O820" s="205"/>
      <c r="P820" s="210">
        <f>(表格3_5[[#This Row],[Out-Time2]] - 表格3_5[[#This Row],[In-Time2]])*24</f>
        <v>0</v>
      </c>
      <c r="Q820" s="205"/>
      <c r="R820" s="214">
        <f>_xlfn.XLOOKUP(表格3_5[[#This Row],[Name]],Name_list[Full Name],Name_list[Hourr Rate])</f>
        <v>0</v>
      </c>
      <c r="S820" s="210">
        <f>表格3_5[[#This Row],[Hours Worked]]*表格3_5[[#This Row],[Hourly Rate]]</f>
        <v>0</v>
      </c>
    </row>
    <row r="821" spans="1:19">
      <c r="A821" s="201">
        <v>819</v>
      </c>
      <c r="B821" s="210" t="str">
        <f>_xlfn.CONCAT(表格3_5[[#This Row],[Name]],表格3_5[[#This Row],[Location]])</f>
        <v/>
      </c>
      <c r="C821" s="211" t="str">
        <f>表格3_5[[#This Row],[Location]] &amp; 表格3_5[[#This Row],[Date]] &amp;表格3_5[[#This Row],[Nick Name]]</f>
        <v>0</v>
      </c>
      <c r="D821" s="202"/>
      <c r="E821" s="211" t="str">
        <f>DAY(表格3_5[[#This Row],[Date]])&amp;""</f>
        <v>0</v>
      </c>
      <c r="F821" s="203"/>
      <c r="G821" s="216">
        <f>_xlfn.XLOOKUP(表格3_5[[#This Row],[Name]],Name_list[Full Name],Name_list[Nick Name])</f>
        <v>0</v>
      </c>
      <c r="H821" s="207"/>
      <c r="I821" s="228"/>
      <c r="J821" s="218"/>
      <c r="K821" s="205"/>
      <c r="L821" s="210">
        <f>(表格3_5[[#This Row],[Out-Time]] - 表格3_5[[#This Row],[In-Time]])*24</f>
        <v>0</v>
      </c>
      <c r="M821" s="210">
        <f>表格3_5[[#This Row],[ Hours]]-表格3_5[[#This Row],[Normal working
 hours]]</f>
        <v>0</v>
      </c>
      <c r="N821" s="205"/>
      <c r="O821" s="205"/>
      <c r="P821" s="210">
        <f>(表格3_5[[#This Row],[Out-Time2]] - 表格3_5[[#This Row],[In-Time2]])*24</f>
        <v>0</v>
      </c>
      <c r="Q821" s="205"/>
      <c r="R821" s="214">
        <f>_xlfn.XLOOKUP(表格3_5[[#This Row],[Name]],Name_list[Full Name],Name_list[Hourr Rate])</f>
        <v>0</v>
      </c>
      <c r="S821" s="210">
        <f>表格3_5[[#This Row],[Hours Worked]]*表格3_5[[#This Row],[Hourly Rate]]</f>
        <v>0</v>
      </c>
    </row>
    <row r="822" spans="1:19">
      <c r="A822" s="201">
        <v>820</v>
      </c>
      <c r="B822" s="210" t="str">
        <f>_xlfn.CONCAT(表格3_5[[#This Row],[Name]],表格3_5[[#This Row],[Location]])</f>
        <v/>
      </c>
      <c r="C822" s="211" t="str">
        <f>表格3_5[[#This Row],[Location]] &amp; 表格3_5[[#This Row],[Date]] &amp;表格3_5[[#This Row],[Nick Name]]</f>
        <v>0</v>
      </c>
      <c r="D822" s="202"/>
      <c r="E822" s="211" t="str">
        <f>DAY(表格3_5[[#This Row],[Date]])&amp;""</f>
        <v>0</v>
      </c>
      <c r="F822" s="203"/>
      <c r="G822" s="216">
        <f>_xlfn.XLOOKUP(表格3_5[[#This Row],[Name]],Name_list[Full Name],Name_list[Nick Name])</f>
        <v>0</v>
      </c>
      <c r="H822" s="207"/>
      <c r="I822" s="228"/>
      <c r="J822" s="218"/>
      <c r="K822" s="205"/>
      <c r="L822" s="210">
        <f>(表格3_5[[#This Row],[Out-Time]] - 表格3_5[[#This Row],[In-Time]])*24</f>
        <v>0</v>
      </c>
      <c r="M822" s="210">
        <f>表格3_5[[#This Row],[ Hours]]-表格3_5[[#This Row],[Normal working
 hours]]</f>
        <v>0</v>
      </c>
      <c r="N822" s="205"/>
      <c r="O822" s="205"/>
      <c r="P822" s="210">
        <f>(表格3_5[[#This Row],[Out-Time2]] - 表格3_5[[#This Row],[In-Time2]])*24</f>
        <v>0</v>
      </c>
      <c r="Q822" s="205"/>
      <c r="R822" s="214">
        <f>_xlfn.XLOOKUP(表格3_5[[#This Row],[Name]],Name_list[Full Name],Name_list[Hourr Rate])</f>
        <v>0</v>
      </c>
      <c r="S822" s="210">
        <f>表格3_5[[#This Row],[Hours Worked]]*表格3_5[[#This Row],[Hourly Rate]]</f>
        <v>0</v>
      </c>
    </row>
    <row r="823" spans="1:19">
      <c r="A823" s="201">
        <v>821</v>
      </c>
      <c r="B823" s="210" t="str">
        <f>_xlfn.CONCAT(表格3_5[[#This Row],[Name]],表格3_5[[#This Row],[Location]])</f>
        <v/>
      </c>
      <c r="C823" s="211" t="str">
        <f>表格3_5[[#This Row],[Location]] &amp; 表格3_5[[#This Row],[Date]] &amp;表格3_5[[#This Row],[Nick Name]]</f>
        <v>0</v>
      </c>
      <c r="D823" s="202"/>
      <c r="E823" s="211" t="str">
        <f>DAY(表格3_5[[#This Row],[Date]])&amp;""</f>
        <v>0</v>
      </c>
      <c r="F823" s="203"/>
      <c r="G823" s="216">
        <f>_xlfn.XLOOKUP(表格3_5[[#This Row],[Name]],Name_list[Full Name],Name_list[Nick Name])</f>
        <v>0</v>
      </c>
      <c r="H823" s="207"/>
      <c r="I823" s="228"/>
      <c r="J823" s="218"/>
      <c r="K823" s="205"/>
      <c r="L823" s="210">
        <f>(表格3_5[[#This Row],[Out-Time]] - 表格3_5[[#This Row],[In-Time]])*24</f>
        <v>0</v>
      </c>
      <c r="M823" s="210">
        <f>表格3_5[[#This Row],[ Hours]]-表格3_5[[#This Row],[Normal working
 hours]]</f>
        <v>0</v>
      </c>
      <c r="N823" s="205"/>
      <c r="O823" s="205"/>
      <c r="P823" s="210">
        <f>(表格3_5[[#This Row],[Out-Time2]] - 表格3_5[[#This Row],[In-Time2]])*24</f>
        <v>0</v>
      </c>
      <c r="Q823" s="205"/>
      <c r="R823" s="214">
        <f>_xlfn.XLOOKUP(表格3_5[[#This Row],[Name]],Name_list[Full Name],Name_list[Hourr Rate])</f>
        <v>0</v>
      </c>
      <c r="S823" s="210">
        <f>表格3_5[[#This Row],[Hours Worked]]*表格3_5[[#This Row],[Hourly Rate]]</f>
        <v>0</v>
      </c>
    </row>
    <row r="824" spans="1:19">
      <c r="A824" s="201">
        <v>822</v>
      </c>
      <c r="B824" s="210" t="str">
        <f>_xlfn.CONCAT(表格3_5[[#This Row],[Name]],表格3_5[[#This Row],[Location]])</f>
        <v/>
      </c>
      <c r="C824" s="211" t="str">
        <f>表格3_5[[#This Row],[Location]] &amp; 表格3_5[[#This Row],[Date]] &amp;表格3_5[[#This Row],[Nick Name]]</f>
        <v>0</v>
      </c>
      <c r="D824" s="202"/>
      <c r="E824" s="211" t="str">
        <f>DAY(表格3_5[[#This Row],[Date]])&amp;""</f>
        <v>0</v>
      </c>
      <c r="F824" s="203"/>
      <c r="G824" s="216">
        <f>_xlfn.XLOOKUP(表格3_5[[#This Row],[Name]],Name_list[Full Name],Name_list[Nick Name])</f>
        <v>0</v>
      </c>
      <c r="H824" s="207"/>
      <c r="I824" s="228"/>
      <c r="J824" s="218"/>
      <c r="K824" s="205"/>
      <c r="L824" s="210">
        <f>(表格3_5[[#This Row],[Out-Time]] - 表格3_5[[#This Row],[In-Time]])*24</f>
        <v>0</v>
      </c>
      <c r="M824" s="210">
        <f>表格3_5[[#This Row],[ Hours]]-表格3_5[[#This Row],[Normal working
 hours]]</f>
        <v>0</v>
      </c>
      <c r="N824" s="205"/>
      <c r="O824" s="205"/>
      <c r="P824" s="210">
        <f>(表格3_5[[#This Row],[Out-Time2]] - 表格3_5[[#This Row],[In-Time2]])*24</f>
        <v>0</v>
      </c>
      <c r="Q824" s="205"/>
      <c r="R824" s="214">
        <f>_xlfn.XLOOKUP(表格3_5[[#This Row],[Name]],Name_list[Full Name],Name_list[Hourr Rate])</f>
        <v>0</v>
      </c>
      <c r="S824" s="210">
        <f>表格3_5[[#This Row],[Hours Worked]]*表格3_5[[#This Row],[Hourly Rate]]</f>
        <v>0</v>
      </c>
    </row>
    <row r="825" spans="1:19">
      <c r="A825" s="201">
        <v>823</v>
      </c>
      <c r="B825" s="210" t="str">
        <f>_xlfn.CONCAT(表格3_5[[#This Row],[Name]],表格3_5[[#This Row],[Location]])</f>
        <v/>
      </c>
      <c r="C825" s="211" t="str">
        <f>表格3_5[[#This Row],[Location]] &amp; 表格3_5[[#This Row],[Date]] &amp;表格3_5[[#This Row],[Nick Name]]</f>
        <v>0</v>
      </c>
      <c r="D825" s="202"/>
      <c r="E825" s="211" t="str">
        <f>DAY(表格3_5[[#This Row],[Date]])&amp;""</f>
        <v>0</v>
      </c>
      <c r="F825" s="203"/>
      <c r="G825" s="216">
        <f>_xlfn.XLOOKUP(表格3_5[[#This Row],[Name]],Name_list[Full Name],Name_list[Nick Name])</f>
        <v>0</v>
      </c>
      <c r="H825" s="207"/>
      <c r="I825" s="228"/>
      <c r="J825" s="218"/>
      <c r="K825" s="205"/>
      <c r="L825" s="210">
        <f>(表格3_5[[#This Row],[Out-Time]] - 表格3_5[[#This Row],[In-Time]])*24</f>
        <v>0</v>
      </c>
      <c r="M825" s="210">
        <f>表格3_5[[#This Row],[ Hours]]-表格3_5[[#This Row],[Normal working
 hours]]</f>
        <v>0</v>
      </c>
      <c r="N825" s="205"/>
      <c r="O825" s="205"/>
      <c r="P825" s="210">
        <f>(表格3_5[[#This Row],[Out-Time2]] - 表格3_5[[#This Row],[In-Time2]])*24</f>
        <v>0</v>
      </c>
      <c r="Q825" s="205"/>
      <c r="R825" s="214">
        <f>_xlfn.XLOOKUP(表格3_5[[#This Row],[Name]],Name_list[Full Name],Name_list[Hourr Rate])</f>
        <v>0</v>
      </c>
      <c r="S825" s="210">
        <f>表格3_5[[#This Row],[Hours Worked]]*表格3_5[[#This Row],[Hourly Rate]]</f>
        <v>0</v>
      </c>
    </row>
    <row r="826" spans="1:19">
      <c r="A826" s="201">
        <v>824</v>
      </c>
      <c r="B826" s="210" t="str">
        <f>_xlfn.CONCAT(表格3_5[[#This Row],[Name]],表格3_5[[#This Row],[Location]])</f>
        <v/>
      </c>
      <c r="C826" s="211" t="str">
        <f>表格3_5[[#This Row],[Location]] &amp; 表格3_5[[#This Row],[Date]] &amp;表格3_5[[#This Row],[Nick Name]]</f>
        <v>0</v>
      </c>
      <c r="D826" s="202"/>
      <c r="E826" s="211" t="str">
        <f>DAY(表格3_5[[#This Row],[Date]])&amp;""</f>
        <v>0</v>
      </c>
      <c r="F826" s="203"/>
      <c r="G826" s="216">
        <f>_xlfn.XLOOKUP(表格3_5[[#This Row],[Name]],Name_list[Full Name],Name_list[Nick Name])</f>
        <v>0</v>
      </c>
      <c r="H826" s="207"/>
      <c r="I826" s="228"/>
      <c r="J826" s="218"/>
      <c r="K826" s="205"/>
      <c r="L826" s="210">
        <f>(表格3_5[[#This Row],[Out-Time]] - 表格3_5[[#This Row],[In-Time]])*24</f>
        <v>0</v>
      </c>
      <c r="M826" s="210">
        <f>表格3_5[[#This Row],[ Hours]]-表格3_5[[#This Row],[Normal working
 hours]]</f>
        <v>0</v>
      </c>
      <c r="N826" s="205"/>
      <c r="O826" s="205"/>
      <c r="P826" s="210">
        <f>(表格3_5[[#This Row],[Out-Time2]] - 表格3_5[[#This Row],[In-Time2]])*24</f>
        <v>0</v>
      </c>
      <c r="Q826" s="205"/>
      <c r="R826" s="214">
        <f>_xlfn.XLOOKUP(表格3_5[[#This Row],[Name]],Name_list[Full Name],Name_list[Hourr Rate])</f>
        <v>0</v>
      </c>
      <c r="S826" s="210">
        <f>表格3_5[[#This Row],[Hours Worked]]*表格3_5[[#This Row],[Hourly Rate]]</f>
        <v>0</v>
      </c>
    </row>
    <row r="827" spans="1:19">
      <c r="A827" s="201">
        <v>825</v>
      </c>
      <c r="B827" s="210" t="str">
        <f>_xlfn.CONCAT(表格3_5[[#This Row],[Name]],表格3_5[[#This Row],[Location]])</f>
        <v/>
      </c>
      <c r="C827" s="211" t="str">
        <f>表格3_5[[#This Row],[Location]] &amp; 表格3_5[[#This Row],[Date]] &amp;表格3_5[[#This Row],[Nick Name]]</f>
        <v>0</v>
      </c>
      <c r="D827" s="202"/>
      <c r="E827" s="211" t="str">
        <f>DAY(表格3_5[[#This Row],[Date]])&amp;""</f>
        <v>0</v>
      </c>
      <c r="F827" s="203"/>
      <c r="G827" s="216">
        <f>_xlfn.XLOOKUP(表格3_5[[#This Row],[Name]],Name_list[Full Name],Name_list[Nick Name])</f>
        <v>0</v>
      </c>
      <c r="H827" s="207"/>
      <c r="I827" s="228"/>
      <c r="J827" s="218"/>
      <c r="K827" s="205"/>
      <c r="L827" s="210">
        <f>(表格3_5[[#This Row],[Out-Time]] - 表格3_5[[#This Row],[In-Time]])*24</f>
        <v>0</v>
      </c>
      <c r="M827" s="210">
        <f>表格3_5[[#This Row],[ Hours]]-表格3_5[[#This Row],[Normal working
 hours]]</f>
        <v>0</v>
      </c>
      <c r="N827" s="205"/>
      <c r="O827" s="205"/>
      <c r="P827" s="210">
        <f>(表格3_5[[#This Row],[Out-Time2]] - 表格3_5[[#This Row],[In-Time2]])*24</f>
        <v>0</v>
      </c>
      <c r="Q827" s="205"/>
      <c r="R827" s="214">
        <f>_xlfn.XLOOKUP(表格3_5[[#This Row],[Name]],Name_list[Full Name],Name_list[Hourr Rate])</f>
        <v>0</v>
      </c>
      <c r="S827" s="210">
        <f>表格3_5[[#This Row],[Hours Worked]]*表格3_5[[#This Row],[Hourly Rate]]</f>
        <v>0</v>
      </c>
    </row>
    <row r="828" spans="1:19">
      <c r="A828" s="201">
        <v>826</v>
      </c>
      <c r="B828" s="210" t="str">
        <f>_xlfn.CONCAT(表格3_5[[#This Row],[Name]],表格3_5[[#This Row],[Location]])</f>
        <v/>
      </c>
      <c r="C828" s="211" t="str">
        <f>表格3_5[[#This Row],[Location]] &amp; 表格3_5[[#This Row],[Date]] &amp;表格3_5[[#This Row],[Nick Name]]</f>
        <v>0</v>
      </c>
      <c r="D828" s="202"/>
      <c r="E828" s="211" t="str">
        <f>DAY(表格3_5[[#This Row],[Date]])&amp;""</f>
        <v>0</v>
      </c>
      <c r="F828" s="203"/>
      <c r="G828" s="216">
        <f>_xlfn.XLOOKUP(表格3_5[[#This Row],[Name]],Name_list[Full Name],Name_list[Nick Name])</f>
        <v>0</v>
      </c>
      <c r="H828" s="207"/>
      <c r="I828" s="228"/>
      <c r="J828" s="218"/>
      <c r="K828" s="205"/>
      <c r="L828" s="210">
        <f>(表格3_5[[#This Row],[Out-Time]] - 表格3_5[[#This Row],[In-Time]])*24</f>
        <v>0</v>
      </c>
      <c r="M828" s="210">
        <f>表格3_5[[#This Row],[ Hours]]-表格3_5[[#This Row],[Normal working
 hours]]</f>
        <v>0</v>
      </c>
      <c r="N828" s="205"/>
      <c r="O828" s="205"/>
      <c r="P828" s="210">
        <f>(表格3_5[[#This Row],[Out-Time2]] - 表格3_5[[#This Row],[In-Time2]])*24</f>
        <v>0</v>
      </c>
      <c r="Q828" s="205"/>
      <c r="R828" s="214">
        <f>_xlfn.XLOOKUP(表格3_5[[#This Row],[Name]],Name_list[Full Name],Name_list[Hourr Rate])</f>
        <v>0</v>
      </c>
      <c r="S828" s="210">
        <f>表格3_5[[#This Row],[Hours Worked]]*表格3_5[[#This Row],[Hourly Rate]]</f>
        <v>0</v>
      </c>
    </row>
    <row r="829" spans="1:19">
      <c r="A829" s="201">
        <v>827</v>
      </c>
      <c r="B829" s="210" t="str">
        <f>_xlfn.CONCAT(表格3_5[[#This Row],[Name]],表格3_5[[#This Row],[Location]])</f>
        <v/>
      </c>
      <c r="C829" s="211" t="str">
        <f>表格3_5[[#This Row],[Location]] &amp; 表格3_5[[#This Row],[Date]] &amp;表格3_5[[#This Row],[Nick Name]]</f>
        <v>0</v>
      </c>
      <c r="D829" s="202"/>
      <c r="E829" s="211" t="str">
        <f>DAY(表格3_5[[#This Row],[Date]])&amp;""</f>
        <v>0</v>
      </c>
      <c r="F829" s="203"/>
      <c r="G829" s="216">
        <f>_xlfn.XLOOKUP(表格3_5[[#This Row],[Name]],Name_list[Full Name],Name_list[Nick Name])</f>
        <v>0</v>
      </c>
      <c r="H829" s="207"/>
      <c r="I829" s="228"/>
      <c r="J829" s="218"/>
      <c r="K829" s="205"/>
      <c r="L829" s="210">
        <f>(表格3_5[[#This Row],[Out-Time]] - 表格3_5[[#This Row],[In-Time]])*24</f>
        <v>0</v>
      </c>
      <c r="M829" s="210">
        <f>表格3_5[[#This Row],[ Hours]]-表格3_5[[#This Row],[Normal working
 hours]]</f>
        <v>0</v>
      </c>
      <c r="N829" s="205"/>
      <c r="O829" s="205"/>
      <c r="P829" s="210">
        <f>(表格3_5[[#This Row],[Out-Time2]] - 表格3_5[[#This Row],[In-Time2]])*24</f>
        <v>0</v>
      </c>
      <c r="Q829" s="205"/>
      <c r="R829" s="214">
        <f>_xlfn.XLOOKUP(表格3_5[[#This Row],[Name]],Name_list[Full Name],Name_list[Hourr Rate])</f>
        <v>0</v>
      </c>
      <c r="S829" s="210">
        <f>表格3_5[[#This Row],[Hours Worked]]*表格3_5[[#This Row],[Hourly Rate]]</f>
        <v>0</v>
      </c>
    </row>
    <row r="830" spans="1:19">
      <c r="A830" s="201">
        <v>828</v>
      </c>
      <c r="B830" s="210" t="str">
        <f>_xlfn.CONCAT(表格3_5[[#This Row],[Name]],表格3_5[[#This Row],[Location]])</f>
        <v/>
      </c>
      <c r="C830" s="211" t="str">
        <f>表格3_5[[#This Row],[Location]] &amp; 表格3_5[[#This Row],[Date]] &amp;表格3_5[[#This Row],[Nick Name]]</f>
        <v>0</v>
      </c>
      <c r="D830" s="202"/>
      <c r="E830" s="211" t="str">
        <f>DAY(表格3_5[[#This Row],[Date]])&amp;""</f>
        <v>0</v>
      </c>
      <c r="F830" s="203"/>
      <c r="G830" s="216">
        <f>_xlfn.XLOOKUP(表格3_5[[#This Row],[Name]],Name_list[Full Name],Name_list[Nick Name])</f>
        <v>0</v>
      </c>
      <c r="H830" s="207"/>
      <c r="I830" s="228"/>
      <c r="J830" s="218"/>
      <c r="K830" s="205"/>
      <c r="L830" s="210">
        <f>(表格3_5[[#This Row],[Out-Time]] - 表格3_5[[#This Row],[In-Time]])*24</f>
        <v>0</v>
      </c>
      <c r="M830" s="210">
        <f>表格3_5[[#This Row],[ Hours]]-表格3_5[[#This Row],[Normal working
 hours]]</f>
        <v>0</v>
      </c>
      <c r="N830" s="205"/>
      <c r="O830" s="205"/>
      <c r="P830" s="210">
        <f>(表格3_5[[#This Row],[Out-Time2]] - 表格3_5[[#This Row],[In-Time2]])*24</f>
        <v>0</v>
      </c>
      <c r="Q830" s="205"/>
      <c r="R830" s="214">
        <f>_xlfn.XLOOKUP(表格3_5[[#This Row],[Name]],Name_list[Full Name],Name_list[Hourr Rate])</f>
        <v>0</v>
      </c>
      <c r="S830" s="210">
        <f>表格3_5[[#This Row],[Hours Worked]]*表格3_5[[#This Row],[Hourly Rate]]</f>
        <v>0</v>
      </c>
    </row>
    <row r="831" spans="1:19">
      <c r="A831" s="201">
        <v>829</v>
      </c>
      <c r="B831" s="210" t="str">
        <f>_xlfn.CONCAT(表格3_5[[#This Row],[Name]],表格3_5[[#This Row],[Location]])</f>
        <v/>
      </c>
      <c r="C831" s="211" t="str">
        <f>表格3_5[[#This Row],[Location]] &amp; 表格3_5[[#This Row],[Date]] &amp;表格3_5[[#This Row],[Nick Name]]</f>
        <v>0</v>
      </c>
      <c r="D831" s="202"/>
      <c r="E831" s="211" t="str">
        <f>DAY(表格3_5[[#This Row],[Date]])&amp;""</f>
        <v>0</v>
      </c>
      <c r="F831" s="203"/>
      <c r="G831" s="216">
        <f>_xlfn.XLOOKUP(表格3_5[[#This Row],[Name]],Name_list[Full Name],Name_list[Nick Name])</f>
        <v>0</v>
      </c>
      <c r="H831" s="207"/>
      <c r="I831" s="228"/>
      <c r="J831" s="218"/>
      <c r="K831" s="205"/>
      <c r="L831" s="210">
        <f>(表格3_5[[#This Row],[Out-Time]] - 表格3_5[[#This Row],[In-Time]])*24</f>
        <v>0</v>
      </c>
      <c r="M831" s="210">
        <f>表格3_5[[#This Row],[ Hours]]-表格3_5[[#This Row],[Normal working
 hours]]</f>
        <v>0</v>
      </c>
      <c r="N831" s="205"/>
      <c r="O831" s="205"/>
      <c r="P831" s="210">
        <f>(表格3_5[[#This Row],[Out-Time2]] - 表格3_5[[#This Row],[In-Time2]])*24</f>
        <v>0</v>
      </c>
      <c r="Q831" s="205"/>
      <c r="R831" s="214">
        <f>_xlfn.XLOOKUP(表格3_5[[#This Row],[Name]],Name_list[Full Name],Name_list[Hourr Rate])</f>
        <v>0</v>
      </c>
      <c r="S831" s="210">
        <f>表格3_5[[#This Row],[Hours Worked]]*表格3_5[[#This Row],[Hourly Rate]]</f>
        <v>0</v>
      </c>
    </row>
    <row r="832" spans="1:19">
      <c r="A832" s="201">
        <v>830</v>
      </c>
      <c r="B832" s="210" t="str">
        <f>_xlfn.CONCAT(表格3_5[[#This Row],[Name]],表格3_5[[#This Row],[Location]])</f>
        <v/>
      </c>
      <c r="C832" s="211" t="str">
        <f>表格3_5[[#This Row],[Location]] &amp; 表格3_5[[#This Row],[Date]] &amp;表格3_5[[#This Row],[Nick Name]]</f>
        <v>0</v>
      </c>
      <c r="D832" s="202"/>
      <c r="E832" s="211" t="str">
        <f>DAY(表格3_5[[#This Row],[Date]])&amp;""</f>
        <v>0</v>
      </c>
      <c r="F832" s="203"/>
      <c r="G832" s="216">
        <f>_xlfn.XLOOKUP(表格3_5[[#This Row],[Name]],Name_list[Full Name],Name_list[Nick Name])</f>
        <v>0</v>
      </c>
      <c r="H832" s="207"/>
      <c r="I832" s="228"/>
      <c r="J832" s="218"/>
      <c r="K832" s="205"/>
      <c r="L832" s="210">
        <f>(表格3_5[[#This Row],[Out-Time]] - 表格3_5[[#This Row],[In-Time]])*24</f>
        <v>0</v>
      </c>
      <c r="M832" s="210">
        <f>表格3_5[[#This Row],[ Hours]]-表格3_5[[#This Row],[Normal working
 hours]]</f>
        <v>0</v>
      </c>
      <c r="N832" s="205"/>
      <c r="O832" s="205"/>
      <c r="P832" s="210">
        <f>(表格3_5[[#This Row],[Out-Time2]] - 表格3_5[[#This Row],[In-Time2]])*24</f>
        <v>0</v>
      </c>
      <c r="Q832" s="205"/>
      <c r="R832" s="214">
        <f>_xlfn.XLOOKUP(表格3_5[[#This Row],[Name]],Name_list[Full Name],Name_list[Hourr Rate])</f>
        <v>0</v>
      </c>
      <c r="S832" s="210">
        <f>表格3_5[[#This Row],[Hours Worked]]*表格3_5[[#This Row],[Hourly Rate]]</f>
        <v>0</v>
      </c>
    </row>
    <row r="833" spans="1:19">
      <c r="A833" s="201">
        <v>831</v>
      </c>
      <c r="B833" s="210" t="str">
        <f>_xlfn.CONCAT(表格3_5[[#This Row],[Name]],表格3_5[[#This Row],[Location]])</f>
        <v/>
      </c>
      <c r="C833" s="211" t="str">
        <f>表格3_5[[#This Row],[Location]] &amp; 表格3_5[[#This Row],[Date]] &amp;表格3_5[[#This Row],[Nick Name]]</f>
        <v>0</v>
      </c>
      <c r="D833" s="202"/>
      <c r="E833" s="211" t="str">
        <f>DAY(表格3_5[[#This Row],[Date]])&amp;""</f>
        <v>0</v>
      </c>
      <c r="F833" s="203"/>
      <c r="G833" s="216">
        <f>_xlfn.XLOOKUP(表格3_5[[#This Row],[Name]],Name_list[Full Name],Name_list[Nick Name])</f>
        <v>0</v>
      </c>
      <c r="H833" s="207"/>
      <c r="I833" s="228"/>
      <c r="J833" s="218"/>
      <c r="K833" s="205"/>
      <c r="L833" s="210">
        <f>(表格3_5[[#This Row],[Out-Time]] - 表格3_5[[#This Row],[In-Time]])*24</f>
        <v>0</v>
      </c>
      <c r="M833" s="210">
        <f>表格3_5[[#This Row],[ Hours]]-表格3_5[[#This Row],[Normal working
 hours]]</f>
        <v>0</v>
      </c>
      <c r="N833" s="205"/>
      <c r="O833" s="205"/>
      <c r="P833" s="210">
        <f>(表格3_5[[#This Row],[Out-Time2]] - 表格3_5[[#This Row],[In-Time2]])*24</f>
        <v>0</v>
      </c>
      <c r="Q833" s="205"/>
      <c r="R833" s="214">
        <f>_xlfn.XLOOKUP(表格3_5[[#This Row],[Name]],Name_list[Full Name],Name_list[Hourr Rate])</f>
        <v>0</v>
      </c>
      <c r="S833" s="210">
        <f>表格3_5[[#This Row],[Hours Worked]]*表格3_5[[#This Row],[Hourly Rate]]</f>
        <v>0</v>
      </c>
    </row>
    <row r="834" spans="1:19">
      <c r="A834" s="201">
        <v>832</v>
      </c>
      <c r="B834" s="210" t="str">
        <f>_xlfn.CONCAT(表格3_5[[#This Row],[Name]],表格3_5[[#This Row],[Location]])</f>
        <v/>
      </c>
      <c r="C834" s="211" t="str">
        <f>表格3_5[[#This Row],[Location]] &amp; 表格3_5[[#This Row],[Date]] &amp;表格3_5[[#This Row],[Nick Name]]</f>
        <v>0</v>
      </c>
      <c r="D834" s="202"/>
      <c r="E834" s="211" t="str">
        <f>DAY(表格3_5[[#This Row],[Date]])&amp;""</f>
        <v>0</v>
      </c>
      <c r="F834" s="203"/>
      <c r="G834" s="216">
        <f>_xlfn.XLOOKUP(表格3_5[[#This Row],[Name]],Name_list[Full Name],Name_list[Nick Name])</f>
        <v>0</v>
      </c>
      <c r="H834" s="207"/>
      <c r="I834" s="228"/>
      <c r="J834" s="218"/>
      <c r="K834" s="205"/>
      <c r="L834" s="210">
        <f>(表格3_5[[#This Row],[Out-Time]] - 表格3_5[[#This Row],[In-Time]])*24</f>
        <v>0</v>
      </c>
      <c r="M834" s="210">
        <f>表格3_5[[#This Row],[ Hours]]-表格3_5[[#This Row],[Normal working
 hours]]</f>
        <v>0</v>
      </c>
      <c r="N834" s="205"/>
      <c r="O834" s="205"/>
      <c r="P834" s="210">
        <f>(表格3_5[[#This Row],[Out-Time2]] - 表格3_5[[#This Row],[In-Time2]])*24</f>
        <v>0</v>
      </c>
      <c r="Q834" s="205"/>
      <c r="R834" s="214">
        <f>_xlfn.XLOOKUP(表格3_5[[#This Row],[Name]],Name_list[Full Name],Name_list[Hourr Rate])</f>
        <v>0</v>
      </c>
      <c r="S834" s="210">
        <f>表格3_5[[#This Row],[Hours Worked]]*表格3_5[[#This Row],[Hourly Rate]]</f>
        <v>0</v>
      </c>
    </row>
    <row r="835" spans="1:19">
      <c r="A835" s="201">
        <v>833</v>
      </c>
      <c r="B835" s="210" t="str">
        <f>_xlfn.CONCAT(表格3_5[[#This Row],[Name]],表格3_5[[#This Row],[Location]])</f>
        <v/>
      </c>
      <c r="C835" s="211" t="str">
        <f>表格3_5[[#This Row],[Location]] &amp; 表格3_5[[#This Row],[Date]] &amp;表格3_5[[#This Row],[Nick Name]]</f>
        <v>0</v>
      </c>
      <c r="D835" s="202"/>
      <c r="E835" s="211" t="str">
        <f>DAY(表格3_5[[#This Row],[Date]])&amp;""</f>
        <v>0</v>
      </c>
      <c r="F835" s="203"/>
      <c r="G835" s="216">
        <f>_xlfn.XLOOKUP(表格3_5[[#This Row],[Name]],Name_list[Full Name],Name_list[Nick Name])</f>
        <v>0</v>
      </c>
      <c r="H835" s="207"/>
      <c r="I835" s="228"/>
      <c r="J835" s="218"/>
      <c r="K835" s="205"/>
      <c r="L835" s="210">
        <f>(表格3_5[[#This Row],[Out-Time]] - 表格3_5[[#This Row],[In-Time]])*24</f>
        <v>0</v>
      </c>
      <c r="M835" s="210">
        <f>表格3_5[[#This Row],[ Hours]]-表格3_5[[#This Row],[Normal working
 hours]]</f>
        <v>0</v>
      </c>
      <c r="N835" s="205"/>
      <c r="O835" s="205"/>
      <c r="P835" s="210">
        <f>(表格3_5[[#This Row],[Out-Time2]] - 表格3_5[[#This Row],[In-Time2]])*24</f>
        <v>0</v>
      </c>
      <c r="Q835" s="205"/>
      <c r="R835" s="214">
        <f>_xlfn.XLOOKUP(表格3_5[[#This Row],[Name]],Name_list[Full Name],Name_list[Hourr Rate])</f>
        <v>0</v>
      </c>
      <c r="S835" s="210">
        <f>表格3_5[[#This Row],[Hours Worked]]*表格3_5[[#This Row],[Hourly Rate]]</f>
        <v>0</v>
      </c>
    </row>
    <row r="836" spans="1:19">
      <c r="A836" s="201">
        <v>834</v>
      </c>
      <c r="B836" s="210" t="str">
        <f>_xlfn.CONCAT(表格3_5[[#This Row],[Name]],表格3_5[[#This Row],[Location]])</f>
        <v/>
      </c>
      <c r="C836" s="211" t="str">
        <f>表格3_5[[#This Row],[Location]] &amp; 表格3_5[[#This Row],[Date]] &amp;表格3_5[[#This Row],[Nick Name]]</f>
        <v>0</v>
      </c>
      <c r="D836" s="202"/>
      <c r="E836" s="211" t="str">
        <f>DAY(表格3_5[[#This Row],[Date]])&amp;""</f>
        <v>0</v>
      </c>
      <c r="F836" s="203"/>
      <c r="G836" s="216">
        <f>_xlfn.XLOOKUP(表格3_5[[#This Row],[Name]],Name_list[Full Name],Name_list[Nick Name])</f>
        <v>0</v>
      </c>
      <c r="H836" s="207"/>
      <c r="I836" s="228"/>
      <c r="J836" s="218"/>
      <c r="K836" s="205"/>
      <c r="L836" s="210">
        <f>(表格3_5[[#This Row],[Out-Time]] - 表格3_5[[#This Row],[In-Time]])*24</f>
        <v>0</v>
      </c>
      <c r="M836" s="210">
        <f>表格3_5[[#This Row],[ Hours]]-表格3_5[[#This Row],[Normal working
 hours]]</f>
        <v>0</v>
      </c>
      <c r="N836" s="205"/>
      <c r="O836" s="205"/>
      <c r="P836" s="210">
        <f>(表格3_5[[#This Row],[Out-Time2]] - 表格3_5[[#This Row],[In-Time2]])*24</f>
        <v>0</v>
      </c>
      <c r="Q836" s="205"/>
      <c r="R836" s="214">
        <f>_xlfn.XLOOKUP(表格3_5[[#This Row],[Name]],Name_list[Full Name],Name_list[Hourr Rate])</f>
        <v>0</v>
      </c>
      <c r="S836" s="210">
        <f>表格3_5[[#This Row],[Hours Worked]]*表格3_5[[#This Row],[Hourly Rate]]</f>
        <v>0</v>
      </c>
    </row>
    <row r="837" spans="1:19">
      <c r="A837" s="201">
        <v>835</v>
      </c>
      <c r="B837" s="210" t="str">
        <f>_xlfn.CONCAT(表格3_5[[#This Row],[Name]],表格3_5[[#This Row],[Location]])</f>
        <v/>
      </c>
      <c r="C837" s="211" t="str">
        <f>表格3_5[[#This Row],[Location]] &amp; 表格3_5[[#This Row],[Date]] &amp;表格3_5[[#This Row],[Nick Name]]</f>
        <v>0</v>
      </c>
      <c r="D837" s="202"/>
      <c r="E837" s="211" t="str">
        <f>DAY(表格3_5[[#This Row],[Date]])&amp;""</f>
        <v>0</v>
      </c>
      <c r="F837" s="203"/>
      <c r="G837" s="216">
        <f>_xlfn.XLOOKUP(表格3_5[[#This Row],[Name]],Name_list[Full Name],Name_list[Nick Name])</f>
        <v>0</v>
      </c>
      <c r="H837" s="207"/>
      <c r="I837" s="228"/>
      <c r="J837" s="218"/>
      <c r="K837" s="205"/>
      <c r="L837" s="210">
        <f>(表格3_5[[#This Row],[Out-Time]] - 表格3_5[[#This Row],[In-Time]])*24</f>
        <v>0</v>
      </c>
      <c r="M837" s="210">
        <f>表格3_5[[#This Row],[ Hours]]-表格3_5[[#This Row],[Normal working
 hours]]</f>
        <v>0</v>
      </c>
      <c r="N837" s="205"/>
      <c r="O837" s="205"/>
      <c r="P837" s="210">
        <f>(表格3_5[[#This Row],[Out-Time2]] - 表格3_5[[#This Row],[In-Time2]])*24</f>
        <v>0</v>
      </c>
      <c r="Q837" s="205"/>
      <c r="R837" s="214">
        <f>_xlfn.XLOOKUP(表格3_5[[#This Row],[Name]],Name_list[Full Name],Name_list[Hourr Rate])</f>
        <v>0</v>
      </c>
      <c r="S837" s="210">
        <f>表格3_5[[#This Row],[Hours Worked]]*表格3_5[[#This Row],[Hourly Rate]]</f>
        <v>0</v>
      </c>
    </row>
    <row r="838" spans="1:19">
      <c r="A838" s="201">
        <v>836</v>
      </c>
      <c r="B838" s="210" t="str">
        <f>_xlfn.CONCAT(表格3_5[[#This Row],[Name]],表格3_5[[#This Row],[Location]])</f>
        <v/>
      </c>
      <c r="C838" s="211" t="str">
        <f>表格3_5[[#This Row],[Location]] &amp; 表格3_5[[#This Row],[Date]] &amp;表格3_5[[#This Row],[Nick Name]]</f>
        <v>0</v>
      </c>
      <c r="D838" s="202"/>
      <c r="E838" s="211" t="str">
        <f>DAY(表格3_5[[#This Row],[Date]])&amp;""</f>
        <v>0</v>
      </c>
      <c r="F838" s="203"/>
      <c r="G838" s="216">
        <f>_xlfn.XLOOKUP(表格3_5[[#This Row],[Name]],Name_list[Full Name],Name_list[Nick Name])</f>
        <v>0</v>
      </c>
      <c r="H838" s="207"/>
      <c r="I838" s="228"/>
      <c r="J838" s="218"/>
      <c r="K838" s="205"/>
      <c r="L838" s="210">
        <f>(表格3_5[[#This Row],[Out-Time]] - 表格3_5[[#This Row],[In-Time]])*24</f>
        <v>0</v>
      </c>
      <c r="M838" s="210">
        <f>表格3_5[[#This Row],[ Hours]]-表格3_5[[#This Row],[Normal working
 hours]]</f>
        <v>0</v>
      </c>
      <c r="N838" s="205"/>
      <c r="O838" s="205"/>
      <c r="P838" s="210">
        <f>(表格3_5[[#This Row],[Out-Time2]] - 表格3_5[[#This Row],[In-Time2]])*24</f>
        <v>0</v>
      </c>
      <c r="Q838" s="205"/>
      <c r="R838" s="214">
        <f>_xlfn.XLOOKUP(表格3_5[[#This Row],[Name]],Name_list[Full Name],Name_list[Hourr Rate])</f>
        <v>0</v>
      </c>
      <c r="S838" s="210">
        <f>表格3_5[[#This Row],[Hours Worked]]*表格3_5[[#This Row],[Hourly Rate]]</f>
        <v>0</v>
      </c>
    </row>
    <row r="839" spans="1:19">
      <c r="A839" s="201">
        <v>837</v>
      </c>
      <c r="B839" s="210" t="str">
        <f>_xlfn.CONCAT(表格3_5[[#This Row],[Name]],表格3_5[[#This Row],[Location]])</f>
        <v/>
      </c>
      <c r="C839" s="211" t="str">
        <f>表格3_5[[#This Row],[Location]] &amp; 表格3_5[[#This Row],[Date]] &amp;表格3_5[[#This Row],[Nick Name]]</f>
        <v>0</v>
      </c>
      <c r="D839" s="202"/>
      <c r="E839" s="211" t="str">
        <f>DAY(表格3_5[[#This Row],[Date]])&amp;""</f>
        <v>0</v>
      </c>
      <c r="F839" s="203"/>
      <c r="G839" s="216">
        <f>_xlfn.XLOOKUP(表格3_5[[#This Row],[Name]],Name_list[Full Name],Name_list[Nick Name])</f>
        <v>0</v>
      </c>
      <c r="H839" s="207"/>
      <c r="I839" s="228"/>
      <c r="J839" s="218"/>
      <c r="K839" s="205"/>
      <c r="L839" s="210">
        <f>(表格3_5[[#This Row],[Out-Time]] - 表格3_5[[#This Row],[In-Time]])*24</f>
        <v>0</v>
      </c>
      <c r="M839" s="210">
        <f>表格3_5[[#This Row],[ Hours]]-表格3_5[[#This Row],[Normal working
 hours]]</f>
        <v>0</v>
      </c>
      <c r="N839" s="205"/>
      <c r="O839" s="205"/>
      <c r="P839" s="210">
        <f>(表格3_5[[#This Row],[Out-Time2]] - 表格3_5[[#This Row],[In-Time2]])*24</f>
        <v>0</v>
      </c>
      <c r="Q839" s="205"/>
      <c r="R839" s="214">
        <f>_xlfn.XLOOKUP(表格3_5[[#This Row],[Name]],Name_list[Full Name],Name_list[Hourr Rate])</f>
        <v>0</v>
      </c>
      <c r="S839" s="210">
        <f>表格3_5[[#This Row],[Hours Worked]]*表格3_5[[#This Row],[Hourly Rate]]</f>
        <v>0</v>
      </c>
    </row>
    <row r="840" spans="1:19">
      <c r="A840" s="201">
        <v>838</v>
      </c>
      <c r="B840" s="210" t="str">
        <f>_xlfn.CONCAT(表格3_5[[#This Row],[Name]],表格3_5[[#This Row],[Location]])</f>
        <v/>
      </c>
      <c r="C840" s="211" t="str">
        <f>表格3_5[[#This Row],[Location]] &amp; 表格3_5[[#This Row],[Date]] &amp;表格3_5[[#This Row],[Nick Name]]</f>
        <v>0</v>
      </c>
      <c r="D840" s="202"/>
      <c r="E840" s="211" t="str">
        <f>DAY(表格3_5[[#This Row],[Date]])&amp;""</f>
        <v>0</v>
      </c>
      <c r="F840" s="203"/>
      <c r="G840" s="216">
        <f>_xlfn.XLOOKUP(表格3_5[[#This Row],[Name]],Name_list[Full Name],Name_list[Nick Name])</f>
        <v>0</v>
      </c>
      <c r="H840" s="207"/>
      <c r="I840" s="228"/>
      <c r="J840" s="218"/>
      <c r="K840" s="205"/>
      <c r="L840" s="210">
        <f>(表格3_5[[#This Row],[Out-Time]] - 表格3_5[[#This Row],[In-Time]])*24</f>
        <v>0</v>
      </c>
      <c r="M840" s="210">
        <f>表格3_5[[#This Row],[ Hours]]-表格3_5[[#This Row],[Normal working
 hours]]</f>
        <v>0</v>
      </c>
      <c r="N840" s="205"/>
      <c r="O840" s="205"/>
      <c r="P840" s="210">
        <f>(表格3_5[[#This Row],[Out-Time2]] - 表格3_5[[#This Row],[In-Time2]])*24</f>
        <v>0</v>
      </c>
      <c r="Q840" s="205"/>
      <c r="R840" s="214">
        <f>_xlfn.XLOOKUP(表格3_5[[#This Row],[Name]],Name_list[Full Name],Name_list[Hourr Rate])</f>
        <v>0</v>
      </c>
      <c r="S840" s="210">
        <f>表格3_5[[#This Row],[Hours Worked]]*表格3_5[[#This Row],[Hourly Rate]]</f>
        <v>0</v>
      </c>
    </row>
    <row r="841" spans="1:19">
      <c r="A841" s="201">
        <v>839</v>
      </c>
      <c r="B841" s="210" t="str">
        <f>_xlfn.CONCAT(表格3_5[[#This Row],[Name]],表格3_5[[#This Row],[Location]])</f>
        <v/>
      </c>
      <c r="C841" s="211" t="str">
        <f>表格3_5[[#This Row],[Location]] &amp; 表格3_5[[#This Row],[Date]] &amp;表格3_5[[#This Row],[Nick Name]]</f>
        <v>0</v>
      </c>
      <c r="D841" s="202"/>
      <c r="E841" s="211" t="str">
        <f>DAY(表格3_5[[#This Row],[Date]])&amp;""</f>
        <v>0</v>
      </c>
      <c r="F841" s="203"/>
      <c r="G841" s="216">
        <f>_xlfn.XLOOKUP(表格3_5[[#This Row],[Name]],Name_list[Full Name],Name_list[Nick Name])</f>
        <v>0</v>
      </c>
      <c r="H841" s="207"/>
      <c r="I841" s="228"/>
      <c r="J841" s="218"/>
      <c r="K841" s="205"/>
      <c r="L841" s="210">
        <f>(表格3_5[[#This Row],[Out-Time]] - 表格3_5[[#This Row],[In-Time]])*24</f>
        <v>0</v>
      </c>
      <c r="M841" s="210">
        <f>表格3_5[[#This Row],[ Hours]]-表格3_5[[#This Row],[Normal working
 hours]]</f>
        <v>0</v>
      </c>
      <c r="N841" s="205"/>
      <c r="O841" s="205"/>
      <c r="P841" s="210">
        <f>(表格3_5[[#This Row],[Out-Time2]] - 表格3_5[[#This Row],[In-Time2]])*24</f>
        <v>0</v>
      </c>
      <c r="Q841" s="205"/>
      <c r="R841" s="214">
        <f>_xlfn.XLOOKUP(表格3_5[[#This Row],[Name]],Name_list[Full Name],Name_list[Hourr Rate])</f>
        <v>0</v>
      </c>
      <c r="S841" s="210">
        <f>表格3_5[[#This Row],[Hours Worked]]*表格3_5[[#This Row],[Hourly Rate]]</f>
        <v>0</v>
      </c>
    </row>
    <row r="842" spans="1:19">
      <c r="A842" s="201">
        <v>840</v>
      </c>
      <c r="B842" s="210" t="str">
        <f>_xlfn.CONCAT(表格3_5[[#This Row],[Name]],表格3_5[[#This Row],[Location]])</f>
        <v/>
      </c>
      <c r="C842" s="211" t="str">
        <f>表格3_5[[#This Row],[Location]] &amp; 表格3_5[[#This Row],[Date]] &amp;表格3_5[[#This Row],[Nick Name]]</f>
        <v>0</v>
      </c>
      <c r="D842" s="202"/>
      <c r="E842" s="211" t="str">
        <f>DAY(表格3_5[[#This Row],[Date]])&amp;""</f>
        <v>0</v>
      </c>
      <c r="F842" s="203"/>
      <c r="G842" s="216">
        <f>_xlfn.XLOOKUP(表格3_5[[#This Row],[Name]],Name_list[Full Name],Name_list[Nick Name])</f>
        <v>0</v>
      </c>
      <c r="H842" s="207"/>
      <c r="I842" s="228"/>
      <c r="J842" s="218"/>
      <c r="K842" s="205"/>
      <c r="L842" s="210">
        <f>(表格3_5[[#This Row],[Out-Time]] - 表格3_5[[#This Row],[In-Time]])*24</f>
        <v>0</v>
      </c>
      <c r="M842" s="210">
        <f>表格3_5[[#This Row],[ Hours]]-表格3_5[[#This Row],[Normal working
 hours]]</f>
        <v>0</v>
      </c>
      <c r="N842" s="205"/>
      <c r="O842" s="205"/>
      <c r="P842" s="210">
        <f>(表格3_5[[#This Row],[Out-Time2]] - 表格3_5[[#This Row],[In-Time2]])*24</f>
        <v>0</v>
      </c>
      <c r="Q842" s="205"/>
      <c r="R842" s="214">
        <f>_xlfn.XLOOKUP(表格3_5[[#This Row],[Name]],Name_list[Full Name],Name_list[Hourr Rate])</f>
        <v>0</v>
      </c>
      <c r="S842" s="210">
        <f>表格3_5[[#This Row],[Hours Worked]]*表格3_5[[#This Row],[Hourly Rate]]</f>
        <v>0</v>
      </c>
    </row>
    <row r="843" spans="1:19">
      <c r="A843" s="201">
        <v>841</v>
      </c>
      <c r="B843" s="210" t="str">
        <f>_xlfn.CONCAT(表格3_5[[#This Row],[Name]],表格3_5[[#This Row],[Location]])</f>
        <v/>
      </c>
      <c r="C843" s="211" t="str">
        <f>表格3_5[[#This Row],[Location]] &amp; 表格3_5[[#This Row],[Date]] &amp;表格3_5[[#This Row],[Nick Name]]</f>
        <v>0</v>
      </c>
      <c r="D843" s="202"/>
      <c r="E843" s="211" t="str">
        <f>DAY(表格3_5[[#This Row],[Date]])&amp;""</f>
        <v>0</v>
      </c>
      <c r="F843" s="203"/>
      <c r="G843" s="216">
        <f>_xlfn.XLOOKUP(表格3_5[[#This Row],[Name]],Name_list[Full Name],Name_list[Nick Name])</f>
        <v>0</v>
      </c>
      <c r="H843" s="207"/>
      <c r="I843" s="228"/>
      <c r="J843" s="218"/>
      <c r="K843" s="205"/>
      <c r="L843" s="210">
        <f>(表格3_5[[#This Row],[Out-Time]] - 表格3_5[[#This Row],[In-Time]])*24</f>
        <v>0</v>
      </c>
      <c r="M843" s="210">
        <f>表格3_5[[#This Row],[ Hours]]-表格3_5[[#This Row],[Normal working
 hours]]</f>
        <v>0</v>
      </c>
      <c r="N843" s="205"/>
      <c r="O843" s="205"/>
      <c r="P843" s="210">
        <f>(表格3_5[[#This Row],[Out-Time2]] - 表格3_5[[#This Row],[In-Time2]])*24</f>
        <v>0</v>
      </c>
      <c r="Q843" s="205"/>
      <c r="R843" s="214">
        <f>_xlfn.XLOOKUP(表格3_5[[#This Row],[Name]],Name_list[Full Name],Name_list[Hourr Rate])</f>
        <v>0</v>
      </c>
      <c r="S843" s="210">
        <f>表格3_5[[#This Row],[Hours Worked]]*表格3_5[[#This Row],[Hourly Rate]]</f>
        <v>0</v>
      </c>
    </row>
    <row r="844" spans="1:19">
      <c r="A844" s="201">
        <v>842</v>
      </c>
      <c r="B844" s="210" t="str">
        <f>_xlfn.CONCAT(表格3_5[[#This Row],[Name]],表格3_5[[#This Row],[Location]])</f>
        <v/>
      </c>
      <c r="C844" s="211" t="str">
        <f>表格3_5[[#This Row],[Location]] &amp; 表格3_5[[#This Row],[Date]] &amp;表格3_5[[#This Row],[Nick Name]]</f>
        <v>0</v>
      </c>
      <c r="D844" s="202"/>
      <c r="E844" s="211" t="str">
        <f>DAY(表格3_5[[#This Row],[Date]])&amp;""</f>
        <v>0</v>
      </c>
      <c r="F844" s="203"/>
      <c r="G844" s="216">
        <f>_xlfn.XLOOKUP(表格3_5[[#This Row],[Name]],Name_list[Full Name],Name_list[Nick Name])</f>
        <v>0</v>
      </c>
      <c r="H844" s="207"/>
      <c r="I844" s="228"/>
      <c r="J844" s="218"/>
      <c r="K844" s="205"/>
      <c r="L844" s="210">
        <f>(表格3_5[[#This Row],[Out-Time]] - 表格3_5[[#This Row],[In-Time]])*24</f>
        <v>0</v>
      </c>
      <c r="M844" s="210">
        <f>表格3_5[[#This Row],[ Hours]]-表格3_5[[#This Row],[Normal working
 hours]]</f>
        <v>0</v>
      </c>
      <c r="N844" s="205"/>
      <c r="O844" s="205"/>
      <c r="P844" s="210">
        <f>(表格3_5[[#This Row],[Out-Time2]] - 表格3_5[[#This Row],[In-Time2]])*24</f>
        <v>0</v>
      </c>
      <c r="Q844" s="205"/>
      <c r="R844" s="214">
        <f>_xlfn.XLOOKUP(表格3_5[[#This Row],[Name]],Name_list[Full Name],Name_list[Hourr Rate])</f>
        <v>0</v>
      </c>
      <c r="S844" s="210">
        <f>表格3_5[[#This Row],[Hours Worked]]*表格3_5[[#This Row],[Hourly Rate]]</f>
        <v>0</v>
      </c>
    </row>
    <row r="845" spans="1:19">
      <c r="A845" s="201">
        <v>843</v>
      </c>
      <c r="B845" s="210" t="str">
        <f>_xlfn.CONCAT(表格3_5[[#This Row],[Name]],表格3_5[[#This Row],[Location]])</f>
        <v/>
      </c>
      <c r="C845" s="211" t="str">
        <f>表格3_5[[#This Row],[Location]] &amp; 表格3_5[[#This Row],[Date]] &amp;表格3_5[[#This Row],[Nick Name]]</f>
        <v>0</v>
      </c>
      <c r="D845" s="202"/>
      <c r="E845" s="211" t="str">
        <f>DAY(表格3_5[[#This Row],[Date]])&amp;""</f>
        <v>0</v>
      </c>
      <c r="F845" s="203"/>
      <c r="G845" s="216">
        <f>_xlfn.XLOOKUP(表格3_5[[#This Row],[Name]],Name_list[Full Name],Name_list[Nick Name])</f>
        <v>0</v>
      </c>
      <c r="H845" s="207"/>
      <c r="I845" s="228"/>
      <c r="J845" s="218"/>
      <c r="K845" s="205"/>
      <c r="L845" s="210">
        <f>(表格3_5[[#This Row],[Out-Time]] - 表格3_5[[#This Row],[In-Time]])*24</f>
        <v>0</v>
      </c>
      <c r="M845" s="210">
        <f>表格3_5[[#This Row],[ Hours]]-表格3_5[[#This Row],[Normal working
 hours]]</f>
        <v>0</v>
      </c>
      <c r="N845" s="205"/>
      <c r="O845" s="205"/>
      <c r="P845" s="210">
        <f>(表格3_5[[#This Row],[Out-Time2]] - 表格3_5[[#This Row],[In-Time2]])*24</f>
        <v>0</v>
      </c>
      <c r="Q845" s="205"/>
      <c r="R845" s="214">
        <f>_xlfn.XLOOKUP(表格3_5[[#This Row],[Name]],Name_list[Full Name],Name_list[Hourr Rate])</f>
        <v>0</v>
      </c>
      <c r="S845" s="210">
        <f>表格3_5[[#This Row],[Hours Worked]]*表格3_5[[#This Row],[Hourly Rate]]</f>
        <v>0</v>
      </c>
    </row>
    <row r="846" spans="1:19">
      <c r="A846" s="201">
        <v>844</v>
      </c>
      <c r="B846" s="210" t="str">
        <f>_xlfn.CONCAT(表格3_5[[#This Row],[Name]],表格3_5[[#This Row],[Location]])</f>
        <v/>
      </c>
      <c r="C846" s="211" t="str">
        <f>表格3_5[[#This Row],[Location]] &amp; 表格3_5[[#This Row],[Date]] &amp;表格3_5[[#This Row],[Nick Name]]</f>
        <v>0</v>
      </c>
      <c r="D846" s="202"/>
      <c r="E846" s="211" t="str">
        <f>DAY(表格3_5[[#This Row],[Date]])&amp;""</f>
        <v>0</v>
      </c>
      <c r="F846" s="203"/>
      <c r="G846" s="216">
        <f>_xlfn.XLOOKUP(表格3_5[[#This Row],[Name]],Name_list[Full Name],Name_list[Nick Name])</f>
        <v>0</v>
      </c>
      <c r="H846" s="207"/>
      <c r="I846" s="228"/>
      <c r="J846" s="218"/>
      <c r="K846" s="205"/>
      <c r="L846" s="210">
        <f>(表格3_5[[#This Row],[Out-Time]] - 表格3_5[[#This Row],[In-Time]])*24</f>
        <v>0</v>
      </c>
      <c r="M846" s="210">
        <f>表格3_5[[#This Row],[ Hours]]-表格3_5[[#This Row],[Normal working
 hours]]</f>
        <v>0</v>
      </c>
      <c r="N846" s="205"/>
      <c r="O846" s="205"/>
      <c r="P846" s="210">
        <f>(表格3_5[[#This Row],[Out-Time2]] - 表格3_5[[#This Row],[In-Time2]])*24</f>
        <v>0</v>
      </c>
      <c r="Q846" s="205"/>
      <c r="R846" s="214">
        <f>_xlfn.XLOOKUP(表格3_5[[#This Row],[Name]],Name_list[Full Name],Name_list[Hourr Rate])</f>
        <v>0</v>
      </c>
      <c r="S846" s="210">
        <f>表格3_5[[#This Row],[Hours Worked]]*表格3_5[[#This Row],[Hourly Rate]]</f>
        <v>0</v>
      </c>
    </row>
    <row r="847" spans="1:19">
      <c r="A847" s="201">
        <v>845</v>
      </c>
      <c r="B847" s="210" t="str">
        <f>_xlfn.CONCAT(表格3_5[[#This Row],[Name]],表格3_5[[#This Row],[Location]])</f>
        <v/>
      </c>
      <c r="C847" s="211" t="str">
        <f>表格3_5[[#This Row],[Location]] &amp; 表格3_5[[#This Row],[Date]] &amp;表格3_5[[#This Row],[Nick Name]]</f>
        <v>0</v>
      </c>
      <c r="D847" s="202"/>
      <c r="E847" s="211" t="str">
        <f>DAY(表格3_5[[#This Row],[Date]])&amp;""</f>
        <v>0</v>
      </c>
      <c r="F847" s="203"/>
      <c r="G847" s="216">
        <f>_xlfn.XLOOKUP(表格3_5[[#This Row],[Name]],Name_list[Full Name],Name_list[Nick Name])</f>
        <v>0</v>
      </c>
      <c r="H847" s="207"/>
      <c r="I847" s="228"/>
      <c r="J847" s="218"/>
      <c r="K847" s="205"/>
      <c r="L847" s="210">
        <f>(表格3_5[[#This Row],[Out-Time]] - 表格3_5[[#This Row],[In-Time]])*24</f>
        <v>0</v>
      </c>
      <c r="M847" s="210">
        <f>表格3_5[[#This Row],[ Hours]]-表格3_5[[#This Row],[Normal working
 hours]]</f>
        <v>0</v>
      </c>
      <c r="N847" s="205"/>
      <c r="O847" s="205"/>
      <c r="P847" s="210">
        <f>(表格3_5[[#This Row],[Out-Time2]] - 表格3_5[[#This Row],[In-Time2]])*24</f>
        <v>0</v>
      </c>
      <c r="Q847" s="205"/>
      <c r="R847" s="214">
        <f>_xlfn.XLOOKUP(表格3_5[[#This Row],[Name]],Name_list[Full Name],Name_list[Hourr Rate])</f>
        <v>0</v>
      </c>
      <c r="S847" s="210">
        <f>表格3_5[[#This Row],[Hours Worked]]*表格3_5[[#This Row],[Hourly Rate]]</f>
        <v>0</v>
      </c>
    </row>
    <row r="848" spans="1:19">
      <c r="A848" s="201">
        <v>846</v>
      </c>
      <c r="B848" s="210" t="str">
        <f>_xlfn.CONCAT(表格3_5[[#This Row],[Name]],表格3_5[[#This Row],[Location]])</f>
        <v/>
      </c>
      <c r="C848" s="211" t="str">
        <f>表格3_5[[#This Row],[Location]] &amp; 表格3_5[[#This Row],[Date]] &amp;表格3_5[[#This Row],[Nick Name]]</f>
        <v>0</v>
      </c>
      <c r="D848" s="202"/>
      <c r="E848" s="211" t="str">
        <f>DAY(表格3_5[[#This Row],[Date]])&amp;""</f>
        <v>0</v>
      </c>
      <c r="F848" s="203"/>
      <c r="G848" s="216">
        <f>_xlfn.XLOOKUP(表格3_5[[#This Row],[Name]],Name_list[Full Name],Name_list[Nick Name])</f>
        <v>0</v>
      </c>
      <c r="H848" s="207"/>
      <c r="I848" s="228"/>
      <c r="J848" s="218"/>
      <c r="K848" s="205"/>
      <c r="L848" s="210">
        <f>(表格3_5[[#This Row],[Out-Time]] - 表格3_5[[#This Row],[In-Time]])*24</f>
        <v>0</v>
      </c>
      <c r="M848" s="210">
        <f>表格3_5[[#This Row],[ Hours]]-表格3_5[[#This Row],[Normal working
 hours]]</f>
        <v>0</v>
      </c>
      <c r="N848" s="205"/>
      <c r="O848" s="205"/>
      <c r="P848" s="210">
        <f>(表格3_5[[#This Row],[Out-Time2]] - 表格3_5[[#This Row],[In-Time2]])*24</f>
        <v>0</v>
      </c>
      <c r="Q848" s="205"/>
      <c r="R848" s="214">
        <f>_xlfn.XLOOKUP(表格3_5[[#This Row],[Name]],Name_list[Full Name],Name_list[Hourr Rate])</f>
        <v>0</v>
      </c>
      <c r="S848" s="210">
        <f>表格3_5[[#This Row],[Hours Worked]]*表格3_5[[#This Row],[Hourly Rate]]</f>
        <v>0</v>
      </c>
    </row>
    <row r="849" spans="1:19">
      <c r="A849" s="201">
        <v>847</v>
      </c>
      <c r="B849" s="210" t="str">
        <f>_xlfn.CONCAT(表格3_5[[#This Row],[Name]],表格3_5[[#This Row],[Location]])</f>
        <v/>
      </c>
      <c r="C849" s="211" t="str">
        <f>表格3_5[[#This Row],[Location]] &amp; 表格3_5[[#This Row],[Date]] &amp;表格3_5[[#This Row],[Nick Name]]</f>
        <v>0</v>
      </c>
      <c r="D849" s="202"/>
      <c r="E849" s="211" t="str">
        <f>DAY(表格3_5[[#This Row],[Date]])&amp;""</f>
        <v>0</v>
      </c>
      <c r="F849" s="203"/>
      <c r="G849" s="216">
        <f>_xlfn.XLOOKUP(表格3_5[[#This Row],[Name]],Name_list[Full Name],Name_list[Nick Name])</f>
        <v>0</v>
      </c>
      <c r="H849" s="207"/>
      <c r="I849" s="228"/>
      <c r="J849" s="218"/>
      <c r="K849" s="205"/>
      <c r="L849" s="210">
        <f>(表格3_5[[#This Row],[Out-Time]] - 表格3_5[[#This Row],[In-Time]])*24</f>
        <v>0</v>
      </c>
      <c r="M849" s="210">
        <f>表格3_5[[#This Row],[ Hours]]-表格3_5[[#This Row],[Normal working
 hours]]</f>
        <v>0</v>
      </c>
      <c r="N849" s="205"/>
      <c r="O849" s="205"/>
      <c r="P849" s="210">
        <f>(表格3_5[[#This Row],[Out-Time2]] - 表格3_5[[#This Row],[In-Time2]])*24</f>
        <v>0</v>
      </c>
      <c r="Q849" s="205"/>
      <c r="R849" s="214">
        <f>_xlfn.XLOOKUP(表格3_5[[#This Row],[Name]],Name_list[Full Name],Name_list[Hourr Rate])</f>
        <v>0</v>
      </c>
      <c r="S849" s="210">
        <f>表格3_5[[#This Row],[Hours Worked]]*表格3_5[[#This Row],[Hourly Rate]]</f>
        <v>0</v>
      </c>
    </row>
    <row r="850" spans="1:19">
      <c r="A850" s="201">
        <v>848</v>
      </c>
      <c r="B850" s="210" t="str">
        <f>_xlfn.CONCAT(表格3_5[[#This Row],[Name]],表格3_5[[#This Row],[Location]])</f>
        <v/>
      </c>
      <c r="C850" s="211" t="str">
        <f>表格3_5[[#This Row],[Location]] &amp; 表格3_5[[#This Row],[Date]] &amp;表格3_5[[#This Row],[Nick Name]]</f>
        <v>0</v>
      </c>
      <c r="D850" s="202"/>
      <c r="E850" s="211" t="str">
        <f>DAY(表格3_5[[#This Row],[Date]])&amp;""</f>
        <v>0</v>
      </c>
      <c r="F850" s="203"/>
      <c r="G850" s="216">
        <f>_xlfn.XLOOKUP(表格3_5[[#This Row],[Name]],Name_list[Full Name],Name_list[Nick Name])</f>
        <v>0</v>
      </c>
      <c r="H850" s="207"/>
      <c r="I850" s="228"/>
      <c r="J850" s="218"/>
      <c r="K850" s="205"/>
      <c r="L850" s="210">
        <f>(表格3_5[[#This Row],[Out-Time]] - 表格3_5[[#This Row],[In-Time]])*24</f>
        <v>0</v>
      </c>
      <c r="M850" s="210">
        <f>表格3_5[[#This Row],[ Hours]]-表格3_5[[#This Row],[Normal working
 hours]]</f>
        <v>0</v>
      </c>
      <c r="N850" s="205"/>
      <c r="O850" s="205"/>
      <c r="P850" s="210">
        <f>(表格3_5[[#This Row],[Out-Time2]] - 表格3_5[[#This Row],[In-Time2]])*24</f>
        <v>0</v>
      </c>
      <c r="Q850" s="205"/>
      <c r="R850" s="214">
        <f>_xlfn.XLOOKUP(表格3_5[[#This Row],[Name]],Name_list[Full Name],Name_list[Hourr Rate])</f>
        <v>0</v>
      </c>
      <c r="S850" s="210">
        <f>表格3_5[[#This Row],[Hours Worked]]*表格3_5[[#This Row],[Hourly Rate]]</f>
        <v>0</v>
      </c>
    </row>
    <row r="851" spans="1:19">
      <c r="A851" s="201">
        <v>849</v>
      </c>
      <c r="B851" s="210" t="str">
        <f>_xlfn.CONCAT(表格3_5[[#This Row],[Name]],表格3_5[[#This Row],[Location]])</f>
        <v/>
      </c>
      <c r="C851" s="211" t="str">
        <f>表格3_5[[#This Row],[Location]] &amp; 表格3_5[[#This Row],[Date]] &amp;表格3_5[[#This Row],[Nick Name]]</f>
        <v>0</v>
      </c>
      <c r="D851" s="202"/>
      <c r="E851" s="211" t="str">
        <f>DAY(表格3_5[[#This Row],[Date]])&amp;""</f>
        <v>0</v>
      </c>
      <c r="F851" s="203"/>
      <c r="G851" s="216">
        <f>_xlfn.XLOOKUP(表格3_5[[#This Row],[Name]],Name_list[Full Name],Name_list[Nick Name])</f>
        <v>0</v>
      </c>
      <c r="H851" s="207"/>
      <c r="I851" s="228"/>
      <c r="J851" s="218"/>
      <c r="K851" s="205"/>
      <c r="L851" s="210">
        <f>(表格3_5[[#This Row],[Out-Time]] - 表格3_5[[#This Row],[In-Time]])*24</f>
        <v>0</v>
      </c>
      <c r="M851" s="210">
        <f>表格3_5[[#This Row],[ Hours]]-表格3_5[[#This Row],[Normal working
 hours]]</f>
        <v>0</v>
      </c>
      <c r="N851" s="205"/>
      <c r="O851" s="205"/>
      <c r="P851" s="210">
        <f>(表格3_5[[#This Row],[Out-Time2]] - 表格3_5[[#This Row],[In-Time2]])*24</f>
        <v>0</v>
      </c>
      <c r="Q851" s="205"/>
      <c r="R851" s="214">
        <f>_xlfn.XLOOKUP(表格3_5[[#This Row],[Name]],Name_list[Full Name],Name_list[Hourr Rate])</f>
        <v>0</v>
      </c>
      <c r="S851" s="210">
        <f>表格3_5[[#This Row],[Hours Worked]]*表格3_5[[#This Row],[Hourly Rate]]</f>
        <v>0</v>
      </c>
    </row>
    <row r="852" spans="1:19">
      <c r="A852" s="201">
        <v>850</v>
      </c>
      <c r="B852" s="210" t="str">
        <f>_xlfn.CONCAT(表格3_5[[#This Row],[Name]],表格3_5[[#This Row],[Location]])</f>
        <v/>
      </c>
      <c r="C852" s="211" t="str">
        <f>表格3_5[[#This Row],[Location]] &amp; 表格3_5[[#This Row],[Date]] &amp;表格3_5[[#This Row],[Nick Name]]</f>
        <v>0</v>
      </c>
      <c r="D852" s="202"/>
      <c r="E852" s="211" t="str">
        <f>DAY(表格3_5[[#This Row],[Date]])&amp;""</f>
        <v>0</v>
      </c>
      <c r="F852" s="203"/>
      <c r="G852" s="216">
        <f>_xlfn.XLOOKUP(表格3_5[[#This Row],[Name]],Name_list[Full Name],Name_list[Nick Name])</f>
        <v>0</v>
      </c>
      <c r="H852" s="207"/>
      <c r="I852" s="228"/>
      <c r="J852" s="218"/>
      <c r="K852" s="205"/>
      <c r="L852" s="210">
        <f>(表格3_5[[#This Row],[Out-Time]] - 表格3_5[[#This Row],[In-Time]])*24</f>
        <v>0</v>
      </c>
      <c r="M852" s="210">
        <f>表格3_5[[#This Row],[ Hours]]-表格3_5[[#This Row],[Normal working
 hours]]</f>
        <v>0</v>
      </c>
      <c r="N852" s="205"/>
      <c r="O852" s="205"/>
      <c r="P852" s="210">
        <f>(表格3_5[[#This Row],[Out-Time2]] - 表格3_5[[#This Row],[In-Time2]])*24</f>
        <v>0</v>
      </c>
      <c r="Q852" s="205"/>
      <c r="R852" s="214">
        <f>_xlfn.XLOOKUP(表格3_5[[#This Row],[Name]],Name_list[Full Name],Name_list[Hourr Rate])</f>
        <v>0</v>
      </c>
      <c r="S852" s="210">
        <f>表格3_5[[#This Row],[Hours Worked]]*表格3_5[[#This Row],[Hourly Rate]]</f>
        <v>0</v>
      </c>
    </row>
    <row r="853" spans="1:19">
      <c r="A853" s="201">
        <v>851</v>
      </c>
      <c r="B853" s="210" t="str">
        <f>_xlfn.CONCAT(表格3_5[[#This Row],[Name]],表格3_5[[#This Row],[Location]])</f>
        <v/>
      </c>
      <c r="C853" s="211" t="str">
        <f>表格3_5[[#This Row],[Location]] &amp; 表格3_5[[#This Row],[Date]] &amp;表格3_5[[#This Row],[Nick Name]]</f>
        <v>0</v>
      </c>
      <c r="D853" s="202"/>
      <c r="E853" s="211" t="str">
        <f>DAY(表格3_5[[#This Row],[Date]])&amp;""</f>
        <v>0</v>
      </c>
      <c r="F853" s="203"/>
      <c r="G853" s="216">
        <f>_xlfn.XLOOKUP(表格3_5[[#This Row],[Name]],Name_list[Full Name],Name_list[Nick Name])</f>
        <v>0</v>
      </c>
      <c r="H853" s="207"/>
      <c r="I853" s="228"/>
      <c r="J853" s="218"/>
      <c r="K853" s="205"/>
      <c r="L853" s="210">
        <f>(表格3_5[[#This Row],[Out-Time]] - 表格3_5[[#This Row],[In-Time]])*24</f>
        <v>0</v>
      </c>
      <c r="M853" s="210">
        <f>表格3_5[[#This Row],[ Hours]]-表格3_5[[#This Row],[Normal working
 hours]]</f>
        <v>0</v>
      </c>
      <c r="N853" s="205"/>
      <c r="O853" s="205"/>
      <c r="P853" s="210">
        <f>(表格3_5[[#This Row],[Out-Time2]] - 表格3_5[[#This Row],[In-Time2]])*24</f>
        <v>0</v>
      </c>
      <c r="Q853" s="205"/>
      <c r="R853" s="214">
        <f>_xlfn.XLOOKUP(表格3_5[[#This Row],[Name]],Name_list[Full Name],Name_list[Hourr Rate])</f>
        <v>0</v>
      </c>
      <c r="S853" s="210">
        <f>表格3_5[[#This Row],[Hours Worked]]*表格3_5[[#This Row],[Hourly Rate]]</f>
        <v>0</v>
      </c>
    </row>
    <row r="854" spans="1:19">
      <c r="A854" s="201">
        <v>852</v>
      </c>
      <c r="B854" s="210" t="str">
        <f>_xlfn.CONCAT(表格3_5[[#This Row],[Name]],表格3_5[[#This Row],[Location]])</f>
        <v/>
      </c>
      <c r="C854" s="211" t="str">
        <f>表格3_5[[#This Row],[Location]] &amp; 表格3_5[[#This Row],[Date]] &amp;表格3_5[[#This Row],[Nick Name]]</f>
        <v>0</v>
      </c>
      <c r="D854" s="202"/>
      <c r="E854" s="211" t="str">
        <f>DAY(表格3_5[[#This Row],[Date]])&amp;""</f>
        <v>0</v>
      </c>
      <c r="F854" s="203"/>
      <c r="G854" s="216">
        <f>_xlfn.XLOOKUP(表格3_5[[#This Row],[Name]],Name_list[Full Name],Name_list[Nick Name])</f>
        <v>0</v>
      </c>
      <c r="H854" s="207"/>
      <c r="I854" s="228"/>
      <c r="J854" s="218"/>
      <c r="K854" s="205"/>
      <c r="L854" s="210">
        <f>(表格3_5[[#This Row],[Out-Time]] - 表格3_5[[#This Row],[In-Time]])*24</f>
        <v>0</v>
      </c>
      <c r="M854" s="210">
        <f>表格3_5[[#This Row],[ Hours]]-表格3_5[[#This Row],[Normal working
 hours]]</f>
        <v>0</v>
      </c>
      <c r="N854" s="205"/>
      <c r="O854" s="205"/>
      <c r="P854" s="210">
        <f>(表格3_5[[#This Row],[Out-Time2]] - 表格3_5[[#This Row],[In-Time2]])*24</f>
        <v>0</v>
      </c>
      <c r="Q854" s="205"/>
      <c r="R854" s="214">
        <f>_xlfn.XLOOKUP(表格3_5[[#This Row],[Name]],Name_list[Full Name],Name_list[Hourr Rate])</f>
        <v>0</v>
      </c>
      <c r="S854" s="210">
        <f>表格3_5[[#This Row],[Hours Worked]]*表格3_5[[#This Row],[Hourly Rate]]</f>
        <v>0</v>
      </c>
    </row>
    <row r="855" spans="1:19">
      <c r="A855" s="201">
        <v>853</v>
      </c>
      <c r="B855" s="210" t="str">
        <f>_xlfn.CONCAT(表格3_5[[#This Row],[Name]],表格3_5[[#This Row],[Location]])</f>
        <v/>
      </c>
      <c r="C855" s="211" t="str">
        <f>表格3_5[[#This Row],[Location]] &amp; 表格3_5[[#This Row],[Date]] &amp;表格3_5[[#This Row],[Nick Name]]</f>
        <v>0</v>
      </c>
      <c r="D855" s="202"/>
      <c r="E855" s="211" t="str">
        <f>DAY(表格3_5[[#This Row],[Date]])&amp;""</f>
        <v>0</v>
      </c>
      <c r="F855" s="203"/>
      <c r="G855" s="216">
        <f>_xlfn.XLOOKUP(表格3_5[[#This Row],[Name]],Name_list[Full Name],Name_list[Nick Name])</f>
        <v>0</v>
      </c>
      <c r="H855" s="207"/>
      <c r="I855" s="228"/>
      <c r="J855" s="218"/>
      <c r="K855" s="205"/>
      <c r="L855" s="210">
        <f>(表格3_5[[#This Row],[Out-Time]] - 表格3_5[[#This Row],[In-Time]])*24</f>
        <v>0</v>
      </c>
      <c r="M855" s="210">
        <f>表格3_5[[#This Row],[ Hours]]-表格3_5[[#This Row],[Normal working
 hours]]</f>
        <v>0</v>
      </c>
      <c r="N855" s="205"/>
      <c r="O855" s="205"/>
      <c r="P855" s="210">
        <f>(表格3_5[[#This Row],[Out-Time2]] - 表格3_5[[#This Row],[In-Time2]])*24</f>
        <v>0</v>
      </c>
      <c r="Q855" s="205"/>
      <c r="R855" s="214">
        <f>_xlfn.XLOOKUP(表格3_5[[#This Row],[Name]],Name_list[Full Name],Name_list[Hourr Rate])</f>
        <v>0</v>
      </c>
      <c r="S855" s="210">
        <f>表格3_5[[#This Row],[Hours Worked]]*表格3_5[[#This Row],[Hourly Rate]]</f>
        <v>0</v>
      </c>
    </row>
    <row r="856" spans="1:19">
      <c r="A856" s="201">
        <v>854</v>
      </c>
      <c r="B856" s="210" t="str">
        <f>_xlfn.CONCAT(表格3_5[[#This Row],[Name]],表格3_5[[#This Row],[Location]])</f>
        <v/>
      </c>
      <c r="C856" s="211" t="str">
        <f>表格3_5[[#This Row],[Location]] &amp; 表格3_5[[#This Row],[Date]] &amp;表格3_5[[#This Row],[Nick Name]]</f>
        <v>0</v>
      </c>
      <c r="D856" s="202"/>
      <c r="E856" s="211" t="str">
        <f>DAY(表格3_5[[#This Row],[Date]])&amp;""</f>
        <v>0</v>
      </c>
      <c r="F856" s="203"/>
      <c r="G856" s="216">
        <f>_xlfn.XLOOKUP(表格3_5[[#This Row],[Name]],Name_list[Full Name],Name_list[Nick Name])</f>
        <v>0</v>
      </c>
      <c r="H856" s="207"/>
      <c r="I856" s="228"/>
      <c r="J856" s="218"/>
      <c r="K856" s="205"/>
      <c r="L856" s="210">
        <f>(表格3_5[[#This Row],[Out-Time]] - 表格3_5[[#This Row],[In-Time]])*24</f>
        <v>0</v>
      </c>
      <c r="M856" s="210">
        <f>表格3_5[[#This Row],[ Hours]]-表格3_5[[#This Row],[Normal working
 hours]]</f>
        <v>0</v>
      </c>
      <c r="N856" s="205"/>
      <c r="O856" s="205"/>
      <c r="P856" s="210">
        <f>(表格3_5[[#This Row],[Out-Time2]] - 表格3_5[[#This Row],[In-Time2]])*24</f>
        <v>0</v>
      </c>
      <c r="Q856" s="205"/>
      <c r="R856" s="214">
        <f>_xlfn.XLOOKUP(表格3_5[[#This Row],[Name]],Name_list[Full Name],Name_list[Hourr Rate])</f>
        <v>0</v>
      </c>
      <c r="S856" s="210">
        <f>表格3_5[[#This Row],[Hours Worked]]*表格3_5[[#This Row],[Hourly Rate]]</f>
        <v>0</v>
      </c>
    </row>
    <row r="857" spans="1:19">
      <c r="A857" s="201">
        <v>855</v>
      </c>
      <c r="B857" s="210" t="str">
        <f>_xlfn.CONCAT(表格3_5[[#This Row],[Name]],表格3_5[[#This Row],[Location]])</f>
        <v/>
      </c>
      <c r="C857" s="211" t="str">
        <f>表格3_5[[#This Row],[Location]] &amp; 表格3_5[[#This Row],[Date]] &amp;表格3_5[[#This Row],[Nick Name]]</f>
        <v>0</v>
      </c>
      <c r="D857" s="202"/>
      <c r="E857" s="211" t="str">
        <f>DAY(表格3_5[[#This Row],[Date]])&amp;""</f>
        <v>0</v>
      </c>
      <c r="F857" s="203"/>
      <c r="G857" s="216">
        <f>_xlfn.XLOOKUP(表格3_5[[#This Row],[Name]],Name_list[Full Name],Name_list[Nick Name])</f>
        <v>0</v>
      </c>
      <c r="H857" s="207"/>
      <c r="I857" s="228"/>
      <c r="J857" s="218"/>
      <c r="K857" s="205"/>
      <c r="L857" s="210">
        <f>(表格3_5[[#This Row],[Out-Time]] - 表格3_5[[#This Row],[In-Time]])*24</f>
        <v>0</v>
      </c>
      <c r="M857" s="210">
        <f>表格3_5[[#This Row],[ Hours]]-表格3_5[[#This Row],[Normal working
 hours]]</f>
        <v>0</v>
      </c>
      <c r="N857" s="205"/>
      <c r="O857" s="205"/>
      <c r="P857" s="210">
        <f>(表格3_5[[#This Row],[Out-Time2]] - 表格3_5[[#This Row],[In-Time2]])*24</f>
        <v>0</v>
      </c>
      <c r="Q857" s="205"/>
      <c r="R857" s="214">
        <f>_xlfn.XLOOKUP(表格3_5[[#This Row],[Name]],Name_list[Full Name],Name_list[Hourr Rate])</f>
        <v>0</v>
      </c>
      <c r="S857" s="210">
        <f>表格3_5[[#This Row],[Hours Worked]]*表格3_5[[#This Row],[Hourly Rate]]</f>
        <v>0</v>
      </c>
    </row>
    <row r="858" spans="1:19">
      <c r="A858" s="201">
        <v>856</v>
      </c>
      <c r="B858" s="210" t="str">
        <f>_xlfn.CONCAT(表格3_5[[#This Row],[Name]],表格3_5[[#This Row],[Location]])</f>
        <v/>
      </c>
      <c r="C858" s="211" t="str">
        <f>表格3_5[[#This Row],[Location]] &amp; 表格3_5[[#This Row],[Date]] &amp;表格3_5[[#This Row],[Nick Name]]</f>
        <v>0</v>
      </c>
      <c r="D858" s="202"/>
      <c r="E858" s="211" t="str">
        <f>DAY(表格3_5[[#This Row],[Date]])&amp;""</f>
        <v>0</v>
      </c>
      <c r="F858" s="203"/>
      <c r="G858" s="216">
        <f>_xlfn.XLOOKUP(表格3_5[[#This Row],[Name]],Name_list[Full Name],Name_list[Nick Name])</f>
        <v>0</v>
      </c>
      <c r="H858" s="207"/>
      <c r="I858" s="228"/>
      <c r="J858" s="218"/>
      <c r="K858" s="205"/>
      <c r="L858" s="210">
        <f>(表格3_5[[#This Row],[Out-Time]] - 表格3_5[[#This Row],[In-Time]])*24</f>
        <v>0</v>
      </c>
      <c r="M858" s="210">
        <f>表格3_5[[#This Row],[ Hours]]-表格3_5[[#This Row],[Normal working
 hours]]</f>
        <v>0</v>
      </c>
      <c r="N858" s="205"/>
      <c r="O858" s="205"/>
      <c r="P858" s="210">
        <f>(表格3_5[[#This Row],[Out-Time2]] - 表格3_5[[#This Row],[In-Time2]])*24</f>
        <v>0</v>
      </c>
      <c r="Q858" s="205"/>
      <c r="R858" s="214">
        <f>_xlfn.XLOOKUP(表格3_5[[#This Row],[Name]],Name_list[Full Name],Name_list[Hourr Rate])</f>
        <v>0</v>
      </c>
      <c r="S858" s="210">
        <f>表格3_5[[#This Row],[Hours Worked]]*表格3_5[[#This Row],[Hourly Rate]]</f>
        <v>0</v>
      </c>
    </row>
    <row r="859" spans="1:19">
      <c r="A859" s="201">
        <v>857</v>
      </c>
      <c r="B859" s="210" t="str">
        <f>_xlfn.CONCAT(表格3_5[[#This Row],[Name]],表格3_5[[#This Row],[Location]])</f>
        <v/>
      </c>
      <c r="C859" s="211" t="str">
        <f>表格3_5[[#This Row],[Location]] &amp; 表格3_5[[#This Row],[Date]] &amp;表格3_5[[#This Row],[Nick Name]]</f>
        <v>0</v>
      </c>
      <c r="D859" s="202"/>
      <c r="E859" s="211" t="str">
        <f>DAY(表格3_5[[#This Row],[Date]])&amp;""</f>
        <v>0</v>
      </c>
      <c r="F859" s="203"/>
      <c r="G859" s="216">
        <f>_xlfn.XLOOKUP(表格3_5[[#This Row],[Name]],Name_list[Full Name],Name_list[Nick Name])</f>
        <v>0</v>
      </c>
      <c r="H859" s="207"/>
      <c r="I859" s="228"/>
      <c r="J859" s="218"/>
      <c r="K859" s="205"/>
      <c r="L859" s="210">
        <f>(表格3_5[[#This Row],[Out-Time]] - 表格3_5[[#This Row],[In-Time]])*24</f>
        <v>0</v>
      </c>
      <c r="M859" s="210">
        <f>表格3_5[[#This Row],[ Hours]]-表格3_5[[#This Row],[Normal working
 hours]]</f>
        <v>0</v>
      </c>
      <c r="N859" s="205"/>
      <c r="O859" s="205"/>
      <c r="P859" s="210">
        <f>(表格3_5[[#This Row],[Out-Time2]] - 表格3_5[[#This Row],[In-Time2]])*24</f>
        <v>0</v>
      </c>
      <c r="Q859" s="205"/>
      <c r="R859" s="214">
        <f>_xlfn.XLOOKUP(表格3_5[[#This Row],[Name]],Name_list[Full Name],Name_list[Hourr Rate])</f>
        <v>0</v>
      </c>
      <c r="S859" s="210">
        <f>表格3_5[[#This Row],[Hours Worked]]*表格3_5[[#This Row],[Hourly Rate]]</f>
        <v>0</v>
      </c>
    </row>
    <row r="860" spans="1:19">
      <c r="A860" s="201">
        <v>858</v>
      </c>
      <c r="B860" s="210" t="str">
        <f>_xlfn.CONCAT(表格3_5[[#This Row],[Name]],表格3_5[[#This Row],[Location]])</f>
        <v/>
      </c>
      <c r="C860" s="211" t="str">
        <f>表格3_5[[#This Row],[Location]] &amp; 表格3_5[[#This Row],[Date]] &amp;表格3_5[[#This Row],[Nick Name]]</f>
        <v>0</v>
      </c>
      <c r="D860" s="202"/>
      <c r="E860" s="211" t="str">
        <f>DAY(表格3_5[[#This Row],[Date]])&amp;""</f>
        <v>0</v>
      </c>
      <c r="F860" s="203"/>
      <c r="G860" s="216">
        <f>_xlfn.XLOOKUP(表格3_5[[#This Row],[Name]],Name_list[Full Name],Name_list[Nick Name])</f>
        <v>0</v>
      </c>
      <c r="H860" s="207"/>
      <c r="I860" s="228"/>
      <c r="J860" s="218"/>
      <c r="K860" s="205"/>
      <c r="L860" s="210">
        <f>(表格3_5[[#This Row],[Out-Time]] - 表格3_5[[#This Row],[In-Time]])*24</f>
        <v>0</v>
      </c>
      <c r="M860" s="210">
        <f>表格3_5[[#This Row],[ Hours]]-表格3_5[[#This Row],[Normal working
 hours]]</f>
        <v>0</v>
      </c>
      <c r="N860" s="205"/>
      <c r="O860" s="205"/>
      <c r="P860" s="210">
        <f>(表格3_5[[#This Row],[Out-Time2]] - 表格3_5[[#This Row],[In-Time2]])*24</f>
        <v>0</v>
      </c>
      <c r="Q860" s="205"/>
      <c r="R860" s="214">
        <f>_xlfn.XLOOKUP(表格3_5[[#This Row],[Name]],Name_list[Full Name],Name_list[Hourr Rate])</f>
        <v>0</v>
      </c>
      <c r="S860" s="210">
        <f>表格3_5[[#This Row],[Hours Worked]]*表格3_5[[#This Row],[Hourly Rate]]</f>
        <v>0</v>
      </c>
    </row>
    <row r="861" spans="1:19">
      <c r="A861" s="201">
        <v>859</v>
      </c>
      <c r="B861" s="210" t="str">
        <f>_xlfn.CONCAT(表格3_5[[#This Row],[Name]],表格3_5[[#This Row],[Location]])</f>
        <v/>
      </c>
      <c r="C861" s="211" t="str">
        <f>表格3_5[[#This Row],[Location]] &amp; 表格3_5[[#This Row],[Date]] &amp;表格3_5[[#This Row],[Nick Name]]</f>
        <v>0</v>
      </c>
      <c r="D861" s="202"/>
      <c r="E861" s="211" t="str">
        <f>DAY(表格3_5[[#This Row],[Date]])&amp;""</f>
        <v>0</v>
      </c>
      <c r="F861" s="203"/>
      <c r="G861" s="216">
        <f>_xlfn.XLOOKUP(表格3_5[[#This Row],[Name]],Name_list[Full Name],Name_list[Nick Name])</f>
        <v>0</v>
      </c>
      <c r="H861" s="207"/>
      <c r="I861" s="228"/>
      <c r="J861" s="218"/>
      <c r="K861" s="205"/>
      <c r="L861" s="210">
        <f>(表格3_5[[#This Row],[Out-Time]] - 表格3_5[[#This Row],[In-Time]])*24</f>
        <v>0</v>
      </c>
      <c r="M861" s="210">
        <f>表格3_5[[#This Row],[ Hours]]-表格3_5[[#This Row],[Normal working
 hours]]</f>
        <v>0</v>
      </c>
      <c r="N861" s="205"/>
      <c r="O861" s="205"/>
      <c r="P861" s="210">
        <f>(表格3_5[[#This Row],[Out-Time2]] - 表格3_5[[#This Row],[In-Time2]])*24</f>
        <v>0</v>
      </c>
      <c r="Q861" s="205"/>
      <c r="R861" s="214">
        <f>_xlfn.XLOOKUP(表格3_5[[#This Row],[Name]],Name_list[Full Name],Name_list[Hourr Rate])</f>
        <v>0</v>
      </c>
      <c r="S861" s="210">
        <f>表格3_5[[#This Row],[Hours Worked]]*表格3_5[[#This Row],[Hourly Rate]]</f>
        <v>0</v>
      </c>
    </row>
    <row r="862" spans="1:19">
      <c r="A862" s="201">
        <v>860</v>
      </c>
      <c r="B862" s="210" t="str">
        <f>_xlfn.CONCAT(表格3_5[[#This Row],[Name]],表格3_5[[#This Row],[Location]])</f>
        <v/>
      </c>
      <c r="C862" s="211" t="str">
        <f>表格3_5[[#This Row],[Location]] &amp; 表格3_5[[#This Row],[Date]] &amp;表格3_5[[#This Row],[Nick Name]]</f>
        <v>0</v>
      </c>
      <c r="D862" s="202"/>
      <c r="E862" s="211" t="str">
        <f>DAY(表格3_5[[#This Row],[Date]])&amp;""</f>
        <v>0</v>
      </c>
      <c r="F862" s="203"/>
      <c r="G862" s="216">
        <f>_xlfn.XLOOKUP(表格3_5[[#This Row],[Name]],Name_list[Full Name],Name_list[Nick Name])</f>
        <v>0</v>
      </c>
      <c r="H862" s="207"/>
      <c r="I862" s="228"/>
      <c r="J862" s="218"/>
      <c r="K862" s="205"/>
      <c r="L862" s="210">
        <f>(表格3_5[[#This Row],[Out-Time]] - 表格3_5[[#This Row],[In-Time]])*24</f>
        <v>0</v>
      </c>
      <c r="M862" s="210">
        <f>表格3_5[[#This Row],[ Hours]]-表格3_5[[#This Row],[Normal working
 hours]]</f>
        <v>0</v>
      </c>
      <c r="N862" s="205"/>
      <c r="O862" s="205"/>
      <c r="P862" s="210">
        <f>(表格3_5[[#This Row],[Out-Time2]] - 表格3_5[[#This Row],[In-Time2]])*24</f>
        <v>0</v>
      </c>
      <c r="Q862" s="205"/>
      <c r="R862" s="214">
        <f>_xlfn.XLOOKUP(表格3_5[[#This Row],[Name]],Name_list[Full Name],Name_list[Hourr Rate])</f>
        <v>0</v>
      </c>
      <c r="S862" s="210">
        <f>表格3_5[[#This Row],[Hours Worked]]*表格3_5[[#This Row],[Hourly Rate]]</f>
        <v>0</v>
      </c>
    </row>
    <row r="863" spans="1:19">
      <c r="A863" s="201">
        <v>861</v>
      </c>
      <c r="B863" s="210" t="str">
        <f>_xlfn.CONCAT(表格3_5[[#This Row],[Name]],表格3_5[[#This Row],[Location]])</f>
        <v/>
      </c>
      <c r="C863" s="211" t="str">
        <f>表格3_5[[#This Row],[Location]] &amp; 表格3_5[[#This Row],[Date]] &amp;表格3_5[[#This Row],[Nick Name]]</f>
        <v>0</v>
      </c>
      <c r="D863" s="202"/>
      <c r="E863" s="211" t="str">
        <f>DAY(表格3_5[[#This Row],[Date]])&amp;""</f>
        <v>0</v>
      </c>
      <c r="F863" s="203"/>
      <c r="G863" s="216">
        <f>_xlfn.XLOOKUP(表格3_5[[#This Row],[Name]],Name_list[Full Name],Name_list[Nick Name])</f>
        <v>0</v>
      </c>
      <c r="H863" s="207"/>
      <c r="I863" s="228"/>
      <c r="J863" s="218"/>
      <c r="K863" s="205"/>
      <c r="L863" s="210">
        <f>(表格3_5[[#This Row],[Out-Time]] - 表格3_5[[#This Row],[In-Time]])*24</f>
        <v>0</v>
      </c>
      <c r="M863" s="210">
        <f>表格3_5[[#This Row],[ Hours]]-表格3_5[[#This Row],[Normal working
 hours]]</f>
        <v>0</v>
      </c>
      <c r="N863" s="205"/>
      <c r="O863" s="205"/>
      <c r="P863" s="210">
        <f>(表格3_5[[#This Row],[Out-Time2]] - 表格3_5[[#This Row],[In-Time2]])*24</f>
        <v>0</v>
      </c>
      <c r="Q863" s="205"/>
      <c r="R863" s="214">
        <f>_xlfn.XLOOKUP(表格3_5[[#This Row],[Name]],Name_list[Full Name],Name_list[Hourr Rate])</f>
        <v>0</v>
      </c>
      <c r="S863" s="210">
        <f>表格3_5[[#This Row],[Hours Worked]]*表格3_5[[#This Row],[Hourly Rate]]</f>
        <v>0</v>
      </c>
    </row>
    <row r="864" spans="1:19">
      <c r="A864" s="201">
        <v>862</v>
      </c>
      <c r="B864" s="210" t="str">
        <f>_xlfn.CONCAT(表格3_5[[#This Row],[Name]],表格3_5[[#This Row],[Location]])</f>
        <v/>
      </c>
      <c r="C864" s="211" t="str">
        <f>表格3_5[[#This Row],[Location]] &amp; 表格3_5[[#This Row],[Date]] &amp;表格3_5[[#This Row],[Nick Name]]</f>
        <v>0</v>
      </c>
      <c r="D864" s="202"/>
      <c r="E864" s="211" t="str">
        <f>DAY(表格3_5[[#This Row],[Date]])&amp;""</f>
        <v>0</v>
      </c>
      <c r="F864" s="203"/>
      <c r="G864" s="216">
        <f>_xlfn.XLOOKUP(表格3_5[[#This Row],[Name]],Name_list[Full Name],Name_list[Nick Name])</f>
        <v>0</v>
      </c>
      <c r="H864" s="207"/>
      <c r="I864" s="228"/>
      <c r="J864" s="218"/>
      <c r="K864" s="205"/>
      <c r="L864" s="210">
        <f>(表格3_5[[#This Row],[Out-Time]] - 表格3_5[[#This Row],[In-Time]])*24</f>
        <v>0</v>
      </c>
      <c r="M864" s="210">
        <f>表格3_5[[#This Row],[ Hours]]-表格3_5[[#This Row],[Normal working
 hours]]</f>
        <v>0</v>
      </c>
      <c r="N864" s="205"/>
      <c r="O864" s="205"/>
      <c r="P864" s="210">
        <f>(表格3_5[[#This Row],[Out-Time2]] - 表格3_5[[#This Row],[In-Time2]])*24</f>
        <v>0</v>
      </c>
      <c r="Q864" s="205"/>
      <c r="R864" s="214">
        <f>_xlfn.XLOOKUP(表格3_5[[#This Row],[Name]],Name_list[Full Name],Name_list[Hourr Rate])</f>
        <v>0</v>
      </c>
      <c r="S864" s="210">
        <f>表格3_5[[#This Row],[Hours Worked]]*表格3_5[[#This Row],[Hourly Rate]]</f>
        <v>0</v>
      </c>
    </row>
    <row r="865" spans="1:19">
      <c r="A865" s="201">
        <v>863</v>
      </c>
      <c r="B865" s="210" t="str">
        <f>_xlfn.CONCAT(表格3_5[[#This Row],[Name]],表格3_5[[#This Row],[Location]])</f>
        <v/>
      </c>
      <c r="C865" s="211" t="str">
        <f>表格3_5[[#This Row],[Location]] &amp; 表格3_5[[#This Row],[Date]] &amp;表格3_5[[#This Row],[Nick Name]]</f>
        <v>0</v>
      </c>
      <c r="D865" s="202"/>
      <c r="E865" s="211" t="str">
        <f>DAY(表格3_5[[#This Row],[Date]])&amp;""</f>
        <v>0</v>
      </c>
      <c r="F865" s="203"/>
      <c r="G865" s="216">
        <f>_xlfn.XLOOKUP(表格3_5[[#This Row],[Name]],Name_list[Full Name],Name_list[Nick Name])</f>
        <v>0</v>
      </c>
      <c r="H865" s="207"/>
      <c r="I865" s="228"/>
      <c r="J865" s="218"/>
      <c r="K865" s="205"/>
      <c r="L865" s="210">
        <f>(表格3_5[[#This Row],[Out-Time]] - 表格3_5[[#This Row],[In-Time]])*24</f>
        <v>0</v>
      </c>
      <c r="M865" s="210">
        <f>表格3_5[[#This Row],[ Hours]]-表格3_5[[#This Row],[Normal working
 hours]]</f>
        <v>0</v>
      </c>
      <c r="N865" s="205"/>
      <c r="O865" s="205"/>
      <c r="P865" s="210">
        <f>(表格3_5[[#This Row],[Out-Time2]] - 表格3_5[[#This Row],[In-Time2]])*24</f>
        <v>0</v>
      </c>
      <c r="Q865" s="205"/>
      <c r="R865" s="214">
        <f>_xlfn.XLOOKUP(表格3_5[[#This Row],[Name]],Name_list[Full Name],Name_list[Hourr Rate])</f>
        <v>0</v>
      </c>
      <c r="S865" s="210">
        <f>表格3_5[[#This Row],[Hours Worked]]*表格3_5[[#This Row],[Hourly Rate]]</f>
        <v>0</v>
      </c>
    </row>
    <row r="866" spans="1:19">
      <c r="A866" s="201">
        <v>864</v>
      </c>
      <c r="B866" s="210" t="str">
        <f>_xlfn.CONCAT(表格3_5[[#This Row],[Name]],表格3_5[[#This Row],[Location]])</f>
        <v/>
      </c>
      <c r="C866" s="211" t="str">
        <f>表格3_5[[#This Row],[Location]] &amp; 表格3_5[[#This Row],[Date]] &amp;表格3_5[[#This Row],[Nick Name]]</f>
        <v>0</v>
      </c>
      <c r="D866" s="202"/>
      <c r="E866" s="211" t="str">
        <f>DAY(表格3_5[[#This Row],[Date]])&amp;""</f>
        <v>0</v>
      </c>
      <c r="F866" s="203"/>
      <c r="G866" s="216">
        <f>_xlfn.XLOOKUP(表格3_5[[#This Row],[Name]],Name_list[Full Name],Name_list[Nick Name])</f>
        <v>0</v>
      </c>
      <c r="H866" s="207"/>
      <c r="I866" s="228"/>
      <c r="J866" s="218"/>
      <c r="K866" s="205"/>
      <c r="L866" s="210">
        <f>(表格3_5[[#This Row],[Out-Time]] - 表格3_5[[#This Row],[In-Time]])*24</f>
        <v>0</v>
      </c>
      <c r="M866" s="210">
        <f>表格3_5[[#This Row],[ Hours]]-表格3_5[[#This Row],[Normal working
 hours]]</f>
        <v>0</v>
      </c>
      <c r="N866" s="205"/>
      <c r="O866" s="205"/>
      <c r="P866" s="210">
        <f>(表格3_5[[#This Row],[Out-Time2]] - 表格3_5[[#This Row],[In-Time2]])*24</f>
        <v>0</v>
      </c>
      <c r="Q866" s="205"/>
      <c r="R866" s="214">
        <f>_xlfn.XLOOKUP(表格3_5[[#This Row],[Name]],Name_list[Full Name],Name_list[Hourr Rate])</f>
        <v>0</v>
      </c>
      <c r="S866" s="210">
        <f>表格3_5[[#This Row],[Hours Worked]]*表格3_5[[#This Row],[Hourly Rate]]</f>
        <v>0</v>
      </c>
    </row>
    <row r="867" spans="1:19">
      <c r="A867" s="201">
        <v>865</v>
      </c>
      <c r="B867" s="210" t="str">
        <f>_xlfn.CONCAT(表格3_5[[#This Row],[Name]],表格3_5[[#This Row],[Location]])</f>
        <v/>
      </c>
      <c r="C867" s="211" t="str">
        <f>表格3_5[[#This Row],[Location]] &amp; 表格3_5[[#This Row],[Date]] &amp;表格3_5[[#This Row],[Nick Name]]</f>
        <v>0</v>
      </c>
      <c r="D867" s="202"/>
      <c r="E867" s="211" t="str">
        <f>DAY(表格3_5[[#This Row],[Date]])&amp;""</f>
        <v>0</v>
      </c>
      <c r="F867" s="203"/>
      <c r="G867" s="216">
        <f>_xlfn.XLOOKUP(表格3_5[[#This Row],[Name]],Name_list[Full Name],Name_list[Nick Name])</f>
        <v>0</v>
      </c>
      <c r="H867" s="207"/>
      <c r="I867" s="228"/>
      <c r="J867" s="218"/>
      <c r="K867" s="205"/>
      <c r="L867" s="210">
        <f>(表格3_5[[#This Row],[Out-Time]] - 表格3_5[[#This Row],[In-Time]])*24</f>
        <v>0</v>
      </c>
      <c r="M867" s="210">
        <f>表格3_5[[#This Row],[ Hours]]-表格3_5[[#This Row],[Normal working
 hours]]</f>
        <v>0</v>
      </c>
      <c r="N867" s="205"/>
      <c r="O867" s="205"/>
      <c r="P867" s="210">
        <f>(表格3_5[[#This Row],[Out-Time2]] - 表格3_5[[#This Row],[In-Time2]])*24</f>
        <v>0</v>
      </c>
      <c r="Q867" s="205"/>
      <c r="R867" s="214">
        <f>_xlfn.XLOOKUP(表格3_5[[#This Row],[Name]],Name_list[Full Name],Name_list[Hourr Rate])</f>
        <v>0</v>
      </c>
      <c r="S867" s="210">
        <f>表格3_5[[#This Row],[Hours Worked]]*表格3_5[[#This Row],[Hourly Rate]]</f>
        <v>0</v>
      </c>
    </row>
    <row r="868" spans="1:19">
      <c r="A868" s="201">
        <v>866</v>
      </c>
      <c r="B868" s="210" t="str">
        <f>_xlfn.CONCAT(表格3_5[[#This Row],[Name]],表格3_5[[#This Row],[Location]])</f>
        <v/>
      </c>
      <c r="C868" s="211" t="str">
        <f>表格3_5[[#This Row],[Location]] &amp; 表格3_5[[#This Row],[Date]] &amp;表格3_5[[#This Row],[Nick Name]]</f>
        <v>0</v>
      </c>
      <c r="D868" s="202"/>
      <c r="E868" s="211" t="str">
        <f>DAY(表格3_5[[#This Row],[Date]])&amp;""</f>
        <v>0</v>
      </c>
      <c r="F868" s="203"/>
      <c r="G868" s="216">
        <f>_xlfn.XLOOKUP(表格3_5[[#This Row],[Name]],Name_list[Full Name],Name_list[Nick Name])</f>
        <v>0</v>
      </c>
      <c r="H868" s="207"/>
      <c r="I868" s="228"/>
      <c r="J868" s="218"/>
      <c r="K868" s="205"/>
      <c r="L868" s="210">
        <f>(表格3_5[[#This Row],[Out-Time]] - 表格3_5[[#This Row],[In-Time]])*24</f>
        <v>0</v>
      </c>
      <c r="M868" s="210">
        <f>表格3_5[[#This Row],[ Hours]]-表格3_5[[#This Row],[Normal working
 hours]]</f>
        <v>0</v>
      </c>
      <c r="N868" s="205"/>
      <c r="O868" s="205"/>
      <c r="P868" s="210">
        <f>(表格3_5[[#This Row],[Out-Time2]] - 表格3_5[[#This Row],[In-Time2]])*24</f>
        <v>0</v>
      </c>
      <c r="Q868" s="205"/>
      <c r="R868" s="214">
        <f>_xlfn.XLOOKUP(表格3_5[[#This Row],[Name]],Name_list[Full Name],Name_list[Hourr Rate])</f>
        <v>0</v>
      </c>
      <c r="S868" s="210">
        <f>表格3_5[[#This Row],[Hours Worked]]*表格3_5[[#This Row],[Hourly Rate]]</f>
        <v>0</v>
      </c>
    </row>
    <row r="869" spans="1:19">
      <c r="A869" s="201">
        <v>867</v>
      </c>
      <c r="B869" s="210" t="str">
        <f>_xlfn.CONCAT(表格3_5[[#This Row],[Name]],表格3_5[[#This Row],[Location]])</f>
        <v/>
      </c>
      <c r="C869" s="211" t="str">
        <f>表格3_5[[#This Row],[Location]] &amp; 表格3_5[[#This Row],[Date]] &amp;表格3_5[[#This Row],[Nick Name]]</f>
        <v>0</v>
      </c>
      <c r="D869" s="202"/>
      <c r="E869" s="211" t="str">
        <f>DAY(表格3_5[[#This Row],[Date]])&amp;""</f>
        <v>0</v>
      </c>
      <c r="F869" s="203"/>
      <c r="G869" s="216">
        <f>_xlfn.XLOOKUP(表格3_5[[#This Row],[Name]],Name_list[Full Name],Name_list[Nick Name])</f>
        <v>0</v>
      </c>
      <c r="H869" s="207"/>
      <c r="I869" s="228"/>
      <c r="J869" s="218"/>
      <c r="K869" s="205"/>
      <c r="L869" s="210">
        <f>(表格3_5[[#This Row],[Out-Time]] - 表格3_5[[#This Row],[In-Time]])*24</f>
        <v>0</v>
      </c>
      <c r="M869" s="210">
        <f>表格3_5[[#This Row],[ Hours]]-表格3_5[[#This Row],[Normal working
 hours]]</f>
        <v>0</v>
      </c>
      <c r="N869" s="205"/>
      <c r="O869" s="205"/>
      <c r="P869" s="210">
        <f>(表格3_5[[#This Row],[Out-Time2]] - 表格3_5[[#This Row],[In-Time2]])*24</f>
        <v>0</v>
      </c>
      <c r="Q869" s="205"/>
      <c r="R869" s="214">
        <f>_xlfn.XLOOKUP(表格3_5[[#This Row],[Name]],Name_list[Full Name],Name_list[Hourr Rate])</f>
        <v>0</v>
      </c>
      <c r="S869" s="210">
        <f>表格3_5[[#This Row],[Hours Worked]]*表格3_5[[#This Row],[Hourly Rate]]</f>
        <v>0</v>
      </c>
    </row>
    <row r="870" spans="1:19">
      <c r="A870" s="201">
        <v>868</v>
      </c>
      <c r="B870" s="210" t="str">
        <f>_xlfn.CONCAT(表格3_5[[#This Row],[Name]],表格3_5[[#This Row],[Location]])</f>
        <v/>
      </c>
      <c r="C870" s="211" t="str">
        <f>表格3_5[[#This Row],[Location]] &amp; 表格3_5[[#This Row],[Date]] &amp;表格3_5[[#This Row],[Nick Name]]</f>
        <v>0</v>
      </c>
      <c r="D870" s="202"/>
      <c r="E870" s="211" t="str">
        <f>DAY(表格3_5[[#This Row],[Date]])&amp;""</f>
        <v>0</v>
      </c>
      <c r="F870" s="203"/>
      <c r="G870" s="216">
        <f>_xlfn.XLOOKUP(表格3_5[[#This Row],[Name]],Name_list[Full Name],Name_list[Nick Name])</f>
        <v>0</v>
      </c>
      <c r="H870" s="207"/>
      <c r="I870" s="228"/>
      <c r="J870" s="218"/>
      <c r="K870" s="205"/>
      <c r="L870" s="210">
        <f>(表格3_5[[#This Row],[Out-Time]] - 表格3_5[[#This Row],[In-Time]])*24</f>
        <v>0</v>
      </c>
      <c r="M870" s="210">
        <f>表格3_5[[#This Row],[ Hours]]-表格3_5[[#This Row],[Normal working
 hours]]</f>
        <v>0</v>
      </c>
      <c r="N870" s="205"/>
      <c r="O870" s="205"/>
      <c r="P870" s="210">
        <f>(表格3_5[[#This Row],[Out-Time2]] - 表格3_5[[#This Row],[In-Time2]])*24</f>
        <v>0</v>
      </c>
      <c r="Q870" s="205"/>
      <c r="R870" s="214">
        <f>_xlfn.XLOOKUP(表格3_5[[#This Row],[Name]],Name_list[Full Name],Name_list[Hourr Rate])</f>
        <v>0</v>
      </c>
      <c r="S870" s="210">
        <f>表格3_5[[#This Row],[Hours Worked]]*表格3_5[[#This Row],[Hourly Rate]]</f>
        <v>0</v>
      </c>
    </row>
    <row r="871" spans="1:19">
      <c r="A871" s="201">
        <v>869</v>
      </c>
      <c r="B871" s="210" t="str">
        <f>_xlfn.CONCAT(表格3_5[[#This Row],[Name]],表格3_5[[#This Row],[Location]])</f>
        <v/>
      </c>
      <c r="C871" s="211" t="str">
        <f>表格3_5[[#This Row],[Location]] &amp; 表格3_5[[#This Row],[Date]] &amp;表格3_5[[#This Row],[Nick Name]]</f>
        <v>0</v>
      </c>
      <c r="D871" s="202"/>
      <c r="E871" s="211" t="str">
        <f>DAY(表格3_5[[#This Row],[Date]])&amp;""</f>
        <v>0</v>
      </c>
      <c r="F871" s="203"/>
      <c r="G871" s="216">
        <f>_xlfn.XLOOKUP(表格3_5[[#This Row],[Name]],Name_list[Full Name],Name_list[Nick Name])</f>
        <v>0</v>
      </c>
      <c r="H871" s="207"/>
      <c r="I871" s="228"/>
      <c r="J871" s="218"/>
      <c r="K871" s="205"/>
      <c r="L871" s="210">
        <f>(表格3_5[[#This Row],[Out-Time]] - 表格3_5[[#This Row],[In-Time]])*24</f>
        <v>0</v>
      </c>
      <c r="M871" s="210">
        <f>表格3_5[[#This Row],[ Hours]]-表格3_5[[#This Row],[Normal working
 hours]]</f>
        <v>0</v>
      </c>
      <c r="N871" s="205"/>
      <c r="O871" s="205"/>
      <c r="P871" s="210">
        <f>(表格3_5[[#This Row],[Out-Time2]] - 表格3_5[[#This Row],[In-Time2]])*24</f>
        <v>0</v>
      </c>
      <c r="Q871" s="205"/>
      <c r="R871" s="214">
        <f>_xlfn.XLOOKUP(表格3_5[[#This Row],[Name]],Name_list[Full Name],Name_list[Hourr Rate])</f>
        <v>0</v>
      </c>
      <c r="S871" s="210">
        <f>表格3_5[[#This Row],[Hours Worked]]*表格3_5[[#This Row],[Hourly Rate]]</f>
        <v>0</v>
      </c>
    </row>
    <row r="872" spans="1:19">
      <c r="A872" s="201">
        <v>870</v>
      </c>
      <c r="B872" s="210" t="str">
        <f>_xlfn.CONCAT(表格3_5[[#This Row],[Name]],表格3_5[[#This Row],[Location]])</f>
        <v/>
      </c>
      <c r="C872" s="211" t="str">
        <f>表格3_5[[#This Row],[Location]] &amp; 表格3_5[[#This Row],[Date]] &amp;表格3_5[[#This Row],[Nick Name]]</f>
        <v>0</v>
      </c>
      <c r="D872" s="202"/>
      <c r="E872" s="211" t="str">
        <f>DAY(表格3_5[[#This Row],[Date]])&amp;""</f>
        <v>0</v>
      </c>
      <c r="F872" s="203"/>
      <c r="G872" s="216">
        <f>_xlfn.XLOOKUP(表格3_5[[#This Row],[Name]],Name_list[Full Name],Name_list[Nick Name])</f>
        <v>0</v>
      </c>
      <c r="H872" s="207"/>
      <c r="I872" s="228"/>
      <c r="J872" s="218"/>
      <c r="K872" s="205"/>
      <c r="L872" s="210">
        <f>(表格3_5[[#This Row],[Out-Time]] - 表格3_5[[#This Row],[In-Time]])*24</f>
        <v>0</v>
      </c>
      <c r="M872" s="210">
        <f>表格3_5[[#This Row],[ Hours]]-表格3_5[[#This Row],[Normal working
 hours]]</f>
        <v>0</v>
      </c>
      <c r="N872" s="205"/>
      <c r="O872" s="205"/>
      <c r="P872" s="210">
        <f>(表格3_5[[#This Row],[Out-Time2]] - 表格3_5[[#This Row],[In-Time2]])*24</f>
        <v>0</v>
      </c>
      <c r="Q872" s="205"/>
      <c r="R872" s="214">
        <f>_xlfn.XLOOKUP(表格3_5[[#This Row],[Name]],Name_list[Full Name],Name_list[Hourr Rate])</f>
        <v>0</v>
      </c>
      <c r="S872" s="210">
        <f>表格3_5[[#This Row],[Hours Worked]]*表格3_5[[#This Row],[Hourly Rate]]</f>
        <v>0</v>
      </c>
    </row>
    <row r="873" spans="1:19">
      <c r="A873" s="201">
        <v>871</v>
      </c>
      <c r="B873" s="210" t="str">
        <f>_xlfn.CONCAT(表格3_5[[#This Row],[Name]],表格3_5[[#This Row],[Location]])</f>
        <v/>
      </c>
      <c r="C873" s="211" t="str">
        <f>表格3_5[[#This Row],[Location]] &amp; 表格3_5[[#This Row],[Date]] &amp;表格3_5[[#This Row],[Nick Name]]</f>
        <v>0</v>
      </c>
      <c r="D873" s="202"/>
      <c r="E873" s="211" t="str">
        <f>DAY(表格3_5[[#This Row],[Date]])&amp;""</f>
        <v>0</v>
      </c>
      <c r="F873" s="203"/>
      <c r="G873" s="216">
        <f>_xlfn.XLOOKUP(表格3_5[[#This Row],[Name]],Name_list[Full Name],Name_list[Nick Name])</f>
        <v>0</v>
      </c>
      <c r="H873" s="207"/>
      <c r="I873" s="228"/>
      <c r="J873" s="218"/>
      <c r="K873" s="205"/>
      <c r="L873" s="210">
        <f>(表格3_5[[#This Row],[Out-Time]] - 表格3_5[[#This Row],[In-Time]])*24</f>
        <v>0</v>
      </c>
      <c r="M873" s="210">
        <f>表格3_5[[#This Row],[ Hours]]-表格3_5[[#This Row],[Normal working
 hours]]</f>
        <v>0</v>
      </c>
      <c r="N873" s="205"/>
      <c r="O873" s="205"/>
      <c r="P873" s="210">
        <f>(表格3_5[[#This Row],[Out-Time2]] - 表格3_5[[#This Row],[In-Time2]])*24</f>
        <v>0</v>
      </c>
      <c r="Q873" s="205"/>
      <c r="R873" s="214">
        <f>_xlfn.XLOOKUP(表格3_5[[#This Row],[Name]],Name_list[Full Name],Name_list[Hourr Rate])</f>
        <v>0</v>
      </c>
      <c r="S873" s="210">
        <f>表格3_5[[#This Row],[Hours Worked]]*表格3_5[[#This Row],[Hourly Rate]]</f>
        <v>0</v>
      </c>
    </row>
    <row r="874" spans="1:19">
      <c r="A874" s="201">
        <v>872</v>
      </c>
      <c r="B874" s="210" t="str">
        <f>_xlfn.CONCAT(表格3_5[[#This Row],[Name]],表格3_5[[#This Row],[Location]])</f>
        <v/>
      </c>
      <c r="C874" s="211" t="str">
        <f>表格3_5[[#This Row],[Location]] &amp; 表格3_5[[#This Row],[Date]] &amp;表格3_5[[#This Row],[Nick Name]]</f>
        <v>0</v>
      </c>
      <c r="D874" s="202"/>
      <c r="E874" s="211" t="str">
        <f>DAY(表格3_5[[#This Row],[Date]])&amp;""</f>
        <v>0</v>
      </c>
      <c r="F874" s="203"/>
      <c r="G874" s="216">
        <f>_xlfn.XLOOKUP(表格3_5[[#This Row],[Name]],Name_list[Full Name],Name_list[Nick Name])</f>
        <v>0</v>
      </c>
      <c r="H874" s="207"/>
      <c r="I874" s="228"/>
      <c r="J874" s="218"/>
      <c r="K874" s="205"/>
      <c r="L874" s="210">
        <f>(表格3_5[[#This Row],[Out-Time]] - 表格3_5[[#This Row],[In-Time]])*24</f>
        <v>0</v>
      </c>
      <c r="M874" s="210">
        <f>表格3_5[[#This Row],[ Hours]]-表格3_5[[#This Row],[Normal working
 hours]]</f>
        <v>0</v>
      </c>
      <c r="N874" s="205"/>
      <c r="O874" s="205"/>
      <c r="P874" s="210">
        <f>(表格3_5[[#This Row],[Out-Time2]] - 表格3_5[[#This Row],[In-Time2]])*24</f>
        <v>0</v>
      </c>
      <c r="Q874" s="205"/>
      <c r="R874" s="214">
        <f>_xlfn.XLOOKUP(表格3_5[[#This Row],[Name]],Name_list[Full Name],Name_list[Hourr Rate])</f>
        <v>0</v>
      </c>
      <c r="S874" s="210">
        <f>表格3_5[[#This Row],[Hours Worked]]*表格3_5[[#This Row],[Hourly Rate]]</f>
        <v>0</v>
      </c>
    </row>
    <row r="875" spans="1:19">
      <c r="A875" s="201">
        <v>873</v>
      </c>
      <c r="B875" s="210" t="str">
        <f>_xlfn.CONCAT(表格3_5[[#This Row],[Name]],表格3_5[[#This Row],[Location]])</f>
        <v/>
      </c>
      <c r="C875" s="211" t="str">
        <f>表格3_5[[#This Row],[Location]] &amp; 表格3_5[[#This Row],[Date]] &amp;表格3_5[[#This Row],[Nick Name]]</f>
        <v>0</v>
      </c>
      <c r="D875" s="202"/>
      <c r="E875" s="211" t="str">
        <f>DAY(表格3_5[[#This Row],[Date]])&amp;""</f>
        <v>0</v>
      </c>
      <c r="F875" s="203"/>
      <c r="G875" s="216">
        <f>_xlfn.XLOOKUP(表格3_5[[#This Row],[Name]],Name_list[Full Name],Name_list[Nick Name])</f>
        <v>0</v>
      </c>
      <c r="H875" s="207"/>
      <c r="I875" s="228"/>
      <c r="J875" s="218"/>
      <c r="K875" s="205"/>
      <c r="L875" s="210">
        <f>(表格3_5[[#This Row],[Out-Time]] - 表格3_5[[#This Row],[In-Time]])*24</f>
        <v>0</v>
      </c>
      <c r="M875" s="210">
        <f>表格3_5[[#This Row],[ Hours]]-表格3_5[[#This Row],[Normal working
 hours]]</f>
        <v>0</v>
      </c>
      <c r="N875" s="205"/>
      <c r="O875" s="205"/>
      <c r="P875" s="210">
        <f>(表格3_5[[#This Row],[Out-Time2]] - 表格3_5[[#This Row],[In-Time2]])*24</f>
        <v>0</v>
      </c>
      <c r="Q875" s="205"/>
      <c r="R875" s="214">
        <f>_xlfn.XLOOKUP(表格3_5[[#This Row],[Name]],Name_list[Full Name],Name_list[Hourr Rate])</f>
        <v>0</v>
      </c>
      <c r="S875" s="210">
        <f>表格3_5[[#This Row],[Hours Worked]]*表格3_5[[#This Row],[Hourly Rate]]</f>
        <v>0</v>
      </c>
    </row>
    <row r="876" spans="1:19">
      <c r="A876" s="201">
        <v>874</v>
      </c>
      <c r="B876" s="210" t="str">
        <f>_xlfn.CONCAT(表格3_5[[#This Row],[Name]],表格3_5[[#This Row],[Location]])</f>
        <v/>
      </c>
      <c r="C876" s="211" t="str">
        <f>表格3_5[[#This Row],[Location]] &amp; 表格3_5[[#This Row],[Date]] &amp;表格3_5[[#This Row],[Nick Name]]</f>
        <v>0</v>
      </c>
      <c r="D876" s="202"/>
      <c r="E876" s="211" t="str">
        <f>DAY(表格3_5[[#This Row],[Date]])&amp;""</f>
        <v>0</v>
      </c>
      <c r="F876" s="203"/>
      <c r="G876" s="216">
        <f>_xlfn.XLOOKUP(表格3_5[[#This Row],[Name]],Name_list[Full Name],Name_list[Nick Name])</f>
        <v>0</v>
      </c>
      <c r="H876" s="207"/>
      <c r="I876" s="228"/>
      <c r="J876" s="218"/>
      <c r="K876" s="205"/>
      <c r="L876" s="210">
        <f>(表格3_5[[#This Row],[Out-Time]] - 表格3_5[[#This Row],[In-Time]])*24</f>
        <v>0</v>
      </c>
      <c r="M876" s="210">
        <f>表格3_5[[#This Row],[ Hours]]-表格3_5[[#This Row],[Normal working
 hours]]</f>
        <v>0</v>
      </c>
      <c r="N876" s="205"/>
      <c r="O876" s="205"/>
      <c r="P876" s="210">
        <f>(表格3_5[[#This Row],[Out-Time2]] - 表格3_5[[#This Row],[In-Time2]])*24</f>
        <v>0</v>
      </c>
      <c r="Q876" s="205"/>
      <c r="R876" s="214">
        <f>_xlfn.XLOOKUP(表格3_5[[#This Row],[Name]],Name_list[Full Name],Name_list[Hourr Rate])</f>
        <v>0</v>
      </c>
      <c r="S876" s="210">
        <f>表格3_5[[#This Row],[Hours Worked]]*表格3_5[[#This Row],[Hourly Rate]]</f>
        <v>0</v>
      </c>
    </row>
    <row r="877" spans="1:19">
      <c r="A877" s="201">
        <v>875</v>
      </c>
      <c r="B877" s="210" t="str">
        <f>_xlfn.CONCAT(表格3_5[[#This Row],[Name]],表格3_5[[#This Row],[Location]])</f>
        <v/>
      </c>
      <c r="C877" s="211" t="str">
        <f>表格3_5[[#This Row],[Location]] &amp; 表格3_5[[#This Row],[Date]] &amp;表格3_5[[#This Row],[Nick Name]]</f>
        <v>0</v>
      </c>
      <c r="D877" s="202"/>
      <c r="E877" s="211" t="str">
        <f>DAY(表格3_5[[#This Row],[Date]])&amp;""</f>
        <v>0</v>
      </c>
      <c r="F877" s="203"/>
      <c r="G877" s="216">
        <f>_xlfn.XLOOKUP(表格3_5[[#This Row],[Name]],Name_list[Full Name],Name_list[Nick Name])</f>
        <v>0</v>
      </c>
      <c r="H877" s="207"/>
      <c r="I877" s="228"/>
      <c r="J877" s="218"/>
      <c r="K877" s="205"/>
      <c r="L877" s="210">
        <f>(表格3_5[[#This Row],[Out-Time]] - 表格3_5[[#This Row],[In-Time]])*24</f>
        <v>0</v>
      </c>
      <c r="M877" s="210">
        <f>表格3_5[[#This Row],[ Hours]]-表格3_5[[#This Row],[Normal working
 hours]]</f>
        <v>0</v>
      </c>
      <c r="N877" s="205"/>
      <c r="O877" s="205"/>
      <c r="P877" s="210">
        <f>(表格3_5[[#This Row],[Out-Time2]] - 表格3_5[[#This Row],[In-Time2]])*24</f>
        <v>0</v>
      </c>
      <c r="Q877" s="205"/>
      <c r="R877" s="214">
        <f>_xlfn.XLOOKUP(表格3_5[[#This Row],[Name]],Name_list[Full Name],Name_list[Hourr Rate])</f>
        <v>0</v>
      </c>
      <c r="S877" s="210">
        <f>表格3_5[[#This Row],[Hours Worked]]*表格3_5[[#This Row],[Hourly Rate]]</f>
        <v>0</v>
      </c>
    </row>
    <row r="878" spans="1:19">
      <c r="A878" s="201">
        <v>876</v>
      </c>
      <c r="B878" s="210" t="str">
        <f>_xlfn.CONCAT(表格3_5[[#This Row],[Name]],表格3_5[[#This Row],[Location]])</f>
        <v/>
      </c>
      <c r="C878" s="211" t="str">
        <f>表格3_5[[#This Row],[Location]] &amp; 表格3_5[[#This Row],[Date]] &amp;表格3_5[[#This Row],[Nick Name]]</f>
        <v>0</v>
      </c>
      <c r="D878" s="202"/>
      <c r="E878" s="211" t="str">
        <f>DAY(表格3_5[[#This Row],[Date]])&amp;""</f>
        <v>0</v>
      </c>
      <c r="F878" s="203"/>
      <c r="G878" s="216">
        <f>_xlfn.XLOOKUP(表格3_5[[#This Row],[Name]],Name_list[Full Name],Name_list[Nick Name])</f>
        <v>0</v>
      </c>
      <c r="H878" s="207"/>
      <c r="I878" s="228"/>
      <c r="J878" s="218"/>
      <c r="K878" s="205"/>
      <c r="L878" s="210">
        <f>(表格3_5[[#This Row],[Out-Time]] - 表格3_5[[#This Row],[In-Time]])*24</f>
        <v>0</v>
      </c>
      <c r="M878" s="210">
        <f>表格3_5[[#This Row],[ Hours]]-表格3_5[[#This Row],[Normal working
 hours]]</f>
        <v>0</v>
      </c>
      <c r="N878" s="205"/>
      <c r="O878" s="205"/>
      <c r="P878" s="210">
        <f>(表格3_5[[#This Row],[Out-Time2]] - 表格3_5[[#This Row],[In-Time2]])*24</f>
        <v>0</v>
      </c>
      <c r="Q878" s="205"/>
      <c r="R878" s="214">
        <f>_xlfn.XLOOKUP(表格3_5[[#This Row],[Name]],Name_list[Full Name],Name_list[Hourr Rate])</f>
        <v>0</v>
      </c>
      <c r="S878" s="210">
        <f>表格3_5[[#This Row],[Hours Worked]]*表格3_5[[#This Row],[Hourly Rate]]</f>
        <v>0</v>
      </c>
    </row>
    <row r="879" spans="1:19">
      <c r="A879" s="201">
        <v>877</v>
      </c>
      <c r="B879" s="210" t="str">
        <f>_xlfn.CONCAT(表格3_5[[#This Row],[Name]],表格3_5[[#This Row],[Location]])</f>
        <v/>
      </c>
      <c r="C879" s="211" t="str">
        <f>表格3_5[[#This Row],[Location]] &amp; 表格3_5[[#This Row],[Date]] &amp;表格3_5[[#This Row],[Nick Name]]</f>
        <v>0</v>
      </c>
      <c r="D879" s="202"/>
      <c r="E879" s="211" t="str">
        <f>DAY(表格3_5[[#This Row],[Date]])&amp;""</f>
        <v>0</v>
      </c>
      <c r="F879" s="203"/>
      <c r="G879" s="216">
        <f>_xlfn.XLOOKUP(表格3_5[[#This Row],[Name]],Name_list[Full Name],Name_list[Nick Name])</f>
        <v>0</v>
      </c>
      <c r="H879" s="207"/>
      <c r="I879" s="228"/>
      <c r="J879" s="218"/>
      <c r="K879" s="205"/>
      <c r="L879" s="210">
        <f>(表格3_5[[#This Row],[Out-Time]] - 表格3_5[[#This Row],[In-Time]])*24</f>
        <v>0</v>
      </c>
      <c r="M879" s="210">
        <f>表格3_5[[#This Row],[ Hours]]-表格3_5[[#This Row],[Normal working
 hours]]</f>
        <v>0</v>
      </c>
      <c r="N879" s="205"/>
      <c r="O879" s="205"/>
      <c r="P879" s="210">
        <f>(表格3_5[[#This Row],[Out-Time2]] - 表格3_5[[#This Row],[In-Time2]])*24</f>
        <v>0</v>
      </c>
      <c r="Q879" s="205"/>
      <c r="R879" s="214">
        <f>_xlfn.XLOOKUP(表格3_5[[#This Row],[Name]],Name_list[Full Name],Name_list[Hourr Rate])</f>
        <v>0</v>
      </c>
      <c r="S879" s="210">
        <f>表格3_5[[#This Row],[Hours Worked]]*表格3_5[[#This Row],[Hourly Rate]]</f>
        <v>0</v>
      </c>
    </row>
    <row r="880" spans="1:19">
      <c r="A880" s="201">
        <v>878</v>
      </c>
      <c r="B880" s="210" t="str">
        <f>_xlfn.CONCAT(表格3_5[[#This Row],[Name]],表格3_5[[#This Row],[Location]])</f>
        <v/>
      </c>
      <c r="C880" s="211" t="str">
        <f>表格3_5[[#This Row],[Location]] &amp; 表格3_5[[#This Row],[Date]] &amp;表格3_5[[#This Row],[Nick Name]]</f>
        <v>0</v>
      </c>
      <c r="D880" s="202"/>
      <c r="E880" s="211" t="str">
        <f>DAY(表格3_5[[#This Row],[Date]])&amp;""</f>
        <v>0</v>
      </c>
      <c r="F880" s="203"/>
      <c r="G880" s="216">
        <f>_xlfn.XLOOKUP(表格3_5[[#This Row],[Name]],Name_list[Full Name],Name_list[Nick Name])</f>
        <v>0</v>
      </c>
      <c r="H880" s="207"/>
      <c r="I880" s="228"/>
      <c r="J880" s="218"/>
      <c r="K880" s="205"/>
      <c r="L880" s="210">
        <f>(表格3_5[[#This Row],[Out-Time]] - 表格3_5[[#This Row],[In-Time]])*24</f>
        <v>0</v>
      </c>
      <c r="M880" s="210">
        <f>表格3_5[[#This Row],[ Hours]]-表格3_5[[#This Row],[Normal working
 hours]]</f>
        <v>0</v>
      </c>
      <c r="N880" s="205"/>
      <c r="O880" s="205"/>
      <c r="P880" s="210">
        <f>(表格3_5[[#This Row],[Out-Time2]] - 表格3_5[[#This Row],[In-Time2]])*24</f>
        <v>0</v>
      </c>
      <c r="Q880" s="205"/>
      <c r="R880" s="214">
        <f>_xlfn.XLOOKUP(表格3_5[[#This Row],[Name]],Name_list[Full Name],Name_list[Hourr Rate])</f>
        <v>0</v>
      </c>
      <c r="S880" s="210">
        <f>表格3_5[[#This Row],[Hours Worked]]*表格3_5[[#This Row],[Hourly Rate]]</f>
        <v>0</v>
      </c>
    </row>
    <row r="881" spans="1:19">
      <c r="A881" s="201">
        <v>879</v>
      </c>
      <c r="B881" s="210" t="str">
        <f>_xlfn.CONCAT(表格3_5[[#This Row],[Name]],表格3_5[[#This Row],[Location]])</f>
        <v/>
      </c>
      <c r="C881" s="211" t="str">
        <f>表格3_5[[#This Row],[Location]] &amp; 表格3_5[[#This Row],[Date]] &amp;表格3_5[[#This Row],[Nick Name]]</f>
        <v>0</v>
      </c>
      <c r="D881" s="202"/>
      <c r="E881" s="211" t="str">
        <f>DAY(表格3_5[[#This Row],[Date]])&amp;""</f>
        <v>0</v>
      </c>
      <c r="F881" s="203"/>
      <c r="G881" s="216">
        <f>_xlfn.XLOOKUP(表格3_5[[#This Row],[Name]],Name_list[Full Name],Name_list[Nick Name])</f>
        <v>0</v>
      </c>
      <c r="H881" s="207"/>
      <c r="I881" s="228"/>
      <c r="J881" s="218"/>
      <c r="K881" s="205"/>
      <c r="L881" s="210">
        <f>(表格3_5[[#This Row],[Out-Time]] - 表格3_5[[#This Row],[In-Time]])*24</f>
        <v>0</v>
      </c>
      <c r="M881" s="210">
        <f>表格3_5[[#This Row],[ Hours]]-表格3_5[[#This Row],[Normal working
 hours]]</f>
        <v>0</v>
      </c>
      <c r="N881" s="205"/>
      <c r="O881" s="205"/>
      <c r="P881" s="210">
        <f>(表格3_5[[#This Row],[Out-Time2]] - 表格3_5[[#This Row],[In-Time2]])*24</f>
        <v>0</v>
      </c>
      <c r="Q881" s="205"/>
      <c r="R881" s="214">
        <f>_xlfn.XLOOKUP(表格3_5[[#This Row],[Name]],Name_list[Full Name],Name_list[Hourr Rate])</f>
        <v>0</v>
      </c>
      <c r="S881" s="210">
        <f>表格3_5[[#This Row],[Hours Worked]]*表格3_5[[#This Row],[Hourly Rate]]</f>
        <v>0</v>
      </c>
    </row>
    <row r="882" spans="1:19">
      <c r="A882" s="201">
        <v>880</v>
      </c>
      <c r="B882" s="210" t="str">
        <f>_xlfn.CONCAT(表格3_5[[#This Row],[Name]],表格3_5[[#This Row],[Location]])</f>
        <v/>
      </c>
      <c r="C882" s="211" t="str">
        <f>表格3_5[[#This Row],[Location]] &amp; 表格3_5[[#This Row],[Date]] &amp;表格3_5[[#This Row],[Nick Name]]</f>
        <v>0</v>
      </c>
      <c r="D882" s="202"/>
      <c r="E882" s="211" t="str">
        <f>DAY(表格3_5[[#This Row],[Date]])&amp;""</f>
        <v>0</v>
      </c>
      <c r="F882" s="203"/>
      <c r="G882" s="216">
        <f>_xlfn.XLOOKUP(表格3_5[[#This Row],[Name]],Name_list[Full Name],Name_list[Nick Name])</f>
        <v>0</v>
      </c>
      <c r="H882" s="207"/>
      <c r="I882" s="228"/>
      <c r="J882" s="218"/>
      <c r="K882" s="205"/>
      <c r="L882" s="210">
        <f>(表格3_5[[#This Row],[Out-Time]] - 表格3_5[[#This Row],[In-Time]])*24</f>
        <v>0</v>
      </c>
      <c r="M882" s="210">
        <f>表格3_5[[#This Row],[ Hours]]-表格3_5[[#This Row],[Normal working
 hours]]</f>
        <v>0</v>
      </c>
      <c r="N882" s="205"/>
      <c r="O882" s="205"/>
      <c r="P882" s="210">
        <f>(表格3_5[[#This Row],[Out-Time2]] - 表格3_5[[#This Row],[In-Time2]])*24</f>
        <v>0</v>
      </c>
      <c r="Q882" s="205"/>
      <c r="R882" s="214">
        <f>_xlfn.XLOOKUP(表格3_5[[#This Row],[Name]],Name_list[Full Name],Name_list[Hourr Rate])</f>
        <v>0</v>
      </c>
      <c r="S882" s="210">
        <f>表格3_5[[#This Row],[Hours Worked]]*表格3_5[[#This Row],[Hourly Rate]]</f>
        <v>0</v>
      </c>
    </row>
    <row r="883" spans="1:19">
      <c r="A883" s="201">
        <v>881</v>
      </c>
      <c r="B883" s="210" t="str">
        <f>_xlfn.CONCAT(表格3_5[[#This Row],[Name]],表格3_5[[#This Row],[Location]])</f>
        <v/>
      </c>
      <c r="C883" s="211" t="str">
        <f>表格3_5[[#This Row],[Location]] &amp; 表格3_5[[#This Row],[Date]] &amp;表格3_5[[#This Row],[Nick Name]]</f>
        <v>0</v>
      </c>
      <c r="D883" s="202"/>
      <c r="E883" s="211" t="str">
        <f>DAY(表格3_5[[#This Row],[Date]])&amp;""</f>
        <v>0</v>
      </c>
      <c r="F883" s="203"/>
      <c r="G883" s="216">
        <f>_xlfn.XLOOKUP(表格3_5[[#This Row],[Name]],Name_list[Full Name],Name_list[Nick Name])</f>
        <v>0</v>
      </c>
      <c r="H883" s="207"/>
      <c r="I883" s="228"/>
      <c r="J883" s="218"/>
      <c r="K883" s="205"/>
      <c r="L883" s="210">
        <f>(表格3_5[[#This Row],[Out-Time]] - 表格3_5[[#This Row],[In-Time]])*24</f>
        <v>0</v>
      </c>
      <c r="M883" s="210">
        <f>表格3_5[[#This Row],[ Hours]]-表格3_5[[#This Row],[Normal working
 hours]]</f>
        <v>0</v>
      </c>
      <c r="N883" s="205"/>
      <c r="O883" s="205"/>
      <c r="P883" s="210">
        <f>(表格3_5[[#This Row],[Out-Time2]] - 表格3_5[[#This Row],[In-Time2]])*24</f>
        <v>0</v>
      </c>
      <c r="Q883" s="205"/>
      <c r="R883" s="214">
        <f>_xlfn.XLOOKUP(表格3_5[[#This Row],[Name]],Name_list[Full Name],Name_list[Hourr Rate])</f>
        <v>0</v>
      </c>
      <c r="S883" s="210">
        <f>表格3_5[[#This Row],[Hours Worked]]*表格3_5[[#This Row],[Hourly Rate]]</f>
        <v>0</v>
      </c>
    </row>
    <row r="884" spans="1:19">
      <c r="A884" s="201">
        <v>882</v>
      </c>
      <c r="B884" s="210" t="str">
        <f>_xlfn.CONCAT(表格3_5[[#This Row],[Name]],表格3_5[[#This Row],[Location]])</f>
        <v/>
      </c>
      <c r="C884" s="211" t="str">
        <f>表格3_5[[#This Row],[Location]] &amp; 表格3_5[[#This Row],[Date]] &amp;表格3_5[[#This Row],[Nick Name]]</f>
        <v>0</v>
      </c>
      <c r="D884" s="202"/>
      <c r="E884" s="211" t="str">
        <f>DAY(表格3_5[[#This Row],[Date]])&amp;""</f>
        <v>0</v>
      </c>
      <c r="F884" s="203"/>
      <c r="G884" s="216">
        <f>_xlfn.XLOOKUP(表格3_5[[#This Row],[Name]],Name_list[Full Name],Name_list[Nick Name])</f>
        <v>0</v>
      </c>
      <c r="H884" s="207"/>
      <c r="I884" s="228"/>
      <c r="J884" s="218"/>
      <c r="K884" s="205"/>
      <c r="L884" s="210">
        <f>(表格3_5[[#This Row],[Out-Time]] - 表格3_5[[#This Row],[In-Time]])*24</f>
        <v>0</v>
      </c>
      <c r="M884" s="210">
        <f>表格3_5[[#This Row],[ Hours]]-表格3_5[[#This Row],[Normal working
 hours]]</f>
        <v>0</v>
      </c>
      <c r="N884" s="205"/>
      <c r="O884" s="205"/>
      <c r="P884" s="210">
        <f>(表格3_5[[#This Row],[Out-Time2]] - 表格3_5[[#This Row],[In-Time2]])*24</f>
        <v>0</v>
      </c>
      <c r="Q884" s="205"/>
      <c r="R884" s="214">
        <f>_xlfn.XLOOKUP(表格3_5[[#This Row],[Name]],Name_list[Full Name],Name_list[Hourr Rate])</f>
        <v>0</v>
      </c>
      <c r="S884" s="210">
        <f>表格3_5[[#This Row],[Hours Worked]]*表格3_5[[#This Row],[Hourly Rate]]</f>
        <v>0</v>
      </c>
    </row>
    <row r="885" spans="1:19">
      <c r="A885" s="201">
        <v>883</v>
      </c>
      <c r="B885" s="210" t="str">
        <f>_xlfn.CONCAT(表格3_5[[#This Row],[Name]],表格3_5[[#This Row],[Location]])</f>
        <v/>
      </c>
      <c r="C885" s="211" t="str">
        <f>表格3_5[[#This Row],[Location]] &amp; 表格3_5[[#This Row],[Date]] &amp;表格3_5[[#This Row],[Nick Name]]</f>
        <v>0</v>
      </c>
      <c r="D885" s="202"/>
      <c r="E885" s="211" t="str">
        <f>DAY(表格3_5[[#This Row],[Date]])&amp;""</f>
        <v>0</v>
      </c>
      <c r="F885" s="203"/>
      <c r="G885" s="216">
        <f>_xlfn.XLOOKUP(表格3_5[[#This Row],[Name]],Name_list[Full Name],Name_list[Nick Name])</f>
        <v>0</v>
      </c>
      <c r="H885" s="207"/>
      <c r="I885" s="228"/>
      <c r="J885" s="218"/>
      <c r="K885" s="205"/>
      <c r="L885" s="210">
        <f>(表格3_5[[#This Row],[Out-Time]] - 表格3_5[[#This Row],[In-Time]])*24</f>
        <v>0</v>
      </c>
      <c r="M885" s="210">
        <f>表格3_5[[#This Row],[ Hours]]-表格3_5[[#This Row],[Normal working
 hours]]</f>
        <v>0</v>
      </c>
      <c r="N885" s="205"/>
      <c r="O885" s="205"/>
      <c r="P885" s="210">
        <f>(表格3_5[[#This Row],[Out-Time2]] - 表格3_5[[#This Row],[In-Time2]])*24</f>
        <v>0</v>
      </c>
      <c r="Q885" s="205"/>
      <c r="R885" s="214">
        <f>_xlfn.XLOOKUP(表格3_5[[#This Row],[Name]],Name_list[Full Name],Name_list[Hourr Rate])</f>
        <v>0</v>
      </c>
      <c r="S885" s="210">
        <f>表格3_5[[#This Row],[Hours Worked]]*表格3_5[[#This Row],[Hourly Rate]]</f>
        <v>0</v>
      </c>
    </row>
    <row r="886" spans="1:19">
      <c r="A886" s="201">
        <v>884</v>
      </c>
      <c r="B886" s="210" t="str">
        <f>_xlfn.CONCAT(表格3_5[[#This Row],[Name]],表格3_5[[#This Row],[Location]])</f>
        <v/>
      </c>
      <c r="C886" s="211" t="str">
        <f>表格3_5[[#This Row],[Location]] &amp; 表格3_5[[#This Row],[Date]] &amp;表格3_5[[#This Row],[Nick Name]]</f>
        <v>0</v>
      </c>
      <c r="D886" s="202"/>
      <c r="E886" s="211" t="str">
        <f>DAY(表格3_5[[#This Row],[Date]])&amp;""</f>
        <v>0</v>
      </c>
      <c r="F886" s="203"/>
      <c r="G886" s="216">
        <f>_xlfn.XLOOKUP(表格3_5[[#This Row],[Name]],Name_list[Full Name],Name_list[Nick Name])</f>
        <v>0</v>
      </c>
      <c r="H886" s="207"/>
      <c r="I886" s="228"/>
      <c r="J886" s="218"/>
      <c r="K886" s="205"/>
      <c r="L886" s="210">
        <f>(表格3_5[[#This Row],[Out-Time]] - 表格3_5[[#This Row],[In-Time]])*24</f>
        <v>0</v>
      </c>
      <c r="M886" s="210">
        <f>表格3_5[[#This Row],[ Hours]]-表格3_5[[#This Row],[Normal working
 hours]]</f>
        <v>0</v>
      </c>
      <c r="N886" s="205"/>
      <c r="O886" s="205"/>
      <c r="P886" s="210">
        <f>(表格3_5[[#This Row],[Out-Time2]] - 表格3_5[[#This Row],[In-Time2]])*24</f>
        <v>0</v>
      </c>
      <c r="Q886" s="205"/>
      <c r="R886" s="214">
        <f>_xlfn.XLOOKUP(表格3_5[[#This Row],[Name]],Name_list[Full Name],Name_list[Hourr Rate])</f>
        <v>0</v>
      </c>
      <c r="S886" s="210">
        <f>表格3_5[[#This Row],[Hours Worked]]*表格3_5[[#This Row],[Hourly Rate]]</f>
        <v>0</v>
      </c>
    </row>
    <row r="887" spans="1:19">
      <c r="A887" s="201">
        <v>885</v>
      </c>
      <c r="B887" s="210" t="str">
        <f>_xlfn.CONCAT(表格3_5[[#This Row],[Name]],表格3_5[[#This Row],[Location]])</f>
        <v/>
      </c>
      <c r="C887" s="211" t="str">
        <f>表格3_5[[#This Row],[Location]] &amp; 表格3_5[[#This Row],[Date]] &amp;表格3_5[[#This Row],[Nick Name]]</f>
        <v>0</v>
      </c>
      <c r="D887" s="202"/>
      <c r="E887" s="211" t="str">
        <f>DAY(表格3_5[[#This Row],[Date]])&amp;""</f>
        <v>0</v>
      </c>
      <c r="F887" s="203"/>
      <c r="G887" s="216">
        <f>_xlfn.XLOOKUP(表格3_5[[#This Row],[Name]],Name_list[Full Name],Name_list[Nick Name])</f>
        <v>0</v>
      </c>
      <c r="H887" s="207"/>
      <c r="I887" s="228"/>
      <c r="J887" s="218"/>
      <c r="K887" s="205"/>
      <c r="L887" s="210">
        <f>(表格3_5[[#This Row],[Out-Time]] - 表格3_5[[#This Row],[In-Time]])*24</f>
        <v>0</v>
      </c>
      <c r="M887" s="210">
        <f>表格3_5[[#This Row],[ Hours]]-表格3_5[[#This Row],[Normal working
 hours]]</f>
        <v>0</v>
      </c>
      <c r="N887" s="205"/>
      <c r="O887" s="205"/>
      <c r="P887" s="210">
        <f>(表格3_5[[#This Row],[Out-Time2]] - 表格3_5[[#This Row],[In-Time2]])*24</f>
        <v>0</v>
      </c>
      <c r="Q887" s="205"/>
      <c r="R887" s="214">
        <f>_xlfn.XLOOKUP(表格3_5[[#This Row],[Name]],Name_list[Full Name],Name_list[Hourr Rate])</f>
        <v>0</v>
      </c>
      <c r="S887" s="210">
        <f>表格3_5[[#This Row],[Hours Worked]]*表格3_5[[#This Row],[Hourly Rate]]</f>
        <v>0</v>
      </c>
    </row>
    <row r="888" spans="1:19">
      <c r="A888" s="201">
        <v>886</v>
      </c>
      <c r="B888" s="210" t="str">
        <f>_xlfn.CONCAT(表格3_5[[#This Row],[Name]],表格3_5[[#This Row],[Location]])</f>
        <v/>
      </c>
      <c r="C888" s="211" t="str">
        <f>表格3_5[[#This Row],[Location]] &amp; 表格3_5[[#This Row],[Date]] &amp;表格3_5[[#This Row],[Nick Name]]</f>
        <v>0</v>
      </c>
      <c r="D888" s="202"/>
      <c r="E888" s="211" t="str">
        <f>DAY(表格3_5[[#This Row],[Date]])&amp;""</f>
        <v>0</v>
      </c>
      <c r="F888" s="203"/>
      <c r="G888" s="216">
        <f>_xlfn.XLOOKUP(表格3_5[[#This Row],[Name]],Name_list[Full Name],Name_list[Nick Name])</f>
        <v>0</v>
      </c>
      <c r="H888" s="207"/>
      <c r="I888" s="228"/>
      <c r="J888" s="218"/>
      <c r="K888" s="205"/>
      <c r="L888" s="210">
        <f>(表格3_5[[#This Row],[Out-Time]] - 表格3_5[[#This Row],[In-Time]])*24</f>
        <v>0</v>
      </c>
      <c r="M888" s="210">
        <f>表格3_5[[#This Row],[ Hours]]-表格3_5[[#This Row],[Normal working
 hours]]</f>
        <v>0</v>
      </c>
      <c r="N888" s="205"/>
      <c r="O888" s="205"/>
      <c r="P888" s="210">
        <f>(表格3_5[[#This Row],[Out-Time2]] - 表格3_5[[#This Row],[In-Time2]])*24</f>
        <v>0</v>
      </c>
      <c r="Q888" s="205"/>
      <c r="R888" s="214">
        <f>_xlfn.XLOOKUP(表格3_5[[#This Row],[Name]],Name_list[Full Name],Name_list[Hourr Rate])</f>
        <v>0</v>
      </c>
      <c r="S888" s="210">
        <f>表格3_5[[#This Row],[Hours Worked]]*表格3_5[[#This Row],[Hourly Rate]]</f>
        <v>0</v>
      </c>
    </row>
    <row r="889" spans="1:19">
      <c r="A889" s="201">
        <v>887</v>
      </c>
      <c r="B889" s="210" t="str">
        <f>_xlfn.CONCAT(表格3_5[[#This Row],[Name]],表格3_5[[#This Row],[Location]])</f>
        <v/>
      </c>
      <c r="C889" s="211" t="str">
        <f>表格3_5[[#This Row],[Location]] &amp; 表格3_5[[#This Row],[Date]] &amp;表格3_5[[#This Row],[Nick Name]]</f>
        <v>0</v>
      </c>
      <c r="D889" s="202"/>
      <c r="E889" s="211" t="str">
        <f>DAY(表格3_5[[#This Row],[Date]])&amp;""</f>
        <v>0</v>
      </c>
      <c r="F889" s="203"/>
      <c r="G889" s="216">
        <f>_xlfn.XLOOKUP(表格3_5[[#This Row],[Name]],Name_list[Full Name],Name_list[Nick Name])</f>
        <v>0</v>
      </c>
      <c r="H889" s="207"/>
      <c r="I889" s="228"/>
      <c r="J889" s="218"/>
      <c r="K889" s="205"/>
      <c r="L889" s="210">
        <f>(表格3_5[[#This Row],[Out-Time]] - 表格3_5[[#This Row],[In-Time]])*24</f>
        <v>0</v>
      </c>
      <c r="M889" s="210">
        <f>表格3_5[[#This Row],[ Hours]]-表格3_5[[#This Row],[Normal working
 hours]]</f>
        <v>0</v>
      </c>
      <c r="N889" s="205"/>
      <c r="O889" s="205"/>
      <c r="P889" s="210">
        <f>(表格3_5[[#This Row],[Out-Time2]] - 表格3_5[[#This Row],[In-Time2]])*24</f>
        <v>0</v>
      </c>
      <c r="Q889" s="205"/>
      <c r="R889" s="214">
        <f>_xlfn.XLOOKUP(表格3_5[[#This Row],[Name]],Name_list[Full Name],Name_list[Hourr Rate])</f>
        <v>0</v>
      </c>
      <c r="S889" s="210">
        <f>表格3_5[[#This Row],[Hours Worked]]*表格3_5[[#This Row],[Hourly Rate]]</f>
        <v>0</v>
      </c>
    </row>
    <row r="890" spans="1:19">
      <c r="A890" s="201">
        <v>888</v>
      </c>
      <c r="B890" s="210" t="str">
        <f>_xlfn.CONCAT(表格3_5[[#This Row],[Name]],表格3_5[[#This Row],[Location]])</f>
        <v/>
      </c>
      <c r="C890" s="211" t="str">
        <f>表格3_5[[#This Row],[Location]] &amp; 表格3_5[[#This Row],[Date]] &amp;表格3_5[[#This Row],[Nick Name]]</f>
        <v>0</v>
      </c>
      <c r="D890" s="202"/>
      <c r="E890" s="211" t="str">
        <f>DAY(表格3_5[[#This Row],[Date]])&amp;""</f>
        <v>0</v>
      </c>
      <c r="F890" s="203"/>
      <c r="G890" s="216">
        <f>_xlfn.XLOOKUP(表格3_5[[#This Row],[Name]],Name_list[Full Name],Name_list[Nick Name])</f>
        <v>0</v>
      </c>
      <c r="H890" s="207"/>
      <c r="I890" s="228"/>
      <c r="J890" s="218"/>
      <c r="K890" s="205"/>
      <c r="L890" s="210">
        <f>(表格3_5[[#This Row],[Out-Time]] - 表格3_5[[#This Row],[In-Time]])*24</f>
        <v>0</v>
      </c>
      <c r="M890" s="210">
        <f>表格3_5[[#This Row],[ Hours]]-表格3_5[[#This Row],[Normal working
 hours]]</f>
        <v>0</v>
      </c>
      <c r="N890" s="205"/>
      <c r="O890" s="205"/>
      <c r="P890" s="210">
        <f>(表格3_5[[#This Row],[Out-Time2]] - 表格3_5[[#This Row],[In-Time2]])*24</f>
        <v>0</v>
      </c>
      <c r="Q890" s="205"/>
      <c r="R890" s="214">
        <f>_xlfn.XLOOKUP(表格3_5[[#This Row],[Name]],Name_list[Full Name],Name_list[Hourr Rate])</f>
        <v>0</v>
      </c>
      <c r="S890" s="210">
        <f>表格3_5[[#This Row],[Hours Worked]]*表格3_5[[#This Row],[Hourly Rate]]</f>
        <v>0</v>
      </c>
    </row>
    <row r="891" spans="1:19">
      <c r="A891" s="201">
        <v>889</v>
      </c>
      <c r="B891" s="210" t="str">
        <f>_xlfn.CONCAT(表格3_5[[#This Row],[Name]],表格3_5[[#This Row],[Location]])</f>
        <v/>
      </c>
      <c r="C891" s="211" t="str">
        <f>表格3_5[[#This Row],[Location]] &amp; 表格3_5[[#This Row],[Date]] &amp;表格3_5[[#This Row],[Nick Name]]</f>
        <v>0</v>
      </c>
      <c r="D891" s="202"/>
      <c r="E891" s="211" t="str">
        <f>DAY(表格3_5[[#This Row],[Date]])&amp;""</f>
        <v>0</v>
      </c>
      <c r="F891" s="203"/>
      <c r="G891" s="216">
        <f>_xlfn.XLOOKUP(表格3_5[[#This Row],[Name]],Name_list[Full Name],Name_list[Nick Name])</f>
        <v>0</v>
      </c>
      <c r="H891" s="207"/>
      <c r="I891" s="228"/>
      <c r="J891" s="218"/>
      <c r="K891" s="205"/>
      <c r="L891" s="210">
        <f>(表格3_5[[#This Row],[Out-Time]] - 表格3_5[[#This Row],[In-Time]])*24</f>
        <v>0</v>
      </c>
      <c r="M891" s="210">
        <f>表格3_5[[#This Row],[ Hours]]-表格3_5[[#This Row],[Normal working
 hours]]</f>
        <v>0</v>
      </c>
      <c r="N891" s="205"/>
      <c r="O891" s="205"/>
      <c r="P891" s="210">
        <f>(表格3_5[[#This Row],[Out-Time2]] - 表格3_5[[#This Row],[In-Time2]])*24</f>
        <v>0</v>
      </c>
      <c r="Q891" s="205"/>
      <c r="R891" s="214">
        <f>_xlfn.XLOOKUP(表格3_5[[#This Row],[Name]],Name_list[Full Name],Name_list[Hourr Rate])</f>
        <v>0</v>
      </c>
      <c r="S891" s="210">
        <f>表格3_5[[#This Row],[Hours Worked]]*表格3_5[[#This Row],[Hourly Rate]]</f>
        <v>0</v>
      </c>
    </row>
    <row r="892" spans="1:19">
      <c r="A892" s="201">
        <v>890</v>
      </c>
      <c r="B892" s="210" t="str">
        <f>_xlfn.CONCAT(表格3_5[[#This Row],[Name]],表格3_5[[#This Row],[Location]])</f>
        <v/>
      </c>
      <c r="C892" s="211" t="str">
        <f>表格3_5[[#This Row],[Location]] &amp; 表格3_5[[#This Row],[Date]] &amp;表格3_5[[#This Row],[Nick Name]]</f>
        <v>0</v>
      </c>
      <c r="D892" s="202"/>
      <c r="E892" s="211" t="str">
        <f>DAY(表格3_5[[#This Row],[Date]])&amp;""</f>
        <v>0</v>
      </c>
      <c r="F892" s="203"/>
      <c r="G892" s="216">
        <f>_xlfn.XLOOKUP(表格3_5[[#This Row],[Name]],Name_list[Full Name],Name_list[Nick Name])</f>
        <v>0</v>
      </c>
      <c r="H892" s="207"/>
      <c r="I892" s="228"/>
      <c r="J892" s="218"/>
      <c r="K892" s="205"/>
      <c r="L892" s="210">
        <f>(表格3_5[[#This Row],[Out-Time]] - 表格3_5[[#This Row],[In-Time]])*24</f>
        <v>0</v>
      </c>
      <c r="M892" s="210">
        <f>表格3_5[[#This Row],[ Hours]]-表格3_5[[#This Row],[Normal working
 hours]]</f>
        <v>0</v>
      </c>
      <c r="N892" s="205"/>
      <c r="O892" s="205"/>
      <c r="P892" s="210">
        <f>(表格3_5[[#This Row],[Out-Time2]] - 表格3_5[[#This Row],[In-Time2]])*24</f>
        <v>0</v>
      </c>
      <c r="Q892" s="205"/>
      <c r="R892" s="214">
        <f>_xlfn.XLOOKUP(表格3_5[[#This Row],[Name]],Name_list[Full Name],Name_list[Hourr Rate])</f>
        <v>0</v>
      </c>
      <c r="S892" s="210">
        <f>表格3_5[[#This Row],[Hours Worked]]*表格3_5[[#This Row],[Hourly Rate]]</f>
        <v>0</v>
      </c>
    </row>
    <row r="893" spans="1:19">
      <c r="A893" s="201">
        <v>891</v>
      </c>
      <c r="B893" s="210" t="str">
        <f>_xlfn.CONCAT(表格3_5[[#This Row],[Name]],表格3_5[[#This Row],[Location]])</f>
        <v/>
      </c>
      <c r="C893" s="211" t="str">
        <f>表格3_5[[#This Row],[Location]] &amp; 表格3_5[[#This Row],[Date]] &amp;表格3_5[[#This Row],[Nick Name]]</f>
        <v>0</v>
      </c>
      <c r="D893" s="202"/>
      <c r="E893" s="211" t="str">
        <f>DAY(表格3_5[[#This Row],[Date]])&amp;""</f>
        <v>0</v>
      </c>
      <c r="F893" s="203"/>
      <c r="G893" s="216">
        <f>_xlfn.XLOOKUP(表格3_5[[#This Row],[Name]],Name_list[Full Name],Name_list[Nick Name])</f>
        <v>0</v>
      </c>
      <c r="H893" s="207"/>
      <c r="I893" s="228"/>
      <c r="J893" s="218"/>
      <c r="K893" s="205"/>
      <c r="L893" s="210">
        <f>(表格3_5[[#This Row],[Out-Time]] - 表格3_5[[#This Row],[In-Time]])*24</f>
        <v>0</v>
      </c>
      <c r="M893" s="210">
        <f>表格3_5[[#This Row],[ Hours]]-表格3_5[[#This Row],[Normal working
 hours]]</f>
        <v>0</v>
      </c>
      <c r="N893" s="205"/>
      <c r="O893" s="205"/>
      <c r="P893" s="210">
        <f>(表格3_5[[#This Row],[Out-Time2]] - 表格3_5[[#This Row],[In-Time2]])*24</f>
        <v>0</v>
      </c>
      <c r="Q893" s="205"/>
      <c r="R893" s="214">
        <f>_xlfn.XLOOKUP(表格3_5[[#This Row],[Name]],Name_list[Full Name],Name_list[Hourr Rate])</f>
        <v>0</v>
      </c>
      <c r="S893" s="210">
        <f>表格3_5[[#This Row],[Hours Worked]]*表格3_5[[#This Row],[Hourly Rate]]</f>
        <v>0</v>
      </c>
    </row>
    <row r="894" spans="1:19">
      <c r="A894" s="201">
        <v>892</v>
      </c>
      <c r="B894" s="210" t="str">
        <f>_xlfn.CONCAT(表格3_5[[#This Row],[Name]],表格3_5[[#This Row],[Location]])</f>
        <v/>
      </c>
      <c r="C894" s="211" t="str">
        <f>表格3_5[[#This Row],[Location]] &amp; 表格3_5[[#This Row],[Date]] &amp;表格3_5[[#This Row],[Nick Name]]</f>
        <v>0</v>
      </c>
      <c r="D894" s="202"/>
      <c r="E894" s="211" t="str">
        <f>DAY(表格3_5[[#This Row],[Date]])&amp;""</f>
        <v>0</v>
      </c>
      <c r="F894" s="203"/>
      <c r="G894" s="216">
        <f>_xlfn.XLOOKUP(表格3_5[[#This Row],[Name]],Name_list[Full Name],Name_list[Nick Name])</f>
        <v>0</v>
      </c>
      <c r="H894" s="207"/>
      <c r="I894" s="228"/>
      <c r="J894" s="218"/>
      <c r="K894" s="205"/>
      <c r="L894" s="210">
        <f>(表格3_5[[#This Row],[Out-Time]] - 表格3_5[[#This Row],[In-Time]])*24</f>
        <v>0</v>
      </c>
      <c r="M894" s="210">
        <f>表格3_5[[#This Row],[ Hours]]-表格3_5[[#This Row],[Normal working
 hours]]</f>
        <v>0</v>
      </c>
      <c r="N894" s="205"/>
      <c r="O894" s="205"/>
      <c r="P894" s="210">
        <f>(表格3_5[[#This Row],[Out-Time2]] - 表格3_5[[#This Row],[In-Time2]])*24</f>
        <v>0</v>
      </c>
      <c r="Q894" s="205"/>
      <c r="R894" s="214">
        <f>_xlfn.XLOOKUP(表格3_5[[#This Row],[Name]],Name_list[Full Name],Name_list[Hourr Rate])</f>
        <v>0</v>
      </c>
      <c r="S894" s="210">
        <f>表格3_5[[#This Row],[Hours Worked]]*表格3_5[[#This Row],[Hourly Rate]]</f>
        <v>0</v>
      </c>
    </row>
    <row r="895" spans="1:19">
      <c r="A895" s="201">
        <v>893</v>
      </c>
      <c r="B895" s="210" t="str">
        <f>_xlfn.CONCAT(表格3_5[[#This Row],[Name]],表格3_5[[#This Row],[Location]])</f>
        <v/>
      </c>
      <c r="C895" s="211" t="str">
        <f>表格3_5[[#This Row],[Location]] &amp; 表格3_5[[#This Row],[Date]] &amp;表格3_5[[#This Row],[Nick Name]]</f>
        <v>0</v>
      </c>
      <c r="D895" s="202"/>
      <c r="E895" s="211" t="str">
        <f>DAY(表格3_5[[#This Row],[Date]])&amp;""</f>
        <v>0</v>
      </c>
      <c r="F895" s="203"/>
      <c r="G895" s="216">
        <f>_xlfn.XLOOKUP(表格3_5[[#This Row],[Name]],Name_list[Full Name],Name_list[Nick Name])</f>
        <v>0</v>
      </c>
      <c r="H895" s="207"/>
      <c r="I895" s="228"/>
      <c r="J895" s="218"/>
      <c r="K895" s="205"/>
      <c r="L895" s="210">
        <f>(表格3_5[[#This Row],[Out-Time]] - 表格3_5[[#This Row],[In-Time]])*24</f>
        <v>0</v>
      </c>
      <c r="M895" s="210">
        <f>表格3_5[[#This Row],[ Hours]]-表格3_5[[#This Row],[Normal working
 hours]]</f>
        <v>0</v>
      </c>
      <c r="N895" s="205"/>
      <c r="O895" s="205"/>
      <c r="P895" s="210">
        <f>(表格3_5[[#This Row],[Out-Time2]] - 表格3_5[[#This Row],[In-Time2]])*24</f>
        <v>0</v>
      </c>
      <c r="Q895" s="205"/>
      <c r="R895" s="214">
        <f>_xlfn.XLOOKUP(表格3_5[[#This Row],[Name]],Name_list[Full Name],Name_list[Hourr Rate])</f>
        <v>0</v>
      </c>
      <c r="S895" s="210">
        <f>表格3_5[[#This Row],[Hours Worked]]*表格3_5[[#This Row],[Hourly Rate]]</f>
        <v>0</v>
      </c>
    </row>
    <row r="896" spans="1:19">
      <c r="A896" s="201">
        <v>894</v>
      </c>
      <c r="B896" s="210" t="str">
        <f>_xlfn.CONCAT(表格3_5[[#This Row],[Name]],表格3_5[[#This Row],[Location]])</f>
        <v/>
      </c>
      <c r="C896" s="211" t="str">
        <f>表格3_5[[#This Row],[Location]] &amp; 表格3_5[[#This Row],[Date]] &amp;表格3_5[[#This Row],[Nick Name]]</f>
        <v>0</v>
      </c>
      <c r="D896" s="202"/>
      <c r="E896" s="211" t="str">
        <f>DAY(表格3_5[[#This Row],[Date]])&amp;""</f>
        <v>0</v>
      </c>
      <c r="F896" s="203"/>
      <c r="G896" s="216">
        <f>_xlfn.XLOOKUP(表格3_5[[#This Row],[Name]],Name_list[Full Name],Name_list[Nick Name])</f>
        <v>0</v>
      </c>
      <c r="H896" s="207"/>
      <c r="I896" s="228"/>
      <c r="J896" s="218"/>
      <c r="K896" s="205"/>
      <c r="L896" s="210">
        <f>(表格3_5[[#This Row],[Out-Time]] - 表格3_5[[#This Row],[In-Time]])*24</f>
        <v>0</v>
      </c>
      <c r="M896" s="210">
        <f>表格3_5[[#This Row],[ Hours]]-表格3_5[[#This Row],[Normal working
 hours]]</f>
        <v>0</v>
      </c>
      <c r="N896" s="205"/>
      <c r="O896" s="205"/>
      <c r="P896" s="210">
        <f>(表格3_5[[#This Row],[Out-Time2]] - 表格3_5[[#This Row],[In-Time2]])*24</f>
        <v>0</v>
      </c>
      <c r="Q896" s="205"/>
      <c r="R896" s="214">
        <f>_xlfn.XLOOKUP(表格3_5[[#This Row],[Name]],Name_list[Full Name],Name_list[Hourr Rate])</f>
        <v>0</v>
      </c>
      <c r="S896" s="210">
        <f>表格3_5[[#This Row],[Hours Worked]]*表格3_5[[#This Row],[Hourly Rate]]</f>
        <v>0</v>
      </c>
    </row>
    <row r="897" spans="1:19">
      <c r="A897" s="201">
        <v>895</v>
      </c>
      <c r="B897" s="210" t="str">
        <f>_xlfn.CONCAT(表格3_5[[#This Row],[Name]],表格3_5[[#This Row],[Location]])</f>
        <v/>
      </c>
      <c r="C897" s="211" t="str">
        <f>表格3_5[[#This Row],[Location]] &amp; 表格3_5[[#This Row],[Date]] &amp;表格3_5[[#This Row],[Nick Name]]</f>
        <v>0</v>
      </c>
      <c r="D897" s="202"/>
      <c r="E897" s="211" t="str">
        <f>DAY(表格3_5[[#This Row],[Date]])&amp;""</f>
        <v>0</v>
      </c>
      <c r="F897" s="203"/>
      <c r="G897" s="216">
        <f>_xlfn.XLOOKUP(表格3_5[[#This Row],[Name]],Name_list[Full Name],Name_list[Nick Name])</f>
        <v>0</v>
      </c>
      <c r="H897" s="207"/>
      <c r="I897" s="228"/>
      <c r="J897" s="218"/>
      <c r="K897" s="205"/>
      <c r="L897" s="210">
        <f>(表格3_5[[#This Row],[Out-Time]] - 表格3_5[[#This Row],[In-Time]])*24</f>
        <v>0</v>
      </c>
      <c r="M897" s="210">
        <f>表格3_5[[#This Row],[ Hours]]-表格3_5[[#This Row],[Normal working
 hours]]</f>
        <v>0</v>
      </c>
      <c r="N897" s="205"/>
      <c r="O897" s="205"/>
      <c r="P897" s="210">
        <f>(表格3_5[[#This Row],[Out-Time2]] - 表格3_5[[#This Row],[In-Time2]])*24</f>
        <v>0</v>
      </c>
      <c r="Q897" s="205"/>
      <c r="R897" s="214">
        <f>_xlfn.XLOOKUP(表格3_5[[#This Row],[Name]],Name_list[Full Name],Name_list[Hourr Rate])</f>
        <v>0</v>
      </c>
      <c r="S897" s="210">
        <f>表格3_5[[#This Row],[Hours Worked]]*表格3_5[[#This Row],[Hourly Rate]]</f>
        <v>0</v>
      </c>
    </row>
    <row r="898" spans="1:19">
      <c r="A898" s="201">
        <v>896</v>
      </c>
      <c r="B898" s="210" t="str">
        <f>_xlfn.CONCAT(表格3_5[[#This Row],[Name]],表格3_5[[#This Row],[Location]])</f>
        <v/>
      </c>
      <c r="C898" s="211" t="str">
        <f>表格3_5[[#This Row],[Location]] &amp; 表格3_5[[#This Row],[Date]] &amp;表格3_5[[#This Row],[Nick Name]]</f>
        <v>0</v>
      </c>
      <c r="D898" s="202"/>
      <c r="E898" s="211" t="str">
        <f>DAY(表格3_5[[#This Row],[Date]])&amp;""</f>
        <v>0</v>
      </c>
      <c r="F898" s="203"/>
      <c r="G898" s="216">
        <f>_xlfn.XLOOKUP(表格3_5[[#This Row],[Name]],Name_list[Full Name],Name_list[Nick Name])</f>
        <v>0</v>
      </c>
      <c r="H898" s="207"/>
      <c r="I898" s="228"/>
      <c r="J898" s="218"/>
      <c r="K898" s="205"/>
      <c r="L898" s="210">
        <f>(表格3_5[[#This Row],[Out-Time]] - 表格3_5[[#This Row],[In-Time]])*24</f>
        <v>0</v>
      </c>
      <c r="M898" s="210">
        <f>表格3_5[[#This Row],[ Hours]]-表格3_5[[#This Row],[Normal working
 hours]]</f>
        <v>0</v>
      </c>
      <c r="N898" s="205"/>
      <c r="O898" s="205"/>
      <c r="P898" s="210">
        <f>(表格3_5[[#This Row],[Out-Time2]] - 表格3_5[[#This Row],[In-Time2]])*24</f>
        <v>0</v>
      </c>
      <c r="Q898" s="205"/>
      <c r="R898" s="214">
        <f>_xlfn.XLOOKUP(表格3_5[[#This Row],[Name]],Name_list[Full Name],Name_list[Hourr Rate])</f>
        <v>0</v>
      </c>
      <c r="S898" s="210">
        <f>表格3_5[[#This Row],[Hours Worked]]*表格3_5[[#This Row],[Hourly Rate]]</f>
        <v>0</v>
      </c>
    </row>
    <row r="899" spans="1:19">
      <c r="A899" s="201">
        <v>897</v>
      </c>
      <c r="B899" s="210" t="str">
        <f>_xlfn.CONCAT(表格3_5[[#This Row],[Name]],表格3_5[[#This Row],[Location]])</f>
        <v/>
      </c>
      <c r="C899" s="211" t="str">
        <f>表格3_5[[#This Row],[Location]] &amp; 表格3_5[[#This Row],[Date]] &amp;表格3_5[[#This Row],[Nick Name]]</f>
        <v>0</v>
      </c>
      <c r="D899" s="202"/>
      <c r="E899" s="211" t="str">
        <f>DAY(表格3_5[[#This Row],[Date]])&amp;""</f>
        <v>0</v>
      </c>
      <c r="F899" s="203"/>
      <c r="G899" s="216">
        <f>_xlfn.XLOOKUP(表格3_5[[#This Row],[Name]],Name_list[Full Name],Name_list[Nick Name])</f>
        <v>0</v>
      </c>
      <c r="H899" s="207"/>
      <c r="I899" s="228"/>
      <c r="J899" s="218"/>
      <c r="K899" s="205"/>
      <c r="L899" s="210">
        <f>(表格3_5[[#This Row],[Out-Time]] - 表格3_5[[#This Row],[In-Time]])*24</f>
        <v>0</v>
      </c>
      <c r="M899" s="210">
        <f>表格3_5[[#This Row],[ Hours]]-表格3_5[[#This Row],[Normal working
 hours]]</f>
        <v>0</v>
      </c>
      <c r="N899" s="205"/>
      <c r="O899" s="205"/>
      <c r="P899" s="210">
        <f>(表格3_5[[#This Row],[Out-Time2]] - 表格3_5[[#This Row],[In-Time2]])*24</f>
        <v>0</v>
      </c>
      <c r="Q899" s="205"/>
      <c r="R899" s="214">
        <f>_xlfn.XLOOKUP(表格3_5[[#This Row],[Name]],Name_list[Full Name],Name_list[Hourr Rate])</f>
        <v>0</v>
      </c>
      <c r="S899" s="210">
        <f>表格3_5[[#This Row],[Hours Worked]]*表格3_5[[#This Row],[Hourly Rate]]</f>
        <v>0</v>
      </c>
    </row>
    <row r="900" spans="1:19">
      <c r="A900" s="201">
        <v>898</v>
      </c>
      <c r="B900" s="210" t="str">
        <f>_xlfn.CONCAT(表格3_5[[#This Row],[Name]],表格3_5[[#This Row],[Location]])</f>
        <v/>
      </c>
      <c r="C900" s="211" t="str">
        <f>表格3_5[[#This Row],[Location]] &amp; 表格3_5[[#This Row],[Date]] &amp;表格3_5[[#This Row],[Nick Name]]</f>
        <v>0</v>
      </c>
      <c r="D900" s="202"/>
      <c r="E900" s="211" t="str">
        <f>DAY(表格3_5[[#This Row],[Date]])&amp;""</f>
        <v>0</v>
      </c>
      <c r="F900" s="203"/>
      <c r="G900" s="216">
        <f>_xlfn.XLOOKUP(表格3_5[[#This Row],[Name]],Name_list[Full Name],Name_list[Nick Name])</f>
        <v>0</v>
      </c>
      <c r="H900" s="207"/>
      <c r="I900" s="228"/>
      <c r="J900" s="218"/>
      <c r="K900" s="205"/>
      <c r="L900" s="210">
        <f>(表格3_5[[#This Row],[Out-Time]] - 表格3_5[[#This Row],[In-Time]])*24</f>
        <v>0</v>
      </c>
      <c r="M900" s="210">
        <f>表格3_5[[#This Row],[ Hours]]-表格3_5[[#This Row],[Normal working
 hours]]</f>
        <v>0</v>
      </c>
      <c r="N900" s="205"/>
      <c r="O900" s="205"/>
      <c r="P900" s="210">
        <f>(表格3_5[[#This Row],[Out-Time2]] - 表格3_5[[#This Row],[In-Time2]])*24</f>
        <v>0</v>
      </c>
      <c r="Q900" s="205"/>
      <c r="R900" s="214">
        <f>_xlfn.XLOOKUP(表格3_5[[#This Row],[Name]],Name_list[Full Name],Name_list[Hourr Rate])</f>
        <v>0</v>
      </c>
      <c r="S900" s="210">
        <f>表格3_5[[#This Row],[Hours Worked]]*表格3_5[[#This Row],[Hourly Rate]]</f>
        <v>0</v>
      </c>
    </row>
    <row r="901" spans="1:19">
      <c r="A901" s="201">
        <v>899</v>
      </c>
      <c r="B901" s="210" t="str">
        <f>_xlfn.CONCAT(表格3_5[[#This Row],[Name]],表格3_5[[#This Row],[Location]])</f>
        <v/>
      </c>
      <c r="C901" s="211" t="str">
        <f>表格3_5[[#This Row],[Location]] &amp; 表格3_5[[#This Row],[Date]] &amp;表格3_5[[#This Row],[Nick Name]]</f>
        <v>0</v>
      </c>
      <c r="D901" s="202"/>
      <c r="E901" s="211" t="str">
        <f>DAY(表格3_5[[#This Row],[Date]])&amp;""</f>
        <v>0</v>
      </c>
      <c r="F901" s="203"/>
      <c r="G901" s="216">
        <f>_xlfn.XLOOKUP(表格3_5[[#This Row],[Name]],Name_list[Full Name],Name_list[Nick Name])</f>
        <v>0</v>
      </c>
      <c r="H901" s="207"/>
      <c r="I901" s="228"/>
      <c r="J901" s="218"/>
      <c r="K901" s="205"/>
      <c r="L901" s="210">
        <f>(表格3_5[[#This Row],[Out-Time]] - 表格3_5[[#This Row],[In-Time]])*24</f>
        <v>0</v>
      </c>
      <c r="M901" s="210">
        <f>表格3_5[[#This Row],[ Hours]]-表格3_5[[#This Row],[Normal working
 hours]]</f>
        <v>0</v>
      </c>
      <c r="N901" s="205"/>
      <c r="O901" s="205"/>
      <c r="P901" s="210">
        <f>(表格3_5[[#This Row],[Out-Time2]] - 表格3_5[[#This Row],[In-Time2]])*24</f>
        <v>0</v>
      </c>
      <c r="Q901" s="205"/>
      <c r="R901" s="214">
        <f>_xlfn.XLOOKUP(表格3_5[[#This Row],[Name]],Name_list[Full Name],Name_list[Hourr Rate])</f>
        <v>0</v>
      </c>
      <c r="S901" s="210">
        <f>表格3_5[[#This Row],[Hours Worked]]*表格3_5[[#This Row],[Hourly Rate]]</f>
        <v>0</v>
      </c>
    </row>
    <row r="902" spans="1:19">
      <c r="A902" s="201">
        <v>900</v>
      </c>
      <c r="B902" s="210" t="str">
        <f>_xlfn.CONCAT(表格3_5[[#This Row],[Name]],表格3_5[[#This Row],[Location]])</f>
        <v/>
      </c>
      <c r="C902" s="211" t="str">
        <f>表格3_5[[#This Row],[Location]] &amp; 表格3_5[[#This Row],[Date]] &amp;表格3_5[[#This Row],[Nick Name]]</f>
        <v>0</v>
      </c>
      <c r="D902" s="202"/>
      <c r="E902" s="211" t="str">
        <f>DAY(表格3_5[[#This Row],[Date]])&amp;""</f>
        <v>0</v>
      </c>
      <c r="F902" s="203"/>
      <c r="G902" s="216">
        <f>_xlfn.XLOOKUP(表格3_5[[#This Row],[Name]],Name_list[Full Name],Name_list[Nick Name])</f>
        <v>0</v>
      </c>
      <c r="H902" s="207"/>
      <c r="I902" s="228"/>
      <c r="J902" s="218"/>
      <c r="K902" s="205"/>
      <c r="L902" s="210">
        <f>(表格3_5[[#This Row],[Out-Time]] - 表格3_5[[#This Row],[In-Time]])*24</f>
        <v>0</v>
      </c>
      <c r="M902" s="210">
        <f>表格3_5[[#This Row],[ Hours]]-表格3_5[[#This Row],[Normal working
 hours]]</f>
        <v>0</v>
      </c>
      <c r="N902" s="205"/>
      <c r="O902" s="205"/>
      <c r="P902" s="210">
        <f>(表格3_5[[#This Row],[Out-Time2]] - 表格3_5[[#This Row],[In-Time2]])*24</f>
        <v>0</v>
      </c>
      <c r="Q902" s="205"/>
      <c r="R902" s="214">
        <f>_xlfn.XLOOKUP(表格3_5[[#This Row],[Name]],Name_list[Full Name],Name_list[Hourr Rate])</f>
        <v>0</v>
      </c>
      <c r="S902" s="210">
        <f>表格3_5[[#This Row],[Hours Worked]]*表格3_5[[#This Row],[Hourly Rate]]</f>
        <v>0</v>
      </c>
    </row>
    <row r="903" spans="1:19">
      <c r="A903" s="201">
        <v>901</v>
      </c>
      <c r="B903" s="210" t="str">
        <f>_xlfn.CONCAT(表格3_5[[#This Row],[Name]],表格3_5[[#This Row],[Location]])</f>
        <v/>
      </c>
      <c r="C903" s="211" t="str">
        <f>表格3_5[[#This Row],[Location]] &amp; 表格3_5[[#This Row],[Date]] &amp;表格3_5[[#This Row],[Nick Name]]</f>
        <v>0</v>
      </c>
      <c r="D903" s="202"/>
      <c r="E903" s="211" t="str">
        <f>DAY(表格3_5[[#This Row],[Date]])&amp;""</f>
        <v>0</v>
      </c>
      <c r="F903" s="203"/>
      <c r="G903" s="216">
        <f>_xlfn.XLOOKUP(表格3_5[[#This Row],[Name]],Name_list[Full Name],Name_list[Nick Name])</f>
        <v>0</v>
      </c>
      <c r="H903" s="207"/>
      <c r="I903" s="228"/>
      <c r="J903" s="218"/>
      <c r="K903" s="205"/>
      <c r="L903" s="210">
        <f>(表格3_5[[#This Row],[Out-Time]] - 表格3_5[[#This Row],[In-Time]])*24</f>
        <v>0</v>
      </c>
      <c r="M903" s="210">
        <f>表格3_5[[#This Row],[ Hours]]-表格3_5[[#This Row],[Normal working
 hours]]</f>
        <v>0</v>
      </c>
      <c r="N903" s="205"/>
      <c r="O903" s="205"/>
      <c r="P903" s="210">
        <f>(表格3_5[[#This Row],[Out-Time2]] - 表格3_5[[#This Row],[In-Time2]])*24</f>
        <v>0</v>
      </c>
      <c r="Q903" s="205"/>
      <c r="R903" s="214">
        <f>_xlfn.XLOOKUP(表格3_5[[#This Row],[Name]],Name_list[Full Name],Name_list[Hourr Rate])</f>
        <v>0</v>
      </c>
      <c r="S903" s="210">
        <f>表格3_5[[#This Row],[Hours Worked]]*表格3_5[[#This Row],[Hourly Rate]]</f>
        <v>0</v>
      </c>
    </row>
    <row r="904" spans="1:19">
      <c r="A904" s="201">
        <v>902</v>
      </c>
      <c r="B904" s="210" t="str">
        <f>_xlfn.CONCAT(表格3_5[[#This Row],[Name]],表格3_5[[#This Row],[Location]])</f>
        <v/>
      </c>
      <c r="C904" s="211" t="str">
        <f>表格3_5[[#This Row],[Location]] &amp; 表格3_5[[#This Row],[Date]] &amp;表格3_5[[#This Row],[Nick Name]]</f>
        <v>0</v>
      </c>
      <c r="D904" s="202"/>
      <c r="E904" s="211" t="str">
        <f>DAY(表格3_5[[#This Row],[Date]])&amp;""</f>
        <v>0</v>
      </c>
      <c r="F904" s="203"/>
      <c r="G904" s="216">
        <f>_xlfn.XLOOKUP(表格3_5[[#This Row],[Name]],Name_list[Full Name],Name_list[Nick Name])</f>
        <v>0</v>
      </c>
      <c r="H904" s="207"/>
      <c r="I904" s="228"/>
      <c r="J904" s="218"/>
      <c r="K904" s="205"/>
      <c r="L904" s="210">
        <f>(表格3_5[[#This Row],[Out-Time]] - 表格3_5[[#This Row],[In-Time]])*24</f>
        <v>0</v>
      </c>
      <c r="M904" s="210">
        <f>表格3_5[[#This Row],[ Hours]]-表格3_5[[#This Row],[Normal working
 hours]]</f>
        <v>0</v>
      </c>
      <c r="N904" s="205"/>
      <c r="O904" s="205"/>
      <c r="P904" s="210">
        <f>(表格3_5[[#This Row],[Out-Time2]] - 表格3_5[[#This Row],[In-Time2]])*24</f>
        <v>0</v>
      </c>
      <c r="Q904" s="205"/>
      <c r="R904" s="214">
        <f>_xlfn.XLOOKUP(表格3_5[[#This Row],[Name]],Name_list[Full Name],Name_list[Hourr Rate])</f>
        <v>0</v>
      </c>
      <c r="S904" s="210">
        <f>表格3_5[[#This Row],[Hours Worked]]*表格3_5[[#This Row],[Hourly Rate]]</f>
        <v>0</v>
      </c>
    </row>
    <row r="905" spans="1:19">
      <c r="A905" s="201">
        <v>903</v>
      </c>
      <c r="B905" s="210" t="str">
        <f>_xlfn.CONCAT(表格3_5[[#This Row],[Name]],表格3_5[[#This Row],[Location]])</f>
        <v/>
      </c>
      <c r="C905" s="211" t="str">
        <f>表格3_5[[#This Row],[Location]] &amp; 表格3_5[[#This Row],[Date]] &amp;表格3_5[[#This Row],[Nick Name]]</f>
        <v>0</v>
      </c>
      <c r="D905" s="202"/>
      <c r="E905" s="211" t="str">
        <f>DAY(表格3_5[[#This Row],[Date]])&amp;""</f>
        <v>0</v>
      </c>
      <c r="F905" s="203"/>
      <c r="G905" s="216">
        <f>_xlfn.XLOOKUP(表格3_5[[#This Row],[Name]],Name_list[Full Name],Name_list[Nick Name])</f>
        <v>0</v>
      </c>
      <c r="H905" s="207"/>
      <c r="I905" s="228"/>
      <c r="J905" s="218"/>
      <c r="K905" s="205"/>
      <c r="L905" s="210">
        <f>(表格3_5[[#This Row],[Out-Time]] - 表格3_5[[#This Row],[In-Time]])*24</f>
        <v>0</v>
      </c>
      <c r="M905" s="210">
        <f>表格3_5[[#This Row],[ Hours]]-表格3_5[[#This Row],[Normal working
 hours]]</f>
        <v>0</v>
      </c>
      <c r="N905" s="205"/>
      <c r="O905" s="205"/>
      <c r="P905" s="210">
        <f>(表格3_5[[#This Row],[Out-Time2]] - 表格3_5[[#This Row],[In-Time2]])*24</f>
        <v>0</v>
      </c>
      <c r="Q905" s="205"/>
      <c r="R905" s="214">
        <f>_xlfn.XLOOKUP(表格3_5[[#This Row],[Name]],Name_list[Full Name],Name_list[Hourr Rate])</f>
        <v>0</v>
      </c>
      <c r="S905" s="210">
        <f>表格3_5[[#This Row],[Hours Worked]]*表格3_5[[#This Row],[Hourly Rate]]</f>
        <v>0</v>
      </c>
    </row>
    <row r="906" spans="1:19">
      <c r="A906" s="201">
        <v>904</v>
      </c>
      <c r="B906" s="210" t="str">
        <f>_xlfn.CONCAT(表格3_5[[#This Row],[Name]],表格3_5[[#This Row],[Location]])</f>
        <v/>
      </c>
      <c r="C906" s="211" t="str">
        <f>表格3_5[[#This Row],[Location]] &amp; 表格3_5[[#This Row],[Date]] &amp;表格3_5[[#This Row],[Nick Name]]</f>
        <v>0</v>
      </c>
      <c r="D906" s="202"/>
      <c r="E906" s="211" t="str">
        <f>DAY(表格3_5[[#This Row],[Date]])&amp;""</f>
        <v>0</v>
      </c>
      <c r="F906" s="203"/>
      <c r="G906" s="216">
        <f>_xlfn.XLOOKUP(表格3_5[[#This Row],[Name]],Name_list[Full Name],Name_list[Nick Name])</f>
        <v>0</v>
      </c>
      <c r="H906" s="207"/>
      <c r="I906" s="228"/>
      <c r="J906" s="218"/>
      <c r="K906" s="205"/>
      <c r="L906" s="210">
        <f>(表格3_5[[#This Row],[Out-Time]] - 表格3_5[[#This Row],[In-Time]])*24</f>
        <v>0</v>
      </c>
      <c r="M906" s="210">
        <f>表格3_5[[#This Row],[ Hours]]-表格3_5[[#This Row],[Normal working
 hours]]</f>
        <v>0</v>
      </c>
      <c r="N906" s="205"/>
      <c r="O906" s="205"/>
      <c r="P906" s="210">
        <f>(表格3_5[[#This Row],[Out-Time2]] - 表格3_5[[#This Row],[In-Time2]])*24</f>
        <v>0</v>
      </c>
      <c r="Q906" s="205"/>
      <c r="R906" s="214">
        <f>_xlfn.XLOOKUP(表格3_5[[#This Row],[Name]],Name_list[Full Name],Name_list[Hourr Rate])</f>
        <v>0</v>
      </c>
      <c r="S906" s="210">
        <f>表格3_5[[#This Row],[Hours Worked]]*表格3_5[[#This Row],[Hourly Rate]]</f>
        <v>0</v>
      </c>
    </row>
    <row r="907" spans="1:19">
      <c r="A907" s="201">
        <v>905</v>
      </c>
      <c r="B907" s="210" t="str">
        <f>_xlfn.CONCAT(表格3_5[[#This Row],[Name]],表格3_5[[#This Row],[Location]])</f>
        <v/>
      </c>
      <c r="C907" s="211" t="str">
        <f>表格3_5[[#This Row],[Location]] &amp; 表格3_5[[#This Row],[Date]] &amp;表格3_5[[#This Row],[Nick Name]]</f>
        <v>0</v>
      </c>
      <c r="D907" s="202"/>
      <c r="E907" s="211" t="str">
        <f>DAY(表格3_5[[#This Row],[Date]])&amp;""</f>
        <v>0</v>
      </c>
      <c r="F907" s="203"/>
      <c r="G907" s="216">
        <f>_xlfn.XLOOKUP(表格3_5[[#This Row],[Name]],Name_list[Full Name],Name_list[Nick Name])</f>
        <v>0</v>
      </c>
      <c r="H907" s="207"/>
      <c r="I907" s="228"/>
      <c r="J907" s="218"/>
      <c r="K907" s="205"/>
      <c r="L907" s="210">
        <f>(表格3_5[[#This Row],[Out-Time]] - 表格3_5[[#This Row],[In-Time]])*24</f>
        <v>0</v>
      </c>
      <c r="M907" s="210">
        <f>表格3_5[[#This Row],[ Hours]]-表格3_5[[#This Row],[Normal working
 hours]]</f>
        <v>0</v>
      </c>
      <c r="N907" s="205"/>
      <c r="O907" s="205"/>
      <c r="P907" s="210">
        <f>(表格3_5[[#This Row],[Out-Time2]] - 表格3_5[[#This Row],[In-Time2]])*24</f>
        <v>0</v>
      </c>
      <c r="Q907" s="205"/>
      <c r="R907" s="214">
        <f>_xlfn.XLOOKUP(表格3_5[[#This Row],[Name]],Name_list[Full Name],Name_list[Hourr Rate])</f>
        <v>0</v>
      </c>
      <c r="S907" s="210">
        <f>表格3_5[[#This Row],[Hours Worked]]*表格3_5[[#This Row],[Hourly Rate]]</f>
        <v>0</v>
      </c>
    </row>
    <row r="908" spans="1:19">
      <c r="A908" s="201">
        <v>906</v>
      </c>
      <c r="B908" s="210" t="str">
        <f>_xlfn.CONCAT(表格3_5[[#This Row],[Name]],表格3_5[[#This Row],[Location]])</f>
        <v/>
      </c>
      <c r="C908" s="211" t="str">
        <f>表格3_5[[#This Row],[Location]] &amp; 表格3_5[[#This Row],[Date]] &amp;表格3_5[[#This Row],[Nick Name]]</f>
        <v>0</v>
      </c>
      <c r="D908" s="202"/>
      <c r="E908" s="211" t="str">
        <f>DAY(表格3_5[[#This Row],[Date]])&amp;""</f>
        <v>0</v>
      </c>
      <c r="F908" s="203"/>
      <c r="G908" s="216">
        <f>_xlfn.XLOOKUP(表格3_5[[#This Row],[Name]],Name_list[Full Name],Name_list[Nick Name])</f>
        <v>0</v>
      </c>
      <c r="H908" s="207"/>
      <c r="I908" s="228"/>
      <c r="J908" s="218"/>
      <c r="K908" s="205"/>
      <c r="L908" s="210">
        <f>(表格3_5[[#This Row],[Out-Time]] - 表格3_5[[#This Row],[In-Time]])*24</f>
        <v>0</v>
      </c>
      <c r="M908" s="210">
        <f>表格3_5[[#This Row],[ Hours]]-表格3_5[[#This Row],[Normal working
 hours]]</f>
        <v>0</v>
      </c>
      <c r="N908" s="205"/>
      <c r="O908" s="205"/>
      <c r="P908" s="210">
        <f>(表格3_5[[#This Row],[Out-Time2]] - 表格3_5[[#This Row],[In-Time2]])*24</f>
        <v>0</v>
      </c>
      <c r="Q908" s="205"/>
      <c r="R908" s="214">
        <f>_xlfn.XLOOKUP(表格3_5[[#This Row],[Name]],Name_list[Full Name],Name_list[Hourr Rate])</f>
        <v>0</v>
      </c>
      <c r="S908" s="210">
        <f>表格3_5[[#This Row],[Hours Worked]]*表格3_5[[#This Row],[Hourly Rate]]</f>
        <v>0</v>
      </c>
    </row>
    <row r="909" spans="1:19">
      <c r="A909" s="201">
        <v>907</v>
      </c>
      <c r="B909" s="210" t="str">
        <f>_xlfn.CONCAT(表格3_5[[#This Row],[Name]],表格3_5[[#This Row],[Location]])</f>
        <v/>
      </c>
      <c r="C909" s="211" t="str">
        <f>表格3_5[[#This Row],[Location]] &amp; 表格3_5[[#This Row],[Date]] &amp;表格3_5[[#This Row],[Nick Name]]</f>
        <v>0</v>
      </c>
      <c r="D909" s="202"/>
      <c r="E909" s="211" t="str">
        <f>DAY(表格3_5[[#This Row],[Date]])&amp;""</f>
        <v>0</v>
      </c>
      <c r="F909" s="203"/>
      <c r="G909" s="216">
        <f>_xlfn.XLOOKUP(表格3_5[[#This Row],[Name]],Name_list[Full Name],Name_list[Nick Name])</f>
        <v>0</v>
      </c>
      <c r="H909" s="207"/>
      <c r="I909" s="228"/>
      <c r="J909" s="218"/>
      <c r="K909" s="205"/>
      <c r="L909" s="210">
        <f>(表格3_5[[#This Row],[Out-Time]] - 表格3_5[[#This Row],[In-Time]])*24</f>
        <v>0</v>
      </c>
      <c r="M909" s="210">
        <f>表格3_5[[#This Row],[ Hours]]-表格3_5[[#This Row],[Normal working
 hours]]</f>
        <v>0</v>
      </c>
      <c r="N909" s="205"/>
      <c r="O909" s="205"/>
      <c r="P909" s="210">
        <f>(表格3_5[[#This Row],[Out-Time2]] - 表格3_5[[#This Row],[In-Time2]])*24</f>
        <v>0</v>
      </c>
      <c r="Q909" s="205"/>
      <c r="R909" s="214">
        <f>_xlfn.XLOOKUP(表格3_5[[#This Row],[Name]],Name_list[Full Name],Name_list[Hourr Rate])</f>
        <v>0</v>
      </c>
      <c r="S909" s="210">
        <f>表格3_5[[#This Row],[Hours Worked]]*表格3_5[[#This Row],[Hourly Rate]]</f>
        <v>0</v>
      </c>
    </row>
    <row r="910" spans="1:19">
      <c r="A910" s="201">
        <v>908</v>
      </c>
      <c r="B910" s="210" t="str">
        <f>_xlfn.CONCAT(表格3_5[[#This Row],[Name]],表格3_5[[#This Row],[Location]])</f>
        <v/>
      </c>
      <c r="C910" s="211" t="str">
        <f>表格3_5[[#This Row],[Location]] &amp; 表格3_5[[#This Row],[Date]] &amp;表格3_5[[#This Row],[Nick Name]]</f>
        <v>0</v>
      </c>
      <c r="D910" s="202"/>
      <c r="E910" s="211" t="str">
        <f>DAY(表格3_5[[#This Row],[Date]])&amp;""</f>
        <v>0</v>
      </c>
      <c r="F910" s="203"/>
      <c r="G910" s="216">
        <f>_xlfn.XLOOKUP(表格3_5[[#This Row],[Name]],Name_list[Full Name],Name_list[Nick Name])</f>
        <v>0</v>
      </c>
      <c r="H910" s="207"/>
      <c r="I910" s="228"/>
      <c r="J910" s="218"/>
      <c r="K910" s="205"/>
      <c r="L910" s="210">
        <f>(表格3_5[[#This Row],[Out-Time]] - 表格3_5[[#This Row],[In-Time]])*24</f>
        <v>0</v>
      </c>
      <c r="M910" s="210">
        <f>表格3_5[[#This Row],[ Hours]]-表格3_5[[#This Row],[Normal working
 hours]]</f>
        <v>0</v>
      </c>
      <c r="N910" s="205"/>
      <c r="O910" s="205"/>
      <c r="P910" s="210">
        <f>(表格3_5[[#This Row],[Out-Time2]] - 表格3_5[[#This Row],[In-Time2]])*24</f>
        <v>0</v>
      </c>
      <c r="Q910" s="205"/>
      <c r="R910" s="214">
        <f>_xlfn.XLOOKUP(表格3_5[[#This Row],[Name]],Name_list[Full Name],Name_list[Hourr Rate])</f>
        <v>0</v>
      </c>
      <c r="S910" s="210">
        <f>表格3_5[[#This Row],[Hours Worked]]*表格3_5[[#This Row],[Hourly Rate]]</f>
        <v>0</v>
      </c>
    </row>
    <row r="911" spans="1:19">
      <c r="A911" s="201">
        <v>909</v>
      </c>
      <c r="B911" s="210" t="str">
        <f>_xlfn.CONCAT(表格3_5[[#This Row],[Name]],表格3_5[[#This Row],[Location]])</f>
        <v/>
      </c>
      <c r="C911" s="211" t="str">
        <f>表格3_5[[#This Row],[Location]] &amp; 表格3_5[[#This Row],[Date]] &amp;表格3_5[[#This Row],[Nick Name]]</f>
        <v>0</v>
      </c>
      <c r="D911" s="202"/>
      <c r="E911" s="211" t="str">
        <f>DAY(表格3_5[[#This Row],[Date]])&amp;""</f>
        <v>0</v>
      </c>
      <c r="F911" s="203"/>
      <c r="G911" s="216">
        <f>_xlfn.XLOOKUP(表格3_5[[#This Row],[Name]],Name_list[Full Name],Name_list[Nick Name])</f>
        <v>0</v>
      </c>
      <c r="H911" s="207"/>
      <c r="I911" s="228"/>
      <c r="J911" s="218"/>
      <c r="K911" s="205"/>
      <c r="L911" s="210">
        <f>(表格3_5[[#This Row],[Out-Time]] - 表格3_5[[#This Row],[In-Time]])*24</f>
        <v>0</v>
      </c>
      <c r="M911" s="210">
        <f>表格3_5[[#This Row],[ Hours]]-表格3_5[[#This Row],[Normal working
 hours]]</f>
        <v>0</v>
      </c>
      <c r="N911" s="205"/>
      <c r="O911" s="205"/>
      <c r="P911" s="210">
        <f>(表格3_5[[#This Row],[Out-Time2]] - 表格3_5[[#This Row],[In-Time2]])*24</f>
        <v>0</v>
      </c>
      <c r="Q911" s="205"/>
      <c r="R911" s="214">
        <f>_xlfn.XLOOKUP(表格3_5[[#This Row],[Name]],Name_list[Full Name],Name_list[Hourr Rate])</f>
        <v>0</v>
      </c>
      <c r="S911" s="210">
        <f>表格3_5[[#This Row],[Hours Worked]]*表格3_5[[#This Row],[Hourly Rate]]</f>
        <v>0</v>
      </c>
    </row>
    <row r="912" spans="1:19">
      <c r="A912" s="201">
        <v>910</v>
      </c>
      <c r="B912" s="210" t="str">
        <f>_xlfn.CONCAT(表格3_5[[#This Row],[Name]],表格3_5[[#This Row],[Location]])</f>
        <v/>
      </c>
      <c r="C912" s="211" t="str">
        <f>表格3_5[[#This Row],[Location]] &amp; 表格3_5[[#This Row],[Date]] &amp;表格3_5[[#This Row],[Nick Name]]</f>
        <v>0</v>
      </c>
      <c r="D912" s="202"/>
      <c r="E912" s="211" t="str">
        <f>DAY(表格3_5[[#This Row],[Date]])&amp;""</f>
        <v>0</v>
      </c>
      <c r="F912" s="203"/>
      <c r="G912" s="216">
        <f>_xlfn.XLOOKUP(表格3_5[[#This Row],[Name]],Name_list[Full Name],Name_list[Nick Name])</f>
        <v>0</v>
      </c>
      <c r="H912" s="207"/>
      <c r="I912" s="228"/>
      <c r="J912" s="218"/>
      <c r="K912" s="205"/>
      <c r="L912" s="210">
        <f>(表格3_5[[#This Row],[Out-Time]] - 表格3_5[[#This Row],[In-Time]])*24</f>
        <v>0</v>
      </c>
      <c r="M912" s="210">
        <f>表格3_5[[#This Row],[ Hours]]-表格3_5[[#This Row],[Normal working
 hours]]</f>
        <v>0</v>
      </c>
      <c r="N912" s="205"/>
      <c r="O912" s="205"/>
      <c r="P912" s="210">
        <f>(表格3_5[[#This Row],[Out-Time2]] - 表格3_5[[#This Row],[In-Time2]])*24</f>
        <v>0</v>
      </c>
      <c r="Q912" s="205"/>
      <c r="R912" s="214">
        <f>_xlfn.XLOOKUP(表格3_5[[#This Row],[Name]],Name_list[Full Name],Name_list[Hourr Rate])</f>
        <v>0</v>
      </c>
      <c r="S912" s="210">
        <f>表格3_5[[#This Row],[Hours Worked]]*表格3_5[[#This Row],[Hourly Rate]]</f>
        <v>0</v>
      </c>
    </row>
    <row r="913" spans="1:19">
      <c r="A913" s="201">
        <v>911</v>
      </c>
      <c r="B913" s="210" t="str">
        <f>_xlfn.CONCAT(表格3_5[[#This Row],[Name]],表格3_5[[#This Row],[Location]])</f>
        <v/>
      </c>
      <c r="C913" s="211" t="str">
        <f>表格3_5[[#This Row],[Location]] &amp; 表格3_5[[#This Row],[Date]] &amp;表格3_5[[#This Row],[Nick Name]]</f>
        <v>0</v>
      </c>
      <c r="D913" s="202"/>
      <c r="E913" s="211" t="str">
        <f>DAY(表格3_5[[#This Row],[Date]])&amp;""</f>
        <v>0</v>
      </c>
      <c r="F913" s="203"/>
      <c r="G913" s="216">
        <f>_xlfn.XLOOKUP(表格3_5[[#This Row],[Name]],Name_list[Full Name],Name_list[Nick Name])</f>
        <v>0</v>
      </c>
      <c r="H913" s="207"/>
      <c r="I913" s="228"/>
      <c r="J913" s="218"/>
      <c r="K913" s="205"/>
      <c r="L913" s="210">
        <f>(表格3_5[[#This Row],[Out-Time]] - 表格3_5[[#This Row],[In-Time]])*24</f>
        <v>0</v>
      </c>
      <c r="M913" s="210">
        <f>表格3_5[[#This Row],[ Hours]]-表格3_5[[#This Row],[Normal working
 hours]]</f>
        <v>0</v>
      </c>
      <c r="N913" s="205"/>
      <c r="O913" s="205"/>
      <c r="P913" s="210">
        <f>(表格3_5[[#This Row],[Out-Time2]] - 表格3_5[[#This Row],[In-Time2]])*24</f>
        <v>0</v>
      </c>
      <c r="Q913" s="205"/>
      <c r="R913" s="214">
        <f>_xlfn.XLOOKUP(表格3_5[[#This Row],[Name]],Name_list[Full Name],Name_list[Hourr Rate])</f>
        <v>0</v>
      </c>
      <c r="S913" s="210">
        <f>表格3_5[[#This Row],[Hours Worked]]*表格3_5[[#This Row],[Hourly Rate]]</f>
        <v>0</v>
      </c>
    </row>
    <row r="914" spans="1:19">
      <c r="A914" s="201">
        <v>912</v>
      </c>
      <c r="B914" s="210" t="str">
        <f>_xlfn.CONCAT(表格3_5[[#This Row],[Name]],表格3_5[[#This Row],[Location]])</f>
        <v/>
      </c>
      <c r="C914" s="211" t="str">
        <f>表格3_5[[#This Row],[Location]] &amp; 表格3_5[[#This Row],[Date]] &amp;表格3_5[[#This Row],[Nick Name]]</f>
        <v>0</v>
      </c>
      <c r="D914" s="202"/>
      <c r="E914" s="211" t="str">
        <f>DAY(表格3_5[[#This Row],[Date]])&amp;""</f>
        <v>0</v>
      </c>
      <c r="F914" s="203"/>
      <c r="G914" s="216">
        <f>_xlfn.XLOOKUP(表格3_5[[#This Row],[Name]],Name_list[Full Name],Name_list[Nick Name])</f>
        <v>0</v>
      </c>
      <c r="H914" s="207"/>
      <c r="I914" s="228"/>
      <c r="J914" s="218"/>
      <c r="K914" s="205"/>
      <c r="L914" s="210">
        <f>(表格3_5[[#This Row],[Out-Time]] - 表格3_5[[#This Row],[In-Time]])*24</f>
        <v>0</v>
      </c>
      <c r="M914" s="210">
        <f>表格3_5[[#This Row],[ Hours]]-表格3_5[[#This Row],[Normal working
 hours]]</f>
        <v>0</v>
      </c>
      <c r="N914" s="205"/>
      <c r="O914" s="205"/>
      <c r="P914" s="210">
        <f>(表格3_5[[#This Row],[Out-Time2]] - 表格3_5[[#This Row],[In-Time2]])*24</f>
        <v>0</v>
      </c>
      <c r="Q914" s="205"/>
      <c r="R914" s="214">
        <f>_xlfn.XLOOKUP(表格3_5[[#This Row],[Name]],Name_list[Full Name],Name_list[Hourr Rate])</f>
        <v>0</v>
      </c>
      <c r="S914" s="210">
        <f>表格3_5[[#This Row],[Hours Worked]]*表格3_5[[#This Row],[Hourly Rate]]</f>
        <v>0</v>
      </c>
    </row>
    <row r="915" spans="1:19">
      <c r="A915" s="201">
        <v>913</v>
      </c>
      <c r="B915" s="210" t="str">
        <f>_xlfn.CONCAT(表格3_5[[#This Row],[Name]],表格3_5[[#This Row],[Location]])</f>
        <v/>
      </c>
      <c r="C915" s="211" t="str">
        <f>表格3_5[[#This Row],[Location]] &amp; 表格3_5[[#This Row],[Date]] &amp;表格3_5[[#This Row],[Nick Name]]</f>
        <v>0</v>
      </c>
      <c r="D915" s="202"/>
      <c r="E915" s="211" t="str">
        <f>DAY(表格3_5[[#This Row],[Date]])&amp;""</f>
        <v>0</v>
      </c>
      <c r="F915" s="203"/>
      <c r="G915" s="216">
        <f>_xlfn.XLOOKUP(表格3_5[[#This Row],[Name]],Name_list[Full Name],Name_list[Nick Name])</f>
        <v>0</v>
      </c>
      <c r="H915" s="207"/>
      <c r="I915" s="228"/>
      <c r="J915" s="218"/>
      <c r="K915" s="205"/>
      <c r="L915" s="210">
        <f>(表格3_5[[#This Row],[Out-Time]] - 表格3_5[[#This Row],[In-Time]])*24</f>
        <v>0</v>
      </c>
      <c r="M915" s="210">
        <f>表格3_5[[#This Row],[ Hours]]-表格3_5[[#This Row],[Normal working
 hours]]</f>
        <v>0</v>
      </c>
      <c r="N915" s="205"/>
      <c r="O915" s="205"/>
      <c r="P915" s="210">
        <f>(表格3_5[[#This Row],[Out-Time2]] - 表格3_5[[#This Row],[In-Time2]])*24</f>
        <v>0</v>
      </c>
      <c r="Q915" s="205"/>
      <c r="R915" s="214">
        <f>_xlfn.XLOOKUP(表格3_5[[#This Row],[Name]],Name_list[Full Name],Name_list[Hourr Rate])</f>
        <v>0</v>
      </c>
      <c r="S915" s="210">
        <f>表格3_5[[#This Row],[Hours Worked]]*表格3_5[[#This Row],[Hourly Rate]]</f>
        <v>0</v>
      </c>
    </row>
    <row r="916" spans="1:19">
      <c r="A916" s="201">
        <v>914</v>
      </c>
      <c r="B916" s="210" t="str">
        <f>_xlfn.CONCAT(表格3_5[[#This Row],[Name]],表格3_5[[#This Row],[Location]])</f>
        <v/>
      </c>
      <c r="C916" s="211" t="str">
        <f>表格3_5[[#This Row],[Location]] &amp; 表格3_5[[#This Row],[Date]] &amp;表格3_5[[#This Row],[Nick Name]]</f>
        <v>0</v>
      </c>
      <c r="D916" s="202"/>
      <c r="E916" s="211" t="str">
        <f>DAY(表格3_5[[#This Row],[Date]])&amp;""</f>
        <v>0</v>
      </c>
      <c r="F916" s="203"/>
      <c r="G916" s="216">
        <f>_xlfn.XLOOKUP(表格3_5[[#This Row],[Name]],Name_list[Full Name],Name_list[Nick Name])</f>
        <v>0</v>
      </c>
      <c r="H916" s="207"/>
      <c r="I916" s="228"/>
      <c r="J916" s="218"/>
      <c r="K916" s="205"/>
      <c r="L916" s="210">
        <f>(表格3_5[[#This Row],[Out-Time]] - 表格3_5[[#This Row],[In-Time]])*24</f>
        <v>0</v>
      </c>
      <c r="M916" s="210">
        <f>表格3_5[[#This Row],[ Hours]]-表格3_5[[#This Row],[Normal working
 hours]]</f>
        <v>0</v>
      </c>
      <c r="N916" s="205"/>
      <c r="O916" s="205"/>
      <c r="P916" s="210">
        <f>(表格3_5[[#This Row],[Out-Time2]] - 表格3_5[[#This Row],[In-Time2]])*24</f>
        <v>0</v>
      </c>
      <c r="Q916" s="205"/>
      <c r="R916" s="214">
        <f>_xlfn.XLOOKUP(表格3_5[[#This Row],[Name]],Name_list[Full Name],Name_list[Hourr Rate])</f>
        <v>0</v>
      </c>
      <c r="S916" s="210">
        <f>表格3_5[[#This Row],[Hours Worked]]*表格3_5[[#This Row],[Hourly Rate]]</f>
        <v>0</v>
      </c>
    </row>
    <row r="917" spans="1:19">
      <c r="A917" s="201">
        <v>915</v>
      </c>
      <c r="B917" s="210" t="str">
        <f>_xlfn.CONCAT(表格3_5[[#This Row],[Name]],表格3_5[[#This Row],[Location]])</f>
        <v/>
      </c>
      <c r="C917" s="211" t="str">
        <f>表格3_5[[#This Row],[Location]] &amp; 表格3_5[[#This Row],[Date]] &amp;表格3_5[[#This Row],[Nick Name]]</f>
        <v>0</v>
      </c>
      <c r="D917" s="202"/>
      <c r="E917" s="211" t="str">
        <f>DAY(表格3_5[[#This Row],[Date]])&amp;""</f>
        <v>0</v>
      </c>
      <c r="F917" s="203"/>
      <c r="G917" s="216">
        <f>_xlfn.XLOOKUP(表格3_5[[#This Row],[Name]],Name_list[Full Name],Name_list[Nick Name])</f>
        <v>0</v>
      </c>
      <c r="H917" s="207"/>
      <c r="I917" s="228"/>
      <c r="J917" s="218"/>
      <c r="K917" s="205"/>
      <c r="L917" s="210">
        <f>(表格3_5[[#This Row],[Out-Time]] - 表格3_5[[#This Row],[In-Time]])*24</f>
        <v>0</v>
      </c>
      <c r="M917" s="210">
        <f>表格3_5[[#This Row],[ Hours]]-表格3_5[[#This Row],[Normal working
 hours]]</f>
        <v>0</v>
      </c>
      <c r="N917" s="205"/>
      <c r="O917" s="205"/>
      <c r="P917" s="210">
        <f>(表格3_5[[#This Row],[Out-Time2]] - 表格3_5[[#This Row],[In-Time2]])*24</f>
        <v>0</v>
      </c>
      <c r="Q917" s="205"/>
      <c r="R917" s="214">
        <f>_xlfn.XLOOKUP(表格3_5[[#This Row],[Name]],Name_list[Full Name],Name_list[Hourr Rate])</f>
        <v>0</v>
      </c>
      <c r="S917" s="210">
        <f>表格3_5[[#This Row],[Hours Worked]]*表格3_5[[#This Row],[Hourly Rate]]</f>
        <v>0</v>
      </c>
    </row>
    <row r="918" spans="1:19">
      <c r="A918" s="201">
        <v>916</v>
      </c>
      <c r="B918" s="210" t="str">
        <f>_xlfn.CONCAT(表格3_5[[#This Row],[Name]],表格3_5[[#This Row],[Location]])</f>
        <v/>
      </c>
      <c r="C918" s="211" t="str">
        <f>表格3_5[[#This Row],[Location]] &amp; 表格3_5[[#This Row],[Date]] &amp;表格3_5[[#This Row],[Nick Name]]</f>
        <v>0</v>
      </c>
      <c r="D918" s="202"/>
      <c r="E918" s="211" t="str">
        <f>DAY(表格3_5[[#This Row],[Date]])&amp;""</f>
        <v>0</v>
      </c>
      <c r="F918" s="203"/>
      <c r="G918" s="216">
        <f>_xlfn.XLOOKUP(表格3_5[[#This Row],[Name]],Name_list[Full Name],Name_list[Nick Name])</f>
        <v>0</v>
      </c>
      <c r="H918" s="207"/>
      <c r="I918" s="228"/>
      <c r="J918" s="218"/>
      <c r="K918" s="205"/>
      <c r="L918" s="210">
        <f>(表格3_5[[#This Row],[Out-Time]] - 表格3_5[[#This Row],[In-Time]])*24</f>
        <v>0</v>
      </c>
      <c r="M918" s="210">
        <f>表格3_5[[#This Row],[ Hours]]-表格3_5[[#This Row],[Normal working
 hours]]</f>
        <v>0</v>
      </c>
      <c r="N918" s="205"/>
      <c r="O918" s="205"/>
      <c r="P918" s="210">
        <f>(表格3_5[[#This Row],[Out-Time2]] - 表格3_5[[#This Row],[In-Time2]])*24</f>
        <v>0</v>
      </c>
      <c r="Q918" s="205"/>
      <c r="R918" s="214">
        <f>_xlfn.XLOOKUP(表格3_5[[#This Row],[Name]],Name_list[Full Name],Name_list[Hourr Rate])</f>
        <v>0</v>
      </c>
      <c r="S918" s="210">
        <f>表格3_5[[#This Row],[Hours Worked]]*表格3_5[[#This Row],[Hourly Rate]]</f>
        <v>0</v>
      </c>
    </row>
    <row r="919" spans="1:19">
      <c r="A919" s="201">
        <v>917</v>
      </c>
      <c r="B919" s="210" t="str">
        <f>_xlfn.CONCAT(表格3_5[[#This Row],[Name]],表格3_5[[#This Row],[Location]])</f>
        <v/>
      </c>
      <c r="C919" s="211" t="str">
        <f>表格3_5[[#This Row],[Location]] &amp; 表格3_5[[#This Row],[Date]] &amp;表格3_5[[#This Row],[Nick Name]]</f>
        <v>0</v>
      </c>
      <c r="D919" s="202"/>
      <c r="E919" s="211" t="str">
        <f>DAY(表格3_5[[#This Row],[Date]])&amp;""</f>
        <v>0</v>
      </c>
      <c r="F919" s="203"/>
      <c r="G919" s="216">
        <f>_xlfn.XLOOKUP(表格3_5[[#This Row],[Name]],Name_list[Full Name],Name_list[Nick Name])</f>
        <v>0</v>
      </c>
      <c r="H919" s="207"/>
      <c r="I919" s="228"/>
      <c r="J919" s="218"/>
      <c r="K919" s="205"/>
      <c r="L919" s="210">
        <f>(表格3_5[[#This Row],[Out-Time]] - 表格3_5[[#This Row],[In-Time]])*24</f>
        <v>0</v>
      </c>
      <c r="M919" s="210">
        <f>表格3_5[[#This Row],[ Hours]]-表格3_5[[#This Row],[Normal working
 hours]]</f>
        <v>0</v>
      </c>
      <c r="N919" s="205"/>
      <c r="O919" s="205"/>
      <c r="P919" s="210">
        <f>(表格3_5[[#This Row],[Out-Time2]] - 表格3_5[[#This Row],[In-Time2]])*24</f>
        <v>0</v>
      </c>
      <c r="Q919" s="205"/>
      <c r="R919" s="214">
        <f>_xlfn.XLOOKUP(表格3_5[[#This Row],[Name]],Name_list[Full Name],Name_list[Hourr Rate])</f>
        <v>0</v>
      </c>
      <c r="S919" s="210">
        <f>表格3_5[[#This Row],[Hours Worked]]*表格3_5[[#This Row],[Hourly Rate]]</f>
        <v>0</v>
      </c>
    </row>
    <row r="920" spans="1:19">
      <c r="A920" s="201">
        <v>918</v>
      </c>
      <c r="B920" s="210" t="str">
        <f>_xlfn.CONCAT(表格3_5[[#This Row],[Name]],表格3_5[[#This Row],[Location]])</f>
        <v/>
      </c>
      <c r="C920" s="211" t="str">
        <f>表格3_5[[#This Row],[Location]] &amp; 表格3_5[[#This Row],[Date]] &amp;表格3_5[[#This Row],[Nick Name]]</f>
        <v>0</v>
      </c>
      <c r="D920" s="202"/>
      <c r="E920" s="211" t="str">
        <f>DAY(表格3_5[[#This Row],[Date]])&amp;""</f>
        <v>0</v>
      </c>
      <c r="F920" s="203"/>
      <c r="G920" s="216">
        <f>_xlfn.XLOOKUP(表格3_5[[#This Row],[Name]],Name_list[Full Name],Name_list[Nick Name])</f>
        <v>0</v>
      </c>
      <c r="H920" s="207"/>
      <c r="I920" s="228"/>
      <c r="J920" s="218"/>
      <c r="K920" s="205"/>
      <c r="L920" s="210">
        <f>(表格3_5[[#This Row],[Out-Time]] - 表格3_5[[#This Row],[In-Time]])*24</f>
        <v>0</v>
      </c>
      <c r="M920" s="210">
        <f>表格3_5[[#This Row],[ Hours]]-表格3_5[[#This Row],[Normal working
 hours]]</f>
        <v>0</v>
      </c>
      <c r="N920" s="205"/>
      <c r="O920" s="205"/>
      <c r="P920" s="210">
        <f>(表格3_5[[#This Row],[Out-Time2]] - 表格3_5[[#This Row],[In-Time2]])*24</f>
        <v>0</v>
      </c>
      <c r="Q920" s="205"/>
      <c r="R920" s="214">
        <f>_xlfn.XLOOKUP(表格3_5[[#This Row],[Name]],Name_list[Full Name],Name_list[Hourr Rate])</f>
        <v>0</v>
      </c>
      <c r="S920" s="210">
        <f>表格3_5[[#This Row],[Hours Worked]]*表格3_5[[#This Row],[Hourly Rate]]</f>
        <v>0</v>
      </c>
    </row>
    <row r="921" spans="1:19">
      <c r="A921" s="201">
        <v>919</v>
      </c>
      <c r="B921" s="210" t="str">
        <f>_xlfn.CONCAT(表格3_5[[#This Row],[Name]],表格3_5[[#This Row],[Location]])</f>
        <v/>
      </c>
      <c r="C921" s="211" t="str">
        <f>表格3_5[[#This Row],[Location]] &amp; 表格3_5[[#This Row],[Date]] &amp;表格3_5[[#This Row],[Nick Name]]</f>
        <v>0</v>
      </c>
      <c r="D921" s="202"/>
      <c r="E921" s="211" t="str">
        <f>DAY(表格3_5[[#This Row],[Date]])&amp;""</f>
        <v>0</v>
      </c>
      <c r="F921" s="203"/>
      <c r="G921" s="216">
        <f>_xlfn.XLOOKUP(表格3_5[[#This Row],[Name]],Name_list[Full Name],Name_list[Nick Name])</f>
        <v>0</v>
      </c>
      <c r="H921" s="207"/>
      <c r="I921" s="228"/>
      <c r="J921" s="218"/>
      <c r="K921" s="205"/>
      <c r="L921" s="210">
        <f>(表格3_5[[#This Row],[Out-Time]] - 表格3_5[[#This Row],[In-Time]])*24</f>
        <v>0</v>
      </c>
      <c r="M921" s="210">
        <f>表格3_5[[#This Row],[ Hours]]-表格3_5[[#This Row],[Normal working
 hours]]</f>
        <v>0</v>
      </c>
      <c r="N921" s="205"/>
      <c r="O921" s="205"/>
      <c r="P921" s="210">
        <f>(表格3_5[[#This Row],[Out-Time2]] - 表格3_5[[#This Row],[In-Time2]])*24</f>
        <v>0</v>
      </c>
      <c r="Q921" s="205"/>
      <c r="R921" s="214">
        <f>_xlfn.XLOOKUP(表格3_5[[#This Row],[Name]],Name_list[Full Name],Name_list[Hourr Rate])</f>
        <v>0</v>
      </c>
      <c r="S921" s="210">
        <f>表格3_5[[#This Row],[Hours Worked]]*表格3_5[[#This Row],[Hourly Rate]]</f>
        <v>0</v>
      </c>
    </row>
    <row r="922" spans="1:19">
      <c r="A922" s="201">
        <v>920</v>
      </c>
      <c r="B922" s="210" t="str">
        <f>_xlfn.CONCAT(表格3_5[[#This Row],[Name]],表格3_5[[#This Row],[Location]])</f>
        <v/>
      </c>
      <c r="C922" s="211" t="str">
        <f>表格3_5[[#This Row],[Location]] &amp; 表格3_5[[#This Row],[Date]] &amp;表格3_5[[#This Row],[Nick Name]]</f>
        <v>0</v>
      </c>
      <c r="D922" s="202"/>
      <c r="E922" s="211" t="str">
        <f>DAY(表格3_5[[#This Row],[Date]])&amp;""</f>
        <v>0</v>
      </c>
      <c r="F922" s="203"/>
      <c r="G922" s="216">
        <f>_xlfn.XLOOKUP(表格3_5[[#This Row],[Name]],Name_list[Full Name],Name_list[Nick Name])</f>
        <v>0</v>
      </c>
      <c r="H922" s="207"/>
      <c r="I922" s="228"/>
      <c r="J922" s="218"/>
      <c r="K922" s="205"/>
      <c r="L922" s="210">
        <f>(表格3_5[[#This Row],[Out-Time]] - 表格3_5[[#This Row],[In-Time]])*24</f>
        <v>0</v>
      </c>
      <c r="M922" s="210">
        <f>表格3_5[[#This Row],[ Hours]]-表格3_5[[#This Row],[Normal working
 hours]]</f>
        <v>0</v>
      </c>
      <c r="N922" s="205"/>
      <c r="O922" s="205"/>
      <c r="P922" s="210">
        <f>(表格3_5[[#This Row],[Out-Time2]] - 表格3_5[[#This Row],[In-Time2]])*24</f>
        <v>0</v>
      </c>
      <c r="Q922" s="205"/>
      <c r="R922" s="214">
        <f>_xlfn.XLOOKUP(表格3_5[[#This Row],[Name]],Name_list[Full Name],Name_list[Hourr Rate])</f>
        <v>0</v>
      </c>
      <c r="S922" s="210">
        <f>表格3_5[[#This Row],[Hours Worked]]*表格3_5[[#This Row],[Hourly Rate]]</f>
        <v>0</v>
      </c>
    </row>
    <row r="923" spans="1:19">
      <c r="A923" s="201">
        <v>921</v>
      </c>
      <c r="B923" s="210" t="str">
        <f>_xlfn.CONCAT(表格3_5[[#This Row],[Name]],表格3_5[[#This Row],[Location]])</f>
        <v/>
      </c>
      <c r="C923" s="211" t="str">
        <f>表格3_5[[#This Row],[Location]] &amp; 表格3_5[[#This Row],[Date]] &amp;表格3_5[[#This Row],[Nick Name]]</f>
        <v>0</v>
      </c>
      <c r="D923" s="202"/>
      <c r="E923" s="211" t="str">
        <f>DAY(表格3_5[[#This Row],[Date]])&amp;""</f>
        <v>0</v>
      </c>
      <c r="F923" s="203"/>
      <c r="G923" s="216">
        <f>_xlfn.XLOOKUP(表格3_5[[#This Row],[Name]],Name_list[Full Name],Name_list[Nick Name])</f>
        <v>0</v>
      </c>
      <c r="H923" s="207"/>
      <c r="I923" s="228"/>
      <c r="J923" s="218"/>
      <c r="K923" s="205"/>
      <c r="L923" s="210">
        <f>(表格3_5[[#This Row],[Out-Time]] - 表格3_5[[#This Row],[In-Time]])*24</f>
        <v>0</v>
      </c>
      <c r="M923" s="210">
        <f>表格3_5[[#This Row],[ Hours]]-表格3_5[[#This Row],[Normal working
 hours]]</f>
        <v>0</v>
      </c>
      <c r="N923" s="205"/>
      <c r="O923" s="205"/>
      <c r="P923" s="210">
        <f>(表格3_5[[#This Row],[Out-Time2]] - 表格3_5[[#This Row],[In-Time2]])*24</f>
        <v>0</v>
      </c>
      <c r="Q923" s="205"/>
      <c r="R923" s="214">
        <f>_xlfn.XLOOKUP(表格3_5[[#This Row],[Name]],Name_list[Full Name],Name_list[Hourr Rate])</f>
        <v>0</v>
      </c>
      <c r="S923" s="210">
        <f>表格3_5[[#This Row],[Hours Worked]]*表格3_5[[#This Row],[Hourly Rate]]</f>
        <v>0</v>
      </c>
    </row>
    <row r="924" spans="1:19">
      <c r="A924" s="201">
        <v>922</v>
      </c>
      <c r="B924" s="210" t="str">
        <f>_xlfn.CONCAT(表格3_5[[#This Row],[Name]],表格3_5[[#This Row],[Location]])</f>
        <v/>
      </c>
      <c r="C924" s="211" t="str">
        <f>表格3_5[[#This Row],[Location]] &amp; 表格3_5[[#This Row],[Date]] &amp;表格3_5[[#This Row],[Nick Name]]</f>
        <v>0</v>
      </c>
      <c r="D924" s="202"/>
      <c r="E924" s="211" t="str">
        <f>DAY(表格3_5[[#This Row],[Date]])&amp;""</f>
        <v>0</v>
      </c>
      <c r="F924" s="203"/>
      <c r="G924" s="216">
        <f>_xlfn.XLOOKUP(表格3_5[[#This Row],[Name]],Name_list[Full Name],Name_list[Nick Name])</f>
        <v>0</v>
      </c>
      <c r="H924" s="207"/>
      <c r="I924" s="228"/>
      <c r="J924" s="218"/>
      <c r="K924" s="205"/>
      <c r="L924" s="210">
        <f>(表格3_5[[#This Row],[Out-Time]] - 表格3_5[[#This Row],[In-Time]])*24</f>
        <v>0</v>
      </c>
      <c r="M924" s="210">
        <f>表格3_5[[#This Row],[ Hours]]-表格3_5[[#This Row],[Normal working
 hours]]</f>
        <v>0</v>
      </c>
      <c r="N924" s="205"/>
      <c r="O924" s="205"/>
      <c r="P924" s="210">
        <f>(表格3_5[[#This Row],[Out-Time2]] - 表格3_5[[#This Row],[In-Time2]])*24</f>
        <v>0</v>
      </c>
      <c r="Q924" s="205"/>
      <c r="R924" s="214">
        <f>_xlfn.XLOOKUP(表格3_5[[#This Row],[Name]],Name_list[Full Name],Name_list[Hourr Rate])</f>
        <v>0</v>
      </c>
      <c r="S924" s="210">
        <f>表格3_5[[#This Row],[Hours Worked]]*表格3_5[[#This Row],[Hourly Rate]]</f>
        <v>0</v>
      </c>
    </row>
    <row r="925" spans="1:19">
      <c r="A925" s="201">
        <v>923</v>
      </c>
      <c r="B925" s="210" t="str">
        <f>_xlfn.CONCAT(表格3_5[[#This Row],[Name]],表格3_5[[#This Row],[Location]])</f>
        <v/>
      </c>
      <c r="C925" s="211" t="str">
        <f>表格3_5[[#This Row],[Location]] &amp; 表格3_5[[#This Row],[Date]] &amp;表格3_5[[#This Row],[Nick Name]]</f>
        <v>0</v>
      </c>
      <c r="D925" s="202"/>
      <c r="E925" s="211" t="str">
        <f>DAY(表格3_5[[#This Row],[Date]])&amp;""</f>
        <v>0</v>
      </c>
      <c r="F925" s="203"/>
      <c r="G925" s="216">
        <f>_xlfn.XLOOKUP(表格3_5[[#This Row],[Name]],Name_list[Full Name],Name_list[Nick Name])</f>
        <v>0</v>
      </c>
      <c r="H925" s="207"/>
      <c r="I925" s="228"/>
      <c r="J925" s="218"/>
      <c r="K925" s="205"/>
      <c r="L925" s="210">
        <f>(表格3_5[[#This Row],[Out-Time]] - 表格3_5[[#This Row],[In-Time]])*24</f>
        <v>0</v>
      </c>
      <c r="M925" s="210">
        <f>表格3_5[[#This Row],[ Hours]]-表格3_5[[#This Row],[Normal working
 hours]]</f>
        <v>0</v>
      </c>
      <c r="N925" s="205"/>
      <c r="O925" s="205"/>
      <c r="P925" s="210">
        <f>(表格3_5[[#This Row],[Out-Time2]] - 表格3_5[[#This Row],[In-Time2]])*24</f>
        <v>0</v>
      </c>
      <c r="Q925" s="205"/>
      <c r="R925" s="214">
        <f>_xlfn.XLOOKUP(表格3_5[[#This Row],[Name]],Name_list[Full Name],Name_list[Hourr Rate])</f>
        <v>0</v>
      </c>
      <c r="S925" s="210">
        <f>表格3_5[[#This Row],[Hours Worked]]*表格3_5[[#This Row],[Hourly Rate]]</f>
        <v>0</v>
      </c>
    </row>
    <row r="926" spans="1:19">
      <c r="A926" s="201">
        <v>924</v>
      </c>
      <c r="B926" s="210" t="str">
        <f>_xlfn.CONCAT(表格3_5[[#This Row],[Name]],表格3_5[[#This Row],[Location]])</f>
        <v/>
      </c>
      <c r="C926" s="211" t="str">
        <f>表格3_5[[#This Row],[Location]] &amp; 表格3_5[[#This Row],[Date]] &amp;表格3_5[[#This Row],[Nick Name]]</f>
        <v>0</v>
      </c>
      <c r="D926" s="202"/>
      <c r="E926" s="211" t="str">
        <f>DAY(表格3_5[[#This Row],[Date]])&amp;""</f>
        <v>0</v>
      </c>
      <c r="F926" s="203"/>
      <c r="G926" s="216">
        <f>_xlfn.XLOOKUP(表格3_5[[#This Row],[Name]],Name_list[Full Name],Name_list[Nick Name])</f>
        <v>0</v>
      </c>
      <c r="H926" s="207"/>
      <c r="I926" s="228"/>
      <c r="J926" s="218"/>
      <c r="K926" s="205"/>
      <c r="L926" s="210">
        <f>(表格3_5[[#This Row],[Out-Time]] - 表格3_5[[#This Row],[In-Time]])*24</f>
        <v>0</v>
      </c>
      <c r="M926" s="210">
        <f>表格3_5[[#This Row],[ Hours]]-表格3_5[[#This Row],[Normal working
 hours]]</f>
        <v>0</v>
      </c>
      <c r="N926" s="205"/>
      <c r="O926" s="205"/>
      <c r="P926" s="210">
        <f>(表格3_5[[#This Row],[Out-Time2]] - 表格3_5[[#This Row],[In-Time2]])*24</f>
        <v>0</v>
      </c>
      <c r="Q926" s="205"/>
      <c r="R926" s="214">
        <f>_xlfn.XLOOKUP(表格3_5[[#This Row],[Name]],Name_list[Full Name],Name_list[Hourr Rate])</f>
        <v>0</v>
      </c>
      <c r="S926" s="210">
        <f>表格3_5[[#This Row],[Hours Worked]]*表格3_5[[#This Row],[Hourly Rate]]</f>
        <v>0</v>
      </c>
    </row>
    <row r="927" spans="1:19">
      <c r="A927" s="201">
        <v>925</v>
      </c>
      <c r="B927" s="210" t="str">
        <f>_xlfn.CONCAT(表格3_5[[#This Row],[Name]],表格3_5[[#This Row],[Location]])</f>
        <v/>
      </c>
      <c r="C927" s="211" t="str">
        <f>表格3_5[[#This Row],[Location]] &amp; 表格3_5[[#This Row],[Date]] &amp;表格3_5[[#This Row],[Nick Name]]</f>
        <v>0</v>
      </c>
      <c r="D927" s="202"/>
      <c r="E927" s="211" t="str">
        <f>DAY(表格3_5[[#This Row],[Date]])&amp;""</f>
        <v>0</v>
      </c>
      <c r="F927" s="203"/>
      <c r="G927" s="216">
        <f>_xlfn.XLOOKUP(表格3_5[[#This Row],[Name]],Name_list[Full Name],Name_list[Nick Name])</f>
        <v>0</v>
      </c>
      <c r="H927" s="207"/>
      <c r="I927" s="228"/>
      <c r="J927" s="218"/>
      <c r="K927" s="205"/>
      <c r="L927" s="210">
        <f>(表格3_5[[#This Row],[Out-Time]] - 表格3_5[[#This Row],[In-Time]])*24</f>
        <v>0</v>
      </c>
      <c r="M927" s="210">
        <f>表格3_5[[#This Row],[ Hours]]-表格3_5[[#This Row],[Normal working
 hours]]</f>
        <v>0</v>
      </c>
      <c r="N927" s="205"/>
      <c r="O927" s="205"/>
      <c r="P927" s="210">
        <f>(表格3_5[[#This Row],[Out-Time2]] - 表格3_5[[#This Row],[In-Time2]])*24</f>
        <v>0</v>
      </c>
      <c r="Q927" s="205"/>
      <c r="R927" s="214">
        <f>_xlfn.XLOOKUP(表格3_5[[#This Row],[Name]],Name_list[Full Name],Name_list[Hourr Rate])</f>
        <v>0</v>
      </c>
      <c r="S927" s="210">
        <f>表格3_5[[#This Row],[Hours Worked]]*表格3_5[[#This Row],[Hourly Rate]]</f>
        <v>0</v>
      </c>
    </row>
    <row r="928" spans="1:19">
      <c r="A928" s="201">
        <v>926</v>
      </c>
      <c r="B928" s="210" t="str">
        <f>_xlfn.CONCAT(表格3_5[[#This Row],[Name]],表格3_5[[#This Row],[Location]])</f>
        <v/>
      </c>
      <c r="C928" s="211" t="str">
        <f>表格3_5[[#This Row],[Location]] &amp; 表格3_5[[#This Row],[Date]] &amp;表格3_5[[#This Row],[Nick Name]]</f>
        <v>0</v>
      </c>
      <c r="D928" s="202"/>
      <c r="E928" s="211" t="str">
        <f>DAY(表格3_5[[#This Row],[Date]])&amp;""</f>
        <v>0</v>
      </c>
      <c r="F928" s="203"/>
      <c r="G928" s="216">
        <f>_xlfn.XLOOKUP(表格3_5[[#This Row],[Name]],Name_list[Full Name],Name_list[Nick Name])</f>
        <v>0</v>
      </c>
      <c r="H928" s="207"/>
      <c r="I928" s="228"/>
      <c r="J928" s="218"/>
      <c r="K928" s="205"/>
      <c r="L928" s="210">
        <f>(表格3_5[[#This Row],[Out-Time]] - 表格3_5[[#This Row],[In-Time]])*24</f>
        <v>0</v>
      </c>
      <c r="M928" s="210">
        <f>表格3_5[[#This Row],[ Hours]]-表格3_5[[#This Row],[Normal working
 hours]]</f>
        <v>0</v>
      </c>
      <c r="N928" s="205"/>
      <c r="O928" s="205"/>
      <c r="P928" s="210">
        <f>(表格3_5[[#This Row],[Out-Time2]] - 表格3_5[[#This Row],[In-Time2]])*24</f>
        <v>0</v>
      </c>
      <c r="Q928" s="205"/>
      <c r="R928" s="214">
        <f>_xlfn.XLOOKUP(表格3_5[[#This Row],[Name]],Name_list[Full Name],Name_list[Hourr Rate])</f>
        <v>0</v>
      </c>
      <c r="S928" s="210">
        <f>表格3_5[[#This Row],[Hours Worked]]*表格3_5[[#This Row],[Hourly Rate]]</f>
        <v>0</v>
      </c>
    </row>
    <row r="929" spans="1:19">
      <c r="A929" s="201">
        <v>927</v>
      </c>
      <c r="B929" s="210" t="str">
        <f>_xlfn.CONCAT(表格3_5[[#This Row],[Name]],表格3_5[[#This Row],[Location]])</f>
        <v/>
      </c>
      <c r="C929" s="211" t="str">
        <f>表格3_5[[#This Row],[Location]] &amp; 表格3_5[[#This Row],[Date]] &amp;表格3_5[[#This Row],[Nick Name]]</f>
        <v>0</v>
      </c>
      <c r="D929" s="202"/>
      <c r="E929" s="211" t="str">
        <f>DAY(表格3_5[[#This Row],[Date]])&amp;""</f>
        <v>0</v>
      </c>
      <c r="F929" s="203"/>
      <c r="G929" s="216">
        <f>_xlfn.XLOOKUP(表格3_5[[#This Row],[Name]],Name_list[Full Name],Name_list[Nick Name])</f>
        <v>0</v>
      </c>
      <c r="H929" s="207"/>
      <c r="I929" s="228"/>
      <c r="J929" s="218"/>
      <c r="K929" s="205"/>
      <c r="L929" s="210">
        <f>(表格3_5[[#This Row],[Out-Time]] - 表格3_5[[#This Row],[In-Time]])*24</f>
        <v>0</v>
      </c>
      <c r="M929" s="210">
        <f>表格3_5[[#This Row],[ Hours]]-表格3_5[[#This Row],[Normal working
 hours]]</f>
        <v>0</v>
      </c>
      <c r="N929" s="205"/>
      <c r="O929" s="205"/>
      <c r="P929" s="210">
        <f>(表格3_5[[#This Row],[Out-Time2]] - 表格3_5[[#This Row],[In-Time2]])*24</f>
        <v>0</v>
      </c>
      <c r="Q929" s="205"/>
      <c r="R929" s="214">
        <f>_xlfn.XLOOKUP(表格3_5[[#This Row],[Name]],Name_list[Full Name],Name_list[Hourr Rate])</f>
        <v>0</v>
      </c>
      <c r="S929" s="210">
        <f>表格3_5[[#This Row],[Hours Worked]]*表格3_5[[#This Row],[Hourly Rate]]</f>
        <v>0</v>
      </c>
    </row>
    <row r="930" spans="1:19">
      <c r="A930" s="201">
        <v>928</v>
      </c>
      <c r="B930" s="210" t="str">
        <f>_xlfn.CONCAT(表格3_5[[#This Row],[Name]],表格3_5[[#This Row],[Location]])</f>
        <v/>
      </c>
      <c r="C930" s="211" t="str">
        <f>表格3_5[[#This Row],[Location]] &amp; 表格3_5[[#This Row],[Date]] &amp;表格3_5[[#This Row],[Nick Name]]</f>
        <v>0</v>
      </c>
      <c r="D930" s="202"/>
      <c r="E930" s="211" t="str">
        <f>DAY(表格3_5[[#This Row],[Date]])&amp;""</f>
        <v>0</v>
      </c>
      <c r="F930" s="203"/>
      <c r="G930" s="216">
        <f>_xlfn.XLOOKUP(表格3_5[[#This Row],[Name]],Name_list[Full Name],Name_list[Nick Name])</f>
        <v>0</v>
      </c>
      <c r="H930" s="207"/>
      <c r="I930" s="228"/>
      <c r="J930" s="218"/>
      <c r="K930" s="205"/>
      <c r="L930" s="210">
        <f>(表格3_5[[#This Row],[Out-Time]] - 表格3_5[[#This Row],[In-Time]])*24</f>
        <v>0</v>
      </c>
      <c r="M930" s="210">
        <f>表格3_5[[#This Row],[ Hours]]-表格3_5[[#This Row],[Normal working
 hours]]</f>
        <v>0</v>
      </c>
      <c r="N930" s="205"/>
      <c r="O930" s="205"/>
      <c r="P930" s="210">
        <f>(表格3_5[[#This Row],[Out-Time2]] - 表格3_5[[#This Row],[In-Time2]])*24</f>
        <v>0</v>
      </c>
      <c r="Q930" s="205"/>
      <c r="R930" s="214">
        <f>_xlfn.XLOOKUP(表格3_5[[#This Row],[Name]],Name_list[Full Name],Name_list[Hourr Rate])</f>
        <v>0</v>
      </c>
      <c r="S930" s="210">
        <f>表格3_5[[#This Row],[Hours Worked]]*表格3_5[[#This Row],[Hourly Rate]]</f>
        <v>0</v>
      </c>
    </row>
    <row r="931" spans="1:19">
      <c r="A931" s="201">
        <v>929</v>
      </c>
      <c r="B931" s="210" t="str">
        <f>_xlfn.CONCAT(表格3_5[[#This Row],[Name]],表格3_5[[#This Row],[Location]])</f>
        <v/>
      </c>
      <c r="C931" s="211" t="str">
        <f>表格3_5[[#This Row],[Location]] &amp; 表格3_5[[#This Row],[Date]] &amp;表格3_5[[#This Row],[Nick Name]]</f>
        <v>0</v>
      </c>
      <c r="D931" s="202"/>
      <c r="E931" s="211" t="str">
        <f>DAY(表格3_5[[#This Row],[Date]])&amp;""</f>
        <v>0</v>
      </c>
      <c r="F931" s="203"/>
      <c r="G931" s="216">
        <f>_xlfn.XLOOKUP(表格3_5[[#This Row],[Name]],Name_list[Full Name],Name_list[Nick Name])</f>
        <v>0</v>
      </c>
      <c r="H931" s="207"/>
      <c r="I931" s="228"/>
      <c r="J931" s="218"/>
      <c r="K931" s="205"/>
      <c r="L931" s="210">
        <f>(表格3_5[[#This Row],[Out-Time]] - 表格3_5[[#This Row],[In-Time]])*24</f>
        <v>0</v>
      </c>
      <c r="M931" s="210">
        <f>表格3_5[[#This Row],[ Hours]]-表格3_5[[#This Row],[Normal working
 hours]]</f>
        <v>0</v>
      </c>
      <c r="N931" s="205"/>
      <c r="O931" s="205"/>
      <c r="P931" s="210">
        <f>(表格3_5[[#This Row],[Out-Time2]] - 表格3_5[[#This Row],[In-Time2]])*24</f>
        <v>0</v>
      </c>
      <c r="Q931" s="205"/>
      <c r="R931" s="214">
        <f>_xlfn.XLOOKUP(表格3_5[[#This Row],[Name]],Name_list[Full Name],Name_list[Hourr Rate])</f>
        <v>0</v>
      </c>
      <c r="S931" s="210">
        <f>表格3_5[[#This Row],[Hours Worked]]*表格3_5[[#This Row],[Hourly Rate]]</f>
        <v>0</v>
      </c>
    </row>
    <row r="932" spans="1:19">
      <c r="A932" s="201">
        <v>930</v>
      </c>
      <c r="B932" s="210" t="str">
        <f>_xlfn.CONCAT(表格3_5[[#This Row],[Name]],表格3_5[[#This Row],[Location]])</f>
        <v/>
      </c>
      <c r="C932" s="211" t="str">
        <f>表格3_5[[#This Row],[Location]] &amp; 表格3_5[[#This Row],[Date]] &amp;表格3_5[[#This Row],[Nick Name]]</f>
        <v>0</v>
      </c>
      <c r="D932" s="202"/>
      <c r="E932" s="211" t="str">
        <f>DAY(表格3_5[[#This Row],[Date]])&amp;""</f>
        <v>0</v>
      </c>
      <c r="F932" s="203"/>
      <c r="G932" s="216">
        <f>_xlfn.XLOOKUP(表格3_5[[#This Row],[Name]],Name_list[Full Name],Name_list[Nick Name])</f>
        <v>0</v>
      </c>
      <c r="H932" s="207"/>
      <c r="I932" s="228"/>
      <c r="J932" s="218"/>
      <c r="K932" s="205"/>
      <c r="L932" s="210">
        <f>(表格3_5[[#This Row],[Out-Time]] - 表格3_5[[#This Row],[In-Time]])*24</f>
        <v>0</v>
      </c>
      <c r="M932" s="210">
        <f>表格3_5[[#This Row],[ Hours]]-表格3_5[[#This Row],[Normal working
 hours]]</f>
        <v>0</v>
      </c>
      <c r="N932" s="205"/>
      <c r="O932" s="205"/>
      <c r="P932" s="210">
        <f>(表格3_5[[#This Row],[Out-Time2]] - 表格3_5[[#This Row],[In-Time2]])*24</f>
        <v>0</v>
      </c>
      <c r="Q932" s="205"/>
      <c r="R932" s="214">
        <f>_xlfn.XLOOKUP(表格3_5[[#This Row],[Name]],Name_list[Full Name],Name_list[Hourr Rate])</f>
        <v>0</v>
      </c>
      <c r="S932" s="210">
        <f>表格3_5[[#This Row],[Hours Worked]]*表格3_5[[#This Row],[Hourly Rate]]</f>
        <v>0</v>
      </c>
    </row>
    <row r="933" spans="1:19">
      <c r="A933" s="201">
        <v>931</v>
      </c>
      <c r="B933" s="210" t="str">
        <f>_xlfn.CONCAT(表格3_5[[#This Row],[Name]],表格3_5[[#This Row],[Location]])</f>
        <v/>
      </c>
      <c r="C933" s="211" t="str">
        <f>表格3_5[[#This Row],[Location]] &amp; 表格3_5[[#This Row],[Date]] &amp;表格3_5[[#This Row],[Nick Name]]</f>
        <v>0</v>
      </c>
      <c r="D933" s="202"/>
      <c r="E933" s="211" t="str">
        <f>DAY(表格3_5[[#This Row],[Date]])&amp;""</f>
        <v>0</v>
      </c>
      <c r="F933" s="203"/>
      <c r="G933" s="216">
        <f>_xlfn.XLOOKUP(表格3_5[[#This Row],[Name]],Name_list[Full Name],Name_list[Nick Name])</f>
        <v>0</v>
      </c>
      <c r="H933" s="207"/>
      <c r="I933" s="228"/>
      <c r="J933" s="218"/>
      <c r="K933" s="205"/>
      <c r="L933" s="210">
        <f>(表格3_5[[#This Row],[Out-Time]] - 表格3_5[[#This Row],[In-Time]])*24</f>
        <v>0</v>
      </c>
      <c r="M933" s="210">
        <f>表格3_5[[#This Row],[ Hours]]-表格3_5[[#This Row],[Normal working
 hours]]</f>
        <v>0</v>
      </c>
      <c r="N933" s="205"/>
      <c r="O933" s="205"/>
      <c r="P933" s="210">
        <f>(表格3_5[[#This Row],[Out-Time2]] - 表格3_5[[#This Row],[In-Time2]])*24</f>
        <v>0</v>
      </c>
      <c r="Q933" s="205"/>
      <c r="R933" s="214">
        <f>_xlfn.XLOOKUP(表格3_5[[#This Row],[Name]],Name_list[Full Name],Name_list[Hourr Rate])</f>
        <v>0</v>
      </c>
      <c r="S933" s="210">
        <f>表格3_5[[#This Row],[Hours Worked]]*表格3_5[[#This Row],[Hourly Rate]]</f>
        <v>0</v>
      </c>
    </row>
    <row r="934" spans="1:19">
      <c r="A934" s="201">
        <v>932</v>
      </c>
      <c r="B934" s="210" t="str">
        <f>_xlfn.CONCAT(表格3_5[[#This Row],[Name]],表格3_5[[#This Row],[Location]])</f>
        <v/>
      </c>
      <c r="C934" s="211" t="str">
        <f>表格3_5[[#This Row],[Location]] &amp; 表格3_5[[#This Row],[Date]] &amp;表格3_5[[#This Row],[Nick Name]]</f>
        <v>0</v>
      </c>
      <c r="D934" s="202"/>
      <c r="E934" s="211" t="str">
        <f>DAY(表格3_5[[#This Row],[Date]])&amp;""</f>
        <v>0</v>
      </c>
      <c r="F934" s="203"/>
      <c r="G934" s="216">
        <f>_xlfn.XLOOKUP(表格3_5[[#This Row],[Name]],Name_list[Full Name],Name_list[Nick Name])</f>
        <v>0</v>
      </c>
      <c r="H934" s="207"/>
      <c r="I934" s="228"/>
      <c r="J934" s="218"/>
      <c r="K934" s="205"/>
      <c r="L934" s="210">
        <f>(表格3_5[[#This Row],[Out-Time]] - 表格3_5[[#This Row],[In-Time]])*24</f>
        <v>0</v>
      </c>
      <c r="M934" s="210">
        <f>表格3_5[[#This Row],[ Hours]]-表格3_5[[#This Row],[Normal working
 hours]]</f>
        <v>0</v>
      </c>
      <c r="N934" s="205"/>
      <c r="O934" s="205"/>
      <c r="P934" s="210">
        <f>(表格3_5[[#This Row],[Out-Time2]] - 表格3_5[[#This Row],[In-Time2]])*24</f>
        <v>0</v>
      </c>
      <c r="Q934" s="205"/>
      <c r="R934" s="214">
        <f>_xlfn.XLOOKUP(表格3_5[[#This Row],[Name]],Name_list[Full Name],Name_list[Hourr Rate])</f>
        <v>0</v>
      </c>
      <c r="S934" s="210">
        <f>表格3_5[[#This Row],[Hours Worked]]*表格3_5[[#This Row],[Hourly Rate]]</f>
        <v>0</v>
      </c>
    </row>
    <row r="935" spans="1:19">
      <c r="A935" s="201">
        <v>933</v>
      </c>
      <c r="B935" s="210" t="str">
        <f>_xlfn.CONCAT(表格3_5[[#This Row],[Name]],表格3_5[[#This Row],[Location]])</f>
        <v/>
      </c>
      <c r="C935" s="211" t="str">
        <f>表格3_5[[#This Row],[Location]] &amp; 表格3_5[[#This Row],[Date]] &amp;表格3_5[[#This Row],[Nick Name]]</f>
        <v>0</v>
      </c>
      <c r="D935" s="202"/>
      <c r="E935" s="211" t="str">
        <f>DAY(表格3_5[[#This Row],[Date]])&amp;""</f>
        <v>0</v>
      </c>
      <c r="F935" s="203"/>
      <c r="G935" s="216">
        <f>_xlfn.XLOOKUP(表格3_5[[#This Row],[Name]],Name_list[Full Name],Name_list[Nick Name])</f>
        <v>0</v>
      </c>
      <c r="H935" s="207"/>
      <c r="I935" s="228"/>
      <c r="J935" s="218"/>
      <c r="K935" s="205"/>
      <c r="L935" s="210">
        <f>(表格3_5[[#This Row],[Out-Time]] - 表格3_5[[#This Row],[In-Time]])*24</f>
        <v>0</v>
      </c>
      <c r="M935" s="210">
        <f>表格3_5[[#This Row],[ Hours]]-表格3_5[[#This Row],[Normal working
 hours]]</f>
        <v>0</v>
      </c>
      <c r="N935" s="205"/>
      <c r="O935" s="205"/>
      <c r="P935" s="210">
        <f>(表格3_5[[#This Row],[Out-Time2]] - 表格3_5[[#This Row],[In-Time2]])*24</f>
        <v>0</v>
      </c>
      <c r="Q935" s="205"/>
      <c r="R935" s="214">
        <f>_xlfn.XLOOKUP(表格3_5[[#This Row],[Name]],Name_list[Full Name],Name_list[Hourr Rate])</f>
        <v>0</v>
      </c>
      <c r="S935" s="210">
        <f>表格3_5[[#This Row],[Hours Worked]]*表格3_5[[#This Row],[Hourly Rate]]</f>
        <v>0</v>
      </c>
    </row>
    <row r="936" spans="1:19">
      <c r="A936" s="201">
        <v>934</v>
      </c>
      <c r="B936" s="210" t="str">
        <f>_xlfn.CONCAT(表格3_5[[#This Row],[Name]],表格3_5[[#This Row],[Location]])</f>
        <v/>
      </c>
      <c r="C936" s="211" t="str">
        <f>表格3_5[[#This Row],[Location]] &amp; 表格3_5[[#This Row],[Date]] &amp;表格3_5[[#This Row],[Nick Name]]</f>
        <v>0</v>
      </c>
      <c r="D936" s="202"/>
      <c r="E936" s="211" t="str">
        <f>DAY(表格3_5[[#This Row],[Date]])&amp;""</f>
        <v>0</v>
      </c>
      <c r="F936" s="203"/>
      <c r="G936" s="216">
        <f>_xlfn.XLOOKUP(表格3_5[[#This Row],[Name]],Name_list[Full Name],Name_list[Nick Name])</f>
        <v>0</v>
      </c>
      <c r="H936" s="207"/>
      <c r="I936" s="228"/>
      <c r="J936" s="218"/>
      <c r="K936" s="205"/>
      <c r="L936" s="210">
        <f>(表格3_5[[#This Row],[Out-Time]] - 表格3_5[[#This Row],[In-Time]])*24</f>
        <v>0</v>
      </c>
      <c r="M936" s="210">
        <f>表格3_5[[#This Row],[ Hours]]-表格3_5[[#This Row],[Normal working
 hours]]</f>
        <v>0</v>
      </c>
      <c r="N936" s="205"/>
      <c r="O936" s="205"/>
      <c r="P936" s="210">
        <f>(表格3_5[[#This Row],[Out-Time2]] - 表格3_5[[#This Row],[In-Time2]])*24</f>
        <v>0</v>
      </c>
      <c r="Q936" s="205"/>
      <c r="R936" s="214">
        <f>_xlfn.XLOOKUP(表格3_5[[#This Row],[Name]],Name_list[Full Name],Name_list[Hourr Rate])</f>
        <v>0</v>
      </c>
      <c r="S936" s="210">
        <f>表格3_5[[#This Row],[Hours Worked]]*表格3_5[[#This Row],[Hourly Rate]]</f>
        <v>0</v>
      </c>
    </row>
    <row r="937" spans="1:19">
      <c r="A937" s="201">
        <v>935</v>
      </c>
      <c r="B937" s="210" t="str">
        <f>_xlfn.CONCAT(表格3_5[[#This Row],[Name]],表格3_5[[#This Row],[Location]])</f>
        <v/>
      </c>
      <c r="C937" s="211" t="str">
        <f>表格3_5[[#This Row],[Location]] &amp; 表格3_5[[#This Row],[Date]] &amp;表格3_5[[#This Row],[Nick Name]]</f>
        <v>0</v>
      </c>
      <c r="D937" s="202"/>
      <c r="E937" s="211" t="str">
        <f>DAY(表格3_5[[#This Row],[Date]])&amp;""</f>
        <v>0</v>
      </c>
      <c r="F937" s="203"/>
      <c r="G937" s="216">
        <f>_xlfn.XLOOKUP(表格3_5[[#This Row],[Name]],Name_list[Full Name],Name_list[Nick Name])</f>
        <v>0</v>
      </c>
      <c r="H937" s="207"/>
      <c r="I937" s="228"/>
      <c r="J937" s="218"/>
      <c r="K937" s="205"/>
      <c r="L937" s="210">
        <f>(表格3_5[[#This Row],[Out-Time]] - 表格3_5[[#This Row],[In-Time]])*24</f>
        <v>0</v>
      </c>
      <c r="M937" s="210">
        <f>表格3_5[[#This Row],[ Hours]]-表格3_5[[#This Row],[Normal working
 hours]]</f>
        <v>0</v>
      </c>
      <c r="N937" s="205"/>
      <c r="O937" s="205"/>
      <c r="P937" s="210">
        <f>(表格3_5[[#This Row],[Out-Time2]] - 表格3_5[[#This Row],[In-Time2]])*24</f>
        <v>0</v>
      </c>
      <c r="Q937" s="205"/>
      <c r="R937" s="214">
        <f>_xlfn.XLOOKUP(表格3_5[[#This Row],[Name]],Name_list[Full Name],Name_list[Hourr Rate])</f>
        <v>0</v>
      </c>
      <c r="S937" s="210">
        <f>表格3_5[[#This Row],[Hours Worked]]*表格3_5[[#This Row],[Hourly Rate]]</f>
        <v>0</v>
      </c>
    </row>
    <row r="938" spans="1:19">
      <c r="A938" s="201">
        <v>936</v>
      </c>
      <c r="B938" s="210" t="str">
        <f>_xlfn.CONCAT(表格3_5[[#This Row],[Name]],表格3_5[[#This Row],[Location]])</f>
        <v/>
      </c>
      <c r="C938" s="211" t="str">
        <f>表格3_5[[#This Row],[Location]] &amp; 表格3_5[[#This Row],[Date]] &amp;表格3_5[[#This Row],[Nick Name]]</f>
        <v>0</v>
      </c>
      <c r="D938" s="202"/>
      <c r="E938" s="211" t="str">
        <f>DAY(表格3_5[[#This Row],[Date]])&amp;""</f>
        <v>0</v>
      </c>
      <c r="F938" s="203"/>
      <c r="G938" s="216">
        <f>_xlfn.XLOOKUP(表格3_5[[#This Row],[Name]],Name_list[Full Name],Name_list[Nick Name])</f>
        <v>0</v>
      </c>
      <c r="H938" s="207"/>
      <c r="I938" s="228"/>
      <c r="J938" s="218"/>
      <c r="K938" s="205"/>
      <c r="L938" s="210">
        <f>(表格3_5[[#This Row],[Out-Time]] - 表格3_5[[#This Row],[In-Time]])*24</f>
        <v>0</v>
      </c>
      <c r="M938" s="210">
        <f>表格3_5[[#This Row],[ Hours]]-表格3_5[[#This Row],[Normal working
 hours]]</f>
        <v>0</v>
      </c>
      <c r="N938" s="205"/>
      <c r="O938" s="205"/>
      <c r="P938" s="210">
        <f>(表格3_5[[#This Row],[Out-Time2]] - 表格3_5[[#This Row],[In-Time2]])*24</f>
        <v>0</v>
      </c>
      <c r="Q938" s="205"/>
      <c r="R938" s="214">
        <f>_xlfn.XLOOKUP(表格3_5[[#This Row],[Name]],Name_list[Full Name],Name_list[Hourr Rate])</f>
        <v>0</v>
      </c>
      <c r="S938" s="210">
        <f>表格3_5[[#This Row],[Hours Worked]]*表格3_5[[#This Row],[Hourly Rate]]</f>
        <v>0</v>
      </c>
    </row>
    <row r="939" spans="1:19">
      <c r="A939" s="201">
        <v>937</v>
      </c>
      <c r="B939" s="210" t="str">
        <f>_xlfn.CONCAT(表格3_5[[#This Row],[Name]],表格3_5[[#This Row],[Location]])</f>
        <v/>
      </c>
      <c r="C939" s="211" t="str">
        <f>表格3_5[[#This Row],[Location]] &amp; 表格3_5[[#This Row],[Date]] &amp;表格3_5[[#This Row],[Nick Name]]</f>
        <v>0</v>
      </c>
      <c r="D939" s="202"/>
      <c r="E939" s="211" t="str">
        <f>DAY(表格3_5[[#This Row],[Date]])&amp;""</f>
        <v>0</v>
      </c>
      <c r="F939" s="203"/>
      <c r="G939" s="216">
        <f>_xlfn.XLOOKUP(表格3_5[[#This Row],[Name]],Name_list[Full Name],Name_list[Nick Name])</f>
        <v>0</v>
      </c>
      <c r="H939" s="207"/>
      <c r="I939" s="228"/>
      <c r="J939" s="218"/>
      <c r="K939" s="205"/>
      <c r="L939" s="210">
        <f>(表格3_5[[#This Row],[Out-Time]] - 表格3_5[[#This Row],[In-Time]])*24</f>
        <v>0</v>
      </c>
      <c r="M939" s="210">
        <f>表格3_5[[#This Row],[ Hours]]-表格3_5[[#This Row],[Normal working
 hours]]</f>
        <v>0</v>
      </c>
      <c r="N939" s="205"/>
      <c r="O939" s="205"/>
      <c r="P939" s="210">
        <f>(表格3_5[[#This Row],[Out-Time2]] - 表格3_5[[#This Row],[In-Time2]])*24</f>
        <v>0</v>
      </c>
      <c r="Q939" s="205"/>
      <c r="R939" s="214">
        <f>_xlfn.XLOOKUP(表格3_5[[#This Row],[Name]],Name_list[Full Name],Name_list[Hourr Rate])</f>
        <v>0</v>
      </c>
      <c r="S939" s="210">
        <f>表格3_5[[#This Row],[Hours Worked]]*表格3_5[[#This Row],[Hourly Rate]]</f>
        <v>0</v>
      </c>
    </row>
    <row r="940" spans="1:19">
      <c r="A940" s="201">
        <v>938</v>
      </c>
      <c r="B940" s="210" t="str">
        <f>_xlfn.CONCAT(表格3_5[[#This Row],[Name]],表格3_5[[#This Row],[Location]])</f>
        <v/>
      </c>
      <c r="C940" s="211" t="str">
        <f>表格3_5[[#This Row],[Location]] &amp; 表格3_5[[#This Row],[Date]] &amp;表格3_5[[#This Row],[Nick Name]]</f>
        <v>0</v>
      </c>
      <c r="D940" s="202"/>
      <c r="E940" s="211" t="str">
        <f>DAY(表格3_5[[#This Row],[Date]])&amp;""</f>
        <v>0</v>
      </c>
      <c r="F940" s="203"/>
      <c r="G940" s="216">
        <f>_xlfn.XLOOKUP(表格3_5[[#This Row],[Name]],Name_list[Full Name],Name_list[Nick Name])</f>
        <v>0</v>
      </c>
      <c r="H940" s="207"/>
      <c r="I940" s="228"/>
      <c r="J940" s="218"/>
      <c r="K940" s="205"/>
      <c r="L940" s="210">
        <f>(表格3_5[[#This Row],[Out-Time]] - 表格3_5[[#This Row],[In-Time]])*24</f>
        <v>0</v>
      </c>
      <c r="M940" s="210">
        <f>表格3_5[[#This Row],[ Hours]]-表格3_5[[#This Row],[Normal working
 hours]]</f>
        <v>0</v>
      </c>
      <c r="N940" s="205"/>
      <c r="O940" s="205"/>
      <c r="P940" s="210">
        <f>(表格3_5[[#This Row],[Out-Time2]] - 表格3_5[[#This Row],[In-Time2]])*24</f>
        <v>0</v>
      </c>
      <c r="Q940" s="205"/>
      <c r="R940" s="214">
        <f>_xlfn.XLOOKUP(表格3_5[[#This Row],[Name]],Name_list[Full Name],Name_list[Hourr Rate])</f>
        <v>0</v>
      </c>
      <c r="S940" s="210">
        <f>表格3_5[[#This Row],[Hours Worked]]*表格3_5[[#This Row],[Hourly Rate]]</f>
        <v>0</v>
      </c>
    </row>
    <row r="941" spans="1:19">
      <c r="A941" s="201">
        <v>939</v>
      </c>
      <c r="B941" s="210" t="str">
        <f>_xlfn.CONCAT(表格3_5[[#This Row],[Name]],表格3_5[[#This Row],[Location]])</f>
        <v/>
      </c>
      <c r="C941" s="211" t="str">
        <f>表格3_5[[#This Row],[Location]] &amp; 表格3_5[[#This Row],[Date]] &amp;表格3_5[[#This Row],[Nick Name]]</f>
        <v>0</v>
      </c>
      <c r="D941" s="202"/>
      <c r="E941" s="211" t="str">
        <f>DAY(表格3_5[[#This Row],[Date]])&amp;""</f>
        <v>0</v>
      </c>
      <c r="F941" s="203"/>
      <c r="G941" s="216">
        <f>_xlfn.XLOOKUP(表格3_5[[#This Row],[Name]],Name_list[Full Name],Name_list[Nick Name])</f>
        <v>0</v>
      </c>
      <c r="H941" s="207"/>
      <c r="I941" s="228"/>
      <c r="J941" s="218"/>
      <c r="K941" s="205"/>
      <c r="L941" s="210">
        <f>(表格3_5[[#This Row],[Out-Time]] - 表格3_5[[#This Row],[In-Time]])*24</f>
        <v>0</v>
      </c>
      <c r="M941" s="210">
        <f>表格3_5[[#This Row],[ Hours]]-表格3_5[[#This Row],[Normal working
 hours]]</f>
        <v>0</v>
      </c>
      <c r="N941" s="205"/>
      <c r="O941" s="205"/>
      <c r="P941" s="210">
        <f>(表格3_5[[#This Row],[Out-Time2]] - 表格3_5[[#This Row],[In-Time2]])*24</f>
        <v>0</v>
      </c>
      <c r="Q941" s="205"/>
      <c r="R941" s="214">
        <f>_xlfn.XLOOKUP(表格3_5[[#This Row],[Name]],Name_list[Full Name],Name_list[Hourr Rate])</f>
        <v>0</v>
      </c>
      <c r="S941" s="210">
        <f>表格3_5[[#This Row],[Hours Worked]]*表格3_5[[#This Row],[Hourly Rate]]</f>
        <v>0</v>
      </c>
    </row>
    <row r="942" spans="1:19">
      <c r="A942" s="201">
        <v>940</v>
      </c>
      <c r="B942" s="210" t="str">
        <f>_xlfn.CONCAT(表格3_5[[#This Row],[Name]],表格3_5[[#This Row],[Location]])</f>
        <v/>
      </c>
      <c r="C942" s="211" t="str">
        <f>表格3_5[[#This Row],[Location]] &amp; 表格3_5[[#This Row],[Date]] &amp;表格3_5[[#This Row],[Nick Name]]</f>
        <v>0</v>
      </c>
      <c r="D942" s="202"/>
      <c r="E942" s="211" t="str">
        <f>DAY(表格3_5[[#This Row],[Date]])&amp;""</f>
        <v>0</v>
      </c>
      <c r="F942" s="203"/>
      <c r="G942" s="216">
        <f>_xlfn.XLOOKUP(表格3_5[[#This Row],[Name]],Name_list[Full Name],Name_list[Nick Name])</f>
        <v>0</v>
      </c>
      <c r="H942" s="207"/>
      <c r="I942" s="228"/>
      <c r="J942" s="218"/>
      <c r="K942" s="205"/>
      <c r="L942" s="210">
        <f>(表格3_5[[#This Row],[Out-Time]] - 表格3_5[[#This Row],[In-Time]])*24</f>
        <v>0</v>
      </c>
      <c r="M942" s="210">
        <f>表格3_5[[#This Row],[ Hours]]-表格3_5[[#This Row],[Normal working
 hours]]</f>
        <v>0</v>
      </c>
      <c r="N942" s="205"/>
      <c r="O942" s="205"/>
      <c r="P942" s="210">
        <f>(表格3_5[[#This Row],[Out-Time2]] - 表格3_5[[#This Row],[In-Time2]])*24</f>
        <v>0</v>
      </c>
      <c r="Q942" s="205"/>
      <c r="R942" s="214">
        <f>_xlfn.XLOOKUP(表格3_5[[#This Row],[Name]],Name_list[Full Name],Name_list[Hourr Rate])</f>
        <v>0</v>
      </c>
      <c r="S942" s="210">
        <f>表格3_5[[#This Row],[Hours Worked]]*表格3_5[[#This Row],[Hourly Rate]]</f>
        <v>0</v>
      </c>
    </row>
    <row r="943" spans="1:19">
      <c r="A943" s="201">
        <v>941</v>
      </c>
      <c r="B943" s="210" t="str">
        <f>_xlfn.CONCAT(表格3_5[[#This Row],[Name]],表格3_5[[#This Row],[Location]])</f>
        <v/>
      </c>
      <c r="C943" s="211" t="str">
        <f>表格3_5[[#This Row],[Location]] &amp; 表格3_5[[#This Row],[Date]] &amp;表格3_5[[#This Row],[Nick Name]]</f>
        <v>0</v>
      </c>
      <c r="D943" s="202"/>
      <c r="E943" s="211" t="str">
        <f>DAY(表格3_5[[#This Row],[Date]])&amp;""</f>
        <v>0</v>
      </c>
      <c r="F943" s="203"/>
      <c r="G943" s="216">
        <f>_xlfn.XLOOKUP(表格3_5[[#This Row],[Name]],Name_list[Full Name],Name_list[Nick Name])</f>
        <v>0</v>
      </c>
      <c r="H943" s="207"/>
      <c r="I943" s="228"/>
      <c r="J943" s="218"/>
      <c r="K943" s="205"/>
      <c r="L943" s="210">
        <f>(表格3_5[[#This Row],[Out-Time]] - 表格3_5[[#This Row],[In-Time]])*24</f>
        <v>0</v>
      </c>
      <c r="M943" s="210">
        <f>表格3_5[[#This Row],[ Hours]]-表格3_5[[#This Row],[Normal working
 hours]]</f>
        <v>0</v>
      </c>
      <c r="N943" s="205"/>
      <c r="O943" s="205"/>
      <c r="P943" s="210">
        <f>(表格3_5[[#This Row],[Out-Time2]] - 表格3_5[[#This Row],[In-Time2]])*24</f>
        <v>0</v>
      </c>
      <c r="Q943" s="205"/>
      <c r="R943" s="214">
        <f>_xlfn.XLOOKUP(表格3_5[[#This Row],[Name]],Name_list[Full Name],Name_list[Hourr Rate])</f>
        <v>0</v>
      </c>
      <c r="S943" s="210">
        <f>表格3_5[[#This Row],[Hours Worked]]*表格3_5[[#This Row],[Hourly Rate]]</f>
        <v>0</v>
      </c>
    </row>
    <row r="944" spans="1:19">
      <c r="A944" s="201">
        <v>942</v>
      </c>
      <c r="B944" s="210" t="str">
        <f>_xlfn.CONCAT(表格3_5[[#This Row],[Name]],表格3_5[[#This Row],[Location]])</f>
        <v/>
      </c>
      <c r="C944" s="211" t="str">
        <f>表格3_5[[#This Row],[Location]] &amp; 表格3_5[[#This Row],[Date]] &amp;表格3_5[[#This Row],[Nick Name]]</f>
        <v>0</v>
      </c>
      <c r="D944" s="202"/>
      <c r="E944" s="211" t="str">
        <f>DAY(表格3_5[[#This Row],[Date]])&amp;""</f>
        <v>0</v>
      </c>
      <c r="F944" s="203"/>
      <c r="G944" s="216">
        <f>_xlfn.XLOOKUP(表格3_5[[#This Row],[Name]],Name_list[Full Name],Name_list[Nick Name])</f>
        <v>0</v>
      </c>
      <c r="H944" s="207"/>
      <c r="I944" s="228"/>
      <c r="J944" s="218"/>
      <c r="K944" s="205"/>
      <c r="L944" s="210">
        <f>(表格3_5[[#This Row],[Out-Time]] - 表格3_5[[#This Row],[In-Time]])*24</f>
        <v>0</v>
      </c>
      <c r="M944" s="210">
        <f>表格3_5[[#This Row],[ Hours]]-表格3_5[[#This Row],[Normal working
 hours]]</f>
        <v>0</v>
      </c>
      <c r="N944" s="205"/>
      <c r="O944" s="205"/>
      <c r="P944" s="210">
        <f>(表格3_5[[#This Row],[Out-Time2]] - 表格3_5[[#This Row],[In-Time2]])*24</f>
        <v>0</v>
      </c>
      <c r="Q944" s="205"/>
      <c r="R944" s="214">
        <f>_xlfn.XLOOKUP(表格3_5[[#This Row],[Name]],Name_list[Full Name],Name_list[Hourr Rate])</f>
        <v>0</v>
      </c>
      <c r="S944" s="210">
        <f>表格3_5[[#This Row],[Hours Worked]]*表格3_5[[#This Row],[Hourly Rate]]</f>
        <v>0</v>
      </c>
    </row>
    <row r="945" spans="1:19">
      <c r="A945" s="201">
        <v>943</v>
      </c>
      <c r="B945" s="210" t="str">
        <f>_xlfn.CONCAT(表格3_5[[#This Row],[Name]],表格3_5[[#This Row],[Location]])</f>
        <v/>
      </c>
      <c r="C945" s="211" t="str">
        <f>表格3_5[[#This Row],[Location]] &amp; 表格3_5[[#This Row],[Date]] &amp;表格3_5[[#This Row],[Nick Name]]</f>
        <v>0</v>
      </c>
      <c r="D945" s="202"/>
      <c r="E945" s="211" t="str">
        <f>DAY(表格3_5[[#This Row],[Date]])&amp;""</f>
        <v>0</v>
      </c>
      <c r="F945" s="203"/>
      <c r="G945" s="216">
        <f>_xlfn.XLOOKUP(表格3_5[[#This Row],[Name]],Name_list[Full Name],Name_list[Nick Name])</f>
        <v>0</v>
      </c>
      <c r="H945" s="207"/>
      <c r="I945" s="228"/>
      <c r="J945" s="218"/>
      <c r="K945" s="205"/>
      <c r="L945" s="210">
        <f>(表格3_5[[#This Row],[Out-Time]] - 表格3_5[[#This Row],[In-Time]])*24</f>
        <v>0</v>
      </c>
      <c r="M945" s="210">
        <f>表格3_5[[#This Row],[ Hours]]-表格3_5[[#This Row],[Normal working
 hours]]</f>
        <v>0</v>
      </c>
      <c r="N945" s="205"/>
      <c r="O945" s="205"/>
      <c r="P945" s="210">
        <f>(表格3_5[[#This Row],[Out-Time2]] - 表格3_5[[#This Row],[In-Time2]])*24</f>
        <v>0</v>
      </c>
      <c r="Q945" s="205"/>
      <c r="R945" s="214">
        <f>_xlfn.XLOOKUP(表格3_5[[#This Row],[Name]],Name_list[Full Name],Name_list[Hourr Rate])</f>
        <v>0</v>
      </c>
      <c r="S945" s="210">
        <f>表格3_5[[#This Row],[Hours Worked]]*表格3_5[[#This Row],[Hourly Rate]]</f>
        <v>0</v>
      </c>
    </row>
    <row r="946" spans="1:19">
      <c r="A946" s="201">
        <v>944</v>
      </c>
      <c r="B946" s="210" t="str">
        <f>_xlfn.CONCAT(表格3_5[[#This Row],[Name]],表格3_5[[#This Row],[Location]])</f>
        <v/>
      </c>
      <c r="C946" s="211" t="str">
        <f>表格3_5[[#This Row],[Location]] &amp; 表格3_5[[#This Row],[Date]] &amp;表格3_5[[#This Row],[Nick Name]]</f>
        <v>0</v>
      </c>
      <c r="D946" s="202"/>
      <c r="E946" s="211" t="str">
        <f>DAY(表格3_5[[#This Row],[Date]])&amp;""</f>
        <v>0</v>
      </c>
      <c r="F946" s="203"/>
      <c r="G946" s="216">
        <f>_xlfn.XLOOKUP(表格3_5[[#This Row],[Name]],Name_list[Full Name],Name_list[Nick Name])</f>
        <v>0</v>
      </c>
      <c r="H946" s="207"/>
      <c r="I946" s="228"/>
      <c r="J946" s="218"/>
      <c r="K946" s="205"/>
      <c r="L946" s="210">
        <f>(表格3_5[[#This Row],[Out-Time]] - 表格3_5[[#This Row],[In-Time]])*24</f>
        <v>0</v>
      </c>
      <c r="M946" s="210">
        <f>表格3_5[[#This Row],[ Hours]]-表格3_5[[#This Row],[Normal working
 hours]]</f>
        <v>0</v>
      </c>
      <c r="N946" s="205"/>
      <c r="O946" s="205"/>
      <c r="P946" s="210">
        <f>(表格3_5[[#This Row],[Out-Time2]] - 表格3_5[[#This Row],[In-Time2]])*24</f>
        <v>0</v>
      </c>
      <c r="Q946" s="205"/>
      <c r="R946" s="214">
        <f>_xlfn.XLOOKUP(表格3_5[[#This Row],[Name]],Name_list[Full Name],Name_list[Hourr Rate])</f>
        <v>0</v>
      </c>
      <c r="S946" s="210">
        <f>表格3_5[[#This Row],[Hours Worked]]*表格3_5[[#This Row],[Hourly Rate]]</f>
        <v>0</v>
      </c>
    </row>
    <row r="947" spans="1:19">
      <c r="A947" s="201">
        <v>945</v>
      </c>
      <c r="B947" s="210" t="str">
        <f>_xlfn.CONCAT(表格3_5[[#This Row],[Name]],表格3_5[[#This Row],[Location]])</f>
        <v/>
      </c>
      <c r="C947" s="211" t="str">
        <f>表格3_5[[#This Row],[Location]] &amp; 表格3_5[[#This Row],[Date]] &amp;表格3_5[[#This Row],[Nick Name]]</f>
        <v>0</v>
      </c>
      <c r="D947" s="202"/>
      <c r="E947" s="211" t="str">
        <f>DAY(表格3_5[[#This Row],[Date]])&amp;""</f>
        <v>0</v>
      </c>
      <c r="F947" s="203"/>
      <c r="G947" s="216">
        <f>_xlfn.XLOOKUP(表格3_5[[#This Row],[Name]],Name_list[Full Name],Name_list[Nick Name])</f>
        <v>0</v>
      </c>
      <c r="H947" s="207"/>
      <c r="I947" s="228"/>
      <c r="J947" s="218"/>
      <c r="K947" s="205"/>
      <c r="L947" s="210">
        <f>(表格3_5[[#This Row],[Out-Time]] - 表格3_5[[#This Row],[In-Time]])*24</f>
        <v>0</v>
      </c>
      <c r="M947" s="210">
        <f>表格3_5[[#This Row],[ Hours]]-表格3_5[[#This Row],[Normal working
 hours]]</f>
        <v>0</v>
      </c>
      <c r="N947" s="205"/>
      <c r="O947" s="205"/>
      <c r="P947" s="210">
        <f>(表格3_5[[#This Row],[Out-Time2]] - 表格3_5[[#This Row],[In-Time2]])*24</f>
        <v>0</v>
      </c>
      <c r="Q947" s="205"/>
      <c r="R947" s="214">
        <f>_xlfn.XLOOKUP(表格3_5[[#This Row],[Name]],Name_list[Full Name],Name_list[Hourr Rate])</f>
        <v>0</v>
      </c>
      <c r="S947" s="210">
        <f>表格3_5[[#This Row],[Hours Worked]]*表格3_5[[#This Row],[Hourly Rate]]</f>
        <v>0</v>
      </c>
    </row>
    <row r="948" spans="1:19">
      <c r="A948" s="201">
        <v>946</v>
      </c>
      <c r="B948" s="210" t="str">
        <f>_xlfn.CONCAT(表格3_5[[#This Row],[Name]],表格3_5[[#This Row],[Location]])</f>
        <v/>
      </c>
      <c r="C948" s="211" t="str">
        <f>表格3_5[[#This Row],[Location]] &amp; 表格3_5[[#This Row],[Date]] &amp;表格3_5[[#This Row],[Nick Name]]</f>
        <v>0</v>
      </c>
      <c r="D948" s="202"/>
      <c r="E948" s="211" t="str">
        <f>DAY(表格3_5[[#This Row],[Date]])&amp;""</f>
        <v>0</v>
      </c>
      <c r="F948" s="203"/>
      <c r="G948" s="216">
        <f>_xlfn.XLOOKUP(表格3_5[[#This Row],[Name]],Name_list[Full Name],Name_list[Nick Name])</f>
        <v>0</v>
      </c>
      <c r="H948" s="207"/>
      <c r="I948" s="228"/>
      <c r="J948" s="218"/>
      <c r="K948" s="205"/>
      <c r="L948" s="210">
        <f>(表格3_5[[#This Row],[Out-Time]] - 表格3_5[[#This Row],[In-Time]])*24</f>
        <v>0</v>
      </c>
      <c r="M948" s="210">
        <f>表格3_5[[#This Row],[ Hours]]-表格3_5[[#This Row],[Normal working
 hours]]</f>
        <v>0</v>
      </c>
      <c r="N948" s="205"/>
      <c r="O948" s="205"/>
      <c r="P948" s="210">
        <f>(表格3_5[[#This Row],[Out-Time2]] - 表格3_5[[#This Row],[In-Time2]])*24</f>
        <v>0</v>
      </c>
      <c r="Q948" s="205"/>
      <c r="R948" s="214">
        <f>_xlfn.XLOOKUP(表格3_5[[#This Row],[Name]],Name_list[Full Name],Name_list[Hourr Rate])</f>
        <v>0</v>
      </c>
      <c r="S948" s="210">
        <f>表格3_5[[#This Row],[Hours Worked]]*表格3_5[[#This Row],[Hourly Rate]]</f>
        <v>0</v>
      </c>
    </row>
    <row r="949" spans="1:19">
      <c r="A949" s="201">
        <v>947</v>
      </c>
      <c r="B949" s="210" t="str">
        <f>_xlfn.CONCAT(表格3_5[[#This Row],[Name]],表格3_5[[#This Row],[Location]])</f>
        <v/>
      </c>
      <c r="C949" s="211" t="str">
        <f>表格3_5[[#This Row],[Location]] &amp; 表格3_5[[#This Row],[Date]] &amp;表格3_5[[#This Row],[Nick Name]]</f>
        <v>0</v>
      </c>
      <c r="D949" s="202"/>
      <c r="E949" s="211" t="str">
        <f>DAY(表格3_5[[#This Row],[Date]])&amp;""</f>
        <v>0</v>
      </c>
      <c r="F949" s="203"/>
      <c r="G949" s="216">
        <f>_xlfn.XLOOKUP(表格3_5[[#This Row],[Name]],Name_list[Full Name],Name_list[Nick Name])</f>
        <v>0</v>
      </c>
      <c r="H949" s="207"/>
      <c r="I949" s="228"/>
      <c r="J949" s="218"/>
      <c r="K949" s="205"/>
      <c r="L949" s="210">
        <f>(表格3_5[[#This Row],[Out-Time]] - 表格3_5[[#This Row],[In-Time]])*24</f>
        <v>0</v>
      </c>
      <c r="M949" s="210">
        <f>表格3_5[[#This Row],[ Hours]]-表格3_5[[#This Row],[Normal working
 hours]]</f>
        <v>0</v>
      </c>
      <c r="N949" s="205"/>
      <c r="O949" s="205"/>
      <c r="P949" s="210">
        <f>(表格3_5[[#This Row],[Out-Time2]] - 表格3_5[[#This Row],[In-Time2]])*24</f>
        <v>0</v>
      </c>
      <c r="Q949" s="205"/>
      <c r="R949" s="214">
        <f>_xlfn.XLOOKUP(表格3_5[[#This Row],[Name]],Name_list[Full Name],Name_list[Hourr Rate])</f>
        <v>0</v>
      </c>
      <c r="S949" s="210">
        <f>表格3_5[[#This Row],[Hours Worked]]*表格3_5[[#This Row],[Hourly Rate]]</f>
        <v>0</v>
      </c>
    </row>
    <row r="950" spans="1:19">
      <c r="A950" s="201">
        <v>948</v>
      </c>
      <c r="B950" s="210" t="str">
        <f>_xlfn.CONCAT(表格3_5[[#This Row],[Name]],表格3_5[[#This Row],[Location]])</f>
        <v/>
      </c>
      <c r="C950" s="211" t="str">
        <f>表格3_5[[#This Row],[Location]] &amp; 表格3_5[[#This Row],[Date]] &amp;表格3_5[[#This Row],[Nick Name]]</f>
        <v>0</v>
      </c>
      <c r="D950" s="202"/>
      <c r="E950" s="211" t="str">
        <f>DAY(表格3_5[[#This Row],[Date]])&amp;""</f>
        <v>0</v>
      </c>
      <c r="F950" s="203"/>
      <c r="G950" s="216">
        <f>_xlfn.XLOOKUP(表格3_5[[#This Row],[Name]],Name_list[Full Name],Name_list[Nick Name])</f>
        <v>0</v>
      </c>
      <c r="H950" s="207"/>
      <c r="I950" s="228"/>
      <c r="J950" s="218"/>
      <c r="K950" s="205"/>
      <c r="L950" s="210">
        <f>(表格3_5[[#This Row],[Out-Time]] - 表格3_5[[#This Row],[In-Time]])*24</f>
        <v>0</v>
      </c>
      <c r="M950" s="210">
        <f>表格3_5[[#This Row],[ Hours]]-表格3_5[[#This Row],[Normal working
 hours]]</f>
        <v>0</v>
      </c>
      <c r="N950" s="205"/>
      <c r="O950" s="205"/>
      <c r="P950" s="210">
        <f>(表格3_5[[#This Row],[Out-Time2]] - 表格3_5[[#This Row],[In-Time2]])*24</f>
        <v>0</v>
      </c>
      <c r="Q950" s="205"/>
      <c r="R950" s="214">
        <f>_xlfn.XLOOKUP(表格3_5[[#This Row],[Name]],Name_list[Full Name],Name_list[Hourr Rate])</f>
        <v>0</v>
      </c>
      <c r="S950" s="210">
        <f>表格3_5[[#This Row],[Hours Worked]]*表格3_5[[#This Row],[Hourly Rate]]</f>
        <v>0</v>
      </c>
    </row>
    <row r="951" spans="1:19">
      <c r="A951" s="201">
        <v>949</v>
      </c>
      <c r="B951" s="210" t="str">
        <f>_xlfn.CONCAT(表格3_5[[#This Row],[Name]],表格3_5[[#This Row],[Location]])</f>
        <v/>
      </c>
      <c r="C951" s="211" t="str">
        <f>表格3_5[[#This Row],[Location]] &amp; 表格3_5[[#This Row],[Date]] &amp;表格3_5[[#This Row],[Nick Name]]</f>
        <v>0</v>
      </c>
      <c r="D951" s="202"/>
      <c r="E951" s="211" t="str">
        <f>DAY(表格3_5[[#This Row],[Date]])&amp;""</f>
        <v>0</v>
      </c>
      <c r="F951" s="203"/>
      <c r="G951" s="216">
        <f>_xlfn.XLOOKUP(表格3_5[[#This Row],[Name]],Name_list[Full Name],Name_list[Nick Name])</f>
        <v>0</v>
      </c>
      <c r="H951" s="207"/>
      <c r="I951" s="228"/>
      <c r="J951" s="218"/>
      <c r="K951" s="205"/>
      <c r="L951" s="210">
        <f>(表格3_5[[#This Row],[Out-Time]] - 表格3_5[[#This Row],[In-Time]])*24</f>
        <v>0</v>
      </c>
      <c r="M951" s="210">
        <f>表格3_5[[#This Row],[ Hours]]-表格3_5[[#This Row],[Normal working
 hours]]</f>
        <v>0</v>
      </c>
      <c r="N951" s="205"/>
      <c r="O951" s="205"/>
      <c r="P951" s="210">
        <f>(表格3_5[[#This Row],[Out-Time2]] - 表格3_5[[#This Row],[In-Time2]])*24</f>
        <v>0</v>
      </c>
      <c r="Q951" s="205"/>
      <c r="R951" s="214">
        <f>_xlfn.XLOOKUP(表格3_5[[#This Row],[Name]],Name_list[Full Name],Name_list[Hourr Rate])</f>
        <v>0</v>
      </c>
      <c r="S951" s="210">
        <f>表格3_5[[#This Row],[Hours Worked]]*表格3_5[[#This Row],[Hourly Rate]]</f>
        <v>0</v>
      </c>
    </row>
    <row r="952" spans="1:19">
      <c r="A952" s="201">
        <v>950</v>
      </c>
      <c r="B952" s="210" t="str">
        <f>_xlfn.CONCAT(表格3_5[[#This Row],[Name]],表格3_5[[#This Row],[Location]])</f>
        <v/>
      </c>
      <c r="C952" s="211" t="str">
        <f>表格3_5[[#This Row],[Location]] &amp; 表格3_5[[#This Row],[Date]] &amp;表格3_5[[#This Row],[Nick Name]]</f>
        <v>0</v>
      </c>
      <c r="D952" s="202"/>
      <c r="E952" s="211" t="str">
        <f>DAY(表格3_5[[#This Row],[Date]])&amp;""</f>
        <v>0</v>
      </c>
      <c r="F952" s="203"/>
      <c r="G952" s="216">
        <f>_xlfn.XLOOKUP(表格3_5[[#This Row],[Name]],Name_list[Full Name],Name_list[Nick Name])</f>
        <v>0</v>
      </c>
      <c r="H952" s="207"/>
      <c r="I952" s="228"/>
      <c r="J952" s="218"/>
      <c r="K952" s="205"/>
      <c r="L952" s="210">
        <f>(表格3_5[[#This Row],[Out-Time]] - 表格3_5[[#This Row],[In-Time]])*24</f>
        <v>0</v>
      </c>
      <c r="M952" s="210">
        <f>表格3_5[[#This Row],[ Hours]]-表格3_5[[#This Row],[Normal working
 hours]]</f>
        <v>0</v>
      </c>
      <c r="N952" s="205"/>
      <c r="O952" s="205"/>
      <c r="P952" s="210">
        <f>(表格3_5[[#This Row],[Out-Time2]] - 表格3_5[[#This Row],[In-Time2]])*24</f>
        <v>0</v>
      </c>
      <c r="Q952" s="205"/>
      <c r="R952" s="214">
        <f>_xlfn.XLOOKUP(表格3_5[[#This Row],[Name]],Name_list[Full Name],Name_list[Hourr Rate])</f>
        <v>0</v>
      </c>
      <c r="S952" s="210">
        <f>表格3_5[[#This Row],[Hours Worked]]*表格3_5[[#This Row],[Hourly Rate]]</f>
        <v>0</v>
      </c>
    </row>
    <row r="953" spans="1:19">
      <c r="A953" s="201">
        <v>951</v>
      </c>
      <c r="B953" s="210" t="str">
        <f>_xlfn.CONCAT(表格3_5[[#This Row],[Name]],表格3_5[[#This Row],[Location]])</f>
        <v/>
      </c>
      <c r="C953" s="211" t="str">
        <f>表格3_5[[#This Row],[Location]] &amp; 表格3_5[[#This Row],[Date]] &amp;表格3_5[[#This Row],[Nick Name]]</f>
        <v>0</v>
      </c>
      <c r="D953" s="202"/>
      <c r="E953" s="211" t="str">
        <f>DAY(表格3_5[[#This Row],[Date]])&amp;""</f>
        <v>0</v>
      </c>
      <c r="F953" s="203"/>
      <c r="G953" s="216">
        <f>_xlfn.XLOOKUP(表格3_5[[#This Row],[Name]],Name_list[Full Name],Name_list[Nick Name])</f>
        <v>0</v>
      </c>
      <c r="H953" s="207"/>
      <c r="I953" s="228"/>
      <c r="J953" s="218"/>
      <c r="K953" s="205"/>
      <c r="L953" s="210">
        <f>(表格3_5[[#This Row],[Out-Time]] - 表格3_5[[#This Row],[In-Time]])*24</f>
        <v>0</v>
      </c>
      <c r="M953" s="210">
        <f>表格3_5[[#This Row],[ Hours]]-表格3_5[[#This Row],[Normal working
 hours]]</f>
        <v>0</v>
      </c>
      <c r="N953" s="205"/>
      <c r="O953" s="205"/>
      <c r="P953" s="210">
        <f>(表格3_5[[#This Row],[Out-Time2]] - 表格3_5[[#This Row],[In-Time2]])*24</f>
        <v>0</v>
      </c>
      <c r="Q953" s="205"/>
      <c r="R953" s="214">
        <f>_xlfn.XLOOKUP(表格3_5[[#This Row],[Name]],Name_list[Full Name],Name_list[Hourr Rate])</f>
        <v>0</v>
      </c>
      <c r="S953" s="210">
        <f>表格3_5[[#This Row],[Hours Worked]]*表格3_5[[#This Row],[Hourly Rate]]</f>
        <v>0</v>
      </c>
    </row>
    <row r="954" spans="1:19">
      <c r="A954" s="201">
        <v>952</v>
      </c>
      <c r="B954" s="210" t="str">
        <f>_xlfn.CONCAT(表格3_5[[#This Row],[Name]],表格3_5[[#This Row],[Location]])</f>
        <v/>
      </c>
      <c r="C954" s="211" t="str">
        <f>表格3_5[[#This Row],[Location]] &amp; 表格3_5[[#This Row],[Date]] &amp;表格3_5[[#This Row],[Nick Name]]</f>
        <v>0</v>
      </c>
      <c r="D954" s="202"/>
      <c r="E954" s="211" t="str">
        <f>DAY(表格3_5[[#This Row],[Date]])&amp;""</f>
        <v>0</v>
      </c>
      <c r="F954" s="203"/>
      <c r="G954" s="216">
        <f>_xlfn.XLOOKUP(表格3_5[[#This Row],[Name]],Name_list[Full Name],Name_list[Nick Name])</f>
        <v>0</v>
      </c>
      <c r="H954" s="207"/>
      <c r="I954" s="228"/>
      <c r="J954" s="218"/>
      <c r="K954" s="205"/>
      <c r="L954" s="210">
        <f>(表格3_5[[#This Row],[Out-Time]] - 表格3_5[[#This Row],[In-Time]])*24</f>
        <v>0</v>
      </c>
      <c r="M954" s="210">
        <f>表格3_5[[#This Row],[ Hours]]-表格3_5[[#This Row],[Normal working
 hours]]</f>
        <v>0</v>
      </c>
      <c r="N954" s="205"/>
      <c r="O954" s="205"/>
      <c r="P954" s="210">
        <f>(表格3_5[[#This Row],[Out-Time2]] - 表格3_5[[#This Row],[In-Time2]])*24</f>
        <v>0</v>
      </c>
      <c r="Q954" s="205"/>
      <c r="R954" s="214">
        <f>_xlfn.XLOOKUP(表格3_5[[#This Row],[Name]],Name_list[Full Name],Name_list[Hourr Rate])</f>
        <v>0</v>
      </c>
      <c r="S954" s="210">
        <f>表格3_5[[#This Row],[Hours Worked]]*表格3_5[[#This Row],[Hourly Rate]]</f>
        <v>0</v>
      </c>
    </row>
    <row r="955" spans="1:19">
      <c r="A955" s="201">
        <v>953</v>
      </c>
      <c r="B955" s="210" t="str">
        <f>_xlfn.CONCAT(表格3_5[[#This Row],[Name]],表格3_5[[#This Row],[Location]])</f>
        <v/>
      </c>
      <c r="C955" s="211" t="str">
        <f>表格3_5[[#This Row],[Location]] &amp; 表格3_5[[#This Row],[Date]] &amp;表格3_5[[#This Row],[Nick Name]]</f>
        <v>0</v>
      </c>
      <c r="D955" s="202"/>
      <c r="E955" s="211" t="str">
        <f>DAY(表格3_5[[#This Row],[Date]])&amp;""</f>
        <v>0</v>
      </c>
      <c r="F955" s="203"/>
      <c r="G955" s="216">
        <f>_xlfn.XLOOKUP(表格3_5[[#This Row],[Name]],Name_list[Full Name],Name_list[Nick Name])</f>
        <v>0</v>
      </c>
      <c r="H955" s="207"/>
      <c r="I955" s="228"/>
      <c r="J955" s="218"/>
      <c r="K955" s="205"/>
      <c r="L955" s="210">
        <f>(表格3_5[[#This Row],[Out-Time]] - 表格3_5[[#This Row],[In-Time]])*24</f>
        <v>0</v>
      </c>
      <c r="M955" s="210">
        <f>表格3_5[[#This Row],[ Hours]]-表格3_5[[#This Row],[Normal working
 hours]]</f>
        <v>0</v>
      </c>
      <c r="N955" s="205"/>
      <c r="O955" s="205"/>
      <c r="P955" s="210">
        <f>(表格3_5[[#This Row],[Out-Time2]] - 表格3_5[[#This Row],[In-Time2]])*24</f>
        <v>0</v>
      </c>
      <c r="Q955" s="205"/>
      <c r="R955" s="214">
        <f>_xlfn.XLOOKUP(表格3_5[[#This Row],[Name]],Name_list[Full Name],Name_list[Hourr Rate])</f>
        <v>0</v>
      </c>
      <c r="S955" s="210">
        <f>表格3_5[[#This Row],[Hours Worked]]*表格3_5[[#This Row],[Hourly Rate]]</f>
        <v>0</v>
      </c>
    </row>
    <row r="956" spans="1:19">
      <c r="A956" s="201">
        <v>954</v>
      </c>
      <c r="B956" s="210" t="str">
        <f>_xlfn.CONCAT(表格3_5[[#This Row],[Name]],表格3_5[[#This Row],[Location]])</f>
        <v/>
      </c>
      <c r="C956" s="211" t="str">
        <f>表格3_5[[#This Row],[Location]] &amp; 表格3_5[[#This Row],[Date]] &amp;表格3_5[[#This Row],[Nick Name]]</f>
        <v>0</v>
      </c>
      <c r="D956" s="202"/>
      <c r="E956" s="211" t="str">
        <f>DAY(表格3_5[[#This Row],[Date]])&amp;""</f>
        <v>0</v>
      </c>
      <c r="F956" s="203"/>
      <c r="G956" s="216">
        <f>_xlfn.XLOOKUP(表格3_5[[#This Row],[Name]],Name_list[Full Name],Name_list[Nick Name])</f>
        <v>0</v>
      </c>
      <c r="H956" s="207"/>
      <c r="I956" s="228"/>
      <c r="J956" s="218"/>
      <c r="K956" s="205"/>
      <c r="L956" s="210">
        <f>(表格3_5[[#This Row],[Out-Time]] - 表格3_5[[#This Row],[In-Time]])*24</f>
        <v>0</v>
      </c>
      <c r="M956" s="210">
        <f>表格3_5[[#This Row],[ Hours]]-表格3_5[[#This Row],[Normal working
 hours]]</f>
        <v>0</v>
      </c>
      <c r="N956" s="205"/>
      <c r="O956" s="205"/>
      <c r="P956" s="210">
        <f>(表格3_5[[#This Row],[Out-Time2]] - 表格3_5[[#This Row],[In-Time2]])*24</f>
        <v>0</v>
      </c>
      <c r="Q956" s="205"/>
      <c r="R956" s="214">
        <f>_xlfn.XLOOKUP(表格3_5[[#This Row],[Name]],Name_list[Full Name],Name_list[Hourr Rate])</f>
        <v>0</v>
      </c>
      <c r="S956" s="210">
        <f>表格3_5[[#This Row],[Hours Worked]]*表格3_5[[#This Row],[Hourly Rate]]</f>
        <v>0</v>
      </c>
    </row>
    <row r="957" spans="1:19">
      <c r="A957" s="201">
        <v>955</v>
      </c>
      <c r="B957" s="210" t="str">
        <f>_xlfn.CONCAT(表格3_5[[#This Row],[Name]],表格3_5[[#This Row],[Location]])</f>
        <v/>
      </c>
      <c r="C957" s="211" t="str">
        <f>表格3_5[[#This Row],[Location]] &amp; 表格3_5[[#This Row],[Date]] &amp;表格3_5[[#This Row],[Nick Name]]</f>
        <v>0</v>
      </c>
      <c r="D957" s="202"/>
      <c r="E957" s="211" t="str">
        <f>DAY(表格3_5[[#This Row],[Date]])&amp;""</f>
        <v>0</v>
      </c>
      <c r="F957" s="203"/>
      <c r="G957" s="216">
        <f>_xlfn.XLOOKUP(表格3_5[[#This Row],[Name]],Name_list[Full Name],Name_list[Nick Name])</f>
        <v>0</v>
      </c>
      <c r="H957" s="207"/>
      <c r="I957" s="228"/>
      <c r="J957" s="218"/>
      <c r="K957" s="205"/>
      <c r="L957" s="210">
        <f>(表格3_5[[#This Row],[Out-Time]] - 表格3_5[[#This Row],[In-Time]])*24</f>
        <v>0</v>
      </c>
      <c r="M957" s="210">
        <f>表格3_5[[#This Row],[ Hours]]-表格3_5[[#This Row],[Normal working
 hours]]</f>
        <v>0</v>
      </c>
      <c r="N957" s="205"/>
      <c r="O957" s="205"/>
      <c r="P957" s="210">
        <f>(表格3_5[[#This Row],[Out-Time2]] - 表格3_5[[#This Row],[In-Time2]])*24</f>
        <v>0</v>
      </c>
      <c r="Q957" s="205"/>
      <c r="R957" s="214">
        <f>_xlfn.XLOOKUP(表格3_5[[#This Row],[Name]],Name_list[Full Name],Name_list[Hourr Rate])</f>
        <v>0</v>
      </c>
      <c r="S957" s="210">
        <f>表格3_5[[#This Row],[Hours Worked]]*表格3_5[[#This Row],[Hourly Rate]]</f>
        <v>0</v>
      </c>
    </row>
    <row r="958" spans="1:19">
      <c r="A958" s="201">
        <v>956</v>
      </c>
      <c r="B958" s="210" t="str">
        <f>_xlfn.CONCAT(表格3_5[[#This Row],[Name]],表格3_5[[#This Row],[Location]])</f>
        <v/>
      </c>
      <c r="C958" s="211" t="str">
        <f>表格3_5[[#This Row],[Location]] &amp; 表格3_5[[#This Row],[Date]] &amp;表格3_5[[#This Row],[Nick Name]]</f>
        <v>0</v>
      </c>
      <c r="D958" s="202"/>
      <c r="E958" s="211" t="str">
        <f>DAY(表格3_5[[#This Row],[Date]])&amp;""</f>
        <v>0</v>
      </c>
      <c r="F958" s="203"/>
      <c r="G958" s="216">
        <f>_xlfn.XLOOKUP(表格3_5[[#This Row],[Name]],Name_list[Full Name],Name_list[Nick Name])</f>
        <v>0</v>
      </c>
      <c r="H958" s="207"/>
      <c r="I958" s="228"/>
      <c r="J958" s="218"/>
      <c r="K958" s="205"/>
      <c r="L958" s="210">
        <f>(表格3_5[[#This Row],[Out-Time]] - 表格3_5[[#This Row],[In-Time]])*24</f>
        <v>0</v>
      </c>
      <c r="M958" s="210">
        <f>表格3_5[[#This Row],[ Hours]]-表格3_5[[#This Row],[Normal working
 hours]]</f>
        <v>0</v>
      </c>
      <c r="N958" s="205"/>
      <c r="O958" s="205"/>
      <c r="P958" s="210">
        <f>(表格3_5[[#This Row],[Out-Time2]] - 表格3_5[[#This Row],[In-Time2]])*24</f>
        <v>0</v>
      </c>
      <c r="Q958" s="205"/>
      <c r="R958" s="214">
        <f>_xlfn.XLOOKUP(表格3_5[[#This Row],[Name]],Name_list[Full Name],Name_list[Hourr Rate])</f>
        <v>0</v>
      </c>
      <c r="S958" s="210">
        <f>表格3_5[[#This Row],[Hours Worked]]*表格3_5[[#This Row],[Hourly Rate]]</f>
        <v>0</v>
      </c>
    </row>
    <row r="959" spans="1:19">
      <c r="A959" s="201">
        <v>957</v>
      </c>
      <c r="B959" s="210" t="str">
        <f>_xlfn.CONCAT(表格3_5[[#This Row],[Name]],表格3_5[[#This Row],[Location]])</f>
        <v/>
      </c>
      <c r="C959" s="211" t="str">
        <f>表格3_5[[#This Row],[Location]] &amp; 表格3_5[[#This Row],[Date]] &amp;表格3_5[[#This Row],[Nick Name]]</f>
        <v>0</v>
      </c>
      <c r="D959" s="202"/>
      <c r="E959" s="211" t="str">
        <f>DAY(表格3_5[[#This Row],[Date]])&amp;""</f>
        <v>0</v>
      </c>
      <c r="F959" s="203"/>
      <c r="G959" s="216">
        <f>_xlfn.XLOOKUP(表格3_5[[#This Row],[Name]],Name_list[Full Name],Name_list[Nick Name])</f>
        <v>0</v>
      </c>
      <c r="H959" s="207"/>
      <c r="I959" s="228"/>
      <c r="J959" s="218"/>
      <c r="K959" s="205"/>
      <c r="L959" s="210">
        <f>(表格3_5[[#This Row],[Out-Time]] - 表格3_5[[#This Row],[In-Time]])*24</f>
        <v>0</v>
      </c>
      <c r="M959" s="210">
        <f>表格3_5[[#This Row],[ Hours]]-表格3_5[[#This Row],[Normal working
 hours]]</f>
        <v>0</v>
      </c>
      <c r="N959" s="205"/>
      <c r="O959" s="205"/>
      <c r="P959" s="210">
        <f>(表格3_5[[#This Row],[Out-Time2]] - 表格3_5[[#This Row],[In-Time2]])*24</f>
        <v>0</v>
      </c>
      <c r="Q959" s="205"/>
      <c r="R959" s="214">
        <f>_xlfn.XLOOKUP(表格3_5[[#This Row],[Name]],Name_list[Full Name],Name_list[Hourr Rate])</f>
        <v>0</v>
      </c>
      <c r="S959" s="210">
        <f>表格3_5[[#This Row],[Hours Worked]]*表格3_5[[#This Row],[Hourly Rate]]</f>
        <v>0</v>
      </c>
    </row>
    <row r="960" spans="1:19">
      <c r="A960" s="201">
        <v>958</v>
      </c>
      <c r="B960" s="210" t="str">
        <f>_xlfn.CONCAT(表格3_5[[#This Row],[Name]],表格3_5[[#This Row],[Location]])</f>
        <v/>
      </c>
      <c r="C960" s="211" t="str">
        <f>表格3_5[[#This Row],[Location]] &amp; 表格3_5[[#This Row],[Date]] &amp;表格3_5[[#This Row],[Nick Name]]</f>
        <v>0</v>
      </c>
      <c r="D960" s="202"/>
      <c r="E960" s="211" t="str">
        <f>DAY(表格3_5[[#This Row],[Date]])&amp;""</f>
        <v>0</v>
      </c>
      <c r="F960" s="203"/>
      <c r="G960" s="216">
        <f>_xlfn.XLOOKUP(表格3_5[[#This Row],[Name]],Name_list[Full Name],Name_list[Nick Name])</f>
        <v>0</v>
      </c>
      <c r="H960" s="207"/>
      <c r="I960" s="228"/>
      <c r="J960" s="218"/>
      <c r="K960" s="205"/>
      <c r="L960" s="210">
        <f>(表格3_5[[#This Row],[Out-Time]] - 表格3_5[[#This Row],[In-Time]])*24</f>
        <v>0</v>
      </c>
      <c r="M960" s="210">
        <f>表格3_5[[#This Row],[ Hours]]-表格3_5[[#This Row],[Normal working
 hours]]</f>
        <v>0</v>
      </c>
      <c r="N960" s="205"/>
      <c r="O960" s="205"/>
      <c r="P960" s="210">
        <f>(表格3_5[[#This Row],[Out-Time2]] - 表格3_5[[#This Row],[In-Time2]])*24</f>
        <v>0</v>
      </c>
      <c r="Q960" s="205"/>
      <c r="R960" s="214">
        <f>_xlfn.XLOOKUP(表格3_5[[#This Row],[Name]],Name_list[Full Name],Name_list[Hourr Rate])</f>
        <v>0</v>
      </c>
      <c r="S960" s="210">
        <f>表格3_5[[#This Row],[Hours Worked]]*表格3_5[[#This Row],[Hourly Rate]]</f>
        <v>0</v>
      </c>
    </row>
    <row r="961" spans="1:19">
      <c r="A961" s="201">
        <v>959</v>
      </c>
      <c r="B961" s="210" t="str">
        <f>_xlfn.CONCAT(表格3_5[[#This Row],[Name]],表格3_5[[#This Row],[Location]])</f>
        <v/>
      </c>
      <c r="C961" s="211" t="str">
        <f>表格3_5[[#This Row],[Location]] &amp; 表格3_5[[#This Row],[Date]] &amp;表格3_5[[#This Row],[Nick Name]]</f>
        <v>0</v>
      </c>
      <c r="D961" s="202"/>
      <c r="E961" s="211" t="str">
        <f>DAY(表格3_5[[#This Row],[Date]])&amp;""</f>
        <v>0</v>
      </c>
      <c r="F961" s="203"/>
      <c r="G961" s="216">
        <f>_xlfn.XLOOKUP(表格3_5[[#This Row],[Name]],Name_list[Full Name],Name_list[Nick Name])</f>
        <v>0</v>
      </c>
      <c r="H961" s="207"/>
      <c r="I961" s="228"/>
      <c r="J961" s="218"/>
      <c r="K961" s="205"/>
      <c r="L961" s="210">
        <f>(表格3_5[[#This Row],[Out-Time]] - 表格3_5[[#This Row],[In-Time]])*24</f>
        <v>0</v>
      </c>
      <c r="M961" s="210">
        <f>表格3_5[[#This Row],[ Hours]]-表格3_5[[#This Row],[Normal working
 hours]]</f>
        <v>0</v>
      </c>
      <c r="N961" s="205"/>
      <c r="O961" s="205"/>
      <c r="P961" s="210">
        <f>(表格3_5[[#This Row],[Out-Time2]] - 表格3_5[[#This Row],[In-Time2]])*24</f>
        <v>0</v>
      </c>
      <c r="Q961" s="205"/>
      <c r="R961" s="214">
        <f>_xlfn.XLOOKUP(表格3_5[[#This Row],[Name]],Name_list[Full Name],Name_list[Hourr Rate])</f>
        <v>0</v>
      </c>
      <c r="S961" s="210">
        <f>表格3_5[[#This Row],[Hours Worked]]*表格3_5[[#This Row],[Hourly Rate]]</f>
        <v>0</v>
      </c>
    </row>
    <row r="962" spans="1:19">
      <c r="A962" s="201">
        <v>960</v>
      </c>
      <c r="B962" s="210" t="str">
        <f>_xlfn.CONCAT(表格3_5[[#This Row],[Name]],表格3_5[[#This Row],[Location]])</f>
        <v/>
      </c>
      <c r="C962" s="211" t="str">
        <f>表格3_5[[#This Row],[Location]] &amp; 表格3_5[[#This Row],[Date]] &amp;表格3_5[[#This Row],[Nick Name]]</f>
        <v>0</v>
      </c>
      <c r="D962" s="202"/>
      <c r="E962" s="211" t="str">
        <f>DAY(表格3_5[[#This Row],[Date]])&amp;""</f>
        <v>0</v>
      </c>
      <c r="F962" s="203"/>
      <c r="G962" s="216">
        <f>_xlfn.XLOOKUP(表格3_5[[#This Row],[Name]],Name_list[Full Name],Name_list[Nick Name])</f>
        <v>0</v>
      </c>
      <c r="H962" s="207"/>
      <c r="I962" s="228"/>
      <c r="J962" s="218"/>
      <c r="K962" s="205"/>
      <c r="L962" s="210">
        <f>(表格3_5[[#This Row],[Out-Time]] - 表格3_5[[#This Row],[In-Time]])*24</f>
        <v>0</v>
      </c>
      <c r="M962" s="210">
        <f>表格3_5[[#This Row],[ Hours]]-表格3_5[[#This Row],[Normal working
 hours]]</f>
        <v>0</v>
      </c>
      <c r="N962" s="205"/>
      <c r="O962" s="205"/>
      <c r="P962" s="210">
        <f>(表格3_5[[#This Row],[Out-Time2]] - 表格3_5[[#This Row],[In-Time2]])*24</f>
        <v>0</v>
      </c>
      <c r="Q962" s="205"/>
      <c r="R962" s="214">
        <f>_xlfn.XLOOKUP(表格3_5[[#This Row],[Name]],Name_list[Full Name],Name_list[Hourr Rate])</f>
        <v>0</v>
      </c>
      <c r="S962" s="210">
        <f>表格3_5[[#This Row],[Hours Worked]]*表格3_5[[#This Row],[Hourly Rate]]</f>
        <v>0</v>
      </c>
    </row>
    <row r="963" spans="1:19">
      <c r="A963" s="201">
        <v>961</v>
      </c>
      <c r="B963" s="210" t="str">
        <f>_xlfn.CONCAT(表格3_5[[#This Row],[Name]],表格3_5[[#This Row],[Location]])</f>
        <v/>
      </c>
      <c r="C963" s="211" t="str">
        <f>表格3_5[[#This Row],[Location]] &amp; 表格3_5[[#This Row],[Date]] &amp;表格3_5[[#This Row],[Nick Name]]</f>
        <v>0</v>
      </c>
      <c r="D963" s="202"/>
      <c r="E963" s="211" t="str">
        <f>DAY(表格3_5[[#This Row],[Date]])&amp;""</f>
        <v>0</v>
      </c>
      <c r="F963" s="203"/>
      <c r="G963" s="216">
        <f>_xlfn.XLOOKUP(表格3_5[[#This Row],[Name]],Name_list[Full Name],Name_list[Nick Name])</f>
        <v>0</v>
      </c>
      <c r="H963" s="207"/>
      <c r="I963" s="228"/>
      <c r="J963" s="218"/>
      <c r="K963" s="205"/>
      <c r="L963" s="210">
        <f>(表格3_5[[#This Row],[Out-Time]] - 表格3_5[[#This Row],[In-Time]])*24</f>
        <v>0</v>
      </c>
      <c r="M963" s="210">
        <f>表格3_5[[#This Row],[ Hours]]-表格3_5[[#This Row],[Normal working
 hours]]</f>
        <v>0</v>
      </c>
      <c r="N963" s="205"/>
      <c r="O963" s="205"/>
      <c r="P963" s="210">
        <f>(表格3_5[[#This Row],[Out-Time2]] - 表格3_5[[#This Row],[In-Time2]])*24</f>
        <v>0</v>
      </c>
      <c r="Q963" s="205"/>
      <c r="R963" s="214">
        <f>_xlfn.XLOOKUP(表格3_5[[#This Row],[Name]],Name_list[Full Name],Name_list[Hourr Rate])</f>
        <v>0</v>
      </c>
      <c r="S963" s="210">
        <f>表格3_5[[#This Row],[Hours Worked]]*表格3_5[[#This Row],[Hourly Rate]]</f>
        <v>0</v>
      </c>
    </row>
    <row r="964" spans="1:19">
      <c r="A964" s="201">
        <v>962</v>
      </c>
      <c r="B964" s="210" t="str">
        <f>_xlfn.CONCAT(表格3_5[[#This Row],[Name]],表格3_5[[#This Row],[Location]])</f>
        <v/>
      </c>
      <c r="C964" s="211" t="str">
        <f>表格3_5[[#This Row],[Location]] &amp; 表格3_5[[#This Row],[Date]] &amp;表格3_5[[#This Row],[Nick Name]]</f>
        <v>0</v>
      </c>
      <c r="D964" s="202"/>
      <c r="E964" s="211" t="str">
        <f>DAY(表格3_5[[#This Row],[Date]])&amp;""</f>
        <v>0</v>
      </c>
      <c r="F964" s="203"/>
      <c r="G964" s="216">
        <f>_xlfn.XLOOKUP(表格3_5[[#This Row],[Name]],Name_list[Full Name],Name_list[Nick Name])</f>
        <v>0</v>
      </c>
      <c r="H964" s="207"/>
      <c r="I964" s="228"/>
      <c r="J964" s="218"/>
      <c r="K964" s="205"/>
      <c r="L964" s="210">
        <f>(表格3_5[[#This Row],[Out-Time]] - 表格3_5[[#This Row],[In-Time]])*24</f>
        <v>0</v>
      </c>
      <c r="M964" s="210">
        <f>表格3_5[[#This Row],[ Hours]]-表格3_5[[#This Row],[Normal working
 hours]]</f>
        <v>0</v>
      </c>
      <c r="N964" s="205"/>
      <c r="O964" s="205"/>
      <c r="P964" s="210">
        <f>(表格3_5[[#This Row],[Out-Time2]] - 表格3_5[[#This Row],[In-Time2]])*24</f>
        <v>0</v>
      </c>
      <c r="Q964" s="205"/>
      <c r="R964" s="214">
        <f>_xlfn.XLOOKUP(表格3_5[[#This Row],[Name]],Name_list[Full Name],Name_list[Hourr Rate])</f>
        <v>0</v>
      </c>
      <c r="S964" s="210">
        <f>表格3_5[[#This Row],[Hours Worked]]*表格3_5[[#This Row],[Hourly Rate]]</f>
        <v>0</v>
      </c>
    </row>
    <row r="965" spans="1:19">
      <c r="A965" s="201">
        <v>963</v>
      </c>
      <c r="B965" s="210" t="str">
        <f>_xlfn.CONCAT(表格3_5[[#This Row],[Name]],表格3_5[[#This Row],[Location]])</f>
        <v/>
      </c>
      <c r="C965" s="211" t="str">
        <f>表格3_5[[#This Row],[Location]] &amp; 表格3_5[[#This Row],[Date]] &amp;表格3_5[[#This Row],[Nick Name]]</f>
        <v>0</v>
      </c>
      <c r="D965" s="202"/>
      <c r="E965" s="211" t="str">
        <f>DAY(表格3_5[[#This Row],[Date]])&amp;""</f>
        <v>0</v>
      </c>
      <c r="F965" s="203"/>
      <c r="G965" s="216">
        <f>_xlfn.XLOOKUP(表格3_5[[#This Row],[Name]],Name_list[Full Name],Name_list[Nick Name])</f>
        <v>0</v>
      </c>
      <c r="H965" s="207"/>
      <c r="I965" s="228"/>
      <c r="J965" s="218"/>
      <c r="K965" s="205"/>
      <c r="L965" s="210">
        <f>(表格3_5[[#This Row],[Out-Time]] - 表格3_5[[#This Row],[In-Time]])*24</f>
        <v>0</v>
      </c>
      <c r="M965" s="210">
        <f>表格3_5[[#This Row],[ Hours]]-表格3_5[[#This Row],[Normal working
 hours]]</f>
        <v>0</v>
      </c>
      <c r="N965" s="205"/>
      <c r="O965" s="205"/>
      <c r="P965" s="210">
        <f>(表格3_5[[#This Row],[Out-Time2]] - 表格3_5[[#This Row],[In-Time2]])*24</f>
        <v>0</v>
      </c>
      <c r="Q965" s="205"/>
      <c r="R965" s="214">
        <f>_xlfn.XLOOKUP(表格3_5[[#This Row],[Name]],Name_list[Full Name],Name_list[Hourr Rate])</f>
        <v>0</v>
      </c>
      <c r="S965" s="210">
        <f>表格3_5[[#This Row],[Hours Worked]]*表格3_5[[#This Row],[Hourly Rate]]</f>
        <v>0</v>
      </c>
    </row>
    <row r="966" spans="1:19">
      <c r="A966" s="201">
        <v>964</v>
      </c>
      <c r="B966" s="210" t="str">
        <f>_xlfn.CONCAT(表格3_5[[#This Row],[Name]],表格3_5[[#This Row],[Location]])</f>
        <v/>
      </c>
      <c r="C966" s="211" t="str">
        <f>表格3_5[[#This Row],[Location]] &amp; 表格3_5[[#This Row],[Date]] &amp;表格3_5[[#This Row],[Nick Name]]</f>
        <v>0</v>
      </c>
      <c r="D966" s="202"/>
      <c r="E966" s="211" t="str">
        <f>DAY(表格3_5[[#This Row],[Date]])&amp;""</f>
        <v>0</v>
      </c>
      <c r="F966" s="203"/>
      <c r="G966" s="216">
        <f>_xlfn.XLOOKUP(表格3_5[[#This Row],[Name]],Name_list[Full Name],Name_list[Nick Name])</f>
        <v>0</v>
      </c>
      <c r="H966" s="207"/>
      <c r="I966" s="228"/>
      <c r="J966" s="218"/>
      <c r="K966" s="205"/>
      <c r="L966" s="210">
        <f>(表格3_5[[#This Row],[Out-Time]] - 表格3_5[[#This Row],[In-Time]])*24</f>
        <v>0</v>
      </c>
      <c r="M966" s="210">
        <f>表格3_5[[#This Row],[ Hours]]-表格3_5[[#This Row],[Normal working
 hours]]</f>
        <v>0</v>
      </c>
      <c r="N966" s="205"/>
      <c r="O966" s="205"/>
      <c r="P966" s="210">
        <f>(表格3_5[[#This Row],[Out-Time2]] - 表格3_5[[#This Row],[In-Time2]])*24</f>
        <v>0</v>
      </c>
      <c r="Q966" s="205"/>
      <c r="R966" s="214">
        <f>_xlfn.XLOOKUP(表格3_5[[#This Row],[Name]],Name_list[Full Name],Name_list[Hourr Rate])</f>
        <v>0</v>
      </c>
      <c r="S966" s="210">
        <f>表格3_5[[#This Row],[Hours Worked]]*表格3_5[[#This Row],[Hourly Rate]]</f>
        <v>0</v>
      </c>
    </row>
    <row r="967" spans="1:19">
      <c r="A967" s="201">
        <v>965</v>
      </c>
      <c r="B967" s="210" t="str">
        <f>_xlfn.CONCAT(表格3_5[[#This Row],[Name]],表格3_5[[#This Row],[Location]])</f>
        <v/>
      </c>
      <c r="C967" s="211" t="str">
        <f>表格3_5[[#This Row],[Location]] &amp; 表格3_5[[#This Row],[Date]] &amp;表格3_5[[#This Row],[Nick Name]]</f>
        <v>0</v>
      </c>
      <c r="D967" s="202"/>
      <c r="E967" s="211" t="str">
        <f>DAY(表格3_5[[#This Row],[Date]])&amp;""</f>
        <v>0</v>
      </c>
      <c r="F967" s="203"/>
      <c r="G967" s="216">
        <f>_xlfn.XLOOKUP(表格3_5[[#This Row],[Name]],Name_list[Full Name],Name_list[Nick Name])</f>
        <v>0</v>
      </c>
      <c r="H967" s="207"/>
      <c r="I967" s="228"/>
      <c r="J967" s="218"/>
      <c r="K967" s="205"/>
      <c r="L967" s="210">
        <f>(表格3_5[[#This Row],[Out-Time]] - 表格3_5[[#This Row],[In-Time]])*24</f>
        <v>0</v>
      </c>
      <c r="M967" s="210">
        <f>表格3_5[[#This Row],[ Hours]]-表格3_5[[#This Row],[Normal working
 hours]]</f>
        <v>0</v>
      </c>
      <c r="N967" s="205"/>
      <c r="O967" s="205"/>
      <c r="P967" s="210">
        <f>(表格3_5[[#This Row],[Out-Time2]] - 表格3_5[[#This Row],[In-Time2]])*24</f>
        <v>0</v>
      </c>
      <c r="Q967" s="205"/>
      <c r="R967" s="214">
        <f>_xlfn.XLOOKUP(表格3_5[[#This Row],[Name]],Name_list[Full Name],Name_list[Hourr Rate])</f>
        <v>0</v>
      </c>
      <c r="S967" s="210">
        <f>表格3_5[[#This Row],[Hours Worked]]*表格3_5[[#This Row],[Hourly Rate]]</f>
        <v>0</v>
      </c>
    </row>
    <row r="968" spans="1:19">
      <c r="A968" s="201">
        <v>966</v>
      </c>
      <c r="B968" s="210" t="str">
        <f>_xlfn.CONCAT(表格3_5[[#This Row],[Name]],表格3_5[[#This Row],[Location]])</f>
        <v/>
      </c>
      <c r="C968" s="211" t="str">
        <f>表格3_5[[#This Row],[Location]] &amp; 表格3_5[[#This Row],[Date]] &amp;表格3_5[[#This Row],[Nick Name]]</f>
        <v>0</v>
      </c>
      <c r="D968" s="202"/>
      <c r="E968" s="211" t="str">
        <f>DAY(表格3_5[[#This Row],[Date]])&amp;""</f>
        <v>0</v>
      </c>
      <c r="F968" s="203"/>
      <c r="G968" s="216">
        <f>_xlfn.XLOOKUP(表格3_5[[#This Row],[Name]],Name_list[Full Name],Name_list[Nick Name])</f>
        <v>0</v>
      </c>
      <c r="H968" s="207"/>
      <c r="I968" s="228"/>
      <c r="J968" s="218"/>
      <c r="K968" s="205"/>
      <c r="L968" s="210">
        <f>(表格3_5[[#This Row],[Out-Time]] - 表格3_5[[#This Row],[In-Time]])*24</f>
        <v>0</v>
      </c>
      <c r="M968" s="210">
        <f>表格3_5[[#This Row],[ Hours]]-表格3_5[[#This Row],[Normal working
 hours]]</f>
        <v>0</v>
      </c>
      <c r="N968" s="205"/>
      <c r="O968" s="205"/>
      <c r="P968" s="210">
        <f>(表格3_5[[#This Row],[Out-Time2]] - 表格3_5[[#This Row],[In-Time2]])*24</f>
        <v>0</v>
      </c>
      <c r="Q968" s="205"/>
      <c r="R968" s="214">
        <f>_xlfn.XLOOKUP(表格3_5[[#This Row],[Name]],Name_list[Full Name],Name_list[Hourr Rate])</f>
        <v>0</v>
      </c>
      <c r="S968" s="210">
        <f>表格3_5[[#This Row],[Hours Worked]]*表格3_5[[#This Row],[Hourly Rate]]</f>
        <v>0</v>
      </c>
    </row>
    <row r="969" spans="1:19">
      <c r="A969" s="201">
        <v>967</v>
      </c>
      <c r="B969" s="210" t="str">
        <f>_xlfn.CONCAT(表格3_5[[#This Row],[Name]],表格3_5[[#This Row],[Location]])</f>
        <v/>
      </c>
      <c r="C969" s="211" t="str">
        <f>表格3_5[[#This Row],[Location]] &amp; 表格3_5[[#This Row],[Date]] &amp;表格3_5[[#This Row],[Nick Name]]</f>
        <v>0</v>
      </c>
      <c r="D969" s="202"/>
      <c r="E969" s="211" t="str">
        <f>DAY(表格3_5[[#This Row],[Date]])&amp;""</f>
        <v>0</v>
      </c>
      <c r="F969" s="203"/>
      <c r="G969" s="216">
        <f>_xlfn.XLOOKUP(表格3_5[[#This Row],[Name]],Name_list[Full Name],Name_list[Nick Name])</f>
        <v>0</v>
      </c>
      <c r="H969" s="207"/>
      <c r="I969" s="228"/>
      <c r="J969" s="218"/>
      <c r="K969" s="205"/>
      <c r="L969" s="210">
        <f>(表格3_5[[#This Row],[Out-Time]] - 表格3_5[[#This Row],[In-Time]])*24</f>
        <v>0</v>
      </c>
      <c r="M969" s="210">
        <f>表格3_5[[#This Row],[ Hours]]-表格3_5[[#This Row],[Normal working
 hours]]</f>
        <v>0</v>
      </c>
      <c r="N969" s="205"/>
      <c r="O969" s="205"/>
      <c r="P969" s="210">
        <f>(表格3_5[[#This Row],[Out-Time2]] - 表格3_5[[#This Row],[In-Time2]])*24</f>
        <v>0</v>
      </c>
      <c r="Q969" s="205"/>
      <c r="R969" s="214">
        <f>_xlfn.XLOOKUP(表格3_5[[#This Row],[Name]],Name_list[Full Name],Name_list[Hourr Rate])</f>
        <v>0</v>
      </c>
      <c r="S969" s="210">
        <f>表格3_5[[#This Row],[Hours Worked]]*表格3_5[[#This Row],[Hourly Rate]]</f>
        <v>0</v>
      </c>
    </row>
    <row r="970" spans="1:19">
      <c r="A970" s="201">
        <v>968</v>
      </c>
      <c r="B970" s="210" t="str">
        <f>_xlfn.CONCAT(表格3_5[[#This Row],[Name]],表格3_5[[#This Row],[Location]])</f>
        <v/>
      </c>
      <c r="C970" s="211" t="str">
        <f>表格3_5[[#This Row],[Location]] &amp; 表格3_5[[#This Row],[Date]] &amp;表格3_5[[#This Row],[Nick Name]]</f>
        <v>0</v>
      </c>
      <c r="D970" s="202"/>
      <c r="E970" s="211" t="str">
        <f>DAY(表格3_5[[#This Row],[Date]])&amp;""</f>
        <v>0</v>
      </c>
      <c r="F970" s="203"/>
      <c r="G970" s="216">
        <f>_xlfn.XLOOKUP(表格3_5[[#This Row],[Name]],Name_list[Full Name],Name_list[Nick Name])</f>
        <v>0</v>
      </c>
      <c r="H970" s="207"/>
      <c r="I970" s="228"/>
      <c r="J970" s="218"/>
      <c r="K970" s="205"/>
      <c r="L970" s="210">
        <f>(表格3_5[[#This Row],[Out-Time]] - 表格3_5[[#This Row],[In-Time]])*24</f>
        <v>0</v>
      </c>
      <c r="M970" s="210">
        <f>表格3_5[[#This Row],[ Hours]]-表格3_5[[#This Row],[Normal working
 hours]]</f>
        <v>0</v>
      </c>
      <c r="N970" s="205"/>
      <c r="O970" s="205"/>
      <c r="P970" s="210">
        <f>(表格3_5[[#This Row],[Out-Time2]] - 表格3_5[[#This Row],[In-Time2]])*24</f>
        <v>0</v>
      </c>
      <c r="Q970" s="205"/>
      <c r="R970" s="214">
        <f>_xlfn.XLOOKUP(表格3_5[[#This Row],[Name]],Name_list[Full Name],Name_list[Hourr Rate])</f>
        <v>0</v>
      </c>
      <c r="S970" s="210">
        <f>表格3_5[[#This Row],[Hours Worked]]*表格3_5[[#This Row],[Hourly Rate]]</f>
        <v>0</v>
      </c>
    </row>
    <row r="971" spans="1:19">
      <c r="A971" s="201">
        <v>969</v>
      </c>
      <c r="B971" s="210" t="str">
        <f>_xlfn.CONCAT(表格3_5[[#This Row],[Name]],表格3_5[[#This Row],[Location]])</f>
        <v/>
      </c>
      <c r="C971" s="211" t="str">
        <f>表格3_5[[#This Row],[Location]] &amp; 表格3_5[[#This Row],[Date]] &amp;表格3_5[[#This Row],[Nick Name]]</f>
        <v>0</v>
      </c>
      <c r="D971" s="202"/>
      <c r="E971" s="211" t="str">
        <f>DAY(表格3_5[[#This Row],[Date]])&amp;""</f>
        <v>0</v>
      </c>
      <c r="F971" s="203"/>
      <c r="G971" s="216">
        <f>_xlfn.XLOOKUP(表格3_5[[#This Row],[Name]],Name_list[Full Name],Name_list[Nick Name])</f>
        <v>0</v>
      </c>
      <c r="H971" s="207"/>
      <c r="I971" s="228"/>
      <c r="J971" s="218"/>
      <c r="K971" s="205"/>
      <c r="L971" s="210">
        <f>(表格3_5[[#This Row],[Out-Time]] - 表格3_5[[#This Row],[In-Time]])*24</f>
        <v>0</v>
      </c>
      <c r="M971" s="210">
        <f>表格3_5[[#This Row],[ Hours]]-表格3_5[[#This Row],[Normal working
 hours]]</f>
        <v>0</v>
      </c>
      <c r="N971" s="205"/>
      <c r="O971" s="205"/>
      <c r="P971" s="210">
        <f>(表格3_5[[#This Row],[Out-Time2]] - 表格3_5[[#This Row],[In-Time2]])*24</f>
        <v>0</v>
      </c>
      <c r="Q971" s="205"/>
      <c r="R971" s="214">
        <f>_xlfn.XLOOKUP(表格3_5[[#This Row],[Name]],Name_list[Full Name],Name_list[Hourr Rate])</f>
        <v>0</v>
      </c>
      <c r="S971" s="210">
        <f>表格3_5[[#This Row],[Hours Worked]]*表格3_5[[#This Row],[Hourly Rate]]</f>
        <v>0</v>
      </c>
    </row>
    <row r="972" spans="1:19">
      <c r="A972" s="201">
        <v>970</v>
      </c>
      <c r="B972" s="210" t="str">
        <f>_xlfn.CONCAT(表格3_5[[#This Row],[Name]],表格3_5[[#This Row],[Location]])</f>
        <v/>
      </c>
      <c r="C972" s="211" t="str">
        <f>表格3_5[[#This Row],[Location]] &amp; 表格3_5[[#This Row],[Date]] &amp;表格3_5[[#This Row],[Nick Name]]</f>
        <v>0</v>
      </c>
      <c r="D972" s="202"/>
      <c r="E972" s="211" t="str">
        <f>DAY(表格3_5[[#This Row],[Date]])&amp;""</f>
        <v>0</v>
      </c>
      <c r="F972" s="203"/>
      <c r="G972" s="216">
        <f>_xlfn.XLOOKUP(表格3_5[[#This Row],[Name]],Name_list[Full Name],Name_list[Nick Name])</f>
        <v>0</v>
      </c>
      <c r="H972" s="207"/>
      <c r="I972" s="228"/>
      <c r="J972" s="218"/>
      <c r="K972" s="205"/>
      <c r="L972" s="210">
        <f>(表格3_5[[#This Row],[Out-Time]] - 表格3_5[[#This Row],[In-Time]])*24</f>
        <v>0</v>
      </c>
      <c r="M972" s="210">
        <f>表格3_5[[#This Row],[ Hours]]-表格3_5[[#This Row],[Normal working
 hours]]</f>
        <v>0</v>
      </c>
      <c r="N972" s="205"/>
      <c r="O972" s="205"/>
      <c r="P972" s="210">
        <f>(表格3_5[[#This Row],[Out-Time2]] - 表格3_5[[#This Row],[In-Time2]])*24</f>
        <v>0</v>
      </c>
      <c r="Q972" s="205"/>
      <c r="R972" s="214">
        <f>_xlfn.XLOOKUP(表格3_5[[#This Row],[Name]],Name_list[Full Name],Name_list[Hourr Rate])</f>
        <v>0</v>
      </c>
      <c r="S972" s="210">
        <f>表格3_5[[#This Row],[Hours Worked]]*表格3_5[[#This Row],[Hourly Rate]]</f>
        <v>0</v>
      </c>
    </row>
    <row r="973" spans="1:19">
      <c r="A973" s="201">
        <v>971</v>
      </c>
      <c r="B973" s="210" t="str">
        <f>_xlfn.CONCAT(表格3_5[[#This Row],[Name]],表格3_5[[#This Row],[Location]])</f>
        <v/>
      </c>
      <c r="C973" s="211" t="str">
        <f>表格3_5[[#This Row],[Location]] &amp; 表格3_5[[#This Row],[Date]] &amp;表格3_5[[#This Row],[Nick Name]]</f>
        <v>0</v>
      </c>
      <c r="D973" s="202"/>
      <c r="E973" s="211" t="str">
        <f>DAY(表格3_5[[#This Row],[Date]])&amp;""</f>
        <v>0</v>
      </c>
      <c r="F973" s="203"/>
      <c r="G973" s="216">
        <f>_xlfn.XLOOKUP(表格3_5[[#This Row],[Name]],Name_list[Full Name],Name_list[Nick Name])</f>
        <v>0</v>
      </c>
      <c r="H973" s="207"/>
      <c r="I973" s="228"/>
      <c r="J973" s="218"/>
      <c r="K973" s="205"/>
      <c r="L973" s="210">
        <f>(表格3_5[[#This Row],[Out-Time]] - 表格3_5[[#This Row],[In-Time]])*24</f>
        <v>0</v>
      </c>
      <c r="M973" s="210">
        <f>表格3_5[[#This Row],[ Hours]]-表格3_5[[#This Row],[Normal working
 hours]]</f>
        <v>0</v>
      </c>
      <c r="N973" s="205"/>
      <c r="O973" s="205"/>
      <c r="P973" s="210">
        <f>(表格3_5[[#This Row],[Out-Time2]] - 表格3_5[[#This Row],[In-Time2]])*24</f>
        <v>0</v>
      </c>
      <c r="Q973" s="205"/>
      <c r="R973" s="214">
        <f>_xlfn.XLOOKUP(表格3_5[[#This Row],[Name]],Name_list[Full Name],Name_list[Hourr Rate])</f>
        <v>0</v>
      </c>
      <c r="S973" s="210">
        <f>表格3_5[[#This Row],[Hours Worked]]*表格3_5[[#This Row],[Hourly Rate]]</f>
        <v>0</v>
      </c>
    </row>
    <row r="974" spans="1:19">
      <c r="A974" s="201">
        <v>972</v>
      </c>
      <c r="B974" s="210" t="str">
        <f>_xlfn.CONCAT(表格3_5[[#This Row],[Name]],表格3_5[[#This Row],[Location]])</f>
        <v/>
      </c>
      <c r="C974" s="211" t="str">
        <f>表格3_5[[#This Row],[Location]] &amp; 表格3_5[[#This Row],[Date]] &amp;表格3_5[[#This Row],[Nick Name]]</f>
        <v>0</v>
      </c>
      <c r="D974" s="202"/>
      <c r="E974" s="211" t="str">
        <f>DAY(表格3_5[[#This Row],[Date]])&amp;""</f>
        <v>0</v>
      </c>
      <c r="F974" s="203"/>
      <c r="G974" s="216">
        <f>_xlfn.XLOOKUP(表格3_5[[#This Row],[Name]],Name_list[Full Name],Name_list[Nick Name])</f>
        <v>0</v>
      </c>
      <c r="H974" s="207"/>
      <c r="I974" s="228"/>
      <c r="J974" s="218"/>
      <c r="K974" s="205"/>
      <c r="L974" s="210">
        <f>(表格3_5[[#This Row],[Out-Time]] - 表格3_5[[#This Row],[In-Time]])*24</f>
        <v>0</v>
      </c>
      <c r="M974" s="210">
        <f>表格3_5[[#This Row],[ Hours]]-表格3_5[[#This Row],[Normal working
 hours]]</f>
        <v>0</v>
      </c>
      <c r="N974" s="205"/>
      <c r="O974" s="205"/>
      <c r="P974" s="210">
        <f>(表格3_5[[#This Row],[Out-Time2]] - 表格3_5[[#This Row],[In-Time2]])*24</f>
        <v>0</v>
      </c>
      <c r="Q974" s="205"/>
      <c r="R974" s="214">
        <f>_xlfn.XLOOKUP(表格3_5[[#This Row],[Name]],Name_list[Full Name],Name_list[Hourr Rate])</f>
        <v>0</v>
      </c>
      <c r="S974" s="210">
        <f>表格3_5[[#This Row],[Hours Worked]]*表格3_5[[#This Row],[Hourly Rate]]</f>
        <v>0</v>
      </c>
    </row>
    <row r="975" spans="1:19">
      <c r="A975" s="201">
        <v>973</v>
      </c>
      <c r="B975" s="210" t="str">
        <f>_xlfn.CONCAT(表格3_5[[#This Row],[Name]],表格3_5[[#This Row],[Location]])</f>
        <v/>
      </c>
      <c r="C975" s="211" t="str">
        <f>表格3_5[[#This Row],[Location]] &amp; 表格3_5[[#This Row],[Date]] &amp;表格3_5[[#This Row],[Nick Name]]</f>
        <v>0</v>
      </c>
      <c r="D975" s="202"/>
      <c r="E975" s="211" t="str">
        <f>DAY(表格3_5[[#This Row],[Date]])&amp;""</f>
        <v>0</v>
      </c>
      <c r="F975" s="203"/>
      <c r="G975" s="216">
        <f>_xlfn.XLOOKUP(表格3_5[[#This Row],[Name]],Name_list[Full Name],Name_list[Nick Name])</f>
        <v>0</v>
      </c>
      <c r="H975" s="207"/>
      <c r="I975" s="228"/>
      <c r="J975" s="218"/>
      <c r="K975" s="205"/>
      <c r="L975" s="210">
        <f>(表格3_5[[#This Row],[Out-Time]] - 表格3_5[[#This Row],[In-Time]])*24</f>
        <v>0</v>
      </c>
      <c r="M975" s="210">
        <f>表格3_5[[#This Row],[ Hours]]-表格3_5[[#This Row],[Normal working
 hours]]</f>
        <v>0</v>
      </c>
      <c r="N975" s="205"/>
      <c r="O975" s="205"/>
      <c r="P975" s="210">
        <f>(表格3_5[[#This Row],[Out-Time2]] - 表格3_5[[#This Row],[In-Time2]])*24</f>
        <v>0</v>
      </c>
      <c r="Q975" s="205"/>
      <c r="R975" s="214">
        <f>_xlfn.XLOOKUP(表格3_5[[#This Row],[Name]],Name_list[Full Name],Name_list[Hourr Rate])</f>
        <v>0</v>
      </c>
      <c r="S975" s="210">
        <f>表格3_5[[#This Row],[Hours Worked]]*表格3_5[[#This Row],[Hourly Rate]]</f>
        <v>0</v>
      </c>
    </row>
    <row r="976" spans="1:19">
      <c r="A976" s="201">
        <v>974</v>
      </c>
      <c r="B976" s="210" t="str">
        <f>_xlfn.CONCAT(表格3_5[[#This Row],[Name]],表格3_5[[#This Row],[Location]])</f>
        <v/>
      </c>
      <c r="C976" s="211" t="str">
        <f>表格3_5[[#This Row],[Location]] &amp; 表格3_5[[#This Row],[Date]] &amp;表格3_5[[#This Row],[Nick Name]]</f>
        <v>0</v>
      </c>
      <c r="D976" s="202"/>
      <c r="E976" s="211" t="str">
        <f>DAY(表格3_5[[#This Row],[Date]])&amp;""</f>
        <v>0</v>
      </c>
      <c r="F976" s="203"/>
      <c r="G976" s="216">
        <f>_xlfn.XLOOKUP(表格3_5[[#This Row],[Name]],Name_list[Full Name],Name_list[Nick Name])</f>
        <v>0</v>
      </c>
      <c r="H976" s="207"/>
      <c r="I976" s="228"/>
      <c r="J976" s="218"/>
      <c r="K976" s="205"/>
      <c r="L976" s="210">
        <f>(表格3_5[[#This Row],[Out-Time]] - 表格3_5[[#This Row],[In-Time]])*24</f>
        <v>0</v>
      </c>
      <c r="M976" s="210">
        <f>表格3_5[[#This Row],[ Hours]]-表格3_5[[#This Row],[Normal working
 hours]]</f>
        <v>0</v>
      </c>
      <c r="N976" s="205"/>
      <c r="O976" s="205"/>
      <c r="P976" s="210">
        <f>(表格3_5[[#This Row],[Out-Time2]] - 表格3_5[[#This Row],[In-Time2]])*24</f>
        <v>0</v>
      </c>
      <c r="Q976" s="205"/>
      <c r="R976" s="214">
        <f>_xlfn.XLOOKUP(表格3_5[[#This Row],[Name]],Name_list[Full Name],Name_list[Hourr Rate])</f>
        <v>0</v>
      </c>
      <c r="S976" s="210">
        <f>表格3_5[[#This Row],[Hours Worked]]*表格3_5[[#This Row],[Hourly Rate]]</f>
        <v>0</v>
      </c>
    </row>
    <row r="977" spans="1:19">
      <c r="A977" s="201">
        <v>975</v>
      </c>
      <c r="B977" s="210" t="str">
        <f>_xlfn.CONCAT(表格3_5[[#This Row],[Name]],表格3_5[[#This Row],[Location]])</f>
        <v/>
      </c>
      <c r="C977" s="211" t="str">
        <f>表格3_5[[#This Row],[Location]] &amp; 表格3_5[[#This Row],[Date]] &amp;表格3_5[[#This Row],[Nick Name]]</f>
        <v>0</v>
      </c>
      <c r="D977" s="202"/>
      <c r="E977" s="211" t="str">
        <f>DAY(表格3_5[[#This Row],[Date]])&amp;""</f>
        <v>0</v>
      </c>
      <c r="F977" s="203"/>
      <c r="G977" s="216">
        <f>_xlfn.XLOOKUP(表格3_5[[#This Row],[Name]],Name_list[Full Name],Name_list[Nick Name])</f>
        <v>0</v>
      </c>
      <c r="H977" s="207"/>
      <c r="I977" s="228"/>
      <c r="J977" s="218"/>
      <c r="K977" s="205"/>
      <c r="L977" s="210">
        <f>(表格3_5[[#This Row],[Out-Time]] - 表格3_5[[#This Row],[In-Time]])*24</f>
        <v>0</v>
      </c>
      <c r="M977" s="210">
        <f>表格3_5[[#This Row],[ Hours]]-表格3_5[[#This Row],[Normal working
 hours]]</f>
        <v>0</v>
      </c>
      <c r="N977" s="205"/>
      <c r="O977" s="205"/>
      <c r="P977" s="210">
        <f>(表格3_5[[#This Row],[Out-Time2]] - 表格3_5[[#This Row],[In-Time2]])*24</f>
        <v>0</v>
      </c>
      <c r="Q977" s="205"/>
      <c r="R977" s="214">
        <f>_xlfn.XLOOKUP(表格3_5[[#This Row],[Name]],Name_list[Full Name],Name_list[Hourr Rate])</f>
        <v>0</v>
      </c>
      <c r="S977" s="210">
        <f>表格3_5[[#This Row],[Hours Worked]]*表格3_5[[#This Row],[Hourly Rate]]</f>
        <v>0</v>
      </c>
    </row>
    <row r="978" spans="1:19">
      <c r="A978" s="201">
        <v>976</v>
      </c>
      <c r="B978" s="210" t="str">
        <f>_xlfn.CONCAT(表格3_5[[#This Row],[Name]],表格3_5[[#This Row],[Location]])</f>
        <v/>
      </c>
      <c r="C978" s="211" t="str">
        <f>表格3_5[[#This Row],[Location]] &amp; 表格3_5[[#This Row],[Date]] &amp;表格3_5[[#This Row],[Nick Name]]</f>
        <v>0</v>
      </c>
      <c r="D978" s="202"/>
      <c r="E978" s="211" t="str">
        <f>DAY(表格3_5[[#This Row],[Date]])&amp;""</f>
        <v>0</v>
      </c>
      <c r="F978" s="203"/>
      <c r="G978" s="216">
        <f>_xlfn.XLOOKUP(表格3_5[[#This Row],[Name]],Name_list[Full Name],Name_list[Nick Name])</f>
        <v>0</v>
      </c>
      <c r="H978" s="207"/>
      <c r="I978" s="228"/>
      <c r="J978" s="218"/>
      <c r="K978" s="205"/>
      <c r="L978" s="210">
        <f>(表格3_5[[#This Row],[Out-Time]] - 表格3_5[[#This Row],[In-Time]])*24</f>
        <v>0</v>
      </c>
      <c r="M978" s="210">
        <f>表格3_5[[#This Row],[ Hours]]-表格3_5[[#This Row],[Normal working
 hours]]</f>
        <v>0</v>
      </c>
      <c r="N978" s="205"/>
      <c r="O978" s="205"/>
      <c r="P978" s="210">
        <f>(表格3_5[[#This Row],[Out-Time2]] - 表格3_5[[#This Row],[In-Time2]])*24</f>
        <v>0</v>
      </c>
      <c r="Q978" s="205"/>
      <c r="R978" s="214">
        <f>_xlfn.XLOOKUP(表格3_5[[#This Row],[Name]],Name_list[Full Name],Name_list[Hourr Rate])</f>
        <v>0</v>
      </c>
      <c r="S978" s="210">
        <f>表格3_5[[#This Row],[Hours Worked]]*表格3_5[[#This Row],[Hourly Rate]]</f>
        <v>0</v>
      </c>
    </row>
    <row r="979" spans="1:19">
      <c r="A979" s="201">
        <v>977</v>
      </c>
      <c r="B979" s="210" t="str">
        <f>_xlfn.CONCAT(表格3_5[[#This Row],[Name]],表格3_5[[#This Row],[Location]])</f>
        <v/>
      </c>
      <c r="C979" s="211" t="str">
        <f>表格3_5[[#This Row],[Location]] &amp; 表格3_5[[#This Row],[Date]] &amp;表格3_5[[#This Row],[Nick Name]]</f>
        <v>0</v>
      </c>
      <c r="D979" s="202"/>
      <c r="E979" s="211" t="str">
        <f>DAY(表格3_5[[#This Row],[Date]])&amp;""</f>
        <v>0</v>
      </c>
      <c r="F979" s="203"/>
      <c r="G979" s="216">
        <f>_xlfn.XLOOKUP(表格3_5[[#This Row],[Name]],Name_list[Full Name],Name_list[Nick Name])</f>
        <v>0</v>
      </c>
      <c r="H979" s="207"/>
      <c r="I979" s="228"/>
      <c r="J979" s="218"/>
      <c r="K979" s="205"/>
      <c r="L979" s="210">
        <f>(表格3_5[[#This Row],[Out-Time]] - 表格3_5[[#This Row],[In-Time]])*24</f>
        <v>0</v>
      </c>
      <c r="M979" s="210">
        <f>表格3_5[[#This Row],[ Hours]]-表格3_5[[#This Row],[Normal working
 hours]]</f>
        <v>0</v>
      </c>
      <c r="N979" s="205"/>
      <c r="O979" s="205"/>
      <c r="P979" s="210">
        <f>(表格3_5[[#This Row],[Out-Time2]] - 表格3_5[[#This Row],[In-Time2]])*24</f>
        <v>0</v>
      </c>
      <c r="Q979" s="205"/>
      <c r="R979" s="214">
        <f>_xlfn.XLOOKUP(表格3_5[[#This Row],[Name]],Name_list[Full Name],Name_list[Hourr Rate])</f>
        <v>0</v>
      </c>
      <c r="S979" s="210">
        <f>表格3_5[[#This Row],[Hours Worked]]*表格3_5[[#This Row],[Hourly Rate]]</f>
        <v>0</v>
      </c>
    </row>
    <row r="980" spans="1:19">
      <c r="A980" s="201">
        <v>978</v>
      </c>
      <c r="B980" s="210" t="str">
        <f>_xlfn.CONCAT(表格3_5[[#This Row],[Name]],表格3_5[[#This Row],[Location]])</f>
        <v/>
      </c>
      <c r="C980" s="211" t="str">
        <f>表格3_5[[#This Row],[Location]] &amp; 表格3_5[[#This Row],[Date]] &amp;表格3_5[[#This Row],[Nick Name]]</f>
        <v>0</v>
      </c>
      <c r="D980" s="202"/>
      <c r="E980" s="211" t="str">
        <f>DAY(表格3_5[[#This Row],[Date]])&amp;""</f>
        <v>0</v>
      </c>
      <c r="F980" s="203"/>
      <c r="G980" s="216">
        <f>_xlfn.XLOOKUP(表格3_5[[#This Row],[Name]],Name_list[Full Name],Name_list[Nick Name])</f>
        <v>0</v>
      </c>
      <c r="H980" s="207"/>
      <c r="I980" s="228"/>
      <c r="J980" s="218"/>
      <c r="K980" s="205"/>
      <c r="L980" s="210">
        <f>(表格3_5[[#This Row],[Out-Time]] - 表格3_5[[#This Row],[In-Time]])*24</f>
        <v>0</v>
      </c>
      <c r="M980" s="210">
        <f>表格3_5[[#This Row],[ Hours]]-表格3_5[[#This Row],[Normal working
 hours]]</f>
        <v>0</v>
      </c>
      <c r="N980" s="205"/>
      <c r="O980" s="205"/>
      <c r="P980" s="210">
        <f>(表格3_5[[#This Row],[Out-Time2]] - 表格3_5[[#This Row],[In-Time2]])*24</f>
        <v>0</v>
      </c>
      <c r="Q980" s="205"/>
      <c r="R980" s="214">
        <f>_xlfn.XLOOKUP(表格3_5[[#This Row],[Name]],Name_list[Full Name],Name_list[Hourr Rate])</f>
        <v>0</v>
      </c>
      <c r="S980" s="210">
        <f>表格3_5[[#This Row],[Hours Worked]]*表格3_5[[#This Row],[Hourly Rate]]</f>
        <v>0</v>
      </c>
    </row>
    <row r="981" spans="1:19">
      <c r="A981" s="201">
        <v>979</v>
      </c>
      <c r="B981" s="210" t="str">
        <f>_xlfn.CONCAT(表格3_5[[#This Row],[Name]],表格3_5[[#This Row],[Location]])</f>
        <v/>
      </c>
      <c r="C981" s="211" t="str">
        <f>表格3_5[[#This Row],[Location]] &amp; 表格3_5[[#This Row],[Date]] &amp;表格3_5[[#This Row],[Nick Name]]</f>
        <v>0</v>
      </c>
      <c r="D981" s="202"/>
      <c r="E981" s="211" t="str">
        <f>DAY(表格3_5[[#This Row],[Date]])&amp;""</f>
        <v>0</v>
      </c>
      <c r="F981" s="203"/>
      <c r="G981" s="216">
        <f>_xlfn.XLOOKUP(表格3_5[[#This Row],[Name]],Name_list[Full Name],Name_list[Nick Name])</f>
        <v>0</v>
      </c>
      <c r="H981" s="207"/>
      <c r="I981" s="228"/>
      <c r="J981" s="218"/>
      <c r="K981" s="205"/>
      <c r="L981" s="210">
        <f>(表格3_5[[#This Row],[Out-Time]] - 表格3_5[[#This Row],[In-Time]])*24</f>
        <v>0</v>
      </c>
      <c r="M981" s="210">
        <f>表格3_5[[#This Row],[ Hours]]-表格3_5[[#This Row],[Normal working
 hours]]</f>
        <v>0</v>
      </c>
      <c r="N981" s="205"/>
      <c r="O981" s="205"/>
      <c r="P981" s="210">
        <f>(表格3_5[[#This Row],[Out-Time2]] - 表格3_5[[#This Row],[In-Time2]])*24</f>
        <v>0</v>
      </c>
      <c r="Q981" s="205"/>
      <c r="R981" s="214">
        <f>_xlfn.XLOOKUP(表格3_5[[#This Row],[Name]],Name_list[Full Name],Name_list[Hourr Rate])</f>
        <v>0</v>
      </c>
      <c r="S981" s="210">
        <f>表格3_5[[#This Row],[Hours Worked]]*表格3_5[[#This Row],[Hourly Rate]]</f>
        <v>0</v>
      </c>
    </row>
    <row r="982" spans="1:19">
      <c r="A982" s="201">
        <v>980</v>
      </c>
      <c r="B982" s="210" t="str">
        <f>_xlfn.CONCAT(表格3_5[[#This Row],[Name]],表格3_5[[#This Row],[Location]])</f>
        <v/>
      </c>
      <c r="C982" s="211" t="str">
        <f>表格3_5[[#This Row],[Location]] &amp; 表格3_5[[#This Row],[Date]] &amp;表格3_5[[#This Row],[Nick Name]]</f>
        <v>0</v>
      </c>
      <c r="D982" s="202"/>
      <c r="E982" s="211" t="str">
        <f>DAY(表格3_5[[#This Row],[Date]])&amp;""</f>
        <v>0</v>
      </c>
      <c r="F982" s="203"/>
      <c r="G982" s="216">
        <f>_xlfn.XLOOKUP(表格3_5[[#This Row],[Name]],Name_list[Full Name],Name_list[Nick Name])</f>
        <v>0</v>
      </c>
      <c r="H982" s="207"/>
      <c r="I982" s="228"/>
      <c r="J982" s="218"/>
      <c r="K982" s="205"/>
      <c r="L982" s="210">
        <f>(表格3_5[[#This Row],[Out-Time]] - 表格3_5[[#This Row],[In-Time]])*24</f>
        <v>0</v>
      </c>
      <c r="M982" s="210">
        <f>表格3_5[[#This Row],[ Hours]]-表格3_5[[#This Row],[Normal working
 hours]]</f>
        <v>0</v>
      </c>
      <c r="N982" s="205"/>
      <c r="O982" s="205"/>
      <c r="P982" s="210">
        <f>(表格3_5[[#This Row],[Out-Time2]] - 表格3_5[[#This Row],[In-Time2]])*24</f>
        <v>0</v>
      </c>
      <c r="Q982" s="205"/>
      <c r="R982" s="214">
        <f>_xlfn.XLOOKUP(表格3_5[[#This Row],[Name]],Name_list[Full Name],Name_list[Hourr Rate])</f>
        <v>0</v>
      </c>
      <c r="S982" s="210">
        <f>表格3_5[[#This Row],[Hours Worked]]*表格3_5[[#This Row],[Hourly Rate]]</f>
        <v>0</v>
      </c>
    </row>
    <row r="983" spans="1:19">
      <c r="A983" s="201">
        <v>981</v>
      </c>
      <c r="B983" s="210" t="str">
        <f>_xlfn.CONCAT(表格3_5[[#This Row],[Name]],表格3_5[[#This Row],[Location]])</f>
        <v/>
      </c>
      <c r="C983" s="211" t="str">
        <f>表格3_5[[#This Row],[Location]] &amp; 表格3_5[[#This Row],[Date]] &amp;表格3_5[[#This Row],[Nick Name]]</f>
        <v>0</v>
      </c>
      <c r="D983" s="202"/>
      <c r="E983" s="211" t="str">
        <f>DAY(表格3_5[[#This Row],[Date]])&amp;""</f>
        <v>0</v>
      </c>
      <c r="F983" s="203"/>
      <c r="G983" s="216">
        <f>_xlfn.XLOOKUP(表格3_5[[#This Row],[Name]],Name_list[Full Name],Name_list[Nick Name])</f>
        <v>0</v>
      </c>
      <c r="H983" s="207"/>
      <c r="I983" s="228"/>
      <c r="J983" s="218"/>
      <c r="K983" s="205"/>
      <c r="L983" s="210">
        <f>(表格3_5[[#This Row],[Out-Time]] - 表格3_5[[#This Row],[In-Time]])*24</f>
        <v>0</v>
      </c>
      <c r="M983" s="210">
        <f>表格3_5[[#This Row],[ Hours]]-表格3_5[[#This Row],[Normal working
 hours]]</f>
        <v>0</v>
      </c>
      <c r="N983" s="205"/>
      <c r="O983" s="205"/>
      <c r="P983" s="210">
        <f>(表格3_5[[#This Row],[Out-Time2]] - 表格3_5[[#This Row],[In-Time2]])*24</f>
        <v>0</v>
      </c>
      <c r="Q983" s="205"/>
      <c r="R983" s="214">
        <f>_xlfn.XLOOKUP(表格3_5[[#This Row],[Name]],Name_list[Full Name],Name_list[Hourr Rate])</f>
        <v>0</v>
      </c>
      <c r="S983" s="210">
        <f>表格3_5[[#This Row],[Hours Worked]]*表格3_5[[#This Row],[Hourly Rate]]</f>
        <v>0</v>
      </c>
    </row>
    <row r="984" spans="1:19">
      <c r="A984" s="201">
        <v>982</v>
      </c>
      <c r="B984" s="210" t="str">
        <f>_xlfn.CONCAT(表格3_5[[#This Row],[Name]],表格3_5[[#This Row],[Location]])</f>
        <v/>
      </c>
      <c r="C984" s="211" t="str">
        <f>表格3_5[[#This Row],[Location]] &amp; 表格3_5[[#This Row],[Date]] &amp;表格3_5[[#This Row],[Nick Name]]</f>
        <v>0</v>
      </c>
      <c r="D984" s="202"/>
      <c r="E984" s="211" t="str">
        <f>DAY(表格3_5[[#This Row],[Date]])&amp;""</f>
        <v>0</v>
      </c>
      <c r="F984" s="203"/>
      <c r="G984" s="216">
        <f>_xlfn.XLOOKUP(表格3_5[[#This Row],[Name]],Name_list[Full Name],Name_list[Nick Name])</f>
        <v>0</v>
      </c>
      <c r="H984" s="207"/>
      <c r="I984" s="228"/>
      <c r="J984" s="218"/>
      <c r="K984" s="205"/>
      <c r="L984" s="210">
        <f>(表格3_5[[#This Row],[Out-Time]] - 表格3_5[[#This Row],[In-Time]])*24</f>
        <v>0</v>
      </c>
      <c r="M984" s="210">
        <f>表格3_5[[#This Row],[ Hours]]-表格3_5[[#This Row],[Normal working
 hours]]</f>
        <v>0</v>
      </c>
      <c r="N984" s="205"/>
      <c r="O984" s="205"/>
      <c r="P984" s="210">
        <f>(表格3_5[[#This Row],[Out-Time2]] - 表格3_5[[#This Row],[In-Time2]])*24</f>
        <v>0</v>
      </c>
      <c r="Q984" s="205"/>
      <c r="R984" s="214">
        <f>_xlfn.XLOOKUP(表格3_5[[#This Row],[Name]],Name_list[Full Name],Name_list[Hourr Rate])</f>
        <v>0</v>
      </c>
      <c r="S984" s="210">
        <f>表格3_5[[#This Row],[Hours Worked]]*表格3_5[[#This Row],[Hourly Rate]]</f>
        <v>0</v>
      </c>
    </row>
    <row r="985" spans="1:19">
      <c r="A985" s="201">
        <v>983</v>
      </c>
      <c r="B985" s="210" t="str">
        <f>_xlfn.CONCAT(表格3_5[[#This Row],[Name]],表格3_5[[#This Row],[Location]])</f>
        <v/>
      </c>
      <c r="C985" s="211" t="str">
        <f>表格3_5[[#This Row],[Location]] &amp; 表格3_5[[#This Row],[Date]] &amp;表格3_5[[#This Row],[Nick Name]]</f>
        <v>0</v>
      </c>
      <c r="D985" s="202"/>
      <c r="E985" s="211" t="str">
        <f>DAY(表格3_5[[#This Row],[Date]])&amp;""</f>
        <v>0</v>
      </c>
      <c r="F985" s="203"/>
      <c r="G985" s="216">
        <f>_xlfn.XLOOKUP(表格3_5[[#This Row],[Name]],Name_list[Full Name],Name_list[Nick Name])</f>
        <v>0</v>
      </c>
      <c r="H985" s="207"/>
      <c r="I985" s="228"/>
      <c r="J985" s="218"/>
      <c r="K985" s="205"/>
      <c r="L985" s="210">
        <f>(表格3_5[[#This Row],[Out-Time]] - 表格3_5[[#This Row],[In-Time]])*24</f>
        <v>0</v>
      </c>
      <c r="M985" s="210">
        <f>表格3_5[[#This Row],[ Hours]]-表格3_5[[#This Row],[Normal working
 hours]]</f>
        <v>0</v>
      </c>
      <c r="N985" s="205"/>
      <c r="O985" s="205"/>
      <c r="P985" s="210">
        <f>(表格3_5[[#This Row],[Out-Time2]] - 表格3_5[[#This Row],[In-Time2]])*24</f>
        <v>0</v>
      </c>
      <c r="Q985" s="205"/>
      <c r="R985" s="214">
        <f>_xlfn.XLOOKUP(表格3_5[[#This Row],[Name]],Name_list[Full Name],Name_list[Hourr Rate])</f>
        <v>0</v>
      </c>
      <c r="S985" s="210">
        <f>表格3_5[[#This Row],[Hours Worked]]*表格3_5[[#This Row],[Hourly Rate]]</f>
        <v>0</v>
      </c>
    </row>
    <row r="986" spans="1:19">
      <c r="A986" s="201">
        <v>984</v>
      </c>
      <c r="B986" s="210" t="str">
        <f>_xlfn.CONCAT(表格3_5[[#This Row],[Name]],表格3_5[[#This Row],[Location]])</f>
        <v/>
      </c>
      <c r="C986" s="211" t="str">
        <f>表格3_5[[#This Row],[Location]] &amp; 表格3_5[[#This Row],[Date]] &amp;表格3_5[[#This Row],[Nick Name]]</f>
        <v>0</v>
      </c>
      <c r="D986" s="202"/>
      <c r="E986" s="211" t="str">
        <f>DAY(表格3_5[[#This Row],[Date]])&amp;""</f>
        <v>0</v>
      </c>
      <c r="F986" s="203"/>
      <c r="G986" s="216">
        <f>_xlfn.XLOOKUP(表格3_5[[#This Row],[Name]],Name_list[Full Name],Name_list[Nick Name])</f>
        <v>0</v>
      </c>
      <c r="H986" s="207"/>
      <c r="I986" s="228"/>
      <c r="J986" s="218"/>
      <c r="K986" s="205"/>
      <c r="L986" s="210">
        <f>(表格3_5[[#This Row],[Out-Time]] - 表格3_5[[#This Row],[In-Time]])*24</f>
        <v>0</v>
      </c>
      <c r="M986" s="210">
        <f>表格3_5[[#This Row],[ Hours]]-表格3_5[[#This Row],[Normal working
 hours]]</f>
        <v>0</v>
      </c>
      <c r="N986" s="205"/>
      <c r="O986" s="205"/>
      <c r="P986" s="210">
        <f>(表格3_5[[#This Row],[Out-Time2]] - 表格3_5[[#This Row],[In-Time2]])*24</f>
        <v>0</v>
      </c>
      <c r="Q986" s="205"/>
      <c r="R986" s="214">
        <f>_xlfn.XLOOKUP(表格3_5[[#This Row],[Name]],Name_list[Full Name],Name_list[Hourr Rate])</f>
        <v>0</v>
      </c>
      <c r="S986" s="210">
        <f>表格3_5[[#This Row],[Hours Worked]]*表格3_5[[#This Row],[Hourly Rate]]</f>
        <v>0</v>
      </c>
    </row>
    <row r="987" spans="1:19">
      <c r="A987" s="201">
        <v>985</v>
      </c>
      <c r="B987" s="210" t="str">
        <f>_xlfn.CONCAT(表格3_5[[#This Row],[Name]],表格3_5[[#This Row],[Location]])</f>
        <v/>
      </c>
      <c r="C987" s="211" t="str">
        <f>表格3_5[[#This Row],[Location]] &amp; 表格3_5[[#This Row],[Date]] &amp;表格3_5[[#This Row],[Nick Name]]</f>
        <v>0</v>
      </c>
      <c r="D987" s="202"/>
      <c r="E987" s="211" t="str">
        <f>DAY(表格3_5[[#This Row],[Date]])&amp;""</f>
        <v>0</v>
      </c>
      <c r="F987" s="203"/>
      <c r="G987" s="216">
        <f>_xlfn.XLOOKUP(表格3_5[[#This Row],[Name]],Name_list[Full Name],Name_list[Nick Name])</f>
        <v>0</v>
      </c>
      <c r="H987" s="207"/>
      <c r="I987" s="228"/>
      <c r="J987" s="218"/>
      <c r="K987" s="205"/>
      <c r="L987" s="210">
        <f>(表格3_5[[#This Row],[Out-Time]] - 表格3_5[[#This Row],[In-Time]])*24</f>
        <v>0</v>
      </c>
      <c r="M987" s="210">
        <f>表格3_5[[#This Row],[ Hours]]-表格3_5[[#This Row],[Normal working
 hours]]</f>
        <v>0</v>
      </c>
      <c r="N987" s="205"/>
      <c r="O987" s="205"/>
      <c r="P987" s="210">
        <f>(表格3_5[[#This Row],[Out-Time2]] - 表格3_5[[#This Row],[In-Time2]])*24</f>
        <v>0</v>
      </c>
      <c r="Q987" s="205"/>
      <c r="R987" s="214">
        <f>_xlfn.XLOOKUP(表格3_5[[#This Row],[Name]],Name_list[Full Name],Name_list[Hourr Rate])</f>
        <v>0</v>
      </c>
      <c r="S987" s="210">
        <f>表格3_5[[#This Row],[Hours Worked]]*表格3_5[[#This Row],[Hourly Rate]]</f>
        <v>0</v>
      </c>
    </row>
    <row r="988" spans="1:19">
      <c r="A988" s="201">
        <v>986</v>
      </c>
      <c r="B988" s="210" t="str">
        <f>_xlfn.CONCAT(表格3_5[[#This Row],[Name]],表格3_5[[#This Row],[Location]])</f>
        <v/>
      </c>
      <c r="C988" s="211" t="str">
        <f>表格3_5[[#This Row],[Location]] &amp; 表格3_5[[#This Row],[Date]] &amp;表格3_5[[#This Row],[Nick Name]]</f>
        <v>0</v>
      </c>
      <c r="D988" s="202"/>
      <c r="E988" s="211" t="str">
        <f>DAY(表格3_5[[#This Row],[Date]])&amp;""</f>
        <v>0</v>
      </c>
      <c r="F988" s="203"/>
      <c r="G988" s="216">
        <f>_xlfn.XLOOKUP(表格3_5[[#This Row],[Name]],Name_list[Full Name],Name_list[Nick Name])</f>
        <v>0</v>
      </c>
      <c r="H988" s="207"/>
      <c r="I988" s="228"/>
      <c r="J988" s="218"/>
      <c r="K988" s="205"/>
      <c r="L988" s="210">
        <f>(表格3_5[[#This Row],[Out-Time]] - 表格3_5[[#This Row],[In-Time]])*24</f>
        <v>0</v>
      </c>
      <c r="M988" s="210">
        <f>表格3_5[[#This Row],[ Hours]]-表格3_5[[#This Row],[Normal working
 hours]]</f>
        <v>0</v>
      </c>
      <c r="N988" s="205"/>
      <c r="O988" s="205"/>
      <c r="P988" s="210">
        <f>(表格3_5[[#This Row],[Out-Time2]] - 表格3_5[[#This Row],[In-Time2]])*24</f>
        <v>0</v>
      </c>
      <c r="Q988" s="205"/>
      <c r="R988" s="214">
        <f>_xlfn.XLOOKUP(表格3_5[[#This Row],[Name]],Name_list[Full Name],Name_list[Hourr Rate])</f>
        <v>0</v>
      </c>
      <c r="S988" s="210">
        <f>表格3_5[[#This Row],[Hours Worked]]*表格3_5[[#This Row],[Hourly Rate]]</f>
        <v>0</v>
      </c>
    </row>
    <row r="989" spans="1:19">
      <c r="A989" s="201">
        <v>987</v>
      </c>
      <c r="B989" s="210" t="str">
        <f>_xlfn.CONCAT(表格3_5[[#This Row],[Name]],表格3_5[[#This Row],[Location]])</f>
        <v/>
      </c>
      <c r="C989" s="211" t="str">
        <f>表格3_5[[#This Row],[Location]] &amp; 表格3_5[[#This Row],[Date]] &amp;表格3_5[[#This Row],[Nick Name]]</f>
        <v>0</v>
      </c>
      <c r="D989" s="202"/>
      <c r="E989" s="211" t="str">
        <f>DAY(表格3_5[[#This Row],[Date]])&amp;""</f>
        <v>0</v>
      </c>
      <c r="F989" s="203"/>
      <c r="G989" s="216">
        <f>_xlfn.XLOOKUP(表格3_5[[#This Row],[Name]],Name_list[Full Name],Name_list[Nick Name])</f>
        <v>0</v>
      </c>
      <c r="H989" s="207"/>
      <c r="I989" s="228"/>
      <c r="J989" s="218"/>
      <c r="K989" s="205"/>
      <c r="L989" s="210">
        <f>(表格3_5[[#This Row],[Out-Time]] - 表格3_5[[#This Row],[In-Time]])*24</f>
        <v>0</v>
      </c>
      <c r="M989" s="210">
        <f>表格3_5[[#This Row],[ Hours]]-表格3_5[[#This Row],[Normal working
 hours]]</f>
        <v>0</v>
      </c>
      <c r="N989" s="205"/>
      <c r="O989" s="205"/>
      <c r="P989" s="210">
        <f>(表格3_5[[#This Row],[Out-Time2]] - 表格3_5[[#This Row],[In-Time2]])*24</f>
        <v>0</v>
      </c>
      <c r="Q989" s="205"/>
      <c r="R989" s="214">
        <f>_xlfn.XLOOKUP(表格3_5[[#This Row],[Name]],Name_list[Full Name],Name_list[Hourr Rate])</f>
        <v>0</v>
      </c>
      <c r="S989" s="210">
        <f>表格3_5[[#This Row],[Hours Worked]]*表格3_5[[#This Row],[Hourly Rate]]</f>
        <v>0</v>
      </c>
    </row>
    <row r="990" spans="1:19">
      <c r="A990" s="201">
        <v>988</v>
      </c>
      <c r="B990" s="210" t="str">
        <f>_xlfn.CONCAT(表格3_5[[#This Row],[Name]],表格3_5[[#This Row],[Location]])</f>
        <v/>
      </c>
      <c r="C990" s="211" t="str">
        <f>表格3_5[[#This Row],[Location]] &amp; 表格3_5[[#This Row],[Date]] &amp;表格3_5[[#This Row],[Nick Name]]</f>
        <v>0</v>
      </c>
      <c r="D990" s="202"/>
      <c r="E990" s="211" t="str">
        <f>DAY(表格3_5[[#This Row],[Date]])&amp;""</f>
        <v>0</v>
      </c>
      <c r="F990" s="203"/>
      <c r="G990" s="216">
        <f>_xlfn.XLOOKUP(表格3_5[[#This Row],[Name]],Name_list[Full Name],Name_list[Nick Name])</f>
        <v>0</v>
      </c>
      <c r="H990" s="207"/>
      <c r="I990" s="228"/>
      <c r="J990" s="218"/>
      <c r="K990" s="205"/>
      <c r="L990" s="210">
        <f>(表格3_5[[#This Row],[Out-Time]] - 表格3_5[[#This Row],[In-Time]])*24</f>
        <v>0</v>
      </c>
      <c r="M990" s="210">
        <f>表格3_5[[#This Row],[ Hours]]-表格3_5[[#This Row],[Normal working
 hours]]</f>
        <v>0</v>
      </c>
      <c r="N990" s="205"/>
      <c r="O990" s="205"/>
      <c r="P990" s="210">
        <f>(表格3_5[[#This Row],[Out-Time2]] - 表格3_5[[#This Row],[In-Time2]])*24</f>
        <v>0</v>
      </c>
      <c r="Q990" s="205"/>
      <c r="R990" s="214">
        <f>_xlfn.XLOOKUP(表格3_5[[#This Row],[Name]],Name_list[Full Name],Name_list[Hourr Rate])</f>
        <v>0</v>
      </c>
      <c r="S990" s="210">
        <f>表格3_5[[#This Row],[Hours Worked]]*表格3_5[[#This Row],[Hourly Rate]]</f>
        <v>0</v>
      </c>
    </row>
    <row r="991" spans="1:19">
      <c r="A991" s="201">
        <v>989</v>
      </c>
      <c r="B991" s="210" t="str">
        <f>_xlfn.CONCAT(表格3_5[[#This Row],[Name]],表格3_5[[#This Row],[Location]])</f>
        <v/>
      </c>
      <c r="C991" s="211" t="str">
        <f>表格3_5[[#This Row],[Location]] &amp; 表格3_5[[#This Row],[Date]] &amp;表格3_5[[#This Row],[Nick Name]]</f>
        <v>0</v>
      </c>
      <c r="D991" s="202"/>
      <c r="E991" s="211" t="str">
        <f>DAY(表格3_5[[#This Row],[Date]])&amp;""</f>
        <v>0</v>
      </c>
      <c r="F991" s="203"/>
      <c r="G991" s="216">
        <f>_xlfn.XLOOKUP(表格3_5[[#This Row],[Name]],Name_list[Full Name],Name_list[Nick Name])</f>
        <v>0</v>
      </c>
      <c r="H991" s="207"/>
      <c r="I991" s="228"/>
      <c r="J991" s="218"/>
      <c r="K991" s="205"/>
      <c r="L991" s="210">
        <f>(表格3_5[[#This Row],[Out-Time]] - 表格3_5[[#This Row],[In-Time]])*24</f>
        <v>0</v>
      </c>
      <c r="M991" s="210">
        <f>表格3_5[[#This Row],[ Hours]]-表格3_5[[#This Row],[Normal working
 hours]]</f>
        <v>0</v>
      </c>
      <c r="N991" s="205"/>
      <c r="O991" s="205"/>
      <c r="P991" s="210">
        <f>(表格3_5[[#This Row],[Out-Time2]] - 表格3_5[[#This Row],[In-Time2]])*24</f>
        <v>0</v>
      </c>
      <c r="Q991" s="205"/>
      <c r="R991" s="214">
        <f>_xlfn.XLOOKUP(表格3_5[[#This Row],[Name]],Name_list[Full Name],Name_list[Hourr Rate])</f>
        <v>0</v>
      </c>
      <c r="S991" s="210">
        <f>表格3_5[[#This Row],[Hours Worked]]*表格3_5[[#This Row],[Hourly Rate]]</f>
        <v>0</v>
      </c>
    </row>
    <row r="992" spans="1:19">
      <c r="A992" s="201">
        <v>990</v>
      </c>
      <c r="B992" s="210" t="str">
        <f>_xlfn.CONCAT(表格3_5[[#This Row],[Name]],表格3_5[[#This Row],[Location]])</f>
        <v/>
      </c>
      <c r="C992" s="211" t="str">
        <f>表格3_5[[#This Row],[Location]] &amp; 表格3_5[[#This Row],[Date]] &amp;表格3_5[[#This Row],[Nick Name]]</f>
        <v>0</v>
      </c>
      <c r="D992" s="202"/>
      <c r="E992" s="211" t="str">
        <f>DAY(表格3_5[[#This Row],[Date]])&amp;""</f>
        <v>0</v>
      </c>
      <c r="F992" s="203"/>
      <c r="G992" s="216">
        <f>_xlfn.XLOOKUP(表格3_5[[#This Row],[Name]],Name_list[Full Name],Name_list[Nick Name])</f>
        <v>0</v>
      </c>
      <c r="H992" s="207"/>
      <c r="I992" s="228"/>
      <c r="J992" s="218"/>
      <c r="K992" s="205"/>
      <c r="L992" s="210">
        <f>(表格3_5[[#This Row],[Out-Time]] - 表格3_5[[#This Row],[In-Time]])*24</f>
        <v>0</v>
      </c>
      <c r="M992" s="210">
        <f>表格3_5[[#This Row],[ Hours]]-表格3_5[[#This Row],[Normal working
 hours]]</f>
        <v>0</v>
      </c>
      <c r="N992" s="205"/>
      <c r="O992" s="205"/>
      <c r="P992" s="210">
        <f>(表格3_5[[#This Row],[Out-Time2]] - 表格3_5[[#This Row],[In-Time2]])*24</f>
        <v>0</v>
      </c>
      <c r="Q992" s="205"/>
      <c r="R992" s="214">
        <f>_xlfn.XLOOKUP(表格3_5[[#This Row],[Name]],Name_list[Full Name],Name_list[Hourr Rate])</f>
        <v>0</v>
      </c>
      <c r="S992" s="210">
        <f>表格3_5[[#This Row],[Hours Worked]]*表格3_5[[#This Row],[Hourly Rate]]</f>
        <v>0</v>
      </c>
    </row>
    <row r="993" spans="1:19">
      <c r="A993" s="201">
        <v>991</v>
      </c>
      <c r="B993" s="210" t="str">
        <f>_xlfn.CONCAT(表格3_5[[#This Row],[Name]],表格3_5[[#This Row],[Location]])</f>
        <v/>
      </c>
      <c r="C993" s="211" t="str">
        <f>表格3_5[[#This Row],[Location]] &amp; 表格3_5[[#This Row],[Date]] &amp;表格3_5[[#This Row],[Nick Name]]</f>
        <v>0</v>
      </c>
      <c r="D993" s="202"/>
      <c r="E993" s="211" t="str">
        <f>DAY(表格3_5[[#This Row],[Date]])&amp;""</f>
        <v>0</v>
      </c>
      <c r="F993" s="203"/>
      <c r="G993" s="216">
        <f>_xlfn.XLOOKUP(表格3_5[[#This Row],[Name]],Name_list[Full Name],Name_list[Nick Name])</f>
        <v>0</v>
      </c>
      <c r="H993" s="207"/>
      <c r="I993" s="228"/>
      <c r="J993" s="218"/>
      <c r="K993" s="205"/>
      <c r="L993" s="210">
        <f>(表格3_5[[#This Row],[Out-Time]] - 表格3_5[[#This Row],[In-Time]])*24</f>
        <v>0</v>
      </c>
      <c r="M993" s="210">
        <f>表格3_5[[#This Row],[ Hours]]-表格3_5[[#This Row],[Normal working
 hours]]</f>
        <v>0</v>
      </c>
      <c r="N993" s="205"/>
      <c r="O993" s="205"/>
      <c r="P993" s="210">
        <f>(表格3_5[[#This Row],[Out-Time2]] - 表格3_5[[#This Row],[In-Time2]])*24</f>
        <v>0</v>
      </c>
      <c r="Q993" s="205"/>
      <c r="R993" s="214">
        <f>_xlfn.XLOOKUP(表格3_5[[#This Row],[Name]],Name_list[Full Name],Name_list[Hourr Rate])</f>
        <v>0</v>
      </c>
      <c r="S993" s="210">
        <f>表格3_5[[#This Row],[Hours Worked]]*表格3_5[[#This Row],[Hourly Rate]]</f>
        <v>0</v>
      </c>
    </row>
    <row r="994" spans="1:19">
      <c r="A994" s="201">
        <v>992</v>
      </c>
      <c r="B994" s="210" t="str">
        <f>_xlfn.CONCAT(表格3_5[[#This Row],[Name]],表格3_5[[#This Row],[Location]])</f>
        <v/>
      </c>
      <c r="C994" s="211" t="str">
        <f>表格3_5[[#This Row],[Location]] &amp; 表格3_5[[#This Row],[Date]] &amp;表格3_5[[#This Row],[Nick Name]]</f>
        <v>0</v>
      </c>
      <c r="D994" s="202"/>
      <c r="E994" s="211" t="str">
        <f>DAY(表格3_5[[#This Row],[Date]])&amp;""</f>
        <v>0</v>
      </c>
      <c r="F994" s="203"/>
      <c r="G994" s="216">
        <f>_xlfn.XLOOKUP(表格3_5[[#This Row],[Name]],Name_list[Full Name],Name_list[Nick Name])</f>
        <v>0</v>
      </c>
      <c r="H994" s="207"/>
      <c r="I994" s="228"/>
      <c r="J994" s="218"/>
      <c r="K994" s="205"/>
      <c r="L994" s="210">
        <f>(表格3_5[[#This Row],[Out-Time]] - 表格3_5[[#This Row],[In-Time]])*24</f>
        <v>0</v>
      </c>
      <c r="M994" s="210">
        <f>表格3_5[[#This Row],[ Hours]]-表格3_5[[#This Row],[Normal working
 hours]]</f>
        <v>0</v>
      </c>
      <c r="N994" s="205"/>
      <c r="O994" s="205"/>
      <c r="P994" s="210">
        <f>(表格3_5[[#This Row],[Out-Time2]] - 表格3_5[[#This Row],[In-Time2]])*24</f>
        <v>0</v>
      </c>
      <c r="Q994" s="205"/>
      <c r="R994" s="214">
        <f>_xlfn.XLOOKUP(表格3_5[[#This Row],[Name]],Name_list[Full Name],Name_list[Hourr Rate])</f>
        <v>0</v>
      </c>
      <c r="S994" s="210">
        <f>表格3_5[[#This Row],[Hours Worked]]*表格3_5[[#This Row],[Hourly Rate]]</f>
        <v>0</v>
      </c>
    </row>
    <row r="995" spans="1:19">
      <c r="A995" s="201">
        <v>993</v>
      </c>
      <c r="B995" s="210" t="str">
        <f>_xlfn.CONCAT(表格3_5[[#This Row],[Name]],表格3_5[[#This Row],[Location]])</f>
        <v/>
      </c>
      <c r="C995" s="211" t="str">
        <f>表格3_5[[#This Row],[Location]] &amp; 表格3_5[[#This Row],[Date]] &amp;表格3_5[[#This Row],[Nick Name]]</f>
        <v>0</v>
      </c>
      <c r="D995" s="202"/>
      <c r="E995" s="211" t="str">
        <f>DAY(表格3_5[[#This Row],[Date]])&amp;""</f>
        <v>0</v>
      </c>
      <c r="F995" s="203"/>
      <c r="G995" s="216">
        <f>_xlfn.XLOOKUP(表格3_5[[#This Row],[Name]],Name_list[Full Name],Name_list[Nick Name])</f>
        <v>0</v>
      </c>
      <c r="H995" s="207"/>
      <c r="I995" s="228"/>
      <c r="J995" s="218"/>
      <c r="K995" s="205"/>
      <c r="L995" s="210">
        <f>(表格3_5[[#This Row],[Out-Time]] - 表格3_5[[#This Row],[In-Time]])*24</f>
        <v>0</v>
      </c>
      <c r="M995" s="210">
        <f>表格3_5[[#This Row],[ Hours]]-表格3_5[[#This Row],[Normal working
 hours]]</f>
        <v>0</v>
      </c>
      <c r="N995" s="205"/>
      <c r="O995" s="205"/>
      <c r="P995" s="210">
        <f>(表格3_5[[#This Row],[Out-Time2]] - 表格3_5[[#This Row],[In-Time2]])*24</f>
        <v>0</v>
      </c>
      <c r="Q995" s="205"/>
      <c r="R995" s="214">
        <f>_xlfn.XLOOKUP(表格3_5[[#This Row],[Name]],Name_list[Full Name],Name_list[Hourr Rate])</f>
        <v>0</v>
      </c>
      <c r="S995" s="210">
        <f>表格3_5[[#This Row],[Hours Worked]]*表格3_5[[#This Row],[Hourly Rate]]</f>
        <v>0</v>
      </c>
    </row>
    <row r="996" spans="1:19">
      <c r="A996" s="201">
        <v>994</v>
      </c>
      <c r="B996" s="210" t="str">
        <f>_xlfn.CONCAT(表格3_5[[#This Row],[Name]],表格3_5[[#This Row],[Location]])</f>
        <v/>
      </c>
      <c r="C996" s="211" t="str">
        <f>表格3_5[[#This Row],[Location]] &amp; 表格3_5[[#This Row],[Date]] &amp;表格3_5[[#This Row],[Nick Name]]</f>
        <v>0</v>
      </c>
      <c r="D996" s="202"/>
      <c r="E996" s="211" t="str">
        <f>DAY(表格3_5[[#This Row],[Date]])&amp;""</f>
        <v>0</v>
      </c>
      <c r="F996" s="203"/>
      <c r="G996" s="216">
        <f>_xlfn.XLOOKUP(表格3_5[[#This Row],[Name]],Name_list[Full Name],Name_list[Nick Name])</f>
        <v>0</v>
      </c>
      <c r="H996" s="207"/>
      <c r="I996" s="228"/>
      <c r="J996" s="218"/>
      <c r="K996" s="205"/>
      <c r="L996" s="210">
        <f>(表格3_5[[#This Row],[Out-Time]] - 表格3_5[[#This Row],[In-Time]])*24</f>
        <v>0</v>
      </c>
      <c r="M996" s="210">
        <f>表格3_5[[#This Row],[ Hours]]-表格3_5[[#This Row],[Normal working
 hours]]</f>
        <v>0</v>
      </c>
      <c r="N996" s="205"/>
      <c r="O996" s="205"/>
      <c r="P996" s="210">
        <f>(表格3_5[[#This Row],[Out-Time2]] - 表格3_5[[#This Row],[In-Time2]])*24</f>
        <v>0</v>
      </c>
      <c r="Q996" s="205"/>
      <c r="R996" s="214">
        <f>_xlfn.XLOOKUP(表格3_5[[#This Row],[Name]],Name_list[Full Name],Name_list[Hourr Rate])</f>
        <v>0</v>
      </c>
      <c r="S996" s="210">
        <f>表格3_5[[#This Row],[Hours Worked]]*表格3_5[[#This Row],[Hourly Rate]]</f>
        <v>0</v>
      </c>
    </row>
    <row r="997" spans="1:19">
      <c r="A997" s="201">
        <v>995</v>
      </c>
      <c r="B997" s="210" t="str">
        <f>_xlfn.CONCAT(表格3_5[[#This Row],[Name]],表格3_5[[#This Row],[Location]])</f>
        <v/>
      </c>
      <c r="C997" s="211" t="str">
        <f>表格3_5[[#This Row],[Location]] &amp; 表格3_5[[#This Row],[Date]] &amp;表格3_5[[#This Row],[Nick Name]]</f>
        <v>0</v>
      </c>
      <c r="D997" s="202"/>
      <c r="E997" s="211" t="str">
        <f>DAY(表格3_5[[#This Row],[Date]])&amp;""</f>
        <v>0</v>
      </c>
      <c r="F997" s="203"/>
      <c r="G997" s="216">
        <f>_xlfn.XLOOKUP(表格3_5[[#This Row],[Name]],Name_list[Full Name],Name_list[Nick Name])</f>
        <v>0</v>
      </c>
      <c r="H997" s="207"/>
      <c r="I997" s="228"/>
      <c r="J997" s="218"/>
      <c r="K997" s="205"/>
      <c r="L997" s="210">
        <f>(表格3_5[[#This Row],[Out-Time]] - 表格3_5[[#This Row],[In-Time]])*24</f>
        <v>0</v>
      </c>
      <c r="M997" s="210">
        <f>表格3_5[[#This Row],[ Hours]]-表格3_5[[#This Row],[Normal working
 hours]]</f>
        <v>0</v>
      </c>
      <c r="N997" s="205"/>
      <c r="O997" s="205"/>
      <c r="P997" s="210">
        <f>(表格3_5[[#This Row],[Out-Time2]] - 表格3_5[[#This Row],[In-Time2]])*24</f>
        <v>0</v>
      </c>
      <c r="Q997" s="205"/>
      <c r="R997" s="214">
        <f>_xlfn.XLOOKUP(表格3_5[[#This Row],[Name]],Name_list[Full Name],Name_list[Hourr Rate])</f>
        <v>0</v>
      </c>
      <c r="S997" s="210">
        <f>表格3_5[[#This Row],[Hours Worked]]*表格3_5[[#This Row],[Hourly Rate]]</f>
        <v>0</v>
      </c>
    </row>
    <row r="998" spans="1:19">
      <c r="A998" s="201">
        <v>996</v>
      </c>
      <c r="B998" s="210" t="str">
        <f>_xlfn.CONCAT(表格3_5[[#This Row],[Name]],表格3_5[[#This Row],[Location]])</f>
        <v/>
      </c>
      <c r="C998" s="211" t="str">
        <f>表格3_5[[#This Row],[Location]] &amp; 表格3_5[[#This Row],[Date]] &amp;表格3_5[[#This Row],[Nick Name]]</f>
        <v>0</v>
      </c>
      <c r="D998" s="202"/>
      <c r="E998" s="211" t="str">
        <f>DAY(表格3_5[[#This Row],[Date]])&amp;""</f>
        <v>0</v>
      </c>
      <c r="F998" s="203"/>
      <c r="G998" s="216">
        <f>_xlfn.XLOOKUP(表格3_5[[#This Row],[Name]],Name_list[Full Name],Name_list[Nick Name])</f>
        <v>0</v>
      </c>
      <c r="H998" s="207"/>
      <c r="I998" s="228"/>
      <c r="J998" s="218"/>
      <c r="K998" s="205"/>
      <c r="L998" s="210">
        <f>(表格3_5[[#This Row],[Out-Time]] - 表格3_5[[#This Row],[In-Time]])*24</f>
        <v>0</v>
      </c>
      <c r="M998" s="210">
        <f>表格3_5[[#This Row],[ Hours]]-表格3_5[[#This Row],[Normal working
 hours]]</f>
        <v>0</v>
      </c>
      <c r="N998" s="205"/>
      <c r="O998" s="205"/>
      <c r="P998" s="210">
        <f>(表格3_5[[#This Row],[Out-Time2]] - 表格3_5[[#This Row],[In-Time2]])*24</f>
        <v>0</v>
      </c>
      <c r="Q998" s="205"/>
      <c r="R998" s="214">
        <f>_xlfn.XLOOKUP(表格3_5[[#This Row],[Name]],Name_list[Full Name],Name_list[Hourr Rate])</f>
        <v>0</v>
      </c>
      <c r="S998" s="210">
        <f>表格3_5[[#This Row],[Hours Worked]]*表格3_5[[#This Row],[Hourly Rate]]</f>
        <v>0</v>
      </c>
    </row>
    <row r="999" spans="1:19">
      <c r="A999" s="201">
        <v>997</v>
      </c>
      <c r="B999" s="210" t="str">
        <f>_xlfn.CONCAT(表格3_5[[#This Row],[Name]],表格3_5[[#This Row],[Location]])</f>
        <v/>
      </c>
      <c r="C999" s="211" t="str">
        <f>表格3_5[[#This Row],[Location]] &amp; 表格3_5[[#This Row],[Date]] &amp;表格3_5[[#This Row],[Nick Name]]</f>
        <v>0</v>
      </c>
      <c r="D999" s="202"/>
      <c r="E999" s="211" t="str">
        <f>DAY(表格3_5[[#This Row],[Date]])&amp;""</f>
        <v>0</v>
      </c>
      <c r="F999" s="203"/>
      <c r="G999" s="216">
        <f>_xlfn.XLOOKUP(表格3_5[[#This Row],[Name]],Name_list[Full Name],Name_list[Nick Name])</f>
        <v>0</v>
      </c>
      <c r="H999" s="207"/>
      <c r="I999" s="228"/>
      <c r="J999" s="218"/>
      <c r="K999" s="205"/>
      <c r="L999" s="210">
        <f>(表格3_5[[#This Row],[Out-Time]] - 表格3_5[[#This Row],[In-Time]])*24</f>
        <v>0</v>
      </c>
      <c r="M999" s="210">
        <f>表格3_5[[#This Row],[ Hours]]-表格3_5[[#This Row],[Normal working
 hours]]</f>
        <v>0</v>
      </c>
      <c r="N999" s="205"/>
      <c r="O999" s="205"/>
      <c r="P999" s="210">
        <f>(表格3_5[[#This Row],[Out-Time2]] - 表格3_5[[#This Row],[In-Time2]])*24</f>
        <v>0</v>
      </c>
      <c r="Q999" s="205"/>
      <c r="R999" s="214">
        <f>_xlfn.XLOOKUP(表格3_5[[#This Row],[Name]],Name_list[Full Name],Name_list[Hourr Rate])</f>
        <v>0</v>
      </c>
      <c r="S999" s="210">
        <f>表格3_5[[#This Row],[Hours Worked]]*表格3_5[[#This Row],[Hourly Rate]]</f>
        <v>0</v>
      </c>
    </row>
    <row r="1000" spans="1:19">
      <c r="A1000" s="201">
        <v>998</v>
      </c>
      <c r="B1000" s="210" t="str">
        <f>_xlfn.CONCAT(表格3_5[[#This Row],[Name]],表格3_5[[#This Row],[Location]])</f>
        <v/>
      </c>
      <c r="C1000" s="211" t="str">
        <f>表格3_5[[#This Row],[Location]] &amp; 表格3_5[[#This Row],[Date]] &amp;表格3_5[[#This Row],[Nick Name]]</f>
        <v>0</v>
      </c>
      <c r="D1000" s="202"/>
      <c r="E1000" s="211" t="str">
        <f>DAY(表格3_5[[#This Row],[Date]])&amp;""</f>
        <v>0</v>
      </c>
      <c r="F1000" s="203"/>
      <c r="G1000" s="216">
        <f>_xlfn.XLOOKUP(表格3_5[[#This Row],[Name]],Name_list[Full Name],Name_list[Nick Name])</f>
        <v>0</v>
      </c>
      <c r="H1000" s="207"/>
      <c r="I1000" s="228"/>
      <c r="J1000" s="218"/>
      <c r="K1000" s="205"/>
      <c r="L1000" s="210">
        <f>(表格3_5[[#This Row],[Out-Time]] - 表格3_5[[#This Row],[In-Time]])*24</f>
        <v>0</v>
      </c>
      <c r="M1000" s="210">
        <f>表格3_5[[#This Row],[ Hours]]-表格3_5[[#This Row],[Normal working
 hours]]</f>
        <v>0</v>
      </c>
      <c r="N1000" s="205"/>
      <c r="O1000" s="205"/>
      <c r="P1000" s="210">
        <f>(表格3_5[[#This Row],[Out-Time2]] - 表格3_5[[#This Row],[In-Time2]])*24</f>
        <v>0</v>
      </c>
      <c r="Q1000" s="205"/>
      <c r="R1000" s="214">
        <f>_xlfn.XLOOKUP(表格3_5[[#This Row],[Name]],Name_list[Full Name],Name_list[Hourr Rate])</f>
        <v>0</v>
      </c>
      <c r="S1000" s="210">
        <f>表格3_5[[#This Row],[Hours Worked]]*表格3_5[[#This Row],[Hourly Rate]]</f>
        <v>0</v>
      </c>
    </row>
    <row r="1001" spans="1:19">
      <c r="A1001" s="201">
        <v>999</v>
      </c>
      <c r="B1001" s="210" t="str">
        <f>_xlfn.CONCAT(表格3_5[[#This Row],[Name]],表格3_5[[#This Row],[Location]])</f>
        <v/>
      </c>
      <c r="C1001" s="211" t="str">
        <f>表格3_5[[#This Row],[Location]] &amp; 表格3_5[[#This Row],[Date]] &amp;表格3_5[[#This Row],[Nick Name]]</f>
        <v>0</v>
      </c>
      <c r="D1001" s="202"/>
      <c r="E1001" s="211" t="str">
        <f>DAY(表格3_5[[#This Row],[Date]])&amp;""</f>
        <v>0</v>
      </c>
      <c r="F1001" s="203"/>
      <c r="G1001" s="216">
        <f>_xlfn.XLOOKUP(表格3_5[[#This Row],[Name]],Name_list[Full Name],Name_list[Nick Name])</f>
        <v>0</v>
      </c>
      <c r="H1001" s="207"/>
      <c r="I1001" s="228"/>
      <c r="J1001" s="218"/>
      <c r="K1001" s="205"/>
      <c r="L1001" s="210">
        <f>(表格3_5[[#This Row],[Out-Time]] - 表格3_5[[#This Row],[In-Time]])*24</f>
        <v>0</v>
      </c>
      <c r="M1001" s="210">
        <f>表格3_5[[#This Row],[ Hours]]-表格3_5[[#This Row],[Normal working
 hours]]</f>
        <v>0</v>
      </c>
      <c r="N1001" s="205"/>
      <c r="O1001" s="205"/>
      <c r="P1001" s="210">
        <f>(表格3_5[[#This Row],[Out-Time2]] - 表格3_5[[#This Row],[In-Time2]])*24</f>
        <v>0</v>
      </c>
      <c r="Q1001" s="205"/>
      <c r="R1001" s="214">
        <f>_xlfn.XLOOKUP(表格3_5[[#This Row],[Name]],Name_list[Full Name],Name_list[Hourr Rate])</f>
        <v>0</v>
      </c>
      <c r="S1001" s="210">
        <f>表格3_5[[#This Row],[Hours Worked]]*表格3_5[[#This Row],[Hourly Rate]]</f>
        <v>0</v>
      </c>
    </row>
    <row r="1002" spans="1:19">
      <c r="A1002" s="201">
        <v>1000</v>
      </c>
      <c r="B1002" s="210" t="str">
        <f>_xlfn.CONCAT(表格3_5[[#This Row],[Name]],表格3_5[[#This Row],[Location]])</f>
        <v/>
      </c>
      <c r="C1002" s="211" t="str">
        <f>表格3_5[[#This Row],[Location]] &amp; 表格3_5[[#This Row],[Date]] &amp;表格3_5[[#This Row],[Nick Name]]</f>
        <v>0</v>
      </c>
      <c r="D1002" s="202"/>
      <c r="E1002" s="211" t="str">
        <f>DAY(表格3_5[[#This Row],[Date]])&amp;""</f>
        <v>0</v>
      </c>
      <c r="F1002" s="203"/>
      <c r="G1002" s="216">
        <f>_xlfn.XLOOKUP(表格3_5[[#This Row],[Name]],Name_list[Full Name],Name_list[Nick Name])</f>
        <v>0</v>
      </c>
      <c r="H1002" s="207"/>
      <c r="I1002" s="228"/>
      <c r="J1002" s="218"/>
      <c r="K1002" s="205"/>
      <c r="L1002" s="210">
        <f>(表格3_5[[#This Row],[Out-Time]] - 表格3_5[[#This Row],[In-Time]])*24</f>
        <v>0</v>
      </c>
      <c r="M1002" s="210">
        <f>表格3_5[[#This Row],[ Hours]]-表格3_5[[#This Row],[Normal working
 hours]]</f>
        <v>0</v>
      </c>
      <c r="N1002" s="205"/>
      <c r="O1002" s="205"/>
      <c r="P1002" s="210">
        <f>(表格3_5[[#This Row],[Out-Time2]] - 表格3_5[[#This Row],[In-Time2]])*24</f>
        <v>0</v>
      </c>
      <c r="Q1002" s="205"/>
      <c r="R1002" s="214">
        <f>_xlfn.XLOOKUP(表格3_5[[#This Row],[Name]],Name_list[Full Name],Name_list[Hourr Rate])</f>
        <v>0</v>
      </c>
      <c r="S1002" s="210">
        <f>表格3_5[[#This Row],[Hours Worked]]*表格3_5[[#This Row],[Hourly Rate]]</f>
        <v>0</v>
      </c>
    </row>
    <row r="1003" spans="1:19">
      <c r="A1003" s="201">
        <v>1001</v>
      </c>
      <c r="B1003" s="210" t="str">
        <f>_xlfn.CONCAT(表格3_5[[#This Row],[Name]],表格3_5[[#This Row],[Location]])</f>
        <v/>
      </c>
      <c r="C1003" s="211" t="str">
        <f>表格3_5[[#This Row],[Location]] &amp; 表格3_5[[#This Row],[Date]] &amp;表格3_5[[#This Row],[Nick Name]]</f>
        <v>0</v>
      </c>
      <c r="D1003" s="202"/>
      <c r="E1003" s="211" t="str">
        <f>DAY(表格3_5[[#This Row],[Date]])&amp;""</f>
        <v>0</v>
      </c>
      <c r="F1003" s="203"/>
      <c r="G1003" s="216">
        <f>_xlfn.XLOOKUP(表格3_5[[#This Row],[Name]],Name_list[Full Name],Name_list[Nick Name])</f>
        <v>0</v>
      </c>
      <c r="H1003" s="207"/>
      <c r="I1003" s="228"/>
      <c r="J1003" s="218"/>
      <c r="K1003" s="205"/>
      <c r="L1003" s="210">
        <f>(表格3_5[[#This Row],[Out-Time]] - 表格3_5[[#This Row],[In-Time]])*24</f>
        <v>0</v>
      </c>
      <c r="M1003" s="210">
        <f>表格3_5[[#This Row],[ Hours]]-表格3_5[[#This Row],[Normal working
 hours]]</f>
        <v>0</v>
      </c>
      <c r="N1003" s="205"/>
      <c r="O1003" s="205"/>
      <c r="P1003" s="210">
        <f>(表格3_5[[#This Row],[Out-Time2]] - 表格3_5[[#This Row],[In-Time2]])*24</f>
        <v>0</v>
      </c>
      <c r="Q1003" s="205"/>
      <c r="R1003" s="214">
        <f>_xlfn.XLOOKUP(表格3_5[[#This Row],[Name]],Name_list[Full Name],Name_list[Hourr Rate])</f>
        <v>0</v>
      </c>
      <c r="S1003" s="210">
        <f>表格3_5[[#This Row],[Hours Worked]]*表格3_5[[#This Row],[Hourly Rate]]</f>
        <v>0</v>
      </c>
    </row>
    <row r="1004" spans="1:19">
      <c r="A1004" s="201">
        <v>1002</v>
      </c>
      <c r="B1004" s="210" t="str">
        <f>_xlfn.CONCAT(表格3_5[[#This Row],[Name]],表格3_5[[#This Row],[Location]])</f>
        <v/>
      </c>
      <c r="C1004" s="211" t="str">
        <f>表格3_5[[#This Row],[Location]] &amp; 表格3_5[[#This Row],[Date]] &amp;表格3_5[[#This Row],[Nick Name]]</f>
        <v>0</v>
      </c>
      <c r="D1004" s="202"/>
      <c r="E1004" s="211" t="str">
        <f>DAY(表格3_5[[#This Row],[Date]])&amp;""</f>
        <v>0</v>
      </c>
      <c r="F1004" s="203"/>
      <c r="G1004" s="216">
        <f>_xlfn.XLOOKUP(表格3_5[[#This Row],[Name]],Name_list[Full Name],Name_list[Nick Name])</f>
        <v>0</v>
      </c>
      <c r="H1004" s="207"/>
      <c r="I1004" s="228"/>
      <c r="J1004" s="218"/>
      <c r="K1004" s="205"/>
      <c r="L1004" s="210">
        <f>(表格3_5[[#This Row],[Out-Time]] - 表格3_5[[#This Row],[In-Time]])*24</f>
        <v>0</v>
      </c>
      <c r="M1004" s="210">
        <f>表格3_5[[#This Row],[ Hours]]-表格3_5[[#This Row],[Normal working
 hours]]</f>
        <v>0</v>
      </c>
      <c r="N1004" s="205"/>
      <c r="O1004" s="205"/>
      <c r="P1004" s="210">
        <f>(表格3_5[[#This Row],[Out-Time2]] - 表格3_5[[#This Row],[In-Time2]])*24</f>
        <v>0</v>
      </c>
      <c r="Q1004" s="205"/>
      <c r="R1004" s="214">
        <f>_xlfn.XLOOKUP(表格3_5[[#This Row],[Name]],Name_list[Full Name],Name_list[Hourr Rate])</f>
        <v>0</v>
      </c>
      <c r="S1004" s="210">
        <f>表格3_5[[#This Row],[Hours Worked]]*表格3_5[[#This Row],[Hourly Rate]]</f>
        <v>0</v>
      </c>
    </row>
    <row r="1005" spans="1:19">
      <c r="A1005" s="201">
        <v>1003</v>
      </c>
      <c r="B1005" s="210" t="str">
        <f>_xlfn.CONCAT(表格3_5[[#This Row],[Name]],表格3_5[[#This Row],[Location]])</f>
        <v/>
      </c>
      <c r="C1005" s="211" t="str">
        <f>表格3_5[[#This Row],[Location]] &amp; 表格3_5[[#This Row],[Date]] &amp;表格3_5[[#This Row],[Nick Name]]</f>
        <v>0</v>
      </c>
      <c r="D1005" s="202"/>
      <c r="E1005" s="211" t="str">
        <f>DAY(表格3_5[[#This Row],[Date]])&amp;""</f>
        <v>0</v>
      </c>
      <c r="F1005" s="203"/>
      <c r="G1005" s="216">
        <f>_xlfn.XLOOKUP(表格3_5[[#This Row],[Name]],Name_list[Full Name],Name_list[Nick Name])</f>
        <v>0</v>
      </c>
      <c r="H1005" s="207"/>
      <c r="I1005" s="228"/>
      <c r="J1005" s="218"/>
      <c r="K1005" s="205"/>
      <c r="L1005" s="210">
        <f>(表格3_5[[#This Row],[Out-Time]] - 表格3_5[[#This Row],[In-Time]])*24</f>
        <v>0</v>
      </c>
      <c r="M1005" s="210">
        <f>表格3_5[[#This Row],[ Hours]]-表格3_5[[#This Row],[Normal working
 hours]]</f>
        <v>0</v>
      </c>
      <c r="N1005" s="205"/>
      <c r="O1005" s="205"/>
      <c r="P1005" s="210">
        <f>(表格3_5[[#This Row],[Out-Time2]] - 表格3_5[[#This Row],[In-Time2]])*24</f>
        <v>0</v>
      </c>
      <c r="Q1005" s="205"/>
      <c r="R1005" s="214">
        <f>_xlfn.XLOOKUP(表格3_5[[#This Row],[Name]],Name_list[Full Name],Name_list[Hourr Rate])</f>
        <v>0</v>
      </c>
      <c r="S1005" s="210">
        <f>表格3_5[[#This Row],[Hours Worked]]*表格3_5[[#This Row],[Hourly Rate]]</f>
        <v>0</v>
      </c>
    </row>
    <row r="1006" spans="1:19">
      <c r="A1006" s="201">
        <v>1004</v>
      </c>
      <c r="B1006" s="210" t="str">
        <f>_xlfn.CONCAT(表格3_5[[#This Row],[Name]],表格3_5[[#This Row],[Location]])</f>
        <v/>
      </c>
      <c r="C1006" s="211" t="str">
        <f>表格3_5[[#This Row],[Location]] &amp; 表格3_5[[#This Row],[Date]] &amp;表格3_5[[#This Row],[Nick Name]]</f>
        <v>0</v>
      </c>
      <c r="D1006" s="202"/>
      <c r="E1006" s="211" t="str">
        <f>DAY(表格3_5[[#This Row],[Date]])&amp;""</f>
        <v>0</v>
      </c>
      <c r="F1006" s="203"/>
      <c r="G1006" s="216">
        <f>_xlfn.XLOOKUP(表格3_5[[#This Row],[Name]],Name_list[Full Name],Name_list[Nick Name])</f>
        <v>0</v>
      </c>
      <c r="H1006" s="207"/>
      <c r="I1006" s="228"/>
      <c r="J1006" s="218"/>
      <c r="K1006" s="205"/>
      <c r="L1006" s="210">
        <f>(表格3_5[[#This Row],[Out-Time]] - 表格3_5[[#This Row],[In-Time]])*24</f>
        <v>0</v>
      </c>
      <c r="M1006" s="210">
        <f>表格3_5[[#This Row],[ Hours]]-表格3_5[[#This Row],[Normal working
 hours]]</f>
        <v>0</v>
      </c>
      <c r="N1006" s="205"/>
      <c r="O1006" s="205"/>
      <c r="P1006" s="210">
        <f>(表格3_5[[#This Row],[Out-Time2]] - 表格3_5[[#This Row],[In-Time2]])*24</f>
        <v>0</v>
      </c>
      <c r="Q1006" s="205"/>
      <c r="R1006" s="214">
        <f>_xlfn.XLOOKUP(表格3_5[[#This Row],[Name]],Name_list[Full Name],Name_list[Hourr Rate])</f>
        <v>0</v>
      </c>
      <c r="S1006" s="210">
        <f>表格3_5[[#This Row],[Hours Worked]]*表格3_5[[#This Row],[Hourly Rate]]</f>
        <v>0</v>
      </c>
    </row>
    <row r="1007" spans="1:19">
      <c r="A1007" s="201">
        <v>1005</v>
      </c>
      <c r="B1007" s="210" t="str">
        <f>_xlfn.CONCAT(表格3_5[[#This Row],[Name]],表格3_5[[#This Row],[Location]])</f>
        <v/>
      </c>
      <c r="C1007" s="211" t="str">
        <f>表格3_5[[#This Row],[Location]] &amp; 表格3_5[[#This Row],[Date]] &amp;表格3_5[[#This Row],[Nick Name]]</f>
        <v>0</v>
      </c>
      <c r="D1007" s="202"/>
      <c r="E1007" s="211" t="str">
        <f>DAY(表格3_5[[#This Row],[Date]])&amp;""</f>
        <v>0</v>
      </c>
      <c r="F1007" s="203"/>
      <c r="G1007" s="216">
        <f>_xlfn.XLOOKUP(表格3_5[[#This Row],[Name]],Name_list[Full Name],Name_list[Nick Name])</f>
        <v>0</v>
      </c>
      <c r="H1007" s="207"/>
      <c r="I1007" s="228"/>
      <c r="J1007" s="218"/>
      <c r="K1007" s="205"/>
      <c r="L1007" s="210">
        <f>(表格3_5[[#This Row],[Out-Time]] - 表格3_5[[#This Row],[In-Time]])*24</f>
        <v>0</v>
      </c>
      <c r="M1007" s="210">
        <f>表格3_5[[#This Row],[ Hours]]-表格3_5[[#This Row],[Normal working
 hours]]</f>
        <v>0</v>
      </c>
      <c r="N1007" s="205"/>
      <c r="O1007" s="205"/>
      <c r="P1007" s="210">
        <f>(表格3_5[[#This Row],[Out-Time2]] - 表格3_5[[#This Row],[In-Time2]])*24</f>
        <v>0</v>
      </c>
      <c r="Q1007" s="205"/>
      <c r="R1007" s="214">
        <f>_xlfn.XLOOKUP(表格3_5[[#This Row],[Name]],Name_list[Full Name],Name_list[Hourr Rate])</f>
        <v>0</v>
      </c>
      <c r="S1007" s="210">
        <f>表格3_5[[#This Row],[Hours Worked]]*表格3_5[[#This Row],[Hourly Rate]]</f>
        <v>0</v>
      </c>
    </row>
    <row r="1008" spans="1:19">
      <c r="A1008" s="201">
        <v>1006</v>
      </c>
      <c r="B1008" s="210" t="str">
        <f>_xlfn.CONCAT(表格3_5[[#This Row],[Name]],表格3_5[[#This Row],[Location]])</f>
        <v/>
      </c>
      <c r="C1008" s="211" t="str">
        <f>表格3_5[[#This Row],[Location]] &amp; 表格3_5[[#This Row],[Date]] &amp;表格3_5[[#This Row],[Nick Name]]</f>
        <v>0</v>
      </c>
      <c r="D1008" s="202"/>
      <c r="E1008" s="211" t="str">
        <f>DAY(表格3_5[[#This Row],[Date]])&amp;""</f>
        <v>0</v>
      </c>
      <c r="F1008" s="203"/>
      <c r="G1008" s="216">
        <f>_xlfn.XLOOKUP(表格3_5[[#This Row],[Name]],Name_list[Full Name],Name_list[Nick Name])</f>
        <v>0</v>
      </c>
      <c r="H1008" s="207"/>
      <c r="I1008" s="228"/>
      <c r="J1008" s="218"/>
      <c r="K1008" s="205"/>
      <c r="L1008" s="210">
        <f>(表格3_5[[#This Row],[Out-Time]] - 表格3_5[[#This Row],[In-Time]])*24</f>
        <v>0</v>
      </c>
      <c r="M1008" s="210">
        <f>表格3_5[[#This Row],[ Hours]]-表格3_5[[#This Row],[Normal working
 hours]]</f>
        <v>0</v>
      </c>
      <c r="N1008" s="205"/>
      <c r="O1008" s="205"/>
      <c r="P1008" s="210">
        <f>(表格3_5[[#This Row],[Out-Time2]] - 表格3_5[[#This Row],[In-Time2]])*24</f>
        <v>0</v>
      </c>
      <c r="Q1008" s="205"/>
      <c r="R1008" s="214">
        <f>_xlfn.XLOOKUP(表格3_5[[#This Row],[Name]],Name_list[Full Name],Name_list[Hourr Rate])</f>
        <v>0</v>
      </c>
      <c r="S1008" s="210">
        <f>表格3_5[[#This Row],[Hours Worked]]*表格3_5[[#This Row],[Hourly Rate]]</f>
        <v>0</v>
      </c>
    </row>
    <row r="1009" spans="1:19">
      <c r="A1009" s="201">
        <v>1007</v>
      </c>
      <c r="B1009" s="210" t="str">
        <f>_xlfn.CONCAT(表格3_5[[#This Row],[Name]],表格3_5[[#This Row],[Location]])</f>
        <v/>
      </c>
      <c r="C1009" s="211" t="str">
        <f>表格3_5[[#This Row],[Location]] &amp; 表格3_5[[#This Row],[Date]] &amp;表格3_5[[#This Row],[Nick Name]]</f>
        <v>0</v>
      </c>
      <c r="D1009" s="202"/>
      <c r="E1009" s="211" t="str">
        <f>DAY(表格3_5[[#This Row],[Date]])&amp;""</f>
        <v>0</v>
      </c>
      <c r="F1009" s="203"/>
      <c r="G1009" s="216">
        <f>_xlfn.XLOOKUP(表格3_5[[#This Row],[Name]],Name_list[Full Name],Name_list[Nick Name])</f>
        <v>0</v>
      </c>
      <c r="H1009" s="207"/>
      <c r="I1009" s="228"/>
      <c r="J1009" s="218"/>
      <c r="K1009" s="205"/>
      <c r="L1009" s="210">
        <f>(表格3_5[[#This Row],[Out-Time]] - 表格3_5[[#This Row],[In-Time]])*24</f>
        <v>0</v>
      </c>
      <c r="M1009" s="210">
        <f>表格3_5[[#This Row],[ Hours]]-表格3_5[[#This Row],[Normal working
 hours]]</f>
        <v>0</v>
      </c>
      <c r="N1009" s="205"/>
      <c r="O1009" s="205"/>
      <c r="P1009" s="210">
        <f>(表格3_5[[#This Row],[Out-Time2]] - 表格3_5[[#This Row],[In-Time2]])*24</f>
        <v>0</v>
      </c>
      <c r="Q1009" s="205"/>
      <c r="R1009" s="214">
        <f>_xlfn.XLOOKUP(表格3_5[[#This Row],[Name]],Name_list[Full Name],Name_list[Hourr Rate])</f>
        <v>0</v>
      </c>
      <c r="S1009" s="210">
        <f>表格3_5[[#This Row],[Hours Worked]]*表格3_5[[#This Row],[Hourly Rate]]</f>
        <v>0</v>
      </c>
    </row>
    <row r="1010" spans="1:19">
      <c r="A1010" s="201">
        <v>1008</v>
      </c>
      <c r="B1010" s="210" t="str">
        <f>_xlfn.CONCAT(表格3_5[[#This Row],[Name]],表格3_5[[#This Row],[Location]])</f>
        <v/>
      </c>
      <c r="C1010" s="211" t="str">
        <f>表格3_5[[#This Row],[Location]] &amp; 表格3_5[[#This Row],[Date]] &amp;表格3_5[[#This Row],[Nick Name]]</f>
        <v>0</v>
      </c>
      <c r="D1010" s="202"/>
      <c r="E1010" s="211" t="str">
        <f>DAY(表格3_5[[#This Row],[Date]])&amp;""</f>
        <v>0</v>
      </c>
      <c r="F1010" s="203"/>
      <c r="G1010" s="216">
        <f>_xlfn.XLOOKUP(表格3_5[[#This Row],[Name]],Name_list[Full Name],Name_list[Nick Name])</f>
        <v>0</v>
      </c>
      <c r="H1010" s="207"/>
      <c r="I1010" s="228"/>
      <c r="J1010" s="218"/>
      <c r="K1010" s="205"/>
      <c r="L1010" s="210">
        <f>(表格3_5[[#This Row],[Out-Time]] - 表格3_5[[#This Row],[In-Time]])*24</f>
        <v>0</v>
      </c>
      <c r="M1010" s="210">
        <f>表格3_5[[#This Row],[ Hours]]-表格3_5[[#This Row],[Normal working
 hours]]</f>
        <v>0</v>
      </c>
      <c r="N1010" s="205"/>
      <c r="O1010" s="205"/>
      <c r="P1010" s="210">
        <f>(表格3_5[[#This Row],[Out-Time2]] - 表格3_5[[#This Row],[In-Time2]])*24</f>
        <v>0</v>
      </c>
      <c r="Q1010" s="205"/>
      <c r="R1010" s="214">
        <f>_xlfn.XLOOKUP(表格3_5[[#This Row],[Name]],Name_list[Full Name],Name_list[Hourr Rate])</f>
        <v>0</v>
      </c>
      <c r="S1010" s="210">
        <f>表格3_5[[#This Row],[Hours Worked]]*表格3_5[[#This Row],[Hourly Rate]]</f>
        <v>0</v>
      </c>
    </row>
    <row r="1011" spans="1:19">
      <c r="A1011" s="201">
        <v>1009</v>
      </c>
      <c r="B1011" s="210" t="str">
        <f>_xlfn.CONCAT(表格3_5[[#This Row],[Name]],表格3_5[[#This Row],[Location]])</f>
        <v/>
      </c>
      <c r="C1011" s="211" t="str">
        <f>表格3_5[[#This Row],[Location]] &amp; 表格3_5[[#This Row],[Date]] &amp;表格3_5[[#This Row],[Nick Name]]</f>
        <v>0</v>
      </c>
      <c r="D1011" s="202"/>
      <c r="E1011" s="211" t="str">
        <f>DAY(表格3_5[[#This Row],[Date]])&amp;""</f>
        <v>0</v>
      </c>
      <c r="F1011" s="203"/>
      <c r="G1011" s="216">
        <f>_xlfn.XLOOKUP(表格3_5[[#This Row],[Name]],Name_list[Full Name],Name_list[Nick Name])</f>
        <v>0</v>
      </c>
      <c r="H1011" s="207"/>
      <c r="I1011" s="228"/>
      <c r="J1011" s="218"/>
      <c r="K1011" s="205"/>
      <c r="L1011" s="210">
        <f>(表格3_5[[#This Row],[Out-Time]] - 表格3_5[[#This Row],[In-Time]])*24</f>
        <v>0</v>
      </c>
      <c r="M1011" s="210">
        <f>表格3_5[[#This Row],[ Hours]]-表格3_5[[#This Row],[Normal working
 hours]]</f>
        <v>0</v>
      </c>
      <c r="N1011" s="205"/>
      <c r="O1011" s="205"/>
      <c r="P1011" s="210">
        <f>(表格3_5[[#This Row],[Out-Time2]] - 表格3_5[[#This Row],[In-Time2]])*24</f>
        <v>0</v>
      </c>
      <c r="Q1011" s="205"/>
      <c r="R1011" s="214">
        <f>_xlfn.XLOOKUP(表格3_5[[#This Row],[Name]],Name_list[Full Name],Name_list[Hourr Rate])</f>
        <v>0</v>
      </c>
      <c r="S1011" s="210">
        <f>表格3_5[[#This Row],[Hours Worked]]*表格3_5[[#This Row],[Hourly Rate]]</f>
        <v>0</v>
      </c>
    </row>
    <row r="1012" spans="1:19">
      <c r="A1012" s="201">
        <v>1010</v>
      </c>
      <c r="B1012" s="210" t="str">
        <f>_xlfn.CONCAT(表格3_5[[#This Row],[Name]],表格3_5[[#This Row],[Location]])</f>
        <v/>
      </c>
      <c r="C1012" s="211" t="str">
        <f>表格3_5[[#This Row],[Location]] &amp; 表格3_5[[#This Row],[Date]] &amp;表格3_5[[#This Row],[Nick Name]]</f>
        <v>0</v>
      </c>
      <c r="D1012" s="202"/>
      <c r="E1012" s="211" t="str">
        <f>DAY(表格3_5[[#This Row],[Date]])&amp;""</f>
        <v>0</v>
      </c>
      <c r="F1012" s="203"/>
      <c r="G1012" s="216">
        <f>_xlfn.XLOOKUP(表格3_5[[#This Row],[Name]],Name_list[Full Name],Name_list[Nick Name])</f>
        <v>0</v>
      </c>
      <c r="H1012" s="207"/>
      <c r="I1012" s="228"/>
      <c r="J1012" s="218"/>
      <c r="K1012" s="205"/>
      <c r="L1012" s="210">
        <f>(表格3_5[[#This Row],[Out-Time]] - 表格3_5[[#This Row],[In-Time]])*24</f>
        <v>0</v>
      </c>
      <c r="M1012" s="210">
        <f>表格3_5[[#This Row],[ Hours]]-表格3_5[[#This Row],[Normal working
 hours]]</f>
        <v>0</v>
      </c>
      <c r="N1012" s="205"/>
      <c r="O1012" s="205"/>
      <c r="P1012" s="210">
        <f>(表格3_5[[#This Row],[Out-Time2]] - 表格3_5[[#This Row],[In-Time2]])*24</f>
        <v>0</v>
      </c>
      <c r="Q1012" s="205"/>
      <c r="R1012" s="214">
        <f>_xlfn.XLOOKUP(表格3_5[[#This Row],[Name]],Name_list[Full Name],Name_list[Hourr Rate])</f>
        <v>0</v>
      </c>
      <c r="S1012" s="210">
        <f>表格3_5[[#This Row],[Hours Worked]]*表格3_5[[#This Row],[Hourly Rate]]</f>
        <v>0</v>
      </c>
    </row>
    <row r="1013" spans="1:19">
      <c r="A1013" s="201">
        <v>1011</v>
      </c>
      <c r="B1013" s="210" t="str">
        <f>_xlfn.CONCAT(表格3_5[[#This Row],[Name]],表格3_5[[#This Row],[Location]])</f>
        <v/>
      </c>
      <c r="C1013" s="211" t="str">
        <f>表格3_5[[#This Row],[Location]] &amp; 表格3_5[[#This Row],[Date]] &amp;表格3_5[[#This Row],[Nick Name]]</f>
        <v>0</v>
      </c>
      <c r="D1013" s="202"/>
      <c r="E1013" s="211" t="str">
        <f>DAY(表格3_5[[#This Row],[Date]])&amp;""</f>
        <v>0</v>
      </c>
      <c r="F1013" s="203"/>
      <c r="G1013" s="216">
        <f>_xlfn.XLOOKUP(表格3_5[[#This Row],[Name]],Name_list[Full Name],Name_list[Nick Name])</f>
        <v>0</v>
      </c>
      <c r="H1013" s="207"/>
      <c r="I1013" s="228"/>
      <c r="J1013" s="218"/>
      <c r="K1013" s="205"/>
      <c r="L1013" s="210">
        <f>(表格3_5[[#This Row],[Out-Time]] - 表格3_5[[#This Row],[In-Time]])*24</f>
        <v>0</v>
      </c>
      <c r="M1013" s="210">
        <f>表格3_5[[#This Row],[ Hours]]-表格3_5[[#This Row],[Normal working
 hours]]</f>
        <v>0</v>
      </c>
      <c r="N1013" s="205"/>
      <c r="O1013" s="205"/>
      <c r="P1013" s="210">
        <f>(表格3_5[[#This Row],[Out-Time2]] - 表格3_5[[#This Row],[In-Time2]])*24</f>
        <v>0</v>
      </c>
      <c r="Q1013" s="205"/>
      <c r="R1013" s="214">
        <f>_xlfn.XLOOKUP(表格3_5[[#This Row],[Name]],Name_list[Full Name],Name_list[Hourr Rate])</f>
        <v>0</v>
      </c>
      <c r="S1013" s="210">
        <f>表格3_5[[#This Row],[Hours Worked]]*表格3_5[[#This Row],[Hourly Rate]]</f>
        <v>0</v>
      </c>
    </row>
    <row r="1014" spans="1:19">
      <c r="A1014" s="201">
        <v>1012</v>
      </c>
      <c r="B1014" s="210" t="str">
        <f>_xlfn.CONCAT(表格3_5[[#This Row],[Name]],表格3_5[[#This Row],[Location]])</f>
        <v/>
      </c>
      <c r="C1014" s="211" t="str">
        <f>表格3_5[[#This Row],[Location]] &amp; 表格3_5[[#This Row],[Date]] &amp;表格3_5[[#This Row],[Nick Name]]</f>
        <v>0</v>
      </c>
      <c r="D1014" s="202"/>
      <c r="E1014" s="211" t="str">
        <f>DAY(表格3_5[[#This Row],[Date]])&amp;""</f>
        <v>0</v>
      </c>
      <c r="F1014" s="203"/>
      <c r="G1014" s="216">
        <f>_xlfn.XLOOKUP(表格3_5[[#This Row],[Name]],Name_list[Full Name],Name_list[Nick Name])</f>
        <v>0</v>
      </c>
      <c r="H1014" s="207"/>
      <c r="I1014" s="228"/>
      <c r="J1014" s="218"/>
      <c r="K1014" s="205"/>
      <c r="L1014" s="210">
        <f>(表格3_5[[#This Row],[Out-Time]] - 表格3_5[[#This Row],[In-Time]])*24</f>
        <v>0</v>
      </c>
      <c r="M1014" s="210">
        <f>表格3_5[[#This Row],[ Hours]]-表格3_5[[#This Row],[Normal working
 hours]]</f>
        <v>0</v>
      </c>
      <c r="N1014" s="205"/>
      <c r="O1014" s="205"/>
      <c r="P1014" s="210">
        <f>(表格3_5[[#This Row],[Out-Time2]] - 表格3_5[[#This Row],[In-Time2]])*24</f>
        <v>0</v>
      </c>
      <c r="Q1014" s="205"/>
      <c r="R1014" s="214">
        <f>_xlfn.XLOOKUP(表格3_5[[#This Row],[Name]],Name_list[Full Name],Name_list[Hourr Rate])</f>
        <v>0</v>
      </c>
      <c r="S1014" s="210">
        <f>表格3_5[[#This Row],[Hours Worked]]*表格3_5[[#This Row],[Hourly Rate]]</f>
        <v>0</v>
      </c>
    </row>
    <row r="1015" spans="1:19">
      <c r="A1015" s="201">
        <v>1013</v>
      </c>
      <c r="B1015" s="210" t="str">
        <f>_xlfn.CONCAT(表格3_5[[#This Row],[Name]],表格3_5[[#This Row],[Location]])</f>
        <v/>
      </c>
      <c r="C1015" s="211" t="str">
        <f>表格3_5[[#This Row],[Location]] &amp; 表格3_5[[#This Row],[Date]] &amp;表格3_5[[#This Row],[Nick Name]]</f>
        <v>0</v>
      </c>
      <c r="D1015" s="202"/>
      <c r="E1015" s="211" t="str">
        <f>DAY(表格3_5[[#This Row],[Date]])&amp;""</f>
        <v>0</v>
      </c>
      <c r="F1015" s="203"/>
      <c r="G1015" s="216">
        <f>_xlfn.XLOOKUP(表格3_5[[#This Row],[Name]],Name_list[Full Name],Name_list[Nick Name])</f>
        <v>0</v>
      </c>
      <c r="H1015" s="207"/>
      <c r="I1015" s="228"/>
      <c r="J1015" s="218"/>
      <c r="K1015" s="205"/>
      <c r="L1015" s="210">
        <f>(表格3_5[[#This Row],[Out-Time]] - 表格3_5[[#This Row],[In-Time]])*24</f>
        <v>0</v>
      </c>
      <c r="M1015" s="210">
        <f>表格3_5[[#This Row],[ Hours]]-表格3_5[[#This Row],[Normal working
 hours]]</f>
        <v>0</v>
      </c>
      <c r="N1015" s="205"/>
      <c r="O1015" s="205"/>
      <c r="P1015" s="210">
        <f>(表格3_5[[#This Row],[Out-Time2]] - 表格3_5[[#This Row],[In-Time2]])*24</f>
        <v>0</v>
      </c>
      <c r="Q1015" s="205"/>
      <c r="R1015" s="214">
        <f>_xlfn.XLOOKUP(表格3_5[[#This Row],[Name]],Name_list[Full Name],Name_list[Hourr Rate])</f>
        <v>0</v>
      </c>
      <c r="S1015" s="210">
        <f>表格3_5[[#This Row],[Hours Worked]]*表格3_5[[#This Row],[Hourly Rate]]</f>
        <v>0</v>
      </c>
    </row>
    <row r="1016" spans="1:19">
      <c r="A1016" s="201">
        <v>1014</v>
      </c>
      <c r="B1016" s="210" t="str">
        <f>_xlfn.CONCAT(表格3_5[[#This Row],[Name]],表格3_5[[#This Row],[Location]])</f>
        <v/>
      </c>
      <c r="C1016" s="211" t="str">
        <f>表格3_5[[#This Row],[Location]] &amp; 表格3_5[[#This Row],[Date]] &amp;表格3_5[[#This Row],[Nick Name]]</f>
        <v>0</v>
      </c>
      <c r="D1016" s="202"/>
      <c r="E1016" s="211" t="str">
        <f>DAY(表格3_5[[#This Row],[Date]])&amp;""</f>
        <v>0</v>
      </c>
      <c r="F1016" s="203"/>
      <c r="G1016" s="216">
        <f>_xlfn.XLOOKUP(表格3_5[[#This Row],[Name]],Name_list[Full Name],Name_list[Nick Name])</f>
        <v>0</v>
      </c>
      <c r="H1016" s="207"/>
      <c r="I1016" s="228"/>
      <c r="J1016" s="218"/>
      <c r="K1016" s="205"/>
      <c r="L1016" s="210">
        <f>(表格3_5[[#This Row],[Out-Time]] - 表格3_5[[#This Row],[In-Time]])*24</f>
        <v>0</v>
      </c>
      <c r="M1016" s="210">
        <f>表格3_5[[#This Row],[ Hours]]-表格3_5[[#This Row],[Normal working
 hours]]</f>
        <v>0</v>
      </c>
      <c r="N1016" s="205"/>
      <c r="O1016" s="205"/>
      <c r="P1016" s="210">
        <f>(表格3_5[[#This Row],[Out-Time2]] - 表格3_5[[#This Row],[In-Time2]])*24</f>
        <v>0</v>
      </c>
      <c r="Q1016" s="205"/>
      <c r="R1016" s="214">
        <f>_xlfn.XLOOKUP(表格3_5[[#This Row],[Name]],Name_list[Full Name],Name_list[Hourr Rate])</f>
        <v>0</v>
      </c>
      <c r="S1016" s="210">
        <f>表格3_5[[#This Row],[Hours Worked]]*表格3_5[[#This Row],[Hourly Rate]]</f>
        <v>0</v>
      </c>
    </row>
    <row r="1017" spans="1:19">
      <c r="A1017" s="201">
        <v>1015</v>
      </c>
      <c r="B1017" s="210" t="str">
        <f>_xlfn.CONCAT(表格3_5[[#This Row],[Name]],表格3_5[[#This Row],[Location]])</f>
        <v/>
      </c>
      <c r="C1017" s="211" t="str">
        <f>表格3_5[[#This Row],[Location]] &amp; 表格3_5[[#This Row],[Date]] &amp;表格3_5[[#This Row],[Nick Name]]</f>
        <v>0</v>
      </c>
      <c r="D1017" s="202"/>
      <c r="E1017" s="211" t="str">
        <f>DAY(表格3_5[[#This Row],[Date]])&amp;""</f>
        <v>0</v>
      </c>
      <c r="F1017" s="203"/>
      <c r="G1017" s="216">
        <f>_xlfn.XLOOKUP(表格3_5[[#This Row],[Name]],Name_list[Full Name],Name_list[Nick Name])</f>
        <v>0</v>
      </c>
      <c r="H1017" s="207"/>
      <c r="I1017" s="228"/>
      <c r="J1017" s="218"/>
      <c r="K1017" s="205"/>
      <c r="L1017" s="210">
        <f>(表格3_5[[#This Row],[Out-Time]] - 表格3_5[[#This Row],[In-Time]])*24</f>
        <v>0</v>
      </c>
      <c r="M1017" s="210">
        <f>表格3_5[[#This Row],[ Hours]]-表格3_5[[#This Row],[Normal working
 hours]]</f>
        <v>0</v>
      </c>
      <c r="N1017" s="205"/>
      <c r="O1017" s="205"/>
      <c r="P1017" s="210">
        <f>(表格3_5[[#This Row],[Out-Time2]] - 表格3_5[[#This Row],[In-Time2]])*24</f>
        <v>0</v>
      </c>
      <c r="Q1017" s="205"/>
      <c r="R1017" s="214">
        <f>_xlfn.XLOOKUP(表格3_5[[#This Row],[Name]],Name_list[Full Name],Name_list[Hourr Rate])</f>
        <v>0</v>
      </c>
      <c r="S1017" s="210">
        <f>表格3_5[[#This Row],[Hours Worked]]*表格3_5[[#This Row],[Hourly Rate]]</f>
        <v>0</v>
      </c>
    </row>
    <row r="1018" spans="1:19">
      <c r="A1018" s="201">
        <v>1016</v>
      </c>
      <c r="B1018" s="210" t="str">
        <f>_xlfn.CONCAT(表格3_5[[#This Row],[Name]],表格3_5[[#This Row],[Location]])</f>
        <v/>
      </c>
      <c r="C1018" s="211" t="str">
        <f>表格3_5[[#This Row],[Location]] &amp; 表格3_5[[#This Row],[Date]] &amp;表格3_5[[#This Row],[Nick Name]]</f>
        <v>0</v>
      </c>
      <c r="D1018" s="202"/>
      <c r="E1018" s="211" t="str">
        <f>DAY(表格3_5[[#This Row],[Date]])&amp;""</f>
        <v>0</v>
      </c>
      <c r="F1018" s="203"/>
      <c r="G1018" s="216">
        <f>_xlfn.XLOOKUP(表格3_5[[#This Row],[Name]],Name_list[Full Name],Name_list[Nick Name])</f>
        <v>0</v>
      </c>
      <c r="H1018" s="207"/>
      <c r="I1018" s="228"/>
      <c r="J1018" s="218"/>
      <c r="K1018" s="205"/>
      <c r="L1018" s="210">
        <f>(表格3_5[[#This Row],[Out-Time]] - 表格3_5[[#This Row],[In-Time]])*24</f>
        <v>0</v>
      </c>
      <c r="M1018" s="210">
        <f>表格3_5[[#This Row],[ Hours]]-表格3_5[[#This Row],[Normal working
 hours]]</f>
        <v>0</v>
      </c>
      <c r="N1018" s="205"/>
      <c r="O1018" s="205"/>
      <c r="P1018" s="210">
        <f>(表格3_5[[#This Row],[Out-Time2]] - 表格3_5[[#This Row],[In-Time2]])*24</f>
        <v>0</v>
      </c>
      <c r="Q1018" s="205"/>
      <c r="R1018" s="214">
        <f>_xlfn.XLOOKUP(表格3_5[[#This Row],[Name]],Name_list[Full Name],Name_list[Hourr Rate])</f>
        <v>0</v>
      </c>
      <c r="S1018" s="210">
        <f>表格3_5[[#This Row],[Hours Worked]]*表格3_5[[#This Row],[Hourly Rate]]</f>
        <v>0</v>
      </c>
    </row>
    <row r="1019" spans="1:19">
      <c r="A1019" s="201">
        <v>1017</v>
      </c>
      <c r="B1019" s="210" t="str">
        <f>_xlfn.CONCAT(表格3_5[[#This Row],[Name]],表格3_5[[#This Row],[Location]])</f>
        <v/>
      </c>
      <c r="C1019" s="211" t="str">
        <f>表格3_5[[#This Row],[Location]] &amp; 表格3_5[[#This Row],[Date]] &amp;表格3_5[[#This Row],[Nick Name]]</f>
        <v>0</v>
      </c>
      <c r="D1019" s="202"/>
      <c r="E1019" s="211" t="str">
        <f>DAY(表格3_5[[#This Row],[Date]])&amp;""</f>
        <v>0</v>
      </c>
      <c r="F1019" s="203"/>
      <c r="G1019" s="216">
        <f>_xlfn.XLOOKUP(表格3_5[[#This Row],[Name]],Name_list[Full Name],Name_list[Nick Name])</f>
        <v>0</v>
      </c>
      <c r="H1019" s="207"/>
      <c r="I1019" s="228"/>
      <c r="J1019" s="218"/>
      <c r="K1019" s="205"/>
      <c r="L1019" s="210">
        <f>(表格3_5[[#This Row],[Out-Time]] - 表格3_5[[#This Row],[In-Time]])*24</f>
        <v>0</v>
      </c>
      <c r="M1019" s="210">
        <f>表格3_5[[#This Row],[ Hours]]-表格3_5[[#This Row],[Normal working
 hours]]</f>
        <v>0</v>
      </c>
      <c r="N1019" s="205"/>
      <c r="O1019" s="205"/>
      <c r="P1019" s="210">
        <f>(表格3_5[[#This Row],[Out-Time2]] - 表格3_5[[#This Row],[In-Time2]])*24</f>
        <v>0</v>
      </c>
      <c r="Q1019" s="205"/>
      <c r="R1019" s="214">
        <f>_xlfn.XLOOKUP(表格3_5[[#This Row],[Name]],Name_list[Full Name],Name_list[Hourr Rate])</f>
        <v>0</v>
      </c>
      <c r="S1019" s="210">
        <f>表格3_5[[#This Row],[Hours Worked]]*表格3_5[[#This Row],[Hourly Rate]]</f>
        <v>0</v>
      </c>
    </row>
    <row r="1020" spans="1:19">
      <c r="A1020" s="201">
        <v>1018</v>
      </c>
      <c r="B1020" s="210" t="str">
        <f>_xlfn.CONCAT(表格3_5[[#This Row],[Name]],表格3_5[[#This Row],[Location]])</f>
        <v/>
      </c>
      <c r="C1020" s="211" t="str">
        <f>表格3_5[[#This Row],[Location]] &amp; 表格3_5[[#This Row],[Date]] &amp;表格3_5[[#This Row],[Nick Name]]</f>
        <v>0</v>
      </c>
      <c r="D1020" s="202"/>
      <c r="E1020" s="211" t="str">
        <f>DAY(表格3_5[[#This Row],[Date]])&amp;""</f>
        <v>0</v>
      </c>
      <c r="F1020" s="203"/>
      <c r="G1020" s="216">
        <f>_xlfn.XLOOKUP(表格3_5[[#This Row],[Name]],Name_list[Full Name],Name_list[Nick Name])</f>
        <v>0</v>
      </c>
      <c r="H1020" s="207"/>
      <c r="I1020" s="228"/>
      <c r="J1020" s="218"/>
      <c r="K1020" s="205"/>
      <c r="L1020" s="210">
        <f>(表格3_5[[#This Row],[Out-Time]] - 表格3_5[[#This Row],[In-Time]])*24</f>
        <v>0</v>
      </c>
      <c r="M1020" s="210">
        <f>表格3_5[[#This Row],[ Hours]]-表格3_5[[#This Row],[Normal working
 hours]]</f>
        <v>0</v>
      </c>
      <c r="N1020" s="205"/>
      <c r="O1020" s="205"/>
      <c r="P1020" s="210">
        <f>(表格3_5[[#This Row],[Out-Time2]] - 表格3_5[[#This Row],[In-Time2]])*24</f>
        <v>0</v>
      </c>
      <c r="Q1020" s="205"/>
      <c r="R1020" s="214">
        <f>_xlfn.XLOOKUP(表格3_5[[#This Row],[Name]],Name_list[Full Name],Name_list[Hourr Rate])</f>
        <v>0</v>
      </c>
      <c r="S1020" s="210">
        <f>表格3_5[[#This Row],[Hours Worked]]*表格3_5[[#This Row],[Hourly Rate]]</f>
        <v>0</v>
      </c>
    </row>
    <row r="1021" spans="1:19">
      <c r="A1021" s="201">
        <v>1019</v>
      </c>
      <c r="B1021" s="210" t="str">
        <f>_xlfn.CONCAT(表格3_5[[#This Row],[Name]],表格3_5[[#This Row],[Location]])</f>
        <v/>
      </c>
      <c r="C1021" s="211" t="str">
        <f>表格3_5[[#This Row],[Location]] &amp; 表格3_5[[#This Row],[Date]] &amp;表格3_5[[#This Row],[Nick Name]]</f>
        <v>0</v>
      </c>
      <c r="D1021" s="202"/>
      <c r="E1021" s="211" t="str">
        <f>DAY(表格3_5[[#This Row],[Date]])&amp;""</f>
        <v>0</v>
      </c>
      <c r="F1021" s="203"/>
      <c r="G1021" s="216">
        <f>_xlfn.XLOOKUP(表格3_5[[#This Row],[Name]],Name_list[Full Name],Name_list[Nick Name])</f>
        <v>0</v>
      </c>
      <c r="H1021" s="207"/>
      <c r="I1021" s="228"/>
      <c r="J1021" s="218"/>
      <c r="K1021" s="205"/>
      <c r="L1021" s="210">
        <f>(表格3_5[[#This Row],[Out-Time]] - 表格3_5[[#This Row],[In-Time]])*24</f>
        <v>0</v>
      </c>
      <c r="M1021" s="210">
        <f>表格3_5[[#This Row],[ Hours]]-表格3_5[[#This Row],[Normal working
 hours]]</f>
        <v>0</v>
      </c>
      <c r="N1021" s="205"/>
      <c r="O1021" s="205"/>
      <c r="P1021" s="210">
        <f>(表格3_5[[#This Row],[Out-Time2]] - 表格3_5[[#This Row],[In-Time2]])*24</f>
        <v>0</v>
      </c>
      <c r="Q1021" s="205"/>
      <c r="R1021" s="214">
        <f>_xlfn.XLOOKUP(表格3_5[[#This Row],[Name]],Name_list[Full Name],Name_list[Hourr Rate])</f>
        <v>0</v>
      </c>
      <c r="S1021" s="210">
        <f>表格3_5[[#This Row],[Hours Worked]]*表格3_5[[#This Row],[Hourly Rate]]</f>
        <v>0</v>
      </c>
    </row>
    <row r="1022" spans="1:19">
      <c r="A1022" s="201">
        <v>1020</v>
      </c>
      <c r="B1022" s="210" t="str">
        <f>_xlfn.CONCAT(表格3_5[[#This Row],[Name]],表格3_5[[#This Row],[Location]])</f>
        <v/>
      </c>
      <c r="C1022" s="211" t="str">
        <f>表格3_5[[#This Row],[Location]] &amp; 表格3_5[[#This Row],[Date]] &amp;表格3_5[[#This Row],[Nick Name]]</f>
        <v>0</v>
      </c>
      <c r="D1022" s="202"/>
      <c r="E1022" s="211" t="str">
        <f>DAY(表格3_5[[#This Row],[Date]])&amp;""</f>
        <v>0</v>
      </c>
      <c r="F1022" s="203"/>
      <c r="G1022" s="216">
        <f>_xlfn.XLOOKUP(表格3_5[[#This Row],[Name]],Name_list[Full Name],Name_list[Nick Name])</f>
        <v>0</v>
      </c>
      <c r="H1022" s="207"/>
      <c r="I1022" s="228"/>
      <c r="J1022" s="218"/>
      <c r="K1022" s="205"/>
      <c r="L1022" s="210">
        <f>(表格3_5[[#This Row],[Out-Time]] - 表格3_5[[#This Row],[In-Time]])*24</f>
        <v>0</v>
      </c>
      <c r="M1022" s="210">
        <f>表格3_5[[#This Row],[ Hours]]-表格3_5[[#This Row],[Normal working
 hours]]</f>
        <v>0</v>
      </c>
      <c r="N1022" s="205"/>
      <c r="O1022" s="205"/>
      <c r="P1022" s="210">
        <f>(表格3_5[[#This Row],[Out-Time2]] - 表格3_5[[#This Row],[In-Time2]])*24</f>
        <v>0</v>
      </c>
      <c r="Q1022" s="205"/>
      <c r="R1022" s="214">
        <f>_xlfn.XLOOKUP(表格3_5[[#This Row],[Name]],Name_list[Full Name],Name_list[Hourr Rate])</f>
        <v>0</v>
      </c>
      <c r="S1022" s="210">
        <f>表格3_5[[#This Row],[Hours Worked]]*表格3_5[[#This Row],[Hourly Rate]]</f>
        <v>0</v>
      </c>
    </row>
    <row r="1023" spans="1:19">
      <c r="A1023" s="201">
        <v>1021</v>
      </c>
      <c r="B1023" s="210" t="str">
        <f>_xlfn.CONCAT(表格3_5[[#This Row],[Name]],表格3_5[[#This Row],[Location]])</f>
        <v/>
      </c>
      <c r="C1023" s="211" t="str">
        <f>表格3_5[[#This Row],[Location]] &amp; 表格3_5[[#This Row],[Date]] &amp;表格3_5[[#This Row],[Nick Name]]</f>
        <v>0</v>
      </c>
      <c r="D1023" s="202"/>
      <c r="E1023" s="211" t="str">
        <f>DAY(表格3_5[[#This Row],[Date]])&amp;""</f>
        <v>0</v>
      </c>
      <c r="F1023" s="203"/>
      <c r="G1023" s="216">
        <f>_xlfn.XLOOKUP(表格3_5[[#This Row],[Name]],Name_list[Full Name],Name_list[Nick Name])</f>
        <v>0</v>
      </c>
      <c r="H1023" s="207"/>
      <c r="I1023" s="228"/>
      <c r="J1023" s="218"/>
      <c r="K1023" s="205"/>
      <c r="L1023" s="210">
        <f>(表格3_5[[#This Row],[Out-Time]] - 表格3_5[[#This Row],[In-Time]])*24</f>
        <v>0</v>
      </c>
      <c r="M1023" s="210">
        <f>表格3_5[[#This Row],[ Hours]]-表格3_5[[#This Row],[Normal working
 hours]]</f>
        <v>0</v>
      </c>
      <c r="N1023" s="205"/>
      <c r="O1023" s="205"/>
      <c r="P1023" s="210">
        <f>(表格3_5[[#This Row],[Out-Time2]] - 表格3_5[[#This Row],[In-Time2]])*24</f>
        <v>0</v>
      </c>
      <c r="Q1023" s="205"/>
      <c r="R1023" s="214">
        <f>_xlfn.XLOOKUP(表格3_5[[#This Row],[Name]],Name_list[Full Name],Name_list[Hourr Rate])</f>
        <v>0</v>
      </c>
      <c r="S1023" s="210">
        <f>表格3_5[[#This Row],[Hours Worked]]*表格3_5[[#This Row],[Hourly Rate]]</f>
        <v>0</v>
      </c>
    </row>
    <row r="1024" spans="1:19">
      <c r="A1024" s="201">
        <v>1022</v>
      </c>
      <c r="B1024" s="210" t="str">
        <f>_xlfn.CONCAT(表格3_5[[#This Row],[Name]],表格3_5[[#This Row],[Location]])</f>
        <v/>
      </c>
      <c r="C1024" s="211" t="str">
        <f>表格3_5[[#This Row],[Location]] &amp; 表格3_5[[#This Row],[Date]] &amp;表格3_5[[#This Row],[Nick Name]]</f>
        <v>0</v>
      </c>
      <c r="D1024" s="202"/>
      <c r="E1024" s="211" t="str">
        <f>DAY(表格3_5[[#This Row],[Date]])&amp;""</f>
        <v>0</v>
      </c>
      <c r="F1024" s="203"/>
      <c r="G1024" s="216">
        <f>_xlfn.XLOOKUP(表格3_5[[#This Row],[Name]],Name_list[Full Name],Name_list[Nick Name])</f>
        <v>0</v>
      </c>
      <c r="H1024" s="207"/>
      <c r="I1024" s="228"/>
      <c r="J1024" s="218"/>
      <c r="K1024" s="205"/>
      <c r="L1024" s="210">
        <f>(表格3_5[[#This Row],[Out-Time]] - 表格3_5[[#This Row],[In-Time]])*24</f>
        <v>0</v>
      </c>
      <c r="M1024" s="210">
        <f>表格3_5[[#This Row],[ Hours]]-表格3_5[[#This Row],[Normal working
 hours]]</f>
        <v>0</v>
      </c>
      <c r="N1024" s="205"/>
      <c r="O1024" s="205"/>
      <c r="P1024" s="210">
        <f>(表格3_5[[#This Row],[Out-Time2]] - 表格3_5[[#This Row],[In-Time2]])*24</f>
        <v>0</v>
      </c>
      <c r="Q1024" s="205"/>
      <c r="R1024" s="214">
        <f>_xlfn.XLOOKUP(表格3_5[[#This Row],[Name]],Name_list[Full Name],Name_list[Hourr Rate])</f>
        <v>0</v>
      </c>
      <c r="S1024" s="210">
        <f>表格3_5[[#This Row],[Hours Worked]]*表格3_5[[#This Row],[Hourly Rate]]</f>
        <v>0</v>
      </c>
    </row>
    <row r="1025" spans="1:19">
      <c r="A1025" s="201">
        <v>1023</v>
      </c>
      <c r="B1025" s="210" t="str">
        <f>_xlfn.CONCAT(表格3_5[[#This Row],[Name]],表格3_5[[#This Row],[Location]])</f>
        <v/>
      </c>
      <c r="C1025" s="211" t="str">
        <f>表格3_5[[#This Row],[Location]] &amp; 表格3_5[[#This Row],[Date]] &amp;表格3_5[[#This Row],[Nick Name]]</f>
        <v>0</v>
      </c>
      <c r="D1025" s="202"/>
      <c r="E1025" s="211" t="str">
        <f>DAY(表格3_5[[#This Row],[Date]])&amp;""</f>
        <v>0</v>
      </c>
      <c r="F1025" s="203"/>
      <c r="G1025" s="216">
        <f>_xlfn.XLOOKUP(表格3_5[[#This Row],[Name]],Name_list[Full Name],Name_list[Nick Name])</f>
        <v>0</v>
      </c>
      <c r="H1025" s="207"/>
      <c r="I1025" s="228"/>
      <c r="J1025" s="218"/>
      <c r="K1025" s="205"/>
      <c r="L1025" s="210">
        <f>(表格3_5[[#This Row],[Out-Time]] - 表格3_5[[#This Row],[In-Time]])*24</f>
        <v>0</v>
      </c>
      <c r="M1025" s="210">
        <f>表格3_5[[#This Row],[ Hours]]-表格3_5[[#This Row],[Normal working
 hours]]</f>
        <v>0</v>
      </c>
      <c r="N1025" s="205"/>
      <c r="O1025" s="205"/>
      <c r="P1025" s="210">
        <f>(表格3_5[[#This Row],[Out-Time2]] - 表格3_5[[#This Row],[In-Time2]])*24</f>
        <v>0</v>
      </c>
      <c r="Q1025" s="205"/>
      <c r="R1025" s="214">
        <f>_xlfn.XLOOKUP(表格3_5[[#This Row],[Name]],Name_list[Full Name],Name_list[Hourr Rate])</f>
        <v>0</v>
      </c>
      <c r="S1025" s="210">
        <f>表格3_5[[#This Row],[Hours Worked]]*表格3_5[[#This Row],[Hourly Rate]]</f>
        <v>0</v>
      </c>
    </row>
    <row r="1026" spans="1:19">
      <c r="A1026" s="201">
        <v>1024</v>
      </c>
      <c r="B1026" s="210" t="str">
        <f>_xlfn.CONCAT(表格3_5[[#This Row],[Name]],表格3_5[[#This Row],[Location]])</f>
        <v/>
      </c>
      <c r="C1026" s="211" t="str">
        <f>表格3_5[[#This Row],[Location]] &amp; 表格3_5[[#This Row],[Date]] &amp;表格3_5[[#This Row],[Nick Name]]</f>
        <v>0</v>
      </c>
      <c r="D1026" s="202"/>
      <c r="E1026" s="211" t="str">
        <f>DAY(表格3_5[[#This Row],[Date]])&amp;""</f>
        <v>0</v>
      </c>
      <c r="F1026" s="203"/>
      <c r="G1026" s="216">
        <f>_xlfn.XLOOKUP(表格3_5[[#This Row],[Name]],Name_list[Full Name],Name_list[Nick Name])</f>
        <v>0</v>
      </c>
      <c r="H1026" s="207"/>
      <c r="I1026" s="228"/>
      <c r="J1026" s="218"/>
      <c r="K1026" s="205"/>
      <c r="L1026" s="210">
        <f>(表格3_5[[#This Row],[Out-Time]] - 表格3_5[[#This Row],[In-Time]])*24</f>
        <v>0</v>
      </c>
      <c r="M1026" s="210">
        <f>表格3_5[[#This Row],[ Hours]]-表格3_5[[#This Row],[Normal working
 hours]]</f>
        <v>0</v>
      </c>
      <c r="N1026" s="205"/>
      <c r="O1026" s="205"/>
      <c r="P1026" s="210">
        <f>(表格3_5[[#This Row],[Out-Time2]] - 表格3_5[[#This Row],[In-Time2]])*24</f>
        <v>0</v>
      </c>
      <c r="Q1026" s="205"/>
      <c r="R1026" s="214">
        <f>_xlfn.XLOOKUP(表格3_5[[#This Row],[Name]],Name_list[Full Name],Name_list[Hourr Rate])</f>
        <v>0</v>
      </c>
      <c r="S1026" s="210">
        <f>表格3_5[[#This Row],[Hours Worked]]*表格3_5[[#This Row],[Hourly Rate]]</f>
        <v>0</v>
      </c>
    </row>
    <row r="1027" spans="1:19">
      <c r="A1027" s="201">
        <v>1025</v>
      </c>
      <c r="B1027" s="210" t="str">
        <f>_xlfn.CONCAT(表格3_5[[#This Row],[Name]],表格3_5[[#This Row],[Location]])</f>
        <v/>
      </c>
      <c r="C1027" s="211" t="str">
        <f>表格3_5[[#This Row],[Location]] &amp; 表格3_5[[#This Row],[Date]] &amp;表格3_5[[#This Row],[Nick Name]]</f>
        <v>0</v>
      </c>
      <c r="D1027" s="202"/>
      <c r="E1027" s="211" t="str">
        <f>DAY(表格3_5[[#This Row],[Date]])&amp;""</f>
        <v>0</v>
      </c>
      <c r="F1027" s="203"/>
      <c r="G1027" s="216">
        <f>_xlfn.XLOOKUP(表格3_5[[#This Row],[Name]],Name_list[Full Name],Name_list[Nick Name])</f>
        <v>0</v>
      </c>
      <c r="H1027" s="207"/>
      <c r="I1027" s="228"/>
      <c r="J1027" s="218"/>
      <c r="K1027" s="205"/>
      <c r="L1027" s="210">
        <f>(表格3_5[[#This Row],[Out-Time]] - 表格3_5[[#This Row],[In-Time]])*24</f>
        <v>0</v>
      </c>
      <c r="M1027" s="210">
        <f>表格3_5[[#This Row],[ Hours]]-表格3_5[[#This Row],[Normal working
 hours]]</f>
        <v>0</v>
      </c>
      <c r="N1027" s="205"/>
      <c r="O1027" s="205"/>
      <c r="P1027" s="210">
        <f>(表格3_5[[#This Row],[Out-Time2]] - 表格3_5[[#This Row],[In-Time2]])*24</f>
        <v>0</v>
      </c>
      <c r="Q1027" s="205"/>
      <c r="R1027" s="214">
        <f>_xlfn.XLOOKUP(表格3_5[[#This Row],[Name]],Name_list[Full Name],Name_list[Hourr Rate])</f>
        <v>0</v>
      </c>
      <c r="S1027" s="210">
        <f>表格3_5[[#This Row],[Hours Worked]]*表格3_5[[#This Row],[Hourly Rate]]</f>
        <v>0</v>
      </c>
    </row>
    <row r="1028" spans="1:19">
      <c r="A1028" s="201">
        <v>1026</v>
      </c>
      <c r="B1028" s="210" t="str">
        <f>_xlfn.CONCAT(表格3_5[[#This Row],[Name]],表格3_5[[#This Row],[Location]])</f>
        <v/>
      </c>
      <c r="C1028" s="211" t="str">
        <f>表格3_5[[#This Row],[Location]] &amp; 表格3_5[[#This Row],[Date]] &amp;表格3_5[[#This Row],[Nick Name]]</f>
        <v>0</v>
      </c>
      <c r="D1028" s="202"/>
      <c r="E1028" s="211" t="str">
        <f>DAY(表格3_5[[#This Row],[Date]])&amp;""</f>
        <v>0</v>
      </c>
      <c r="F1028" s="203"/>
      <c r="G1028" s="216">
        <f>_xlfn.XLOOKUP(表格3_5[[#This Row],[Name]],Name_list[Full Name],Name_list[Nick Name])</f>
        <v>0</v>
      </c>
      <c r="H1028" s="207"/>
      <c r="I1028" s="228"/>
      <c r="J1028" s="218"/>
      <c r="K1028" s="205"/>
      <c r="L1028" s="210">
        <f>(表格3_5[[#This Row],[Out-Time]] - 表格3_5[[#This Row],[In-Time]])*24</f>
        <v>0</v>
      </c>
      <c r="M1028" s="210">
        <f>表格3_5[[#This Row],[ Hours]]-表格3_5[[#This Row],[Normal working
 hours]]</f>
        <v>0</v>
      </c>
      <c r="N1028" s="205"/>
      <c r="O1028" s="205"/>
      <c r="P1028" s="210">
        <f>(表格3_5[[#This Row],[Out-Time2]] - 表格3_5[[#This Row],[In-Time2]])*24</f>
        <v>0</v>
      </c>
      <c r="Q1028" s="205"/>
      <c r="R1028" s="214">
        <f>_xlfn.XLOOKUP(表格3_5[[#This Row],[Name]],Name_list[Full Name],Name_list[Hourr Rate])</f>
        <v>0</v>
      </c>
      <c r="S1028" s="210">
        <f>表格3_5[[#This Row],[Hours Worked]]*表格3_5[[#This Row],[Hourly Rate]]</f>
        <v>0</v>
      </c>
    </row>
    <row r="1029" spans="1:19">
      <c r="A1029" s="201">
        <v>1027</v>
      </c>
      <c r="B1029" s="210" t="str">
        <f>_xlfn.CONCAT(表格3_5[[#This Row],[Name]],表格3_5[[#This Row],[Location]])</f>
        <v/>
      </c>
      <c r="C1029" s="211" t="str">
        <f>表格3_5[[#This Row],[Location]] &amp; 表格3_5[[#This Row],[Date]] &amp;表格3_5[[#This Row],[Nick Name]]</f>
        <v>0</v>
      </c>
      <c r="D1029" s="202"/>
      <c r="E1029" s="211" t="str">
        <f>DAY(表格3_5[[#This Row],[Date]])&amp;""</f>
        <v>0</v>
      </c>
      <c r="F1029" s="203"/>
      <c r="G1029" s="216">
        <f>_xlfn.XLOOKUP(表格3_5[[#This Row],[Name]],Name_list[Full Name],Name_list[Nick Name])</f>
        <v>0</v>
      </c>
      <c r="H1029" s="207"/>
      <c r="I1029" s="228"/>
      <c r="J1029" s="218"/>
      <c r="K1029" s="205"/>
      <c r="L1029" s="210">
        <f>(表格3_5[[#This Row],[Out-Time]] - 表格3_5[[#This Row],[In-Time]])*24</f>
        <v>0</v>
      </c>
      <c r="M1029" s="210">
        <f>表格3_5[[#This Row],[ Hours]]-表格3_5[[#This Row],[Normal working
 hours]]</f>
        <v>0</v>
      </c>
      <c r="N1029" s="205"/>
      <c r="O1029" s="205"/>
      <c r="P1029" s="210">
        <f>(表格3_5[[#This Row],[Out-Time2]] - 表格3_5[[#This Row],[In-Time2]])*24</f>
        <v>0</v>
      </c>
      <c r="Q1029" s="205"/>
      <c r="R1029" s="214">
        <f>_xlfn.XLOOKUP(表格3_5[[#This Row],[Name]],Name_list[Full Name],Name_list[Hourr Rate])</f>
        <v>0</v>
      </c>
      <c r="S1029" s="210">
        <f>表格3_5[[#This Row],[Hours Worked]]*表格3_5[[#This Row],[Hourly Rate]]</f>
        <v>0</v>
      </c>
    </row>
    <row r="1030" spans="1:19">
      <c r="A1030" s="201">
        <v>1028</v>
      </c>
      <c r="B1030" s="210" t="str">
        <f>_xlfn.CONCAT(表格3_5[[#This Row],[Name]],表格3_5[[#This Row],[Location]])</f>
        <v/>
      </c>
      <c r="C1030" s="211" t="str">
        <f>表格3_5[[#This Row],[Location]] &amp; 表格3_5[[#This Row],[Date]] &amp;表格3_5[[#This Row],[Nick Name]]</f>
        <v>0</v>
      </c>
      <c r="D1030" s="202"/>
      <c r="E1030" s="211" t="str">
        <f>DAY(表格3_5[[#This Row],[Date]])&amp;""</f>
        <v>0</v>
      </c>
      <c r="F1030" s="203"/>
      <c r="G1030" s="216">
        <f>_xlfn.XLOOKUP(表格3_5[[#This Row],[Name]],Name_list[Full Name],Name_list[Nick Name])</f>
        <v>0</v>
      </c>
      <c r="H1030" s="207"/>
      <c r="I1030" s="228"/>
      <c r="J1030" s="218"/>
      <c r="K1030" s="205"/>
      <c r="L1030" s="210">
        <f>(表格3_5[[#This Row],[Out-Time]] - 表格3_5[[#This Row],[In-Time]])*24</f>
        <v>0</v>
      </c>
      <c r="M1030" s="210">
        <f>表格3_5[[#This Row],[ Hours]]-表格3_5[[#This Row],[Normal working
 hours]]</f>
        <v>0</v>
      </c>
      <c r="N1030" s="205"/>
      <c r="O1030" s="205"/>
      <c r="P1030" s="210">
        <f>(表格3_5[[#This Row],[Out-Time2]] - 表格3_5[[#This Row],[In-Time2]])*24</f>
        <v>0</v>
      </c>
      <c r="Q1030" s="205"/>
      <c r="R1030" s="214">
        <f>_xlfn.XLOOKUP(表格3_5[[#This Row],[Name]],Name_list[Full Name],Name_list[Hourr Rate])</f>
        <v>0</v>
      </c>
      <c r="S1030" s="210">
        <f>表格3_5[[#This Row],[Hours Worked]]*表格3_5[[#This Row],[Hourly Rate]]</f>
        <v>0</v>
      </c>
    </row>
    <row r="1031" spans="1:19">
      <c r="A1031" s="201">
        <v>1029</v>
      </c>
      <c r="B1031" s="210" t="str">
        <f>_xlfn.CONCAT(表格3_5[[#This Row],[Name]],表格3_5[[#This Row],[Location]])</f>
        <v/>
      </c>
      <c r="C1031" s="211" t="str">
        <f>表格3_5[[#This Row],[Location]] &amp; 表格3_5[[#This Row],[Date]] &amp;表格3_5[[#This Row],[Nick Name]]</f>
        <v>0</v>
      </c>
      <c r="D1031" s="202"/>
      <c r="E1031" s="211" t="str">
        <f>DAY(表格3_5[[#This Row],[Date]])&amp;""</f>
        <v>0</v>
      </c>
      <c r="F1031" s="203"/>
      <c r="G1031" s="216">
        <f>_xlfn.XLOOKUP(表格3_5[[#This Row],[Name]],Name_list[Full Name],Name_list[Nick Name])</f>
        <v>0</v>
      </c>
      <c r="H1031" s="207"/>
      <c r="I1031" s="228"/>
      <c r="J1031" s="218"/>
      <c r="K1031" s="205"/>
      <c r="L1031" s="210">
        <f>(表格3_5[[#This Row],[Out-Time]] - 表格3_5[[#This Row],[In-Time]])*24</f>
        <v>0</v>
      </c>
      <c r="M1031" s="210">
        <f>表格3_5[[#This Row],[ Hours]]-表格3_5[[#This Row],[Normal working
 hours]]</f>
        <v>0</v>
      </c>
      <c r="N1031" s="205"/>
      <c r="O1031" s="205"/>
      <c r="P1031" s="210">
        <f>(表格3_5[[#This Row],[Out-Time2]] - 表格3_5[[#This Row],[In-Time2]])*24</f>
        <v>0</v>
      </c>
      <c r="Q1031" s="205"/>
      <c r="R1031" s="214">
        <f>_xlfn.XLOOKUP(表格3_5[[#This Row],[Name]],Name_list[Full Name],Name_list[Hourr Rate])</f>
        <v>0</v>
      </c>
      <c r="S1031" s="210">
        <f>表格3_5[[#This Row],[Hours Worked]]*表格3_5[[#This Row],[Hourly Rate]]</f>
        <v>0</v>
      </c>
    </row>
    <row r="1032" spans="1:19">
      <c r="A1032" s="201">
        <v>1030</v>
      </c>
      <c r="B1032" s="210" t="str">
        <f>_xlfn.CONCAT(表格3_5[[#This Row],[Name]],表格3_5[[#This Row],[Location]])</f>
        <v/>
      </c>
      <c r="C1032" s="211" t="str">
        <f>表格3_5[[#This Row],[Location]] &amp; 表格3_5[[#This Row],[Date]] &amp;表格3_5[[#This Row],[Nick Name]]</f>
        <v>0</v>
      </c>
      <c r="D1032" s="202"/>
      <c r="E1032" s="211" t="str">
        <f>DAY(表格3_5[[#This Row],[Date]])&amp;""</f>
        <v>0</v>
      </c>
      <c r="F1032" s="203"/>
      <c r="G1032" s="216">
        <f>_xlfn.XLOOKUP(表格3_5[[#This Row],[Name]],Name_list[Full Name],Name_list[Nick Name])</f>
        <v>0</v>
      </c>
      <c r="H1032" s="207"/>
      <c r="I1032" s="228"/>
      <c r="J1032" s="218"/>
      <c r="K1032" s="205"/>
      <c r="L1032" s="210">
        <f>(表格3_5[[#This Row],[Out-Time]] - 表格3_5[[#This Row],[In-Time]])*24</f>
        <v>0</v>
      </c>
      <c r="M1032" s="210">
        <f>表格3_5[[#This Row],[ Hours]]-表格3_5[[#This Row],[Normal working
 hours]]</f>
        <v>0</v>
      </c>
      <c r="N1032" s="205"/>
      <c r="O1032" s="205"/>
      <c r="P1032" s="210">
        <f>(表格3_5[[#This Row],[Out-Time2]] - 表格3_5[[#This Row],[In-Time2]])*24</f>
        <v>0</v>
      </c>
      <c r="Q1032" s="205"/>
      <c r="R1032" s="214">
        <f>_xlfn.XLOOKUP(表格3_5[[#This Row],[Name]],Name_list[Full Name],Name_list[Hourr Rate])</f>
        <v>0</v>
      </c>
      <c r="S1032" s="210">
        <f>表格3_5[[#This Row],[Hours Worked]]*表格3_5[[#This Row],[Hourly Rate]]</f>
        <v>0</v>
      </c>
    </row>
    <row r="1033" spans="1:19">
      <c r="A1033" s="201">
        <v>1031</v>
      </c>
      <c r="B1033" s="210" t="str">
        <f>_xlfn.CONCAT(表格3_5[[#This Row],[Name]],表格3_5[[#This Row],[Location]])</f>
        <v/>
      </c>
      <c r="C1033" s="211" t="str">
        <f>表格3_5[[#This Row],[Location]] &amp; 表格3_5[[#This Row],[Date]] &amp;表格3_5[[#This Row],[Nick Name]]</f>
        <v>0</v>
      </c>
      <c r="D1033" s="202"/>
      <c r="E1033" s="211" t="str">
        <f>DAY(表格3_5[[#This Row],[Date]])&amp;""</f>
        <v>0</v>
      </c>
      <c r="F1033" s="203"/>
      <c r="G1033" s="216">
        <f>_xlfn.XLOOKUP(表格3_5[[#This Row],[Name]],Name_list[Full Name],Name_list[Nick Name])</f>
        <v>0</v>
      </c>
      <c r="H1033" s="207"/>
      <c r="I1033" s="228"/>
      <c r="J1033" s="218"/>
      <c r="K1033" s="205"/>
      <c r="L1033" s="210">
        <f>(表格3_5[[#This Row],[Out-Time]] - 表格3_5[[#This Row],[In-Time]])*24</f>
        <v>0</v>
      </c>
      <c r="M1033" s="210">
        <f>表格3_5[[#This Row],[ Hours]]-表格3_5[[#This Row],[Normal working
 hours]]</f>
        <v>0</v>
      </c>
      <c r="N1033" s="205"/>
      <c r="O1033" s="205"/>
      <c r="P1033" s="210">
        <f>(表格3_5[[#This Row],[Out-Time2]] - 表格3_5[[#This Row],[In-Time2]])*24</f>
        <v>0</v>
      </c>
      <c r="Q1033" s="205"/>
      <c r="R1033" s="214">
        <f>_xlfn.XLOOKUP(表格3_5[[#This Row],[Name]],Name_list[Full Name],Name_list[Hourr Rate])</f>
        <v>0</v>
      </c>
      <c r="S1033" s="210">
        <f>表格3_5[[#This Row],[Hours Worked]]*表格3_5[[#This Row],[Hourly Rate]]</f>
        <v>0</v>
      </c>
    </row>
    <row r="1034" spans="1:19">
      <c r="A1034" s="201">
        <v>1032</v>
      </c>
      <c r="B1034" s="210" t="str">
        <f>_xlfn.CONCAT(表格3_5[[#This Row],[Name]],表格3_5[[#This Row],[Location]])</f>
        <v/>
      </c>
      <c r="C1034" s="211" t="str">
        <f>表格3_5[[#This Row],[Location]] &amp; 表格3_5[[#This Row],[Date]] &amp;表格3_5[[#This Row],[Nick Name]]</f>
        <v>0</v>
      </c>
      <c r="D1034" s="202"/>
      <c r="E1034" s="211" t="str">
        <f>DAY(表格3_5[[#This Row],[Date]])&amp;""</f>
        <v>0</v>
      </c>
      <c r="F1034" s="203"/>
      <c r="G1034" s="216">
        <f>_xlfn.XLOOKUP(表格3_5[[#This Row],[Name]],Name_list[Full Name],Name_list[Nick Name])</f>
        <v>0</v>
      </c>
      <c r="H1034" s="207"/>
      <c r="I1034" s="228"/>
      <c r="J1034" s="218"/>
      <c r="K1034" s="205"/>
      <c r="L1034" s="210">
        <f>(表格3_5[[#This Row],[Out-Time]] - 表格3_5[[#This Row],[In-Time]])*24</f>
        <v>0</v>
      </c>
      <c r="M1034" s="210">
        <f>表格3_5[[#This Row],[ Hours]]-表格3_5[[#This Row],[Normal working
 hours]]</f>
        <v>0</v>
      </c>
      <c r="N1034" s="205"/>
      <c r="O1034" s="205"/>
      <c r="P1034" s="210">
        <f>(表格3_5[[#This Row],[Out-Time2]] - 表格3_5[[#This Row],[In-Time2]])*24</f>
        <v>0</v>
      </c>
      <c r="Q1034" s="205"/>
      <c r="R1034" s="214">
        <f>_xlfn.XLOOKUP(表格3_5[[#This Row],[Name]],Name_list[Full Name],Name_list[Hourr Rate])</f>
        <v>0</v>
      </c>
      <c r="S1034" s="210">
        <f>表格3_5[[#This Row],[Hours Worked]]*表格3_5[[#This Row],[Hourly Rate]]</f>
        <v>0</v>
      </c>
    </row>
    <row r="1035" spans="1:19">
      <c r="A1035" s="201">
        <v>1033</v>
      </c>
      <c r="B1035" s="210" t="str">
        <f>_xlfn.CONCAT(表格3_5[[#This Row],[Name]],表格3_5[[#This Row],[Location]])</f>
        <v/>
      </c>
      <c r="C1035" s="211" t="str">
        <f>表格3_5[[#This Row],[Location]] &amp; 表格3_5[[#This Row],[Date]] &amp;表格3_5[[#This Row],[Nick Name]]</f>
        <v>0</v>
      </c>
      <c r="D1035" s="202"/>
      <c r="E1035" s="211" t="str">
        <f>DAY(表格3_5[[#This Row],[Date]])&amp;""</f>
        <v>0</v>
      </c>
      <c r="F1035" s="203"/>
      <c r="G1035" s="216">
        <f>_xlfn.XLOOKUP(表格3_5[[#This Row],[Name]],Name_list[Full Name],Name_list[Nick Name])</f>
        <v>0</v>
      </c>
      <c r="H1035" s="207"/>
      <c r="I1035" s="228"/>
      <c r="J1035" s="218"/>
      <c r="K1035" s="205"/>
      <c r="L1035" s="210">
        <f>(表格3_5[[#This Row],[Out-Time]] - 表格3_5[[#This Row],[In-Time]])*24</f>
        <v>0</v>
      </c>
      <c r="M1035" s="210">
        <f>表格3_5[[#This Row],[ Hours]]-表格3_5[[#This Row],[Normal working
 hours]]</f>
        <v>0</v>
      </c>
      <c r="N1035" s="205"/>
      <c r="O1035" s="205"/>
      <c r="P1035" s="210">
        <f>(表格3_5[[#This Row],[Out-Time2]] - 表格3_5[[#This Row],[In-Time2]])*24</f>
        <v>0</v>
      </c>
      <c r="Q1035" s="205"/>
      <c r="R1035" s="214">
        <f>_xlfn.XLOOKUP(表格3_5[[#This Row],[Name]],Name_list[Full Name],Name_list[Hourr Rate])</f>
        <v>0</v>
      </c>
      <c r="S1035" s="210">
        <f>表格3_5[[#This Row],[Hours Worked]]*表格3_5[[#This Row],[Hourly Rate]]</f>
        <v>0</v>
      </c>
    </row>
    <row r="1036" spans="1:19">
      <c r="A1036" s="201">
        <v>1034</v>
      </c>
      <c r="B1036" s="210" t="str">
        <f>_xlfn.CONCAT(表格3_5[[#This Row],[Name]],表格3_5[[#This Row],[Location]])</f>
        <v/>
      </c>
      <c r="C1036" s="211" t="str">
        <f>表格3_5[[#This Row],[Location]] &amp; 表格3_5[[#This Row],[Date]] &amp;表格3_5[[#This Row],[Nick Name]]</f>
        <v>0</v>
      </c>
      <c r="D1036" s="202"/>
      <c r="E1036" s="211" t="str">
        <f>DAY(表格3_5[[#This Row],[Date]])&amp;""</f>
        <v>0</v>
      </c>
      <c r="F1036" s="203"/>
      <c r="G1036" s="216">
        <f>_xlfn.XLOOKUP(表格3_5[[#This Row],[Name]],Name_list[Full Name],Name_list[Nick Name])</f>
        <v>0</v>
      </c>
      <c r="H1036" s="207"/>
      <c r="I1036" s="228"/>
      <c r="J1036" s="218"/>
      <c r="K1036" s="205"/>
      <c r="L1036" s="210">
        <f>(表格3_5[[#This Row],[Out-Time]] - 表格3_5[[#This Row],[In-Time]])*24</f>
        <v>0</v>
      </c>
      <c r="M1036" s="210">
        <f>表格3_5[[#This Row],[ Hours]]-表格3_5[[#This Row],[Normal working
 hours]]</f>
        <v>0</v>
      </c>
      <c r="N1036" s="205"/>
      <c r="O1036" s="205"/>
      <c r="P1036" s="210">
        <f>(表格3_5[[#This Row],[Out-Time2]] - 表格3_5[[#This Row],[In-Time2]])*24</f>
        <v>0</v>
      </c>
      <c r="Q1036" s="205"/>
      <c r="R1036" s="214">
        <f>_xlfn.XLOOKUP(表格3_5[[#This Row],[Name]],Name_list[Full Name],Name_list[Hourr Rate])</f>
        <v>0</v>
      </c>
      <c r="S1036" s="210">
        <f>表格3_5[[#This Row],[Hours Worked]]*表格3_5[[#This Row],[Hourly Rate]]</f>
        <v>0</v>
      </c>
    </row>
    <row r="1037" spans="1:19">
      <c r="A1037" s="201">
        <v>1035</v>
      </c>
      <c r="B1037" s="210" t="str">
        <f>_xlfn.CONCAT(表格3_5[[#This Row],[Name]],表格3_5[[#This Row],[Location]])</f>
        <v/>
      </c>
      <c r="C1037" s="211" t="str">
        <f>表格3_5[[#This Row],[Location]] &amp; 表格3_5[[#This Row],[Date]] &amp;表格3_5[[#This Row],[Nick Name]]</f>
        <v>0</v>
      </c>
      <c r="D1037" s="202"/>
      <c r="E1037" s="211" t="str">
        <f>DAY(表格3_5[[#This Row],[Date]])&amp;""</f>
        <v>0</v>
      </c>
      <c r="F1037" s="203"/>
      <c r="G1037" s="216">
        <f>_xlfn.XLOOKUP(表格3_5[[#This Row],[Name]],Name_list[Full Name],Name_list[Nick Name])</f>
        <v>0</v>
      </c>
      <c r="H1037" s="207"/>
      <c r="I1037" s="228"/>
      <c r="J1037" s="218"/>
      <c r="K1037" s="205"/>
      <c r="L1037" s="210">
        <f>(表格3_5[[#This Row],[Out-Time]] - 表格3_5[[#This Row],[In-Time]])*24</f>
        <v>0</v>
      </c>
      <c r="M1037" s="210">
        <f>表格3_5[[#This Row],[ Hours]]-表格3_5[[#This Row],[Normal working
 hours]]</f>
        <v>0</v>
      </c>
      <c r="N1037" s="205"/>
      <c r="O1037" s="205"/>
      <c r="P1037" s="210">
        <f>(表格3_5[[#This Row],[Out-Time2]] - 表格3_5[[#This Row],[In-Time2]])*24</f>
        <v>0</v>
      </c>
      <c r="Q1037" s="205"/>
      <c r="R1037" s="214">
        <f>_xlfn.XLOOKUP(表格3_5[[#This Row],[Name]],Name_list[Full Name],Name_list[Hourr Rate])</f>
        <v>0</v>
      </c>
      <c r="S1037" s="210">
        <f>表格3_5[[#This Row],[Hours Worked]]*表格3_5[[#This Row],[Hourly Rate]]</f>
        <v>0</v>
      </c>
    </row>
    <row r="1038" spans="1:19">
      <c r="A1038" s="201">
        <v>1036</v>
      </c>
      <c r="B1038" s="210" t="str">
        <f>_xlfn.CONCAT(表格3_5[[#This Row],[Name]],表格3_5[[#This Row],[Location]])</f>
        <v/>
      </c>
      <c r="C1038" s="211" t="str">
        <f>表格3_5[[#This Row],[Location]] &amp; 表格3_5[[#This Row],[Date]] &amp;表格3_5[[#This Row],[Nick Name]]</f>
        <v>0</v>
      </c>
      <c r="D1038" s="202"/>
      <c r="E1038" s="211" t="str">
        <f>DAY(表格3_5[[#This Row],[Date]])&amp;""</f>
        <v>0</v>
      </c>
      <c r="F1038" s="203"/>
      <c r="G1038" s="216">
        <f>_xlfn.XLOOKUP(表格3_5[[#This Row],[Name]],Name_list[Full Name],Name_list[Nick Name])</f>
        <v>0</v>
      </c>
      <c r="H1038" s="207"/>
      <c r="I1038" s="228"/>
      <c r="J1038" s="218"/>
      <c r="K1038" s="205"/>
      <c r="L1038" s="210">
        <f>(表格3_5[[#This Row],[Out-Time]] - 表格3_5[[#This Row],[In-Time]])*24</f>
        <v>0</v>
      </c>
      <c r="M1038" s="210">
        <f>表格3_5[[#This Row],[ Hours]]-表格3_5[[#This Row],[Normal working
 hours]]</f>
        <v>0</v>
      </c>
      <c r="N1038" s="205"/>
      <c r="O1038" s="205"/>
      <c r="P1038" s="210">
        <f>(表格3_5[[#This Row],[Out-Time2]] - 表格3_5[[#This Row],[In-Time2]])*24</f>
        <v>0</v>
      </c>
      <c r="Q1038" s="205"/>
      <c r="R1038" s="214">
        <f>_xlfn.XLOOKUP(表格3_5[[#This Row],[Name]],Name_list[Full Name],Name_list[Hourr Rate])</f>
        <v>0</v>
      </c>
      <c r="S1038" s="210">
        <f>表格3_5[[#This Row],[Hours Worked]]*表格3_5[[#This Row],[Hourly Rate]]</f>
        <v>0</v>
      </c>
    </row>
    <row r="1039" spans="1:19">
      <c r="A1039" s="201">
        <v>1037</v>
      </c>
      <c r="B1039" s="210" t="str">
        <f>_xlfn.CONCAT(表格3_5[[#This Row],[Name]],表格3_5[[#This Row],[Location]])</f>
        <v/>
      </c>
      <c r="C1039" s="211" t="str">
        <f>表格3_5[[#This Row],[Location]] &amp; 表格3_5[[#This Row],[Date]] &amp;表格3_5[[#This Row],[Nick Name]]</f>
        <v>0</v>
      </c>
      <c r="D1039" s="202"/>
      <c r="E1039" s="211" t="str">
        <f>DAY(表格3_5[[#This Row],[Date]])&amp;""</f>
        <v>0</v>
      </c>
      <c r="F1039" s="203"/>
      <c r="G1039" s="216">
        <f>_xlfn.XLOOKUP(表格3_5[[#This Row],[Name]],Name_list[Full Name],Name_list[Nick Name])</f>
        <v>0</v>
      </c>
      <c r="H1039" s="207"/>
      <c r="I1039" s="228"/>
      <c r="J1039" s="218"/>
      <c r="K1039" s="205"/>
      <c r="L1039" s="210">
        <f>(表格3_5[[#This Row],[Out-Time]] - 表格3_5[[#This Row],[In-Time]])*24</f>
        <v>0</v>
      </c>
      <c r="M1039" s="210">
        <f>表格3_5[[#This Row],[ Hours]]-表格3_5[[#This Row],[Normal working
 hours]]</f>
        <v>0</v>
      </c>
      <c r="N1039" s="205"/>
      <c r="O1039" s="205"/>
      <c r="P1039" s="210">
        <f>(表格3_5[[#This Row],[Out-Time2]] - 表格3_5[[#This Row],[In-Time2]])*24</f>
        <v>0</v>
      </c>
      <c r="Q1039" s="205"/>
      <c r="R1039" s="214">
        <f>_xlfn.XLOOKUP(表格3_5[[#This Row],[Name]],Name_list[Full Name],Name_list[Hourr Rate])</f>
        <v>0</v>
      </c>
      <c r="S1039" s="210">
        <f>表格3_5[[#This Row],[Hours Worked]]*表格3_5[[#This Row],[Hourly Rate]]</f>
        <v>0</v>
      </c>
    </row>
    <row r="1040" spans="1:19">
      <c r="A1040" s="201">
        <v>1038</v>
      </c>
      <c r="B1040" s="210" t="str">
        <f>_xlfn.CONCAT(表格3_5[[#This Row],[Name]],表格3_5[[#This Row],[Location]])</f>
        <v/>
      </c>
      <c r="C1040" s="211" t="str">
        <f>表格3_5[[#This Row],[Location]] &amp; 表格3_5[[#This Row],[Date]] &amp;表格3_5[[#This Row],[Nick Name]]</f>
        <v>0</v>
      </c>
      <c r="D1040" s="202"/>
      <c r="E1040" s="211" t="str">
        <f>DAY(表格3_5[[#This Row],[Date]])&amp;""</f>
        <v>0</v>
      </c>
      <c r="F1040" s="203"/>
      <c r="G1040" s="216">
        <f>_xlfn.XLOOKUP(表格3_5[[#This Row],[Name]],Name_list[Full Name],Name_list[Nick Name])</f>
        <v>0</v>
      </c>
      <c r="H1040" s="207"/>
      <c r="I1040" s="228"/>
      <c r="J1040" s="218"/>
      <c r="K1040" s="205"/>
      <c r="L1040" s="210">
        <f>(表格3_5[[#This Row],[Out-Time]] - 表格3_5[[#This Row],[In-Time]])*24</f>
        <v>0</v>
      </c>
      <c r="M1040" s="210">
        <f>表格3_5[[#This Row],[ Hours]]-表格3_5[[#This Row],[Normal working
 hours]]</f>
        <v>0</v>
      </c>
      <c r="N1040" s="205"/>
      <c r="O1040" s="205"/>
      <c r="P1040" s="210">
        <f>(表格3_5[[#This Row],[Out-Time2]] - 表格3_5[[#This Row],[In-Time2]])*24</f>
        <v>0</v>
      </c>
      <c r="Q1040" s="205"/>
      <c r="R1040" s="214">
        <f>_xlfn.XLOOKUP(表格3_5[[#This Row],[Name]],Name_list[Full Name],Name_list[Hourr Rate])</f>
        <v>0</v>
      </c>
      <c r="S1040" s="210">
        <f>表格3_5[[#This Row],[Hours Worked]]*表格3_5[[#This Row],[Hourly Rate]]</f>
        <v>0</v>
      </c>
    </row>
    <row r="1041" spans="1:19">
      <c r="A1041" s="201">
        <v>1039</v>
      </c>
      <c r="B1041" s="210" t="str">
        <f>_xlfn.CONCAT(表格3_5[[#This Row],[Name]],表格3_5[[#This Row],[Location]])</f>
        <v/>
      </c>
      <c r="C1041" s="211" t="str">
        <f>表格3_5[[#This Row],[Location]] &amp; 表格3_5[[#This Row],[Date]] &amp;表格3_5[[#This Row],[Nick Name]]</f>
        <v>0</v>
      </c>
      <c r="D1041" s="202"/>
      <c r="E1041" s="211" t="str">
        <f>DAY(表格3_5[[#This Row],[Date]])&amp;""</f>
        <v>0</v>
      </c>
      <c r="F1041" s="203"/>
      <c r="G1041" s="216">
        <f>_xlfn.XLOOKUP(表格3_5[[#This Row],[Name]],Name_list[Full Name],Name_list[Nick Name])</f>
        <v>0</v>
      </c>
      <c r="H1041" s="207"/>
      <c r="I1041" s="228"/>
      <c r="J1041" s="218"/>
      <c r="K1041" s="205"/>
      <c r="L1041" s="210">
        <f>(表格3_5[[#This Row],[Out-Time]] - 表格3_5[[#This Row],[In-Time]])*24</f>
        <v>0</v>
      </c>
      <c r="M1041" s="210">
        <f>表格3_5[[#This Row],[ Hours]]-表格3_5[[#This Row],[Normal working
 hours]]</f>
        <v>0</v>
      </c>
      <c r="N1041" s="205"/>
      <c r="O1041" s="205"/>
      <c r="P1041" s="210">
        <f>(表格3_5[[#This Row],[Out-Time2]] - 表格3_5[[#This Row],[In-Time2]])*24</f>
        <v>0</v>
      </c>
      <c r="Q1041" s="205"/>
      <c r="R1041" s="214">
        <f>_xlfn.XLOOKUP(表格3_5[[#This Row],[Name]],Name_list[Full Name],Name_list[Hourr Rate])</f>
        <v>0</v>
      </c>
      <c r="S1041" s="210">
        <f>表格3_5[[#This Row],[Hours Worked]]*表格3_5[[#This Row],[Hourly Rate]]</f>
        <v>0</v>
      </c>
    </row>
    <row r="1042" spans="1:19">
      <c r="A1042" s="201">
        <v>1040</v>
      </c>
      <c r="B1042" s="210" t="str">
        <f>_xlfn.CONCAT(表格3_5[[#This Row],[Name]],表格3_5[[#This Row],[Location]])</f>
        <v/>
      </c>
      <c r="C1042" s="211" t="str">
        <f>表格3_5[[#This Row],[Location]] &amp; 表格3_5[[#This Row],[Date]] &amp;表格3_5[[#This Row],[Nick Name]]</f>
        <v>0</v>
      </c>
      <c r="D1042" s="202"/>
      <c r="E1042" s="211" t="str">
        <f>DAY(表格3_5[[#This Row],[Date]])&amp;""</f>
        <v>0</v>
      </c>
      <c r="F1042" s="203"/>
      <c r="G1042" s="216">
        <f>_xlfn.XLOOKUP(表格3_5[[#This Row],[Name]],Name_list[Full Name],Name_list[Nick Name])</f>
        <v>0</v>
      </c>
      <c r="H1042" s="207"/>
      <c r="I1042" s="228"/>
      <c r="J1042" s="218"/>
      <c r="K1042" s="205"/>
      <c r="L1042" s="210">
        <f>(表格3_5[[#This Row],[Out-Time]] - 表格3_5[[#This Row],[In-Time]])*24</f>
        <v>0</v>
      </c>
      <c r="M1042" s="210">
        <f>表格3_5[[#This Row],[ Hours]]-表格3_5[[#This Row],[Normal working
 hours]]</f>
        <v>0</v>
      </c>
      <c r="N1042" s="205"/>
      <c r="O1042" s="205"/>
      <c r="P1042" s="210">
        <f>(表格3_5[[#This Row],[Out-Time2]] - 表格3_5[[#This Row],[In-Time2]])*24</f>
        <v>0</v>
      </c>
      <c r="Q1042" s="205"/>
      <c r="R1042" s="214">
        <f>_xlfn.XLOOKUP(表格3_5[[#This Row],[Name]],Name_list[Full Name],Name_list[Hourr Rate])</f>
        <v>0</v>
      </c>
      <c r="S1042" s="210">
        <f>表格3_5[[#This Row],[Hours Worked]]*表格3_5[[#This Row],[Hourly Rate]]</f>
        <v>0</v>
      </c>
    </row>
    <row r="1043" spans="1:19">
      <c r="A1043" s="201">
        <v>1041</v>
      </c>
      <c r="B1043" s="210" t="str">
        <f>_xlfn.CONCAT(表格3_5[[#This Row],[Name]],表格3_5[[#This Row],[Location]])</f>
        <v/>
      </c>
      <c r="C1043" s="211" t="str">
        <f>表格3_5[[#This Row],[Location]] &amp; 表格3_5[[#This Row],[Date]] &amp;表格3_5[[#This Row],[Nick Name]]</f>
        <v>0</v>
      </c>
      <c r="D1043" s="202"/>
      <c r="E1043" s="211" t="str">
        <f>DAY(表格3_5[[#This Row],[Date]])&amp;""</f>
        <v>0</v>
      </c>
      <c r="F1043" s="203"/>
      <c r="G1043" s="216">
        <f>_xlfn.XLOOKUP(表格3_5[[#This Row],[Name]],Name_list[Full Name],Name_list[Nick Name])</f>
        <v>0</v>
      </c>
      <c r="H1043" s="207"/>
      <c r="I1043" s="228"/>
      <c r="J1043" s="218"/>
      <c r="K1043" s="205"/>
      <c r="L1043" s="210">
        <f>(表格3_5[[#This Row],[Out-Time]] - 表格3_5[[#This Row],[In-Time]])*24</f>
        <v>0</v>
      </c>
      <c r="M1043" s="210">
        <f>表格3_5[[#This Row],[ Hours]]-表格3_5[[#This Row],[Normal working
 hours]]</f>
        <v>0</v>
      </c>
      <c r="N1043" s="205"/>
      <c r="O1043" s="205"/>
      <c r="P1043" s="210">
        <f>(表格3_5[[#This Row],[Out-Time2]] - 表格3_5[[#This Row],[In-Time2]])*24</f>
        <v>0</v>
      </c>
      <c r="Q1043" s="205"/>
      <c r="R1043" s="214">
        <f>_xlfn.XLOOKUP(表格3_5[[#This Row],[Name]],Name_list[Full Name],Name_list[Hourr Rate])</f>
        <v>0</v>
      </c>
      <c r="S1043" s="210">
        <f>表格3_5[[#This Row],[Hours Worked]]*表格3_5[[#This Row],[Hourly Rate]]</f>
        <v>0</v>
      </c>
    </row>
    <row r="1044" spans="1:19">
      <c r="A1044" s="201">
        <v>1042</v>
      </c>
      <c r="B1044" s="210" t="str">
        <f>_xlfn.CONCAT(表格3_5[[#This Row],[Name]],表格3_5[[#This Row],[Location]])</f>
        <v/>
      </c>
      <c r="C1044" s="211" t="str">
        <f>表格3_5[[#This Row],[Location]] &amp; 表格3_5[[#This Row],[Date]] &amp;表格3_5[[#This Row],[Nick Name]]</f>
        <v>0</v>
      </c>
      <c r="D1044" s="202"/>
      <c r="E1044" s="211" t="str">
        <f>DAY(表格3_5[[#This Row],[Date]])&amp;""</f>
        <v>0</v>
      </c>
      <c r="F1044" s="203"/>
      <c r="G1044" s="216">
        <f>_xlfn.XLOOKUP(表格3_5[[#This Row],[Name]],Name_list[Full Name],Name_list[Nick Name])</f>
        <v>0</v>
      </c>
      <c r="H1044" s="207"/>
      <c r="I1044" s="228"/>
      <c r="J1044" s="218"/>
      <c r="K1044" s="205"/>
      <c r="L1044" s="210">
        <f>(表格3_5[[#This Row],[Out-Time]] - 表格3_5[[#This Row],[In-Time]])*24</f>
        <v>0</v>
      </c>
      <c r="M1044" s="210">
        <f>表格3_5[[#This Row],[ Hours]]-表格3_5[[#This Row],[Normal working
 hours]]</f>
        <v>0</v>
      </c>
      <c r="N1044" s="205"/>
      <c r="O1044" s="205"/>
      <c r="P1044" s="210">
        <f>(表格3_5[[#This Row],[Out-Time2]] - 表格3_5[[#This Row],[In-Time2]])*24</f>
        <v>0</v>
      </c>
      <c r="Q1044" s="205"/>
      <c r="R1044" s="214">
        <f>_xlfn.XLOOKUP(表格3_5[[#This Row],[Name]],Name_list[Full Name],Name_list[Hourr Rate])</f>
        <v>0</v>
      </c>
      <c r="S1044" s="210">
        <f>表格3_5[[#This Row],[Hours Worked]]*表格3_5[[#This Row],[Hourly Rate]]</f>
        <v>0</v>
      </c>
    </row>
    <row r="1045" spans="1:19">
      <c r="A1045" s="201">
        <v>1043</v>
      </c>
      <c r="B1045" s="210" t="str">
        <f>_xlfn.CONCAT(表格3_5[[#This Row],[Name]],表格3_5[[#This Row],[Location]])</f>
        <v/>
      </c>
      <c r="C1045" s="211" t="str">
        <f>表格3_5[[#This Row],[Location]] &amp; 表格3_5[[#This Row],[Date]] &amp;表格3_5[[#This Row],[Nick Name]]</f>
        <v>0</v>
      </c>
      <c r="D1045" s="202"/>
      <c r="E1045" s="211" t="str">
        <f>DAY(表格3_5[[#This Row],[Date]])&amp;""</f>
        <v>0</v>
      </c>
      <c r="F1045" s="203"/>
      <c r="G1045" s="216">
        <f>_xlfn.XLOOKUP(表格3_5[[#This Row],[Name]],Name_list[Full Name],Name_list[Nick Name])</f>
        <v>0</v>
      </c>
      <c r="H1045" s="207"/>
      <c r="I1045" s="228"/>
      <c r="J1045" s="218"/>
      <c r="K1045" s="205"/>
      <c r="L1045" s="210">
        <f>(表格3_5[[#This Row],[Out-Time]] - 表格3_5[[#This Row],[In-Time]])*24</f>
        <v>0</v>
      </c>
      <c r="M1045" s="210">
        <f>表格3_5[[#This Row],[ Hours]]-表格3_5[[#This Row],[Normal working
 hours]]</f>
        <v>0</v>
      </c>
      <c r="N1045" s="205"/>
      <c r="O1045" s="205"/>
      <c r="P1045" s="210">
        <f>(表格3_5[[#This Row],[Out-Time2]] - 表格3_5[[#This Row],[In-Time2]])*24</f>
        <v>0</v>
      </c>
      <c r="Q1045" s="205"/>
      <c r="R1045" s="214">
        <f>_xlfn.XLOOKUP(表格3_5[[#This Row],[Name]],Name_list[Full Name],Name_list[Hourr Rate])</f>
        <v>0</v>
      </c>
      <c r="S1045" s="210">
        <f>表格3_5[[#This Row],[Hours Worked]]*表格3_5[[#This Row],[Hourly Rate]]</f>
        <v>0</v>
      </c>
    </row>
    <row r="1046" spans="1:19">
      <c r="A1046" s="201">
        <v>1044</v>
      </c>
      <c r="B1046" s="210" t="str">
        <f>_xlfn.CONCAT(表格3_5[[#This Row],[Name]],表格3_5[[#This Row],[Location]])</f>
        <v/>
      </c>
      <c r="C1046" s="211" t="str">
        <f>表格3_5[[#This Row],[Location]] &amp; 表格3_5[[#This Row],[Date]] &amp;表格3_5[[#This Row],[Nick Name]]</f>
        <v>0</v>
      </c>
      <c r="D1046" s="202"/>
      <c r="E1046" s="211" t="str">
        <f>DAY(表格3_5[[#This Row],[Date]])&amp;""</f>
        <v>0</v>
      </c>
      <c r="F1046" s="203"/>
      <c r="G1046" s="216">
        <f>_xlfn.XLOOKUP(表格3_5[[#This Row],[Name]],Name_list[Full Name],Name_list[Nick Name])</f>
        <v>0</v>
      </c>
      <c r="H1046" s="207"/>
      <c r="I1046" s="228"/>
      <c r="J1046" s="218"/>
      <c r="K1046" s="205"/>
      <c r="L1046" s="210">
        <f>(表格3_5[[#This Row],[Out-Time]] - 表格3_5[[#This Row],[In-Time]])*24</f>
        <v>0</v>
      </c>
      <c r="M1046" s="210">
        <f>表格3_5[[#This Row],[ Hours]]-表格3_5[[#This Row],[Normal working
 hours]]</f>
        <v>0</v>
      </c>
      <c r="N1046" s="205"/>
      <c r="O1046" s="205"/>
      <c r="P1046" s="210">
        <f>(表格3_5[[#This Row],[Out-Time2]] - 表格3_5[[#This Row],[In-Time2]])*24</f>
        <v>0</v>
      </c>
      <c r="Q1046" s="205"/>
      <c r="R1046" s="214">
        <f>_xlfn.XLOOKUP(表格3_5[[#This Row],[Name]],Name_list[Full Name],Name_list[Hourr Rate])</f>
        <v>0</v>
      </c>
      <c r="S1046" s="210">
        <f>表格3_5[[#This Row],[Hours Worked]]*表格3_5[[#This Row],[Hourly Rate]]</f>
        <v>0</v>
      </c>
    </row>
    <row r="1047" spans="1:19">
      <c r="A1047" s="201">
        <v>1045</v>
      </c>
      <c r="B1047" s="210" t="str">
        <f>_xlfn.CONCAT(表格3_5[[#This Row],[Name]],表格3_5[[#This Row],[Location]])</f>
        <v/>
      </c>
      <c r="C1047" s="211" t="str">
        <f>表格3_5[[#This Row],[Location]] &amp; 表格3_5[[#This Row],[Date]] &amp;表格3_5[[#This Row],[Nick Name]]</f>
        <v>0</v>
      </c>
      <c r="D1047" s="202"/>
      <c r="E1047" s="211" t="str">
        <f>DAY(表格3_5[[#This Row],[Date]])&amp;""</f>
        <v>0</v>
      </c>
      <c r="F1047" s="203"/>
      <c r="G1047" s="216">
        <f>_xlfn.XLOOKUP(表格3_5[[#This Row],[Name]],Name_list[Full Name],Name_list[Nick Name])</f>
        <v>0</v>
      </c>
      <c r="H1047" s="207"/>
      <c r="I1047" s="228"/>
      <c r="J1047" s="218"/>
      <c r="K1047" s="205"/>
      <c r="L1047" s="210">
        <f>(表格3_5[[#This Row],[Out-Time]] - 表格3_5[[#This Row],[In-Time]])*24</f>
        <v>0</v>
      </c>
      <c r="M1047" s="210">
        <f>表格3_5[[#This Row],[ Hours]]-表格3_5[[#This Row],[Normal working
 hours]]</f>
        <v>0</v>
      </c>
      <c r="N1047" s="205"/>
      <c r="O1047" s="205"/>
      <c r="P1047" s="210">
        <f>(表格3_5[[#This Row],[Out-Time2]] - 表格3_5[[#This Row],[In-Time2]])*24</f>
        <v>0</v>
      </c>
      <c r="Q1047" s="205"/>
      <c r="R1047" s="214">
        <f>_xlfn.XLOOKUP(表格3_5[[#This Row],[Name]],Name_list[Full Name],Name_list[Hourr Rate])</f>
        <v>0</v>
      </c>
      <c r="S1047" s="210">
        <f>表格3_5[[#This Row],[Hours Worked]]*表格3_5[[#This Row],[Hourly Rate]]</f>
        <v>0</v>
      </c>
    </row>
    <row r="1048" spans="1:19">
      <c r="A1048" s="201">
        <v>1046</v>
      </c>
      <c r="B1048" s="210" t="str">
        <f>_xlfn.CONCAT(表格3_5[[#This Row],[Name]],表格3_5[[#This Row],[Location]])</f>
        <v/>
      </c>
      <c r="C1048" s="211" t="str">
        <f>表格3_5[[#This Row],[Location]] &amp; 表格3_5[[#This Row],[Date]] &amp;表格3_5[[#This Row],[Nick Name]]</f>
        <v>0</v>
      </c>
      <c r="D1048" s="202"/>
      <c r="E1048" s="211" t="str">
        <f>DAY(表格3_5[[#This Row],[Date]])&amp;""</f>
        <v>0</v>
      </c>
      <c r="F1048" s="203"/>
      <c r="G1048" s="216">
        <f>_xlfn.XLOOKUP(表格3_5[[#This Row],[Name]],Name_list[Full Name],Name_list[Nick Name])</f>
        <v>0</v>
      </c>
      <c r="H1048" s="207"/>
      <c r="I1048" s="228"/>
      <c r="J1048" s="218"/>
      <c r="K1048" s="205"/>
      <c r="L1048" s="210">
        <f>(表格3_5[[#This Row],[Out-Time]] - 表格3_5[[#This Row],[In-Time]])*24</f>
        <v>0</v>
      </c>
      <c r="M1048" s="210">
        <f>表格3_5[[#This Row],[ Hours]]-表格3_5[[#This Row],[Normal working
 hours]]</f>
        <v>0</v>
      </c>
      <c r="N1048" s="205"/>
      <c r="O1048" s="205"/>
      <c r="P1048" s="210">
        <f>(表格3_5[[#This Row],[Out-Time2]] - 表格3_5[[#This Row],[In-Time2]])*24</f>
        <v>0</v>
      </c>
      <c r="Q1048" s="205"/>
      <c r="R1048" s="214">
        <f>_xlfn.XLOOKUP(表格3_5[[#This Row],[Name]],Name_list[Full Name],Name_list[Hourr Rate])</f>
        <v>0</v>
      </c>
      <c r="S1048" s="210">
        <f>表格3_5[[#This Row],[Hours Worked]]*表格3_5[[#This Row],[Hourly Rate]]</f>
        <v>0</v>
      </c>
    </row>
    <row r="1049" spans="1:19">
      <c r="A1049" s="201">
        <v>1047</v>
      </c>
      <c r="B1049" s="210" t="str">
        <f>_xlfn.CONCAT(表格3_5[[#This Row],[Name]],表格3_5[[#This Row],[Location]])</f>
        <v/>
      </c>
      <c r="C1049" s="211" t="str">
        <f>表格3_5[[#This Row],[Location]] &amp; 表格3_5[[#This Row],[Date]] &amp;表格3_5[[#This Row],[Nick Name]]</f>
        <v>0</v>
      </c>
      <c r="D1049" s="202"/>
      <c r="E1049" s="211" t="str">
        <f>DAY(表格3_5[[#This Row],[Date]])&amp;""</f>
        <v>0</v>
      </c>
      <c r="F1049" s="203"/>
      <c r="G1049" s="216">
        <f>_xlfn.XLOOKUP(表格3_5[[#This Row],[Name]],Name_list[Full Name],Name_list[Nick Name])</f>
        <v>0</v>
      </c>
      <c r="H1049" s="207"/>
      <c r="I1049" s="228"/>
      <c r="J1049" s="218"/>
      <c r="K1049" s="205"/>
      <c r="L1049" s="210">
        <f>(表格3_5[[#This Row],[Out-Time]] - 表格3_5[[#This Row],[In-Time]])*24</f>
        <v>0</v>
      </c>
      <c r="M1049" s="210">
        <f>表格3_5[[#This Row],[ Hours]]-表格3_5[[#This Row],[Normal working
 hours]]</f>
        <v>0</v>
      </c>
      <c r="N1049" s="205"/>
      <c r="O1049" s="205"/>
      <c r="P1049" s="210">
        <f>(表格3_5[[#This Row],[Out-Time2]] - 表格3_5[[#This Row],[In-Time2]])*24</f>
        <v>0</v>
      </c>
      <c r="Q1049" s="205"/>
      <c r="R1049" s="214">
        <f>_xlfn.XLOOKUP(表格3_5[[#This Row],[Name]],Name_list[Full Name],Name_list[Hourr Rate])</f>
        <v>0</v>
      </c>
      <c r="S1049" s="210">
        <f>表格3_5[[#This Row],[Hours Worked]]*表格3_5[[#This Row],[Hourly Rate]]</f>
        <v>0</v>
      </c>
    </row>
    <row r="1050" spans="1:19">
      <c r="A1050" s="201">
        <v>1048</v>
      </c>
      <c r="B1050" s="210" t="str">
        <f>_xlfn.CONCAT(表格3_5[[#This Row],[Name]],表格3_5[[#This Row],[Location]])</f>
        <v/>
      </c>
      <c r="C1050" s="211" t="str">
        <f>表格3_5[[#This Row],[Location]] &amp; 表格3_5[[#This Row],[Date]] &amp;表格3_5[[#This Row],[Nick Name]]</f>
        <v>0</v>
      </c>
      <c r="D1050" s="202"/>
      <c r="E1050" s="211" t="str">
        <f>DAY(表格3_5[[#This Row],[Date]])&amp;""</f>
        <v>0</v>
      </c>
      <c r="F1050" s="203"/>
      <c r="G1050" s="216">
        <f>_xlfn.XLOOKUP(表格3_5[[#This Row],[Name]],Name_list[Full Name],Name_list[Nick Name])</f>
        <v>0</v>
      </c>
      <c r="H1050" s="207"/>
      <c r="I1050" s="228"/>
      <c r="J1050" s="218"/>
      <c r="K1050" s="205"/>
      <c r="L1050" s="210">
        <f>(表格3_5[[#This Row],[Out-Time]] - 表格3_5[[#This Row],[In-Time]])*24</f>
        <v>0</v>
      </c>
      <c r="M1050" s="210">
        <f>表格3_5[[#This Row],[ Hours]]-表格3_5[[#This Row],[Normal working
 hours]]</f>
        <v>0</v>
      </c>
      <c r="N1050" s="205"/>
      <c r="O1050" s="205"/>
      <c r="P1050" s="210">
        <f>(表格3_5[[#This Row],[Out-Time2]] - 表格3_5[[#This Row],[In-Time2]])*24</f>
        <v>0</v>
      </c>
      <c r="Q1050" s="205"/>
      <c r="R1050" s="214">
        <f>_xlfn.XLOOKUP(表格3_5[[#This Row],[Name]],Name_list[Full Name],Name_list[Hourr Rate])</f>
        <v>0</v>
      </c>
      <c r="S1050" s="210">
        <f>表格3_5[[#This Row],[Hours Worked]]*表格3_5[[#This Row],[Hourly Rate]]</f>
        <v>0</v>
      </c>
    </row>
    <row r="1051" spans="1:19">
      <c r="A1051" s="201">
        <v>1049</v>
      </c>
      <c r="B1051" s="210" t="str">
        <f>_xlfn.CONCAT(表格3_5[[#This Row],[Name]],表格3_5[[#This Row],[Location]])</f>
        <v/>
      </c>
      <c r="C1051" s="211" t="str">
        <f>表格3_5[[#This Row],[Location]] &amp; 表格3_5[[#This Row],[Date]] &amp;表格3_5[[#This Row],[Nick Name]]</f>
        <v>0</v>
      </c>
      <c r="D1051" s="202"/>
      <c r="E1051" s="211" t="str">
        <f>DAY(表格3_5[[#This Row],[Date]])&amp;""</f>
        <v>0</v>
      </c>
      <c r="F1051" s="203"/>
      <c r="G1051" s="216">
        <f>_xlfn.XLOOKUP(表格3_5[[#This Row],[Name]],Name_list[Full Name],Name_list[Nick Name])</f>
        <v>0</v>
      </c>
      <c r="H1051" s="207"/>
      <c r="I1051" s="228"/>
      <c r="J1051" s="218"/>
      <c r="K1051" s="205"/>
      <c r="L1051" s="210">
        <f>(表格3_5[[#This Row],[Out-Time]] - 表格3_5[[#This Row],[In-Time]])*24</f>
        <v>0</v>
      </c>
      <c r="M1051" s="210">
        <f>表格3_5[[#This Row],[ Hours]]-表格3_5[[#This Row],[Normal working
 hours]]</f>
        <v>0</v>
      </c>
      <c r="N1051" s="205"/>
      <c r="O1051" s="205"/>
      <c r="P1051" s="210">
        <f>(表格3_5[[#This Row],[Out-Time2]] - 表格3_5[[#This Row],[In-Time2]])*24</f>
        <v>0</v>
      </c>
      <c r="Q1051" s="205"/>
      <c r="R1051" s="214">
        <f>_xlfn.XLOOKUP(表格3_5[[#This Row],[Name]],Name_list[Full Name],Name_list[Hourr Rate])</f>
        <v>0</v>
      </c>
      <c r="S1051" s="210">
        <f>表格3_5[[#This Row],[Hours Worked]]*表格3_5[[#This Row],[Hourly Rate]]</f>
        <v>0</v>
      </c>
    </row>
    <row r="1052" spans="1:19">
      <c r="A1052" s="201">
        <v>1050</v>
      </c>
      <c r="B1052" s="210" t="str">
        <f>_xlfn.CONCAT(表格3_5[[#This Row],[Name]],表格3_5[[#This Row],[Location]])</f>
        <v/>
      </c>
      <c r="C1052" s="211" t="str">
        <f>表格3_5[[#This Row],[Location]] &amp; 表格3_5[[#This Row],[Date]] &amp;表格3_5[[#This Row],[Nick Name]]</f>
        <v>0</v>
      </c>
      <c r="D1052" s="202"/>
      <c r="E1052" s="211" t="str">
        <f>DAY(表格3_5[[#This Row],[Date]])&amp;""</f>
        <v>0</v>
      </c>
      <c r="F1052" s="203"/>
      <c r="G1052" s="216">
        <f>_xlfn.XLOOKUP(表格3_5[[#This Row],[Name]],Name_list[Full Name],Name_list[Nick Name])</f>
        <v>0</v>
      </c>
      <c r="H1052" s="207"/>
      <c r="I1052" s="228"/>
      <c r="J1052" s="218"/>
      <c r="K1052" s="205"/>
      <c r="L1052" s="210">
        <f>(表格3_5[[#This Row],[Out-Time]] - 表格3_5[[#This Row],[In-Time]])*24</f>
        <v>0</v>
      </c>
      <c r="M1052" s="210">
        <f>表格3_5[[#This Row],[ Hours]]-表格3_5[[#This Row],[Normal working
 hours]]</f>
        <v>0</v>
      </c>
      <c r="N1052" s="205"/>
      <c r="O1052" s="205"/>
      <c r="P1052" s="210">
        <f>(表格3_5[[#This Row],[Out-Time2]] - 表格3_5[[#This Row],[In-Time2]])*24</f>
        <v>0</v>
      </c>
      <c r="Q1052" s="205"/>
      <c r="R1052" s="214">
        <f>_xlfn.XLOOKUP(表格3_5[[#This Row],[Name]],Name_list[Full Name],Name_list[Hourr Rate])</f>
        <v>0</v>
      </c>
      <c r="S1052" s="210">
        <f>表格3_5[[#This Row],[Hours Worked]]*表格3_5[[#This Row],[Hourly Rate]]</f>
        <v>0</v>
      </c>
    </row>
    <row r="1053" spans="1:19">
      <c r="A1053" s="201">
        <v>1051</v>
      </c>
      <c r="B1053" s="210" t="str">
        <f>_xlfn.CONCAT(表格3_5[[#This Row],[Name]],表格3_5[[#This Row],[Location]])</f>
        <v/>
      </c>
      <c r="C1053" s="211" t="str">
        <f>表格3_5[[#This Row],[Location]] &amp; 表格3_5[[#This Row],[Date]] &amp;表格3_5[[#This Row],[Nick Name]]</f>
        <v>0</v>
      </c>
      <c r="D1053" s="202"/>
      <c r="E1053" s="211" t="str">
        <f>DAY(表格3_5[[#This Row],[Date]])&amp;""</f>
        <v>0</v>
      </c>
      <c r="F1053" s="203"/>
      <c r="G1053" s="216">
        <f>_xlfn.XLOOKUP(表格3_5[[#This Row],[Name]],Name_list[Full Name],Name_list[Nick Name])</f>
        <v>0</v>
      </c>
      <c r="H1053" s="207"/>
      <c r="I1053" s="228"/>
      <c r="J1053" s="218"/>
      <c r="K1053" s="205"/>
      <c r="L1053" s="210">
        <f>(表格3_5[[#This Row],[Out-Time]] - 表格3_5[[#This Row],[In-Time]])*24</f>
        <v>0</v>
      </c>
      <c r="M1053" s="210">
        <f>表格3_5[[#This Row],[ Hours]]-表格3_5[[#This Row],[Normal working
 hours]]</f>
        <v>0</v>
      </c>
      <c r="N1053" s="205"/>
      <c r="O1053" s="205"/>
      <c r="P1053" s="210">
        <f>(表格3_5[[#This Row],[Out-Time2]] - 表格3_5[[#This Row],[In-Time2]])*24</f>
        <v>0</v>
      </c>
      <c r="Q1053" s="205"/>
      <c r="R1053" s="214">
        <f>_xlfn.XLOOKUP(表格3_5[[#This Row],[Name]],Name_list[Full Name],Name_list[Hourr Rate])</f>
        <v>0</v>
      </c>
      <c r="S1053" s="210">
        <f>表格3_5[[#This Row],[Hours Worked]]*表格3_5[[#This Row],[Hourly Rate]]</f>
        <v>0</v>
      </c>
    </row>
    <row r="1054" spans="1:19">
      <c r="A1054" s="201">
        <v>1052</v>
      </c>
      <c r="B1054" s="210" t="str">
        <f>_xlfn.CONCAT(表格3_5[[#This Row],[Name]],表格3_5[[#This Row],[Location]])</f>
        <v/>
      </c>
      <c r="C1054" s="211" t="str">
        <f>表格3_5[[#This Row],[Location]] &amp; 表格3_5[[#This Row],[Date]] &amp;表格3_5[[#This Row],[Nick Name]]</f>
        <v>0</v>
      </c>
      <c r="D1054" s="202"/>
      <c r="E1054" s="211" t="str">
        <f>DAY(表格3_5[[#This Row],[Date]])&amp;""</f>
        <v>0</v>
      </c>
      <c r="F1054" s="203"/>
      <c r="G1054" s="216">
        <f>_xlfn.XLOOKUP(表格3_5[[#This Row],[Name]],Name_list[Full Name],Name_list[Nick Name])</f>
        <v>0</v>
      </c>
      <c r="H1054" s="207"/>
      <c r="I1054" s="228"/>
      <c r="J1054" s="218"/>
      <c r="K1054" s="205"/>
      <c r="L1054" s="210">
        <f>(表格3_5[[#This Row],[Out-Time]] - 表格3_5[[#This Row],[In-Time]])*24</f>
        <v>0</v>
      </c>
      <c r="M1054" s="210">
        <f>表格3_5[[#This Row],[ Hours]]-表格3_5[[#This Row],[Normal working
 hours]]</f>
        <v>0</v>
      </c>
      <c r="N1054" s="205"/>
      <c r="O1054" s="205"/>
      <c r="P1054" s="210">
        <f>(表格3_5[[#This Row],[Out-Time2]] - 表格3_5[[#This Row],[In-Time2]])*24</f>
        <v>0</v>
      </c>
      <c r="Q1054" s="205"/>
      <c r="R1054" s="214">
        <f>_xlfn.XLOOKUP(表格3_5[[#This Row],[Name]],Name_list[Full Name],Name_list[Hourr Rate])</f>
        <v>0</v>
      </c>
      <c r="S1054" s="210">
        <f>表格3_5[[#This Row],[Hours Worked]]*表格3_5[[#This Row],[Hourly Rate]]</f>
        <v>0</v>
      </c>
    </row>
    <row r="1055" spans="1:19">
      <c r="A1055" s="201">
        <v>1053</v>
      </c>
      <c r="B1055" s="210" t="str">
        <f>_xlfn.CONCAT(表格3_5[[#This Row],[Name]],表格3_5[[#This Row],[Location]])</f>
        <v/>
      </c>
      <c r="C1055" s="211" t="str">
        <f>表格3_5[[#This Row],[Location]] &amp; 表格3_5[[#This Row],[Date]] &amp;表格3_5[[#This Row],[Nick Name]]</f>
        <v>0</v>
      </c>
      <c r="D1055" s="202"/>
      <c r="E1055" s="211" t="str">
        <f>DAY(表格3_5[[#This Row],[Date]])&amp;""</f>
        <v>0</v>
      </c>
      <c r="F1055" s="203"/>
      <c r="G1055" s="216">
        <f>_xlfn.XLOOKUP(表格3_5[[#This Row],[Name]],Name_list[Full Name],Name_list[Nick Name])</f>
        <v>0</v>
      </c>
      <c r="H1055" s="207"/>
      <c r="I1055" s="228"/>
      <c r="J1055" s="218"/>
      <c r="K1055" s="205"/>
      <c r="L1055" s="210">
        <f>(表格3_5[[#This Row],[Out-Time]] - 表格3_5[[#This Row],[In-Time]])*24</f>
        <v>0</v>
      </c>
      <c r="M1055" s="210">
        <f>表格3_5[[#This Row],[ Hours]]-表格3_5[[#This Row],[Normal working
 hours]]</f>
        <v>0</v>
      </c>
      <c r="N1055" s="205"/>
      <c r="O1055" s="205"/>
      <c r="P1055" s="210">
        <f>(表格3_5[[#This Row],[Out-Time2]] - 表格3_5[[#This Row],[In-Time2]])*24</f>
        <v>0</v>
      </c>
      <c r="Q1055" s="205"/>
      <c r="R1055" s="214">
        <f>_xlfn.XLOOKUP(表格3_5[[#This Row],[Name]],Name_list[Full Name],Name_list[Hourr Rate])</f>
        <v>0</v>
      </c>
      <c r="S1055" s="210">
        <f>表格3_5[[#This Row],[Hours Worked]]*表格3_5[[#This Row],[Hourly Rate]]</f>
        <v>0</v>
      </c>
    </row>
    <row r="1056" spans="1:19">
      <c r="A1056" s="201">
        <v>1054</v>
      </c>
      <c r="B1056" s="210" t="str">
        <f>_xlfn.CONCAT(表格3_5[[#This Row],[Name]],表格3_5[[#This Row],[Location]])</f>
        <v/>
      </c>
      <c r="C1056" s="211" t="str">
        <f>表格3_5[[#This Row],[Location]] &amp; 表格3_5[[#This Row],[Date]] &amp;表格3_5[[#This Row],[Nick Name]]</f>
        <v>0</v>
      </c>
      <c r="D1056" s="202"/>
      <c r="E1056" s="211" t="str">
        <f>DAY(表格3_5[[#This Row],[Date]])&amp;""</f>
        <v>0</v>
      </c>
      <c r="F1056" s="203"/>
      <c r="G1056" s="216">
        <f>_xlfn.XLOOKUP(表格3_5[[#This Row],[Name]],Name_list[Full Name],Name_list[Nick Name])</f>
        <v>0</v>
      </c>
      <c r="H1056" s="207"/>
      <c r="I1056" s="228"/>
      <c r="J1056" s="218"/>
      <c r="K1056" s="205"/>
      <c r="L1056" s="210">
        <f>(表格3_5[[#This Row],[Out-Time]] - 表格3_5[[#This Row],[In-Time]])*24</f>
        <v>0</v>
      </c>
      <c r="M1056" s="210">
        <f>表格3_5[[#This Row],[ Hours]]-表格3_5[[#This Row],[Normal working
 hours]]</f>
        <v>0</v>
      </c>
      <c r="N1056" s="205"/>
      <c r="O1056" s="205"/>
      <c r="P1056" s="210">
        <f>(表格3_5[[#This Row],[Out-Time2]] - 表格3_5[[#This Row],[In-Time2]])*24</f>
        <v>0</v>
      </c>
      <c r="Q1056" s="205"/>
      <c r="R1056" s="214">
        <f>_xlfn.XLOOKUP(表格3_5[[#This Row],[Name]],Name_list[Full Name],Name_list[Hourr Rate])</f>
        <v>0</v>
      </c>
      <c r="S1056" s="210">
        <f>表格3_5[[#This Row],[Hours Worked]]*表格3_5[[#This Row],[Hourly Rate]]</f>
        <v>0</v>
      </c>
    </row>
    <row r="1057" spans="1:19">
      <c r="A1057" s="201">
        <v>1055</v>
      </c>
      <c r="B1057" s="210" t="str">
        <f>_xlfn.CONCAT(表格3_5[[#This Row],[Name]],表格3_5[[#This Row],[Location]])</f>
        <v/>
      </c>
      <c r="C1057" s="211" t="str">
        <f>表格3_5[[#This Row],[Location]] &amp; 表格3_5[[#This Row],[Date]] &amp;表格3_5[[#This Row],[Nick Name]]</f>
        <v>0</v>
      </c>
      <c r="D1057" s="202"/>
      <c r="E1057" s="211" t="str">
        <f>DAY(表格3_5[[#This Row],[Date]])&amp;""</f>
        <v>0</v>
      </c>
      <c r="F1057" s="203"/>
      <c r="G1057" s="216">
        <f>_xlfn.XLOOKUP(表格3_5[[#This Row],[Name]],Name_list[Full Name],Name_list[Nick Name])</f>
        <v>0</v>
      </c>
      <c r="H1057" s="207"/>
      <c r="I1057" s="228"/>
      <c r="J1057" s="218"/>
      <c r="K1057" s="205"/>
      <c r="L1057" s="210">
        <f>(表格3_5[[#This Row],[Out-Time]] - 表格3_5[[#This Row],[In-Time]])*24</f>
        <v>0</v>
      </c>
      <c r="M1057" s="210">
        <f>表格3_5[[#This Row],[ Hours]]-表格3_5[[#This Row],[Normal working
 hours]]</f>
        <v>0</v>
      </c>
      <c r="N1057" s="205"/>
      <c r="O1057" s="205"/>
      <c r="P1057" s="210">
        <f>(表格3_5[[#This Row],[Out-Time2]] - 表格3_5[[#This Row],[In-Time2]])*24</f>
        <v>0</v>
      </c>
      <c r="Q1057" s="205"/>
      <c r="R1057" s="214">
        <f>_xlfn.XLOOKUP(表格3_5[[#This Row],[Name]],Name_list[Full Name],Name_list[Hourr Rate])</f>
        <v>0</v>
      </c>
      <c r="S1057" s="210">
        <f>表格3_5[[#This Row],[Hours Worked]]*表格3_5[[#This Row],[Hourly Rate]]</f>
        <v>0</v>
      </c>
    </row>
    <row r="1058" spans="1:19">
      <c r="A1058" s="201">
        <v>1056</v>
      </c>
      <c r="B1058" s="210" t="str">
        <f>_xlfn.CONCAT(表格3_5[[#This Row],[Name]],表格3_5[[#This Row],[Location]])</f>
        <v/>
      </c>
      <c r="C1058" s="211" t="str">
        <f>表格3_5[[#This Row],[Location]] &amp; 表格3_5[[#This Row],[Date]] &amp;表格3_5[[#This Row],[Nick Name]]</f>
        <v>0</v>
      </c>
      <c r="D1058" s="202"/>
      <c r="E1058" s="211" t="str">
        <f>DAY(表格3_5[[#This Row],[Date]])&amp;""</f>
        <v>0</v>
      </c>
      <c r="F1058" s="203"/>
      <c r="G1058" s="216">
        <f>_xlfn.XLOOKUP(表格3_5[[#This Row],[Name]],Name_list[Full Name],Name_list[Nick Name])</f>
        <v>0</v>
      </c>
      <c r="H1058" s="207"/>
      <c r="I1058" s="228"/>
      <c r="J1058" s="218"/>
      <c r="K1058" s="205"/>
      <c r="L1058" s="210">
        <f>(表格3_5[[#This Row],[Out-Time]] - 表格3_5[[#This Row],[In-Time]])*24</f>
        <v>0</v>
      </c>
      <c r="M1058" s="210">
        <f>表格3_5[[#This Row],[ Hours]]-表格3_5[[#This Row],[Normal working
 hours]]</f>
        <v>0</v>
      </c>
      <c r="N1058" s="205"/>
      <c r="O1058" s="205"/>
      <c r="P1058" s="210">
        <f>(表格3_5[[#This Row],[Out-Time2]] - 表格3_5[[#This Row],[In-Time2]])*24</f>
        <v>0</v>
      </c>
      <c r="Q1058" s="205"/>
      <c r="R1058" s="214">
        <f>_xlfn.XLOOKUP(表格3_5[[#This Row],[Name]],Name_list[Full Name],Name_list[Hourr Rate])</f>
        <v>0</v>
      </c>
      <c r="S1058" s="210">
        <f>表格3_5[[#This Row],[Hours Worked]]*表格3_5[[#This Row],[Hourly Rate]]</f>
        <v>0</v>
      </c>
    </row>
    <row r="1059" spans="1:19">
      <c r="A1059" s="201">
        <v>1057</v>
      </c>
      <c r="B1059" s="210" t="str">
        <f>_xlfn.CONCAT(表格3_5[[#This Row],[Name]],表格3_5[[#This Row],[Location]])</f>
        <v/>
      </c>
      <c r="C1059" s="211" t="str">
        <f>表格3_5[[#This Row],[Location]] &amp; 表格3_5[[#This Row],[Date]] &amp;表格3_5[[#This Row],[Nick Name]]</f>
        <v>0</v>
      </c>
      <c r="D1059" s="202"/>
      <c r="E1059" s="211" t="str">
        <f>DAY(表格3_5[[#This Row],[Date]])&amp;""</f>
        <v>0</v>
      </c>
      <c r="F1059" s="203"/>
      <c r="G1059" s="216">
        <f>_xlfn.XLOOKUP(表格3_5[[#This Row],[Name]],Name_list[Full Name],Name_list[Nick Name])</f>
        <v>0</v>
      </c>
      <c r="H1059" s="207"/>
      <c r="I1059" s="228"/>
      <c r="J1059" s="218"/>
      <c r="K1059" s="205"/>
      <c r="L1059" s="210">
        <f>(表格3_5[[#This Row],[Out-Time]] - 表格3_5[[#This Row],[In-Time]])*24</f>
        <v>0</v>
      </c>
      <c r="M1059" s="210">
        <f>表格3_5[[#This Row],[ Hours]]-表格3_5[[#This Row],[Normal working
 hours]]</f>
        <v>0</v>
      </c>
      <c r="N1059" s="205"/>
      <c r="O1059" s="205"/>
      <c r="P1059" s="210">
        <f>(表格3_5[[#This Row],[Out-Time2]] - 表格3_5[[#This Row],[In-Time2]])*24</f>
        <v>0</v>
      </c>
      <c r="Q1059" s="205"/>
      <c r="R1059" s="214">
        <f>_xlfn.XLOOKUP(表格3_5[[#This Row],[Name]],Name_list[Full Name],Name_list[Hourr Rate])</f>
        <v>0</v>
      </c>
      <c r="S1059" s="210">
        <f>表格3_5[[#This Row],[Hours Worked]]*表格3_5[[#This Row],[Hourly Rate]]</f>
        <v>0</v>
      </c>
    </row>
    <row r="1060" spans="1:19">
      <c r="A1060" s="201">
        <v>1058</v>
      </c>
      <c r="B1060" s="210" t="str">
        <f>_xlfn.CONCAT(表格3_5[[#This Row],[Name]],表格3_5[[#This Row],[Location]])</f>
        <v/>
      </c>
      <c r="C1060" s="211" t="str">
        <f>表格3_5[[#This Row],[Location]] &amp; 表格3_5[[#This Row],[Date]] &amp;表格3_5[[#This Row],[Nick Name]]</f>
        <v>0</v>
      </c>
      <c r="D1060" s="202"/>
      <c r="E1060" s="211" t="str">
        <f>DAY(表格3_5[[#This Row],[Date]])&amp;""</f>
        <v>0</v>
      </c>
      <c r="F1060" s="203"/>
      <c r="G1060" s="216">
        <f>_xlfn.XLOOKUP(表格3_5[[#This Row],[Name]],Name_list[Full Name],Name_list[Nick Name])</f>
        <v>0</v>
      </c>
      <c r="H1060" s="207"/>
      <c r="I1060" s="228"/>
      <c r="J1060" s="218"/>
      <c r="K1060" s="205"/>
      <c r="L1060" s="210">
        <f>(表格3_5[[#This Row],[Out-Time]] - 表格3_5[[#This Row],[In-Time]])*24</f>
        <v>0</v>
      </c>
      <c r="M1060" s="210">
        <f>表格3_5[[#This Row],[ Hours]]-表格3_5[[#This Row],[Normal working
 hours]]</f>
        <v>0</v>
      </c>
      <c r="N1060" s="205"/>
      <c r="O1060" s="205"/>
      <c r="P1060" s="210">
        <f>(表格3_5[[#This Row],[Out-Time2]] - 表格3_5[[#This Row],[In-Time2]])*24</f>
        <v>0</v>
      </c>
      <c r="Q1060" s="205"/>
      <c r="R1060" s="214">
        <f>_xlfn.XLOOKUP(表格3_5[[#This Row],[Name]],Name_list[Full Name],Name_list[Hourr Rate])</f>
        <v>0</v>
      </c>
      <c r="S1060" s="210">
        <f>表格3_5[[#This Row],[Hours Worked]]*表格3_5[[#This Row],[Hourly Rate]]</f>
        <v>0</v>
      </c>
    </row>
    <row r="1061" spans="1:19">
      <c r="A1061" s="201">
        <v>1059</v>
      </c>
      <c r="B1061" s="210" t="str">
        <f>_xlfn.CONCAT(表格3_5[[#This Row],[Name]],表格3_5[[#This Row],[Location]])</f>
        <v/>
      </c>
      <c r="C1061" s="211" t="str">
        <f>表格3_5[[#This Row],[Location]] &amp; 表格3_5[[#This Row],[Date]] &amp;表格3_5[[#This Row],[Nick Name]]</f>
        <v>0</v>
      </c>
      <c r="D1061" s="202"/>
      <c r="E1061" s="211" t="str">
        <f>DAY(表格3_5[[#This Row],[Date]])&amp;""</f>
        <v>0</v>
      </c>
      <c r="F1061" s="203"/>
      <c r="G1061" s="216">
        <f>_xlfn.XLOOKUP(表格3_5[[#This Row],[Name]],Name_list[Full Name],Name_list[Nick Name])</f>
        <v>0</v>
      </c>
      <c r="H1061" s="207"/>
      <c r="I1061" s="228"/>
      <c r="J1061" s="218"/>
      <c r="K1061" s="205"/>
      <c r="L1061" s="210">
        <f>(表格3_5[[#This Row],[Out-Time]] - 表格3_5[[#This Row],[In-Time]])*24</f>
        <v>0</v>
      </c>
      <c r="M1061" s="210">
        <f>表格3_5[[#This Row],[ Hours]]-表格3_5[[#This Row],[Normal working
 hours]]</f>
        <v>0</v>
      </c>
      <c r="N1061" s="205"/>
      <c r="O1061" s="205"/>
      <c r="P1061" s="210">
        <f>(表格3_5[[#This Row],[Out-Time2]] - 表格3_5[[#This Row],[In-Time2]])*24</f>
        <v>0</v>
      </c>
      <c r="Q1061" s="205"/>
      <c r="R1061" s="214">
        <f>_xlfn.XLOOKUP(表格3_5[[#This Row],[Name]],Name_list[Full Name],Name_list[Hourr Rate])</f>
        <v>0</v>
      </c>
      <c r="S1061" s="210">
        <f>表格3_5[[#This Row],[Hours Worked]]*表格3_5[[#This Row],[Hourly Rate]]</f>
        <v>0</v>
      </c>
    </row>
    <row r="1062" spans="1:19">
      <c r="A1062" s="201">
        <v>1060</v>
      </c>
      <c r="B1062" s="210" t="str">
        <f>_xlfn.CONCAT(表格3_5[[#This Row],[Name]],表格3_5[[#This Row],[Location]])</f>
        <v/>
      </c>
      <c r="C1062" s="211" t="str">
        <f>表格3_5[[#This Row],[Location]] &amp; 表格3_5[[#This Row],[Date]] &amp;表格3_5[[#This Row],[Nick Name]]</f>
        <v>0</v>
      </c>
      <c r="D1062" s="202"/>
      <c r="E1062" s="211" t="str">
        <f>DAY(表格3_5[[#This Row],[Date]])&amp;""</f>
        <v>0</v>
      </c>
      <c r="F1062" s="203"/>
      <c r="G1062" s="216">
        <f>_xlfn.XLOOKUP(表格3_5[[#This Row],[Name]],Name_list[Full Name],Name_list[Nick Name])</f>
        <v>0</v>
      </c>
      <c r="H1062" s="207"/>
      <c r="I1062" s="228"/>
      <c r="J1062" s="218"/>
      <c r="K1062" s="205"/>
      <c r="L1062" s="210">
        <f>(表格3_5[[#This Row],[Out-Time]] - 表格3_5[[#This Row],[In-Time]])*24</f>
        <v>0</v>
      </c>
      <c r="M1062" s="210">
        <f>表格3_5[[#This Row],[ Hours]]-表格3_5[[#This Row],[Normal working
 hours]]</f>
        <v>0</v>
      </c>
      <c r="N1062" s="205"/>
      <c r="O1062" s="205"/>
      <c r="P1062" s="210">
        <f>(表格3_5[[#This Row],[Out-Time2]] - 表格3_5[[#This Row],[In-Time2]])*24</f>
        <v>0</v>
      </c>
      <c r="Q1062" s="205"/>
      <c r="R1062" s="214">
        <f>_xlfn.XLOOKUP(表格3_5[[#This Row],[Name]],Name_list[Full Name],Name_list[Hourr Rate])</f>
        <v>0</v>
      </c>
      <c r="S1062" s="210">
        <f>表格3_5[[#This Row],[Hours Worked]]*表格3_5[[#This Row],[Hourly Rate]]</f>
        <v>0</v>
      </c>
    </row>
    <row r="1063" spans="1:19">
      <c r="A1063" s="201">
        <v>1061</v>
      </c>
      <c r="B1063" s="210" t="str">
        <f>_xlfn.CONCAT(表格3_5[[#This Row],[Name]],表格3_5[[#This Row],[Location]])</f>
        <v/>
      </c>
      <c r="C1063" s="211" t="str">
        <f>表格3_5[[#This Row],[Location]] &amp; 表格3_5[[#This Row],[Date]] &amp;表格3_5[[#This Row],[Nick Name]]</f>
        <v>0</v>
      </c>
      <c r="D1063" s="202"/>
      <c r="E1063" s="211" t="str">
        <f>DAY(表格3_5[[#This Row],[Date]])&amp;""</f>
        <v>0</v>
      </c>
      <c r="F1063" s="203"/>
      <c r="G1063" s="216">
        <f>_xlfn.XLOOKUP(表格3_5[[#This Row],[Name]],Name_list[Full Name],Name_list[Nick Name])</f>
        <v>0</v>
      </c>
      <c r="H1063" s="207"/>
      <c r="I1063" s="228"/>
      <c r="J1063" s="218"/>
      <c r="K1063" s="205"/>
      <c r="L1063" s="210">
        <f>(表格3_5[[#This Row],[Out-Time]] - 表格3_5[[#This Row],[In-Time]])*24</f>
        <v>0</v>
      </c>
      <c r="M1063" s="210">
        <f>表格3_5[[#This Row],[ Hours]]-表格3_5[[#This Row],[Normal working
 hours]]</f>
        <v>0</v>
      </c>
      <c r="N1063" s="205"/>
      <c r="O1063" s="205"/>
      <c r="P1063" s="210">
        <f>(表格3_5[[#This Row],[Out-Time2]] - 表格3_5[[#This Row],[In-Time2]])*24</f>
        <v>0</v>
      </c>
      <c r="Q1063" s="205"/>
      <c r="R1063" s="214">
        <f>_xlfn.XLOOKUP(表格3_5[[#This Row],[Name]],Name_list[Full Name],Name_list[Hourr Rate])</f>
        <v>0</v>
      </c>
      <c r="S1063" s="210">
        <f>表格3_5[[#This Row],[Hours Worked]]*表格3_5[[#This Row],[Hourly Rate]]</f>
        <v>0</v>
      </c>
    </row>
    <row r="1064" spans="1:19">
      <c r="A1064" s="201">
        <v>1062</v>
      </c>
      <c r="B1064" s="210" t="str">
        <f>_xlfn.CONCAT(表格3_5[[#This Row],[Name]],表格3_5[[#This Row],[Location]])</f>
        <v/>
      </c>
      <c r="C1064" s="211" t="str">
        <f>表格3_5[[#This Row],[Location]] &amp; 表格3_5[[#This Row],[Date]] &amp;表格3_5[[#This Row],[Nick Name]]</f>
        <v>0</v>
      </c>
      <c r="D1064" s="202"/>
      <c r="E1064" s="211" t="str">
        <f>DAY(表格3_5[[#This Row],[Date]])&amp;""</f>
        <v>0</v>
      </c>
      <c r="F1064" s="203"/>
      <c r="G1064" s="216">
        <f>_xlfn.XLOOKUP(表格3_5[[#This Row],[Name]],Name_list[Full Name],Name_list[Nick Name])</f>
        <v>0</v>
      </c>
      <c r="H1064" s="207"/>
      <c r="I1064" s="228"/>
      <c r="J1064" s="218"/>
      <c r="K1064" s="205"/>
      <c r="L1064" s="210">
        <f>(表格3_5[[#This Row],[Out-Time]] - 表格3_5[[#This Row],[In-Time]])*24</f>
        <v>0</v>
      </c>
      <c r="M1064" s="210">
        <f>表格3_5[[#This Row],[ Hours]]-表格3_5[[#This Row],[Normal working
 hours]]</f>
        <v>0</v>
      </c>
      <c r="N1064" s="205"/>
      <c r="O1064" s="205"/>
      <c r="P1064" s="210">
        <f>(表格3_5[[#This Row],[Out-Time2]] - 表格3_5[[#This Row],[In-Time2]])*24</f>
        <v>0</v>
      </c>
      <c r="Q1064" s="205"/>
      <c r="R1064" s="214">
        <f>_xlfn.XLOOKUP(表格3_5[[#This Row],[Name]],Name_list[Full Name],Name_list[Hourr Rate])</f>
        <v>0</v>
      </c>
      <c r="S1064" s="210">
        <f>表格3_5[[#This Row],[Hours Worked]]*表格3_5[[#This Row],[Hourly Rate]]</f>
        <v>0</v>
      </c>
    </row>
    <row r="1065" spans="1:19">
      <c r="A1065" s="201">
        <v>1063</v>
      </c>
      <c r="B1065" s="210" t="str">
        <f>_xlfn.CONCAT(表格3_5[[#This Row],[Name]],表格3_5[[#This Row],[Location]])</f>
        <v/>
      </c>
      <c r="C1065" s="211" t="str">
        <f>表格3_5[[#This Row],[Location]] &amp; 表格3_5[[#This Row],[Date]] &amp;表格3_5[[#This Row],[Nick Name]]</f>
        <v>0</v>
      </c>
      <c r="D1065" s="202"/>
      <c r="E1065" s="211" t="str">
        <f>DAY(表格3_5[[#This Row],[Date]])&amp;""</f>
        <v>0</v>
      </c>
      <c r="F1065" s="203"/>
      <c r="G1065" s="216">
        <f>_xlfn.XLOOKUP(表格3_5[[#This Row],[Name]],Name_list[Full Name],Name_list[Nick Name])</f>
        <v>0</v>
      </c>
      <c r="H1065" s="207"/>
      <c r="I1065" s="228"/>
      <c r="J1065" s="218"/>
      <c r="K1065" s="205"/>
      <c r="L1065" s="210">
        <f>(表格3_5[[#This Row],[Out-Time]] - 表格3_5[[#This Row],[In-Time]])*24</f>
        <v>0</v>
      </c>
      <c r="M1065" s="210">
        <f>表格3_5[[#This Row],[ Hours]]-表格3_5[[#This Row],[Normal working
 hours]]</f>
        <v>0</v>
      </c>
      <c r="N1065" s="205"/>
      <c r="O1065" s="205"/>
      <c r="P1065" s="210">
        <f>(表格3_5[[#This Row],[Out-Time2]] - 表格3_5[[#This Row],[In-Time2]])*24</f>
        <v>0</v>
      </c>
      <c r="Q1065" s="205"/>
      <c r="R1065" s="214">
        <f>_xlfn.XLOOKUP(表格3_5[[#This Row],[Name]],Name_list[Full Name],Name_list[Hourr Rate])</f>
        <v>0</v>
      </c>
      <c r="S1065" s="210">
        <f>表格3_5[[#This Row],[Hours Worked]]*表格3_5[[#This Row],[Hourly Rate]]</f>
        <v>0</v>
      </c>
    </row>
    <row r="1066" spans="1:19">
      <c r="A1066" s="201">
        <v>1064</v>
      </c>
      <c r="B1066" s="210" t="str">
        <f>_xlfn.CONCAT(表格3_5[[#This Row],[Name]],表格3_5[[#This Row],[Location]])</f>
        <v/>
      </c>
      <c r="C1066" s="211" t="str">
        <f>表格3_5[[#This Row],[Location]] &amp; 表格3_5[[#This Row],[Date]] &amp;表格3_5[[#This Row],[Nick Name]]</f>
        <v>0</v>
      </c>
      <c r="D1066" s="202"/>
      <c r="E1066" s="211" t="str">
        <f>DAY(表格3_5[[#This Row],[Date]])&amp;""</f>
        <v>0</v>
      </c>
      <c r="F1066" s="203"/>
      <c r="G1066" s="216">
        <f>_xlfn.XLOOKUP(表格3_5[[#This Row],[Name]],Name_list[Full Name],Name_list[Nick Name])</f>
        <v>0</v>
      </c>
      <c r="H1066" s="207"/>
      <c r="I1066" s="228"/>
      <c r="J1066" s="218"/>
      <c r="K1066" s="205"/>
      <c r="L1066" s="210">
        <f>(表格3_5[[#This Row],[Out-Time]] - 表格3_5[[#This Row],[In-Time]])*24</f>
        <v>0</v>
      </c>
      <c r="M1066" s="210">
        <f>表格3_5[[#This Row],[ Hours]]-表格3_5[[#This Row],[Normal working
 hours]]</f>
        <v>0</v>
      </c>
      <c r="N1066" s="205"/>
      <c r="O1066" s="205"/>
      <c r="P1066" s="210">
        <f>(表格3_5[[#This Row],[Out-Time2]] - 表格3_5[[#This Row],[In-Time2]])*24</f>
        <v>0</v>
      </c>
      <c r="Q1066" s="205"/>
      <c r="R1066" s="214">
        <f>_xlfn.XLOOKUP(表格3_5[[#This Row],[Name]],Name_list[Full Name],Name_list[Hourr Rate])</f>
        <v>0</v>
      </c>
      <c r="S1066" s="210">
        <f>表格3_5[[#This Row],[Hours Worked]]*表格3_5[[#This Row],[Hourly Rate]]</f>
        <v>0</v>
      </c>
    </row>
    <row r="1067" spans="1:19">
      <c r="A1067" s="201">
        <v>1065</v>
      </c>
      <c r="B1067" s="210" t="str">
        <f>_xlfn.CONCAT(表格3_5[[#This Row],[Name]],表格3_5[[#This Row],[Location]])</f>
        <v/>
      </c>
      <c r="C1067" s="211" t="str">
        <f>表格3_5[[#This Row],[Location]] &amp; 表格3_5[[#This Row],[Date]] &amp;表格3_5[[#This Row],[Nick Name]]</f>
        <v>0</v>
      </c>
      <c r="D1067" s="202"/>
      <c r="E1067" s="211" t="str">
        <f>DAY(表格3_5[[#This Row],[Date]])&amp;""</f>
        <v>0</v>
      </c>
      <c r="F1067" s="203"/>
      <c r="G1067" s="216">
        <f>_xlfn.XLOOKUP(表格3_5[[#This Row],[Name]],Name_list[Full Name],Name_list[Nick Name])</f>
        <v>0</v>
      </c>
      <c r="H1067" s="207"/>
      <c r="I1067" s="228"/>
      <c r="J1067" s="218"/>
      <c r="K1067" s="205"/>
      <c r="L1067" s="210">
        <f>(表格3_5[[#This Row],[Out-Time]] - 表格3_5[[#This Row],[In-Time]])*24</f>
        <v>0</v>
      </c>
      <c r="M1067" s="210">
        <f>表格3_5[[#This Row],[ Hours]]-表格3_5[[#This Row],[Normal working
 hours]]</f>
        <v>0</v>
      </c>
      <c r="N1067" s="205"/>
      <c r="O1067" s="205"/>
      <c r="P1067" s="210">
        <f>(表格3_5[[#This Row],[Out-Time2]] - 表格3_5[[#This Row],[In-Time2]])*24</f>
        <v>0</v>
      </c>
      <c r="Q1067" s="205"/>
      <c r="R1067" s="214">
        <f>_xlfn.XLOOKUP(表格3_5[[#This Row],[Name]],Name_list[Full Name],Name_list[Hourr Rate])</f>
        <v>0</v>
      </c>
      <c r="S1067" s="210">
        <f>表格3_5[[#This Row],[Hours Worked]]*表格3_5[[#This Row],[Hourly Rate]]</f>
        <v>0</v>
      </c>
    </row>
    <row r="1068" spans="1:19">
      <c r="A1068" s="201">
        <v>1066</v>
      </c>
      <c r="B1068" s="210" t="str">
        <f>_xlfn.CONCAT(表格3_5[[#This Row],[Name]],表格3_5[[#This Row],[Location]])</f>
        <v/>
      </c>
      <c r="C1068" s="211" t="str">
        <f>表格3_5[[#This Row],[Location]] &amp; 表格3_5[[#This Row],[Date]] &amp;表格3_5[[#This Row],[Nick Name]]</f>
        <v>0</v>
      </c>
      <c r="D1068" s="202"/>
      <c r="E1068" s="211" t="str">
        <f>DAY(表格3_5[[#This Row],[Date]])&amp;""</f>
        <v>0</v>
      </c>
      <c r="F1068" s="203"/>
      <c r="G1068" s="216">
        <f>_xlfn.XLOOKUP(表格3_5[[#This Row],[Name]],Name_list[Full Name],Name_list[Nick Name])</f>
        <v>0</v>
      </c>
      <c r="H1068" s="207"/>
      <c r="I1068" s="228"/>
      <c r="J1068" s="218"/>
      <c r="K1068" s="205"/>
      <c r="L1068" s="210">
        <f>(表格3_5[[#This Row],[Out-Time]] - 表格3_5[[#This Row],[In-Time]])*24</f>
        <v>0</v>
      </c>
      <c r="M1068" s="210">
        <f>表格3_5[[#This Row],[ Hours]]-表格3_5[[#This Row],[Normal working
 hours]]</f>
        <v>0</v>
      </c>
      <c r="N1068" s="205"/>
      <c r="O1068" s="205"/>
      <c r="P1068" s="210">
        <f>(表格3_5[[#This Row],[Out-Time2]] - 表格3_5[[#This Row],[In-Time2]])*24</f>
        <v>0</v>
      </c>
      <c r="Q1068" s="205"/>
      <c r="R1068" s="214">
        <f>_xlfn.XLOOKUP(表格3_5[[#This Row],[Name]],Name_list[Full Name],Name_list[Hourr Rate])</f>
        <v>0</v>
      </c>
      <c r="S1068" s="210">
        <f>表格3_5[[#This Row],[Hours Worked]]*表格3_5[[#This Row],[Hourly Rate]]</f>
        <v>0</v>
      </c>
    </row>
    <row r="1069" spans="1:19">
      <c r="A1069" s="201">
        <v>1067</v>
      </c>
      <c r="B1069" s="210" t="str">
        <f>_xlfn.CONCAT(表格3_5[[#This Row],[Name]],表格3_5[[#This Row],[Location]])</f>
        <v/>
      </c>
      <c r="C1069" s="211" t="str">
        <f>表格3_5[[#This Row],[Location]] &amp; 表格3_5[[#This Row],[Date]] &amp;表格3_5[[#This Row],[Nick Name]]</f>
        <v>0</v>
      </c>
      <c r="D1069" s="202"/>
      <c r="E1069" s="211" t="str">
        <f>DAY(表格3_5[[#This Row],[Date]])&amp;""</f>
        <v>0</v>
      </c>
      <c r="F1069" s="203"/>
      <c r="G1069" s="216">
        <f>_xlfn.XLOOKUP(表格3_5[[#This Row],[Name]],Name_list[Full Name],Name_list[Nick Name])</f>
        <v>0</v>
      </c>
      <c r="H1069" s="207"/>
      <c r="I1069" s="228"/>
      <c r="J1069" s="218"/>
      <c r="K1069" s="205"/>
      <c r="L1069" s="210">
        <f>(表格3_5[[#This Row],[Out-Time]] - 表格3_5[[#This Row],[In-Time]])*24</f>
        <v>0</v>
      </c>
      <c r="M1069" s="210">
        <f>表格3_5[[#This Row],[ Hours]]-表格3_5[[#This Row],[Normal working
 hours]]</f>
        <v>0</v>
      </c>
      <c r="N1069" s="205"/>
      <c r="O1069" s="205"/>
      <c r="P1069" s="210">
        <f>(表格3_5[[#This Row],[Out-Time2]] - 表格3_5[[#This Row],[In-Time2]])*24</f>
        <v>0</v>
      </c>
      <c r="Q1069" s="205"/>
      <c r="R1069" s="214">
        <f>_xlfn.XLOOKUP(表格3_5[[#This Row],[Name]],Name_list[Full Name],Name_list[Hourr Rate])</f>
        <v>0</v>
      </c>
      <c r="S1069" s="210">
        <f>表格3_5[[#This Row],[Hours Worked]]*表格3_5[[#This Row],[Hourly Rate]]</f>
        <v>0</v>
      </c>
    </row>
    <row r="1070" spans="1:19">
      <c r="A1070" s="201">
        <v>1068</v>
      </c>
      <c r="B1070" s="210" t="str">
        <f>_xlfn.CONCAT(表格3_5[[#This Row],[Name]],表格3_5[[#This Row],[Location]])</f>
        <v/>
      </c>
      <c r="C1070" s="211" t="str">
        <f>表格3_5[[#This Row],[Location]] &amp; 表格3_5[[#This Row],[Date]] &amp;表格3_5[[#This Row],[Nick Name]]</f>
        <v>0</v>
      </c>
      <c r="D1070" s="202"/>
      <c r="E1070" s="211" t="str">
        <f>DAY(表格3_5[[#This Row],[Date]])&amp;""</f>
        <v>0</v>
      </c>
      <c r="F1070" s="203"/>
      <c r="G1070" s="216">
        <f>_xlfn.XLOOKUP(表格3_5[[#This Row],[Name]],Name_list[Full Name],Name_list[Nick Name])</f>
        <v>0</v>
      </c>
      <c r="H1070" s="207"/>
      <c r="I1070" s="228"/>
      <c r="J1070" s="218"/>
      <c r="K1070" s="205"/>
      <c r="L1070" s="210">
        <f>(表格3_5[[#This Row],[Out-Time]] - 表格3_5[[#This Row],[In-Time]])*24</f>
        <v>0</v>
      </c>
      <c r="M1070" s="210">
        <f>表格3_5[[#This Row],[ Hours]]-表格3_5[[#This Row],[Normal working
 hours]]</f>
        <v>0</v>
      </c>
      <c r="N1070" s="205"/>
      <c r="O1070" s="205"/>
      <c r="P1070" s="210">
        <f>(表格3_5[[#This Row],[Out-Time2]] - 表格3_5[[#This Row],[In-Time2]])*24</f>
        <v>0</v>
      </c>
      <c r="Q1070" s="205"/>
      <c r="R1070" s="214">
        <f>_xlfn.XLOOKUP(表格3_5[[#This Row],[Name]],Name_list[Full Name],Name_list[Hourr Rate])</f>
        <v>0</v>
      </c>
      <c r="S1070" s="210">
        <f>表格3_5[[#This Row],[Hours Worked]]*表格3_5[[#This Row],[Hourly Rate]]</f>
        <v>0</v>
      </c>
    </row>
    <row r="1071" spans="1:19">
      <c r="A1071" s="201">
        <v>1069</v>
      </c>
      <c r="B1071" s="210" t="str">
        <f>_xlfn.CONCAT(表格3_5[[#This Row],[Name]],表格3_5[[#This Row],[Location]])</f>
        <v/>
      </c>
      <c r="C1071" s="211" t="str">
        <f>表格3_5[[#This Row],[Location]] &amp; 表格3_5[[#This Row],[Date]] &amp;表格3_5[[#This Row],[Nick Name]]</f>
        <v>0</v>
      </c>
      <c r="D1071" s="202"/>
      <c r="E1071" s="211" t="str">
        <f>DAY(表格3_5[[#This Row],[Date]])&amp;""</f>
        <v>0</v>
      </c>
      <c r="F1071" s="203"/>
      <c r="G1071" s="216">
        <f>_xlfn.XLOOKUP(表格3_5[[#This Row],[Name]],Name_list[Full Name],Name_list[Nick Name])</f>
        <v>0</v>
      </c>
      <c r="H1071" s="207"/>
      <c r="I1071" s="228"/>
      <c r="J1071" s="218"/>
      <c r="K1071" s="205"/>
      <c r="L1071" s="210">
        <f>(表格3_5[[#This Row],[Out-Time]] - 表格3_5[[#This Row],[In-Time]])*24</f>
        <v>0</v>
      </c>
      <c r="M1071" s="210">
        <f>表格3_5[[#This Row],[ Hours]]-表格3_5[[#This Row],[Normal working
 hours]]</f>
        <v>0</v>
      </c>
      <c r="N1071" s="205"/>
      <c r="O1071" s="205"/>
      <c r="P1071" s="210">
        <f>(表格3_5[[#This Row],[Out-Time2]] - 表格3_5[[#This Row],[In-Time2]])*24</f>
        <v>0</v>
      </c>
      <c r="Q1071" s="205"/>
      <c r="R1071" s="214">
        <f>_xlfn.XLOOKUP(表格3_5[[#This Row],[Name]],Name_list[Full Name],Name_list[Hourr Rate])</f>
        <v>0</v>
      </c>
      <c r="S1071" s="210">
        <f>表格3_5[[#This Row],[Hours Worked]]*表格3_5[[#This Row],[Hourly Rate]]</f>
        <v>0</v>
      </c>
    </row>
    <row r="1072" spans="1:19">
      <c r="A1072" s="201">
        <v>1070</v>
      </c>
      <c r="B1072" s="210" t="str">
        <f>_xlfn.CONCAT(表格3_5[[#This Row],[Name]],表格3_5[[#This Row],[Location]])</f>
        <v/>
      </c>
      <c r="C1072" s="211" t="str">
        <f>表格3_5[[#This Row],[Location]] &amp; 表格3_5[[#This Row],[Date]] &amp;表格3_5[[#This Row],[Nick Name]]</f>
        <v>0</v>
      </c>
      <c r="D1072" s="202"/>
      <c r="E1072" s="211" t="str">
        <f>DAY(表格3_5[[#This Row],[Date]])&amp;""</f>
        <v>0</v>
      </c>
      <c r="F1072" s="203"/>
      <c r="G1072" s="216">
        <f>_xlfn.XLOOKUP(表格3_5[[#This Row],[Name]],Name_list[Full Name],Name_list[Nick Name])</f>
        <v>0</v>
      </c>
      <c r="H1072" s="207"/>
      <c r="I1072" s="228"/>
      <c r="J1072" s="218"/>
      <c r="K1072" s="205"/>
      <c r="L1072" s="210">
        <f>(表格3_5[[#This Row],[Out-Time]] - 表格3_5[[#This Row],[In-Time]])*24</f>
        <v>0</v>
      </c>
      <c r="M1072" s="210">
        <f>表格3_5[[#This Row],[ Hours]]-表格3_5[[#This Row],[Normal working
 hours]]</f>
        <v>0</v>
      </c>
      <c r="N1072" s="205"/>
      <c r="O1072" s="205"/>
      <c r="P1072" s="210">
        <f>(表格3_5[[#This Row],[Out-Time2]] - 表格3_5[[#This Row],[In-Time2]])*24</f>
        <v>0</v>
      </c>
      <c r="Q1072" s="205"/>
      <c r="R1072" s="214">
        <f>_xlfn.XLOOKUP(表格3_5[[#This Row],[Name]],Name_list[Full Name],Name_list[Hourr Rate])</f>
        <v>0</v>
      </c>
      <c r="S1072" s="210">
        <f>表格3_5[[#This Row],[Hours Worked]]*表格3_5[[#This Row],[Hourly Rate]]</f>
        <v>0</v>
      </c>
    </row>
    <row r="1073" spans="1:19">
      <c r="A1073" s="201">
        <v>1071</v>
      </c>
      <c r="B1073" s="210" t="str">
        <f>_xlfn.CONCAT(表格3_5[[#This Row],[Name]],表格3_5[[#This Row],[Location]])</f>
        <v/>
      </c>
      <c r="C1073" s="211" t="str">
        <f>表格3_5[[#This Row],[Location]] &amp; 表格3_5[[#This Row],[Date]] &amp;表格3_5[[#This Row],[Nick Name]]</f>
        <v>0</v>
      </c>
      <c r="D1073" s="202"/>
      <c r="E1073" s="211" t="str">
        <f>DAY(表格3_5[[#This Row],[Date]])&amp;""</f>
        <v>0</v>
      </c>
      <c r="F1073" s="203"/>
      <c r="G1073" s="216">
        <f>_xlfn.XLOOKUP(表格3_5[[#This Row],[Name]],Name_list[Full Name],Name_list[Nick Name])</f>
        <v>0</v>
      </c>
      <c r="H1073" s="207"/>
      <c r="I1073" s="228"/>
      <c r="J1073" s="218"/>
      <c r="K1073" s="205"/>
      <c r="L1073" s="210">
        <f>(表格3_5[[#This Row],[Out-Time]] - 表格3_5[[#This Row],[In-Time]])*24</f>
        <v>0</v>
      </c>
      <c r="M1073" s="210">
        <f>表格3_5[[#This Row],[ Hours]]-表格3_5[[#This Row],[Normal working
 hours]]</f>
        <v>0</v>
      </c>
      <c r="N1073" s="205"/>
      <c r="O1073" s="205"/>
      <c r="P1073" s="210">
        <f>(表格3_5[[#This Row],[Out-Time2]] - 表格3_5[[#This Row],[In-Time2]])*24</f>
        <v>0</v>
      </c>
      <c r="Q1073" s="205"/>
      <c r="R1073" s="214">
        <f>_xlfn.XLOOKUP(表格3_5[[#This Row],[Name]],Name_list[Full Name],Name_list[Hourr Rate])</f>
        <v>0</v>
      </c>
      <c r="S1073" s="210">
        <f>表格3_5[[#This Row],[Hours Worked]]*表格3_5[[#This Row],[Hourly Rate]]</f>
        <v>0</v>
      </c>
    </row>
    <row r="1074" spans="1:19">
      <c r="A1074" s="201">
        <v>1072</v>
      </c>
      <c r="B1074" s="210" t="str">
        <f>_xlfn.CONCAT(表格3_5[[#This Row],[Name]],表格3_5[[#This Row],[Location]])</f>
        <v/>
      </c>
      <c r="C1074" s="211" t="str">
        <f>表格3_5[[#This Row],[Location]] &amp; 表格3_5[[#This Row],[Date]] &amp;表格3_5[[#This Row],[Nick Name]]</f>
        <v>0</v>
      </c>
      <c r="D1074" s="202"/>
      <c r="E1074" s="211" t="str">
        <f>DAY(表格3_5[[#This Row],[Date]])&amp;""</f>
        <v>0</v>
      </c>
      <c r="F1074" s="203"/>
      <c r="G1074" s="216">
        <f>_xlfn.XLOOKUP(表格3_5[[#This Row],[Name]],Name_list[Full Name],Name_list[Nick Name])</f>
        <v>0</v>
      </c>
      <c r="H1074" s="207"/>
      <c r="I1074" s="228"/>
      <c r="J1074" s="218"/>
      <c r="K1074" s="205"/>
      <c r="L1074" s="210">
        <f>(表格3_5[[#This Row],[Out-Time]] - 表格3_5[[#This Row],[In-Time]])*24</f>
        <v>0</v>
      </c>
      <c r="M1074" s="210">
        <f>表格3_5[[#This Row],[ Hours]]-表格3_5[[#This Row],[Normal working
 hours]]</f>
        <v>0</v>
      </c>
      <c r="N1074" s="205"/>
      <c r="O1074" s="205"/>
      <c r="P1074" s="210">
        <f>(表格3_5[[#This Row],[Out-Time2]] - 表格3_5[[#This Row],[In-Time2]])*24</f>
        <v>0</v>
      </c>
      <c r="Q1074" s="205"/>
      <c r="R1074" s="214">
        <f>_xlfn.XLOOKUP(表格3_5[[#This Row],[Name]],Name_list[Full Name],Name_list[Hourr Rate])</f>
        <v>0</v>
      </c>
      <c r="S1074" s="210">
        <f>表格3_5[[#This Row],[Hours Worked]]*表格3_5[[#This Row],[Hourly Rate]]</f>
        <v>0</v>
      </c>
    </row>
    <row r="1075" spans="1:19">
      <c r="A1075" s="201">
        <v>1073</v>
      </c>
      <c r="B1075" s="210" t="str">
        <f>_xlfn.CONCAT(表格3_5[[#This Row],[Name]],表格3_5[[#This Row],[Location]])</f>
        <v/>
      </c>
      <c r="C1075" s="211" t="str">
        <f>表格3_5[[#This Row],[Location]] &amp; 表格3_5[[#This Row],[Date]] &amp;表格3_5[[#This Row],[Nick Name]]</f>
        <v>0</v>
      </c>
      <c r="D1075" s="202"/>
      <c r="E1075" s="211" t="str">
        <f>DAY(表格3_5[[#This Row],[Date]])&amp;""</f>
        <v>0</v>
      </c>
      <c r="F1075" s="203"/>
      <c r="G1075" s="216">
        <f>_xlfn.XLOOKUP(表格3_5[[#This Row],[Name]],Name_list[Full Name],Name_list[Nick Name])</f>
        <v>0</v>
      </c>
      <c r="H1075" s="207"/>
      <c r="I1075" s="228"/>
      <c r="J1075" s="218"/>
      <c r="K1075" s="205"/>
      <c r="L1075" s="210">
        <f>(表格3_5[[#This Row],[Out-Time]] - 表格3_5[[#This Row],[In-Time]])*24</f>
        <v>0</v>
      </c>
      <c r="M1075" s="210">
        <f>表格3_5[[#This Row],[ Hours]]-表格3_5[[#This Row],[Normal working
 hours]]</f>
        <v>0</v>
      </c>
      <c r="N1075" s="205"/>
      <c r="O1075" s="205"/>
      <c r="P1075" s="210">
        <f>(表格3_5[[#This Row],[Out-Time2]] - 表格3_5[[#This Row],[In-Time2]])*24</f>
        <v>0</v>
      </c>
      <c r="Q1075" s="205"/>
      <c r="R1075" s="214">
        <f>_xlfn.XLOOKUP(表格3_5[[#This Row],[Name]],Name_list[Full Name],Name_list[Hourr Rate])</f>
        <v>0</v>
      </c>
      <c r="S1075" s="210">
        <f>表格3_5[[#This Row],[Hours Worked]]*表格3_5[[#This Row],[Hourly Rate]]</f>
        <v>0</v>
      </c>
    </row>
    <row r="1076" spans="1:19">
      <c r="A1076" s="201">
        <v>1074</v>
      </c>
      <c r="B1076" s="210" t="str">
        <f>_xlfn.CONCAT(表格3_5[[#This Row],[Name]],表格3_5[[#This Row],[Location]])</f>
        <v/>
      </c>
      <c r="C1076" s="211" t="str">
        <f>表格3_5[[#This Row],[Location]] &amp; 表格3_5[[#This Row],[Date]] &amp;表格3_5[[#This Row],[Nick Name]]</f>
        <v>0</v>
      </c>
      <c r="D1076" s="202"/>
      <c r="E1076" s="211" t="str">
        <f>DAY(表格3_5[[#This Row],[Date]])&amp;""</f>
        <v>0</v>
      </c>
      <c r="F1076" s="203"/>
      <c r="G1076" s="216">
        <f>_xlfn.XLOOKUP(表格3_5[[#This Row],[Name]],Name_list[Full Name],Name_list[Nick Name])</f>
        <v>0</v>
      </c>
      <c r="H1076" s="207"/>
      <c r="I1076" s="228"/>
      <c r="J1076" s="218"/>
      <c r="K1076" s="205"/>
      <c r="L1076" s="210">
        <f>(表格3_5[[#This Row],[Out-Time]] - 表格3_5[[#This Row],[In-Time]])*24</f>
        <v>0</v>
      </c>
      <c r="M1076" s="210">
        <f>表格3_5[[#This Row],[ Hours]]-表格3_5[[#This Row],[Normal working
 hours]]</f>
        <v>0</v>
      </c>
      <c r="N1076" s="205"/>
      <c r="O1076" s="205"/>
      <c r="P1076" s="210">
        <f>(表格3_5[[#This Row],[Out-Time2]] - 表格3_5[[#This Row],[In-Time2]])*24</f>
        <v>0</v>
      </c>
      <c r="Q1076" s="205"/>
      <c r="R1076" s="214">
        <f>_xlfn.XLOOKUP(表格3_5[[#This Row],[Name]],Name_list[Full Name],Name_list[Hourr Rate])</f>
        <v>0</v>
      </c>
      <c r="S1076" s="210">
        <f>表格3_5[[#This Row],[Hours Worked]]*表格3_5[[#This Row],[Hourly Rate]]</f>
        <v>0</v>
      </c>
    </row>
    <row r="1077" spans="1:19">
      <c r="A1077" s="201">
        <v>1075</v>
      </c>
      <c r="B1077" s="210" t="str">
        <f>_xlfn.CONCAT(表格3_5[[#This Row],[Name]],表格3_5[[#This Row],[Location]])</f>
        <v/>
      </c>
      <c r="C1077" s="211" t="str">
        <f>表格3_5[[#This Row],[Location]] &amp; 表格3_5[[#This Row],[Date]] &amp;表格3_5[[#This Row],[Nick Name]]</f>
        <v>0</v>
      </c>
      <c r="D1077" s="202"/>
      <c r="E1077" s="211" t="str">
        <f>DAY(表格3_5[[#This Row],[Date]])&amp;""</f>
        <v>0</v>
      </c>
      <c r="F1077" s="203"/>
      <c r="G1077" s="216">
        <f>_xlfn.XLOOKUP(表格3_5[[#This Row],[Name]],Name_list[Full Name],Name_list[Nick Name])</f>
        <v>0</v>
      </c>
      <c r="H1077" s="207"/>
      <c r="I1077" s="228"/>
      <c r="J1077" s="218"/>
      <c r="K1077" s="205"/>
      <c r="L1077" s="210">
        <f>(表格3_5[[#This Row],[Out-Time]] - 表格3_5[[#This Row],[In-Time]])*24</f>
        <v>0</v>
      </c>
      <c r="M1077" s="210">
        <f>表格3_5[[#This Row],[ Hours]]-表格3_5[[#This Row],[Normal working
 hours]]</f>
        <v>0</v>
      </c>
      <c r="N1077" s="205"/>
      <c r="O1077" s="205"/>
      <c r="P1077" s="210">
        <f>(表格3_5[[#This Row],[Out-Time2]] - 表格3_5[[#This Row],[In-Time2]])*24</f>
        <v>0</v>
      </c>
      <c r="Q1077" s="205"/>
      <c r="R1077" s="214">
        <f>_xlfn.XLOOKUP(表格3_5[[#This Row],[Name]],Name_list[Full Name],Name_list[Hourr Rate])</f>
        <v>0</v>
      </c>
      <c r="S1077" s="210">
        <f>表格3_5[[#This Row],[Hours Worked]]*表格3_5[[#This Row],[Hourly Rate]]</f>
        <v>0</v>
      </c>
    </row>
    <row r="1078" spans="1:19">
      <c r="A1078" s="201">
        <v>1076</v>
      </c>
      <c r="B1078" s="210" t="str">
        <f>_xlfn.CONCAT(表格3_5[[#This Row],[Name]],表格3_5[[#This Row],[Location]])</f>
        <v/>
      </c>
      <c r="C1078" s="211" t="str">
        <f>表格3_5[[#This Row],[Location]] &amp; 表格3_5[[#This Row],[Date]] &amp;表格3_5[[#This Row],[Nick Name]]</f>
        <v>0</v>
      </c>
      <c r="D1078" s="202"/>
      <c r="E1078" s="211" t="str">
        <f>DAY(表格3_5[[#This Row],[Date]])&amp;""</f>
        <v>0</v>
      </c>
      <c r="F1078" s="203"/>
      <c r="G1078" s="216">
        <f>_xlfn.XLOOKUP(表格3_5[[#This Row],[Name]],Name_list[Full Name],Name_list[Nick Name])</f>
        <v>0</v>
      </c>
      <c r="H1078" s="207"/>
      <c r="I1078" s="228"/>
      <c r="J1078" s="218"/>
      <c r="K1078" s="205"/>
      <c r="L1078" s="210">
        <f>(表格3_5[[#This Row],[Out-Time]] - 表格3_5[[#This Row],[In-Time]])*24</f>
        <v>0</v>
      </c>
      <c r="M1078" s="210">
        <f>表格3_5[[#This Row],[ Hours]]-表格3_5[[#This Row],[Normal working
 hours]]</f>
        <v>0</v>
      </c>
      <c r="N1078" s="205"/>
      <c r="O1078" s="205"/>
      <c r="P1078" s="210">
        <f>(表格3_5[[#This Row],[Out-Time2]] - 表格3_5[[#This Row],[In-Time2]])*24</f>
        <v>0</v>
      </c>
      <c r="Q1078" s="205"/>
      <c r="R1078" s="214">
        <f>_xlfn.XLOOKUP(表格3_5[[#This Row],[Name]],Name_list[Full Name],Name_list[Hourr Rate])</f>
        <v>0</v>
      </c>
      <c r="S1078" s="210">
        <f>表格3_5[[#This Row],[Hours Worked]]*表格3_5[[#This Row],[Hourly Rate]]</f>
        <v>0</v>
      </c>
    </row>
    <row r="1079" spans="1:19">
      <c r="A1079" s="201">
        <v>1077</v>
      </c>
      <c r="B1079" s="210" t="str">
        <f>_xlfn.CONCAT(表格3_5[[#This Row],[Name]],表格3_5[[#This Row],[Location]])</f>
        <v/>
      </c>
      <c r="C1079" s="211" t="str">
        <f>表格3_5[[#This Row],[Location]] &amp; 表格3_5[[#This Row],[Date]] &amp;表格3_5[[#This Row],[Nick Name]]</f>
        <v>0</v>
      </c>
      <c r="D1079" s="202"/>
      <c r="E1079" s="211" t="str">
        <f>DAY(表格3_5[[#This Row],[Date]])&amp;""</f>
        <v>0</v>
      </c>
      <c r="F1079" s="203"/>
      <c r="G1079" s="216">
        <f>_xlfn.XLOOKUP(表格3_5[[#This Row],[Name]],Name_list[Full Name],Name_list[Nick Name])</f>
        <v>0</v>
      </c>
      <c r="H1079" s="207"/>
      <c r="I1079" s="228"/>
      <c r="J1079" s="218"/>
      <c r="K1079" s="205"/>
      <c r="L1079" s="210">
        <f>(表格3_5[[#This Row],[Out-Time]] - 表格3_5[[#This Row],[In-Time]])*24</f>
        <v>0</v>
      </c>
      <c r="M1079" s="210">
        <f>表格3_5[[#This Row],[ Hours]]-表格3_5[[#This Row],[Normal working
 hours]]</f>
        <v>0</v>
      </c>
      <c r="N1079" s="205"/>
      <c r="O1079" s="205"/>
      <c r="P1079" s="210">
        <f>(表格3_5[[#This Row],[Out-Time2]] - 表格3_5[[#This Row],[In-Time2]])*24</f>
        <v>0</v>
      </c>
      <c r="Q1079" s="205"/>
      <c r="R1079" s="214">
        <f>_xlfn.XLOOKUP(表格3_5[[#This Row],[Name]],Name_list[Full Name],Name_list[Hourr Rate])</f>
        <v>0</v>
      </c>
      <c r="S1079" s="210">
        <f>表格3_5[[#This Row],[Hours Worked]]*表格3_5[[#This Row],[Hourly Rate]]</f>
        <v>0</v>
      </c>
    </row>
    <row r="1080" spans="1:19">
      <c r="A1080" s="201">
        <v>1078</v>
      </c>
      <c r="B1080" s="210" t="str">
        <f>_xlfn.CONCAT(表格3_5[[#This Row],[Name]],表格3_5[[#This Row],[Location]])</f>
        <v/>
      </c>
      <c r="C1080" s="211" t="str">
        <f>表格3_5[[#This Row],[Location]] &amp; 表格3_5[[#This Row],[Date]] &amp;表格3_5[[#This Row],[Nick Name]]</f>
        <v>0</v>
      </c>
      <c r="D1080" s="202"/>
      <c r="E1080" s="211" t="str">
        <f>DAY(表格3_5[[#This Row],[Date]])&amp;""</f>
        <v>0</v>
      </c>
      <c r="F1080" s="203"/>
      <c r="G1080" s="216">
        <f>_xlfn.XLOOKUP(表格3_5[[#This Row],[Name]],Name_list[Full Name],Name_list[Nick Name])</f>
        <v>0</v>
      </c>
      <c r="H1080" s="207"/>
      <c r="I1080" s="228"/>
      <c r="J1080" s="218"/>
      <c r="K1080" s="205"/>
      <c r="L1080" s="210">
        <f>(表格3_5[[#This Row],[Out-Time]] - 表格3_5[[#This Row],[In-Time]])*24</f>
        <v>0</v>
      </c>
      <c r="M1080" s="210">
        <f>表格3_5[[#This Row],[ Hours]]-表格3_5[[#This Row],[Normal working
 hours]]</f>
        <v>0</v>
      </c>
      <c r="N1080" s="205"/>
      <c r="O1080" s="205"/>
      <c r="P1080" s="210">
        <f>(表格3_5[[#This Row],[Out-Time2]] - 表格3_5[[#This Row],[In-Time2]])*24</f>
        <v>0</v>
      </c>
      <c r="Q1080" s="205"/>
      <c r="R1080" s="214">
        <f>_xlfn.XLOOKUP(表格3_5[[#This Row],[Name]],Name_list[Full Name],Name_list[Hourr Rate])</f>
        <v>0</v>
      </c>
      <c r="S1080" s="210">
        <f>表格3_5[[#This Row],[Hours Worked]]*表格3_5[[#This Row],[Hourly Rate]]</f>
        <v>0</v>
      </c>
    </row>
    <row r="1081" spans="1:19">
      <c r="A1081" s="201">
        <v>1079</v>
      </c>
      <c r="B1081" s="210" t="str">
        <f>_xlfn.CONCAT(表格3_5[[#This Row],[Name]],表格3_5[[#This Row],[Location]])</f>
        <v/>
      </c>
      <c r="C1081" s="211" t="str">
        <f>表格3_5[[#This Row],[Location]] &amp; 表格3_5[[#This Row],[Date]] &amp;表格3_5[[#This Row],[Nick Name]]</f>
        <v>0</v>
      </c>
      <c r="D1081" s="202"/>
      <c r="E1081" s="211" t="str">
        <f>DAY(表格3_5[[#This Row],[Date]])&amp;""</f>
        <v>0</v>
      </c>
      <c r="F1081" s="203"/>
      <c r="G1081" s="216">
        <f>_xlfn.XLOOKUP(表格3_5[[#This Row],[Name]],Name_list[Full Name],Name_list[Nick Name])</f>
        <v>0</v>
      </c>
      <c r="H1081" s="207"/>
      <c r="I1081" s="228"/>
      <c r="J1081" s="218"/>
      <c r="K1081" s="205"/>
      <c r="L1081" s="210">
        <f>(表格3_5[[#This Row],[Out-Time]] - 表格3_5[[#This Row],[In-Time]])*24</f>
        <v>0</v>
      </c>
      <c r="M1081" s="210">
        <f>表格3_5[[#This Row],[ Hours]]-表格3_5[[#This Row],[Normal working
 hours]]</f>
        <v>0</v>
      </c>
      <c r="N1081" s="205"/>
      <c r="O1081" s="205"/>
      <c r="P1081" s="210">
        <f>(表格3_5[[#This Row],[Out-Time2]] - 表格3_5[[#This Row],[In-Time2]])*24</f>
        <v>0</v>
      </c>
      <c r="Q1081" s="205"/>
      <c r="R1081" s="214">
        <f>_xlfn.XLOOKUP(表格3_5[[#This Row],[Name]],Name_list[Full Name],Name_list[Hourr Rate])</f>
        <v>0</v>
      </c>
      <c r="S1081" s="210">
        <f>表格3_5[[#This Row],[Hours Worked]]*表格3_5[[#This Row],[Hourly Rate]]</f>
        <v>0</v>
      </c>
    </row>
    <row r="1082" spans="1:19">
      <c r="A1082" s="201">
        <v>1080</v>
      </c>
      <c r="B1082" s="210" t="str">
        <f>_xlfn.CONCAT(表格3_5[[#This Row],[Name]],表格3_5[[#This Row],[Location]])</f>
        <v/>
      </c>
      <c r="C1082" s="211" t="str">
        <f>表格3_5[[#This Row],[Location]] &amp; 表格3_5[[#This Row],[Date]] &amp;表格3_5[[#This Row],[Nick Name]]</f>
        <v>0</v>
      </c>
      <c r="D1082" s="202"/>
      <c r="E1082" s="211" t="str">
        <f>DAY(表格3_5[[#This Row],[Date]])&amp;""</f>
        <v>0</v>
      </c>
      <c r="F1082" s="203"/>
      <c r="G1082" s="216">
        <f>_xlfn.XLOOKUP(表格3_5[[#This Row],[Name]],Name_list[Full Name],Name_list[Nick Name])</f>
        <v>0</v>
      </c>
      <c r="H1082" s="207"/>
      <c r="I1082" s="228"/>
      <c r="J1082" s="218"/>
      <c r="K1082" s="205"/>
      <c r="L1082" s="210">
        <f>(表格3_5[[#This Row],[Out-Time]] - 表格3_5[[#This Row],[In-Time]])*24</f>
        <v>0</v>
      </c>
      <c r="M1082" s="210">
        <f>表格3_5[[#This Row],[ Hours]]-表格3_5[[#This Row],[Normal working
 hours]]</f>
        <v>0</v>
      </c>
      <c r="N1082" s="205"/>
      <c r="O1082" s="205"/>
      <c r="P1082" s="210">
        <f>(表格3_5[[#This Row],[Out-Time2]] - 表格3_5[[#This Row],[In-Time2]])*24</f>
        <v>0</v>
      </c>
      <c r="Q1082" s="205"/>
      <c r="R1082" s="214">
        <f>_xlfn.XLOOKUP(表格3_5[[#This Row],[Name]],Name_list[Full Name],Name_list[Hourr Rate])</f>
        <v>0</v>
      </c>
      <c r="S1082" s="210">
        <f>表格3_5[[#This Row],[Hours Worked]]*表格3_5[[#This Row],[Hourly Rate]]</f>
        <v>0</v>
      </c>
    </row>
    <row r="1083" spans="1:19">
      <c r="A1083" s="201">
        <v>1081</v>
      </c>
      <c r="B1083" s="210" t="str">
        <f>_xlfn.CONCAT(表格3_5[[#This Row],[Name]],表格3_5[[#This Row],[Location]])</f>
        <v/>
      </c>
      <c r="C1083" s="211" t="str">
        <f>表格3_5[[#This Row],[Location]] &amp; 表格3_5[[#This Row],[Date]] &amp;表格3_5[[#This Row],[Nick Name]]</f>
        <v>0</v>
      </c>
      <c r="D1083" s="202"/>
      <c r="E1083" s="211" t="str">
        <f>DAY(表格3_5[[#This Row],[Date]])&amp;""</f>
        <v>0</v>
      </c>
      <c r="F1083" s="203"/>
      <c r="G1083" s="216">
        <f>_xlfn.XLOOKUP(表格3_5[[#This Row],[Name]],Name_list[Full Name],Name_list[Nick Name])</f>
        <v>0</v>
      </c>
      <c r="H1083" s="207"/>
      <c r="I1083" s="228"/>
      <c r="J1083" s="218"/>
      <c r="K1083" s="205"/>
      <c r="L1083" s="210">
        <f>(表格3_5[[#This Row],[Out-Time]] - 表格3_5[[#This Row],[In-Time]])*24</f>
        <v>0</v>
      </c>
      <c r="M1083" s="210">
        <f>表格3_5[[#This Row],[ Hours]]-表格3_5[[#This Row],[Normal working
 hours]]</f>
        <v>0</v>
      </c>
      <c r="N1083" s="205"/>
      <c r="O1083" s="205"/>
      <c r="P1083" s="210">
        <f>(表格3_5[[#This Row],[Out-Time2]] - 表格3_5[[#This Row],[In-Time2]])*24</f>
        <v>0</v>
      </c>
      <c r="Q1083" s="205"/>
      <c r="R1083" s="214">
        <f>_xlfn.XLOOKUP(表格3_5[[#This Row],[Name]],Name_list[Full Name],Name_list[Hourr Rate])</f>
        <v>0</v>
      </c>
      <c r="S1083" s="210">
        <f>表格3_5[[#This Row],[Hours Worked]]*表格3_5[[#This Row],[Hourly Rate]]</f>
        <v>0</v>
      </c>
    </row>
    <row r="1084" spans="1:19">
      <c r="A1084" s="201">
        <v>1082</v>
      </c>
      <c r="B1084" s="210" t="str">
        <f>_xlfn.CONCAT(表格3_5[[#This Row],[Name]],表格3_5[[#This Row],[Location]])</f>
        <v/>
      </c>
      <c r="C1084" s="211" t="str">
        <f>表格3_5[[#This Row],[Location]] &amp; 表格3_5[[#This Row],[Date]] &amp;表格3_5[[#This Row],[Nick Name]]</f>
        <v>0</v>
      </c>
      <c r="D1084" s="202"/>
      <c r="E1084" s="211" t="str">
        <f>DAY(表格3_5[[#This Row],[Date]])&amp;""</f>
        <v>0</v>
      </c>
      <c r="F1084" s="203"/>
      <c r="G1084" s="216">
        <f>_xlfn.XLOOKUP(表格3_5[[#This Row],[Name]],Name_list[Full Name],Name_list[Nick Name])</f>
        <v>0</v>
      </c>
      <c r="H1084" s="207"/>
      <c r="I1084" s="228"/>
      <c r="J1084" s="218"/>
      <c r="K1084" s="205"/>
      <c r="L1084" s="210">
        <f>(表格3_5[[#This Row],[Out-Time]] - 表格3_5[[#This Row],[In-Time]])*24</f>
        <v>0</v>
      </c>
      <c r="M1084" s="210">
        <f>表格3_5[[#This Row],[ Hours]]-表格3_5[[#This Row],[Normal working
 hours]]</f>
        <v>0</v>
      </c>
      <c r="N1084" s="205"/>
      <c r="O1084" s="205"/>
      <c r="P1084" s="210">
        <f>(表格3_5[[#This Row],[Out-Time2]] - 表格3_5[[#This Row],[In-Time2]])*24</f>
        <v>0</v>
      </c>
      <c r="Q1084" s="205"/>
      <c r="R1084" s="214">
        <f>_xlfn.XLOOKUP(表格3_5[[#This Row],[Name]],Name_list[Full Name],Name_list[Hourr Rate])</f>
        <v>0</v>
      </c>
      <c r="S1084" s="210">
        <f>表格3_5[[#This Row],[Hours Worked]]*表格3_5[[#This Row],[Hourly Rate]]</f>
        <v>0</v>
      </c>
    </row>
    <row r="1085" spans="1:19">
      <c r="A1085" s="201">
        <v>1083</v>
      </c>
      <c r="B1085" s="210" t="str">
        <f>_xlfn.CONCAT(表格3_5[[#This Row],[Name]],表格3_5[[#This Row],[Location]])</f>
        <v/>
      </c>
      <c r="C1085" s="211" t="str">
        <f>表格3_5[[#This Row],[Location]] &amp; 表格3_5[[#This Row],[Date]] &amp;表格3_5[[#This Row],[Nick Name]]</f>
        <v>0</v>
      </c>
      <c r="D1085" s="202"/>
      <c r="E1085" s="211" t="str">
        <f>DAY(表格3_5[[#This Row],[Date]])&amp;""</f>
        <v>0</v>
      </c>
      <c r="F1085" s="203"/>
      <c r="G1085" s="216">
        <f>_xlfn.XLOOKUP(表格3_5[[#This Row],[Name]],Name_list[Full Name],Name_list[Nick Name])</f>
        <v>0</v>
      </c>
      <c r="H1085" s="207"/>
      <c r="I1085" s="228"/>
      <c r="J1085" s="218"/>
      <c r="K1085" s="205"/>
      <c r="L1085" s="210">
        <f>(表格3_5[[#This Row],[Out-Time]] - 表格3_5[[#This Row],[In-Time]])*24</f>
        <v>0</v>
      </c>
      <c r="M1085" s="210">
        <f>表格3_5[[#This Row],[ Hours]]-表格3_5[[#This Row],[Normal working
 hours]]</f>
        <v>0</v>
      </c>
      <c r="N1085" s="205"/>
      <c r="O1085" s="205"/>
      <c r="P1085" s="210">
        <f>(表格3_5[[#This Row],[Out-Time2]] - 表格3_5[[#This Row],[In-Time2]])*24</f>
        <v>0</v>
      </c>
      <c r="Q1085" s="205"/>
      <c r="R1085" s="214">
        <f>_xlfn.XLOOKUP(表格3_5[[#This Row],[Name]],Name_list[Full Name],Name_list[Hourr Rate])</f>
        <v>0</v>
      </c>
      <c r="S1085" s="210">
        <f>表格3_5[[#This Row],[Hours Worked]]*表格3_5[[#This Row],[Hourly Rate]]</f>
        <v>0</v>
      </c>
    </row>
    <row r="1086" spans="1:19">
      <c r="A1086" s="201">
        <v>1084</v>
      </c>
      <c r="B1086" s="210" t="str">
        <f>_xlfn.CONCAT(表格3_5[[#This Row],[Name]],表格3_5[[#This Row],[Location]])</f>
        <v/>
      </c>
      <c r="C1086" s="211" t="str">
        <f>表格3_5[[#This Row],[Location]] &amp; 表格3_5[[#This Row],[Date]] &amp;表格3_5[[#This Row],[Nick Name]]</f>
        <v>0</v>
      </c>
      <c r="D1086" s="202"/>
      <c r="E1086" s="211" t="str">
        <f>DAY(表格3_5[[#This Row],[Date]])&amp;""</f>
        <v>0</v>
      </c>
      <c r="F1086" s="203"/>
      <c r="G1086" s="216">
        <f>_xlfn.XLOOKUP(表格3_5[[#This Row],[Name]],Name_list[Full Name],Name_list[Nick Name])</f>
        <v>0</v>
      </c>
      <c r="H1086" s="207"/>
      <c r="I1086" s="228"/>
      <c r="J1086" s="218"/>
      <c r="K1086" s="205"/>
      <c r="L1086" s="210">
        <f>(表格3_5[[#This Row],[Out-Time]] - 表格3_5[[#This Row],[In-Time]])*24</f>
        <v>0</v>
      </c>
      <c r="M1086" s="210">
        <f>表格3_5[[#This Row],[ Hours]]-表格3_5[[#This Row],[Normal working
 hours]]</f>
        <v>0</v>
      </c>
      <c r="N1086" s="205"/>
      <c r="O1086" s="205"/>
      <c r="P1086" s="210">
        <f>(表格3_5[[#This Row],[Out-Time2]] - 表格3_5[[#This Row],[In-Time2]])*24</f>
        <v>0</v>
      </c>
      <c r="Q1086" s="205"/>
      <c r="R1086" s="214">
        <f>_xlfn.XLOOKUP(表格3_5[[#This Row],[Name]],Name_list[Full Name],Name_list[Hourr Rate])</f>
        <v>0</v>
      </c>
      <c r="S1086" s="210">
        <f>表格3_5[[#This Row],[Hours Worked]]*表格3_5[[#This Row],[Hourly Rate]]</f>
        <v>0</v>
      </c>
    </row>
    <row r="1087" spans="1:19">
      <c r="A1087" s="201">
        <v>1085</v>
      </c>
      <c r="B1087" s="210" t="str">
        <f>_xlfn.CONCAT(表格3_5[[#This Row],[Name]],表格3_5[[#This Row],[Location]])</f>
        <v/>
      </c>
      <c r="C1087" s="211" t="str">
        <f>表格3_5[[#This Row],[Location]] &amp; 表格3_5[[#This Row],[Date]] &amp;表格3_5[[#This Row],[Nick Name]]</f>
        <v>0</v>
      </c>
      <c r="D1087" s="202"/>
      <c r="E1087" s="211" t="str">
        <f>DAY(表格3_5[[#This Row],[Date]])&amp;""</f>
        <v>0</v>
      </c>
      <c r="F1087" s="203"/>
      <c r="G1087" s="216">
        <f>_xlfn.XLOOKUP(表格3_5[[#This Row],[Name]],Name_list[Full Name],Name_list[Nick Name])</f>
        <v>0</v>
      </c>
      <c r="H1087" s="207"/>
      <c r="I1087" s="228"/>
      <c r="J1087" s="218"/>
      <c r="K1087" s="205"/>
      <c r="L1087" s="210">
        <f>(表格3_5[[#This Row],[Out-Time]] - 表格3_5[[#This Row],[In-Time]])*24</f>
        <v>0</v>
      </c>
      <c r="M1087" s="210">
        <f>表格3_5[[#This Row],[ Hours]]-表格3_5[[#This Row],[Normal working
 hours]]</f>
        <v>0</v>
      </c>
      <c r="N1087" s="205"/>
      <c r="O1087" s="205"/>
      <c r="P1087" s="210">
        <f>(表格3_5[[#This Row],[Out-Time2]] - 表格3_5[[#This Row],[In-Time2]])*24</f>
        <v>0</v>
      </c>
      <c r="Q1087" s="205"/>
      <c r="R1087" s="214">
        <f>_xlfn.XLOOKUP(表格3_5[[#This Row],[Name]],Name_list[Full Name],Name_list[Hourr Rate])</f>
        <v>0</v>
      </c>
      <c r="S1087" s="210">
        <f>表格3_5[[#This Row],[Hours Worked]]*表格3_5[[#This Row],[Hourly Rate]]</f>
        <v>0</v>
      </c>
    </row>
    <row r="1088" spans="1:19">
      <c r="A1088" s="201">
        <v>1086</v>
      </c>
      <c r="B1088" s="210" t="str">
        <f>_xlfn.CONCAT(表格3_5[[#This Row],[Name]],表格3_5[[#This Row],[Location]])</f>
        <v/>
      </c>
      <c r="C1088" s="211" t="str">
        <f>表格3_5[[#This Row],[Location]] &amp; 表格3_5[[#This Row],[Date]] &amp;表格3_5[[#This Row],[Nick Name]]</f>
        <v>0</v>
      </c>
      <c r="D1088" s="202"/>
      <c r="E1088" s="211" t="str">
        <f>DAY(表格3_5[[#This Row],[Date]])&amp;""</f>
        <v>0</v>
      </c>
      <c r="F1088" s="203"/>
      <c r="G1088" s="216">
        <f>_xlfn.XLOOKUP(表格3_5[[#This Row],[Name]],Name_list[Full Name],Name_list[Nick Name])</f>
        <v>0</v>
      </c>
      <c r="H1088" s="207"/>
      <c r="I1088" s="228"/>
      <c r="J1088" s="218"/>
      <c r="K1088" s="205"/>
      <c r="L1088" s="210">
        <f>(表格3_5[[#This Row],[Out-Time]] - 表格3_5[[#This Row],[In-Time]])*24</f>
        <v>0</v>
      </c>
      <c r="M1088" s="210">
        <f>表格3_5[[#This Row],[ Hours]]-表格3_5[[#This Row],[Normal working
 hours]]</f>
        <v>0</v>
      </c>
      <c r="N1088" s="205"/>
      <c r="O1088" s="205"/>
      <c r="P1088" s="210">
        <f>(表格3_5[[#This Row],[Out-Time2]] - 表格3_5[[#This Row],[In-Time2]])*24</f>
        <v>0</v>
      </c>
      <c r="Q1088" s="205"/>
      <c r="R1088" s="214">
        <f>_xlfn.XLOOKUP(表格3_5[[#This Row],[Name]],Name_list[Full Name],Name_list[Hourr Rate])</f>
        <v>0</v>
      </c>
      <c r="S1088" s="210">
        <f>表格3_5[[#This Row],[Hours Worked]]*表格3_5[[#This Row],[Hourly Rate]]</f>
        <v>0</v>
      </c>
    </row>
    <row r="1089" spans="1:19">
      <c r="A1089" s="201">
        <v>1087</v>
      </c>
      <c r="B1089" s="210" t="str">
        <f>_xlfn.CONCAT(表格3_5[[#This Row],[Name]],表格3_5[[#This Row],[Location]])</f>
        <v/>
      </c>
      <c r="C1089" s="211" t="str">
        <f>表格3_5[[#This Row],[Location]] &amp; 表格3_5[[#This Row],[Date]] &amp;表格3_5[[#This Row],[Nick Name]]</f>
        <v>0</v>
      </c>
      <c r="D1089" s="202"/>
      <c r="E1089" s="211" t="str">
        <f>DAY(表格3_5[[#This Row],[Date]])&amp;""</f>
        <v>0</v>
      </c>
      <c r="F1089" s="203"/>
      <c r="G1089" s="216">
        <f>_xlfn.XLOOKUP(表格3_5[[#This Row],[Name]],Name_list[Full Name],Name_list[Nick Name])</f>
        <v>0</v>
      </c>
      <c r="H1089" s="207"/>
      <c r="I1089" s="228"/>
      <c r="J1089" s="218"/>
      <c r="K1089" s="205"/>
      <c r="L1089" s="210">
        <f>(表格3_5[[#This Row],[Out-Time]] - 表格3_5[[#This Row],[In-Time]])*24</f>
        <v>0</v>
      </c>
      <c r="M1089" s="210">
        <f>表格3_5[[#This Row],[ Hours]]-表格3_5[[#This Row],[Normal working
 hours]]</f>
        <v>0</v>
      </c>
      <c r="N1089" s="205"/>
      <c r="O1089" s="205"/>
      <c r="P1089" s="210">
        <f>(表格3_5[[#This Row],[Out-Time2]] - 表格3_5[[#This Row],[In-Time2]])*24</f>
        <v>0</v>
      </c>
      <c r="Q1089" s="205"/>
      <c r="R1089" s="214">
        <f>_xlfn.XLOOKUP(表格3_5[[#This Row],[Name]],Name_list[Full Name],Name_list[Hourr Rate])</f>
        <v>0</v>
      </c>
      <c r="S1089" s="210">
        <f>表格3_5[[#This Row],[Hours Worked]]*表格3_5[[#This Row],[Hourly Rate]]</f>
        <v>0</v>
      </c>
    </row>
    <row r="1090" spans="1:19">
      <c r="A1090" s="201">
        <v>1088</v>
      </c>
      <c r="B1090" s="210" t="str">
        <f>_xlfn.CONCAT(表格3_5[[#This Row],[Name]],表格3_5[[#This Row],[Location]])</f>
        <v/>
      </c>
      <c r="C1090" s="211" t="str">
        <f>表格3_5[[#This Row],[Location]] &amp; 表格3_5[[#This Row],[Date]] &amp;表格3_5[[#This Row],[Nick Name]]</f>
        <v>0</v>
      </c>
      <c r="D1090" s="202"/>
      <c r="E1090" s="211" t="str">
        <f>DAY(表格3_5[[#This Row],[Date]])&amp;""</f>
        <v>0</v>
      </c>
      <c r="F1090" s="203"/>
      <c r="G1090" s="216">
        <f>_xlfn.XLOOKUP(表格3_5[[#This Row],[Name]],Name_list[Full Name],Name_list[Nick Name])</f>
        <v>0</v>
      </c>
      <c r="H1090" s="207"/>
      <c r="I1090" s="228"/>
      <c r="J1090" s="218"/>
      <c r="K1090" s="205"/>
      <c r="L1090" s="210">
        <f>(表格3_5[[#This Row],[Out-Time]] - 表格3_5[[#This Row],[In-Time]])*24</f>
        <v>0</v>
      </c>
      <c r="M1090" s="210">
        <f>表格3_5[[#This Row],[ Hours]]-表格3_5[[#This Row],[Normal working
 hours]]</f>
        <v>0</v>
      </c>
      <c r="N1090" s="205"/>
      <c r="O1090" s="205"/>
      <c r="P1090" s="210">
        <f>(表格3_5[[#This Row],[Out-Time2]] - 表格3_5[[#This Row],[In-Time2]])*24</f>
        <v>0</v>
      </c>
      <c r="Q1090" s="205"/>
      <c r="R1090" s="214">
        <f>_xlfn.XLOOKUP(表格3_5[[#This Row],[Name]],Name_list[Full Name],Name_list[Hourr Rate])</f>
        <v>0</v>
      </c>
      <c r="S1090" s="210">
        <f>表格3_5[[#This Row],[Hours Worked]]*表格3_5[[#This Row],[Hourly Rate]]</f>
        <v>0</v>
      </c>
    </row>
    <row r="1091" spans="1:19">
      <c r="A1091" s="201">
        <v>1089</v>
      </c>
      <c r="B1091" s="210" t="str">
        <f>_xlfn.CONCAT(表格3_5[[#This Row],[Name]],表格3_5[[#This Row],[Location]])</f>
        <v/>
      </c>
      <c r="C1091" s="211" t="str">
        <f>表格3_5[[#This Row],[Location]] &amp; 表格3_5[[#This Row],[Date]] &amp;表格3_5[[#This Row],[Nick Name]]</f>
        <v>0</v>
      </c>
      <c r="D1091" s="202"/>
      <c r="E1091" s="211" t="str">
        <f>DAY(表格3_5[[#This Row],[Date]])&amp;""</f>
        <v>0</v>
      </c>
      <c r="F1091" s="203"/>
      <c r="G1091" s="216">
        <f>_xlfn.XLOOKUP(表格3_5[[#This Row],[Name]],Name_list[Full Name],Name_list[Nick Name])</f>
        <v>0</v>
      </c>
      <c r="H1091" s="207"/>
      <c r="I1091" s="228"/>
      <c r="J1091" s="218"/>
      <c r="K1091" s="205"/>
      <c r="L1091" s="210">
        <f>(表格3_5[[#This Row],[Out-Time]] - 表格3_5[[#This Row],[In-Time]])*24</f>
        <v>0</v>
      </c>
      <c r="M1091" s="210">
        <f>表格3_5[[#This Row],[ Hours]]-表格3_5[[#This Row],[Normal working
 hours]]</f>
        <v>0</v>
      </c>
      <c r="N1091" s="205"/>
      <c r="O1091" s="205"/>
      <c r="P1091" s="210">
        <f>(表格3_5[[#This Row],[Out-Time2]] - 表格3_5[[#This Row],[In-Time2]])*24</f>
        <v>0</v>
      </c>
      <c r="Q1091" s="205"/>
      <c r="R1091" s="214">
        <f>_xlfn.XLOOKUP(表格3_5[[#This Row],[Name]],Name_list[Full Name],Name_list[Hourr Rate])</f>
        <v>0</v>
      </c>
      <c r="S1091" s="210">
        <f>表格3_5[[#This Row],[Hours Worked]]*表格3_5[[#This Row],[Hourly Rate]]</f>
        <v>0</v>
      </c>
    </row>
    <row r="1092" spans="1:19">
      <c r="A1092" s="201">
        <v>1090</v>
      </c>
      <c r="B1092" s="210" t="str">
        <f>_xlfn.CONCAT(表格3_5[[#This Row],[Name]],表格3_5[[#This Row],[Location]])</f>
        <v/>
      </c>
      <c r="C1092" s="211" t="str">
        <f>表格3_5[[#This Row],[Location]] &amp; 表格3_5[[#This Row],[Date]] &amp;表格3_5[[#This Row],[Nick Name]]</f>
        <v>0</v>
      </c>
      <c r="D1092" s="202"/>
      <c r="E1092" s="211" t="str">
        <f>DAY(表格3_5[[#This Row],[Date]])&amp;""</f>
        <v>0</v>
      </c>
      <c r="F1092" s="203"/>
      <c r="G1092" s="216">
        <f>_xlfn.XLOOKUP(表格3_5[[#This Row],[Name]],Name_list[Full Name],Name_list[Nick Name])</f>
        <v>0</v>
      </c>
      <c r="H1092" s="207"/>
      <c r="I1092" s="228"/>
      <c r="J1092" s="218"/>
      <c r="K1092" s="205"/>
      <c r="L1092" s="210">
        <f>(表格3_5[[#This Row],[Out-Time]] - 表格3_5[[#This Row],[In-Time]])*24</f>
        <v>0</v>
      </c>
      <c r="M1092" s="210">
        <f>表格3_5[[#This Row],[ Hours]]-表格3_5[[#This Row],[Normal working
 hours]]</f>
        <v>0</v>
      </c>
      <c r="N1092" s="205"/>
      <c r="O1092" s="205"/>
      <c r="P1092" s="210">
        <f>(表格3_5[[#This Row],[Out-Time2]] - 表格3_5[[#This Row],[In-Time2]])*24</f>
        <v>0</v>
      </c>
      <c r="Q1092" s="205"/>
      <c r="R1092" s="214">
        <f>_xlfn.XLOOKUP(表格3_5[[#This Row],[Name]],Name_list[Full Name],Name_list[Hourr Rate])</f>
        <v>0</v>
      </c>
      <c r="S1092" s="210">
        <f>表格3_5[[#This Row],[Hours Worked]]*表格3_5[[#This Row],[Hourly Rate]]</f>
        <v>0</v>
      </c>
    </row>
    <row r="1093" spans="1:19">
      <c r="A1093" s="201">
        <v>1091</v>
      </c>
      <c r="B1093" s="210" t="str">
        <f>_xlfn.CONCAT(表格3_5[[#This Row],[Name]],表格3_5[[#This Row],[Location]])</f>
        <v/>
      </c>
      <c r="C1093" s="211" t="str">
        <f>表格3_5[[#This Row],[Location]] &amp; 表格3_5[[#This Row],[Date]] &amp;表格3_5[[#This Row],[Nick Name]]</f>
        <v>0</v>
      </c>
      <c r="D1093" s="202"/>
      <c r="E1093" s="211" t="str">
        <f>DAY(表格3_5[[#This Row],[Date]])&amp;""</f>
        <v>0</v>
      </c>
      <c r="F1093" s="203"/>
      <c r="G1093" s="216">
        <f>_xlfn.XLOOKUP(表格3_5[[#This Row],[Name]],Name_list[Full Name],Name_list[Nick Name])</f>
        <v>0</v>
      </c>
      <c r="H1093" s="207"/>
      <c r="I1093" s="228"/>
      <c r="J1093" s="218"/>
      <c r="K1093" s="205"/>
      <c r="L1093" s="210">
        <f>(表格3_5[[#This Row],[Out-Time]] - 表格3_5[[#This Row],[In-Time]])*24</f>
        <v>0</v>
      </c>
      <c r="M1093" s="210">
        <f>表格3_5[[#This Row],[ Hours]]-表格3_5[[#This Row],[Normal working
 hours]]</f>
        <v>0</v>
      </c>
      <c r="N1093" s="205"/>
      <c r="O1093" s="205"/>
      <c r="P1093" s="210">
        <f>(表格3_5[[#This Row],[Out-Time2]] - 表格3_5[[#This Row],[In-Time2]])*24</f>
        <v>0</v>
      </c>
      <c r="Q1093" s="205"/>
      <c r="R1093" s="214">
        <f>_xlfn.XLOOKUP(表格3_5[[#This Row],[Name]],Name_list[Full Name],Name_list[Hourr Rate])</f>
        <v>0</v>
      </c>
      <c r="S1093" s="210">
        <f>表格3_5[[#This Row],[Hours Worked]]*表格3_5[[#This Row],[Hourly Rate]]</f>
        <v>0</v>
      </c>
    </row>
    <row r="1094" spans="1:19">
      <c r="A1094" s="201">
        <v>1092</v>
      </c>
      <c r="B1094" s="210" t="str">
        <f>_xlfn.CONCAT(表格3_5[[#This Row],[Name]],表格3_5[[#This Row],[Location]])</f>
        <v/>
      </c>
      <c r="C1094" s="211" t="str">
        <f>表格3_5[[#This Row],[Location]] &amp; 表格3_5[[#This Row],[Date]] &amp;表格3_5[[#This Row],[Nick Name]]</f>
        <v>0</v>
      </c>
      <c r="D1094" s="202"/>
      <c r="E1094" s="211" t="str">
        <f>DAY(表格3_5[[#This Row],[Date]])&amp;""</f>
        <v>0</v>
      </c>
      <c r="F1094" s="203"/>
      <c r="G1094" s="216">
        <f>_xlfn.XLOOKUP(表格3_5[[#This Row],[Name]],Name_list[Full Name],Name_list[Nick Name])</f>
        <v>0</v>
      </c>
      <c r="H1094" s="207"/>
      <c r="I1094" s="228"/>
      <c r="J1094" s="218"/>
      <c r="K1094" s="205"/>
      <c r="L1094" s="210">
        <f>(表格3_5[[#This Row],[Out-Time]] - 表格3_5[[#This Row],[In-Time]])*24</f>
        <v>0</v>
      </c>
      <c r="M1094" s="210">
        <f>表格3_5[[#This Row],[ Hours]]-表格3_5[[#This Row],[Normal working
 hours]]</f>
        <v>0</v>
      </c>
      <c r="N1094" s="205"/>
      <c r="O1094" s="205"/>
      <c r="P1094" s="210">
        <f>(表格3_5[[#This Row],[Out-Time2]] - 表格3_5[[#This Row],[In-Time2]])*24</f>
        <v>0</v>
      </c>
      <c r="Q1094" s="205"/>
      <c r="R1094" s="214">
        <f>_xlfn.XLOOKUP(表格3_5[[#This Row],[Name]],Name_list[Full Name],Name_list[Hourr Rate])</f>
        <v>0</v>
      </c>
      <c r="S1094" s="210">
        <f>表格3_5[[#This Row],[Hours Worked]]*表格3_5[[#This Row],[Hourly Rate]]</f>
        <v>0</v>
      </c>
    </row>
    <row r="1095" spans="1:19">
      <c r="A1095" s="201">
        <v>1093</v>
      </c>
      <c r="B1095" s="210" t="str">
        <f>_xlfn.CONCAT(表格3_5[[#This Row],[Name]],表格3_5[[#This Row],[Location]])</f>
        <v/>
      </c>
      <c r="C1095" s="211" t="str">
        <f>表格3_5[[#This Row],[Location]] &amp; 表格3_5[[#This Row],[Date]] &amp;表格3_5[[#This Row],[Nick Name]]</f>
        <v>0</v>
      </c>
      <c r="D1095" s="202"/>
      <c r="E1095" s="211" t="str">
        <f>DAY(表格3_5[[#This Row],[Date]])&amp;""</f>
        <v>0</v>
      </c>
      <c r="F1095" s="203"/>
      <c r="G1095" s="216">
        <f>_xlfn.XLOOKUP(表格3_5[[#This Row],[Name]],Name_list[Full Name],Name_list[Nick Name])</f>
        <v>0</v>
      </c>
      <c r="H1095" s="207"/>
      <c r="I1095" s="228"/>
      <c r="J1095" s="218"/>
      <c r="K1095" s="205"/>
      <c r="L1095" s="210">
        <f>(表格3_5[[#This Row],[Out-Time]] - 表格3_5[[#This Row],[In-Time]])*24</f>
        <v>0</v>
      </c>
      <c r="M1095" s="210">
        <f>表格3_5[[#This Row],[ Hours]]-表格3_5[[#This Row],[Normal working
 hours]]</f>
        <v>0</v>
      </c>
      <c r="N1095" s="205"/>
      <c r="O1095" s="205"/>
      <c r="P1095" s="210">
        <f>(表格3_5[[#This Row],[Out-Time2]] - 表格3_5[[#This Row],[In-Time2]])*24</f>
        <v>0</v>
      </c>
      <c r="Q1095" s="205"/>
      <c r="R1095" s="214">
        <f>_xlfn.XLOOKUP(表格3_5[[#This Row],[Name]],Name_list[Full Name],Name_list[Hourr Rate])</f>
        <v>0</v>
      </c>
      <c r="S1095" s="210">
        <f>表格3_5[[#This Row],[Hours Worked]]*表格3_5[[#This Row],[Hourly Rate]]</f>
        <v>0</v>
      </c>
    </row>
    <row r="1096" spans="1:19">
      <c r="A1096" s="201">
        <v>1094</v>
      </c>
      <c r="B1096" s="210" t="str">
        <f>_xlfn.CONCAT(表格3_5[[#This Row],[Name]],表格3_5[[#This Row],[Location]])</f>
        <v/>
      </c>
      <c r="C1096" s="211" t="str">
        <f>表格3_5[[#This Row],[Location]] &amp; 表格3_5[[#This Row],[Date]] &amp;表格3_5[[#This Row],[Nick Name]]</f>
        <v>0</v>
      </c>
      <c r="D1096" s="202"/>
      <c r="E1096" s="211" t="str">
        <f>DAY(表格3_5[[#This Row],[Date]])&amp;""</f>
        <v>0</v>
      </c>
      <c r="F1096" s="203"/>
      <c r="G1096" s="216">
        <f>_xlfn.XLOOKUP(表格3_5[[#This Row],[Name]],Name_list[Full Name],Name_list[Nick Name])</f>
        <v>0</v>
      </c>
      <c r="H1096" s="207"/>
      <c r="I1096" s="228"/>
      <c r="J1096" s="218"/>
      <c r="K1096" s="205"/>
      <c r="L1096" s="210">
        <f>(表格3_5[[#This Row],[Out-Time]] - 表格3_5[[#This Row],[In-Time]])*24</f>
        <v>0</v>
      </c>
      <c r="M1096" s="210">
        <f>表格3_5[[#This Row],[ Hours]]-表格3_5[[#This Row],[Normal working
 hours]]</f>
        <v>0</v>
      </c>
      <c r="N1096" s="205"/>
      <c r="O1096" s="205"/>
      <c r="P1096" s="210">
        <f>(表格3_5[[#This Row],[Out-Time2]] - 表格3_5[[#This Row],[In-Time2]])*24</f>
        <v>0</v>
      </c>
      <c r="Q1096" s="205"/>
      <c r="R1096" s="214">
        <f>_xlfn.XLOOKUP(表格3_5[[#This Row],[Name]],Name_list[Full Name],Name_list[Hourr Rate])</f>
        <v>0</v>
      </c>
      <c r="S1096" s="210">
        <f>表格3_5[[#This Row],[Hours Worked]]*表格3_5[[#This Row],[Hourly Rate]]</f>
        <v>0</v>
      </c>
    </row>
    <row r="1097" spans="1:19">
      <c r="A1097" s="201">
        <v>1095</v>
      </c>
      <c r="B1097" s="210" t="str">
        <f>_xlfn.CONCAT(表格3_5[[#This Row],[Name]],表格3_5[[#This Row],[Location]])</f>
        <v/>
      </c>
      <c r="C1097" s="211" t="str">
        <f>表格3_5[[#This Row],[Location]] &amp; 表格3_5[[#This Row],[Date]] &amp;表格3_5[[#This Row],[Nick Name]]</f>
        <v>0</v>
      </c>
      <c r="D1097" s="202"/>
      <c r="E1097" s="211" t="str">
        <f>DAY(表格3_5[[#This Row],[Date]])&amp;""</f>
        <v>0</v>
      </c>
      <c r="F1097" s="203"/>
      <c r="G1097" s="216">
        <f>_xlfn.XLOOKUP(表格3_5[[#This Row],[Name]],Name_list[Full Name],Name_list[Nick Name])</f>
        <v>0</v>
      </c>
      <c r="H1097" s="207"/>
      <c r="I1097" s="228"/>
      <c r="J1097" s="218"/>
      <c r="K1097" s="205"/>
      <c r="L1097" s="210">
        <f>(表格3_5[[#This Row],[Out-Time]] - 表格3_5[[#This Row],[In-Time]])*24</f>
        <v>0</v>
      </c>
      <c r="M1097" s="210">
        <f>表格3_5[[#This Row],[ Hours]]-表格3_5[[#This Row],[Normal working
 hours]]</f>
        <v>0</v>
      </c>
      <c r="N1097" s="205"/>
      <c r="O1097" s="205"/>
      <c r="P1097" s="210">
        <f>(表格3_5[[#This Row],[Out-Time2]] - 表格3_5[[#This Row],[In-Time2]])*24</f>
        <v>0</v>
      </c>
      <c r="Q1097" s="205"/>
      <c r="R1097" s="214">
        <f>_xlfn.XLOOKUP(表格3_5[[#This Row],[Name]],Name_list[Full Name],Name_list[Hourr Rate])</f>
        <v>0</v>
      </c>
      <c r="S1097" s="210">
        <f>表格3_5[[#This Row],[Hours Worked]]*表格3_5[[#This Row],[Hourly Rate]]</f>
        <v>0</v>
      </c>
    </row>
    <row r="1098" spans="1:19">
      <c r="A1098" s="201">
        <v>1096</v>
      </c>
      <c r="B1098" s="210" t="str">
        <f>_xlfn.CONCAT(表格3_5[[#This Row],[Name]],表格3_5[[#This Row],[Location]])</f>
        <v/>
      </c>
      <c r="C1098" s="211" t="str">
        <f>表格3_5[[#This Row],[Location]] &amp; 表格3_5[[#This Row],[Date]] &amp;表格3_5[[#This Row],[Nick Name]]</f>
        <v>0</v>
      </c>
      <c r="D1098" s="202"/>
      <c r="E1098" s="211" t="str">
        <f>DAY(表格3_5[[#This Row],[Date]])&amp;""</f>
        <v>0</v>
      </c>
      <c r="F1098" s="203"/>
      <c r="G1098" s="216">
        <f>_xlfn.XLOOKUP(表格3_5[[#This Row],[Name]],Name_list[Full Name],Name_list[Nick Name])</f>
        <v>0</v>
      </c>
      <c r="H1098" s="207"/>
      <c r="I1098" s="228"/>
      <c r="J1098" s="218"/>
      <c r="K1098" s="205"/>
      <c r="L1098" s="210">
        <f>(表格3_5[[#This Row],[Out-Time]] - 表格3_5[[#This Row],[In-Time]])*24</f>
        <v>0</v>
      </c>
      <c r="M1098" s="210">
        <f>表格3_5[[#This Row],[ Hours]]-表格3_5[[#This Row],[Normal working
 hours]]</f>
        <v>0</v>
      </c>
      <c r="N1098" s="205"/>
      <c r="O1098" s="205"/>
      <c r="P1098" s="210">
        <f>(表格3_5[[#This Row],[Out-Time2]] - 表格3_5[[#This Row],[In-Time2]])*24</f>
        <v>0</v>
      </c>
      <c r="Q1098" s="205"/>
      <c r="R1098" s="214">
        <f>_xlfn.XLOOKUP(表格3_5[[#This Row],[Name]],Name_list[Full Name],Name_list[Hourr Rate])</f>
        <v>0</v>
      </c>
      <c r="S1098" s="210">
        <f>表格3_5[[#This Row],[Hours Worked]]*表格3_5[[#This Row],[Hourly Rate]]</f>
        <v>0</v>
      </c>
    </row>
    <row r="1099" spans="1:19">
      <c r="A1099" s="201">
        <v>1097</v>
      </c>
      <c r="B1099" s="210" t="str">
        <f>_xlfn.CONCAT(表格3_5[[#This Row],[Name]],表格3_5[[#This Row],[Location]])</f>
        <v/>
      </c>
      <c r="C1099" s="211" t="str">
        <f>表格3_5[[#This Row],[Location]] &amp; 表格3_5[[#This Row],[Date]] &amp;表格3_5[[#This Row],[Nick Name]]</f>
        <v>0</v>
      </c>
      <c r="D1099" s="202"/>
      <c r="E1099" s="211" t="str">
        <f>DAY(表格3_5[[#This Row],[Date]])&amp;""</f>
        <v>0</v>
      </c>
      <c r="F1099" s="203"/>
      <c r="G1099" s="216">
        <f>_xlfn.XLOOKUP(表格3_5[[#This Row],[Name]],Name_list[Full Name],Name_list[Nick Name])</f>
        <v>0</v>
      </c>
      <c r="H1099" s="207"/>
      <c r="I1099" s="228"/>
      <c r="J1099" s="218"/>
      <c r="K1099" s="205"/>
      <c r="L1099" s="210">
        <f>(表格3_5[[#This Row],[Out-Time]] - 表格3_5[[#This Row],[In-Time]])*24</f>
        <v>0</v>
      </c>
      <c r="M1099" s="210">
        <f>表格3_5[[#This Row],[ Hours]]-表格3_5[[#This Row],[Normal working
 hours]]</f>
        <v>0</v>
      </c>
      <c r="N1099" s="205"/>
      <c r="O1099" s="205"/>
      <c r="P1099" s="210">
        <f>(表格3_5[[#This Row],[Out-Time2]] - 表格3_5[[#This Row],[In-Time2]])*24</f>
        <v>0</v>
      </c>
      <c r="Q1099" s="205"/>
      <c r="R1099" s="214">
        <f>_xlfn.XLOOKUP(表格3_5[[#This Row],[Name]],Name_list[Full Name],Name_list[Hourr Rate])</f>
        <v>0</v>
      </c>
      <c r="S1099" s="210">
        <f>表格3_5[[#This Row],[Hours Worked]]*表格3_5[[#This Row],[Hourly Rate]]</f>
        <v>0</v>
      </c>
    </row>
    <row r="1100" spans="1:19">
      <c r="A1100" s="201">
        <v>1098</v>
      </c>
      <c r="B1100" s="210" t="str">
        <f>_xlfn.CONCAT(表格3_5[[#This Row],[Name]],表格3_5[[#This Row],[Location]])</f>
        <v/>
      </c>
      <c r="C1100" s="211" t="str">
        <f>表格3_5[[#This Row],[Location]] &amp; 表格3_5[[#This Row],[Date]] &amp;表格3_5[[#This Row],[Nick Name]]</f>
        <v>0</v>
      </c>
      <c r="D1100" s="202"/>
      <c r="E1100" s="211" t="str">
        <f>DAY(表格3_5[[#This Row],[Date]])&amp;""</f>
        <v>0</v>
      </c>
      <c r="F1100" s="203"/>
      <c r="G1100" s="216">
        <f>_xlfn.XLOOKUP(表格3_5[[#This Row],[Name]],Name_list[Full Name],Name_list[Nick Name])</f>
        <v>0</v>
      </c>
      <c r="H1100" s="207"/>
      <c r="I1100" s="228"/>
      <c r="J1100" s="218"/>
      <c r="K1100" s="205"/>
      <c r="L1100" s="210">
        <f>(表格3_5[[#This Row],[Out-Time]] - 表格3_5[[#This Row],[In-Time]])*24</f>
        <v>0</v>
      </c>
      <c r="M1100" s="210">
        <f>表格3_5[[#This Row],[ Hours]]-表格3_5[[#This Row],[Normal working
 hours]]</f>
        <v>0</v>
      </c>
      <c r="N1100" s="205"/>
      <c r="O1100" s="205"/>
      <c r="P1100" s="210">
        <f>(表格3_5[[#This Row],[Out-Time2]] - 表格3_5[[#This Row],[In-Time2]])*24</f>
        <v>0</v>
      </c>
      <c r="Q1100" s="205"/>
      <c r="R1100" s="214">
        <f>_xlfn.XLOOKUP(表格3_5[[#This Row],[Name]],Name_list[Full Name],Name_list[Hourr Rate])</f>
        <v>0</v>
      </c>
      <c r="S1100" s="210">
        <f>表格3_5[[#This Row],[Hours Worked]]*表格3_5[[#This Row],[Hourly Rate]]</f>
        <v>0</v>
      </c>
    </row>
    <row r="1101" spans="1:19">
      <c r="A1101" s="201">
        <v>1099</v>
      </c>
      <c r="B1101" s="210" t="str">
        <f>_xlfn.CONCAT(表格3_5[[#This Row],[Name]],表格3_5[[#This Row],[Location]])</f>
        <v/>
      </c>
      <c r="C1101" s="211" t="str">
        <f>表格3_5[[#This Row],[Location]] &amp; 表格3_5[[#This Row],[Date]] &amp;表格3_5[[#This Row],[Nick Name]]</f>
        <v>0</v>
      </c>
      <c r="D1101" s="202"/>
      <c r="E1101" s="211" t="str">
        <f>DAY(表格3_5[[#This Row],[Date]])&amp;""</f>
        <v>0</v>
      </c>
      <c r="F1101" s="203"/>
      <c r="G1101" s="216">
        <f>_xlfn.XLOOKUP(表格3_5[[#This Row],[Name]],Name_list[Full Name],Name_list[Nick Name])</f>
        <v>0</v>
      </c>
      <c r="H1101" s="207"/>
      <c r="I1101" s="228"/>
      <c r="J1101" s="218"/>
      <c r="K1101" s="205"/>
      <c r="L1101" s="210">
        <f>(表格3_5[[#This Row],[Out-Time]] - 表格3_5[[#This Row],[In-Time]])*24</f>
        <v>0</v>
      </c>
      <c r="M1101" s="210">
        <f>表格3_5[[#This Row],[ Hours]]-表格3_5[[#This Row],[Normal working
 hours]]</f>
        <v>0</v>
      </c>
      <c r="N1101" s="205"/>
      <c r="O1101" s="205"/>
      <c r="P1101" s="210">
        <f>(表格3_5[[#This Row],[Out-Time2]] - 表格3_5[[#This Row],[In-Time2]])*24</f>
        <v>0</v>
      </c>
      <c r="Q1101" s="205"/>
      <c r="R1101" s="214">
        <f>_xlfn.XLOOKUP(表格3_5[[#This Row],[Name]],Name_list[Full Name],Name_list[Hourr Rate])</f>
        <v>0</v>
      </c>
      <c r="S1101" s="210">
        <f>表格3_5[[#This Row],[Hours Worked]]*表格3_5[[#This Row],[Hourly Rate]]</f>
        <v>0</v>
      </c>
    </row>
    <row r="1102" spans="1:19">
      <c r="A1102" s="201">
        <v>1100</v>
      </c>
      <c r="B1102" s="210" t="str">
        <f>_xlfn.CONCAT(表格3_5[[#This Row],[Name]],表格3_5[[#This Row],[Location]])</f>
        <v/>
      </c>
      <c r="C1102" s="211" t="str">
        <f>表格3_5[[#This Row],[Location]] &amp; 表格3_5[[#This Row],[Date]] &amp;表格3_5[[#This Row],[Nick Name]]</f>
        <v>0</v>
      </c>
      <c r="D1102" s="202"/>
      <c r="E1102" s="211" t="str">
        <f>DAY(表格3_5[[#This Row],[Date]])&amp;""</f>
        <v>0</v>
      </c>
      <c r="F1102" s="203"/>
      <c r="G1102" s="216">
        <f>_xlfn.XLOOKUP(表格3_5[[#This Row],[Name]],Name_list[Full Name],Name_list[Nick Name])</f>
        <v>0</v>
      </c>
      <c r="H1102" s="207"/>
      <c r="I1102" s="228"/>
      <c r="J1102" s="218"/>
      <c r="K1102" s="205"/>
      <c r="L1102" s="210">
        <f>(表格3_5[[#This Row],[Out-Time]] - 表格3_5[[#This Row],[In-Time]])*24</f>
        <v>0</v>
      </c>
      <c r="M1102" s="210">
        <f>表格3_5[[#This Row],[ Hours]]-表格3_5[[#This Row],[Normal working
 hours]]</f>
        <v>0</v>
      </c>
      <c r="N1102" s="205"/>
      <c r="O1102" s="205"/>
      <c r="P1102" s="210">
        <f>(表格3_5[[#This Row],[Out-Time2]] - 表格3_5[[#This Row],[In-Time2]])*24</f>
        <v>0</v>
      </c>
      <c r="Q1102" s="205"/>
      <c r="R1102" s="214">
        <f>_xlfn.XLOOKUP(表格3_5[[#This Row],[Name]],Name_list[Full Name],Name_list[Hourr Rate])</f>
        <v>0</v>
      </c>
      <c r="S1102" s="210">
        <f>表格3_5[[#This Row],[Hours Worked]]*表格3_5[[#This Row],[Hourly Rate]]</f>
        <v>0</v>
      </c>
    </row>
    <row r="1103" spans="1:19">
      <c r="A1103" s="201">
        <v>1101</v>
      </c>
      <c r="B1103" s="210" t="str">
        <f>_xlfn.CONCAT(表格3_5[[#This Row],[Name]],表格3_5[[#This Row],[Location]])</f>
        <v/>
      </c>
      <c r="C1103" s="211" t="str">
        <f>表格3_5[[#This Row],[Location]] &amp; 表格3_5[[#This Row],[Date]] &amp;表格3_5[[#This Row],[Nick Name]]</f>
        <v>0</v>
      </c>
      <c r="D1103" s="202"/>
      <c r="E1103" s="211" t="str">
        <f>DAY(表格3_5[[#This Row],[Date]])&amp;""</f>
        <v>0</v>
      </c>
      <c r="F1103" s="203"/>
      <c r="G1103" s="216">
        <f>_xlfn.XLOOKUP(表格3_5[[#This Row],[Name]],Name_list[Full Name],Name_list[Nick Name])</f>
        <v>0</v>
      </c>
      <c r="H1103" s="207"/>
      <c r="I1103" s="228"/>
      <c r="J1103" s="218"/>
      <c r="K1103" s="205"/>
      <c r="L1103" s="210">
        <f>(表格3_5[[#This Row],[Out-Time]] - 表格3_5[[#This Row],[In-Time]])*24</f>
        <v>0</v>
      </c>
      <c r="M1103" s="210">
        <f>表格3_5[[#This Row],[ Hours]]-表格3_5[[#This Row],[Normal working
 hours]]</f>
        <v>0</v>
      </c>
      <c r="N1103" s="205"/>
      <c r="O1103" s="205"/>
      <c r="P1103" s="210">
        <f>(表格3_5[[#This Row],[Out-Time2]] - 表格3_5[[#This Row],[In-Time2]])*24</f>
        <v>0</v>
      </c>
      <c r="Q1103" s="205"/>
      <c r="R1103" s="214">
        <f>_xlfn.XLOOKUP(表格3_5[[#This Row],[Name]],Name_list[Full Name],Name_list[Hourr Rate])</f>
        <v>0</v>
      </c>
      <c r="S1103" s="210">
        <f>表格3_5[[#This Row],[Hours Worked]]*表格3_5[[#This Row],[Hourly Rate]]</f>
        <v>0</v>
      </c>
    </row>
    <row r="1104" spans="1:19">
      <c r="A1104" s="201">
        <v>1102</v>
      </c>
      <c r="B1104" s="210" t="str">
        <f>_xlfn.CONCAT(表格3_5[[#This Row],[Name]],表格3_5[[#This Row],[Location]])</f>
        <v/>
      </c>
      <c r="C1104" s="211" t="str">
        <f>表格3_5[[#This Row],[Location]] &amp; 表格3_5[[#This Row],[Date]] &amp;表格3_5[[#This Row],[Nick Name]]</f>
        <v>0</v>
      </c>
      <c r="D1104" s="202"/>
      <c r="E1104" s="211" t="str">
        <f>DAY(表格3_5[[#This Row],[Date]])&amp;""</f>
        <v>0</v>
      </c>
      <c r="F1104" s="203"/>
      <c r="G1104" s="216">
        <f>_xlfn.XLOOKUP(表格3_5[[#This Row],[Name]],Name_list[Full Name],Name_list[Nick Name])</f>
        <v>0</v>
      </c>
      <c r="H1104" s="207"/>
      <c r="I1104" s="228"/>
      <c r="J1104" s="218"/>
      <c r="K1104" s="205"/>
      <c r="L1104" s="210">
        <f>(表格3_5[[#This Row],[Out-Time]] - 表格3_5[[#This Row],[In-Time]])*24</f>
        <v>0</v>
      </c>
      <c r="M1104" s="210">
        <f>表格3_5[[#This Row],[ Hours]]-表格3_5[[#This Row],[Normal working
 hours]]</f>
        <v>0</v>
      </c>
      <c r="N1104" s="205"/>
      <c r="O1104" s="205"/>
      <c r="P1104" s="210">
        <f>(表格3_5[[#This Row],[Out-Time2]] - 表格3_5[[#This Row],[In-Time2]])*24</f>
        <v>0</v>
      </c>
      <c r="Q1104" s="205"/>
      <c r="R1104" s="214">
        <f>_xlfn.XLOOKUP(表格3_5[[#This Row],[Name]],Name_list[Full Name],Name_list[Hourr Rate])</f>
        <v>0</v>
      </c>
      <c r="S1104" s="210">
        <f>表格3_5[[#This Row],[Hours Worked]]*表格3_5[[#This Row],[Hourly Rate]]</f>
        <v>0</v>
      </c>
    </row>
    <row r="1105" spans="1:19">
      <c r="A1105" s="201">
        <v>1103</v>
      </c>
      <c r="B1105" s="210" t="str">
        <f>_xlfn.CONCAT(表格3_5[[#This Row],[Name]],表格3_5[[#This Row],[Location]])</f>
        <v/>
      </c>
      <c r="C1105" s="211" t="str">
        <f>表格3_5[[#This Row],[Location]] &amp; 表格3_5[[#This Row],[Date]] &amp;表格3_5[[#This Row],[Nick Name]]</f>
        <v>0</v>
      </c>
      <c r="D1105" s="202"/>
      <c r="E1105" s="211" t="str">
        <f>DAY(表格3_5[[#This Row],[Date]])&amp;""</f>
        <v>0</v>
      </c>
      <c r="F1105" s="203"/>
      <c r="G1105" s="216">
        <f>_xlfn.XLOOKUP(表格3_5[[#This Row],[Name]],Name_list[Full Name],Name_list[Nick Name])</f>
        <v>0</v>
      </c>
      <c r="H1105" s="207"/>
      <c r="I1105" s="228"/>
      <c r="J1105" s="218"/>
      <c r="K1105" s="205"/>
      <c r="L1105" s="210">
        <f>(表格3_5[[#This Row],[Out-Time]] - 表格3_5[[#This Row],[In-Time]])*24</f>
        <v>0</v>
      </c>
      <c r="M1105" s="210">
        <f>表格3_5[[#This Row],[ Hours]]-表格3_5[[#This Row],[Normal working
 hours]]</f>
        <v>0</v>
      </c>
      <c r="N1105" s="205"/>
      <c r="O1105" s="205"/>
      <c r="P1105" s="210">
        <f>(表格3_5[[#This Row],[Out-Time2]] - 表格3_5[[#This Row],[In-Time2]])*24</f>
        <v>0</v>
      </c>
      <c r="Q1105" s="205"/>
      <c r="R1105" s="214">
        <f>_xlfn.XLOOKUP(表格3_5[[#This Row],[Name]],Name_list[Full Name],Name_list[Hourr Rate])</f>
        <v>0</v>
      </c>
      <c r="S1105" s="210">
        <f>表格3_5[[#This Row],[Hours Worked]]*表格3_5[[#This Row],[Hourly Rate]]</f>
        <v>0</v>
      </c>
    </row>
    <row r="1106" spans="1:19">
      <c r="A1106" s="201">
        <v>1104</v>
      </c>
      <c r="B1106" s="210" t="str">
        <f>_xlfn.CONCAT(表格3_5[[#This Row],[Name]],表格3_5[[#This Row],[Location]])</f>
        <v/>
      </c>
      <c r="C1106" s="211" t="str">
        <f>表格3_5[[#This Row],[Location]] &amp; 表格3_5[[#This Row],[Date]] &amp;表格3_5[[#This Row],[Nick Name]]</f>
        <v>0</v>
      </c>
      <c r="D1106" s="202"/>
      <c r="E1106" s="211" t="str">
        <f>DAY(表格3_5[[#This Row],[Date]])&amp;""</f>
        <v>0</v>
      </c>
      <c r="F1106" s="203"/>
      <c r="G1106" s="216">
        <f>_xlfn.XLOOKUP(表格3_5[[#This Row],[Name]],Name_list[Full Name],Name_list[Nick Name])</f>
        <v>0</v>
      </c>
      <c r="H1106" s="207"/>
      <c r="I1106" s="228"/>
      <c r="J1106" s="218"/>
      <c r="K1106" s="205"/>
      <c r="L1106" s="210">
        <f>(表格3_5[[#This Row],[Out-Time]] - 表格3_5[[#This Row],[In-Time]])*24</f>
        <v>0</v>
      </c>
      <c r="M1106" s="210">
        <f>表格3_5[[#This Row],[ Hours]]-表格3_5[[#This Row],[Normal working
 hours]]</f>
        <v>0</v>
      </c>
      <c r="N1106" s="205"/>
      <c r="O1106" s="205"/>
      <c r="P1106" s="210">
        <f>(表格3_5[[#This Row],[Out-Time2]] - 表格3_5[[#This Row],[In-Time2]])*24</f>
        <v>0</v>
      </c>
      <c r="Q1106" s="205"/>
      <c r="R1106" s="214">
        <f>_xlfn.XLOOKUP(表格3_5[[#This Row],[Name]],Name_list[Full Name],Name_list[Hourr Rate])</f>
        <v>0</v>
      </c>
      <c r="S1106" s="210">
        <f>表格3_5[[#This Row],[Hours Worked]]*表格3_5[[#This Row],[Hourly Rate]]</f>
        <v>0</v>
      </c>
    </row>
    <row r="1107" spans="1:19">
      <c r="A1107" s="201">
        <v>1105</v>
      </c>
      <c r="B1107" s="210" t="str">
        <f>_xlfn.CONCAT(表格3_5[[#This Row],[Name]],表格3_5[[#This Row],[Location]])</f>
        <v/>
      </c>
      <c r="C1107" s="211" t="str">
        <f>表格3_5[[#This Row],[Location]] &amp; 表格3_5[[#This Row],[Date]] &amp;表格3_5[[#This Row],[Nick Name]]</f>
        <v>0</v>
      </c>
      <c r="D1107" s="202"/>
      <c r="E1107" s="211" t="str">
        <f>DAY(表格3_5[[#This Row],[Date]])&amp;""</f>
        <v>0</v>
      </c>
      <c r="F1107" s="203"/>
      <c r="G1107" s="216">
        <f>_xlfn.XLOOKUP(表格3_5[[#This Row],[Name]],Name_list[Full Name],Name_list[Nick Name])</f>
        <v>0</v>
      </c>
      <c r="H1107" s="207"/>
      <c r="I1107" s="228"/>
      <c r="J1107" s="218"/>
      <c r="K1107" s="205"/>
      <c r="L1107" s="210">
        <f>(表格3_5[[#This Row],[Out-Time]] - 表格3_5[[#This Row],[In-Time]])*24</f>
        <v>0</v>
      </c>
      <c r="M1107" s="210">
        <f>表格3_5[[#This Row],[ Hours]]-表格3_5[[#This Row],[Normal working
 hours]]</f>
        <v>0</v>
      </c>
      <c r="N1107" s="205"/>
      <c r="O1107" s="205"/>
      <c r="P1107" s="210">
        <f>(表格3_5[[#This Row],[Out-Time2]] - 表格3_5[[#This Row],[In-Time2]])*24</f>
        <v>0</v>
      </c>
      <c r="Q1107" s="205"/>
      <c r="R1107" s="214">
        <f>_xlfn.XLOOKUP(表格3_5[[#This Row],[Name]],Name_list[Full Name],Name_list[Hourr Rate])</f>
        <v>0</v>
      </c>
      <c r="S1107" s="210">
        <f>表格3_5[[#This Row],[Hours Worked]]*表格3_5[[#This Row],[Hourly Rate]]</f>
        <v>0</v>
      </c>
    </row>
    <row r="1108" spans="1:19">
      <c r="A1108" s="201">
        <v>1106</v>
      </c>
      <c r="B1108" s="210" t="str">
        <f>_xlfn.CONCAT(表格3_5[[#This Row],[Name]],表格3_5[[#This Row],[Location]])</f>
        <v/>
      </c>
      <c r="C1108" s="211" t="str">
        <f>表格3_5[[#This Row],[Location]] &amp; 表格3_5[[#This Row],[Date]] &amp;表格3_5[[#This Row],[Nick Name]]</f>
        <v>0</v>
      </c>
      <c r="D1108" s="202"/>
      <c r="E1108" s="211" t="str">
        <f>DAY(表格3_5[[#This Row],[Date]])&amp;""</f>
        <v>0</v>
      </c>
      <c r="F1108" s="203"/>
      <c r="G1108" s="216">
        <f>_xlfn.XLOOKUP(表格3_5[[#This Row],[Name]],Name_list[Full Name],Name_list[Nick Name])</f>
        <v>0</v>
      </c>
      <c r="H1108" s="207"/>
      <c r="I1108" s="228"/>
      <c r="J1108" s="218"/>
      <c r="K1108" s="205"/>
      <c r="L1108" s="210">
        <f>(表格3_5[[#This Row],[Out-Time]] - 表格3_5[[#This Row],[In-Time]])*24</f>
        <v>0</v>
      </c>
      <c r="M1108" s="210">
        <f>表格3_5[[#This Row],[ Hours]]-表格3_5[[#This Row],[Normal working
 hours]]</f>
        <v>0</v>
      </c>
      <c r="N1108" s="205"/>
      <c r="O1108" s="205"/>
      <c r="P1108" s="210">
        <f>(表格3_5[[#This Row],[Out-Time2]] - 表格3_5[[#This Row],[In-Time2]])*24</f>
        <v>0</v>
      </c>
      <c r="Q1108" s="205"/>
      <c r="R1108" s="214">
        <f>_xlfn.XLOOKUP(表格3_5[[#This Row],[Name]],Name_list[Full Name],Name_list[Hourr Rate])</f>
        <v>0</v>
      </c>
      <c r="S1108" s="210">
        <f>表格3_5[[#This Row],[Hours Worked]]*表格3_5[[#This Row],[Hourly Rate]]</f>
        <v>0</v>
      </c>
    </row>
    <row r="1109" spans="1:19">
      <c r="A1109" s="201">
        <v>1107</v>
      </c>
      <c r="B1109" s="210" t="str">
        <f>_xlfn.CONCAT(表格3_5[[#This Row],[Name]],表格3_5[[#This Row],[Location]])</f>
        <v/>
      </c>
      <c r="C1109" s="211" t="str">
        <f>表格3_5[[#This Row],[Location]] &amp; 表格3_5[[#This Row],[Date]] &amp;表格3_5[[#This Row],[Nick Name]]</f>
        <v>0</v>
      </c>
      <c r="D1109" s="202"/>
      <c r="E1109" s="211" t="str">
        <f>DAY(表格3_5[[#This Row],[Date]])&amp;""</f>
        <v>0</v>
      </c>
      <c r="F1109" s="203"/>
      <c r="G1109" s="216">
        <f>_xlfn.XLOOKUP(表格3_5[[#This Row],[Name]],Name_list[Full Name],Name_list[Nick Name])</f>
        <v>0</v>
      </c>
      <c r="H1109" s="207"/>
      <c r="I1109" s="228"/>
      <c r="J1109" s="218"/>
      <c r="K1109" s="205"/>
      <c r="L1109" s="210">
        <f>(表格3_5[[#This Row],[Out-Time]] - 表格3_5[[#This Row],[In-Time]])*24</f>
        <v>0</v>
      </c>
      <c r="M1109" s="210">
        <f>表格3_5[[#This Row],[ Hours]]-表格3_5[[#This Row],[Normal working
 hours]]</f>
        <v>0</v>
      </c>
      <c r="N1109" s="205"/>
      <c r="O1109" s="205"/>
      <c r="P1109" s="210">
        <f>(表格3_5[[#This Row],[Out-Time2]] - 表格3_5[[#This Row],[In-Time2]])*24</f>
        <v>0</v>
      </c>
      <c r="Q1109" s="205"/>
      <c r="R1109" s="214">
        <f>_xlfn.XLOOKUP(表格3_5[[#This Row],[Name]],Name_list[Full Name],Name_list[Hourr Rate])</f>
        <v>0</v>
      </c>
      <c r="S1109" s="210">
        <f>表格3_5[[#This Row],[Hours Worked]]*表格3_5[[#This Row],[Hourly Rate]]</f>
        <v>0</v>
      </c>
    </row>
    <row r="1110" spans="1:19">
      <c r="A1110" s="201">
        <v>1108</v>
      </c>
      <c r="B1110" s="210" t="str">
        <f>_xlfn.CONCAT(表格3_5[[#This Row],[Name]],表格3_5[[#This Row],[Location]])</f>
        <v/>
      </c>
      <c r="C1110" s="211" t="str">
        <f>表格3_5[[#This Row],[Location]] &amp; 表格3_5[[#This Row],[Date]] &amp;表格3_5[[#This Row],[Nick Name]]</f>
        <v>0</v>
      </c>
      <c r="D1110" s="202"/>
      <c r="E1110" s="211" t="str">
        <f>DAY(表格3_5[[#This Row],[Date]])&amp;""</f>
        <v>0</v>
      </c>
      <c r="F1110" s="203"/>
      <c r="G1110" s="216">
        <f>_xlfn.XLOOKUP(表格3_5[[#This Row],[Name]],Name_list[Full Name],Name_list[Nick Name])</f>
        <v>0</v>
      </c>
      <c r="H1110" s="207"/>
      <c r="I1110" s="228"/>
      <c r="J1110" s="218"/>
      <c r="K1110" s="205"/>
      <c r="L1110" s="210">
        <f>(表格3_5[[#This Row],[Out-Time]] - 表格3_5[[#This Row],[In-Time]])*24</f>
        <v>0</v>
      </c>
      <c r="M1110" s="210">
        <f>表格3_5[[#This Row],[ Hours]]-表格3_5[[#This Row],[Normal working
 hours]]</f>
        <v>0</v>
      </c>
      <c r="N1110" s="205"/>
      <c r="O1110" s="205"/>
      <c r="P1110" s="210">
        <f>(表格3_5[[#This Row],[Out-Time2]] - 表格3_5[[#This Row],[In-Time2]])*24</f>
        <v>0</v>
      </c>
      <c r="Q1110" s="205"/>
      <c r="R1110" s="214">
        <f>_xlfn.XLOOKUP(表格3_5[[#This Row],[Name]],Name_list[Full Name],Name_list[Hourr Rate])</f>
        <v>0</v>
      </c>
      <c r="S1110" s="210">
        <f>表格3_5[[#This Row],[Hours Worked]]*表格3_5[[#This Row],[Hourly Rate]]</f>
        <v>0</v>
      </c>
    </row>
    <row r="1111" spans="1:19">
      <c r="A1111" s="201">
        <v>1109</v>
      </c>
      <c r="B1111" s="210" t="str">
        <f>_xlfn.CONCAT(表格3_5[[#This Row],[Name]],表格3_5[[#This Row],[Location]])</f>
        <v/>
      </c>
      <c r="C1111" s="211" t="str">
        <f>表格3_5[[#This Row],[Location]] &amp; 表格3_5[[#This Row],[Date]] &amp;表格3_5[[#This Row],[Nick Name]]</f>
        <v>0</v>
      </c>
      <c r="D1111" s="202"/>
      <c r="E1111" s="211" t="str">
        <f>DAY(表格3_5[[#This Row],[Date]])&amp;""</f>
        <v>0</v>
      </c>
      <c r="F1111" s="203"/>
      <c r="G1111" s="216">
        <f>_xlfn.XLOOKUP(表格3_5[[#This Row],[Name]],Name_list[Full Name],Name_list[Nick Name])</f>
        <v>0</v>
      </c>
      <c r="H1111" s="207"/>
      <c r="I1111" s="228"/>
      <c r="J1111" s="218"/>
      <c r="K1111" s="205"/>
      <c r="L1111" s="210">
        <f>(表格3_5[[#This Row],[Out-Time]] - 表格3_5[[#This Row],[In-Time]])*24</f>
        <v>0</v>
      </c>
      <c r="M1111" s="210">
        <f>表格3_5[[#This Row],[ Hours]]-表格3_5[[#This Row],[Normal working
 hours]]</f>
        <v>0</v>
      </c>
      <c r="N1111" s="205"/>
      <c r="O1111" s="205"/>
      <c r="P1111" s="210">
        <f>(表格3_5[[#This Row],[Out-Time2]] - 表格3_5[[#This Row],[In-Time2]])*24</f>
        <v>0</v>
      </c>
      <c r="Q1111" s="205"/>
      <c r="R1111" s="214">
        <f>_xlfn.XLOOKUP(表格3_5[[#This Row],[Name]],Name_list[Full Name],Name_list[Hourr Rate])</f>
        <v>0</v>
      </c>
      <c r="S1111" s="210">
        <f>表格3_5[[#This Row],[Hours Worked]]*表格3_5[[#This Row],[Hourly Rate]]</f>
        <v>0</v>
      </c>
    </row>
    <row r="1112" spans="1:19">
      <c r="A1112" s="201">
        <v>1110</v>
      </c>
      <c r="B1112" s="210" t="str">
        <f>_xlfn.CONCAT(表格3_5[[#This Row],[Name]],表格3_5[[#This Row],[Location]])</f>
        <v/>
      </c>
      <c r="C1112" s="211" t="str">
        <f>表格3_5[[#This Row],[Location]] &amp; 表格3_5[[#This Row],[Date]] &amp;表格3_5[[#This Row],[Nick Name]]</f>
        <v>0</v>
      </c>
      <c r="D1112" s="202"/>
      <c r="E1112" s="211" t="str">
        <f>DAY(表格3_5[[#This Row],[Date]])&amp;""</f>
        <v>0</v>
      </c>
      <c r="F1112" s="203"/>
      <c r="G1112" s="216">
        <f>_xlfn.XLOOKUP(表格3_5[[#This Row],[Name]],Name_list[Full Name],Name_list[Nick Name])</f>
        <v>0</v>
      </c>
      <c r="H1112" s="207"/>
      <c r="I1112" s="228"/>
      <c r="J1112" s="218"/>
      <c r="K1112" s="205"/>
      <c r="L1112" s="210">
        <f>(表格3_5[[#This Row],[Out-Time]] - 表格3_5[[#This Row],[In-Time]])*24</f>
        <v>0</v>
      </c>
      <c r="M1112" s="210">
        <f>表格3_5[[#This Row],[ Hours]]-表格3_5[[#This Row],[Normal working
 hours]]</f>
        <v>0</v>
      </c>
      <c r="N1112" s="205"/>
      <c r="O1112" s="205"/>
      <c r="P1112" s="210">
        <f>(表格3_5[[#This Row],[Out-Time2]] - 表格3_5[[#This Row],[In-Time2]])*24</f>
        <v>0</v>
      </c>
      <c r="Q1112" s="205"/>
      <c r="R1112" s="214">
        <f>_xlfn.XLOOKUP(表格3_5[[#This Row],[Name]],Name_list[Full Name],Name_list[Hourr Rate])</f>
        <v>0</v>
      </c>
      <c r="S1112" s="210">
        <f>表格3_5[[#This Row],[Hours Worked]]*表格3_5[[#This Row],[Hourly Rate]]</f>
        <v>0</v>
      </c>
    </row>
    <row r="1113" spans="1:19">
      <c r="A1113" s="201">
        <v>1111</v>
      </c>
      <c r="B1113" s="210" t="str">
        <f>_xlfn.CONCAT(表格3_5[[#This Row],[Name]],表格3_5[[#This Row],[Location]])</f>
        <v/>
      </c>
      <c r="C1113" s="211" t="str">
        <f>表格3_5[[#This Row],[Location]] &amp; 表格3_5[[#This Row],[Date]] &amp;表格3_5[[#This Row],[Nick Name]]</f>
        <v>0</v>
      </c>
      <c r="D1113" s="202"/>
      <c r="E1113" s="211" t="str">
        <f>DAY(表格3_5[[#This Row],[Date]])&amp;""</f>
        <v>0</v>
      </c>
      <c r="F1113" s="203"/>
      <c r="G1113" s="216">
        <f>_xlfn.XLOOKUP(表格3_5[[#This Row],[Name]],Name_list[Full Name],Name_list[Nick Name])</f>
        <v>0</v>
      </c>
      <c r="H1113" s="207"/>
      <c r="I1113" s="228"/>
      <c r="J1113" s="218"/>
      <c r="K1113" s="205"/>
      <c r="L1113" s="210">
        <f>(表格3_5[[#This Row],[Out-Time]] - 表格3_5[[#This Row],[In-Time]])*24</f>
        <v>0</v>
      </c>
      <c r="M1113" s="210">
        <f>表格3_5[[#This Row],[ Hours]]-表格3_5[[#This Row],[Normal working
 hours]]</f>
        <v>0</v>
      </c>
      <c r="N1113" s="205"/>
      <c r="O1113" s="205"/>
      <c r="P1113" s="210">
        <f>(表格3_5[[#This Row],[Out-Time2]] - 表格3_5[[#This Row],[In-Time2]])*24</f>
        <v>0</v>
      </c>
      <c r="Q1113" s="205"/>
      <c r="R1113" s="214">
        <f>_xlfn.XLOOKUP(表格3_5[[#This Row],[Name]],Name_list[Full Name],Name_list[Hourr Rate])</f>
        <v>0</v>
      </c>
      <c r="S1113" s="210">
        <f>表格3_5[[#This Row],[Hours Worked]]*表格3_5[[#This Row],[Hourly Rate]]</f>
        <v>0</v>
      </c>
    </row>
    <row r="1114" spans="1:19">
      <c r="A1114" s="201">
        <v>1112</v>
      </c>
      <c r="B1114" s="210" t="str">
        <f>_xlfn.CONCAT(表格3_5[[#This Row],[Name]],表格3_5[[#This Row],[Location]])</f>
        <v/>
      </c>
      <c r="C1114" s="211" t="str">
        <f>表格3_5[[#This Row],[Location]] &amp; 表格3_5[[#This Row],[Date]] &amp;表格3_5[[#This Row],[Nick Name]]</f>
        <v>0</v>
      </c>
      <c r="D1114" s="202"/>
      <c r="E1114" s="211" t="str">
        <f>DAY(表格3_5[[#This Row],[Date]])&amp;""</f>
        <v>0</v>
      </c>
      <c r="F1114" s="203"/>
      <c r="G1114" s="216">
        <f>_xlfn.XLOOKUP(表格3_5[[#This Row],[Name]],Name_list[Full Name],Name_list[Nick Name])</f>
        <v>0</v>
      </c>
      <c r="H1114" s="207"/>
      <c r="I1114" s="228"/>
      <c r="J1114" s="218"/>
      <c r="K1114" s="205"/>
      <c r="L1114" s="210">
        <f>(表格3_5[[#This Row],[Out-Time]] - 表格3_5[[#This Row],[In-Time]])*24</f>
        <v>0</v>
      </c>
      <c r="M1114" s="210">
        <f>表格3_5[[#This Row],[ Hours]]-表格3_5[[#This Row],[Normal working
 hours]]</f>
        <v>0</v>
      </c>
      <c r="N1114" s="205"/>
      <c r="O1114" s="205"/>
      <c r="P1114" s="210">
        <f>(表格3_5[[#This Row],[Out-Time2]] - 表格3_5[[#This Row],[In-Time2]])*24</f>
        <v>0</v>
      </c>
      <c r="Q1114" s="205"/>
      <c r="R1114" s="214">
        <f>_xlfn.XLOOKUP(表格3_5[[#This Row],[Name]],Name_list[Full Name],Name_list[Hourr Rate])</f>
        <v>0</v>
      </c>
      <c r="S1114" s="210">
        <f>表格3_5[[#This Row],[Hours Worked]]*表格3_5[[#This Row],[Hourly Rate]]</f>
        <v>0</v>
      </c>
    </row>
    <row r="1115" spans="1:19">
      <c r="A1115" s="201">
        <v>1113</v>
      </c>
      <c r="B1115" s="210" t="str">
        <f>_xlfn.CONCAT(表格3_5[[#This Row],[Name]],表格3_5[[#This Row],[Location]])</f>
        <v/>
      </c>
      <c r="C1115" s="211" t="str">
        <f>表格3_5[[#This Row],[Location]] &amp; 表格3_5[[#This Row],[Date]] &amp;表格3_5[[#This Row],[Nick Name]]</f>
        <v>0</v>
      </c>
      <c r="D1115" s="202"/>
      <c r="E1115" s="211" t="str">
        <f>DAY(表格3_5[[#This Row],[Date]])&amp;""</f>
        <v>0</v>
      </c>
      <c r="F1115" s="203"/>
      <c r="G1115" s="216">
        <f>_xlfn.XLOOKUP(表格3_5[[#This Row],[Name]],Name_list[Full Name],Name_list[Nick Name])</f>
        <v>0</v>
      </c>
      <c r="H1115" s="207"/>
      <c r="I1115" s="228"/>
      <c r="J1115" s="218"/>
      <c r="K1115" s="205"/>
      <c r="L1115" s="210">
        <f>(表格3_5[[#This Row],[Out-Time]] - 表格3_5[[#This Row],[In-Time]])*24</f>
        <v>0</v>
      </c>
      <c r="M1115" s="210">
        <f>表格3_5[[#This Row],[ Hours]]-表格3_5[[#This Row],[Normal working
 hours]]</f>
        <v>0</v>
      </c>
      <c r="N1115" s="205"/>
      <c r="O1115" s="205"/>
      <c r="P1115" s="210">
        <f>(表格3_5[[#This Row],[Out-Time2]] - 表格3_5[[#This Row],[In-Time2]])*24</f>
        <v>0</v>
      </c>
      <c r="Q1115" s="205"/>
      <c r="R1115" s="214">
        <f>_xlfn.XLOOKUP(表格3_5[[#This Row],[Name]],Name_list[Full Name],Name_list[Hourr Rate])</f>
        <v>0</v>
      </c>
      <c r="S1115" s="210">
        <f>表格3_5[[#This Row],[Hours Worked]]*表格3_5[[#This Row],[Hourly Rate]]</f>
        <v>0</v>
      </c>
    </row>
    <row r="1116" spans="1:19">
      <c r="A1116" s="201">
        <v>1114</v>
      </c>
      <c r="B1116" s="210" t="str">
        <f>_xlfn.CONCAT(表格3_5[[#This Row],[Name]],表格3_5[[#This Row],[Location]])</f>
        <v/>
      </c>
      <c r="C1116" s="211" t="str">
        <f>表格3_5[[#This Row],[Location]] &amp; 表格3_5[[#This Row],[Date]] &amp;表格3_5[[#This Row],[Nick Name]]</f>
        <v>0</v>
      </c>
      <c r="D1116" s="202"/>
      <c r="E1116" s="211" t="str">
        <f>DAY(表格3_5[[#This Row],[Date]])&amp;""</f>
        <v>0</v>
      </c>
      <c r="F1116" s="203"/>
      <c r="G1116" s="216">
        <f>_xlfn.XLOOKUP(表格3_5[[#This Row],[Name]],Name_list[Full Name],Name_list[Nick Name])</f>
        <v>0</v>
      </c>
      <c r="H1116" s="207"/>
      <c r="I1116" s="228"/>
      <c r="J1116" s="218"/>
      <c r="K1116" s="205"/>
      <c r="L1116" s="210">
        <f>(表格3_5[[#This Row],[Out-Time]] - 表格3_5[[#This Row],[In-Time]])*24</f>
        <v>0</v>
      </c>
      <c r="M1116" s="210">
        <f>表格3_5[[#This Row],[ Hours]]-表格3_5[[#This Row],[Normal working
 hours]]</f>
        <v>0</v>
      </c>
      <c r="N1116" s="205"/>
      <c r="O1116" s="205"/>
      <c r="P1116" s="210">
        <f>(表格3_5[[#This Row],[Out-Time2]] - 表格3_5[[#This Row],[In-Time2]])*24</f>
        <v>0</v>
      </c>
      <c r="Q1116" s="205"/>
      <c r="R1116" s="214">
        <f>_xlfn.XLOOKUP(表格3_5[[#This Row],[Name]],Name_list[Full Name],Name_list[Hourr Rate])</f>
        <v>0</v>
      </c>
      <c r="S1116" s="210">
        <f>表格3_5[[#This Row],[Hours Worked]]*表格3_5[[#This Row],[Hourly Rate]]</f>
        <v>0</v>
      </c>
    </row>
    <row r="1117" spans="1:19">
      <c r="A1117" s="201">
        <v>1115</v>
      </c>
      <c r="B1117" s="210" t="str">
        <f>_xlfn.CONCAT(表格3_5[[#This Row],[Name]],表格3_5[[#This Row],[Location]])</f>
        <v/>
      </c>
      <c r="C1117" s="211" t="str">
        <f>表格3_5[[#This Row],[Location]] &amp; 表格3_5[[#This Row],[Date]] &amp;表格3_5[[#This Row],[Nick Name]]</f>
        <v>0</v>
      </c>
      <c r="D1117" s="202"/>
      <c r="E1117" s="211" t="str">
        <f>DAY(表格3_5[[#This Row],[Date]])&amp;""</f>
        <v>0</v>
      </c>
      <c r="F1117" s="203"/>
      <c r="G1117" s="216">
        <f>_xlfn.XLOOKUP(表格3_5[[#This Row],[Name]],Name_list[Full Name],Name_list[Nick Name])</f>
        <v>0</v>
      </c>
      <c r="H1117" s="207"/>
      <c r="I1117" s="228"/>
      <c r="J1117" s="218"/>
      <c r="K1117" s="205"/>
      <c r="L1117" s="210">
        <f>(表格3_5[[#This Row],[Out-Time]] - 表格3_5[[#This Row],[In-Time]])*24</f>
        <v>0</v>
      </c>
      <c r="M1117" s="210">
        <f>表格3_5[[#This Row],[ Hours]]-表格3_5[[#This Row],[Normal working
 hours]]</f>
        <v>0</v>
      </c>
      <c r="N1117" s="205"/>
      <c r="O1117" s="205"/>
      <c r="P1117" s="210">
        <f>(表格3_5[[#This Row],[Out-Time2]] - 表格3_5[[#This Row],[In-Time2]])*24</f>
        <v>0</v>
      </c>
      <c r="Q1117" s="205"/>
      <c r="R1117" s="214">
        <f>_xlfn.XLOOKUP(表格3_5[[#This Row],[Name]],Name_list[Full Name],Name_list[Hourr Rate])</f>
        <v>0</v>
      </c>
      <c r="S1117" s="210">
        <f>表格3_5[[#This Row],[Hours Worked]]*表格3_5[[#This Row],[Hourly Rate]]</f>
        <v>0</v>
      </c>
    </row>
    <row r="1118" spans="1:19">
      <c r="A1118" s="201">
        <v>1116</v>
      </c>
      <c r="B1118" s="210" t="str">
        <f>_xlfn.CONCAT(表格3_5[[#This Row],[Name]],表格3_5[[#This Row],[Location]])</f>
        <v/>
      </c>
      <c r="C1118" s="211" t="str">
        <f>表格3_5[[#This Row],[Location]] &amp; 表格3_5[[#This Row],[Date]] &amp;表格3_5[[#This Row],[Nick Name]]</f>
        <v>0</v>
      </c>
      <c r="D1118" s="202"/>
      <c r="E1118" s="211" t="str">
        <f>DAY(表格3_5[[#This Row],[Date]])&amp;""</f>
        <v>0</v>
      </c>
      <c r="F1118" s="203"/>
      <c r="G1118" s="216">
        <f>_xlfn.XLOOKUP(表格3_5[[#This Row],[Name]],Name_list[Full Name],Name_list[Nick Name])</f>
        <v>0</v>
      </c>
      <c r="H1118" s="207"/>
      <c r="I1118" s="228"/>
      <c r="J1118" s="218"/>
      <c r="K1118" s="205"/>
      <c r="L1118" s="210">
        <f>(表格3_5[[#This Row],[Out-Time]] - 表格3_5[[#This Row],[In-Time]])*24</f>
        <v>0</v>
      </c>
      <c r="M1118" s="210">
        <f>表格3_5[[#This Row],[ Hours]]-表格3_5[[#This Row],[Normal working
 hours]]</f>
        <v>0</v>
      </c>
      <c r="N1118" s="205"/>
      <c r="O1118" s="205"/>
      <c r="P1118" s="210">
        <f>(表格3_5[[#This Row],[Out-Time2]] - 表格3_5[[#This Row],[In-Time2]])*24</f>
        <v>0</v>
      </c>
      <c r="Q1118" s="205"/>
      <c r="R1118" s="214">
        <f>_xlfn.XLOOKUP(表格3_5[[#This Row],[Name]],Name_list[Full Name],Name_list[Hourr Rate])</f>
        <v>0</v>
      </c>
      <c r="S1118" s="210">
        <f>表格3_5[[#This Row],[Hours Worked]]*表格3_5[[#This Row],[Hourly Rate]]</f>
        <v>0</v>
      </c>
    </row>
    <row r="1119" spans="1:19">
      <c r="A1119" s="201">
        <v>1117</v>
      </c>
      <c r="B1119" s="210" t="str">
        <f>_xlfn.CONCAT(表格3_5[[#This Row],[Name]],表格3_5[[#This Row],[Location]])</f>
        <v/>
      </c>
      <c r="C1119" s="211" t="str">
        <f>表格3_5[[#This Row],[Location]] &amp; 表格3_5[[#This Row],[Date]] &amp;表格3_5[[#This Row],[Nick Name]]</f>
        <v>0</v>
      </c>
      <c r="D1119" s="202"/>
      <c r="E1119" s="211" t="str">
        <f>DAY(表格3_5[[#This Row],[Date]])&amp;""</f>
        <v>0</v>
      </c>
      <c r="F1119" s="203"/>
      <c r="G1119" s="216">
        <f>_xlfn.XLOOKUP(表格3_5[[#This Row],[Name]],Name_list[Full Name],Name_list[Nick Name])</f>
        <v>0</v>
      </c>
      <c r="H1119" s="207"/>
      <c r="I1119" s="228"/>
      <c r="J1119" s="218"/>
      <c r="K1119" s="205"/>
      <c r="L1119" s="210">
        <f>(表格3_5[[#This Row],[Out-Time]] - 表格3_5[[#This Row],[In-Time]])*24</f>
        <v>0</v>
      </c>
      <c r="M1119" s="210">
        <f>表格3_5[[#This Row],[ Hours]]-表格3_5[[#This Row],[Normal working
 hours]]</f>
        <v>0</v>
      </c>
      <c r="N1119" s="205"/>
      <c r="O1119" s="205"/>
      <c r="P1119" s="210">
        <f>(表格3_5[[#This Row],[Out-Time2]] - 表格3_5[[#This Row],[In-Time2]])*24</f>
        <v>0</v>
      </c>
      <c r="Q1119" s="205"/>
      <c r="R1119" s="214">
        <f>_xlfn.XLOOKUP(表格3_5[[#This Row],[Name]],Name_list[Full Name],Name_list[Hourr Rate])</f>
        <v>0</v>
      </c>
      <c r="S1119" s="210">
        <f>表格3_5[[#This Row],[Hours Worked]]*表格3_5[[#This Row],[Hourly Rate]]</f>
        <v>0</v>
      </c>
    </row>
    <row r="1120" spans="1:19">
      <c r="A1120" s="201">
        <v>1118</v>
      </c>
      <c r="B1120" s="210" t="str">
        <f>_xlfn.CONCAT(表格3_5[[#This Row],[Name]],表格3_5[[#This Row],[Location]])</f>
        <v/>
      </c>
      <c r="C1120" s="211" t="str">
        <f>表格3_5[[#This Row],[Location]] &amp; 表格3_5[[#This Row],[Date]] &amp;表格3_5[[#This Row],[Nick Name]]</f>
        <v>0</v>
      </c>
      <c r="D1120" s="202"/>
      <c r="E1120" s="211" t="str">
        <f>DAY(表格3_5[[#This Row],[Date]])&amp;""</f>
        <v>0</v>
      </c>
      <c r="F1120" s="203"/>
      <c r="G1120" s="216">
        <f>_xlfn.XLOOKUP(表格3_5[[#This Row],[Name]],Name_list[Full Name],Name_list[Nick Name])</f>
        <v>0</v>
      </c>
      <c r="H1120" s="207"/>
      <c r="I1120" s="228"/>
      <c r="J1120" s="218"/>
      <c r="K1120" s="205"/>
      <c r="L1120" s="210">
        <f>(表格3_5[[#This Row],[Out-Time]] - 表格3_5[[#This Row],[In-Time]])*24</f>
        <v>0</v>
      </c>
      <c r="M1120" s="210">
        <f>表格3_5[[#This Row],[ Hours]]-表格3_5[[#This Row],[Normal working
 hours]]</f>
        <v>0</v>
      </c>
      <c r="N1120" s="205"/>
      <c r="O1120" s="205"/>
      <c r="P1120" s="210">
        <f>(表格3_5[[#This Row],[Out-Time2]] - 表格3_5[[#This Row],[In-Time2]])*24</f>
        <v>0</v>
      </c>
      <c r="Q1120" s="205"/>
      <c r="R1120" s="214">
        <f>_xlfn.XLOOKUP(表格3_5[[#This Row],[Name]],Name_list[Full Name],Name_list[Hourr Rate])</f>
        <v>0</v>
      </c>
      <c r="S1120" s="210">
        <f>表格3_5[[#This Row],[Hours Worked]]*表格3_5[[#This Row],[Hourly Rate]]</f>
        <v>0</v>
      </c>
    </row>
    <row r="1121" spans="1:19">
      <c r="A1121" s="201">
        <v>1119</v>
      </c>
      <c r="B1121" s="210" t="str">
        <f>_xlfn.CONCAT(表格3_5[[#This Row],[Name]],表格3_5[[#This Row],[Location]])</f>
        <v/>
      </c>
      <c r="C1121" s="211" t="str">
        <f>表格3_5[[#This Row],[Location]] &amp; 表格3_5[[#This Row],[Date]] &amp;表格3_5[[#This Row],[Nick Name]]</f>
        <v>0</v>
      </c>
      <c r="D1121" s="202"/>
      <c r="E1121" s="211" t="str">
        <f>DAY(表格3_5[[#This Row],[Date]])&amp;""</f>
        <v>0</v>
      </c>
      <c r="F1121" s="203"/>
      <c r="G1121" s="216">
        <f>_xlfn.XLOOKUP(表格3_5[[#This Row],[Name]],Name_list[Full Name],Name_list[Nick Name])</f>
        <v>0</v>
      </c>
      <c r="H1121" s="207"/>
      <c r="I1121" s="228"/>
      <c r="J1121" s="218"/>
      <c r="K1121" s="205"/>
      <c r="L1121" s="210">
        <f>(表格3_5[[#This Row],[Out-Time]] - 表格3_5[[#This Row],[In-Time]])*24</f>
        <v>0</v>
      </c>
      <c r="M1121" s="210">
        <f>表格3_5[[#This Row],[ Hours]]-表格3_5[[#This Row],[Normal working
 hours]]</f>
        <v>0</v>
      </c>
      <c r="N1121" s="205"/>
      <c r="O1121" s="205"/>
      <c r="P1121" s="210">
        <f>(表格3_5[[#This Row],[Out-Time2]] - 表格3_5[[#This Row],[In-Time2]])*24</f>
        <v>0</v>
      </c>
      <c r="Q1121" s="205"/>
      <c r="R1121" s="214">
        <f>_xlfn.XLOOKUP(表格3_5[[#This Row],[Name]],Name_list[Full Name],Name_list[Hourr Rate])</f>
        <v>0</v>
      </c>
      <c r="S1121" s="210">
        <f>表格3_5[[#This Row],[Hours Worked]]*表格3_5[[#This Row],[Hourly Rate]]</f>
        <v>0</v>
      </c>
    </row>
    <row r="1122" spans="1:19">
      <c r="A1122" s="201">
        <v>1120</v>
      </c>
      <c r="B1122" s="210" t="str">
        <f>_xlfn.CONCAT(表格3_5[[#This Row],[Name]],表格3_5[[#This Row],[Location]])</f>
        <v/>
      </c>
      <c r="C1122" s="211" t="str">
        <f>表格3_5[[#This Row],[Location]] &amp; 表格3_5[[#This Row],[Date]] &amp;表格3_5[[#This Row],[Nick Name]]</f>
        <v>0</v>
      </c>
      <c r="D1122" s="202"/>
      <c r="E1122" s="211" t="str">
        <f>DAY(表格3_5[[#This Row],[Date]])&amp;""</f>
        <v>0</v>
      </c>
      <c r="F1122" s="203"/>
      <c r="G1122" s="216">
        <f>_xlfn.XLOOKUP(表格3_5[[#This Row],[Name]],Name_list[Full Name],Name_list[Nick Name])</f>
        <v>0</v>
      </c>
      <c r="H1122" s="207"/>
      <c r="I1122" s="228"/>
      <c r="J1122" s="218"/>
      <c r="K1122" s="205"/>
      <c r="L1122" s="210">
        <f>(表格3_5[[#This Row],[Out-Time]] - 表格3_5[[#This Row],[In-Time]])*24</f>
        <v>0</v>
      </c>
      <c r="M1122" s="210">
        <f>表格3_5[[#This Row],[ Hours]]-表格3_5[[#This Row],[Normal working
 hours]]</f>
        <v>0</v>
      </c>
      <c r="N1122" s="205"/>
      <c r="O1122" s="205"/>
      <c r="P1122" s="210">
        <f>(表格3_5[[#This Row],[Out-Time2]] - 表格3_5[[#This Row],[In-Time2]])*24</f>
        <v>0</v>
      </c>
      <c r="Q1122" s="205"/>
      <c r="R1122" s="214">
        <f>_xlfn.XLOOKUP(表格3_5[[#This Row],[Name]],Name_list[Full Name],Name_list[Hourr Rate])</f>
        <v>0</v>
      </c>
      <c r="S1122" s="210">
        <f>表格3_5[[#This Row],[Hours Worked]]*表格3_5[[#This Row],[Hourly Rate]]</f>
        <v>0</v>
      </c>
    </row>
    <row r="1123" spans="1:19">
      <c r="A1123" s="201">
        <v>1121</v>
      </c>
      <c r="B1123" s="210" t="str">
        <f>_xlfn.CONCAT(表格3_5[[#This Row],[Name]],表格3_5[[#This Row],[Location]])</f>
        <v/>
      </c>
      <c r="C1123" s="211" t="str">
        <f>表格3_5[[#This Row],[Location]] &amp; 表格3_5[[#This Row],[Date]] &amp;表格3_5[[#This Row],[Nick Name]]</f>
        <v>0</v>
      </c>
      <c r="D1123" s="202"/>
      <c r="E1123" s="211" t="str">
        <f>DAY(表格3_5[[#This Row],[Date]])&amp;""</f>
        <v>0</v>
      </c>
      <c r="F1123" s="203"/>
      <c r="G1123" s="216">
        <f>_xlfn.XLOOKUP(表格3_5[[#This Row],[Name]],Name_list[Full Name],Name_list[Nick Name])</f>
        <v>0</v>
      </c>
      <c r="H1123" s="207"/>
      <c r="I1123" s="228"/>
      <c r="J1123" s="218"/>
      <c r="K1123" s="205"/>
      <c r="L1123" s="210">
        <f>(表格3_5[[#This Row],[Out-Time]] - 表格3_5[[#This Row],[In-Time]])*24</f>
        <v>0</v>
      </c>
      <c r="M1123" s="210">
        <f>表格3_5[[#This Row],[ Hours]]-表格3_5[[#This Row],[Normal working
 hours]]</f>
        <v>0</v>
      </c>
      <c r="N1123" s="205"/>
      <c r="O1123" s="205"/>
      <c r="P1123" s="210">
        <f>(表格3_5[[#This Row],[Out-Time2]] - 表格3_5[[#This Row],[In-Time2]])*24</f>
        <v>0</v>
      </c>
      <c r="Q1123" s="205"/>
      <c r="R1123" s="214">
        <f>_xlfn.XLOOKUP(表格3_5[[#This Row],[Name]],Name_list[Full Name],Name_list[Hourr Rate])</f>
        <v>0</v>
      </c>
      <c r="S1123" s="210">
        <f>表格3_5[[#This Row],[Hours Worked]]*表格3_5[[#This Row],[Hourly Rate]]</f>
        <v>0</v>
      </c>
    </row>
    <row r="1124" spans="1:19">
      <c r="A1124" s="201">
        <v>1122</v>
      </c>
      <c r="B1124" s="210" t="str">
        <f>_xlfn.CONCAT(表格3_5[[#This Row],[Name]],表格3_5[[#This Row],[Location]])</f>
        <v/>
      </c>
      <c r="C1124" s="211" t="str">
        <f>表格3_5[[#This Row],[Location]] &amp; 表格3_5[[#This Row],[Date]] &amp;表格3_5[[#This Row],[Nick Name]]</f>
        <v>0</v>
      </c>
      <c r="D1124" s="202"/>
      <c r="E1124" s="211" t="str">
        <f>DAY(表格3_5[[#This Row],[Date]])&amp;""</f>
        <v>0</v>
      </c>
      <c r="F1124" s="203"/>
      <c r="G1124" s="216">
        <f>_xlfn.XLOOKUP(表格3_5[[#This Row],[Name]],Name_list[Full Name],Name_list[Nick Name])</f>
        <v>0</v>
      </c>
      <c r="H1124" s="207"/>
      <c r="I1124" s="228"/>
      <c r="J1124" s="218"/>
      <c r="K1124" s="205"/>
      <c r="L1124" s="210">
        <f>(表格3_5[[#This Row],[Out-Time]] - 表格3_5[[#This Row],[In-Time]])*24</f>
        <v>0</v>
      </c>
      <c r="M1124" s="210">
        <f>表格3_5[[#This Row],[ Hours]]-表格3_5[[#This Row],[Normal working
 hours]]</f>
        <v>0</v>
      </c>
      <c r="N1124" s="205"/>
      <c r="O1124" s="205"/>
      <c r="P1124" s="210">
        <f>(表格3_5[[#This Row],[Out-Time2]] - 表格3_5[[#This Row],[In-Time2]])*24</f>
        <v>0</v>
      </c>
      <c r="Q1124" s="205"/>
      <c r="R1124" s="214">
        <f>_xlfn.XLOOKUP(表格3_5[[#This Row],[Name]],Name_list[Full Name],Name_list[Hourr Rate])</f>
        <v>0</v>
      </c>
      <c r="S1124" s="210">
        <f>表格3_5[[#This Row],[Hours Worked]]*表格3_5[[#This Row],[Hourly Rate]]</f>
        <v>0</v>
      </c>
    </row>
    <row r="1125" spans="1:19">
      <c r="A1125" s="201">
        <v>1123</v>
      </c>
      <c r="B1125" s="210" t="str">
        <f>_xlfn.CONCAT(表格3_5[[#This Row],[Name]],表格3_5[[#This Row],[Location]])</f>
        <v/>
      </c>
      <c r="C1125" s="211" t="str">
        <f>表格3_5[[#This Row],[Location]] &amp; 表格3_5[[#This Row],[Date]] &amp;表格3_5[[#This Row],[Nick Name]]</f>
        <v>0</v>
      </c>
      <c r="D1125" s="202"/>
      <c r="E1125" s="211" t="str">
        <f>DAY(表格3_5[[#This Row],[Date]])&amp;""</f>
        <v>0</v>
      </c>
      <c r="F1125" s="203"/>
      <c r="G1125" s="216">
        <f>_xlfn.XLOOKUP(表格3_5[[#This Row],[Name]],Name_list[Full Name],Name_list[Nick Name])</f>
        <v>0</v>
      </c>
      <c r="H1125" s="207"/>
      <c r="I1125" s="228"/>
      <c r="J1125" s="218"/>
      <c r="K1125" s="205"/>
      <c r="L1125" s="210">
        <f>(表格3_5[[#This Row],[Out-Time]] - 表格3_5[[#This Row],[In-Time]])*24</f>
        <v>0</v>
      </c>
      <c r="M1125" s="210">
        <f>表格3_5[[#This Row],[ Hours]]-表格3_5[[#This Row],[Normal working
 hours]]</f>
        <v>0</v>
      </c>
      <c r="N1125" s="205"/>
      <c r="O1125" s="205"/>
      <c r="P1125" s="210">
        <f>(表格3_5[[#This Row],[Out-Time2]] - 表格3_5[[#This Row],[In-Time2]])*24</f>
        <v>0</v>
      </c>
      <c r="Q1125" s="205"/>
      <c r="R1125" s="214">
        <f>_xlfn.XLOOKUP(表格3_5[[#This Row],[Name]],Name_list[Full Name],Name_list[Hourr Rate])</f>
        <v>0</v>
      </c>
      <c r="S1125" s="210">
        <f>表格3_5[[#This Row],[Hours Worked]]*表格3_5[[#This Row],[Hourly Rate]]</f>
        <v>0</v>
      </c>
    </row>
    <row r="1126" spans="1:19">
      <c r="A1126" s="201">
        <v>1124</v>
      </c>
      <c r="B1126" s="210" t="str">
        <f>_xlfn.CONCAT(表格3_5[[#This Row],[Name]],表格3_5[[#This Row],[Location]])</f>
        <v/>
      </c>
      <c r="C1126" s="211" t="str">
        <f>表格3_5[[#This Row],[Location]] &amp; 表格3_5[[#This Row],[Date]] &amp;表格3_5[[#This Row],[Nick Name]]</f>
        <v>0</v>
      </c>
      <c r="D1126" s="202"/>
      <c r="E1126" s="211" t="str">
        <f>DAY(表格3_5[[#This Row],[Date]])&amp;""</f>
        <v>0</v>
      </c>
      <c r="F1126" s="203"/>
      <c r="G1126" s="216">
        <f>_xlfn.XLOOKUP(表格3_5[[#This Row],[Name]],Name_list[Full Name],Name_list[Nick Name])</f>
        <v>0</v>
      </c>
      <c r="H1126" s="207"/>
      <c r="I1126" s="228"/>
      <c r="J1126" s="218"/>
      <c r="K1126" s="205"/>
      <c r="L1126" s="210">
        <f>(表格3_5[[#This Row],[Out-Time]] - 表格3_5[[#This Row],[In-Time]])*24</f>
        <v>0</v>
      </c>
      <c r="M1126" s="210">
        <f>表格3_5[[#This Row],[ Hours]]-表格3_5[[#This Row],[Normal working
 hours]]</f>
        <v>0</v>
      </c>
      <c r="N1126" s="205"/>
      <c r="O1126" s="205"/>
      <c r="P1126" s="210">
        <f>(表格3_5[[#This Row],[Out-Time2]] - 表格3_5[[#This Row],[In-Time2]])*24</f>
        <v>0</v>
      </c>
      <c r="Q1126" s="205"/>
      <c r="R1126" s="214">
        <f>_xlfn.XLOOKUP(表格3_5[[#This Row],[Name]],Name_list[Full Name],Name_list[Hourr Rate])</f>
        <v>0</v>
      </c>
      <c r="S1126" s="210">
        <f>表格3_5[[#This Row],[Hours Worked]]*表格3_5[[#This Row],[Hourly Rate]]</f>
        <v>0</v>
      </c>
    </row>
    <row r="1127" spans="1:19">
      <c r="A1127" s="201">
        <v>1125</v>
      </c>
      <c r="B1127" s="210" t="str">
        <f>_xlfn.CONCAT(表格3_5[[#This Row],[Name]],表格3_5[[#This Row],[Location]])</f>
        <v/>
      </c>
      <c r="C1127" s="211" t="str">
        <f>表格3_5[[#This Row],[Location]] &amp; 表格3_5[[#This Row],[Date]] &amp;表格3_5[[#This Row],[Nick Name]]</f>
        <v>0</v>
      </c>
      <c r="D1127" s="202"/>
      <c r="E1127" s="211" t="str">
        <f>DAY(表格3_5[[#This Row],[Date]])&amp;""</f>
        <v>0</v>
      </c>
      <c r="F1127" s="203"/>
      <c r="G1127" s="216">
        <f>_xlfn.XLOOKUP(表格3_5[[#This Row],[Name]],Name_list[Full Name],Name_list[Nick Name])</f>
        <v>0</v>
      </c>
      <c r="H1127" s="207"/>
      <c r="I1127" s="228"/>
      <c r="J1127" s="218"/>
      <c r="K1127" s="205"/>
      <c r="L1127" s="210">
        <f>(表格3_5[[#This Row],[Out-Time]] - 表格3_5[[#This Row],[In-Time]])*24</f>
        <v>0</v>
      </c>
      <c r="M1127" s="210">
        <f>表格3_5[[#This Row],[ Hours]]-表格3_5[[#This Row],[Normal working
 hours]]</f>
        <v>0</v>
      </c>
      <c r="N1127" s="205"/>
      <c r="O1127" s="205"/>
      <c r="P1127" s="210">
        <f>(表格3_5[[#This Row],[Out-Time2]] - 表格3_5[[#This Row],[In-Time2]])*24</f>
        <v>0</v>
      </c>
      <c r="Q1127" s="205"/>
      <c r="R1127" s="214">
        <f>_xlfn.XLOOKUP(表格3_5[[#This Row],[Name]],Name_list[Full Name],Name_list[Hourr Rate])</f>
        <v>0</v>
      </c>
      <c r="S1127" s="210">
        <f>表格3_5[[#This Row],[Hours Worked]]*表格3_5[[#This Row],[Hourly Rate]]</f>
        <v>0</v>
      </c>
    </row>
    <row r="1128" spans="1:19">
      <c r="A1128" s="201">
        <v>1126</v>
      </c>
      <c r="B1128" s="210" t="str">
        <f>_xlfn.CONCAT(表格3_5[[#This Row],[Name]],表格3_5[[#This Row],[Location]])</f>
        <v/>
      </c>
      <c r="C1128" s="211" t="str">
        <f>表格3_5[[#This Row],[Location]] &amp; 表格3_5[[#This Row],[Date]] &amp;表格3_5[[#This Row],[Nick Name]]</f>
        <v>0</v>
      </c>
      <c r="D1128" s="202"/>
      <c r="E1128" s="211" t="str">
        <f>DAY(表格3_5[[#This Row],[Date]])&amp;""</f>
        <v>0</v>
      </c>
      <c r="F1128" s="203"/>
      <c r="G1128" s="216">
        <f>_xlfn.XLOOKUP(表格3_5[[#This Row],[Name]],Name_list[Full Name],Name_list[Nick Name])</f>
        <v>0</v>
      </c>
      <c r="H1128" s="207"/>
      <c r="I1128" s="228"/>
      <c r="J1128" s="218"/>
      <c r="K1128" s="205"/>
      <c r="L1128" s="210">
        <f>(表格3_5[[#This Row],[Out-Time]] - 表格3_5[[#This Row],[In-Time]])*24</f>
        <v>0</v>
      </c>
      <c r="M1128" s="210">
        <f>表格3_5[[#This Row],[ Hours]]-表格3_5[[#This Row],[Normal working
 hours]]</f>
        <v>0</v>
      </c>
      <c r="N1128" s="205"/>
      <c r="O1128" s="205"/>
      <c r="P1128" s="210">
        <f>(表格3_5[[#This Row],[Out-Time2]] - 表格3_5[[#This Row],[In-Time2]])*24</f>
        <v>0</v>
      </c>
      <c r="Q1128" s="205"/>
      <c r="R1128" s="214">
        <f>_xlfn.XLOOKUP(表格3_5[[#This Row],[Name]],Name_list[Full Name],Name_list[Hourr Rate])</f>
        <v>0</v>
      </c>
      <c r="S1128" s="210">
        <f>表格3_5[[#This Row],[Hours Worked]]*表格3_5[[#This Row],[Hourly Rate]]</f>
        <v>0</v>
      </c>
    </row>
    <row r="1129" spans="1:19">
      <c r="A1129" s="201">
        <v>1127</v>
      </c>
      <c r="B1129" s="210" t="str">
        <f>_xlfn.CONCAT(表格3_5[[#This Row],[Name]],表格3_5[[#This Row],[Location]])</f>
        <v/>
      </c>
      <c r="C1129" s="211" t="str">
        <f>表格3_5[[#This Row],[Location]] &amp; 表格3_5[[#This Row],[Date]] &amp;表格3_5[[#This Row],[Nick Name]]</f>
        <v>0</v>
      </c>
      <c r="D1129" s="202"/>
      <c r="E1129" s="211" t="str">
        <f>DAY(表格3_5[[#This Row],[Date]])&amp;""</f>
        <v>0</v>
      </c>
      <c r="F1129" s="203"/>
      <c r="G1129" s="216">
        <f>_xlfn.XLOOKUP(表格3_5[[#This Row],[Name]],Name_list[Full Name],Name_list[Nick Name])</f>
        <v>0</v>
      </c>
      <c r="H1129" s="207"/>
      <c r="I1129" s="228"/>
      <c r="J1129" s="218"/>
      <c r="K1129" s="205"/>
      <c r="L1129" s="210">
        <f>(表格3_5[[#This Row],[Out-Time]] - 表格3_5[[#This Row],[In-Time]])*24</f>
        <v>0</v>
      </c>
      <c r="M1129" s="210">
        <f>表格3_5[[#This Row],[ Hours]]-表格3_5[[#This Row],[Normal working
 hours]]</f>
        <v>0</v>
      </c>
      <c r="N1129" s="205"/>
      <c r="O1129" s="205"/>
      <c r="P1129" s="210">
        <f>(表格3_5[[#This Row],[Out-Time2]] - 表格3_5[[#This Row],[In-Time2]])*24</f>
        <v>0</v>
      </c>
      <c r="Q1129" s="205"/>
      <c r="R1129" s="214">
        <f>_xlfn.XLOOKUP(表格3_5[[#This Row],[Name]],Name_list[Full Name],Name_list[Hourr Rate])</f>
        <v>0</v>
      </c>
      <c r="S1129" s="210">
        <f>表格3_5[[#This Row],[Hours Worked]]*表格3_5[[#This Row],[Hourly Rate]]</f>
        <v>0</v>
      </c>
    </row>
    <row r="1130" spans="1:19">
      <c r="A1130" s="201">
        <v>1128</v>
      </c>
      <c r="B1130" s="210" t="str">
        <f>_xlfn.CONCAT(表格3_5[[#This Row],[Name]],表格3_5[[#This Row],[Location]])</f>
        <v/>
      </c>
      <c r="C1130" s="211" t="str">
        <f>表格3_5[[#This Row],[Location]] &amp; 表格3_5[[#This Row],[Date]] &amp;表格3_5[[#This Row],[Nick Name]]</f>
        <v>0</v>
      </c>
      <c r="D1130" s="202"/>
      <c r="E1130" s="211" t="str">
        <f>DAY(表格3_5[[#This Row],[Date]])&amp;""</f>
        <v>0</v>
      </c>
      <c r="F1130" s="203"/>
      <c r="G1130" s="216">
        <f>_xlfn.XLOOKUP(表格3_5[[#This Row],[Name]],Name_list[Full Name],Name_list[Nick Name])</f>
        <v>0</v>
      </c>
      <c r="H1130" s="207"/>
      <c r="I1130" s="228"/>
      <c r="J1130" s="218"/>
      <c r="K1130" s="205"/>
      <c r="L1130" s="210">
        <f>(表格3_5[[#This Row],[Out-Time]] - 表格3_5[[#This Row],[In-Time]])*24</f>
        <v>0</v>
      </c>
      <c r="M1130" s="210">
        <f>表格3_5[[#This Row],[ Hours]]-表格3_5[[#This Row],[Normal working
 hours]]</f>
        <v>0</v>
      </c>
      <c r="N1130" s="205"/>
      <c r="O1130" s="205"/>
      <c r="P1130" s="210">
        <f>(表格3_5[[#This Row],[Out-Time2]] - 表格3_5[[#This Row],[In-Time2]])*24</f>
        <v>0</v>
      </c>
      <c r="Q1130" s="205"/>
      <c r="R1130" s="214">
        <f>_xlfn.XLOOKUP(表格3_5[[#This Row],[Name]],Name_list[Full Name],Name_list[Hourr Rate])</f>
        <v>0</v>
      </c>
      <c r="S1130" s="210">
        <f>表格3_5[[#This Row],[Hours Worked]]*表格3_5[[#This Row],[Hourly Rate]]</f>
        <v>0</v>
      </c>
    </row>
    <row r="1131" spans="1:19">
      <c r="A1131" s="201">
        <v>1129</v>
      </c>
      <c r="B1131" s="210" t="str">
        <f>_xlfn.CONCAT(表格3_5[[#This Row],[Name]],表格3_5[[#This Row],[Location]])</f>
        <v/>
      </c>
      <c r="C1131" s="211" t="str">
        <f>表格3_5[[#This Row],[Location]] &amp; 表格3_5[[#This Row],[Date]] &amp;表格3_5[[#This Row],[Nick Name]]</f>
        <v>0</v>
      </c>
      <c r="D1131" s="202"/>
      <c r="E1131" s="211" t="str">
        <f>DAY(表格3_5[[#This Row],[Date]])&amp;""</f>
        <v>0</v>
      </c>
      <c r="F1131" s="203"/>
      <c r="G1131" s="216">
        <f>_xlfn.XLOOKUP(表格3_5[[#This Row],[Name]],Name_list[Full Name],Name_list[Nick Name])</f>
        <v>0</v>
      </c>
      <c r="H1131" s="207"/>
      <c r="I1131" s="228"/>
      <c r="J1131" s="218"/>
      <c r="K1131" s="205"/>
      <c r="L1131" s="210">
        <f>(表格3_5[[#This Row],[Out-Time]] - 表格3_5[[#This Row],[In-Time]])*24</f>
        <v>0</v>
      </c>
      <c r="M1131" s="210">
        <f>表格3_5[[#This Row],[ Hours]]-表格3_5[[#This Row],[Normal working
 hours]]</f>
        <v>0</v>
      </c>
      <c r="N1131" s="205"/>
      <c r="O1131" s="205"/>
      <c r="P1131" s="210">
        <f>(表格3_5[[#This Row],[Out-Time2]] - 表格3_5[[#This Row],[In-Time2]])*24</f>
        <v>0</v>
      </c>
      <c r="Q1131" s="205"/>
      <c r="R1131" s="214">
        <f>_xlfn.XLOOKUP(表格3_5[[#This Row],[Name]],Name_list[Full Name],Name_list[Hourr Rate])</f>
        <v>0</v>
      </c>
      <c r="S1131" s="210">
        <f>表格3_5[[#This Row],[Hours Worked]]*表格3_5[[#This Row],[Hourly Rate]]</f>
        <v>0</v>
      </c>
    </row>
    <row r="1132" spans="1:19">
      <c r="A1132" s="201">
        <v>1130</v>
      </c>
      <c r="B1132" s="210" t="str">
        <f>_xlfn.CONCAT(表格3_5[[#This Row],[Name]],表格3_5[[#This Row],[Location]])</f>
        <v/>
      </c>
      <c r="C1132" s="211" t="str">
        <f>表格3_5[[#This Row],[Location]] &amp; 表格3_5[[#This Row],[Date]] &amp;表格3_5[[#This Row],[Nick Name]]</f>
        <v>0</v>
      </c>
      <c r="D1132" s="202"/>
      <c r="E1132" s="211" t="str">
        <f>DAY(表格3_5[[#This Row],[Date]])&amp;""</f>
        <v>0</v>
      </c>
      <c r="F1132" s="203"/>
      <c r="G1132" s="216">
        <f>_xlfn.XLOOKUP(表格3_5[[#This Row],[Name]],Name_list[Full Name],Name_list[Nick Name])</f>
        <v>0</v>
      </c>
      <c r="H1132" s="207"/>
      <c r="I1132" s="228"/>
      <c r="J1132" s="218"/>
      <c r="K1132" s="205"/>
      <c r="L1132" s="210">
        <f>(表格3_5[[#This Row],[Out-Time]] - 表格3_5[[#This Row],[In-Time]])*24</f>
        <v>0</v>
      </c>
      <c r="M1132" s="210">
        <f>表格3_5[[#This Row],[ Hours]]-表格3_5[[#This Row],[Normal working
 hours]]</f>
        <v>0</v>
      </c>
      <c r="N1132" s="205"/>
      <c r="O1132" s="205"/>
      <c r="P1132" s="210">
        <f>(表格3_5[[#This Row],[Out-Time2]] - 表格3_5[[#This Row],[In-Time2]])*24</f>
        <v>0</v>
      </c>
      <c r="Q1132" s="205"/>
      <c r="R1132" s="214">
        <f>_xlfn.XLOOKUP(表格3_5[[#This Row],[Name]],Name_list[Full Name],Name_list[Hourr Rate])</f>
        <v>0</v>
      </c>
      <c r="S1132" s="210">
        <f>表格3_5[[#This Row],[Hours Worked]]*表格3_5[[#This Row],[Hourly Rate]]</f>
        <v>0</v>
      </c>
    </row>
    <row r="1133" spans="1:19">
      <c r="A1133" s="201">
        <v>1131</v>
      </c>
      <c r="B1133" s="210" t="str">
        <f>_xlfn.CONCAT(表格3_5[[#This Row],[Name]],表格3_5[[#This Row],[Location]])</f>
        <v/>
      </c>
      <c r="C1133" s="211" t="str">
        <f>表格3_5[[#This Row],[Location]] &amp; 表格3_5[[#This Row],[Date]] &amp;表格3_5[[#This Row],[Nick Name]]</f>
        <v>0</v>
      </c>
      <c r="D1133" s="202"/>
      <c r="E1133" s="211" t="str">
        <f>DAY(表格3_5[[#This Row],[Date]])&amp;""</f>
        <v>0</v>
      </c>
      <c r="F1133" s="203"/>
      <c r="G1133" s="216">
        <f>_xlfn.XLOOKUP(表格3_5[[#This Row],[Name]],Name_list[Full Name],Name_list[Nick Name])</f>
        <v>0</v>
      </c>
      <c r="H1133" s="207"/>
      <c r="I1133" s="228"/>
      <c r="J1133" s="218"/>
      <c r="K1133" s="205"/>
      <c r="L1133" s="210">
        <f>(表格3_5[[#This Row],[Out-Time]] - 表格3_5[[#This Row],[In-Time]])*24</f>
        <v>0</v>
      </c>
      <c r="M1133" s="210">
        <f>表格3_5[[#This Row],[ Hours]]-表格3_5[[#This Row],[Normal working
 hours]]</f>
        <v>0</v>
      </c>
      <c r="N1133" s="205"/>
      <c r="O1133" s="205"/>
      <c r="P1133" s="210">
        <f>(表格3_5[[#This Row],[Out-Time2]] - 表格3_5[[#This Row],[In-Time2]])*24</f>
        <v>0</v>
      </c>
      <c r="Q1133" s="205"/>
      <c r="R1133" s="214">
        <f>_xlfn.XLOOKUP(表格3_5[[#This Row],[Name]],Name_list[Full Name],Name_list[Hourr Rate])</f>
        <v>0</v>
      </c>
      <c r="S1133" s="210">
        <f>表格3_5[[#This Row],[Hours Worked]]*表格3_5[[#This Row],[Hourly Rate]]</f>
        <v>0</v>
      </c>
    </row>
    <row r="1134" spans="1:19">
      <c r="A1134" s="201">
        <v>1132</v>
      </c>
      <c r="B1134" s="210" t="str">
        <f>_xlfn.CONCAT(表格3_5[[#This Row],[Name]],表格3_5[[#This Row],[Location]])</f>
        <v/>
      </c>
      <c r="C1134" s="211" t="str">
        <f>表格3_5[[#This Row],[Location]] &amp; 表格3_5[[#This Row],[Date]] &amp;表格3_5[[#This Row],[Nick Name]]</f>
        <v>0</v>
      </c>
      <c r="D1134" s="202"/>
      <c r="E1134" s="211" t="str">
        <f>DAY(表格3_5[[#This Row],[Date]])&amp;""</f>
        <v>0</v>
      </c>
      <c r="F1134" s="203"/>
      <c r="G1134" s="216">
        <f>_xlfn.XLOOKUP(表格3_5[[#This Row],[Name]],Name_list[Full Name],Name_list[Nick Name])</f>
        <v>0</v>
      </c>
      <c r="H1134" s="207"/>
      <c r="I1134" s="228"/>
      <c r="J1134" s="218"/>
      <c r="K1134" s="205"/>
      <c r="L1134" s="210">
        <f>(表格3_5[[#This Row],[Out-Time]] - 表格3_5[[#This Row],[In-Time]])*24</f>
        <v>0</v>
      </c>
      <c r="M1134" s="210">
        <f>表格3_5[[#This Row],[ Hours]]-表格3_5[[#This Row],[Normal working
 hours]]</f>
        <v>0</v>
      </c>
      <c r="N1134" s="205"/>
      <c r="O1134" s="205"/>
      <c r="P1134" s="210">
        <f>(表格3_5[[#This Row],[Out-Time2]] - 表格3_5[[#This Row],[In-Time2]])*24</f>
        <v>0</v>
      </c>
      <c r="Q1134" s="205"/>
      <c r="R1134" s="214">
        <f>_xlfn.XLOOKUP(表格3_5[[#This Row],[Name]],Name_list[Full Name],Name_list[Hourr Rate])</f>
        <v>0</v>
      </c>
      <c r="S1134" s="210">
        <f>表格3_5[[#This Row],[Hours Worked]]*表格3_5[[#This Row],[Hourly Rate]]</f>
        <v>0</v>
      </c>
    </row>
    <row r="1135" spans="1:19">
      <c r="A1135" s="201">
        <v>1133</v>
      </c>
      <c r="B1135" s="210" t="str">
        <f>_xlfn.CONCAT(表格3_5[[#This Row],[Name]],表格3_5[[#This Row],[Location]])</f>
        <v/>
      </c>
      <c r="C1135" s="211" t="str">
        <f>表格3_5[[#This Row],[Location]] &amp; 表格3_5[[#This Row],[Date]] &amp;表格3_5[[#This Row],[Nick Name]]</f>
        <v>0</v>
      </c>
      <c r="D1135" s="202"/>
      <c r="E1135" s="211" t="str">
        <f>DAY(表格3_5[[#This Row],[Date]])&amp;""</f>
        <v>0</v>
      </c>
      <c r="F1135" s="203"/>
      <c r="G1135" s="216">
        <f>_xlfn.XLOOKUP(表格3_5[[#This Row],[Name]],Name_list[Full Name],Name_list[Nick Name])</f>
        <v>0</v>
      </c>
      <c r="H1135" s="207"/>
      <c r="I1135" s="228"/>
      <c r="J1135" s="218"/>
      <c r="K1135" s="205"/>
      <c r="L1135" s="210">
        <f>(表格3_5[[#This Row],[Out-Time]] - 表格3_5[[#This Row],[In-Time]])*24</f>
        <v>0</v>
      </c>
      <c r="M1135" s="210">
        <f>表格3_5[[#This Row],[ Hours]]-表格3_5[[#This Row],[Normal working
 hours]]</f>
        <v>0</v>
      </c>
      <c r="N1135" s="205"/>
      <c r="O1135" s="205"/>
      <c r="P1135" s="210">
        <f>(表格3_5[[#This Row],[Out-Time2]] - 表格3_5[[#This Row],[In-Time2]])*24</f>
        <v>0</v>
      </c>
      <c r="Q1135" s="205"/>
      <c r="R1135" s="214">
        <f>_xlfn.XLOOKUP(表格3_5[[#This Row],[Name]],Name_list[Full Name],Name_list[Hourr Rate])</f>
        <v>0</v>
      </c>
      <c r="S1135" s="210">
        <f>表格3_5[[#This Row],[Hours Worked]]*表格3_5[[#This Row],[Hourly Rate]]</f>
        <v>0</v>
      </c>
    </row>
    <row r="1136" spans="1:19">
      <c r="A1136" s="201">
        <v>1134</v>
      </c>
      <c r="B1136" s="210" t="str">
        <f>_xlfn.CONCAT(表格3_5[[#This Row],[Name]],表格3_5[[#This Row],[Location]])</f>
        <v/>
      </c>
      <c r="C1136" s="211" t="str">
        <f>表格3_5[[#This Row],[Location]] &amp; 表格3_5[[#This Row],[Date]] &amp;表格3_5[[#This Row],[Nick Name]]</f>
        <v>0</v>
      </c>
      <c r="D1136" s="202"/>
      <c r="E1136" s="211" t="str">
        <f>DAY(表格3_5[[#This Row],[Date]])&amp;""</f>
        <v>0</v>
      </c>
      <c r="F1136" s="203"/>
      <c r="G1136" s="216">
        <f>_xlfn.XLOOKUP(表格3_5[[#This Row],[Name]],Name_list[Full Name],Name_list[Nick Name])</f>
        <v>0</v>
      </c>
      <c r="H1136" s="207"/>
      <c r="I1136" s="228"/>
      <c r="J1136" s="218"/>
      <c r="K1136" s="205"/>
      <c r="L1136" s="210">
        <f>(表格3_5[[#This Row],[Out-Time]] - 表格3_5[[#This Row],[In-Time]])*24</f>
        <v>0</v>
      </c>
      <c r="M1136" s="210">
        <f>表格3_5[[#This Row],[ Hours]]-表格3_5[[#This Row],[Normal working
 hours]]</f>
        <v>0</v>
      </c>
      <c r="N1136" s="205"/>
      <c r="O1136" s="205"/>
      <c r="P1136" s="210">
        <f>(表格3_5[[#This Row],[Out-Time2]] - 表格3_5[[#This Row],[In-Time2]])*24</f>
        <v>0</v>
      </c>
      <c r="Q1136" s="205"/>
      <c r="R1136" s="214">
        <f>_xlfn.XLOOKUP(表格3_5[[#This Row],[Name]],Name_list[Full Name],Name_list[Hourr Rate])</f>
        <v>0</v>
      </c>
      <c r="S1136" s="210">
        <f>表格3_5[[#This Row],[Hours Worked]]*表格3_5[[#This Row],[Hourly Rate]]</f>
        <v>0</v>
      </c>
    </row>
    <row r="1137" spans="1:19">
      <c r="A1137" s="201">
        <v>1135</v>
      </c>
      <c r="B1137" s="210" t="str">
        <f>_xlfn.CONCAT(表格3_5[[#This Row],[Name]],表格3_5[[#This Row],[Location]])</f>
        <v/>
      </c>
      <c r="C1137" s="211" t="str">
        <f>表格3_5[[#This Row],[Location]] &amp; 表格3_5[[#This Row],[Date]] &amp;表格3_5[[#This Row],[Nick Name]]</f>
        <v>0</v>
      </c>
      <c r="D1137" s="202"/>
      <c r="E1137" s="211" t="str">
        <f>DAY(表格3_5[[#This Row],[Date]])&amp;""</f>
        <v>0</v>
      </c>
      <c r="F1137" s="203"/>
      <c r="G1137" s="216">
        <f>_xlfn.XLOOKUP(表格3_5[[#This Row],[Name]],Name_list[Full Name],Name_list[Nick Name])</f>
        <v>0</v>
      </c>
      <c r="H1137" s="207"/>
      <c r="I1137" s="228"/>
      <c r="J1137" s="218"/>
      <c r="K1137" s="205"/>
      <c r="L1137" s="210">
        <f>(表格3_5[[#This Row],[Out-Time]] - 表格3_5[[#This Row],[In-Time]])*24</f>
        <v>0</v>
      </c>
      <c r="M1137" s="210">
        <f>表格3_5[[#This Row],[ Hours]]-表格3_5[[#This Row],[Normal working
 hours]]</f>
        <v>0</v>
      </c>
      <c r="N1137" s="205"/>
      <c r="O1137" s="205"/>
      <c r="P1137" s="210">
        <f>(表格3_5[[#This Row],[Out-Time2]] - 表格3_5[[#This Row],[In-Time2]])*24</f>
        <v>0</v>
      </c>
      <c r="Q1137" s="205"/>
      <c r="R1137" s="214">
        <f>_xlfn.XLOOKUP(表格3_5[[#This Row],[Name]],Name_list[Full Name],Name_list[Hourr Rate])</f>
        <v>0</v>
      </c>
      <c r="S1137" s="210">
        <f>表格3_5[[#This Row],[Hours Worked]]*表格3_5[[#This Row],[Hourly Rate]]</f>
        <v>0</v>
      </c>
    </row>
    <row r="1138" spans="1:19">
      <c r="A1138" s="201">
        <v>1136</v>
      </c>
      <c r="B1138" s="210" t="str">
        <f>_xlfn.CONCAT(表格3_5[[#This Row],[Name]],表格3_5[[#This Row],[Location]])</f>
        <v/>
      </c>
      <c r="C1138" s="211" t="str">
        <f>表格3_5[[#This Row],[Location]] &amp; 表格3_5[[#This Row],[Date]] &amp;表格3_5[[#This Row],[Nick Name]]</f>
        <v>0</v>
      </c>
      <c r="D1138" s="202"/>
      <c r="E1138" s="211" t="str">
        <f>DAY(表格3_5[[#This Row],[Date]])&amp;""</f>
        <v>0</v>
      </c>
      <c r="F1138" s="203"/>
      <c r="G1138" s="216">
        <f>_xlfn.XLOOKUP(表格3_5[[#This Row],[Name]],Name_list[Full Name],Name_list[Nick Name])</f>
        <v>0</v>
      </c>
      <c r="H1138" s="207"/>
      <c r="I1138" s="228"/>
      <c r="J1138" s="218"/>
      <c r="K1138" s="205"/>
      <c r="L1138" s="210">
        <f>(表格3_5[[#This Row],[Out-Time]] - 表格3_5[[#This Row],[In-Time]])*24</f>
        <v>0</v>
      </c>
      <c r="M1138" s="210">
        <f>表格3_5[[#This Row],[ Hours]]-表格3_5[[#This Row],[Normal working
 hours]]</f>
        <v>0</v>
      </c>
      <c r="N1138" s="205"/>
      <c r="O1138" s="205"/>
      <c r="P1138" s="210">
        <f>(表格3_5[[#This Row],[Out-Time2]] - 表格3_5[[#This Row],[In-Time2]])*24</f>
        <v>0</v>
      </c>
      <c r="Q1138" s="205"/>
      <c r="R1138" s="214">
        <f>_xlfn.XLOOKUP(表格3_5[[#This Row],[Name]],Name_list[Full Name],Name_list[Hourr Rate])</f>
        <v>0</v>
      </c>
      <c r="S1138" s="210">
        <f>表格3_5[[#This Row],[Hours Worked]]*表格3_5[[#This Row],[Hourly Rate]]</f>
        <v>0</v>
      </c>
    </row>
    <row r="1139" spans="1:19">
      <c r="A1139" s="201">
        <v>1137</v>
      </c>
      <c r="B1139" s="210" t="str">
        <f>_xlfn.CONCAT(表格3_5[[#This Row],[Name]],表格3_5[[#This Row],[Location]])</f>
        <v/>
      </c>
      <c r="C1139" s="211" t="str">
        <f>表格3_5[[#This Row],[Location]] &amp; 表格3_5[[#This Row],[Date]] &amp;表格3_5[[#This Row],[Nick Name]]</f>
        <v>0</v>
      </c>
      <c r="D1139" s="202"/>
      <c r="E1139" s="211" t="str">
        <f>DAY(表格3_5[[#This Row],[Date]])&amp;""</f>
        <v>0</v>
      </c>
      <c r="F1139" s="203"/>
      <c r="G1139" s="216">
        <f>_xlfn.XLOOKUP(表格3_5[[#This Row],[Name]],Name_list[Full Name],Name_list[Nick Name])</f>
        <v>0</v>
      </c>
      <c r="H1139" s="207"/>
      <c r="I1139" s="228"/>
      <c r="J1139" s="218"/>
      <c r="K1139" s="205"/>
      <c r="L1139" s="210">
        <f>(表格3_5[[#This Row],[Out-Time]] - 表格3_5[[#This Row],[In-Time]])*24</f>
        <v>0</v>
      </c>
      <c r="M1139" s="210">
        <f>表格3_5[[#This Row],[ Hours]]-表格3_5[[#This Row],[Normal working
 hours]]</f>
        <v>0</v>
      </c>
      <c r="N1139" s="205"/>
      <c r="O1139" s="205"/>
      <c r="P1139" s="210">
        <f>(表格3_5[[#This Row],[Out-Time2]] - 表格3_5[[#This Row],[In-Time2]])*24</f>
        <v>0</v>
      </c>
      <c r="Q1139" s="205"/>
      <c r="R1139" s="214">
        <f>_xlfn.XLOOKUP(表格3_5[[#This Row],[Name]],Name_list[Full Name],Name_list[Hourr Rate])</f>
        <v>0</v>
      </c>
      <c r="S1139" s="210">
        <f>表格3_5[[#This Row],[Hours Worked]]*表格3_5[[#This Row],[Hourly Rate]]</f>
        <v>0</v>
      </c>
    </row>
    <row r="1140" spans="1:19">
      <c r="A1140" s="201">
        <v>1138</v>
      </c>
      <c r="B1140" s="210" t="str">
        <f>_xlfn.CONCAT(表格3_5[[#This Row],[Name]],表格3_5[[#This Row],[Location]])</f>
        <v/>
      </c>
      <c r="C1140" s="211" t="str">
        <f>表格3_5[[#This Row],[Location]] &amp; 表格3_5[[#This Row],[Date]] &amp;表格3_5[[#This Row],[Nick Name]]</f>
        <v>0</v>
      </c>
      <c r="D1140" s="202"/>
      <c r="E1140" s="211" t="str">
        <f>DAY(表格3_5[[#This Row],[Date]])&amp;""</f>
        <v>0</v>
      </c>
      <c r="F1140" s="203"/>
      <c r="G1140" s="216">
        <f>_xlfn.XLOOKUP(表格3_5[[#This Row],[Name]],Name_list[Full Name],Name_list[Nick Name])</f>
        <v>0</v>
      </c>
      <c r="H1140" s="207"/>
      <c r="I1140" s="228"/>
      <c r="J1140" s="218"/>
      <c r="K1140" s="205"/>
      <c r="L1140" s="210">
        <f>(表格3_5[[#This Row],[Out-Time]] - 表格3_5[[#This Row],[In-Time]])*24</f>
        <v>0</v>
      </c>
      <c r="M1140" s="210">
        <f>表格3_5[[#This Row],[ Hours]]-表格3_5[[#This Row],[Normal working
 hours]]</f>
        <v>0</v>
      </c>
      <c r="N1140" s="205"/>
      <c r="O1140" s="205"/>
      <c r="P1140" s="210">
        <f>(表格3_5[[#This Row],[Out-Time2]] - 表格3_5[[#This Row],[In-Time2]])*24</f>
        <v>0</v>
      </c>
      <c r="Q1140" s="205"/>
      <c r="R1140" s="214">
        <f>_xlfn.XLOOKUP(表格3_5[[#This Row],[Name]],Name_list[Full Name],Name_list[Hourr Rate])</f>
        <v>0</v>
      </c>
      <c r="S1140" s="210">
        <f>表格3_5[[#This Row],[Hours Worked]]*表格3_5[[#This Row],[Hourly Rate]]</f>
        <v>0</v>
      </c>
    </row>
    <row r="1141" spans="1:19">
      <c r="A1141" s="201">
        <v>1139</v>
      </c>
      <c r="B1141" s="210" t="str">
        <f>_xlfn.CONCAT(表格3_5[[#This Row],[Name]],表格3_5[[#This Row],[Location]])</f>
        <v/>
      </c>
      <c r="C1141" s="211" t="str">
        <f>表格3_5[[#This Row],[Location]] &amp; 表格3_5[[#This Row],[Date]] &amp;表格3_5[[#This Row],[Nick Name]]</f>
        <v>0</v>
      </c>
      <c r="D1141" s="202"/>
      <c r="E1141" s="211" t="str">
        <f>DAY(表格3_5[[#This Row],[Date]])&amp;""</f>
        <v>0</v>
      </c>
      <c r="F1141" s="203"/>
      <c r="G1141" s="216">
        <f>_xlfn.XLOOKUP(表格3_5[[#This Row],[Name]],Name_list[Full Name],Name_list[Nick Name])</f>
        <v>0</v>
      </c>
      <c r="H1141" s="207"/>
      <c r="I1141" s="228"/>
      <c r="J1141" s="218"/>
      <c r="K1141" s="205"/>
      <c r="L1141" s="210">
        <f>(表格3_5[[#This Row],[Out-Time]] - 表格3_5[[#This Row],[In-Time]])*24</f>
        <v>0</v>
      </c>
      <c r="M1141" s="210">
        <f>表格3_5[[#This Row],[ Hours]]-表格3_5[[#This Row],[Normal working
 hours]]</f>
        <v>0</v>
      </c>
      <c r="N1141" s="205"/>
      <c r="O1141" s="205"/>
      <c r="P1141" s="210">
        <f>(表格3_5[[#This Row],[Out-Time2]] - 表格3_5[[#This Row],[In-Time2]])*24</f>
        <v>0</v>
      </c>
      <c r="Q1141" s="205"/>
      <c r="R1141" s="214">
        <f>_xlfn.XLOOKUP(表格3_5[[#This Row],[Name]],Name_list[Full Name],Name_list[Hourr Rate])</f>
        <v>0</v>
      </c>
      <c r="S1141" s="210">
        <f>表格3_5[[#This Row],[Hours Worked]]*表格3_5[[#This Row],[Hourly Rate]]</f>
        <v>0</v>
      </c>
    </row>
    <row r="1142" spans="1:19">
      <c r="A1142" s="201">
        <v>1140</v>
      </c>
      <c r="B1142" s="210" t="str">
        <f>_xlfn.CONCAT(表格3_5[[#This Row],[Name]],表格3_5[[#This Row],[Location]])</f>
        <v/>
      </c>
      <c r="C1142" s="211" t="str">
        <f>表格3_5[[#This Row],[Location]] &amp; 表格3_5[[#This Row],[Date]] &amp;表格3_5[[#This Row],[Nick Name]]</f>
        <v>0</v>
      </c>
      <c r="D1142" s="202"/>
      <c r="E1142" s="211" t="str">
        <f>DAY(表格3_5[[#This Row],[Date]])&amp;""</f>
        <v>0</v>
      </c>
      <c r="F1142" s="203"/>
      <c r="G1142" s="216">
        <f>_xlfn.XLOOKUP(表格3_5[[#This Row],[Name]],Name_list[Full Name],Name_list[Nick Name])</f>
        <v>0</v>
      </c>
      <c r="H1142" s="207"/>
      <c r="I1142" s="228"/>
      <c r="J1142" s="218"/>
      <c r="K1142" s="205"/>
      <c r="L1142" s="210">
        <f>(表格3_5[[#This Row],[Out-Time]] - 表格3_5[[#This Row],[In-Time]])*24</f>
        <v>0</v>
      </c>
      <c r="M1142" s="210">
        <f>表格3_5[[#This Row],[ Hours]]-表格3_5[[#This Row],[Normal working
 hours]]</f>
        <v>0</v>
      </c>
      <c r="N1142" s="205"/>
      <c r="O1142" s="205"/>
      <c r="P1142" s="210">
        <f>(表格3_5[[#This Row],[Out-Time2]] - 表格3_5[[#This Row],[In-Time2]])*24</f>
        <v>0</v>
      </c>
      <c r="Q1142" s="205"/>
      <c r="R1142" s="214">
        <f>_xlfn.XLOOKUP(表格3_5[[#This Row],[Name]],Name_list[Full Name],Name_list[Hourr Rate])</f>
        <v>0</v>
      </c>
      <c r="S1142" s="210">
        <f>表格3_5[[#This Row],[Hours Worked]]*表格3_5[[#This Row],[Hourly Rate]]</f>
        <v>0</v>
      </c>
    </row>
    <row r="1143" spans="1:19">
      <c r="A1143" s="201">
        <v>1141</v>
      </c>
      <c r="B1143" s="210" t="str">
        <f>_xlfn.CONCAT(表格3_5[[#This Row],[Name]],表格3_5[[#This Row],[Location]])</f>
        <v/>
      </c>
      <c r="C1143" s="211" t="str">
        <f>表格3_5[[#This Row],[Location]] &amp; 表格3_5[[#This Row],[Date]] &amp;表格3_5[[#This Row],[Nick Name]]</f>
        <v>0</v>
      </c>
      <c r="D1143" s="202"/>
      <c r="E1143" s="211" t="str">
        <f>DAY(表格3_5[[#This Row],[Date]])&amp;""</f>
        <v>0</v>
      </c>
      <c r="F1143" s="203"/>
      <c r="G1143" s="216">
        <f>_xlfn.XLOOKUP(表格3_5[[#This Row],[Name]],Name_list[Full Name],Name_list[Nick Name])</f>
        <v>0</v>
      </c>
      <c r="H1143" s="207"/>
      <c r="I1143" s="228"/>
      <c r="J1143" s="218"/>
      <c r="K1143" s="205"/>
      <c r="L1143" s="210">
        <f>(表格3_5[[#This Row],[Out-Time]] - 表格3_5[[#This Row],[In-Time]])*24</f>
        <v>0</v>
      </c>
      <c r="M1143" s="210">
        <f>表格3_5[[#This Row],[ Hours]]-表格3_5[[#This Row],[Normal working
 hours]]</f>
        <v>0</v>
      </c>
      <c r="N1143" s="205"/>
      <c r="O1143" s="205"/>
      <c r="P1143" s="210">
        <f>(表格3_5[[#This Row],[Out-Time2]] - 表格3_5[[#This Row],[In-Time2]])*24</f>
        <v>0</v>
      </c>
      <c r="Q1143" s="205"/>
      <c r="R1143" s="214">
        <f>_xlfn.XLOOKUP(表格3_5[[#This Row],[Name]],Name_list[Full Name],Name_list[Hourr Rate])</f>
        <v>0</v>
      </c>
      <c r="S1143" s="210">
        <f>表格3_5[[#This Row],[Hours Worked]]*表格3_5[[#This Row],[Hourly Rate]]</f>
        <v>0</v>
      </c>
    </row>
    <row r="1144" spans="1:19">
      <c r="A1144" s="201">
        <v>1142</v>
      </c>
      <c r="B1144" s="210" t="str">
        <f>_xlfn.CONCAT(表格3_5[[#This Row],[Name]],表格3_5[[#This Row],[Location]])</f>
        <v/>
      </c>
      <c r="C1144" s="211" t="str">
        <f>表格3_5[[#This Row],[Location]] &amp; 表格3_5[[#This Row],[Date]] &amp;表格3_5[[#This Row],[Nick Name]]</f>
        <v>0</v>
      </c>
      <c r="D1144" s="202"/>
      <c r="E1144" s="211" t="str">
        <f>DAY(表格3_5[[#This Row],[Date]])&amp;""</f>
        <v>0</v>
      </c>
      <c r="F1144" s="203"/>
      <c r="G1144" s="216">
        <f>_xlfn.XLOOKUP(表格3_5[[#This Row],[Name]],Name_list[Full Name],Name_list[Nick Name])</f>
        <v>0</v>
      </c>
      <c r="H1144" s="207"/>
      <c r="I1144" s="228"/>
      <c r="J1144" s="218"/>
      <c r="K1144" s="205"/>
      <c r="L1144" s="210">
        <f>(表格3_5[[#This Row],[Out-Time]] - 表格3_5[[#This Row],[In-Time]])*24</f>
        <v>0</v>
      </c>
      <c r="M1144" s="210">
        <f>表格3_5[[#This Row],[ Hours]]-表格3_5[[#This Row],[Normal working
 hours]]</f>
        <v>0</v>
      </c>
      <c r="N1144" s="205"/>
      <c r="O1144" s="205"/>
      <c r="P1144" s="210">
        <f>(表格3_5[[#This Row],[Out-Time2]] - 表格3_5[[#This Row],[In-Time2]])*24</f>
        <v>0</v>
      </c>
      <c r="Q1144" s="205"/>
      <c r="R1144" s="214">
        <f>_xlfn.XLOOKUP(表格3_5[[#This Row],[Name]],Name_list[Full Name],Name_list[Hourr Rate])</f>
        <v>0</v>
      </c>
      <c r="S1144" s="210">
        <f>表格3_5[[#This Row],[Hours Worked]]*表格3_5[[#This Row],[Hourly Rate]]</f>
        <v>0</v>
      </c>
    </row>
    <row r="1145" spans="1:19">
      <c r="A1145" s="201">
        <v>1143</v>
      </c>
      <c r="B1145" s="210" t="str">
        <f>_xlfn.CONCAT(表格3_5[[#This Row],[Name]],表格3_5[[#This Row],[Location]])</f>
        <v/>
      </c>
      <c r="C1145" s="211" t="str">
        <f>表格3_5[[#This Row],[Location]] &amp; 表格3_5[[#This Row],[Date]] &amp;表格3_5[[#This Row],[Nick Name]]</f>
        <v>0</v>
      </c>
      <c r="D1145" s="202"/>
      <c r="E1145" s="211" t="str">
        <f>DAY(表格3_5[[#This Row],[Date]])&amp;""</f>
        <v>0</v>
      </c>
      <c r="F1145" s="203"/>
      <c r="G1145" s="216">
        <f>_xlfn.XLOOKUP(表格3_5[[#This Row],[Name]],Name_list[Full Name],Name_list[Nick Name])</f>
        <v>0</v>
      </c>
      <c r="H1145" s="207"/>
      <c r="I1145" s="228"/>
      <c r="J1145" s="218"/>
      <c r="K1145" s="205"/>
      <c r="L1145" s="210">
        <f>(表格3_5[[#This Row],[Out-Time]] - 表格3_5[[#This Row],[In-Time]])*24</f>
        <v>0</v>
      </c>
      <c r="M1145" s="210">
        <f>表格3_5[[#This Row],[ Hours]]-表格3_5[[#This Row],[Normal working
 hours]]</f>
        <v>0</v>
      </c>
      <c r="N1145" s="205"/>
      <c r="O1145" s="205"/>
      <c r="P1145" s="210">
        <f>(表格3_5[[#This Row],[Out-Time2]] - 表格3_5[[#This Row],[In-Time2]])*24</f>
        <v>0</v>
      </c>
      <c r="Q1145" s="205"/>
      <c r="R1145" s="214">
        <f>_xlfn.XLOOKUP(表格3_5[[#This Row],[Name]],Name_list[Full Name],Name_list[Hourr Rate])</f>
        <v>0</v>
      </c>
      <c r="S1145" s="210">
        <f>表格3_5[[#This Row],[Hours Worked]]*表格3_5[[#This Row],[Hourly Rate]]</f>
        <v>0</v>
      </c>
    </row>
    <row r="1146" spans="1:19">
      <c r="A1146" s="201">
        <v>1144</v>
      </c>
      <c r="B1146" s="210" t="str">
        <f>_xlfn.CONCAT(表格3_5[[#This Row],[Name]],表格3_5[[#This Row],[Location]])</f>
        <v/>
      </c>
      <c r="C1146" s="211" t="str">
        <f>表格3_5[[#This Row],[Location]] &amp; 表格3_5[[#This Row],[Date]] &amp;表格3_5[[#This Row],[Nick Name]]</f>
        <v>0</v>
      </c>
      <c r="D1146" s="202"/>
      <c r="E1146" s="211" t="str">
        <f>DAY(表格3_5[[#This Row],[Date]])&amp;""</f>
        <v>0</v>
      </c>
      <c r="F1146" s="203"/>
      <c r="G1146" s="216">
        <f>_xlfn.XLOOKUP(表格3_5[[#This Row],[Name]],Name_list[Full Name],Name_list[Nick Name])</f>
        <v>0</v>
      </c>
      <c r="H1146" s="207"/>
      <c r="I1146" s="228"/>
      <c r="J1146" s="218"/>
      <c r="K1146" s="205"/>
      <c r="L1146" s="210">
        <f>(表格3_5[[#This Row],[Out-Time]] - 表格3_5[[#This Row],[In-Time]])*24</f>
        <v>0</v>
      </c>
      <c r="M1146" s="210">
        <f>表格3_5[[#This Row],[ Hours]]-表格3_5[[#This Row],[Normal working
 hours]]</f>
        <v>0</v>
      </c>
      <c r="N1146" s="205"/>
      <c r="O1146" s="205"/>
      <c r="P1146" s="210">
        <f>(表格3_5[[#This Row],[Out-Time2]] - 表格3_5[[#This Row],[In-Time2]])*24</f>
        <v>0</v>
      </c>
      <c r="Q1146" s="205"/>
      <c r="R1146" s="214">
        <f>_xlfn.XLOOKUP(表格3_5[[#This Row],[Name]],Name_list[Full Name],Name_list[Hourr Rate])</f>
        <v>0</v>
      </c>
      <c r="S1146" s="210">
        <f>表格3_5[[#This Row],[Hours Worked]]*表格3_5[[#This Row],[Hourly Rate]]</f>
        <v>0</v>
      </c>
    </row>
    <row r="1147" spans="1:19">
      <c r="A1147" s="201">
        <v>1145</v>
      </c>
      <c r="B1147" s="210" t="str">
        <f>_xlfn.CONCAT(表格3_5[[#This Row],[Name]],表格3_5[[#This Row],[Location]])</f>
        <v/>
      </c>
      <c r="C1147" s="211" t="str">
        <f>表格3_5[[#This Row],[Location]] &amp; 表格3_5[[#This Row],[Date]] &amp;表格3_5[[#This Row],[Nick Name]]</f>
        <v>0</v>
      </c>
      <c r="D1147" s="202"/>
      <c r="E1147" s="211" t="str">
        <f>DAY(表格3_5[[#This Row],[Date]])&amp;""</f>
        <v>0</v>
      </c>
      <c r="F1147" s="203"/>
      <c r="G1147" s="216">
        <f>_xlfn.XLOOKUP(表格3_5[[#This Row],[Name]],Name_list[Full Name],Name_list[Nick Name])</f>
        <v>0</v>
      </c>
      <c r="H1147" s="207"/>
      <c r="I1147" s="228"/>
      <c r="J1147" s="218"/>
      <c r="K1147" s="205"/>
      <c r="L1147" s="210">
        <f>(表格3_5[[#This Row],[Out-Time]] - 表格3_5[[#This Row],[In-Time]])*24</f>
        <v>0</v>
      </c>
      <c r="M1147" s="210">
        <f>表格3_5[[#This Row],[ Hours]]-表格3_5[[#This Row],[Normal working
 hours]]</f>
        <v>0</v>
      </c>
      <c r="N1147" s="205"/>
      <c r="O1147" s="205"/>
      <c r="P1147" s="210">
        <f>(表格3_5[[#This Row],[Out-Time2]] - 表格3_5[[#This Row],[In-Time2]])*24</f>
        <v>0</v>
      </c>
      <c r="Q1147" s="205"/>
      <c r="R1147" s="214">
        <f>_xlfn.XLOOKUP(表格3_5[[#This Row],[Name]],Name_list[Full Name],Name_list[Hourr Rate])</f>
        <v>0</v>
      </c>
      <c r="S1147" s="210">
        <f>表格3_5[[#This Row],[Hours Worked]]*表格3_5[[#This Row],[Hourly Rate]]</f>
        <v>0</v>
      </c>
    </row>
    <row r="1148" spans="1:19">
      <c r="A1148" s="201">
        <v>1146</v>
      </c>
      <c r="B1148" s="210" t="str">
        <f>_xlfn.CONCAT(表格3_5[[#This Row],[Name]],表格3_5[[#This Row],[Location]])</f>
        <v/>
      </c>
      <c r="C1148" s="211" t="str">
        <f>表格3_5[[#This Row],[Location]] &amp; 表格3_5[[#This Row],[Date]] &amp;表格3_5[[#This Row],[Nick Name]]</f>
        <v>0</v>
      </c>
      <c r="D1148" s="202"/>
      <c r="E1148" s="211" t="str">
        <f>DAY(表格3_5[[#This Row],[Date]])&amp;""</f>
        <v>0</v>
      </c>
      <c r="F1148" s="203"/>
      <c r="G1148" s="216">
        <f>_xlfn.XLOOKUP(表格3_5[[#This Row],[Name]],Name_list[Full Name],Name_list[Nick Name])</f>
        <v>0</v>
      </c>
      <c r="H1148" s="207"/>
      <c r="I1148" s="228"/>
      <c r="J1148" s="218"/>
      <c r="K1148" s="205"/>
      <c r="L1148" s="210">
        <f>(表格3_5[[#This Row],[Out-Time]] - 表格3_5[[#This Row],[In-Time]])*24</f>
        <v>0</v>
      </c>
      <c r="M1148" s="210">
        <f>表格3_5[[#This Row],[ Hours]]-表格3_5[[#This Row],[Normal working
 hours]]</f>
        <v>0</v>
      </c>
      <c r="N1148" s="205"/>
      <c r="O1148" s="205"/>
      <c r="P1148" s="210">
        <f>(表格3_5[[#This Row],[Out-Time2]] - 表格3_5[[#This Row],[In-Time2]])*24</f>
        <v>0</v>
      </c>
      <c r="Q1148" s="205"/>
      <c r="R1148" s="214">
        <f>_xlfn.XLOOKUP(表格3_5[[#This Row],[Name]],Name_list[Full Name],Name_list[Hourr Rate])</f>
        <v>0</v>
      </c>
      <c r="S1148" s="210">
        <f>表格3_5[[#This Row],[Hours Worked]]*表格3_5[[#This Row],[Hourly Rate]]</f>
        <v>0</v>
      </c>
    </row>
    <row r="1149" spans="1:19">
      <c r="A1149" s="201">
        <v>1147</v>
      </c>
      <c r="B1149" s="210" t="str">
        <f>_xlfn.CONCAT(表格3_5[[#This Row],[Name]],表格3_5[[#This Row],[Location]])</f>
        <v/>
      </c>
      <c r="C1149" s="211" t="str">
        <f>表格3_5[[#This Row],[Location]] &amp; 表格3_5[[#This Row],[Date]] &amp;表格3_5[[#This Row],[Nick Name]]</f>
        <v>0</v>
      </c>
      <c r="D1149" s="202"/>
      <c r="E1149" s="211" t="str">
        <f>DAY(表格3_5[[#This Row],[Date]])&amp;""</f>
        <v>0</v>
      </c>
      <c r="F1149" s="203"/>
      <c r="G1149" s="216">
        <f>_xlfn.XLOOKUP(表格3_5[[#This Row],[Name]],Name_list[Full Name],Name_list[Nick Name])</f>
        <v>0</v>
      </c>
      <c r="H1149" s="207"/>
      <c r="I1149" s="228"/>
      <c r="J1149" s="218"/>
      <c r="K1149" s="205"/>
      <c r="L1149" s="210">
        <f>(表格3_5[[#This Row],[Out-Time]] - 表格3_5[[#This Row],[In-Time]])*24</f>
        <v>0</v>
      </c>
      <c r="M1149" s="210">
        <f>表格3_5[[#This Row],[ Hours]]-表格3_5[[#This Row],[Normal working
 hours]]</f>
        <v>0</v>
      </c>
      <c r="N1149" s="205"/>
      <c r="O1149" s="205"/>
      <c r="P1149" s="210">
        <f>(表格3_5[[#This Row],[Out-Time2]] - 表格3_5[[#This Row],[In-Time2]])*24</f>
        <v>0</v>
      </c>
      <c r="Q1149" s="205"/>
      <c r="R1149" s="214">
        <f>_xlfn.XLOOKUP(表格3_5[[#This Row],[Name]],Name_list[Full Name],Name_list[Hourr Rate])</f>
        <v>0</v>
      </c>
      <c r="S1149" s="210">
        <f>表格3_5[[#This Row],[Hours Worked]]*表格3_5[[#This Row],[Hourly Rate]]</f>
        <v>0</v>
      </c>
    </row>
    <row r="1150" spans="1:19">
      <c r="A1150" s="201">
        <v>1148</v>
      </c>
      <c r="B1150" s="210" t="str">
        <f>_xlfn.CONCAT(表格3_5[[#This Row],[Name]],表格3_5[[#This Row],[Location]])</f>
        <v/>
      </c>
      <c r="C1150" s="211" t="str">
        <f>表格3_5[[#This Row],[Location]] &amp; 表格3_5[[#This Row],[Date]] &amp;表格3_5[[#This Row],[Nick Name]]</f>
        <v>0</v>
      </c>
      <c r="D1150" s="202"/>
      <c r="E1150" s="211" t="str">
        <f>DAY(表格3_5[[#This Row],[Date]])&amp;""</f>
        <v>0</v>
      </c>
      <c r="F1150" s="203"/>
      <c r="G1150" s="216">
        <f>_xlfn.XLOOKUP(表格3_5[[#This Row],[Name]],Name_list[Full Name],Name_list[Nick Name])</f>
        <v>0</v>
      </c>
      <c r="H1150" s="207"/>
      <c r="I1150" s="228"/>
      <c r="J1150" s="218"/>
      <c r="K1150" s="205"/>
      <c r="L1150" s="210">
        <f>(表格3_5[[#This Row],[Out-Time]] - 表格3_5[[#This Row],[In-Time]])*24</f>
        <v>0</v>
      </c>
      <c r="M1150" s="210">
        <f>表格3_5[[#This Row],[ Hours]]-表格3_5[[#This Row],[Normal working
 hours]]</f>
        <v>0</v>
      </c>
      <c r="N1150" s="205"/>
      <c r="O1150" s="205"/>
      <c r="P1150" s="210">
        <f>(表格3_5[[#This Row],[Out-Time2]] - 表格3_5[[#This Row],[In-Time2]])*24</f>
        <v>0</v>
      </c>
      <c r="Q1150" s="205"/>
      <c r="R1150" s="214">
        <f>_xlfn.XLOOKUP(表格3_5[[#This Row],[Name]],Name_list[Full Name],Name_list[Hourr Rate])</f>
        <v>0</v>
      </c>
      <c r="S1150" s="210">
        <f>表格3_5[[#This Row],[Hours Worked]]*表格3_5[[#This Row],[Hourly Rate]]</f>
        <v>0</v>
      </c>
    </row>
    <row r="1151" spans="1:19">
      <c r="A1151" s="201">
        <v>1149</v>
      </c>
      <c r="B1151" s="210" t="str">
        <f>_xlfn.CONCAT(表格3_5[[#This Row],[Name]],表格3_5[[#This Row],[Location]])</f>
        <v/>
      </c>
      <c r="C1151" s="211" t="str">
        <f>表格3_5[[#This Row],[Location]] &amp; 表格3_5[[#This Row],[Date]] &amp;表格3_5[[#This Row],[Nick Name]]</f>
        <v>0</v>
      </c>
      <c r="D1151" s="202"/>
      <c r="E1151" s="211" t="str">
        <f>DAY(表格3_5[[#This Row],[Date]])&amp;""</f>
        <v>0</v>
      </c>
      <c r="F1151" s="203"/>
      <c r="G1151" s="216">
        <f>_xlfn.XLOOKUP(表格3_5[[#This Row],[Name]],Name_list[Full Name],Name_list[Nick Name])</f>
        <v>0</v>
      </c>
      <c r="H1151" s="207"/>
      <c r="I1151" s="228"/>
      <c r="J1151" s="218"/>
      <c r="K1151" s="205"/>
      <c r="L1151" s="210">
        <f>(表格3_5[[#This Row],[Out-Time]] - 表格3_5[[#This Row],[In-Time]])*24</f>
        <v>0</v>
      </c>
      <c r="M1151" s="210">
        <f>表格3_5[[#This Row],[ Hours]]-表格3_5[[#This Row],[Normal working
 hours]]</f>
        <v>0</v>
      </c>
      <c r="N1151" s="205"/>
      <c r="O1151" s="205"/>
      <c r="P1151" s="210">
        <f>(表格3_5[[#This Row],[Out-Time2]] - 表格3_5[[#This Row],[In-Time2]])*24</f>
        <v>0</v>
      </c>
      <c r="Q1151" s="205"/>
      <c r="R1151" s="214">
        <f>_xlfn.XLOOKUP(表格3_5[[#This Row],[Name]],Name_list[Full Name],Name_list[Hourr Rate])</f>
        <v>0</v>
      </c>
      <c r="S1151" s="210">
        <f>表格3_5[[#This Row],[Hours Worked]]*表格3_5[[#This Row],[Hourly Rate]]</f>
        <v>0</v>
      </c>
    </row>
    <row r="1152" spans="1:19">
      <c r="A1152" s="201">
        <v>1150</v>
      </c>
      <c r="B1152" s="210" t="str">
        <f>_xlfn.CONCAT(表格3_5[[#This Row],[Name]],表格3_5[[#This Row],[Location]])</f>
        <v/>
      </c>
      <c r="C1152" s="211" t="str">
        <f>表格3_5[[#This Row],[Location]] &amp; 表格3_5[[#This Row],[Date]] &amp;表格3_5[[#This Row],[Nick Name]]</f>
        <v>0</v>
      </c>
      <c r="D1152" s="202"/>
      <c r="E1152" s="211" t="str">
        <f>DAY(表格3_5[[#This Row],[Date]])&amp;""</f>
        <v>0</v>
      </c>
      <c r="F1152" s="203"/>
      <c r="G1152" s="216">
        <f>_xlfn.XLOOKUP(表格3_5[[#This Row],[Name]],Name_list[Full Name],Name_list[Nick Name])</f>
        <v>0</v>
      </c>
      <c r="H1152" s="207"/>
      <c r="I1152" s="228"/>
      <c r="J1152" s="218"/>
      <c r="K1152" s="205"/>
      <c r="L1152" s="210">
        <f>(表格3_5[[#This Row],[Out-Time]] - 表格3_5[[#This Row],[In-Time]])*24</f>
        <v>0</v>
      </c>
      <c r="M1152" s="210">
        <f>表格3_5[[#This Row],[ Hours]]-表格3_5[[#This Row],[Normal working
 hours]]</f>
        <v>0</v>
      </c>
      <c r="N1152" s="205"/>
      <c r="O1152" s="205"/>
      <c r="P1152" s="210">
        <f>(表格3_5[[#This Row],[Out-Time2]] - 表格3_5[[#This Row],[In-Time2]])*24</f>
        <v>0</v>
      </c>
      <c r="Q1152" s="205"/>
      <c r="R1152" s="214">
        <f>_xlfn.XLOOKUP(表格3_5[[#This Row],[Name]],Name_list[Full Name],Name_list[Hourr Rate])</f>
        <v>0</v>
      </c>
      <c r="S1152" s="210">
        <f>表格3_5[[#This Row],[Hours Worked]]*表格3_5[[#This Row],[Hourly Rate]]</f>
        <v>0</v>
      </c>
    </row>
    <row r="1153" spans="1:19">
      <c r="A1153" s="201">
        <v>1151</v>
      </c>
      <c r="B1153" s="210" t="str">
        <f>_xlfn.CONCAT(表格3_5[[#This Row],[Name]],表格3_5[[#This Row],[Location]])</f>
        <v/>
      </c>
      <c r="C1153" s="211" t="str">
        <f>表格3_5[[#This Row],[Location]] &amp; 表格3_5[[#This Row],[Date]] &amp;表格3_5[[#This Row],[Nick Name]]</f>
        <v>0</v>
      </c>
      <c r="D1153" s="202"/>
      <c r="E1153" s="211" t="str">
        <f>DAY(表格3_5[[#This Row],[Date]])&amp;""</f>
        <v>0</v>
      </c>
      <c r="F1153" s="203"/>
      <c r="G1153" s="216">
        <f>_xlfn.XLOOKUP(表格3_5[[#This Row],[Name]],Name_list[Full Name],Name_list[Nick Name])</f>
        <v>0</v>
      </c>
      <c r="H1153" s="207"/>
      <c r="I1153" s="228"/>
      <c r="J1153" s="218"/>
      <c r="K1153" s="205"/>
      <c r="L1153" s="210">
        <f>(表格3_5[[#This Row],[Out-Time]] - 表格3_5[[#This Row],[In-Time]])*24</f>
        <v>0</v>
      </c>
      <c r="M1153" s="210">
        <f>表格3_5[[#This Row],[ Hours]]-表格3_5[[#This Row],[Normal working
 hours]]</f>
        <v>0</v>
      </c>
      <c r="N1153" s="205"/>
      <c r="O1153" s="205"/>
      <c r="P1153" s="210">
        <f>(表格3_5[[#This Row],[Out-Time2]] - 表格3_5[[#This Row],[In-Time2]])*24</f>
        <v>0</v>
      </c>
      <c r="Q1153" s="205"/>
      <c r="R1153" s="214">
        <f>_xlfn.XLOOKUP(表格3_5[[#This Row],[Name]],Name_list[Full Name],Name_list[Hourr Rate])</f>
        <v>0</v>
      </c>
      <c r="S1153" s="210">
        <f>表格3_5[[#This Row],[Hours Worked]]*表格3_5[[#This Row],[Hourly Rate]]</f>
        <v>0</v>
      </c>
    </row>
    <row r="1154" spans="1:19">
      <c r="A1154" s="201">
        <v>1152</v>
      </c>
      <c r="B1154" s="210" t="str">
        <f>_xlfn.CONCAT(表格3_5[[#This Row],[Name]],表格3_5[[#This Row],[Location]])</f>
        <v/>
      </c>
      <c r="C1154" s="211" t="str">
        <f>表格3_5[[#This Row],[Location]] &amp; 表格3_5[[#This Row],[Date]] &amp;表格3_5[[#This Row],[Nick Name]]</f>
        <v>0</v>
      </c>
      <c r="D1154" s="202"/>
      <c r="E1154" s="211" t="str">
        <f>DAY(表格3_5[[#This Row],[Date]])&amp;""</f>
        <v>0</v>
      </c>
      <c r="F1154" s="203"/>
      <c r="G1154" s="216">
        <f>_xlfn.XLOOKUP(表格3_5[[#This Row],[Name]],Name_list[Full Name],Name_list[Nick Name])</f>
        <v>0</v>
      </c>
      <c r="H1154" s="207"/>
      <c r="I1154" s="228"/>
      <c r="J1154" s="218"/>
      <c r="K1154" s="205"/>
      <c r="L1154" s="210">
        <f>(表格3_5[[#This Row],[Out-Time]] - 表格3_5[[#This Row],[In-Time]])*24</f>
        <v>0</v>
      </c>
      <c r="M1154" s="210">
        <f>表格3_5[[#This Row],[ Hours]]-表格3_5[[#This Row],[Normal working
 hours]]</f>
        <v>0</v>
      </c>
      <c r="N1154" s="205"/>
      <c r="O1154" s="205"/>
      <c r="P1154" s="210">
        <f>(表格3_5[[#This Row],[Out-Time2]] - 表格3_5[[#This Row],[In-Time2]])*24</f>
        <v>0</v>
      </c>
      <c r="Q1154" s="205"/>
      <c r="R1154" s="214">
        <f>_xlfn.XLOOKUP(表格3_5[[#This Row],[Name]],Name_list[Full Name],Name_list[Hourr Rate])</f>
        <v>0</v>
      </c>
      <c r="S1154" s="210">
        <f>表格3_5[[#This Row],[Hours Worked]]*表格3_5[[#This Row],[Hourly Rate]]</f>
        <v>0</v>
      </c>
    </row>
    <row r="1155" spans="1:19">
      <c r="A1155" s="201">
        <v>1153</v>
      </c>
      <c r="B1155" s="210" t="str">
        <f>_xlfn.CONCAT(表格3_5[[#This Row],[Name]],表格3_5[[#This Row],[Location]])</f>
        <v/>
      </c>
      <c r="C1155" s="211" t="str">
        <f>表格3_5[[#This Row],[Location]] &amp; 表格3_5[[#This Row],[Date]] &amp;表格3_5[[#This Row],[Nick Name]]</f>
        <v>0</v>
      </c>
      <c r="D1155" s="202"/>
      <c r="E1155" s="211" t="str">
        <f>DAY(表格3_5[[#This Row],[Date]])&amp;""</f>
        <v>0</v>
      </c>
      <c r="F1155" s="203"/>
      <c r="G1155" s="216">
        <f>_xlfn.XLOOKUP(表格3_5[[#This Row],[Name]],Name_list[Full Name],Name_list[Nick Name])</f>
        <v>0</v>
      </c>
      <c r="H1155" s="207"/>
      <c r="I1155" s="228"/>
      <c r="J1155" s="218"/>
      <c r="K1155" s="205"/>
      <c r="L1155" s="210">
        <f>(表格3_5[[#This Row],[Out-Time]] - 表格3_5[[#This Row],[In-Time]])*24</f>
        <v>0</v>
      </c>
      <c r="M1155" s="210">
        <f>表格3_5[[#This Row],[ Hours]]-表格3_5[[#This Row],[Normal working
 hours]]</f>
        <v>0</v>
      </c>
      <c r="N1155" s="205"/>
      <c r="O1155" s="205"/>
      <c r="P1155" s="210">
        <f>(表格3_5[[#This Row],[Out-Time2]] - 表格3_5[[#This Row],[In-Time2]])*24</f>
        <v>0</v>
      </c>
      <c r="Q1155" s="205"/>
      <c r="R1155" s="214">
        <f>_xlfn.XLOOKUP(表格3_5[[#This Row],[Name]],Name_list[Full Name],Name_list[Hourr Rate])</f>
        <v>0</v>
      </c>
      <c r="S1155" s="210">
        <f>表格3_5[[#This Row],[Hours Worked]]*表格3_5[[#This Row],[Hourly Rate]]</f>
        <v>0</v>
      </c>
    </row>
    <row r="1156" spans="1:19">
      <c r="A1156" s="201">
        <v>1154</v>
      </c>
      <c r="B1156" s="210" t="str">
        <f>_xlfn.CONCAT(表格3_5[[#This Row],[Name]],表格3_5[[#This Row],[Location]])</f>
        <v/>
      </c>
      <c r="C1156" s="211" t="str">
        <f>表格3_5[[#This Row],[Location]] &amp; 表格3_5[[#This Row],[Date]] &amp;表格3_5[[#This Row],[Nick Name]]</f>
        <v>0</v>
      </c>
      <c r="D1156" s="202"/>
      <c r="E1156" s="211" t="str">
        <f>DAY(表格3_5[[#This Row],[Date]])&amp;""</f>
        <v>0</v>
      </c>
      <c r="F1156" s="203"/>
      <c r="G1156" s="216">
        <f>_xlfn.XLOOKUP(表格3_5[[#This Row],[Name]],Name_list[Full Name],Name_list[Nick Name])</f>
        <v>0</v>
      </c>
      <c r="H1156" s="207"/>
      <c r="I1156" s="228"/>
      <c r="J1156" s="218"/>
      <c r="K1156" s="205"/>
      <c r="L1156" s="210">
        <f>(表格3_5[[#This Row],[Out-Time]] - 表格3_5[[#This Row],[In-Time]])*24</f>
        <v>0</v>
      </c>
      <c r="M1156" s="210">
        <f>表格3_5[[#This Row],[ Hours]]-表格3_5[[#This Row],[Normal working
 hours]]</f>
        <v>0</v>
      </c>
      <c r="N1156" s="205"/>
      <c r="O1156" s="205"/>
      <c r="P1156" s="210">
        <f>(表格3_5[[#This Row],[Out-Time2]] - 表格3_5[[#This Row],[In-Time2]])*24</f>
        <v>0</v>
      </c>
      <c r="Q1156" s="205"/>
      <c r="R1156" s="214">
        <f>_xlfn.XLOOKUP(表格3_5[[#This Row],[Name]],Name_list[Full Name],Name_list[Hourr Rate])</f>
        <v>0</v>
      </c>
      <c r="S1156" s="210">
        <f>表格3_5[[#This Row],[Hours Worked]]*表格3_5[[#This Row],[Hourly Rate]]</f>
        <v>0</v>
      </c>
    </row>
    <row r="1157" spans="1:19">
      <c r="A1157" s="201">
        <v>1155</v>
      </c>
      <c r="B1157" s="210" t="str">
        <f>_xlfn.CONCAT(表格3_5[[#This Row],[Name]],表格3_5[[#This Row],[Location]])</f>
        <v/>
      </c>
      <c r="C1157" s="211" t="str">
        <f>表格3_5[[#This Row],[Location]] &amp; 表格3_5[[#This Row],[Date]] &amp;表格3_5[[#This Row],[Nick Name]]</f>
        <v>0</v>
      </c>
      <c r="D1157" s="202"/>
      <c r="E1157" s="211" t="str">
        <f>DAY(表格3_5[[#This Row],[Date]])&amp;""</f>
        <v>0</v>
      </c>
      <c r="F1157" s="203"/>
      <c r="G1157" s="216">
        <f>_xlfn.XLOOKUP(表格3_5[[#This Row],[Name]],Name_list[Full Name],Name_list[Nick Name])</f>
        <v>0</v>
      </c>
      <c r="H1157" s="207"/>
      <c r="I1157" s="228"/>
      <c r="J1157" s="218"/>
      <c r="K1157" s="205"/>
      <c r="L1157" s="210">
        <f>(表格3_5[[#This Row],[Out-Time]] - 表格3_5[[#This Row],[In-Time]])*24</f>
        <v>0</v>
      </c>
      <c r="M1157" s="210">
        <f>表格3_5[[#This Row],[ Hours]]-表格3_5[[#This Row],[Normal working
 hours]]</f>
        <v>0</v>
      </c>
      <c r="N1157" s="205"/>
      <c r="O1157" s="205"/>
      <c r="P1157" s="210">
        <f>(表格3_5[[#This Row],[Out-Time2]] - 表格3_5[[#This Row],[In-Time2]])*24</f>
        <v>0</v>
      </c>
      <c r="Q1157" s="205"/>
      <c r="R1157" s="214">
        <f>_xlfn.XLOOKUP(表格3_5[[#This Row],[Name]],Name_list[Full Name],Name_list[Hourr Rate])</f>
        <v>0</v>
      </c>
      <c r="S1157" s="210">
        <f>表格3_5[[#This Row],[Hours Worked]]*表格3_5[[#This Row],[Hourly Rate]]</f>
        <v>0</v>
      </c>
    </row>
    <row r="1158" spans="1:19">
      <c r="A1158" s="201">
        <v>1156</v>
      </c>
      <c r="B1158" s="210" t="str">
        <f>_xlfn.CONCAT(表格3_5[[#This Row],[Name]],表格3_5[[#This Row],[Location]])</f>
        <v/>
      </c>
      <c r="C1158" s="211" t="str">
        <f>表格3_5[[#This Row],[Location]] &amp; 表格3_5[[#This Row],[Date]] &amp;表格3_5[[#This Row],[Nick Name]]</f>
        <v>0</v>
      </c>
      <c r="D1158" s="202"/>
      <c r="E1158" s="211" t="str">
        <f>DAY(表格3_5[[#This Row],[Date]])&amp;""</f>
        <v>0</v>
      </c>
      <c r="F1158" s="203"/>
      <c r="G1158" s="216">
        <f>_xlfn.XLOOKUP(表格3_5[[#This Row],[Name]],Name_list[Full Name],Name_list[Nick Name])</f>
        <v>0</v>
      </c>
      <c r="H1158" s="207"/>
      <c r="I1158" s="228"/>
      <c r="J1158" s="218"/>
      <c r="K1158" s="205"/>
      <c r="L1158" s="210">
        <f>(表格3_5[[#This Row],[Out-Time]] - 表格3_5[[#This Row],[In-Time]])*24</f>
        <v>0</v>
      </c>
      <c r="M1158" s="210">
        <f>表格3_5[[#This Row],[ Hours]]-表格3_5[[#This Row],[Normal working
 hours]]</f>
        <v>0</v>
      </c>
      <c r="N1158" s="205"/>
      <c r="O1158" s="205"/>
      <c r="P1158" s="210">
        <f>(表格3_5[[#This Row],[Out-Time2]] - 表格3_5[[#This Row],[In-Time2]])*24</f>
        <v>0</v>
      </c>
      <c r="Q1158" s="205"/>
      <c r="R1158" s="214">
        <f>_xlfn.XLOOKUP(表格3_5[[#This Row],[Name]],Name_list[Full Name],Name_list[Hourr Rate])</f>
        <v>0</v>
      </c>
      <c r="S1158" s="210">
        <f>表格3_5[[#This Row],[Hours Worked]]*表格3_5[[#This Row],[Hourly Rate]]</f>
        <v>0</v>
      </c>
    </row>
    <row r="1159" spans="1:19">
      <c r="A1159" s="201">
        <v>1157</v>
      </c>
      <c r="B1159" s="210" t="str">
        <f>_xlfn.CONCAT(表格3_5[[#This Row],[Name]],表格3_5[[#This Row],[Location]])</f>
        <v/>
      </c>
      <c r="C1159" s="211" t="str">
        <f>表格3_5[[#This Row],[Location]] &amp; 表格3_5[[#This Row],[Date]] &amp;表格3_5[[#This Row],[Nick Name]]</f>
        <v>0</v>
      </c>
      <c r="D1159" s="202"/>
      <c r="E1159" s="211" t="str">
        <f>DAY(表格3_5[[#This Row],[Date]])&amp;""</f>
        <v>0</v>
      </c>
      <c r="F1159" s="203"/>
      <c r="G1159" s="216">
        <f>_xlfn.XLOOKUP(表格3_5[[#This Row],[Name]],Name_list[Full Name],Name_list[Nick Name])</f>
        <v>0</v>
      </c>
      <c r="H1159" s="207"/>
      <c r="I1159" s="228"/>
      <c r="J1159" s="218"/>
      <c r="K1159" s="205"/>
      <c r="L1159" s="210">
        <f>(表格3_5[[#This Row],[Out-Time]] - 表格3_5[[#This Row],[In-Time]])*24</f>
        <v>0</v>
      </c>
      <c r="M1159" s="210">
        <f>表格3_5[[#This Row],[ Hours]]-表格3_5[[#This Row],[Normal working
 hours]]</f>
        <v>0</v>
      </c>
      <c r="N1159" s="205"/>
      <c r="O1159" s="205"/>
      <c r="P1159" s="210">
        <f>(表格3_5[[#This Row],[Out-Time2]] - 表格3_5[[#This Row],[In-Time2]])*24</f>
        <v>0</v>
      </c>
      <c r="Q1159" s="205"/>
      <c r="R1159" s="214">
        <f>_xlfn.XLOOKUP(表格3_5[[#This Row],[Name]],Name_list[Full Name],Name_list[Hourr Rate])</f>
        <v>0</v>
      </c>
      <c r="S1159" s="210">
        <f>表格3_5[[#This Row],[Hours Worked]]*表格3_5[[#This Row],[Hourly Rate]]</f>
        <v>0</v>
      </c>
    </row>
    <row r="1160" spans="1:19">
      <c r="A1160" s="201">
        <v>1158</v>
      </c>
      <c r="B1160" s="210" t="str">
        <f>_xlfn.CONCAT(表格3_5[[#This Row],[Name]],表格3_5[[#This Row],[Location]])</f>
        <v/>
      </c>
      <c r="C1160" s="211" t="str">
        <f>表格3_5[[#This Row],[Location]] &amp; 表格3_5[[#This Row],[Date]] &amp;表格3_5[[#This Row],[Nick Name]]</f>
        <v>0</v>
      </c>
      <c r="D1160" s="202"/>
      <c r="E1160" s="211" t="str">
        <f>DAY(表格3_5[[#This Row],[Date]])&amp;""</f>
        <v>0</v>
      </c>
      <c r="F1160" s="203"/>
      <c r="G1160" s="216">
        <f>_xlfn.XLOOKUP(表格3_5[[#This Row],[Name]],Name_list[Full Name],Name_list[Nick Name])</f>
        <v>0</v>
      </c>
      <c r="H1160" s="207"/>
      <c r="I1160" s="228"/>
      <c r="J1160" s="218"/>
      <c r="K1160" s="205"/>
      <c r="L1160" s="210">
        <f>(表格3_5[[#This Row],[Out-Time]] - 表格3_5[[#This Row],[In-Time]])*24</f>
        <v>0</v>
      </c>
      <c r="M1160" s="210">
        <f>表格3_5[[#This Row],[ Hours]]-表格3_5[[#This Row],[Normal working
 hours]]</f>
        <v>0</v>
      </c>
      <c r="N1160" s="205"/>
      <c r="O1160" s="205"/>
      <c r="P1160" s="210">
        <f>(表格3_5[[#This Row],[Out-Time2]] - 表格3_5[[#This Row],[In-Time2]])*24</f>
        <v>0</v>
      </c>
      <c r="Q1160" s="205"/>
      <c r="R1160" s="214">
        <f>_xlfn.XLOOKUP(表格3_5[[#This Row],[Name]],Name_list[Full Name],Name_list[Hourr Rate])</f>
        <v>0</v>
      </c>
      <c r="S1160" s="210">
        <f>表格3_5[[#This Row],[Hours Worked]]*表格3_5[[#This Row],[Hourly Rate]]</f>
        <v>0</v>
      </c>
    </row>
    <row r="1161" spans="1:19">
      <c r="A1161" s="201">
        <v>1159</v>
      </c>
      <c r="B1161" s="210" t="str">
        <f>_xlfn.CONCAT(表格3_5[[#This Row],[Name]],表格3_5[[#This Row],[Location]])</f>
        <v/>
      </c>
      <c r="C1161" s="211" t="str">
        <f>表格3_5[[#This Row],[Location]] &amp; 表格3_5[[#This Row],[Date]] &amp;表格3_5[[#This Row],[Nick Name]]</f>
        <v>0</v>
      </c>
      <c r="D1161" s="202"/>
      <c r="E1161" s="211" t="str">
        <f>DAY(表格3_5[[#This Row],[Date]])&amp;""</f>
        <v>0</v>
      </c>
      <c r="F1161" s="203"/>
      <c r="G1161" s="216">
        <f>_xlfn.XLOOKUP(表格3_5[[#This Row],[Name]],Name_list[Full Name],Name_list[Nick Name])</f>
        <v>0</v>
      </c>
      <c r="H1161" s="207"/>
      <c r="I1161" s="228"/>
      <c r="J1161" s="218"/>
      <c r="K1161" s="205"/>
      <c r="L1161" s="210">
        <f>(表格3_5[[#This Row],[Out-Time]] - 表格3_5[[#This Row],[In-Time]])*24</f>
        <v>0</v>
      </c>
      <c r="M1161" s="210">
        <f>表格3_5[[#This Row],[ Hours]]-表格3_5[[#This Row],[Normal working
 hours]]</f>
        <v>0</v>
      </c>
      <c r="N1161" s="205"/>
      <c r="O1161" s="205"/>
      <c r="P1161" s="210">
        <f>(表格3_5[[#This Row],[Out-Time2]] - 表格3_5[[#This Row],[In-Time2]])*24</f>
        <v>0</v>
      </c>
      <c r="Q1161" s="205"/>
      <c r="R1161" s="214">
        <f>_xlfn.XLOOKUP(表格3_5[[#This Row],[Name]],Name_list[Full Name],Name_list[Hourr Rate])</f>
        <v>0</v>
      </c>
      <c r="S1161" s="210">
        <f>表格3_5[[#This Row],[Hours Worked]]*表格3_5[[#This Row],[Hourly Rate]]</f>
        <v>0</v>
      </c>
    </row>
    <row r="1162" spans="1:19">
      <c r="A1162" s="201">
        <v>1160</v>
      </c>
      <c r="B1162" s="210" t="str">
        <f>_xlfn.CONCAT(表格3_5[[#This Row],[Name]],表格3_5[[#This Row],[Location]])</f>
        <v/>
      </c>
      <c r="C1162" s="211" t="str">
        <f>表格3_5[[#This Row],[Location]] &amp; 表格3_5[[#This Row],[Date]] &amp;表格3_5[[#This Row],[Nick Name]]</f>
        <v>0</v>
      </c>
      <c r="D1162" s="202"/>
      <c r="E1162" s="211" t="str">
        <f>DAY(表格3_5[[#This Row],[Date]])&amp;""</f>
        <v>0</v>
      </c>
      <c r="F1162" s="203"/>
      <c r="G1162" s="216">
        <f>_xlfn.XLOOKUP(表格3_5[[#This Row],[Name]],Name_list[Full Name],Name_list[Nick Name])</f>
        <v>0</v>
      </c>
      <c r="H1162" s="207"/>
      <c r="I1162" s="228"/>
      <c r="J1162" s="218"/>
      <c r="K1162" s="205"/>
      <c r="L1162" s="210">
        <f>(表格3_5[[#This Row],[Out-Time]] - 表格3_5[[#This Row],[In-Time]])*24</f>
        <v>0</v>
      </c>
      <c r="M1162" s="210">
        <f>表格3_5[[#This Row],[ Hours]]-表格3_5[[#This Row],[Normal working
 hours]]</f>
        <v>0</v>
      </c>
      <c r="N1162" s="205"/>
      <c r="O1162" s="205"/>
      <c r="P1162" s="210">
        <f>(表格3_5[[#This Row],[Out-Time2]] - 表格3_5[[#This Row],[In-Time2]])*24</f>
        <v>0</v>
      </c>
      <c r="Q1162" s="205"/>
      <c r="R1162" s="214">
        <f>_xlfn.XLOOKUP(表格3_5[[#This Row],[Name]],Name_list[Full Name],Name_list[Hourr Rate])</f>
        <v>0</v>
      </c>
      <c r="S1162" s="210">
        <f>表格3_5[[#This Row],[Hours Worked]]*表格3_5[[#This Row],[Hourly Rate]]</f>
        <v>0</v>
      </c>
    </row>
    <row r="1163" spans="1:19">
      <c r="A1163" s="201">
        <v>1161</v>
      </c>
      <c r="B1163" s="210" t="str">
        <f>_xlfn.CONCAT(表格3_5[[#This Row],[Name]],表格3_5[[#This Row],[Location]])</f>
        <v/>
      </c>
      <c r="C1163" s="211" t="str">
        <f>表格3_5[[#This Row],[Location]] &amp; 表格3_5[[#This Row],[Date]] &amp;表格3_5[[#This Row],[Nick Name]]</f>
        <v>0</v>
      </c>
      <c r="D1163" s="202"/>
      <c r="E1163" s="211" t="str">
        <f>DAY(表格3_5[[#This Row],[Date]])&amp;""</f>
        <v>0</v>
      </c>
      <c r="F1163" s="203"/>
      <c r="G1163" s="216">
        <f>_xlfn.XLOOKUP(表格3_5[[#This Row],[Name]],Name_list[Full Name],Name_list[Nick Name])</f>
        <v>0</v>
      </c>
      <c r="H1163" s="207"/>
      <c r="I1163" s="228"/>
      <c r="J1163" s="218"/>
      <c r="K1163" s="205"/>
      <c r="L1163" s="210">
        <f>(表格3_5[[#This Row],[Out-Time]] - 表格3_5[[#This Row],[In-Time]])*24</f>
        <v>0</v>
      </c>
      <c r="M1163" s="210">
        <f>表格3_5[[#This Row],[ Hours]]-表格3_5[[#This Row],[Normal working
 hours]]</f>
        <v>0</v>
      </c>
      <c r="N1163" s="205"/>
      <c r="O1163" s="205"/>
      <c r="P1163" s="210">
        <f>(表格3_5[[#This Row],[Out-Time2]] - 表格3_5[[#This Row],[In-Time2]])*24</f>
        <v>0</v>
      </c>
      <c r="Q1163" s="205"/>
      <c r="R1163" s="214">
        <f>_xlfn.XLOOKUP(表格3_5[[#This Row],[Name]],Name_list[Full Name],Name_list[Hourr Rate])</f>
        <v>0</v>
      </c>
      <c r="S1163" s="210">
        <f>表格3_5[[#This Row],[Hours Worked]]*表格3_5[[#This Row],[Hourly Rate]]</f>
        <v>0</v>
      </c>
    </row>
    <row r="1164" spans="1:19">
      <c r="A1164" s="201">
        <v>1162</v>
      </c>
      <c r="B1164" s="210" t="str">
        <f>_xlfn.CONCAT(表格3_5[[#This Row],[Name]],表格3_5[[#This Row],[Location]])</f>
        <v/>
      </c>
      <c r="C1164" s="211" t="str">
        <f>表格3_5[[#This Row],[Location]] &amp; 表格3_5[[#This Row],[Date]] &amp;表格3_5[[#This Row],[Nick Name]]</f>
        <v>0</v>
      </c>
      <c r="D1164" s="202"/>
      <c r="E1164" s="211" t="str">
        <f>DAY(表格3_5[[#This Row],[Date]])&amp;""</f>
        <v>0</v>
      </c>
      <c r="F1164" s="203"/>
      <c r="G1164" s="216">
        <f>_xlfn.XLOOKUP(表格3_5[[#This Row],[Name]],Name_list[Full Name],Name_list[Nick Name])</f>
        <v>0</v>
      </c>
      <c r="H1164" s="207"/>
      <c r="I1164" s="228"/>
      <c r="J1164" s="218"/>
      <c r="K1164" s="205"/>
      <c r="L1164" s="210">
        <f>(表格3_5[[#This Row],[Out-Time]] - 表格3_5[[#This Row],[In-Time]])*24</f>
        <v>0</v>
      </c>
      <c r="M1164" s="210">
        <f>表格3_5[[#This Row],[ Hours]]-表格3_5[[#This Row],[Normal working
 hours]]</f>
        <v>0</v>
      </c>
      <c r="N1164" s="205"/>
      <c r="O1164" s="205"/>
      <c r="P1164" s="210">
        <f>(表格3_5[[#This Row],[Out-Time2]] - 表格3_5[[#This Row],[In-Time2]])*24</f>
        <v>0</v>
      </c>
      <c r="Q1164" s="205"/>
      <c r="R1164" s="214">
        <f>_xlfn.XLOOKUP(表格3_5[[#This Row],[Name]],Name_list[Full Name],Name_list[Hourr Rate])</f>
        <v>0</v>
      </c>
      <c r="S1164" s="210">
        <f>表格3_5[[#This Row],[Hours Worked]]*表格3_5[[#This Row],[Hourly Rate]]</f>
        <v>0</v>
      </c>
    </row>
    <row r="1165" spans="1:19">
      <c r="A1165" s="201">
        <v>1163</v>
      </c>
      <c r="B1165" s="210" t="str">
        <f>_xlfn.CONCAT(表格3_5[[#This Row],[Name]],表格3_5[[#This Row],[Location]])</f>
        <v/>
      </c>
      <c r="C1165" s="211" t="str">
        <f>表格3_5[[#This Row],[Location]] &amp; 表格3_5[[#This Row],[Date]] &amp;表格3_5[[#This Row],[Nick Name]]</f>
        <v>0</v>
      </c>
      <c r="D1165" s="202"/>
      <c r="E1165" s="211" t="str">
        <f>DAY(表格3_5[[#This Row],[Date]])&amp;""</f>
        <v>0</v>
      </c>
      <c r="F1165" s="203"/>
      <c r="G1165" s="216">
        <f>_xlfn.XLOOKUP(表格3_5[[#This Row],[Name]],Name_list[Full Name],Name_list[Nick Name])</f>
        <v>0</v>
      </c>
      <c r="H1165" s="207"/>
      <c r="I1165" s="228"/>
      <c r="J1165" s="218"/>
      <c r="K1165" s="205"/>
      <c r="L1165" s="210">
        <f>(表格3_5[[#This Row],[Out-Time]] - 表格3_5[[#This Row],[In-Time]])*24</f>
        <v>0</v>
      </c>
      <c r="M1165" s="210">
        <f>表格3_5[[#This Row],[ Hours]]-表格3_5[[#This Row],[Normal working
 hours]]</f>
        <v>0</v>
      </c>
      <c r="N1165" s="205"/>
      <c r="O1165" s="205"/>
      <c r="P1165" s="210">
        <f>(表格3_5[[#This Row],[Out-Time2]] - 表格3_5[[#This Row],[In-Time2]])*24</f>
        <v>0</v>
      </c>
      <c r="Q1165" s="205"/>
      <c r="R1165" s="214">
        <f>_xlfn.XLOOKUP(表格3_5[[#This Row],[Name]],Name_list[Full Name],Name_list[Hourr Rate])</f>
        <v>0</v>
      </c>
      <c r="S1165" s="210">
        <f>表格3_5[[#This Row],[Hours Worked]]*表格3_5[[#This Row],[Hourly Rate]]</f>
        <v>0</v>
      </c>
    </row>
    <row r="1166" spans="1:19">
      <c r="A1166" s="201">
        <v>1164</v>
      </c>
      <c r="B1166" s="210" t="str">
        <f>_xlfn.CONCAT(表格3_5[[#This Row],[Name]],表格3_5[[#This Row],[Location]])</f>
        <v/>
      </c>
      <c r="C1166" s="211" t="str">
        <f>表格3_5[[#This Row],[Location]] &amp; 表格3_5[[#This Row],[Date]] &amp;表格3_5[[#This Row],[Nick Name]]</f>
        <v>0</v>
      </c>
      <c r="D1166" s="202"/>
      <c r="E1166" s="211" t="str">
        <f>DAY(表格3_5[[#This Row],[Date]])&amp;""</f>
        <v>0</v>
      </c>
      <c r="F1166" s="203"/>
      <c r="G1166" s="216">
        <f>_xlfn.XLOOKUP(表格3_5[[#This Row],[Name]],Name_list[Full Name],Name_list[Nick Name])</f>
        <v>0</v>
      </c>
      <c r="H1166" s="207"/>
      <c r="I1166" s="228"/>
      <c r="J1166" s="218"/>
      <c r="K1166" s="205"/>
      <c r="L1166" s="210">
        <f>(表格3_5[[#This Row],[Out-Time]] - 表格3_5[[#This Row],[In-Time]])*24</f>
        <v>0</v>
      </c>
      <c r="M1166" s="210">
        <f>表格3_5[[#This Row],[ Hours]]-表格3_5[[#This Row],[Normal working
 hours]]</f>
        <v>0</v>
      </c>
      <c r="N1166" s="205"/>
      <c r="O1166" s="205"/>
      <c r="P1166" s="210">
        <f>(表格3_5[[#This Row],[Out-Time2]] - 表格3_5[[#This Row],[In-Time2]])*24</f>
        <v>0</v>
      </c>
      <c r="Q1166" s="205"/>
      <c r="R1166" s="214">
        <f>_xlfn.XLOOKUP(表格3_5[[#This Row],[Name]],Name_list[Full Name],Name_list[Hourr Rate])</f>
        <v>0</v>
      </c>
      <c r="S1166" s="210">
        <f>表格3_5[[#This Row],[Hours Worked]]*表格3_5[[#This Row],[Hourly Rate]]</f>
        <v>0</v>
      </c>
    </row>
    <row r="1167" spans="1:19">
      <c r="A1167" s="201">
        <v>1165</v>
      </c>
      <c r="B1167" s="210" t="str">
        <f>_xlfn.CONCAT(表格3_5[[#This Row],[Name]],表格3_5[[#This Row],[Location]])</f>
        <v/>
      </c>
      <c r="C1167" s="211" t="str">
        <f>表格3_5[[#This Row],[Location]] &amp; 表格3_5[[#This Row],[Date]] &amp;表格3_5[[#This Row],[Nick Name]]</f>
        <v>0</v>
      </c>
      <c r="D1167" s="202"/>
      <c r="E1167" s="211" t="str">
        <f>DAY(表格3_5[[#This Row],[Date]])&amp;""</f>
        <v>0</v>
      </c>
      <c r="F1167" s="203"/>
      <c r="G1167" s="216">
        <f>_xlfn.XLOOKUP(表格3_5[[#This Row],[Name]],Name_list[Full Name],Name_list[Nick Name])</f>
        <v>0</v>
      </c>
      <c r="H1167" s="207"/>
      <c r="I1167" s="228"/>
      <c r="J1167" s="218"/>
      <c r="K1167" s="205"/>
      <c r="L1167" s="210">
        <f>(表格3_5[[#This Row],[Out-Time]] - 表格3_5[[#This Row],[In-Time]])*24</f>
        <v>0</v>
      </c>
      <c r="M1167" s="210">
        <f>表格3_5[[#This Row],[ Hours]]-表格3_5[[#This Row],[Normal working
 hours]]</f>
        <v>0</v>
      </c>
      <c r="N1167" s="205"/>
      <c r="O1167" s="205"/>
      <c r="P1167" s="210">
        <f>(表格3_5[[#This Row],[Out-Time2]] - 表格3_5[[#This Row],[In-Time2]])*24</f>
        <v>0</v>
      </c>
      <c r="Q1167" s="205"/>
      <c r="R1167" s="214">
        <f>_xlfn.XLOOKUP(表格3_5[[#This Row],[Name]],Name_list[Full Name],Name_list[Hourr Rate])</f>
        <v>0</v>
      </c>
      <c r="S1167" s="210">
        <f>表格3_5[[#This Row],[Hours Worked]]*表格3_5[[#This Row],[Hourly Rate]]</f>
        <v>0</v>
      </c>
    </row>
    <row r="1168" spans="1:19">
      <c r="A1168" s="201">
        <v>1166</v>
      </c>
      <c r="B1168" s="210" t="str">
        <f>_xlfn.CONCAT(表格3_5[[#This Row],[Name]],表格3_5[[#This Row],[Location]])</f>
        <v/>
      </c>
      <c r="C1168" s="211" t="str">
        <f>表格3_5[[#This Row],[Location]] &amp; 表格3_5[[#This Row],[Date]] &amp;表格3_5[[#This Row],[Nick Name]]</f>
        <v>0</v>
      </c>
      <c r="D1168" s="202"/>
      <c r="E1168" s="211" t="str">
        <f>DAY(表格3_5[[#This Row],[Date]])&amp;""</f>
        <v>0</v>
      </c>
      <c r="F1168" s="203"/>
      <c r="G1168" s="216">
        <f>_xlfn.XLOOKUP(表格3_5[[#This Row],[Name]],Name_list[Full Name],Name_list[Nick Name])</f>
        <v>0</v>
      </c>
      <c r="H1168" s="207"/>
      <c r="I1168" s="228"/>
      <c r="J1168" s="218"/>
      <c r="K1168" s="205"/>
      <c r="L1168" s="210">
        <f>(表格3_5[[#This Row],[Out-Time]] - 表格3_5[[#This Row],[In-Time]])*24</f>
        <v>0</v>
      </c>
      <c r="M1168" s="210">
        <f>表格3_5[[#This Row],[ Hours]]-表格3_5[[#This Row],[Normal working
 hours]]</f>
        <v>0</v>
      </c>
      <c r="N1168" s="205"/>
      <c r="O1168" s="205"/>
      <c r="P1168" s="210">
        <f>(表格3_5[[#This Row],[Out-Time2]] - 表格3_5[[#This Row],[In-Time2]])*24</f>
        <v>0</v>
      </c>
      <c r="Q1168" s="205"/>
      <c r="R1168" s="214">
        <f>_xlfn.XLOOKUP(表格3_5[[#This Row],[Name]],Name_list[Full Name],Name_list[Hourr Rate])</f>
        <v>0</v>
      </c>
      <c r="S1168" s="210">
        <f>表格3_5[[#This Row],[Hours Worked]]*表格3_5[[#This Row],[Hourly Rate]]</f>
        <v>0</v>
      </c>
    </row>
    <row r="1169" spans="1:19">
      <c r="A1169" s="201">
        <v>1167</v>
      </c>
      <c r="B1169" s="210" t="str">
        <f>_xlfn.CONCAT(表格3_5[[#This Row],[Name]],表格3_5[[#This Row],[Location]])</f>
        <v/>
      </c>
      <c r="C1169" s="211" t="str">
        <f>表格3_5[[#This Row],[Location]] &amp; 表格3_5[[#This Row],[Date]] &amp;表格3_5[[#This Row],[Nick Name]]</f>
        <v>0</v>
      </c>
      <c r="D1169" s="202"/>
      <c r="E1169" s="211" t="str">
        <f>DAY(表格3_5[[#This Row],[Date]])&amp;""</f>
        <v>0</v>
      </c>
      <c r="F1169" s="203"/>
      <c r="G1169" s="216">
        <f>_xlfn.XLOOKUP(表格3_5[[#This Row],[Name]],Name_list[Full Name],Name_list[Nick Name])</f>
        <v>0</v>
      </c>
      <c r="H1169" s="207"/>
      <c r="I1169" s="228"/>
      <c r="J1169" s="218"/>
      <c r="K1169" s="205"/>
      <c r="L1169" s="210">
        <f>(表格3_5[[#This Row],[Out-Time]] - 表格3_5[[#This Row],[In-Time]])*24</f>
        <v>0</v>
      </c>
      <c r="M1169" s="210">
        <f>表格3_5[[#This Row],[ Hours]]-表格3_5[[#This Row],[Normal working
 hours]]</f>
        <v>0</v>
      </c>
      <c r="N1169" s="205"/>
      <c r="O1169" s="205"/>
      <c r="P1169" s="210">
        <f>(表格3_5[[#This Row],[Out-Time2]] - 表格3_5[[#This Row],[In-Time2]])*24</f>
        <v>0</v>
      </c>
      <c r="Q1169" s="205"/>
      <c r="R1169" s="214">
        <f>_xlfn.XLOOKUP(表格3_5[[#This Row],[Name]],Name_list[Full Name],Name_list[Hourr Rate])</f>
        <v>0</v>
      </c>
      <c r="S1169" s="210">
        <f>表格3_5[[#This Row],[Hours Worked]]*表格3_5[[#This Row],[Hourly Rate]]</f>
        <v>0</v>
      </c>
    </row>
    <row r="1170" spans="1:19">
      <c r="A1170" s="201">
        <v>1168</v>
      </c>
      <c r="B1170" s="210" t="str">
        <f>_xlfn.CONCAT(表格3_5[[#This Row],[Name]],表格3_5[[#This Row],[Location]])</f>
        <v/>
      </c>
      <c r="C1170" s="211" t="str">
        <f>表格3_5[[#This Row],[Location]] &amp; 表格3_5[[#This Row],[Date]] &amp;表格3_5[[#This Row],[Nick Name]]</f>
        <v>0</v>
      </c>
      <c r="D1170" s="202"/>
      <c r="E1170" s="211" t="str">
        <f>DAY(表格3_5[[#This Row],[Date]])&amp;""</f>
        <v>0</v>
      </c>
      <c r="F1170" s="203"/>
      <c r="G1170" s="216">
        <f>_xlfn.XLOOKUP(表格3_5[[#This Row],[Name]],Name_list[Full Name],Name_list[Nick Name])</f>
        <v>0</v>
      </c>
      <c r="H1170" s="207"/>
      <c r="I1170" s="228"/>
      <c r="J1170" s="218"/>
      <c r="K1170" s="205"/>
      <c r="L1170" s="210">
        <f>(表格3_5[[#This Row],[Out-Time]] - 表格3_5[[#This Row],[In-Time]])*24</f>
        <v>0</v>
      </c>
      <c r="M1170" s="210">
        <f>表格3_5[[#This Row],[ Hours]]-表格3_5[[#This Row],[Normal working
 hours]]</f>
        <v>0</v>
      </c>
      <c r="N1170" s="205"/>
      <c r="O1170" s="205"/>
      <c r="P1170" s="210">
        <f>(表格3_5[[#This Row],[Out-Time2]] - 表格3_5[[#This Row],[In-Time2]])*24</f>
        <v>0</v>
      </c>
      <c r="Q1170" s="205"/>
      <c r="R1170" s="214">
        <f>_xlfn.XLOOKUP(表格3_5[[#This Row],[Name]],Name_list[Full Name],Name_list[Hourr Rate])</f>
        <v>0</v>
      </c>
      <c r="S1170" s="210">
        <f>表格3_5[[#This Row],[Hours Worked]]*表格3_5[[#This Row],[Hourly Rate]]</f>
        <v>0</v>
      </c>
    </row>
    <row r="1171" spans="1:19">
      <c r="A1171" s="201">
        <v>1169</v>
      </c>
      <c r="B1171" s="210" t="str">
        <f>_xlfn.CONCAT(表格3_5[[#This Row],[Name]],表格3_5[[#This Row],[Location]])</f>
        <v/>
      </c>
      <c r="C1171" s="211" t="str">
        <f>表格3_5[[#This Row],[Location]] &amp; 表格3_5[[#This Row],[Date]] &amp;表格3_5[[#This Row],[Nick Name]]</f>
        <v>0</v>
      </c>
      <c r="D1171" s="202"/>
      <c r="E1171" s="211" t="str">
        <f>DAY(表格3_5[[#This Row],[Date]])&amp;""</f>
        <v>0</v>
      </c>
      <c r="F1171" s="203"/>
      <c r="G1171" s="216">
        <f>_xlfn.XLOOKUP(表格3_5[[#This Row],[Name]],Name_list[Full Name],Name_list[Nick Name])</f>
        <v>0</v>
      </c>
      <c r="H1171" s="207"/>
      <c r="I1171" s="228"/>
      <c r="J1171" s="218"/>
      <c r="K1171" s="205"/>
      <c r="L1171" s="210">
        <f>(表格3_5[[#This Row],[Out-Time]] - 表格3_5[[#This Row],[In-Time]])*24</f>
        <v>0</v>
      </c>
      <c r="M1171" s="210">
        <f>表格3_5[[#This Row],[ Hours]]-表格3_5[[#This Row],[Normal working
 hours]]</f>
        <v>0</v>
      </c>
      <c r="N1171" s="205"/>
      <c r="O1171" s="205"/>
      <c r="P1171" s="210">
        <f>(表格3_5[[#This Row],[Out-Time2]] - 表格3_5[[#This Row],[In-Time2]])*24</f>
        <v>0</v>
      </c>
      <c r="Q1171" s="205"/>
      <c r="R1171" s="214">
        <f>_xlfn.XLOOKUP(表格3_5[[#This Row],[Name]],Name_list[Full Name],Name_list[Hourr Rate])</f>
        <v>0</v>
      </c>
      <c r="S1171" s="210">
        <f>表格3_5[[#This Row],[Hours Worked]]*表格3_5[[#This Row],[Hourly Rate]]</f>
        <v>0</v>
      </c>
    </row>
    <row r="1172" spans="1:19">
      <c r="A1172" s="201">
        <v>1170</v>
      </c>
      <c r="B1172" s="210" t="str">
        <f>_xlfn.CONCAT(表格3_5[[#This Row],[Name]],表格3_5[[#This Row],[Location]])</f>
        <v/>
      </c>
      <c r="C1172" s="211" t="str">
        <f>表格3_5[[#This Row],[Location]] &amp; 表格3_5[[#This Row],[Date]] &amp;表格3_5[[#This Row],[Nick Name]]</f>
        <v>0</v>
      </c>
      <c r="D1172" s="202"/>
      <c r="E1172" s="211" t="str">
        <f>DAY(表格3_5[[#This Row],[Date]])&amp;""</f>
        <v>0</v>
      </c>
      <c r="F1172" s="203"/>
      <c r="G1172" s="216">
        <f>_xlfn.XLOOKUP(表格3_5[[#This Row],[Name]],Name_list[Full Name],Name_list[Nick Name])</f>
        <v>0</v>
      </c>
      <c r="H1172" s="207"/>
      <c r="I1172" s="228"/>
      <c r="J1172" s="218"/>
      <c r="K1172" s="205"/>
      <c r="L1172" s="210">
        <f>(表格3_5[[#This Row],[Out-Time]] - 表格3_5[[#This Row],[In-Time]])*24</f>
        <v>0</v>
      </c>
      <c r="M1172" s="210">
        <f>表格3_5[[#This Row],[ Hours]]-表格3_5[[#This Row],[Normal working
 hours]]</f>
        <v>0</v>
      </c>
      <c r="N1172" s="205"/>
      <c r="O1172" s="205"/>
      <c r="P1172" s="210">
        <f>(表格3_5[[#This Row],[Out-Time2]] - 表格3_5[[#This Row],[In-Time2]])*24</f>
        <v>0</v>
      </c>
      <c r="Q1172" s="205"/>
      <c r="R1172" s="214">
        <f>_xlfn.XLOOKUP(表格3_5[[#This Row],[Name]],Name_list[Full Name],Name_list[Hourr Rate])</f>
        <v>0</v>
      </c>
      <c r="S1172" s="210">
        <f>表格3_5[[#This Row],[Hours Worked]]*表格3_5[[#This Row],[Hourly Rate]]</f>
        <v>0</v>
      </c>
    </row>
    <row r="1173" spans="1:19">
      <c r="A1173" s="201">
        <v>1171</v>
      </c>
      <c r="B1173" s="210" t="str">
        <f>_xlfn.CONCAT(表格3_5[[#This Row],[Name]],表格3_5[[#This Row],[Location]])</f>
        <v/>
      </c>
      <c r="C1173" s="211" t="str">
        <f>表格3_5[[#This Row],[Location]] &amp; 表格3_5[[#This Row],[Date]] &amp;表格3_5[[#This Row],[Nick Name]]</f>
        <v>0</v>
      </c>
      <c r="D1173" s="202"/>
      <c r="E1173" s="211" t="str">
        <f>DAY(表格3_5[[#This Row],[Date]])&amp;""</f>
        <v>0</v>
      </c>
      <c r="F1173" s="203"/>
      <c r="G1173" s="216">
        <f>_xlfn.XLOOKUP(表格3_5[[#This Row],[Name]],Name_list[Full Name],Name_list[Nick Name])</f>
        <v>0</v>
      </c>
      <c r="H1173" s="207"/>
      <c r="I1173" s="228"/>
      <c r="J1173" s="218"/>
      <c r="K1173" s="205"/>
      <c r="L1173" s="210">
        <f>(表格3_5[[#This Row],[Out-Time]] - 表格3_5[[#This Row],[In-Time]])*24</f>
        <v>0</v>
      </c>
      <c r="M1173" s="210">
        <f>表格3_5[[#This Row],[ Hours]]-表格3_5[[#This Row],[Normal working
 hours]]</f>
        <v>0</v>
      </c>
      <c r="N1173" s="205"/>
      <c r="O1173" s="205"/>
      <c r="P1173" s="210">
        <f>(表格3_5[[#This Row],[Out-Time2]] - 表格3_5[[#This Row],[In-Time2]])*24</f>
        <v>0</v>
      </c>
      <c r="Q1173" s="205"/>
      <c r="R1173" s="214">
        <f>_xlfn.XLOOKUP(表格3_5[[#This Row],[Name]],Name_list[Full Name],Name_list[Hourr Rate])</f>
        <v>0</v>
      </c>
      <c r="S1173" s="210">
        <f>表格3_5[[#This Row],[Hours Worked]]*表格3_5[[#This Row],[Hourly Rate]]</f>
        <v>0</v>
      </c>
    </row>
    <row r="1174" spans="1:19">
      <c r="A1174" s="201">
        <v>1172</v>
      </c>
      <c r="B1174" s="210" t="str">
        <f>_xlfn.CONCAT(表格3_5[[#This Row],[Name]],表格3_5[[#This Row],[Location]])</f>
        <v/>
      </c>
      <c r="C1174" s="211" t="str">
        <f>表格3_5[[#This Row],[Location]] &amp; 表格3_5[[#This Row],[Date]] &amp;表格3_5[[#This Row],[Nick Name]]</f>
        <v>0</v>
      </c>
      <c r="D1174" s="202"/>
      <c r="E1174" s="211" t="str">
        <f>DAY(表格3_5[[#This Row],[Date]])&amp;""</f>
        <v>0</v>
      </c>
      <c r="F1174" s="203"/>
      <c r="G1174" s="216">
        <f>_xlfn.XLOOKUP(表格3_5[[#This Row],[Name]],Name_list[Full Name],Name_list[Nick Name])</f>
        <v>0</v>
      </c>
      <c r="H1174" s="207"/>
      <c r="I1174" s="228"/>
      <c r="J1174" s="218"/>
      <c r="K1174" s="205"/>
      <c r="L1174" s="210">
        <f>(表格3_5[[#This Row],[Out-Time]] - 表格3_5[[#This Row],[In-Time]])*24</f>
        <v>0</v>
      </c>
      <c r="M1174" s="210">
        <f>表格3_5[[#This Row],[ Hours]]-表格3_5[[#This Row],[Normal working
 hours]]</f>
        <v>0</v>
      </c>
      <c r="N1174" s="205"/>
      <c r="O1174" s="205"/>
      <c r="P1174" s="210">
        <f>(表格3_5[[#This Row],[Out-Time2]] - 表格3_5[[#This Row],[In-Time2]])*24</f>
        <v>0</v>
      </c>
      <c r="Q1174" s="205"/>
      <c r="R1174" s="214">
        <f>_xlfn.XLOOKUP(表格3_5[[#This Row],[Name]],Name_list[Full Name],Name_list[Hourr Rate])</f>
        <v>0</v>
      </c>
      <c r="S1174" s="210">
        <f>表格3_5[[#This Row],[Hours Worked]]*表格3_5[[#This Row],[Hourly Rate]]</f>
        <v>0</v>
      </c>
    </row>
    <row r="1175" spans="1:19">
      <c r="A1175" s="201">
        <v>1173</v>
      </c>
      <c r="B1175" s="210" t="str">
        <f>_xlfn.CONCAT(表格3_5[[#This Row],[Name]],表格3_5[[#This Row],[Location]])</f>
        <v/>
      </c>
      <c r="C1175" s="211" t="str">
        <f>表格3_5[[#This Row],[Location]] &amp; 表格3_5[[#This Row],[Date]] &amp;表格3_5[[#This Row],[Nick Name]]</f>
        <v>0</v>
      </c>
      <c r="D1175" s="202"/>
      <c r="E1175" s="211" t="str">
        <f>DAY(表格3_5[[#This Row],[Date]])&amp;""</f>
        <v>0</v>
      </c>
      <c r="F1175" s="203"/>
      <c r="G1175" s="216">
        <f>_xlfn.XLOOKUP(表格3_5[[#This Row],[Name]],Name_list[Full Name],Name_list[Nick Name])</f>
        <v>0</v>
      </c>
      <c r="H1175" s="207"/>
      <c r="I1175" s="228"/>
      <c r="J1175" s="218"/>
      <c r="K1175" s="205"/>
      <c r="L1175" s="210">
        <f>(表格3_5[[#This Row],[Out-Time]] - 表格3_5[[#This Row],[In-Time]])*24</f>
        <v>0</v>
      </c>
      <c r="M1175" s="210">
        <f>表格3_5[[#This Row],[ Hours]]-表格3_5[[#This Row],[Normal working
 hours]]</f>
        <v>0</v>
      </c>
      <c r="N1175" s="205"/>
      <c r="O1175" s="205"/>
      <c r="P1175" s="210">
        <f>(表格3_5[[#This Row],[Out-Time2]] - 表格3_5[[#This Row],[In-Time2]])*24</f>
        <v>0</v>
      </c>
      <c r="Q1175" s="205"/>
      <c r="R1175" s="214">
        <f>_xlfn.XLOOKUP(表格3_5[[#This Row],[Name]],Name_list[Full Name],Name_list[Hourr Rate])</f>
        <v>0</v>
      </c>
      <c r="S1175" s="210">
        <f>表格3_5[[#This Row],[Hours Worked]]*表格3_5[[#This Row],[Hourly Rate]]</f>
        <v>0</v>
      </c>
    </row>
    <row r="1176" spans="1:19">
      <c r="A1176" s="201">
        <v>1174</v>
      </c>
      <c r="B1176" s="210" t="str">
        <f>_xlfn.CONCAT(表格3_5[[#This Row],[Name]],表格3_5[[#This Row],[Location]])</f>
        <v/>
      </c>
      <c r="C1176" s="211" t="str">
        <f>表格3_5[[#This Row],[Location]] &amp; 表格3_5[[#This Row],[Date]] &amp;表格3_5[[#This Row],[Nick Name]]</f>
        <v>0</v>
      </c>
      <c r="D1176" s="202"/>
      <c r="E1176" s="211" t="str">
        <f>DAY(表格3_5[[#This Row],[Date]])&amp;""</f>
        <v>0</v>
      </c>
      <c r="F1176" s="203"/>
      <c r="G1176" s="216">
        <f>_xlfn.XLOOKUP(表格3_5[[#This Row],[Name]],Name_list[Full Name],Name_list[Nick Name])</f>
        <v>0</v>
      </c>
      <c r="H1176" s="207"/>
      <c r="I1176" s="228"/>
      <c r="J1176" s="218"/>
      <c r="K1176" s="205"/>
      <c r="L1176" s="210">
        <f>(表格3_5[[#This Row],[Out-Time]] - 表格3_5[[#This Row],[In-Time]])*24</f>
        <v>0</v>
      </c>
      <c r="M1176" s="210">
        <f>表格3_5[[#This Row],[ Hours]]-表格3_5[[#This Row],[Normal working
 hours]]</f>
        <v>0</v>
      </c>
      <c r="N1176" s="205"/>
      <c r="O1176" s="205"/>
      <c r="P1176" s="210">
        <f>(表格3_5[[#This Row],[Out-Time2]] - 表格3_5[[#This Row],[In-Time2]])*24</f>
        <v>0</v>
      </c>
      <c r="Q1176" s="205"/>
      <c r="R1176" s="214">
        <f>_xlfn.XLOOKUP(表格3_5[[#This Row],[Name]],Name_list[Full Name],Name_list[Hourr Rate])</f>
        <v>0</v>
      </c>
      <c r="S1176" s="210">
        <f>表格3_5[[#This Row],[Hours Worked]]*表格3_5[[#This Row],[Hourly Rate]]</f>
        <v>0</v>
      </c>
    </row>
    <row r="1177" spans="1:19">
      <c r="A1177" s="201">
        <v>1175</v>
      </c>
      <c r="B1177" s="210" t="str">
        <f>_xlfn.CONCAT(表格3_5[[#This Row],[Name]],表格3_5[[#This Row],[Location]])</f>
        <v/>
      </c>
      <c r="C1177" s="211" t="str">
        <f>表格3_5[[#This Row],[Location]] &amp; 表格3_5[[#This Row],[Date]] &amp;表格3_5[[#This Row],[Nick Name]]</f>
        <v>0</v>
      </c>
      <c r="D1177" s="202"/>
      <c r="E1177" s="211" t="str">
        <f>DAY(表格3_5[[#This Row],[Date]])&amp;""</f>
        <v>0</v>
      </c>
      <c r="F1177" s="203"/>
      <c r="G1177" s="216">
        <f>_xlfn.XLOOKUP(表格3_5[[#This Row],[Name]],Name_list[Full Name],Name_list[Nick Name])</f>
        <v>0</v>
      </c>
      <c r="H1177" s="207"/>
      <c r="I1177" s="228"/>
      <c r="J1177" s="218"/>
      <c r="K1177" s="205"/>
      <c r="L1177" s="210">
        <f>(表格3_5[[#This Row],[Out-Time]] - 表格3_5[[#This Row],[In-Time]])*24</f>
        <v>0</v>
      </c>
      <c r="M1177" s="210">
        <f>表格3_5[[#This Row],[ Hours]]-表格3_5[[#This Row],[Normal working
 hours]]</f>
        <v>0</v>
      </c>
      <c r="N1177" s="205"/>
      <c r="O1177" s="205"/>
      <c r="P1177" s="210">
        <f>(表格3_5[[#This Row],[Out-Time2]] - 表格3_5[[#This Row],[In-Time2]])*24</f>
        <v>0</v>
      </c>
      <c r="Q1177" s="205"/>
      <c r="R1177" s="214">
        <f>_xlfn.XLOOKUP(表格3_5[[#This Row],[Name]],Name_list[Full Name],Name_list[Hourr Rate])</f>
        <v>0</v>
      </c>
      <c r="S1177" s="210">
        <f>表格3_5[[#This Row],[Hours Worked]]*表格3_5[[#This Row],[Hourly Rate]]</f>
        <v>0</v>
      </c>
    </row>
    <row r="1178" spans="1:19">
      <c r="A1178" s="201">
        <v>1176</v>
      </c>
      <c r="B1178" s="210" t="str">
        <f>_xlfn.CONCAT(表格3_5[[#This Row],[Name]],表格3_5[[#This Row],[Location]])</f>
        <v/>
      </c>
      <c r="C1178" s="211" t="str">
        <f>表格3_5[[#This Row],[Location]] &amp; 表格3_5[[#This Row],[Date]] &amp;表格3_5[[#This Row],[Nick Name]]</f>
        <v>0</v>
      </c>
      <c r="D1178" s="202"/>
      <c r="E1178" s="211" t="str">
        <f>DAY(表格3_5[[#This Row],[Date]])&amp;""</f>
        <v>0</v>
      </c>
      <c r="F1178" s="203"/>
      <c r="G1178" s="216">
        <f>_xlfn.XLOOKUP(表格3_5[[#This Row],[Name]],Name_list[Full Name],Name_list[Nick Name])</f>
        <v>0</v>
      </c>
      <c r="H1178" s="207"/>
      <c r="I1178" s="228"/>
      <c r="J1178" s="218"/>
      <c r="K1178" s="205"/>
      <c r="L1178" s="210">
        <f>(表格3_5[[#This Row],[Out-Time]] - 表格3_5[[#This Row],[In-Time]])*24</f>
        <v>0</v>
      </c>
      <c r="M1178" s="210">
        <f>表格3_5[[#This Row],[ Hours]]-表格3_5[[#This Row],[Normal working
 hours]]</f>
        <v>0</v>
      </c>
      <c r="N1178" s="205"/>
      <c r="O1178" s="205"/>
      <c r="P1178" s="210">
        <f>(表格3_5[[#This Row],[Out-Time2]] - 表格3_5[[#This Row],[In-Time2]])*24</f>
        <v>0</v>
      </c>
      <c r="Q1178" s="205"/>
      <c r="R1178" s="214">
        <f>_xlfn.XLOOKUP(表格3_5[[#This Row],[Name]],Name_list[Full Name],Name_list[Hourr Rate])</f>
        <v>0</v>
      </c>
      <c r="S1178" s="210">
        <f>表格3_5[[#This Row],[Hours Worked]]*表格3_5[[#This Row],[Hourly Rate]]</f>
        <v>0</v>
      </c>
    </row>
    <row r="1179" spans="1:19">
      <c r="A1179" s="201">
        <v>1177</v>
      </c>
      <c r="B1179" s="210" t="str">
        <f>_xlfn.CONCAT(表格3_5[[#This Row],[Name]],表格3_5[[#This Row],[Location]])</f>
        <v/>
      </c>
      <c r="C1179" s="211" t="str">
        <f>表格3_5[[#This Row],[Location]] &amp; 表格3_5[[#This Row],[Date]] &amp;表格3_5[[#This Row],[Nick Name]]</f>
        <v>0</v>
      </c>
      <c r="D1179" s="202"/>
      <c r="E1179" s="211" t="str">
        <f>DAY(表格3_5[[#This Row],[Date]])&amp;""</f>
        <v>0</v>
      </c>
      <c r="F1179" s="203"/>
      <c r="G1179" s="216">
        <f>_xlfn.XLOOKUP(表格3_5[[#This Row],[Name]],Name_list[Full Name],Name_list[Nick Name])</f>
        <v>0</v>
      </c>
      <c r="H1179" s="207"/>
      <c r="I1179" s="228"/>
      <c r="J1179" s="218"/>
      <c r="K1179" s="205"/>
      <c r="L1179" s="210">
        <f>(表格3_5[[#This Row],[Out-Time]] - 表格3_5[[#This Row],[In-Time]])*24</f>
        <v>0</v>
      </c>
      <c r="M1179" s="210">
        <f>表格3_5[[#This Row],[ Hours]]-表格3_5[[#This Row],[Normal working
 hours]]</f>
        <v>0</v>
      </c>
      <c r="N1179" s="205"/>
      <c r="O1179" s="205"/>
      <c r="P1179" s="210">
        <f>(表格3_5[[#This Row],[Out-Time2]] - 表格3_5[[#This Row],[In-Time2]])*24</f>
        <v>0</v>
      </c>
      <c r="Q1179" s="205"/>
      <c r="R1179" s="214">
        <f>_xlfn.XLOOKUP(表格3_5[[#This Row],[Name]],Name_list[Full Name],Name_list[Hourr Rate])</f>
        <v>0</v>
      </c>
      <c r="S1179" s="210">
        <f>表格3_5[[#This Row],[Hours Worked]]*表格3_5[[#This Row],[Hourly Rate]]</f>
        <v>0</v>
      </c>
    </row>
    <row r="1180" spans="1:19">
      <c r="A1180" s="201">
        <v>1178</v>
      </c>
      <c r="B1180" s="210" t="str">
        <f>_xlfn.CONCAT(表格3_5[[#This Row],[Name]],表格3_5[[#This Row],[Location]])</f>
        <v/>
      </c>
      <c r="C1180" s="211" t="str">
        <f>表格3_5[[#This Row],[Location]] &amp; 表格3_5[[#This Row],[Date]] &amp;表格3_5[[#This Row],[Nick Name]]</f>
        <v>0</v>
      </c>
      <c r="D1180" s="202"/>
      <c r="E1180" s="211" t="str">
        <f>DAY(表格3_5[[#This Row],[Date]])&amp;""</f>
        <v>0</v>
      </c>
      <c r="F1180" s="203"/>
      <c r="G1180" s="216">
        <f>_xlfn.XLOOKUP(表格3_5[[#This Row],[Name]],Name_list[Full Name],Name_list[Nick Name])</f>
        <v>0</v>
      </c>
      <c r="H1180" s="207"/>
      <c r="I1180" s="228"/>
      <c r="J1180" s="218"/>
      <c r="K1180" s="205"/>
      <c r="L1180" s="210">
        <f>(表格3_5[[#This Row],[Out-Time]] - 表格3_5[[#This Row],[In-Time]])*24</f>
        <v>0</v>
      </c>
      <c r="M1180" s="210">
        <f>表格3_5[[#This Row],[ Hours]]-表格3_5[[#This Row],[Normal working
 hours]]</f>
        <v>0</v>
      </c>
      <c r="N1180" s="205"/>
      <c r="O1180" s="205"/>
      <c r="P1180" s="210">
        <f>(表格3_5[[#This Row],[Out-Time2]] - 表格3_5[[#This Row],[In-Time2]])*24</f>
        <v>0</v>
      </c>
      <c r="Q1180" s="205"/>
      <c r="R1180" s="214">
        <f>_xlfn.XLOOKUP(表格3_5[[#This Row],[Name]],Name_list[Full Name],Name_list[Hourr Rate])</f>
        <v>0</v>
      </c>
      <c r="S1180" s="210">
        <f>表格3_5[[#This Row],[Hours Worked]]*表格3_5[[#This Row],[Hourly Rate]]</f>
        <v>0</v>
      </c>
    </row>
    <row r="1181" spans="1:19">
      <c r="A1181" s="201">
        <v>1179</v>
      </c>
      <c r="B1181" s="210" t="str">
        <f>_xlfn.CONCAT(表格3_5[[#This Row],[Name]],表格3_5[[#This Row],[Location]])</f>
        <v/>
      </c>
      <c r="C1181" s="211" t="str">
        <f>表格3_5[[#This Row],[Location]] &amp; 表格3_5[[#This Row],[Date]] &amp;表格3_5[[#This Row],[Nick Name]]</f>
        <v>0</v>
      </c>
      <c r="D1181" s="202"/>
      <c r="E1181" s="211" t="str">
        <f>DAY(表格3_5[[#This Row],[Date]])&amp;""</f>
        <v>0</v>
      </c>
      <c r="F1181" s="203"/>
      <c r="G1181" s="216">
        <f>_xlfn.XLOOKUP(表格3_5[[#This Row],[Name]],Name_list[Full Name],Name_list[Nick Name])</f>
        <v>0</v>
      </c>
      <c r="H1181" s="207"/>
      <c r="I1181" s="228"/>
      <c r="J1181" s="218"/>
      <c r="K1181" s="205"/>
      <c r="L1181" s="210">
        <f>(表格3_5[[#This Row],[Out-Time]] - 表格3_5[[#This Row],[In-Time]])*24</f>
        <v>0</v>
      </c>
      <c r="M1181" s="210">
        <f>表格3_5[[#This Row],[ Hours]]-表格3_5[[#This Row],[Normal working
 hours]]</f>
        <v>0</v>
      </c>
      <c r="N1181" s="205"/>
      <c r="O1181" s="205"/>
      <c r="P1181" s="210">
        <f>(表格3_5[[#This Row],[Out-Time2]] - 表格3_5[[#This Row],[In-Time2]])*24</f>
        <v>0</v>
      </c>
      <c r="Q1181" s="205"/>
      <c r="R1181" s="214">
        <f>_xlfn.XLOOKUP(表格3_5[[#This Row],[Name]],Name_list[Full Name],Name_list[Hourr Rate])</f>
        <v>0</v>
      </c>
      <c r="S1181" s="210">
        <f>表格3_5[[#This Row],[Hours Worked]]*表格3_5[[#This Row],[Hourly Rate]]</f>
        <v>0</v>
      </c>
    </row>
    <row r="1182" spans="1:19">
      <c r="A1182" s="201">
        <v>1180</v>
      </c>
      <c r="B1182" s="210" t="str">
        <f>_xlfn.CONCAT(表格3_5[[#This Row],[Name]],表格3_5[[#This Row],[Location]])</f>
        <v/>
      </c>
      <c r="C1182" s="211" t="str">
        <f>表格3_5[[#This Row],[Location]] &amp; 表格3_5[[#This Row],[Date]] &amp;表格3_5[[#This Row],[Nick Name]]</f>
        <v>0</v>
      </c>
      <c r="D1182" s="202"/>
      <c r="E1182" s="211" t="str">
        <f>DAY(表格3_5[[#This Row],[Date]])&amp;""</f>
        <v>0</v>
      </c>
      <c r="F1182" s="203"/>
      <c r="G1182" s="216">
        <f>_xlfn.XLOOKUP(表格3_5[[#This Row],[Name]],Name_list[Full Name],Name_list[Nick Name])</f>
        <v>0</v>
      </c>
      <c r="H1182" s="207"/>
      <c r="I1182" s="228"/>
      <c r="J1182" s="218"/>
      <c r="K1182" s="205"/>
      <c r="L1182" s="210">
        <f>(表格3_5[[#This Row],[Out-Time]] - 表格3_5[[#This Row],[In-Time]])*24</f>
        <v>0</v>
      </c>
      <c r="M1182" s="210">
        <f>表格3_5[[#This Row],[ Hours]]-表格3_5[[#This Row],[Normal working
 hours]]</f>
        <v>0</v>
      </c>
      <c r="N1182" s="205"/>
      <c r="O1182" s="205"/>
      <c r="P1182" s="210">
        <f>(表格3_5[[#This Row],[Out-Time2]] - 表格3_5[[#This Row],[In-Time2]])*24</f>
        <v>0</v>
      </c>
      <c r="Q1182" s="205"/>
      <c r="R1182" s="214">
        <f>_xlfn.XLOOKUP(表格3_5[[#This Row],[Name]],Name_list[Full Name],Name_list[Hourr Rate])</f>
        <v>0</v>
      </c>
      <c r="S1182" s="210">
        <f>表格3_5[[#This Row],[Hours Worked]]*表格3_5[[#This Row],[Hourly Rate]]</f>
        <v>0</v>
      </c>
    </row>
    <row r="1183" spans="1:19">
      <c r="A1183" s="201">
        <v>1181</v>
      </c>
      <c r="B1183" s="210" t="str">
        <f>_xlfn.CONCAT(表格3_5[[#This Row],[Name]],表格3_5[[#This Row],[Location]])</f>
        <v/>
      </c>
      <c r="C1183" s="211" t="str">
        <f>表格3_5[[#This Row],[Location]] &amp; 表格3_5[[#This Row],[Date]] &amp;表格3_5[[#This Row],[Nick Name]]</f>
        <v>0</v>
      </c>
      <c r="D1183" s="202"/>
      <c r="E1183" s="211" t="str">
        <f>DAY(表格3_5[[#This Row],[Date]])&amp;""</f>
        <v>0</v>
      </c>
      <c r="F1183" s="203"/>
      <c r="G1183" s="216">
        <f>_xlfn.XLOOKUP(表格3_5[[#This Row],[Name]],Name_list[Full Name],Name_list[Nick Name])</f>
        <v>0</v>
      </c>
      <c r="H1183" s="207"/>
      <c r="I1183" s="228"/>
      <c r="J1183" s="218"/>
      <c r="K1183" s="205"/>
      <c r="L1183" s="210">
        <f>(表格3_5[[#This Row],[Out-Time]] - 表格3_5[[#This Row],[In-Time]])*24</f>
        <v>0</v>
      </c>
      <c r="M1183" s="210">
        <f>表格3_5[[#This Row],[ Hours]]-表格3_5[[#This Row],[Normal working
 hours]]</f>
        <v>0</v>
      </c>
      <c r="N1183" s="205"/>
      <c r="O1183" s="205"/>
      <c r="P1183" s="210">
        <f>(表格3_5[[#This Row],[Out-Time2]] - 表格3_5[[#This Row],[In-Time2]])*24</f>
        <v>0</v>
      </c>
      <c r="Q1183" s="205"/>
      <c r="R1183" s="214">
        <f>_xlfn.XLOOKUP(表格3_5[[#This Row],[Name]],Name_list[Full Name],Name_list[Hourr Rate])</f>
        <v>0</v>
      </c>
      <c r="S1183" s="210">
        <f>表格3_5[[#This Row],[Hours Worked]]*表格3_5[[#This Row],[Hourly Rate]]</f>
        <v>0</v>
      </c>
    </row>
    <row r="1184" spans="1:19">
      <c r="A1184" s="201">
        <v>1182</v>
      </c>
      <c r="B1184" s="210" t="str">
        <f>_xlfn.CONCAT(表格3_5[[#This Row],[Name]],表格3_5[[#This Row],[Location]])</f>
        <v/>
      </c>
      <c r="C1184" s="211" t="str">
        <f>表格3_5[[#This Row],[Location]] &amp; 表格3_5[[#This Row],[Date]] &amp;表格3_5[[#This Row],[Nick Name]]</f>
        <v>0</v>
      </c>
      <c r="D1184" s="202"/>
      <c r="E1184" s="211" t="str">
        <f>DAY(表格3_5[[#This Row],[Date]])&amp;""</f>
        <v>0</v>
      </c>
      <c r="F1184" s="203"/>
      <c r="G1184" s="216">
        <f>_xlfn.XLOOKUP(表格3_5[[#This Row],[Name]],Name_list[Full Name],Name_list[Nick Name])</f>
        <v>0</v>
      </c>
      <c r="H1184" s="207"/>
      <c r="I1184" s="228"/>
      <c r="J1184" s="218"/>
      <c r="K1184" s="205"/>
      <c r="L1184" s="210">
        <f>(表格3_5[[#This Row],[Out-Time]] - 表格3_5[[#This Row],[In-Time]])*24</f>
        <v>0</v>
      </c>
      <c r="M1184" s="210">
        <f>表格3_5[[#This Row],[ Hours]]-表格3_5[[#This Row],[Normal working
 hours]]</f>
        <v>0</v>
      </c>
      <c r="N1184" s="205"/>
      <c r="O1184" s="205"/>
      <c r="P1184" s="210">
        <f>(表格3_5[[#This Row],[Out-Time2]] - 表格3_5[[#This Row],[In-Time2]])*24</f>
        <v>0</v>
      </c>
      <c r="Q1184" s="205"/>
      <c r="R1184" s="214">
        <f>_xlfn.XLOOKUP(表格3_5[[#This Row],[Name]],Name_list[Full Name],Name_list[Hourr Rate])</f>
        <v>0</v>
      </c>
      <c r="S1184" s="210">
        <f>表格3_5[[#This Row],[Hours Worked]]*表格3_5[[#This Row],[Hourly Rate]]</f>
        <v>0</v>
      </c>
    </row>
    <row r="1185" spans="1:19">
      <c r="A1185" s="201">
        <v>1183</v>
      </c>
      <c r="B1185" s="210" t="str">
        <f>_xlfn.CONCAT(表格3_5[[#This Row],[Name]],表格3_5[[#This Row],[Location]])</f>
        <v/>
      </c>
      <c r="C1185" s="211" t="str">
        <f>表格3_5[[#This Row],[Location]] &amp; 表格3_5[[#This Row],[Date]] &amp;表格3_5[[#This Row],[Nick Name]]</f>
        <v>0</v>
      </c>
      <c r="D1185" s="202"/>
      <c r="E1185" s="211" t="str">
        <f>DAY(表格3_5[[#This Row],[Date]])&amp;""</f>
        <v>0</v>
      </c>
      <c r="F1185" s="203"/>
      <c r="G1185" s="216">
        <f>_xlfn.XLOOKUP(表格3_5[[#This Row],[Name]],Name_list[Full Name],Name_list[Nick Name])</f>
        <v>0</v>
      </c>
      <c r="H1185" s="207"/>
      <c r="I1185" s="228"/>
      <c r="J1185" s="218"/>
      <c r="K1185" s="205"/>
      <c r="L1185" s="210">
        <f>(表格3_5[[#This Row],[Out-Time]] - 表格3_5[[#This Row],[In-Time]])*24</f>
        <v>0</v>
      </c>
      <c r="M1185" s="210">
        <f>表格3_5[[#This Row],[ Hours]]-表格3_5[[#This Row],[Normal working
 hours]]</f>
        <v>0</v>
      </c>
      <c r="N1185" s="205"/>
      <c r="O1185" s="205"/>
      <c r="P1185" s="210">
        <f>(表格3_5[[#This Row],[Out-Time2]] - 表格3_5[[#This Row],[In-Time2]])*24</f>
        <v>0</v>
      </c>
      <c r="Q1185" s="205"/>
      <c r="R1185" s="214">
        <f>_xlfn.XLOOKUP(表格3_5[[#This Row],[Name]],Name_list[Full Name],Name_list[Hourr Rate])</f>
        <v>0</v>
      </c>
      <c r="S1185" s="210">
        <f>表格3_5[[#This Row],[Hours Worked]]*表格3_5[[#This Row],[Hourly Rate]]</f>
        <v>0</v>
      </c>
    </row>
    <row r="1186" spans="1:19">
      <c r="A1186" s="201">
        <v>1184</v>
      </c>
      <c r="B1186" s="210" t="str">
        <f>_xlfn.CONCAT(表格3_5[[#This Row],[Name]],表格3_5[[#This Row],[Location]])</f>
        <v/>
      </c>
      <c r="C1186" s="211" t="str">
        <f>表格3_5[[#This Row],[Location]] &amp; 表格3_5[[#This Row],[Date]] &amp;表格3_5[[#This Row],[Nick Name]]</f>
        <v>0</v>
      </c>
      <c r="D1186" s="202"/>
      <c r="E1186" s="211" t="str">
        <f>DAY(表格3_5[[#This Row],[Date]])&amp;""</f>
        <v>0</v>
      </c>
      <c r="F1186" s="203"/>
      <c r="G1186" s="216">
        <f>_xlfn.XLOOKUP(表格3_5[[#This Row],[Name]],Name_list[Full Name],Name_list[Nick Name])</f>
        <v>0</v>
      </c>
      <c r="H1186" s="207"/>
      <c r="I1186" s="228"/>
      <c r="J1186" s="218"/>
      <c r="K1186" s="205"/>
      <c r="L1186" s="210">
        <f>(表格3_5[[#This Row],[Out-Time]] - 表格3_5[[#This Row],[In-Time]])*24</f>
        <v>0</v>
      </c>
      <c r="M1186" s="210">
        <f>表格3_5[[#This Row],[ Hours]]-表格3_5[[#This Row],[Normal working
 hours]]</f>
        <v>0</v>
      </c>
      <c r="N1186" s="205"/>
      <c r="O1186" s="205"/>
      <c r="P1186" s="210">
        <f>(表格3_5[[#This Row],[Out-Time2]] - 表格3_5[[#This Row],[In-Time2]])*24</f>
        <v>0</v>
      </c>
      <c r="Q1186" s="205"/>
      <c r="R1186" s="214">
        <f>_xlfn.XLOOKUP(表格3_5[[#This Row],[Name]],Name_list[Full Name],Name_list[Hourr Rate])</f>
        <v>0</v>
      </c>
      <c r="S1186" s="210">
        <f>表格3_5[[#This Row],[Hours Worked]]*表格3_5[[#This Row],[Hourly Rate]]</f>
        <v>0</v>
      </c>
    </row>
    <row r="1187" spans="1:19">
      <c r="A1187" s="201">
        <v>1185</v>
      </c>
      <c r="B1187" s="210" t="str">
        <f>_xlfn.CONCAT(表格3_5[[#This Row],[Name]],表格3_5[[#This Row],[Location]])</f>
        <v/>
      </c>
      <c r="C1187" s="211" t="str">
        <f>表格3_5[[#This Row],[Location]] &amp; 表格3_5[[#This Row],[Date]] &amp;表格3_5[[#This Row],[Nick Name]]</f>
        <v>0</v>
      </c>
      <c r="D1187" s="202"/>
      <c r="E1187" s="211" t="str">
        <f>DAY(表格3_5[[#This Row],[Date]])&amp;""</f>
        <v>0</v>
      </c>
      <c r="F1187" s="203"/>
      <c r="G1187" s="216">
        <f>_xlfn.XLOOKUP(表格3_5[[#This Row],[Name]],Name_list[Full Name],Name_list[Nick Name])</f>
        <v>0</v>
      </c>
      <c r="H1187" s="207"/>
      <c r="I1187" s="228"/>
      <c r="J1187" s="218"/>
      <c r="K1187" s="205"/>
      <c r="L1187" s="210">
        <f>(表格3_5[[#This Row],[Out-Time]] - 表格3_5[[#This Row],[In-Time]])*24</f>
        <v>0</v>
      </c>
      <c r="M1187" s="210">
        <f>表格3_5[[#This Row],[ Hours]]-表格3_5[[#This Row],[Normal working
 hours]]</f>
        <v>0</v>
      </c>
      <c r="N1187" s="205"/>
      <c r="O1187" s="205"/>
      <c r="P1187" s="210">
        <f>(表格3_5[[#This Row],[Out-Time2]] - 表格3_5[[#This Row],[In-Time2]])*24</f>
        <v>0</v>
      </c>
      <c r="Q1187" s="205"/>
      <c r="R1187" s="214">
        <f>_xlfn.XLOOKUP(表格3_5[[#This Row],[Name]],Name_list[Full Name],Name_list[Hourr Rate])</f>
        <v>0</v>
      </c>
      <c r="S1187" s="210">
        <f>表格3_5[[#This Row],[Hours Worked]]*表格3_5[[#This Row],[Hourly Rate]]</f>
        <v>0</v>
      </c>
    </row>
    <row r="1188" spans="1:19">
      <c r="A1188" s="201">
        <v>1186</v>
      </c>
      <c r="B1188" s="210" t="str">
        <f>_xlfn.CONCAT(表格3_5[[#This Row],[Name]],表格3_5[[#This Row],[Location]])</f>
        <v/>
      </c>
      <c r="C1188" s="211" t="str">
        <f>表格3_5[[#This Row],[Location]] &amp; 表格3_5[[#This Row],[Date]] &amp;表格3_5[[#This Row],[Nick Name]]</f>
        <v>0</v>
      </c>
      <c r="D1188" s="202"/>
      <c r="E1188" s="211" t="str">
        <f>DAY(表格3_5[[#This Row],[Date]])&amp;""</f>
        <v>0</v>
      </c>
      <c r="F1188" s="203"/>
      <c r="G1188" s="216">
        <f>_xlfn.XLOOKUP(表格3_5[[#This Row],[Name]],Name_list[Full Name],Name_list[Nick Name])</f>
        <v>0</v>
      </c>
      <c r="H1188" s="207"/>
      <c r="I1188" s="228"/>
      <c r="J1188" s="218"/>
      <c r="K1188" s="205"/>
      <c r="L1188" s="210">
        <f>(表格3_5[[#This Row],[Out-Time]] - 表格3_5[[#This Row],[In-Time]])*24</f>
        <v>0</v>
      </c>
      <c r="M1188" s="210">
        <f>表格3_5[[#This Row],[ Hours]]-表格3_5[[#This Row],[Normal working
 hours]]</f>
        <v>0</v>
      </c>
      <c r="N1188" s="205"/>
      <c r="O1188" s="205"/>
      <c r="P1188" s="210">
        <f>(表格3_5[[#This Row],[Out-Time2]] - 表格3_5[[#This Row],[In-Time2]])*24</f>
        <v>0</v>
      </c>
      <c r="Q1188" s="205"/>
      <c r="R1188" s="214">
        <f>_xlfn.XLOOKUP(表格3_5[[#This Row],[Name]],Name_list[Full Name],Name_list[Hourr Rate])</f>
        <v>0</v>
      </c>
      <c r="S1188" s="210">
        <f>表格3_5[[#This Row],[Hours Worked]]*表格3_5[[#This Row],[Hourly Rate]]</f>
        <v>0</v>
      </c>
    </row>
    <row r="1189" spans="1:19">
      <c r="A1189" s="201">
        <v>1187</v>
      </c>
      <c r="B1189" s="210" t="str">
        <f>_xlfn.CONCAT(表格3_5[[#This Row],[Name]],表格3_5[[#This Row],[Location]])</f>
        <v/>
      </c>
      <c r="C1189" s="211" t="str">
        <f>表格3_5[[#This Row],[Location]] &amp; 表格3_5[[#This Row],[Date]] &amp;表格3_5[[#This Row],[Nick Name]]</f>
        <v>0</v>
      </c>
      <c r="D1189" s="202"/>
      <c r="E1189" s="211" t="str">
        <f>DAY(表格3_5[[#This Row],[Date]])&amp;""</f>
        <v>0</v>
      </c>
      <c r="F1189" s="203"/>
      <c r="G1189" s="216">
        <f>_xlfn.XLOOKUP(表格3_5[[#This Row],[Name]],Name_list[Full Name],Name_list[Nick Name])</f>
        <v>0</v>
      </c>
      <c r="H1189" s="207"/>
      <c r="I1189" s="228"/>
      <c r="J1189" s="218"/>
      <c r="K1189" s="205"/>
      <c r="L1189" s="210">
        <f>(表格3_5[[#This Row],[Out-Time]] - 表格3_5[[#This Row],[In-Time]])*24</f>
        <v>0</v>
      </c>
      <c r="M1189" s="210">
        <f>表格3_5[[#This Row],[ Hours]]-表格3_5[[#This Row],[Normal working
 hours]]</f>
        <v>0</v>
      </c>
      <c r="N1189" s="205"/>
      <c r="O1189" s="205"/>
      <c r="P1189" s="210">
        <f>(表格3_5[[#This Row],[Out-Time2]] - 表格3_5[[#This Row],[In-Time2]])*24</f>
        <v>0</v>
      </c>
      <c r="Q1189" s="205"/>
      <c r="R1189" s="214">
        <f>_xlfn.XLOOKUP(表格3_5[[#This Row],[Name]],Name_list[Full Name],Name_list[Hourr Rate])</f>
        <v>0</v>
      </c>
      <c r="S1189" s="210">
        <f>表格3_5[[#This Row],[Hours Worked]]*表格3_5[[#This Row],[Hourly Rate]]</f>
        <v>0</v>
      </c>
    </row>
    <row r="1190" spans="1:19">
      <c r="A1190" s="201">
        <v>1188</v>
      </c>
      <c r="B1190" s="210" t="str">
        <f>_xlfn.CONCAT(表格3_5[[#This Row],[Name]],表格3_5[[#This Row],[Location]])</f>
        <v/>
      </c>
      <c r="C1190" s="211" t="str">
        <f>表格3_5[[#This Row],[Location]] &amp; 表格3_5[[#This Row],[Date]] &amp;表格3_5[[#This Row],[Nick Name]]</f>
        <v>0</v>
      </c>
      <c r="D1190" s="202"/>
      <c r="E1190" s="211" t="str">
        <f>DAY(表格3_5[[#This Row],[Date]])&amp;""</f>
        <v>0</v>
      </c>
      <c r="F1190" s="203"/>
      <c r="G1190" s="216">
        <f>_xlfn.XLOOKUP(表格3_5[[#This Row],[Name]],Name_list[Full Name],Name_list[Nick Name])</f>
        <v>0</v>
      </c>
      <c r="H1190" s="207"/>
      <c r="I1190" s="228"/>
      <c r="J1190" s="218"/>
      <c r="K1190" s="205"/>
      <c r="L1190" s="210">
        <f>(表格3_5[[#This Row],[Out-Time]] - 表格3_5[[#This Row],[In-Time]])*24</f>
        <v>0</v>
      </c>
      <c r="M1190" s="210">
        <f>表格3_5[[#This Row],[ Hours]]-表格3_5[[#This Row],[Normal working
 hours]]</f>
        <v>0</v>
      </c>
      <c r="N1190" s="205"/>
      <c r="O1190" s="205"/>
      <c r="P1190" s="210">
        <f>(表格3_5[[#This Row],[Out-Time2]] - 表格3_5[[#This Row],[In-Time2]])*24</f>
        <v>0</v>
      </c>
      <c r="Q1190" s="205"/>
      <c r="R1190" s="214">
        <f>_xlfn.XLOOKUP(表格3_5[[#This Row],[Name]],Name_list[Full Name],Name_list[Hourr Rate])</f>
        <v>0</v>
      </c>
      <c r="S1190" s="210">
        <f>表格3_5[[#This Row],[Hours Worked]]*表格3_5[[#This Row],[Hourly Rate]]</f>
        <v>0</v>
      </c>
    </row>
    <row r="1191" spans="1:19">
      <c r="A1191" s="201">
        <v>1189</v>
      </c>
      <c r="B1191" s="210" t="str">
        <f>_xlfn.CONCAT(表格3_5[[#This Row],[Name]],表格3_5[[#This Row],[Location]])</f>
        <v/>
      </c>
      <c r="C1191" s="211" t="str">
        <f>表格3_5[[#This Row],[Location]] &amp; 表格3_5[[#This Row],[Date]] &amp;表格3_5[[#This Row],[Nick Name]]</f>
        <v>0</v>
      </c>
      <c r="D1191" s="202"/>
      <c r="E1191" s="211" t="str">
        <f>DAY(表格3_5[[#This Row],[Date]])&amp;""</f>
        <v>0</v>
      </c>
      <c r="F1191" s="203"/>
      <c r="G1191" s="216">
        <f>_xlfn.XLOOKUP(表格3_5[[#This Row],[Name]],Name_list[Full Name],Name_list[Nick Name])</f>
        <v>0</v>
      </c>
      <c r="H1191" s="207"/>
      <c r="I1191" s="228"/>
      <c r="J1191" s="218"/>
      <c r="K1191" s="205"/>
      <c r="L1191" s="210">
        <f>(表格3_5[[#This Row],[Out-Time]] - 表格3_5[[#This Row],[In-Time]])*24</f>
        <v>0</v>
      </c>
      <c r="M1191" s="210">
        <f>表格3_5[[#This Row],[ Hours]]-表格3_5[[#This Row],[Normal working
 hours]]</f>
        <v>0</v>
      </c>
      <c r="N1191" s="205"/>
      <c r="O1191" s="205"/>
      <c r="P1191" s="210">
        <f>(表格3_5[[#This Row],[Out-Time2]] - 表格3_5[[#This Row],[In-Time2]])*24</f>
        <v>0</v>
      </c>
      <c r="Q1191" s="205"/>
      <c r="R1191" s="214">
        <f>_xlfn.XLOOKUP(表格3_5[[#This Row],[Name]],Name_list[Full Name],Name_list[Hourr Rate])</f>
        <v>0</v>
      </c>
      <c r="S1191" s="210">
        <f>表格3_5[[#This Row],[Hours Worked]]*表格3_5[[#This Row],[Hourly Rate]]</f>
        <v>0</v>
      </c>
    </row>
    <row r="1192" spans="1:19">
      <c r="A1192" s="201">
        <v>1190</v>
      </c>
      <c r="B1192" s="210" t="str">
        <f>_xlfn.CONCAT(表格3_5[[#This Row],[Name]],表格3_5[[#This Row],[Location]])</f>
        <v/>
      </c>
      <c r="C1192" s="211" t="str">
        <f>表格3_5[[#This Row],[Location]] &amp; 表格3_5[[#This Row],[Date]] &amp;表格3_5[[#This Row],[Nick Name]]</f>
        <v>0</v>
      </c>
      <c r="D1192" s="202"/>
      <c r="E1192" s="211" t="str">
        <f>DAY(表格3_5[[#This Row],[Date]])&amp;""</f>
        <v>0</v>
      </c>
      <c r="F1192" s="203"/>
      <c r="G1192" s="216">
        <f>_xlfn.XLOOKUP(表格3_5[[#This Row],[Name]],Name_list[Full Name],Name_list[Nick Name])</f>
        <v>0</v>
      </c>
      <c r="H1192" s="207"/>
      <c r="I1192" s="228"/>
      <c r="J1192" s="218"/>
      <c r="K1192" s="205"/>
      <c r="L1192" s="210">
        <f>(表格3_5[[#This Row],[Out-Time]] - 表格3_5[[#This Row],[In-Time]])*24</f>
        <v>0</v>
      </c>
      <c r="M1192" s="210">
        <f>表格3_5[[#This Row],[ Hours]]-表格3_5[[#This Row],[Normal working
 hours]]</f>
        <v>0</v>
      </c>
      <c r="N1192" s="205"/>
      <c r="O1192" s="205"/>
      <c r="P1192" s="210">
        <f>(表格3_5[[#This Row],[Out-Time2]] - 表格3_5[[#This Row],[In-Time2]])*24</f>
        <v>0</v>
      </c>
      <c r="Q1192" s="205"/>
      <c r="R1192" s="214">
        <f>_xlfn.XLOOKUP(表格3_5[[#This Row],[Name]],Name_list[Full Name],Name_list[Hourr Rate])</f>
        <v>0</v>
      </c>
      <c r="S1192" s="210">
        <f>表格3_5[[#This Row],[Hours Worked]]*表格3_5[[#This Row],[Hourly Rate]]</f>
        <v>0</v>
      </c>
    </row>
    <row r="1193" spans="1:19">
      <c r="A1193" s="201">
        <v>1191</v>
      </c>
      <c r="B1193" s="210" t="str">
        <f>_xlfn.CONCAT(表格3_5[[#This Row],[Name]],表格3_5[[#This Row],[Location]])</f>
        <v/>
      </c>
      <c r="C1193" s="211" t="str">
        <f>表格3_5[[#This Row],[Location]] &amp; 表格3_5[[#This Row],[Date]] &amp;表格3_5[[#This Row],[Nick Name]]</f>
        <v>0</v>
      </c>
      <c r="D1193" s="202"/>
      <c r="E1193" s="211" t="str">
        <f>DAY(表格3_5[[#This Row],[Date]])&amp;""</f>
        <v>0</v>
      </c>
      <c r="F1193" s="203"/>
      <c r="G1193" s="216">
        <f>_xlfn.XLOOKUP(表格3_5[[#This Row],[Name]],Name_list[Full Name],Name_list[Nick Name])</f>
        <v>0</v>
      </c>
      <c r="H1193" s="207"/>
      <c r="I1193" s="228"/>
      <c r="J1193" s="218"/>
      <c r="K1193" s="205"/>
      <c r="L1193" s="210">
        <f>(表格3_5[[#This Row],[Out-Time]] - 表格3_5[[#This Row],[In-Time]])*24</f>
        <v>0</v>
      </c>
      <c r="M1193" s="210">
        <f>表格3_5[[#This Row],[ Hours]]-表格3_5[[#This Row],[Normal working
 hours]]</f>
        <v>0</v>
      </c>
      <c r="N1193" s="205"/>
      <c r="O1193" s="205"/>
      <c r="P1193" s="210">
        <f>(表格3_5[[#This Row],[Out-Time2]] - 表格3_5[[#This Row],[In-Time2]])*24</f>
        <v>0</v>
      </c>
      <c r="Q1193" s="205"/>
      <c r="R1193" s="214">
        <f>_xlfn.XLOOKUP(表格3_5[[#This Row],[Name]],Name_list[Full Name],Name_list[Hourr Rate])</f>
        <v>0</v>
      </c>
      <c r="S1193" s="210">
        <f>表格3_5[[#This Row],[Hours Worked]]*表格3_5[[#This Row],[Hourly Rate]]</f>
        <v>0</v>
      </c>
    </row>
    <row r="1194" spans="1:19">
      <c r="A1194" s="201">
        <v>1192</v>
      </c>
      <c r="B1194" s="210" t="str">
        <f>_xlfn.CONCAT(表格3_5[[#This Row],[Name]],表格3_5[[#This Row],[Location]])</f>
        <v/>
      </c>
      <c r="C1194" s="211" t="str">
        <f>表格3_5[[#This Row],[Location]] &amp; 表格3_5[[#This Row],[Date]] &amp;表格3_5[[#This Row],[Nick Name]]</f>
        <v>0</v>
      </c>
      <c r="D1194" s="202"/>
      <c r="E1194" s="211" t="str">
        <f>DAY(表格3_5[[#This Row],[Date]])&amp;""</f>
        <v>0</v>
      </c>
      <c r="F1194" s="203"/>
      <c r="G1194" s="216">
        <f>_xlfn.XLOOKUP(表格3_5[[#This Row],[Name]],Name_list[Full Name],Name_list[Nick Name])</f>
        <v>0</v>
      </c>
      <c r="H1194" s="207"/>
      <c r="I1194" s="228"/>
      <c r="J1194" s="218"/>
      <c r="K1194" s="205"/>
      <c r="L1194" s="210">
        <f>(表格3_5[[#This Row],[Out-Time]] - 表格3_5[[#This Row],[In-Time]])*24</f>
        <v>0</v>
      </c>
      <c r="M1194" s="210">
        <f>表格3_5[[#This Row],[ Hours]]-表格3_5[[#This Row],[Normal working
 hours]]</f>
        <v>0</v>
      </c>
      <c r="N1194" s="205"/>
      <c r="O1194" s="205"/>
      <c r="P1194" s="210">
        <f>(表格3_5[[#This Row],[Out-Time2]] - 表格3_5[[#This Row],[In-Time2]])*24</f>
        <v>0</v>
      </c>
      <c r="Q1194" s="205"/>
      <c r="R1194" s="214">
        <f>_xlfn.XLOOKUP(表格3_5[[#This Row],[Name]],Name_list[Full Name],Name_list[Hourr Rate])</f>
        <v>0</v>
      </c>
      <c r="S1194" s="210">
        <f>表格3_5[[#This Row],[Hours Worked]]*表格3_5[[#This Row],[Hourly Rate]]</f>
        <v>0</v>
      </c>
    </row>
    <row r="1195" spans="1:19">
      <c r="A1195" s="201">
        <v>1193</v>
      </c>
      <c r="B1195" s="210" t="str">
        <f>_xlfn.CONCAT(表格3_5[[#This Row],[Name]],表格3_5[[#This Row],[Location]])</f>
        <v/>
      </c>
      <c r="C1195" s="211" t="str">
        <f>表格3_5[[#This Row],[Location]] &amp; 表格3_5[[#This Row],[Date]] &amp;表格3_5[[#This Row],[Nick Name]]</f>
        <v>0</v>
      </c>
      <c r="D1195" s="202"/>
      <c r="E1195" s="211" t="str">
        <f>DAY(表格3_5[[#This Row],[Date]])&amp;""</f>
        <v>0</v>
      </c>
      <c r="F1195" s="203"/>
      <c r="G1195" s="216">
        <f>_xlfn.XLOOKUP(表格3_5[[#This Row],[Name]],Name_list[Full Name],Name_list[Nick Name])</f>
        <v>0</v>
      </c>
      <c r="H1195" s="207"/>
      <c r="I1195" s="228"/>
      <c r="J1195" s="218"/>
      <c r="K1195" s="205"/>
      <c r="L1195" s="210">
        <f>(表格3_5[[#This Row],[Out-Time]] - 表格3_5[[#This Row],[In-Time]])*24</f>
        <v>0</v>
      </c>
      <c r="M1195" s="210">
        <f>表格3_5[[#This Row],[ Hours]]-表格3_5[[#This Row],[Normal working
 hours]]</f>
        <v>0</v>
      </c>
      <c r="N1195" s="205"/>
      <c r="O1195" s="205"/>
      <c r="P1195" s="210">
        <f>(表格3_5[[#This Row],[Out-Time2]] - 表格3_5[[#This Row],[In-Time2]])*24</f>
        <v>0</v>
      </c>
      <c r="Q1195" s="205"/>
      <c r="R1195" s="214">
        <f>_xlfn.XLOOKUP(表格3_5[[#This Row],[Name]],Name_list[Full Name],Name_list[Hourr Rate])</f>
        <v>0</v>
      </c>
      <c r="S1195" s="210">
        <f>表格3_5[[#This Row],[Hours Worked]]*表格3_5[[#This Row],[Hourly Rate]]</f>
        <v>0</v>
      </c>
    </row>
    <row r="1196" spans="1:19">
      <c r="A1196" s="201">
        <v>1194</v>
      </c>
      <c r="B1196" s="210" t="str">
        <f>_xlfn.CONCAT(表格3_5[[#This Row],[Name]],表格3_5[[#This Row],[Location]])</f>
        <v/>
      </c>
      <c r="C1196" s="211" t="str">
        <f>表格3_5[[#This Row],[Location]] &amp; 表格3_5[[#This Row],[Date]] &amp;表格3_5[[#This Row],[Nick Name]]</f>
        <v>0</v>
      </c>
      <c r="D1196" s="202"/>
      <c r="E1196" s="211" t="str">
        <f>DAY(表格3_5[[#This Row],[Date]])&amp;""</f>
        <v>0</v>
      </c>
      <c r="F1196" s="203"/>
      <c r="G1196" s="216">
        <f>_xlfn.XLOOKUP(表格3_5[[#This Row],[Name]],Name_list[Full Name],Name_list[Nick Name])</f>
        <v>0</v>
      </c>
      <c r="H1196" s="207"/>
      <c r="I1196" s="228"/>
      <c r="J1196" s="218"/>
      <c r="K1196" s="205"/>
      <c r="L1196" s="210">
        <f>(表格3_5[[#This Row],[Out-Time]] - 表格3_5[[#This Row],[In-Time]])*24</f>
        <v>0</v>
      </c>
      <c r="M1196" s="210">
        <f>表格3_5[[#This Row],[ Hours]]-表格3_5[[#This Row],[Normal working
 hours]]</f>
        <v>0</v>
      </c>
      <c r="N1196" s="205"/>
      <c r="O1196" s="205"/>
      <c r="P1196" s="210">
        <f>(表格3_5[[#This Row],[Out-Time2]] - 表格3_5[[#This Row],[In-Time2]])*24</f>
        <v>0</v>
      </c>
      <c r="Q1196" s="205"/>
      <c r="R1196" s="214">
        <f>_xlfn.XLOOKUP(表格3_5[[#This Row],[Name]],Name_list[Full Name],Name_list[Hourr Rate])</f>
        <v>0</v>
      </c>
      <c r="S1196" s="210">
        <f>表格3_5[[#This Row],[Hours Worked]]*表格3_5[[#This Row],[Hourly Rate]]</f>
        <v>0</v>
      </c>
    </row>
    <row r="1197" spans="1:19">
      <c r="A1197" s="201">
        <v>1195</v>
      </c>
      <c r="B1197" s="210" t="str">
        <f>_xlfn.CONCAT(表格3_5[[#This Row],[Name]],表格3_5[[#This Row],[Location]])</f>
        <v/>
      </c>
      <c r="C1197" s="211" t="str">
        <f>表格3_5[[#This Row],[Location]] &amp; 表格3_5[[#This Row],[Date]] &amp;表格3_5[[#This Row],[Nick Name]]</f>
        <v>0</v>
      </c>
      <c r="D1197" s="202"/>
      <c r="E1197" s="211" t="str">
        <f>DAY(表格3_5[[#This Row],[Date]])&amp;""</f>
        <v>0</v>
      </c>
      <c r="F1197" s="203"/>
      <c r="G1197" s="216">
        <f>_xlfn.XLOOKUP(表格3_5[[#This Row],[Name]],Name_list[Full Name],Name_list[Nick Name])</f>
        <v>0</v>
      </c>
      <c r="H1197" s="207"/>
      <c r="I1197" s="228"/>
      <c r="J1197" s="218"/>
      <c r="K1197" s="205"/>
      <c r="L1197" s="210">
        <f>(表格3_5[[#This Row],[Out-Time]] - 表格3_5[[#This Row],[In-Time]])*24</f>
        <v>0</v>
      </c>
      <c r="M1197" s="210">
        <f>表格3_5[[#This Row],[ Hours]]-表格3_5[[#This Row],[Normal working
 hours]]</f>
        <v>0</v>
      </c>
      <c r="N1197" s="205"/>
      <c r="O1197" s="205"/>
      <c r="P1197" s="210">
        <f>(表格3_5[[#This Row],[Out-Time2]] - 表格3_5[[#This Row],[In-Time2]])*24</f>
        <v>0</v>
      </c>
      <c r="Q1197" s="205"/>
      <c r="R1197" s="214">
        <f>_xlfn.XLOOKUP(表格3_5[[#This Row],[Name]],Name_list[Full Name],Name_list[Hourr Rate])</f>
        <v>0</v>
      </c>
      <c r="S1197" s="210">
        <f>表格3_5[[#This Row],[Hours Worked]]*表格3_5[[#This Row],[Hourly Rate]]</f>
        <v>0</v>
      </c>
    </row>
    <row r="1198" spans="1:19">
      <c r="A1198" s="201">
        <v>1196</v>
      </c>
      <c r="B1198" s="210" t="str">
        <f>_xlfn.CONCAT(表格3_5[[#This Row],[Name]],表格3_5[[#This Row],[Location]])</f>
        <v/>
      </c>
      <c r="C1198" s="211" t="str">
        <f>表格3_5[[#This Row],[Location]] &amp; 表格3_5[[#This Row],[Date]] &amp;表格3_5[[#This Row],[Nick Name]]</f>
        <v>0</v>
      </c>
      <c r="D1198" s="202"/>
      <c r="E1198" s="211" t="str">
        <f>DAY(表格3_5[[#This Row],[Date]])&amp;""</f>
        <v>0</v>
      </c>
      <c r="F1198" s="203"/>
      <c r="G1198" s="216">
        <f>_xlfn.XLOOKUP(表格3_5[[#This Row],[Name]],Name_list[Full Name],Name_list[Nick Name])</f>
        <v>0</v>
      </c>
      <c r="H1198" s="207"/>
      <c r="I1198" s="228"/>
      <c r="J1198" s="218"/>
      <c r="K1198" s="205"/>
      <c r="L1198" s="210">
        <f>(表格3_5[[#This Row],[Out-Time]] - 表格3_5[[#This Row],[In-Time]])*24</f>
        <v>0</v>
      </c>
      <c r="M1198" s="210">
        <f>表格3_5[[#This Row],[ Hours]]-表格3_5[[#This Row],[Normal working
 hours]]</f>
        <v>0</v>
      </c>
      <c r="N1198" s="205"/>
      <c r="O1198" s="205"/>
      <c r="P1198" s="210">
        <f>(表格3_5[[#This Row],[Out-Time2]] - 表格3_5[[#This Row],[In-Time2]])*24</f>
        <v>0</v>
      </c>
      <c r="Q1198" s="205"/>
      <c r="R1198" s="214">
        <f>_xlfn.XLOOKUP(表格3_5[[#This Row],[Name]],Name_list[Full Name],Name_list[Hourr Rate])</f>
        <v>0</v>
      </c>
      <c r="S1198" s="210">
        <f>表格3_5[[#This Row],[Hours Worked]]*表格3_5[[#This Row],[Hourly Rate]]</f>
        <v>0</v>
      </c>
    </row>
    <row r="1199" spans="1:19">
      <c r="A1199" s="201">
        <v>1197</v>
      </c>
      <c r="B1199" s="210" t="str">
        <f>_xlfn.CONCAT(表格3_5[[#This Row],[Name]],表格3_5[[#This Row],[Location]])</f>
        <v/>
      </c>
      <c r="C1199" s="211" t="str">
        <f>表格3_5[[#This Row],[Location]] &amp; 表格3_5[[#This Row],[Date]] &amp;表格3_5[[#This Row],[Nick Name]]</f>
        <v>0</v>
      </c>
      <c r="D1199" s="202"/>
      <c r="E1199" s="211" t="str">
        <f>DAY(表格3_5[[#This Row],[Date]])&amp;""</f>
        <v>0</v>
      </c>
      <c r="F1199" s="203"/>
      <c r="G1199" s="216">
        <f>_xlfn.XLOOKUP(表格3_5[[#This Row],[Name]],Name_list[Full Name],Name_list[Nick Name])</f>
        <v>0</v>
      </c>
      <c r="H1199" s="207"/>
      <c r="I1199" s="228"/>
      <c r="J1199" s="218"/>
      <c r="K1199" s="205"/>
      <c r="L1199" s="210">
        <f>(表格3_5[[#This Row],[Out-Time]] - 表格3_5[[#This Row],[In-Time]])*24</f>
        <v>0</v>
      </c>
      <c r="M1199" s="210">
        <f>表格3_5[[#This Row],[ Hours]]-表格3_5[[#This Row],[Normal working
 hours]]</f>
        <v>0</v>
      </c>
      <c r="N1199" s="205"/>
      <c r="O1199" s="205"/>
      <c r="P1199" s="210">
        <f>(表格3_5[[#This Row],[Out-Time2]] - 表格3_5[[#This Row],[In-Time2]])*24</f>
        <v>0</v>
      </c>
      <c r="Q1199" s="205"/>
      <c r="R1199" s="214">
        <f>_xlfn.XLOOKUP(表格3_5[[#This Row],[Name]],Name_list[Full Name],Name_list[Hourr Rate])</f>
        <v>0</v>
      </c>
      <c r="S1199" s="210">
        <f>表格3_5[[#This Row],[Hours Worked]]*表格3_5[[#This Row],[Hourly Rate]]</f>
        <v>0</v>
      </c>
    </row>
    <row r="1200" spans="1:19">
      <c r="A1200" s="201">
        <v>1198</v>
      </c>
      <c r="B1200" s="210" t="str">
        <f>_xlfn.CONCAT(表格3_5[[#This Row],[Name]],表格3_5[[#This Row],[Location]])</f>
        <v/>
      </c>
      <c r="C1200" s="211" t="str">
        <f>表格3_5[[#This Row],[Location]] &amp; 表格3_5[[#This Row],[Date]] &amp;表格3_5[[#This Row],[Nick Name]]</f>
        <v>0</v>
      </c>
      <c r="D1200" s="202"/>
      <c r="E1200" s="211" t="str">
        <f>DAY(表格3_5[[#This Row],[Date]])&amp;""</f>
        <v>0</v>
      </c>
      <c r="F1200" s="203"/>
      <c r="G1200" s="216">
        <f>_xlfn.XLOOKUP(表格3_5[[#This Row],[Name]],Name_list[Full Name],Name_list[Nick Name])</f>
        <v>0</v>
      </c>
      <c r="H1200" s="207"/>
      <c r="I1200" s="228"/>
      <c r="J1200" s="218"/>
      <c r="K1200" s="205"/>
      <c r="L1200" s="210">
        <f>(表格3_5[[#This Row],[Out-Time]] - 表格3_5[[#This Row],[In-Time]])*24</f>
        <v>0</v>
      </c>
      <c r="M1200" s="210">
        <f>表格3_5[[#This Row],[ Hours]]-表格3_5[[#This Row],[Normal working
 hours]]</f>
        <v>0</v>
      </c>
      <c r="N1200" s="205"/>
      <c r="O1200" s="205"/>
      <c r="P1200" s="210">
        <f>(表格3_5[[#This Row],[Out-Time2]] - 表格3_5[[#This Row],[In-Time2]])*24</f>
        <v>0</v>
      </c>
      <c r="Q1200" s="205"/>
      <c r="R1200" s="214">
        <f>_xlfn.XLOOKUP(表格3_5[[#This Row],[Name]],Name_list[Full Name],Name_list[Hourr Rate])</f>
        <v>0</v>
      </c>
      <c r="S1200" s="210">
        <f>表格3_5[[#This Row],[Hours Worked]]*表格3_5[[#This Row],[Hourly Rate]]</f>
        <v>0</v>
      </c>
    </row>
    <row r="1201" spans="1:19">
      <c r="A1201" s="201">
        <v>1199</v>
      </c>
      <c r="B1201" s="210" t="str">
        <f>_xlfn.CONCAT(表格3_5[[#This Row],[Name]],表格3_5[[#This Row],[Location]])</f>
        <v/>
      </c>
      <c r="C1201" s="211" t="str">
        <f>表格3_5[[#This Row],[Location]] &amp; 表格3_5[[#This Row],[Date]] &amp;表格3_5[[#This Row],[Nick Name]]</f>
        <v>0</v>
      </c>
      <c r="D1201" s="202"/>
      <c r="E1201" s="211" t="str">
        <f>DAY(表格3_5[[#This Row],[Date]])&amp;""</f>
        <v>0</v>
      </c>
      <c r="F1201" s="203"/>
      <c r="G1201" s="216">
        <f>_xlfn.XLOOKUP(表格3_5[[#This Row],[Name]],Name_list[Full Name],Name_list[Nick Name])</f>
        <v>0</v>
      </c>
      <c r="H1201" s="207"/>
      <c r="I1201" s="228"/>
      <c r="J1201" s="218"/>
      <c r="K1201" s="205"/>
      <c r="L1201" s="210">
        <f>(表格3_5[[#This Row],[Out-Time]] - 表格3_5[[#This Row],[In-Time]])*24</f>
        <v>0</v>
      </c>
      <c r="M1201" s="210">
        <f>表格3_5[[#This Row],[ Hours]]-表格3_5[[#This Row],[Normal working
 hours]]</f>
        <v>0</v>
      </c>
      <c r="N1201" s="205"/>
      <c r="O1201" s="205"/>
      <c r="P1201" s="210">
        <f>(表格3_5[[#This Row],[Out-Time2]] - 表格3_5[[#This Row],[In-Time2]])*24</f>
        <v>0</v>
      </c>
      <c r="Q1201" s="205"/>
      <c r="R1201" s="214">
        <f>_xlfn.XLOOKUP(表格3_5[[#This Row],[Name]],Name_list[Full Name],Name_list[Hourr Rate])</f>
        <v>0</v>
      </c>
      <c r="S1201" s="210">
        <f>表格3_5[[#This Row],[Hours Worked]]*表格3_5[[#This Row],[Hourly Rate]]</f>
        <v>0</v>
      </c>
    </row>
    <row r="1202" spans="1:19">
      <c r="A1202" s="201">
        <v>1200</v>
      </c>
      <c r="B1202" s="210" t="str">
        <f>_xlfn.CONCAT(表格3_5[[#This Row],[Name]],表格3_5[[#This Row],[Location]])</f>
        <v/>
      </c>
      <c r="C1202" s="211" t="str">
        <f>表格3_5[[#This Row],[Location]] &amp; 表格3_5[[#This Row],[Date]] &amp;表格3_5[[#This Row],[Nick Name]]</f>
        <v>0</v>
      </c>
      <c r="D1202" s="202"/>
      <c r="E1202" s="211" t="str">
        <f>DAY(表格3_5[[#This Row],[Date]])&amp;""</f>
        <v>0</v>
      </c>
      <c r="F1202" s="203"/>
      <c r="G1202" s="216">
        <f>_xlfn.XLOOKUP(表格3_5[[#This Row],[Name]],Name_list[Full Name],Name_list[Nick Name])</f>
        <v>0</v>
      </c>
      <c r="H1202" s="207"/>
      <c r="I1202" s="228"/>
      <c r="J1202" s="218"/>
      <c r="K1202" s="205"/>
      <c r="L1202" s="210">
        <f>(表格3_5[[#This Row],[Out-Time]] - 表格3_5[[#This Row],[In-Time]])*24</f>
        <v>0</v>
      </c>
      <c r="M1202" s="210">
        <f>表格3_5[[#This Row],[ Hours]]-表格3_5[[#This Row],[Normal working
 hours]]</f>
        <v>0</v>
      </c>
      <c r="N1202" s="205"/>
      <c r="O1202" s="205"/>
      <c r="P1202" s="210">
        <f>(表格3_5[[#This Row],[Out-Time2]] - 表格3_5[[#This Row],[In-Time2]])*24</f>
        <v>0</v>
      </c>
      <c r="Q1202" s="205"/>
      <c r="R1202" s="214">
        <f>_xlfn.XLOOKUP(表格3_5[[#This Row],[Name]],Name_list[Full Name],Name_list[Hourr Rate])</f>
        <v>0</v>
      </c>
      <c r="S1202" s="210">
        <f>表格3_5[[#This Row],[Hours Worked]]*表格3_5[[#This Row],[Hourly Rate]]</f>
        <v>0</v>
      </c>
    </row>
    <row r="1203" spans="1:19">
      <c r="A1203" s="201">
        <v>1201</v>
      </c>
      <c r="B1203" s="210" t="str">
        <f>_xlfn.CONCAT(表格3_5[[#This Row],[Name]],表格3_5[[#This Row],[Location]])</f>
        <v/>
      </c>
      <c r="C1203" s="211" t="str">
        <f>表格3_5[[#This Row],[Location]] &amp; 表格3_5[[#This Row],[Date]] &amp;表格3_5[[#This Row],[Nick Name]]</f>
        <v>0</v>
      </c>
      <c r="D1203" s="202"/>
      <c r="E1203" s="211" t="str">
        <f>DAY(表格3_5[[#This Row],[Date]])&amp;""</f>
        <v>0</v>
      </c>
      <c r="F1203" s="203"/>
      <c r="G1203" s="216">
        <f>_xlfn.XLOOKUP(表格3_5[[#This Row],[Name]],Name_list[Full Name],Name_list[Nick Name])</f>
        <v>0</v>
      </c>
      <c r="H1203" s="207"/>
      <c r="I1203" s="228"/>
      <c r="J1203" s="218"/>
      <c r="K1203" s="205"/>
      <c r="L1203" s="210">
        <f>(表格3_5[[#This Row],[Out-Time]] - 表格3_5[[#This Row],[In-Time]])*24</f>
        <v>0</v>
      </c>
      <c r="M1203" s="210">
        <f>表格3_5[[#This Row],[ Hours]]-表格3_5[[#This Row],[Normal working
 hours]]</f>
        <v>0</v>
      </c>
      <c r="N1203" s="205"/>
      <c r="O1203" s="205"/>
      <c r="P1203" s="210">
        <f>(表格3_5[[#This Row],[Out-Time2]] - 表格3_5[[#This Row],[In-Time2]])*24</f>
        <v>0</v>
      </c>
      <c r="Q1203" s="205"/>
      <c r="R1203" s="214">
        <f>_xlfn.XLOOKUP(表格3_5[[#This Row],[Name]],Name_list[Full Name],Name_list[Hourr Rate])</f>
        <v>0</v>
      </c>
      <c r="S1203" s="210">
        <f>表格3_5[[#This Row],[Hours Worked]]*表格3_5[[#This Row],[Hourly Rate]]</f>
        <v>0</v>
      </c>
    </row>
    <row r="1204" spans="1:19">
      <c r="A1204" s="201">
        <v>1202</v>
      </c>
      <c r="B1204" s="210" t="str">
        <f>_xlfn.CONCAT(表格3_5[[#This Row],[Name]],表格3_5[[#This Row],[Location]])</f>
        <v/>
      </c>
      <c r="C1204" s="211" t="str">
        <f>表格3_5[[#This Row],[Location]] &amp; 表格3_5[[#This Row],[Date]] &amp;表格3_5[[#This Row],[Nick Name]]</f>
        <v>0</v>
      </c>
      <c r="D1204" s="202"/>
      <c r="E1204" s="211" t="str">
        <f>DAY(表格3_5[[#This Row],[Date]])&amp;""</f>
        <v>0</v>
      </c>
      <c r="F1204" s="203"/>
      <c r="G1204" s="216">
        <f>_xlfn.XLOOKUP(表格3_5[[#This Row],[Name]],Name_list[Full Name],Name_list[Nick Name])</f>
        <v>0</v>
      </c>
      <c r="H1204" s="207"/>
      <c r="I1204" s="228"/>
      <c r="J1204" s="218"/>
      <c r="K1204" s="205"/>
      <c r="L1204" s="210">
        <f>(表格3_5[[#This Row],[Out-Time]] - 表格3_5[[#This Row],[In-Time]])*24</f>
        <v>0</v>
      </c>
      <c r="M1204" s="210">
        <f>表格3_5[[#This Row],[ Hours]]-表格3_5[[#This Row],[Normal working
 hours]]</f>
        <v>0</v>
      </c>
      <c r="N1204" s="205"/>
      <c r="O1204" s="205"/>
      <c r="P1204" s="210">
        <f>(表格3_5[[#This Row],[Out-Time2]] - 表格3_5[[#This Row],[In-Time2]])*24</f>
        <v>0</v>
      </c>
      <c r="Q1204" s="205"/>
      <c r="R1204" s="214">
        <f>_xlfn.XLOOKUP(表格3_5[[#This Row],[Name]],Name_list[Full Name],Name_list[Hourr Rate])</f>
        <v>0</v>
      </c>
      <c r="S1204" s="210">
        <f>表格3_5[[#This Row],[Hours Worked]]*表格3_5[[#This Row],[Hourly Rate]]</f>
        <v>0</v>
      </c>
    </row>
    <row r="1205" spans="1:19">
      <c r="A1205" s="201">
        <v>1203</v>
      </c>
      <c r="B1205" s="210" t="str">
        <f>_xlfn.CONCAT(表格3_5[[#This Row],[Name]],表格3_5[[#This Row],[Location]])</f>
        <v/>
      </c>
      <c r="C1205" s="211" t="str">
        <f>表格3_5[[#This Row],[Location]] &amp; 表格3_5[[#This Row],[Date]] &amp;表格3_5[[#This Row],[Nick Name]]</f>
        <v>0</v>
      </c>
      <c r="D1205" s="202"/>
      <c r="E1205" s="211" t="str">
        <f>DAY(表格3_5[[#This Row],[Date]])&amp;""</f>
        <v>0</v>
      </c>
      <c r="F1205" s="203"/>
      <c r="G1205" s="216">
        <f>_xlfn.XLOOKUP(表格3_5[[#This Row],[Name]],Name_list[Full Name],Name_list[Nick Name])</f>
        <v>0</v>
      </c>
      <c r="H1205" s="207"/>
      <c r="I1205" s="228"/>
      <c r="J1205" s="218"/>
      <c r="K1205" s="205"/>
      <c r="L1205" s="210">
        <f>(表格3_5[[#This Row],[Out-Time]] - 表格3_5[[#This Row],[In-Time]])*24</f>
        <v>0</v>
      </c>
      <c r="M1205" s="210">
        <f>表格3_5[[#This Row],[ Hours]]-表格3_5[[#This Row],[Normal working
 hours]]</f>
        <v>0</v>
      </c>
      <c r="N1205" s="205"/>
      <c r="O1205" s="205"/>
      <c r="P1205" s="210">
        <f>(表格3_5[[#This Row],[Out-Time2]] - 表格3_5[[#This Row],[In-Time2]])*24</f>
        <v>0</v>
      </c>
      <c r="Q1205" s="205"/>
      <c r="R1205" s="214">
        <f>_xlfn.XLOOKUP(表格3_5[[#This Row],[Name]],Name_list[Full Name],Name_list[Hourr Rate])</f>
        <v>0</v>
      </c>
      <c r="S1205" s="210">
        <f>表格3_5[[#This Row],[Hours Worked]]*表格3_5[[#This Row],[Hourly Rate]]</f>
        <v>0</v>
      </c>
    </row>
    <row r="1206" spans="1:19">
      <c r="A1206" s="201">
        <v>1204</v>
      </c>
      <c r="B1206" s="210" t="str">
        <f>_xlfn.CONCAT(表格3_5[[#This Row],[Name]],表格3_5[[#This Row],[Location]])</f>
        <v/>
      </c>
      <c r="C1206" s="211" t="str">
        <f>表格3_5[[#This Row],[Location]] &amp; 表格3_5[[#This Row],[Date]] &amp;表格3_5[[#This Row],[Nick Name]]</f>
        <v>0</v>
      </c>
      <c r="D1206" s="202"/>
      <c r="E1206" s="211" t="str">
        <f>DAY(表格3_5[[#This Row],[Date]])&amp;""</f>
        <v>0</v>
      </c>
      <c r="F1206" s="203"/>
      <c r="G1206" s="216">
        <f>_xlfn.XLOOKUP(表格3_5[[#This Row],[Name]],Name_list[Full Name],Name_list[Nick Name])</f>
        <v>0</v>
      </c>
      <c r="H1206" s="207"/>
      <c r="I1206" s="228"/>
      <c r="J1206" s="218"/>
      <c r="K1206" s="205"/>
      <c r="L1206" s="210">
        <f>(表格3_5[[#This Row],[Out-Time]] - 表格3_5[[#This Row],[In-Time]])*24</f>
        <v>0</v>
      </c>
      <c r="M1206" s="210">
        <f>表格3_5[[#This Row],[ Hours]]-表格3_5[[#This Row],[Normal working
 hours]]</f>
        <v>0</v>
      </c>
      <c r="N1206" s="205"/>
      <c r="O1206" s="205"/>
      <c r="P1206" s="210">
        <f>(表格3_5[[#This Row],[Out-Time2]] - 表格3_5[[#This Row],[In-Time2]])*24</f>
        <v>0</v>
      </c>
      <c r="Q1206" s="205"/>
      <c r="R1206" s="214">
        <f>_xlfn.XLOOKUP(表格3_5[[#This Row],[Name]],Name_list[Full Name],Name_list[Hourr Rate])</f>
        <v>0</v>
      </c>
      <c r="S1206" s="210">
        <f>表格3_5[[#This Row],[Hours Worked]]*表格3_5[[#This Row],[Hourly Rate]]</f>
        <v>0</v>
      </c>
    </row>
    <row r="1207" spans="1:19">
      <c r="A1207" s="201">
        <v>1205</v>
      </c>
      <c r="B1207" s="210" t="str">
        <f>_xlfn.CONCAT(表格3_5[[#This Row],[Name]],表格3_5[[#This Row],[Location]])</f>
        <v/>
      </c>
      <c r="C1207" s="211" t="str">
        <f>表格3_5[[#This Row],[Location]] &amp; 表格3_5[[#This Row],[Date]] &amp;表格3_5[[#This Row],[Nick Name]]</f>
        <v>0</v>
      </c>
      <c r="D1207" s="202"/>
      <c r="E1207" s="211" t="str">
        <f>DAY(表格3_5[[#This Row],[Date]])&amp;""</f>
        <v>0</v>
      </c>
      <c r="F1207" s="203"/>
      <c r="G1207" s="216">
        <f>_xlfn.XLOOKUP(表格3_5[[#This Row],[Name]],Name_list[Full Name],Name_list[Nick Name])</f>
        <v>0</v>
      </c>
      <c r="H1207" s="207"/>
      <c r="I1207" s="228"/>
      <c r="J1207" s="218"/>
      <c r="K1207" s="205"/>
      <c r="L1207" s="210">
        <f>(表格3_5[[#This Row],[Out-Time]] - 表格3_5[[#This Row],[In-Time]])*24</f>
        <v>0</v>
      </c>
      <c r="M1207" s="210">
        <f>表格3_5[[#This Row],[ Hours]]-表格3_5[[#This Row],[Normal working
 hours]]</f>
        <v>0</v>
      </c>
      <c r="N1207" s="205"/>
      <c r="O1207" s="205"/>
      <c r="P1207" s="210">
        <f>(表格3_5[[#This Row],[Out-Time2]] - 表格3_5[[#This Row],[In-Time2]])*24</f>
        <v>0</v>
      </c>
      <c r="Q1207" s="205"/>
      <c r="R1207" s="214">
        <f>_xlfn.XLOOKUP(表格3_5[[#This Row],[Name]],Name_list[Full Name],Name_list[Hourr Rate])</f>
        <v>0</v>
      </c>
      <c r="S1207" s="210">
        <f>表格3_5[[#This Row],[Hours Worked]]*表格3_5[[#This Row],[Hourly Rate]]</f>
        <v>0</v>
      </c>
    </row>
    <row r="1208" spans="1:19">
      <c r="A1208" s="201">
        <v>1206</v>
      </c>
      <c r="B1208" s="210" t="str">
        <f>_xlfn.CONCAT(表格3_5[[#This Row],[Name]],表格3_5[[#This Row],[Location]])</f>
        <v/>
      </c>
      <c r="C1208" s="211" t="str">
        <f>表格3_5[[#This Row],[Location]] &amp; 表格3_5[[#This Row],[Date]] &amp;表格3_5[[#This Row],[Nick Name]]</f>
        <v>0</v>
      </c>
      <c r="D1208" s="202"/>
      <c r="E1208" s="211" t="str">
        <f>DAY(表格3_5[[#This Row],[Date]])&amp;""</f>
        <v>0</v>
      </c>
      <c r="F1208" s="203"/>
      <c r="G1208" s="216">
        <f>_xlfn.XLOOKUP(表格3_5[[#This Row],[Name]],Name_list[Full Name],Name_list[Nick Name])</f>
        <v>0</v>
      </c>
      <c r="H1208" s="207"/>
      <c r="I1208" s="228"/>
      <c r="J1208" s="218"/>
      <c r="K1208" s="205"/>
      <c r="L1208" s="210">
        <f>(表格3_5[[#This Row],[Out-Time]] - 表格3_5[[#This Row],[In-Time]])*24</f>
        <v>0</v>
      </c>
      <c r="M1208" s="210">
        <f>表格3_5[[#This Row],[ Hours]]-表格3_5[[#This Row],[Normal working
 hours]]</f>
        <v>0</v>
      </c>
      <c r="N1208" s="205"/>
      <c r="O1208" s="205"/>
      <c r="P1208" s="210">
        <f>(表格3_5[[#This Row],[Out-Time2]] - 表格3_5[[#This Row],[In-Time2]])*24</f>
        <v>0</v>
      </c>
      <c r="Q1208" s="205"/>
      <c r="R1208" s="214">
        <f>_xlfn.XLOOKUP(表格3_5[[#This Row],[Name]],Name_list[Full Name],Name_list[Hourr Rate])</f>
        <v>0</v>
      </c>
      <c r="S1208" s="210">
        <f>表格3_5[[#This Row],[Hours Worked]]*表格3_5[[#This Row],[Hourly Rate]]</f>
        <v>0</v>
      </c>
    </row>
    <row r="1209" spans="1:19">
      <c r="A1209" s="201">
        <v>1207</v>
      </c>
      <c r="B1209" s="210" t="str">
        <f>_xlfn.CONCAT(表格3_5[[#This Row],[Name]],表格3_5[[#This Row],[Location]])</f>
        <v/>
      </c>
      <c r="C1209" s="211" t="str">
        <f>表格3_5[[#This Row],[Location]] &amp; 表格3_5[[#This Row],[Date]] &amp;表格3_5[[#This Row],[Nick Name]]</f>
        <v>0</v>
      </c>
      <c r="D1209" s="202"/>
      <c r="E1209" s="211" t="str">
        <f>DAY(表格3_5[[#This Row],[Date]])&amp;""</f>
        <v>0</v>
      </c>
      <c r="F1209" s="203"/>
      <c r="G1209" s="216">
        <f>_xlfn.XLOOKUP(表格3_5[[#This Row],[Name]],Name_list[Full Name],Name_list[Nick Name])</f>
        <v>0</v>
      </c>
      <c r="H1209" s="207"/>
      <c r="I1209" s="228"/>
      <c r="J1209" s="218"/>
      <c r="K1209" s="205"/>
      <c r="L1209" s="210">
        <f>(表格3_5[[#This Row],[Out-Time]] - 表格3_5[[#This Row],[In-Time]])*24</f>
        <v>0</v>
      </c>
      <c r="M1209" s="210">
        <f>表格3_5[[#This Row],[ Hours]]-表格3_5[[#This Row],[Normal working
 hours]]</f>
        <v>0</v>
      </c>
      <c r="N1209" s="205"/>
      <c r="O1209" s="205"/>
      <c r="P1209" s="210">
        <f>(表格3_5[[#This Row],[Out-Time2]] - 表格3_5[[#This Row],[In-Time2]])*24</f>
        <v>0</v>
      </c>
      <c r="Q1209" s="205"/>
      <c r="R1209" s="214">
        <f>_xlfn.XLOOKUP(表格3_5[[#This Row],[Name]],Name_list[Full Name],Name_list[Hourr Rate])</f>
        <v>0</v>
      </c>
      <c r="S1209" s="210">
        <f>表格3_5[[#This Row],[Hours Worked]]*表格3_5[[#This Row],[Hourly Rate]]</f>
        <v>0</v>
      </c>
    </row>
    <row r="1210" spans="1:19">
      <c r="A1210" s="201">
        <v>1208</v>
      </c>
      <c r="B1210" s="210" t="str">
        <f>_xlfn.CONCAT(表格3_5[[#This Row],[Name]],表格3_5[[#This Row],[Location]])</f>
        <v/>
      </c>
      <c r="C1210" s="211" t="str">
        <f>表格3_5[[#This Row],[Location]] &amp; 表格3_5[[#This Row],[Date]] &amp;表格3_5[[#This Row],[Nick Name]]</f>
        <v>0</v>
      </c>
      <c r="D1210" s="202"/>
      <c r="E1210" s="211" t="str">
        <f>DAY(表格3_5[[#This Row],[Date]])&amp;""</f>
        <v>0</v>
      </c>
      <c r="F1210" s="203"/>
      <c r="G1210" s="216">
        <f>_xlfn.XLOOKUP(表格3_5[[#This Row],[Name]],Name_list[Full Name],Name_list[Nick Name])</f>
        <v>0</v>
      </c>
      <c r="H1210" s="207"/>
      <c r="I1210" s="228"/>
      <c r="J1210" s="218"/>
      <c r="K1210" s="205"/>
      <c r="L1210" s="210">
        <f>(表格3_5[[#This Row],[Out-Time]] - 表格3_5[[#This Row],[In-Time]])*24</f>
        <v>0</v>
      </c>
      <c r="M1210" s="210">
        <f>表格3_5[[#This Row],[ Hours]]-表格3_5[[#This Row],[Normal working
 hours]]</f>
        <v>0</v>
      </c>
      <c r="N1210" s="205"/>
      <c r="O1210" s="205"/>
      <c r="P1210" s="210">
        <f>(表格3_5[[#This Row],[Out-Time2]] - 表格3_5[[#This Row],[In-Time2]])*24</f>
        <v>0</v>
      </c>
      <c r="Q1210" s="205"/>
      <c r="R1210" s="214">
        <f>_xlfn.XLOOKUP(表格3_5[[#This Row],[Name]],Name_list[Full Name],Name_list[Hourr Rate])</f>
        <v>0</v>
      </c>
      <c r="S1210" s="210">
        <f>表格3_5[[#This Row],[Hours Worked]]*表格3_5[[#This Row],[Hourly Rate]]</f>
        <v>0</v>
      </c>
    </row>
    <row r="1211" spans="1:19">
      <c r="A1211" s="201">
        <v>1209</v>
      </c>
      <c r="B1211" s="210" t="str">
        <f>_xlfn.CONCAT(表格3_5[[#This Row],[Name]],表格3_5[[#This Row],[Location]])</f>
        <v/>
      </c>
      <c r="C1211" s="211" t="str">
        <f>表格3_5[[#This Row],[Location]] &amp; 表格3_5[[#This Row],[Date]] &amp;表格3_5[[#This Row],[Nick Name]]</f>
        <v>0</v>
      </c>
      <c r="D1211" s="202"/>
      <c r="E1211" s="211" t="str">
        <f>DAY(表格3_5[[#This Row],[Date]])&amp;""</f>
        <v>0</v>
      </c>
      <c r="F1211" s="203"/>
      <c r="G1211" s="216">
        <f>_xlfn.XLOOKUP(表格3_5[[#This Row],[Name]],Name_list[Full Name],Name_list[Nick Name])</f>
        <v>0</v>
      </c>
      <c r="H1211" s="207"/>
      <c r="I1211" s="228"/>
      <c r="J1211" s="218"/>
      <c r="K1211" s="205"/>
      <c r="L1211" s="210">
        <f>(表格3_5[[#This Row],[Out-Time]] - 表格3_5[[#This Row],[In-Time]])*24</f>
        <v>0</v>
      </c>
      <c r="M1211" s="210">
        <f>表格3_5[[#This Row],[ Hours]]-表格3_5[[#This Row],[Normal working
 hours]]</f>
        <v>0</v>
      </c>
      <c r="N1211" s="205"/>
      <c r="O1211" s="205"/>
      <c r="P1211" s="210">
        <f>(表格3_5[[#This Row],[Out-Time2]] - 表格3_5[[#This Row],[In-Time2]])*24</f>
        <v>0</v>
      </c>
      <c r="Q1211" s="205"/>
      <c r="R1211" s="214">
        <f>_xlfn.XLOOKUP(表格3_5[[#This Row],[Name]],Name_list[Full Name],Name_list[Hourr Rate])</f>
        <v>0</v>
      </c>
      <c r="S1211" s="210">
        <f>表格3_5[[#This Row],[Hours Worked]]*表格3_5[[#This Row],[Hourly Rate]]</f>
        <v>0</v>
      </c>
    </row>
    <row r="1212" spans="1:19">
      <c r="A1212" s="201">
        <v>1210</v>
      </c>
      <c r="B1212" s="210" t="str">
        <f>_xlfn.CONCAT(表格3_5[[#This Row],[Name]],表格3_5[[#This Row],[Location]])</f>
        <v/>
      </c>
      <c r="C1212" s="211" t="str">
        <f>表格3_5[[#This Row],[Location]] &amp; 表格3_5[[#This Row],[Date]] &amp;表格3_5[[#This Row],[Nick Name]]</f>
        <v>0</v>
      </c>
      <c r="D1212" s="202"/>
      <c r="E1212" s="211" t="str">
        <f>DAY(表格3_5[[#This Row],[Date]])&amp;""</f>
        <v>0</v>
      </c>
      <c r="F1212" s="203"/>
      <c r="G1212" s="216">
        <f>_xlfn.XLOOKUP(表格3_5[[#This Row],[Name]],Name_list[Full Name],Name_list[Nick Name])</f>
        <v>0</v>
      </c>
      <c r="H1212" s="207"/>
      <c r="I1212" s="228"/>
      <c r="J1212" s="218"/>
      <c r="K1212" s="205"/>
      <c r="L1212" s="210">
        <f>(表格3_5[[#This Row],[Out-Time]] - 表格3_5[[#This Row],[In-Time]])*24</f>
        <v>0</v>
      </c>
      <c r="M1212" s="210">
        <f>表格3_5[[#This Row],[ Hours]]-表格3_5[[#This Row],[Normal working
 hours]]</f>
        <v>0</v>
      </c>
      <c r="N1212" s="205"/>
      <c r="O1212" s="205"/>
      <c r="P1212" s="210">
        <f>(表格3_5[[#This Row],[Out-Time2]] - 表格3_5[[#This Row],[In-Time2]])*24</f>
        <v>0</v>
      </c>
      <c r="Q1212" s="205"/>
      <c r="R1212" s="214">
        <f>_xlfn.XLOOKUP(表格3_5[[#This Row],[Name]],Name_list[Full Name],Name_list[Hourr Rate])</f>
        <v>0</v>
      </c>
      <c r="S1212" s="210">
        <f>表格3_5[[#This Row],[Hours Worked]]*表格3_5[[#This Row],[Hourly Rate]]</f>
        <v>0</v>
      </c>
    </row>
    <row r="1213" spans="1:19">
      <c r="A1213" s="201">
        <v>1211</v>
      </c>
      <c r="B1213" s="210" t="str">
        <f>_xlfn.CONCAT(表格3_5[[#This Row],[Name]],表格3_5[[#This Row],[Location]])</f>
        <v/>
      </c>
      <c r="C1213" s="211" t="str">
        <f>表格3_5[[#This Row],[Location]] &amp; 表格3_5[[#This Row],[Date]] &amp;表格3_5[[#This Row],[Nick Name]]</f>
        <v>0</v>
      </c>
      <c r="D1213" s="202"/>
      <c r="E1213" s="211" t="str">
        <f>DAY(表格3_5[[#This Row],[Date]])&amp;""</f>
        <v>0</v>
      </c>
      <c r="F1213" s="203"/>
      <c r="G1213" s="216">
        <f>_xlfn.XLOOKUP(表格3_5[[#This Row],[Name]],Name_list[Full Name],Name_list[Nick Name])</f>
        <v>0</v>
      </c>
      <c r="H1213" s="207"/>
      <c r="I1213" s="228"/>
      <c r="J1213" s="218"/>
      <c r="K1213" s="205"/>
      <c r="L1213" s="210">
        <f>(表格3_5[[#This Row],[Out-Time]] - 表格3_5[[#This Row],[In-Time]])*24</f>
        <v>0</v>
      </c>
      <c r="M1213" s="210">
        <f>表格3_5[[#This Row],[ Hours]]-表格3_5[[#This Row],[Normal working
 hours]]</f>
        <v>0</v>
      </c>
      <c r="N1213" s="205"/>
      <c r="O1213" s="205"/>
      <c r="P1213" s="210">
        <f>(表格3_5[[#This Row],[Out-Time2]] - 表格3_5[[#This Row],[In-Time2]])*24</f>
        <v>0</v>
      </c>
      <c r="Q1213" s="205"/>
      <c r="R1213" s="214">
        <f>_xlfn.XLOOKUP(表格3_5[[#This Row],[Name]],Name_list[Full Name],Name_list[Hourr Rate])</f>
        <v>0</v>
      </c>
      <c r="S1213" s="210">
        <f>表格3_5[[#This Row],[Hours Worked]]*表格3_5[[#This Row],[Hourly Rate]]</f>
        <v>0</v>
      </c>
    </row>
    <row r="1214" spans="1:19">
      <c r="A1214" s="201">
        <v>1212</v>
      </c>
      <c r="B1214" s="210" t="str">
        <f>_xlfn.CONCAT(表格3_5[[#This Row],[Name]],表格3_5[[#This Row],[Location]])</f>
        <v/>
      </c>
      <c r="C1214" s="211" t="str">
        <f>表格3_5[[#This Row],[Location]] &amp; 表格3_5[[#This Row],[Date]] &amp;表格3_5[[#This Row],[Nick Name]]</f>
        <v>0</v>
      </c>
      <c r="D1214" s="202"/>
      <c r="E1214" s="211" t="str">
        <f>DAY(表格3_5[[#This Row],[Date]])&amp;""</f>
        <v>0</v>
      </c>
      <c r="F1214" s="203"/>
      <c r="G1214" s="216">
        <f>_xlfn.XLOOKUP(表格3_5[[#This Row],[Name]],Name_list[Full Name],Name_list[Nick Name])</f>
        <v>0</v>
      </c>
      <c r="H1214" s="207"/>
      <c r="I1214" s="228"/>
      <c r="J1214" s="218"/>
      <c r="K1214" s="205"/>
      <c r="L1214" s="210">
        <f>(表格3_5[[#This Row],[Out-Time]] - 表格3_5[[#This Row],[In-Time]])*24</f>
        <v>0</v>
      </c>
      <c r="M1214" s="210">
        <f>表格3_5[[#This Row],[ Hours]]-表格3_5[[#This Row],[Normal working
 hours]]</f>
        <v>0</v>
      </c>
      <c r="N1214" s="205"/>
      <c r="O1214" s="205"/>
      <c r="P1214" s="210">
        <f>(表格3_5[[#This Row],[Out-Time2]] - 表格3_5[[#This Row],[In-Time2]])*24</f>
        <v>0</v>
      </c>
      <c r="Q1214" s="205"/>
      <c r="R1214" s="214">
        <f>_xlfn.XLOOKUP(表格3_5[[#This Row],[Name]],Name_list[Full Name],Name_list[Hourr Rate])</f>
        <v>0</v>
      </c>
      <c r="S1214" s="210">
        <f>表格3_5[[#This Row],[Hours Worked]]*表格3_5[[#This Row],[Hourly Rate]]</f>
        <v>0</v>
      </c>
    </row>
    <row r="1215" spans="1:19">
      <c r="A1215" s="201">
        <v>1213</v>
      </c>
      <c r="B1215" s="210" t="str">
        <f>_xlfn.CONCAT(表格3_5[[#This Row],[Name]],表格3_5[[#This Row],[Location]])</f>
        <v/>
      </c>
      <c r="C1215" s="211" t="str">
        <f>表格3_5[[#This Row],[Location]] &amp; 表格3_5[[#This Row],[Date]] &amp;表格3_5[[#This Row],[Nick Name]]</f>
        <v>0</v>
      </c>
      <c r="D1215" s="202"/>
      <c r="E1215" s="211" t="str">
        <f>DAY(表格3_5[[#This Row],[Date]])&amp;""</f>
        <v>0</v>
      </c>
      <c r="F1215" s="203"/>
      <c r="G1215" s="216">
        <f>_xlfn.XLOOKUP(表格3_5[[#This Row],[Name]],Name_list[Full Name],Name_list[Nick Name])</f>
        <v>0</v>
      </c>
      <c r="H1215" s="207"/>
      <c r="I1215" s="228"/>
      <c r="J1215" s="218"/>
      <c r="K1215" s="205"/>
      <c r="L1215" s="210">
        <f>(表格3_5[[#This Row],[Out-Time]] - 表格3_5[[#This Row],[In-Time]])*24</f>
        <v>0</v>
      </c>
      <c r="M1215" s="210">
        <f>表格3_5[[#This Row],[ Hours]]-表格3_5[[#This Row],[Normal working
 hours]]</f>
        <v>0</v>
      </c>
      <c r="N1215" s="205"/>
      <c r="O1215" s="205"/>
      <c r="P1215" s="210">
        <f>(表格3_5[[#This Row],[Out-Time2]] - 表格3_5[[#This Row],[In-Time2]])*24</f>
        <v>0</v>
      </c>
      <c r="Q1215" s="205"/>
      <c r="R1215" s="214">
        <f>_xlfn.XLOOKUP(表格3_5[[#This Row],[Name]],Name_list[Full Name],Name_list[Hourr Rate])</f>
        <v>0</v>
      </c>
      <c r="S1215" s="210">
        <f>表格3_5[[#This Row],[Hours Worked]]*表格3_5[[#This Row],[Hourly Rate]]</f>
        <v>0</v>
      </c>
    </row>
    <row r="1216" spans="1:19">
      <c r="A1216" s="201">
        <v>1214</v>
      </c>
      <c r="B1216" s="210" t="str">
        <f>_xlfn.CONCAT(表格3_5[[#This Row],[Name]],表格3_5[[#This Row],[Location]])</f>
        <v/>
      </c>
      <c r="C1216" s="211" t="str">
        <f>表格3_5[[#This Row],[Location]] &amp; 表格3_5[[#This Row],[Date]] &amp;表格3_5[[#This Row],[Nick Name]]</f>
        <v>0</v>
      </c>
      <c r="D1216" s="202"/>
      <c r="E1216" s="211" t="str">
        <f>DAY(表格3_5[[#This Row],[Date]])&amp;""</f>
        <v>0</v>
      </c>
      <c r="F1216" s="203"/>
      <c r="G1216" s="216">
        <f>_xlfn.XLOOKUP(表格3_5[[#This Row],[Name]],Name_list[Full Name],Name_list[Nick Name])</f>
        <v>0</v>
      </c>
      <c r="H1216" s="207"/>
      <c r="I1216" s="228"/>
      <c r="J1216" s="218"/>
      <c r="K1216" s="205"/>
      <c r="L1216" s="210">
        <f>(表格3_5[[#This Row],[Out-Time]] - 表格3_5[[#This Row],[In-Time]])*24</f>
        <v>0</v>
      </c>
      <c r="M1216" s="210">
        <f>表格3_5[[#This Row],[ Hours]]-表格3_5[[#This Row],[Normal working
 hours]]</f>
        <v>0</v>
      </c>
      <c r="N1216" s="205"/>
      <c r="O1216" s="205"/>
      <c r="P1216" s="210">
        <f>(表格3_5[[#This Row],[Out-Time2]] - 表格3_5[[#This Row],[In-Time2]])*24</f>
        <v>0</v>
      </c>
      <c r="Q1216" s="205"/>
      <c r="R1216" s="214">
        <f>_xlfn.XLOOKUP(表格3_5[[#This Row],[Name]],Name_list[Full Name],Name_list[Hourr Rate])</f>
        <v>0</v>
      </c>
      <c r="S1216" s="210">
        <f>表格3_5[[#This Row],[Hours Worked]]*表格3_5[[#This Row],[Hourly Rate]]</f>
        <v>0</v>
      </c>
    </row>
    <row r="1217" spans="1:19">
      <c r="A1217" s="201">
        <v>1215</v>
      </c>
      <c r="B1217" s="210" t="str">
        <f>_xlfn.CONCAT(表格3_5[[#This Row],[Name]],表格3_5[[#This Row],[Location]])</f>
        <v/>
      </c>
      <c r="C1217" s="211" t="str">
        <f>表格3_5[[#This Row],[Location]] &amp; 表格3_5[[#This Row],[Date]] &amp;表格3_5[[#This Row],[Nick Name]]</f>
        <v>0</v>
      </c>
      <c r="D1217" s="202"/>
      <c r="E1217" s="211" t="str">
        <f>DAY(表格3_5[[#This Row],[Date]])&amp;""</f>
        <v>0</v>
      </c>
      <c r="F1217" s="203"/>
      <c r="G1217" s="216">
        <f>_xlfn.XLOOKUP(表格3_5[[#This Row],[Name]],Name_list[Full Name],Name_list[Nick Name])</f>
        <v>0</v>
      </c>
      <c r="H1217" s="207"/>
      <c r="I1217" s="228"/>
      <c r="J1217" s="218"/>
      <c r="K1217" s="205"/>
      <c r="L1217" s="210">
        <f>(表格3_5[[#This Row],[Out-Time]] - 表格3_5[[#This Row],[In-Time]])*24</f>
        <v>0</v>
      </c>
      <c r="M1217" s="210">
        <f>表格3_5[[#This Row],[ Hours]]-表格3_5[[#This Row],[Normal working
 hours]]</f>
        <v>0</v>
      </c>
      <c r="N1217" s="205"/>
      <c r="O1217" s="205"/>
      <c r="P1217" s="210">
        <f>(表格3_5[[#This Row],[Out-Time2]] - 表格3_5[[#This Row],[In-Time2]])*24</f>
        <v>0</v>
      </c>
      <c r="Q1217" s="205"/>
      <c r="R1217" s="214">
        <f>_xlfn.XLOOKUP(表格3_5[[#This Row],[Name]],Name_list[Full Name],Name_list[Hourr Rate])</f>
        <v>0</v>
      </c>
      <c r="S1217" s="210">
        <f>表格3_5[[#This Row],[Hours Worked]]*表格3_5[[#This Row],[Hourly Rate]]</f>
        <v>0</v>
      </c>
    </row>
    <row r="1218" spans="1:19">
      <c r="A1218" s="201">
        <v>1216</v>
      </c>
      <c r="B1218" s="210" t="str">
        <f>_xlfn.CONCAT(表格3_5[[#This Row],[Name]],表格3_5[[#This Row],[Location]])</f>
        <v/>
      </c>
      <c r="C1218" s="211" t="str">
        <f>表格3_5[[#This Row],[Location]] &amp; 表格3_5[[#This Row],[Date]] &amp;表格3_5[[#This Row],[Nick Name]]</f>
        <v>0</v>
      </c>
      <c r="D1218" s="202"/>
      <c r="E1218" s="211" t="str">
        <f>DAY(表格3_5[[#This Row],[Date]])&amp;""</f>
        <v>0</v>
      </c>
      <c r="F1218" s="203"/>
      <c r="G1218" s="216">
        <f>_xlfn.XLOOKUP(表格3_5[[#This Row],[Name]],Name_list[Full Name],Name_list[Nick Name])</f>
        <v>0</v>
      </c>
      <c r="H1218" s="207"/>
      <c r="I1218" s="228"/>
      <c r="J1218" s="218"/>
      <c r="K1218" s="205"/>
      <c r="L1218" s="210">
        <f>(表格3_5[[#This Row],[Out-Time]] - 表格3_5[[#This Row],[In-Time]])*24</f>
        <v>0</v>
      </c>
      <c r="M1218" s="210">
        <f>表格3_5[[#This Row],[ Hours]]-表格3_5[[#This Row],[Normal working
 hours]]</f>
        <v>0</v>
      </c>
      <c r="N1218" s="205"/>
      <c r="O1218" s="205"/>
      <c r="P1218" s="210">
        <f>(表格3_5[[#This Row],[Out-Time2]] - 表格3_5[[#This Row],[In-Time2]])*24</f>
        <v>0</v>
      </c>
      <c r="Q1218" s="205"/>
      <c r="R1218" s="214">
        <f>_xlfn.XLOOKUP(表格3_5[[#This Row],[Name]],Name_list[Full Name],Name_list[Hourr Rate])</f>
        <v>0</v>
      </c>
      <c r="S1218" s="210">
        <f>表格3_5[[#This Row],[Hours Worked]]*表格3_5[[#This Row],[Hourly Rate]]</f>
        <v>0</v>
      </c>
    </row>
    <row r="1219" spans="1:19">
      <c r="A1219" s="201">
        <v>1217</v>
      </c>
      <c r="B1219" s="210" t="str">
        <f>_xlfn.CONCAT(表格3_5[[#This Row],[Name]],表格3_5[[#This Row],[Location]])</f>
        <v/>
      </c>
      <c r="C1219" s="211" t="str">
        <f>表格3_5[[#This Row],[Location]] &amp; 表格3_5[[#This Row],[Date]] &amp;表格3_5[[#This Row],[Nick Name]]</f>
        <v>0</v>
      </c>
      <c r="D1219" s="202"/>
      <c r="E1219" s="211" t="str">
        <f>DAY(表格3_5[[#This Row],[Date]])&amp;""</f>
        <v>0</v>
      </c>
      <c r="F1219" s="203"/>
      <c r="G1219" s="216">
        <f>_xlfn.XLOOKUP(表格3_5[[#This Row],[Name]],Name_list[Full Name],Name_list[Nick Name])</f>
        <v>0</v>
      </c>
      <c r="H1219" s="207"/>
      <c r="I1219" s="228"/>
      <c r="J1219" s="218"/>
      <c r="K1219" s="205"/>
      <c r="L1219" s="210">
        <f>(表格3_5[[#This Row],[Out-Time]] - 表格3_5[[#This Row],[In-Time]])*24</f>
        <v>0</v>
      </c>
      <c r="M1219" s="210">
        <f>表格3_5[[#This Row],[ Hours]]-表格3_5[[#This Row],[Normal working
 hours]]</f>
        <v>0</v>
      </c>
      <c r="N1219" s="205"/>
      <c r="O1219" s="205"/>
      <c r="P1219" s="210">
        <f>(表格3_5[[#This Row],[Out-Time2]] - 表格3_5[[#This Row],[In-Time2]])*24</f>
        <v>0</v>
      </c>
      <c r="Q1219" s="205"/>
      <c r="R1219" s="214">
        <f>_xlfn.XLOOKUP(表格3_5[[#This Row],[Name]],Name_list[Full Name],Name_list[Hourr Rate])</f>
        <v>0</v>
      </c>
      <c r="S1219" s="210">
        <f>表格3_5[[#This Row],[Hours Worked]]*表格3_5[[#This Row],[Hourly Rate]]</f>
        <v>0</v>
      </c>
    </row>
    <row r="1220" spans="1:19">
      <c r="A1220" s="201">
        <v>1218</v>
      </c>
      <c r="B1220" s="210" t="str">
        <f>_xlfn.CONCAT(表格3_5[[#This Row],[Name]],表格3_5[[#This Row],[Location]])</f>
        <v/>
      </c>
      <c r="C1220" s="211" t="str">
        <f>表格3_5[[#This Row],[Location]] &amp; 表格3_5[[#This Row],[Date]] &amp;表格3_5[[#This Row],[Nick Name]]</f>
        <v>0</v>
      </c>
      <c r="D1220" s="202"/>
      <c r="E1220" s="211" t="str">
        <f>DAY(表格3_5[[#This Row],[Date]])&amp;""</f>
        <v>0</v>
      </c>
      <c r="F1220" s="203"/>
      <c r="G1220" s="216">
        <f>_xlfn.XLOOKUP(表格3_5[[#This Row],[Name]],Name_list[Full Name],Name_list[Nick Name])</f>
        <v>0</v>
      </c>
      <c r="H1220" s="207"/>
      <c r="I1220" s="228"/>
      <c r="J1220" s="218"/>
      <c r="K1220" s="205"/>
      <c r="L1220" s="210">
        <f>(表格3_5[[#This Row],[Out-Time]] - 表格3_5[[#This Row],[In-Time]])*24</f>
        <v>0</v>
      </c>
      <c r="M1220" s="210">
        <f>表格3_5[[#This Row],[ Hours]]-表格3_5[[#This Row],[Normal working
 hours]]</f>
        <v>0</v>
      </c>
      <c r="N1220" s="205"/>
      <c r="O1220" s="205"/>
      <c r="P1220" s="210">
        <f>(表格3_5[[#This Row],[Out-Time2]] - 表格3_5[[#This Row],[In-Time2]])*24</f>
        <v>0</v>
      </c>
      <c r="Q1220" s="205"/>
      <c r="R1220" s="214">
        <f>_xlfn.XLOOKUP(表格3_5[[#This Row],[Name]],Name_list[Full Name],Name_list[Hourr Rate])</f>
        <v>0</v>
      </c>
      <c r="S1220" s="210">
        <f>表格3_5[[#This Row],[Hours Worked]]*表格3_5[[#This Row],[Hourly Rate]]</f>
        <v>0</v>
      </c>
    </row>
    <row r="1221" spans="1:19">
      <c r="A1221" s="201">
        <v>1219</v>
      </c>
      <c r="B1221" s="210" t="str">
        <f>_xlfn.CONCAT(表格3_5[[#This Row],[Name]],表格3_5[[#This Row],[Location]])</f>
        <v/>
      </c>
      <c r="C1221" s="211" t="str">
        <f>表格3_5[[#This Row],[Location]] &amp; 表格3_5[[#This Row],[Date]] &amp;表格3_5[[#This Row],[Nick Name]]</f>
        <v>0</v>
      </c>
      <c r="D1221" s="202"/>
      <c r="E1221" s="211" t="str">
        <f>DAY(表格3_5[[#This Row],[Date]])&amp;""</f>
        <v>0</v>
      </c>
      <c r="F1221" s="203"/>
      <c r="G1221" s="216">
        <f>_xlfn.XLOOKUP(表格3_5[[#This Row],[Name]],Name_list[Full Name],Name_list[Nick Name])</f>
        <v>0</v>
      </c>
      <c r="H1221" s="207"/>
      <c r="I1221" s="228"/>
      <c r="J1221" s="218"/>
      <c r="K1221" s="205"/>
      <c r="L1221" s="210">
        <f>(表格3_5[[#This Row],[Out-Time]] - 表格3_5[[#This Row],[In-Time]])*24</f>
        <v>0</v>
      </c>
      <c r="M1221" s="210">
        <f>表格3_5[[#This Row],[ Hours]]-表格3_5[[#This Row],[Normal working
 hours]]</f>
        <v>0</v>
      </c>
      <c r="N1221" s="205"/>
      <c r="O1221" s="205"/>
      <c r="P1221" s="210">
        <f>(表格3_5[[#This Row],[Out-Time2]] - 表格3_5[[#This Row],[In-Time2]])*24</f>
        <v>0</v>
      </c>
      <c r="Q1221" s="205"/>
      <c r="R1221" s="214">
        <f>_xlfn.XLOOKUP(表格3_5[[#This Row],[Name]],Name_list[Full Name],Name_list[Hourr Rate])</f>
        <v>0</v>
      </c>
      <c r="S1221" s="210">
        <f>表格3_5[[#This Row],[Hours Worked]]*表格3_5[[#This Row],[Hourly Rate]]</f>
        <v>0</v>
      </c>
    </row>
    <row r="1222" spans="1:19">
      <c r="A1222" s="201">
        <v>1220</v>
      </c>
      <c r="B1222" s="210" t="str">
        <f>_xlfn.CONCAT(表格3_5[[#This Row],[Name]],表格3_5[[#This Row],[Location]])</f>
        <v/>
      </c>
      <c r="C1222" s="211" t="str">
        <f>表格3_5[[#This Row],[Location]] &amp; 表格3_5[[#This Row],[Date]] &amp;表格3_5[[#This Row],[Nick Name]]</f>
        <v>0</v>
      </c>
      <c r="D1222" s="202"/>
      <c r="E1222" s="211" t="str">
        <f>DAY(表格3_5[[#This Row],[Date]])&amp;""</f>
        <v>0</v>
      </c>
      <c r="F1222" s="203"/>
      <c r="G1222" s="216">
        <f>_xlfn.XLOOKUP(表格3_5[[#This Row],[Name]],Name_list[Full Name],Name_list[Nick Name])</f>
        <v>0</v>
      </c>
      <c r="H1222" s="207"/>
      <c r="I1222" s="228"/>
      <c r="J1222" s="218"/>
      <c r="K1222" s="205"/>
      <c r="L1222" s="210">
        <f>(表格3_5[[#This Row],[Out-Time]] - 表格3_5[[#This Row],[In-Time]])*24</f>
        <v>0</v>
      </c>
      <c r="M1222" s="210">
        <f>表格3_5[[#This Row],[ Hours]]-表格3_5[[#This Row],[Normal working
 hours]]</f>
        <v>0</v>
      </c>
      <c r="N1222" s="205"/>
      <c r="O1222" s="205"/>
      <c r="P1222" s="210">
        <f>(表格3_5[[#This Row],[Out-Time2]] - 表格3_5[[#This Row],[In-Time2]])*24</f>
        <v>0</v>
      </c>
      <c r="Q1222" s="205"/>
      <c r="R1222" s="214">
        <f>_xlfn.XLOOKUP(表格3_5[[#This Row],[Name]],Name_list[Full Name],Name_list[Hourr Rate])</f>
        <v>0</v>
      </c>
      <c r="S1222" s="210">
        <f>表格3_5[[#This Row],[Hours Worked]]*表格3_5[[#This Row],[Hourly Rate]]</f>
        <v>0</v>
      </c>
    </row>
    <row r="1223" spans="1:19">
      <c r="A1223" s="201">
        <v>1221</v>
      </c>
      <c r="B1223" s="210" t="str">
        <f>_xlfn.CONCAT(表格3_5[[#This Row],[Name]],表格3_5[[#This Row],[Location]])</f>
        <v/>
      </c>
      <c r="C1223" s="211" t="str">
        <f>表格3_5[[#This Row],[Location]] &amp; 表格3_5[[#This Row],[Date]] &amp;表格3_5[[#This Row],[Nick Name]]</f>
        <v>0</v>
      </c>
      <c r="D1223" s="202"/>
      <c r="E1223" s="211" t="str">
        <f>DAY(表格3_5[[#This Row],[Date]])&amp;""</f>
        <v>0</v>
      </c>
      <c r="F1223" s="203"/>
      <c r="G1223" s="216">
        <f>_xlfn.XLOOKUP(表格3_5[[#This Row],[Name]],Name_list[Full Name],Name_list[Nick Name])</f>
        <v>0</v>
      </c>
      <c r="H1223" s="207"/>
      <c r="I1223" s="228"/>
      <c r="J1223" s="218"/>
      <c r="K1223" s="205"/>
      <c r="L1223" s="210">
        <f>(表格3_5[[#This Row],[Out-Time]] - 表格3_5[[#This Row],[In-Time]])*24</f>
        <v>0</v>
      </c>
      <c r="M1223" s="210">
        <f>表格3_5[[#This Row],[ Hours]]-表格3_5[[#This Row],[Normal working
 hours]]</f>
        <v>0</v>
      </c>
      <c r="N1223" s="205"/>
      <c r="O1223" s="205"/>
      <c r="P1223" s="210">
        <f>(表格3_5[[#This Row],[Out-Time2]] - 表格3_5[[#This Row],[In-Time2]])*24</f>
        <v>0</v>
      </c>
      <c r="Q1223" s="205"/>
      <c r="R1223" s="214">
        <f>_xlfn.XLOOKUP(表格3_5[[#This Row],[Name]],Name_list[Full Name],Name_list[Hourr Rate])</f>
        <v>0</v>
      </c>
      <c r="S1223" s="210">
        <f>表格3_5[[#This Row],[Hours Worked]]*表格3_5[[#This Row],[Hourly Rate]]</f>
        <v>0</v>
      </c>
    </row>
    <row r="1224" spans="1:19">
      <c r="A1224" s="201">
        <v>1222</v>
      </c>
      <c r="B1224" s="210" t="str">
        <f>_xlfn.CONCAT(表格3_5[[#This Row],[Name]],表格3_5[[#This Row],[Location]])</f>
        <v/>
      </c>
      <c r="C1224" s="211" t="str">
        <f>表格3_5[[#This Row],[Location]] &amp; 表格3_5[[#This Row],[Date]] &amp;表格3_5[[#This Row],[Nick Name]]</f>
        <v>0</v>
      </c>
      <c r="D1224" s="202"/>
      <c r="E1224" s="211" t="str">
        <f>DAY(表格3_5[[#This Row],[Date]])&amp;""</f>
        <v>0</v>
      </c>
      <c r="F1224" s="203"/>
      <c r="G1224" s="216">
        <f>_xlfn.XLOOKUP(表格3_5[[#This Row],[Name]],Name_list[Full Name],Name_list[Nick Name])</f>
        <v>0</v>
      </c>
      <c r="H1224" s="207"/>
      <c r="I1224" s="228"/>
      <c r="J1224" s="218"/>
      <c r="K1224" s="205"/>
      <c r="L1224" s="210">
        <f>(表格3_5[[#This Row],[Out-Time]] - 表格3_5[[#This Row],[In-Time]])*24</f>
        <v>0</v>
      </c>
      <c r="M1224" s="210">
        <f>表格3_5[[#This Row],[ Hours]]-表格3_5[[#This Row],[Normal working
 hours]]</f>
        <v>0</v>
      </c>
      <c r="N1224" s="205"/>
      <c r="O1224" s="205"/>
      <c r="P1224" s="210">
        <f>(表格3_5[[#This Row],[Out-Time2]] - 表格3_5[[#This Row],[In-Time2]])*24</f>
        <v>0</v>
      </c>
      <c r="Q1224" s="205"/>
      <c r="R1224" s="214">
        <f>_xlfn.XLOOKUP(表格3_5[[#This Row],[Name]],Name_list[Full Name],Name_list[Hourr Rate])</f>
        <v>0</v>
      </c>
      <c r="S1224" s="210">
        <f>表格3_5[[#This Row],[Hours Worked]]*表格3_5[[#This Row],[Hourly Rate]]</f>
        <v>0</v>
      </c>
    </row>
    <row r="1225" spans="1:19">
      <c r="A1225" s="201">
        <v>1223</v>
      </c>
      <c r="B1225" s="210" t="str">
        <f>_xlfn.CONCAT(表格3_5[[#This Row],[Name]],表格3_5[[#This Row],[Location]])</f>
        <v/>
      </c>
      <c r="C1225" s="211" t="str">
        <f>表格3_5[[#This Row],[Location]] &amp; 表格3_5[[#This Row],[Date]] &amp;表格3_5[[#This Row],[Nick Name]]</f>
        <v>0</v>
      </c>
      <c r="D1225" s="202"/>
      <c r="E1225" s="211" t="str">
        <f>DAY(表格3_5[[#This Row],[Date]])&amp;""</f>
        <v>0</v>
      </c>
      <c r="F1225" s="203"/>
      <c r="G1225" s="216">
        <f>_xlfn.XLOOKUP(表格3_5[[#This Row],[Name]],Name_list[Full Name],Name_list[Nick Name])</f>
        <v>0</v>
      </c>
      <c r="H1225" s="207"/>
      <c r="I1225" s="228"/>
      <c r="J1225" s="218"/>
      <c r="K1225" s="205"/>
      <c r="L1225" s="210">
        <f>(表格3_5[[#This Row],[Out-Time]] - 表格3_5[[#This Row],[In-Time]])*24</f>
        <v>0</v>
      </c>
      <c r="M1225" s="210">
        <f>表格3_5[[#This Row],[ Hours]]-表格3_5[[#This Row],[Normal working
 hours]]</f>
        <v>0</v>
      </c>
      <c r="N1225" s="205"/>
      <c r="O1225" s="205"/>
      <c r="P1225" s="210">
        <f>(表格3_5[[#This Row],[Out-Time2]] - 表格3_5[[#This Row],[In-Time2]])*24</f>
        <v>0</v>
      </c>
      <c r="Q1225" s="205"/>
      <c r="R1225" s="214">
        <f>_xlfn.XLOOKUP(表格3_5[[#This Row],[Name]],Name_list[Full Name],Name_list[Hourr Rate])</f>
        <v>0</v>
      </c>
      <c r="S1225" s="210">
        <f>表格3_5[[#This Row],[Hours Worked]]*表格3_5[[#This Row],[Hourly Rate]]</f>
        <v>0</v>
      </c>
    </row>
    <row r="1226" spans="1:19">
      <c r="A1226" s="201">
        <v>1224</v>
      </c>
      <c r="B1226" s="210" t="str">
        <f>_xlfn.CONCAT(表格3_5[[#This Row],[Name]],表格3_5[[#This Row],[Location]])</f>
        <v/>
      </c>
      <c r="C1226" s="211" t="str">
        <f>表格3_5[[#This Row],[Location]] &amp; 表格3_5[[#This Row],[Date]] &amp;表格3_5[[#This Row],[Nick Name]]</f>
        <v>0</v>
      </c>
      <c r="D1226" s="202"/>
      <c r="E1226" s="211" t="str">
        <f>DAY(表格3_5[[#This Row],[Date]])&amp;""</f>
        <v>0</v>
      </c>
      <c r="F1226" s="203"/>
      <c r="G1226" s="216">
        <f>_xlfn.XLOOKUP(表格3_5[[#This Row],[Name]],Name_list[Full Name],Name_list[Nick Name])</f>
        <v>0</v>
      </c>
      <c r="H1226" s="207"/>
      <c r="I1226" s="228"/>
      <c r="J1226" s="218"/>
      <c r="K1226" s="205"/>
      <c r="L1226" s="210">
        <f>(表格3_5[[#This Row],[Out-Time]] - 表格3_5[[#This Row],[In-Time]])*24</f>
        <v>0</v>
      </c>
      <c r="M1226" s="210">
        <f>表格3_5[[#This Row],[ Hours]]-表格3_5[[#This Row],[Normal working
 hours]]</f>
        <v>0</v>
      </c>
      <c r="N1226" s="205"/>
      <c r="O1226" s="205"/>
      <c r="P1226" s="210">
        <f>(表格3_5[[#This Row],[Out-Time2]] - 表格3_5[[#This Row],[In-Time2]])*24</f>
        <v>0</v>
      </c>
      <c r="Q1226" s="205"/>
      <c r="R1226" s="214">
        <f>_xlfn.XLOOKUP(表格3_5[[#This Row],[Name]],Name_list[Full Name],Name_list[Hourr Rate])</f>
        <v>0</v>
      </c>
      <c r="S1226" s="210">
        <f>表格3_5[[#This Row],[Hours Worked]]*表格3_5[[#This Row],[Hourly Rate]]</f>
        <v>0</v>
      </c>
    </row>
    <row r="1227" spans="1:19">
      <c r="A1227" s="201">
        <v>1225</v>
      </c>
      <c r="B1227" s="210" t="str">
        <f>_xlfn.CONCAT(表格3_5[[#This Row],[Name]],表格3_5[[#This Row],[Location]])</f>
        <v/>
      </c>
      <c r="C1227" s="211" t="str">
        <f>表格3_5[[#This Row],[Location]] &amp; 表格3_5[[#This Row],[Date]] &amp;表格3_5[[#This Row],[Nick Name]]</f>
        <v>0</v>
      </c>
      <c r="D1227" s="202"/>
      <c r="E1227" s="211" t="str">
        <f>DAY(表格3_5[[#This Row],[Date]])&amp;""</f>
        <v>0</v>
      </c>
      <c r="F1227" s="203"/>
      <c r="G1227" s="216">
        <f>_xlfn.XLOOKUP(表格3_5[[#This Row],[Name]],Name_list[Full Name],Name_list[Nick Name])</f>
        <v>0</v>
      </c>
      <c r="H1227" s="207"/>
      <c r="I1227" s="228"/>
      <c r="J1227" s="218"/>
      <c r="K1227" s="205"/>
      <c r="L1227" s="210">
        <f>(表格3_5[[#This Row],[Out-Time]] - 表格3_5[[#This Row],[In-Time]])*24</f>
        <v>0</v>
      </c>
      <c r="M1227" s="210">
        <f>表格3_5[[#This Row],[ Hours]]-表格3_5[[#This Row],[Normal working
 hours]]</f>
        <v>0</v>
      </c>
      <c r="N1227" s="205"/>
      <c r="O1227" s="205"/>
      <c r="P1227" s="210">
        <f>(表格3_5[[#This Row],[Out-Time2]] - 表格3_5[[#This Row],[In-Time2]])*24</f>
        <v>0</v>
      </c>
      <c r="Q1227" s="205"/>
      <c r="R1227" s="214">
        <f>_xlfn.XLOOKUP(表格3_5[[#This Row],[Name]],Name_list[Full Name],Name_list[Hourr Rate])</f>
        <v>0</v>
      </c>
      <c r="S1227" s="210">
        <f>表格3_5[[#This Row],[Hours Worked]]*表格3_5[[#This Row],[Hourly Rate]]</f>
        <v>0</v>
      </c>
    </row>
    <row r="1228" spans="1:19">
      <c r="A1228" s="201">
        <v>1226</v>
      </c>
      <c r="B1228" s="210" t="str">
        <f>_xlfn.CONCAT(表格3_5[[#This Row],[Name]],表格3_5[[#This Row],[Location]])</f>
        <v/>
      </c>
      <c r="C1228" s="211" t="str">
        <f>表格3_5[[#This Row],[Location]] &amp; 表格3_5[[#This Row],[Date]] &amp;表格3_5[[#This Row],[Nick Name]]</f>
        <v>0</v>
      </c>
      <c r="D1228" s="202"/>
      <c r="E1228" s="211" t="str">
        <f>DAY(表格3_5[[#This Row],[Date]])&amp;""</f>
        <v>0</v>
      </c>
      <c r="F1228" s="203"/>
      <c r="G1228" s="216">
        <f>_xlfn.XLOOKUP(表格3_5[[#This Row],[Name]],Name_list[Full Name],Name_list[Nick Name])</f>
        <v>0</v>
      </c>
      <c r="H1228" s="207"/>
      <c r="I1228" s="228"/>
      <c r="J1228" s="218"/>
      <c r="K1228" s="205"/>
      <c r="L1228" s="210">
        <f>(表格3_5[[#This Row],[Out-Time]] - 表格3_5[[#This Row],[In-Time]])*24</f>
        <v>0</v>
      </c>
      <c r="M1228" s="210">
        <f>表格3_5[[#This Row],[ Hours]]-表格3_5[[#This Row],[Normal working
 hours]]</f>
        <v>0</v>
      </c>
      <c r="N1228" s="205"/>
      <c r="O1228" s="205"/>
      <c r="P1228" s="210">
        <f>(表格3_5[[#This Row],[Out-Time2]] - 表格3_5[[#This Row],[In-Time2]])*24</f>
        <v>0</v>
      </c>
      <c r="Q1228" s="205"/>
      <c r="R1228" s="214">
        <f>_xlfn.XLOOKUP(表格3_5[[#This Row],[Name]],Name_list[Full Name],Name_list[Hourr Rate])</f>
        <v>0</v>
      </c>
      <c r="S1228" s="210">
        <f>表格3_5[[#This Row],[Hours Worked]]*表格3_5[[#This Row],[Hourly Rate]]</f>
        <v>0</v>
      </c>
    </row>
    <row r="1229" spans="1:19">
      <c r="A1229" s="201">
        <v>1227</v>
      </c>
      <c r="B1229" s="210" t="str">
        <f>_xlfn.CONCAT(表格3_5[[#This Row],[Name]],表格3_5[[#This Row],[Location]])</f>
        <v/>
      </c>
      <c r="C1229" s="211" t="str">
        <f>表格3_5[[#This Row],[Location]] &amp; 表格3_5[[#This Row],[Date]] &amp;表格3_5[[#This Row],[Nick Name]]</f>
        <v>0</v>
      </c>
      <c r="D1229" s="202"/>
      <c r="E1229" s="211" t="str">
        <f>DAY(表格3_5[[#This Row],[Date]])&amp;""</f>
        <v>0</v>
      </c>
      <c r="F1229" s="203"/>
      <c r="G1229" s="216">
        <f>_xlfn.XLOOKUP(表格3_5[[#This Row],[Name]],Name_list[Full Name],Name_list[Nick Name])</f>
        <v>0</v>
      </c>
      <c r="H1229" s="207"/>
      <c r="I1229" s="228"/>
      <c r="J1229" s="218"/>
      <c r="K1229" s="205"/>
      <c r="L1229" s="210">
        <f>(表格3_5[[#This Row],[Out-Time]] - 表格3_5[[#This Row],[In-Time]])*24</f>
        <v>0</v>
      </c>
      <c r="M1229" s="210">
        <f>表格3_5[[#This Row],[ Hours]]-表格3_5[[#This Row],[Normal working
 hours]]</f>
        <v>0</v>
      </c>
      <c r="N1229" s="205"/>
      <c r="O1229" s="205"/>
      <c r="P1229" s="210">
        <f>(表格3_5[[#This Row],[Out-Time2]] - 表格3_5[[#This Row],[In-Time2]])*24</f>
        <v>0</v>
      </c>
      <c r="Q1229" s="205"/>
      <c r="R1229" s="214">
        <f>_xlfn.XLOOKUP(表格3_5[[#This Row],[Name]],Name_list[Full Name],Name_list[Hourr Rate])</f>
        <v>0</v>
      </c>
      <c r="S1229" s="210">
        <f>表格3_5[[#This Row],[Hours Worked]]*表格3_5[[#This Row],[Hourly Rate]]</f>
        <v>0</v>
      </c>
    </row>
    <row r="1230" spans="1:19">
      <c r="A1230" s="201">
        <v>1228</v>
      </c>
      <c r="B1230" s="210" t="str">
        <f>_xlfn.CONCAT(表格3_5[[#This Row],[Name]],表格3_5[[#This Row],[Location]])</f>
        <v/>
      </c>
      <c r="C1230" s="211" t="str">
        <f>表格3_5[[#This Row],[Location]] &amp; 表格3_5[[#This Row],[Date]] &amp;表格3_5[[#This Row],[Nick Name]]</f>
        <v>0</v>
      </c>
      <c r="D1230" s="202"/>
      <c r="E1230" s="211" t="str">
        <f>DAY(表格3_5[[#This Row],[Date]])&amp;""</f>
        <v>0</v>
      </c>
      <c r="F1230" s="203"/>
      <c r="G1230" s="216">
        <f>_xlfn.XLOOKUP(表格3_5[[#This Row],[Name]],Name_list[Full Name],Name_list[Nick Name])</f>
        <v>0</v>
      </c>
      <c r="H1230" s="207"/>
      <c r="I1230" s="228"/>
      <c r="J1230" s="218"/>
      <c r="K1230" s="205"/>
      <c r="L1230" s="210">
        <f>(表格3_5[[#This Row],[Out-Time]] - 表格3_5[[#This Row],[In-Time]])*24</f>
        <v>0</v>
      </c>
      <c r="M1230" s="210">
        <f>表格3_5[[#This Row],[ Hours]]-表格3_5[[#This Row],[Normal working
 hours]]</f>
        <v>0</v>
      </c>
      <c r="N1230" s="205"/>
      <c r="O1230" s="205"/>
      <c r="P1230" s="210">
        <f>(表格3_5[[#This Row],[Out-Time2]] - 表格3_5[[#This Row],[In-Time2]])*24</f>
        <v>0</v>
      </c>
      <c r="Q1230" s="205"/>
      <c r="R1230" s="214">
        <f>_xlfn.XLOOKUP(表格3_5[[#This Row],[Name]],Name_list[Full Name],Name_list[Hourr Rate])</f>
        <v>0</v>
      </c>
      <c r="S1230" s="210">
        <f>表格3_5[[#This Row],[Hours Worked]]*表格3_5[[#This Row],[Hourly Rate]]</f>
        <v>0</v>
      </c>
    </row>
    <row r="1231" spans="1:19">
      <c r="A1231" s="201">
        <v>1229</v>
      </c>
      <c r="B1231" s="210" t="str">
        <f>_xlfn.CONCAT(表格3_5[[#This Row],[Name]],表格3_5[[#This Row],[Location]])</f>
        <v/>
      </c>
      <c r="C1231" s="211" t="str">
        <f>表格3_5[[#This Row],[Location]] &amp; 表格3_5[[#This Row],[Date]] &amp;表格3_5[[#This Row],[Nick Name]]</f>
        <v>0</v>
      </c>
      <c r="D1231" s="202"/>
      <c r="E1231" s="211" t="str">
        <f>DAY(表格3_5[[#This Row],[Date]])&amp;""</f>
        <v>0</v>
      </c>
      <c r="F1231" s="203"/>
      <c r="G1231" s="216">
        <f>_xlfn.XLOOKUP(表格3_5[[#This Row],[Name]],Name_list[Full Name],Name_list[Nick Name])</f>
        <v>0</v>
      </c>
      <c r="H1231" s="207"/>
      <c r="I1231" s="228"/>
      <c r="J1231" s="218"/>
      <c r="K1231" s="205"/>
      <c r="L1231" s="210">
        <f>(表格3_5[[#This Row],[Out-Time]] - 表格3_5[[#This Row],[In-Time]])*24</f>
        <v>0</v>
      </c>
      <c r="M1231" s="210">
        <f>表格3_5[[#This Row],[ Hours]]-表格3_5[[#This Row],[Normal working
 hours]]</f>
        <v>0</v>
      </c>
      <c r="N1231" s="205"/>
      <c r="O1231" s="205"/>
      <c r="P1231" s="210">
        <f>(表格3_5[[#This Row],[Out-Time2]] - 表格3_5[[#This Row],[In-Time2]])*24</f>
        <v>0</v>
      </c>
      <c r="Q1231" s="205"/>
      <c r="R1231" s="214">
        <f>_xlfn.XLOOKUP(表格3_5[[#This Row],[Name]],Name_list[Full Name],Name_list[Hourr Rate])</f>
        <v>0</v>
      </c>
      <c r="S1231" s="210">
        <f>表格3_5[[#This Row],[Hours Worked]]*表格3_5[[#This Row],[Hourly Rate]]</f>
        <v>0</v>
      </c>
    </row>
    <row r="1232" spans="1:19">
      <c r="A1232" s="201">
        <v>1230</v>
      </c>
      <c r="B1232" s="210" t="str">
        <f>_xlfn.CONCAT(表格3_5[[#This Row],[Name]],表格3_5[[#This Row],[Location]])</f>
        <v/>
      </c>
      <c r="C1232" s="211" t="str">
        <f>表格3_5[[#This Row],[Location]] &amp; 表格3_5[[#This Row],[Date]] &amp;表格3_5[[#This Row],[Nick Name]]</f>
        <v>0</v>
      </c>
      <c r="D1232" s="202"/>
      <c r="E1232" s="211" t="str">
        <f>DAY(表格3_5[[#This Row],[Date]])&amp;""</f>
        <v>0</v>
      </c>
      <c r="F1232" s="203"/>
      <c r="G1232" s="216">
        <f>_xlfn.XLOOKUP(表格3_5[[#This Row],[Name]],Name_list[Full Name],Name_list[Nick Name])</f>
        <v>0</v>
      </c>
      <c r="H1232" s="207"/>
      <c r="I1232" s="228"/>
      <c r="J1232" s="218"/>
      <c r="K1232" s="205"/>
      <c r="L1232" s="210">
        <f>(表格3_5[[#This Row],[Out-Time]] - 表格3_5[[#This Row],[In-Time]])*24</f>
        <v>0</v>
      </c>
      <c r="M1232" s="210">
        <f>表格3_5[[#This Row],[ Hours]]-表格3_5[[#This Row],[Normal working
 hours]]</f>
        <v>0</v>
      </c>
      <c r="N1232" s="205"/>
      <c r="O1232" s="205"/>
      <c r="P1232" s="210">
        <f>(表格3_5[[#This Row],[Out-Time2]] - 表格3_5[[#This Row],[In-Time2]])*24</f>
        <v>0</v>
      </c>
      <c r="Q1232" s="205"/>
      <c r="R1232" s="214">
        <f>_xlfn.XLOOKUP(表格3_5[[#This Row],[Name]],Name_list[Full Name],Name_list[Hourr Rate])</f>
        <v>0</v>
      </c>
      <c r="S1232" s="210">
        <f>表格3_5[[#This Row],[Hours Worked]]*表格3_5[[#This Row],[Hourly Rate]]</f>
        <v>0</v>
      </c>
    </row>
    <row r="1233" spans="1:19">
      <c r="A1233" s="201">
        <v>1231</v>
      </c>
      <c r="B1233" s="210" t="str">
        <f>_xlfn.CONCAT(表格3_5[[#This Row],[Name]],表格3_5[[#This Row],[Location]])</f>
        <v/>
      </c>
      <c r="C1233" s="211" t="str">
        <f>表格3_5[[#This Row],[Location]] &amp; 表格3_5[[#This Row],[Date]] &amp;表格3_5[[#This Row],[Nick Name]]</f>
        <v>0</v>
      </c>
      <c r="D1233" s="202"/>
      <c r="E1233" s="211" t="str">
        <f>DAY(表格3_5[[#This Row],[Date]])&amp;""</f>
        <v>0</v>
      </c>
      <c r="F1233" s="203"/>
      <c r="G1233" s="216">
        <f>_xlfn.XLOOKUP(表格3_5[[#This Row],[Name]],Name_list[Full Name],Name_list[Nick Name])</f>
        <v>0</v>
      </c>
      <c r="H1233" s="207"/>
      <c r="I1233" s="228"/>
      <c r="J1233" s="218"/>
      <c r="K1233" s="205"/>
      <c r="L1233" s="210">
        <f>(表格3_5[[#This Row],[Out-Time]] - 表格3_5[[#This Row],[In-Time]])*24</f>
        <v>0</v>
      </c>
      <c r="M1233" s="210">
        <f>表格3_5[[#This Row],[ Hours]]-表格3_5[[#This Row],[Normal working
 hours]]</f>
        <v>0</v>
      </c>
      <c r="N1233" s="205"/>
      <c r="O1233" s="205"/>
      <c r="P1233" s="210">
        <f>(表格3_5[[#This Row],[Out-Time2]] - 表格3_5[[#This Row],[In-Time2]])*24</f>
        <v>0</v>
      </c>
      <c r="Q1233" s="205"/>
      <c r="R1233" s="214">
        <f>_xlfn.XLOOKUP(表格3_5[[#This Row],[Name]],Name_list[Full Name],Name_list[Hourr Rate])</f>
        <v>0</v>
      </c>
      <c r="S1233" s="210">
        <f>表格3_5[[#This Row],[Hours Worked]]*表格3_5[[#This Row],[Hourly Rate]]</f>
        <v>0</v>
      </c>
    </row>
    <row r="1234" spans="1:19">
      <c r="A1234" s="201">
        <v>1232</v>
      </c>
      <c r="B1234" s="210" t="str">
        <f>_xlfn.CONCAT(表格3_5[[#This Row],[Name]],表格3_5[[#This Row],[Location]])</f>
        <v/>
      </c>
      <c r="C1234" s="211" t="str">
        <f>表格3_5[[#This Row],[Location]] &amp; 表格3_5[[#This Row],[Date]] &amp;表格3_5[[#This Row],[Nick Name]]</f>
        <v>0</v>
      </c>
      <c r="D1234" s="202"/>
      <c r="E1234" s="211" t="str">
        <f>DAY(表格3_5[[#This Row],[Date]])&amp;""</f>
        <v>0</v>
      </c>
      <c r="F1234" s="203"/>
      <c r="G1234" s="216">
        <f>_xlfn.XLOOKUP(表格3_5[[#This Row],[Name]],Name_list[Full Name],Name_list[Nick Name])</f>
        <v>0</v>
      </c>
      <c r="H1234" s="207"/>
      <c r="I1234" s="228"/>
      <c r="J1234" s="218"/>
      <c r="K1234" s="205"/>
      <c r="L1234" s="210">
        <f>(表格3_5[[#This Row],[Out-Time]] - 表格3_5[[#This Row],[In-Time]])*24</f>
        <v>0</v>
      </c>
      <c r="M1234" s="210">
        <f>表格3_5[[#This Row],[ Hours]]-表格3_5[[#This Row],[Normal working
 hours]]</f>
        <v>0</v>
      </c>
      <c r="N1234" s="205"/>
      <c r="O1234" s="205"/>
      <c r="P1234" s="210">
        <f>(表格3_5[[#This Row],[Out-Time2]] - 表格3_5[[#This Row],[In-Time2]])*24</f>
        <v>0</v>
      </c>
      <c r="Q1234" s="205"/>
      <c r="R1234" s="214">
        <f>_xlfn.XLOOKUP(表格3_5[[#This Row],[Name]],Name_list[Full Name],Name_list[Hourr Rate])</f>
        <v>0</v>
      </c>
      <c r="S1234" s="210">
        <f>表格3_5[[#This Row],[Hours Worked]]*表格3_5[[#This Row],[Hourly Rate]]</f>
        <v>0</v>
      </c>
    </row>
    <row r="1235" spans="1:19">
      <c r="A1235" s="201">
        <v>1233</v>
      </c>
      <c r="B1235" s="210" t="str">
        <f>_xlfn.CONCAT(表格3_5[[#This Row],[Name]],表格3_5[[#This Row],[Location]])</f>
        <v/>
      </c>
      <c r="C1235" s="211" t="str">
        <f>表格3_5[[#This Row],[Location]] &amp; 表格3_5[[#This Row],[Date]] &amp;表格3_5[[#This Row],[Nick Name]]</f>
        <v>0</v>
      </c>
      <c r="D1235" s="202"/>
      <c r="E1235" s="211" t="str">
        <f>DAY(表格3_5[[#This Row],[Date]])&amp;""</f>
        <v>0</v>
      </c>
      <c r="F1235" s="203"/>
      <c r="G1235" s="216">
        <f>_xlfn.XLOOKUP(表格3_5[[#This Row],[Name]],Name_list[Full Name],Name_list[Nick Name])</f>
        <v>0</v>
      </c>
      <c r="H1235" s="207"/>
      <c r="I1235" s="228"/>
      <c r="J1235" s="218"/>
      <c r="K1235" s="205"/>
      <c r="L1235" s="210">
        <f>(表格3_5[[#This Row],[Out-Time]] - 表格3_5[[#This Row],[In-Time]])*24</f>
        <v>0</v>
      </c>
      <c r="M1235" s="210">
        <f>表格3_5[[#This Row],[ Hours]]-表格3_5[[#This Row],[Normal working
 hours]]</f>
        <v>0</v>
      </c>
      <c r="N1235" s="205"/>
      <c r="O1235" s="205"/>
      <c r="P1235" s="210">
        <f>(表格3_5[[#This Row],[Out-Time2]] - 表格3_5[[#This Row],[In-Time2]])*24</f>
        <v>0</v>
      </c>
      <c r="Q1235" s="205"/>
      <c r="R1235" s="214">
        <f>_xlfn.XLOOKUP(表格3_5[[#This Row],[Name]],Name_list[Full Name],Name_list[Hourr Rate])</f>
        <v>0</v>
      </c>
      <c r="S1235" s="210">
        <f>表格3_5[[#This Row],[Hours Worked]]*表格3_5[[#This Row],[Hourly Rate]]</f>
        <v>0</v>
      </c>
    </row>
    <row r="1236" spans="1:19">
      <c r="A1236" s="201">
        <v>1234</v>
      </c>
      <c r="B1236" s="210" t="str">
        <f>_xlfn.CONCAT(表格3_5[[#This Row],[Name]],表格3_5[[#This Row],[Location]])</f>
        <v/>
      </c>
      <c r="C1236" s="211" t="str">
        <f>表格3_5[[#This Row],[Location]] &amp; 表格3_5[[#This Row],[Date]] &amp;表格3_5[[#This Row],[Nick Name]]</f>
        <v>0</v>
      </c>
      <c r="D1236" s="202"/>
      <c r="E1236" s="211" t="str">
        <f>DAY(表格3_5[[#This Row],[Date]])&amp;""</f>
        <v>0</v>
      </c>
      <c r="F1236" s="203"/>
      <c r="G1236" s="216">
        <f>_xlfn.XLOOKUP(表格3_5[[#This Row],[Name]],Name_list[Full Name],Name_list[Nick Name])</f>
        <v>0</v>
      </c>
      <c r="H1236" s="207"/>
      <c r="I1236" s="228"/>
      <c r="J1236" s="218"/>
      <c r="K1236" s="205"/>
      <c r="L1236" s="210">
        <f>(表格3_5[[#This Row],[Out-Time]] - 表格3_5[[#This Row],[In-Time]])*24</f>
        <v>0</v>
      </c>
      <c r="M1236" s="210">
        <f>表格3_5[[#This Row],[ Hours]]-表格3_5[[#This Row],[Normal working
 hours]]</f>
        <v>0</v>
      </c>
      <c r="N1236" s="205"/>
      <c r="O1236" s="205"/>
      <c r="P1236" s="210">
        <f>(表格3_5[[#This Row],[Out-Time2]] - 表格3_5[[#This Row],[In-Time2]])*24</f>
        <v>0</v>
      </c>
      <c r="Q1236" s="205"/>
      <c r="R1236" s="214">
        <f>_xlfn.XLOOKUP(表格3_5[[#This Row],[Name]],Name_list[Full Name],Name_list[Hourr Rate])</f>
        <v>0</v>
      </c>
      <c r="S1236" s="210">
        <f>表格3_5[[#This Row],[Hours Worked]]*表格3_5[[#This Row],[Hourly Rate]]</f>
        <v>0</v>
      </c>
    </row>
    <row r="1237" spans="1:19">
      <c r="A1237" s="201">
        <v>1235</v>
      </c>
      <c r="B1237" s="210" t="str">
        <f>_xlfn.CONCAT(表格3_5[[#This Row],[Name]],表格3_5[[#This Row],[Location]])</f>
        <v/>
      </c>
      <c r="C1237" s="211" t="str">
        <f>表格3_5[[#This Row],[Location]] &amp; 表格3_5[[#This Row],[Date]] &amp;表格3_5[[#This Row],[Nick Name]]</f>
        <v>0</v>
      </c>
      <c r="D1237" s="202"/>
      <c r="E1237" s="211" t="str">
        <f>DAY(表格3_5[[#This Row],[Date]])&amp;""</f>
        <v>0</v>
      </c>
      <c r="F1237" s="203"/>
      <c r="G1237" s="216">
        <f>_xlfn.XLOOKUP(表格3_5[[#This Row],[Name]],Name_list[Full Name],Name_list[Nick Name])</f>
        <v>0</v>
      </c>
      <c r="H1237" s="207"/>
      <c r="I1237" s="228"/>
      <c r="J1237" s="218"/>
      <c r="K1237" s="205"/>
      <c r="L1237" s="210">
        <f>(表格3_5[[#This Row],[Out-Time]] - 表格3_5[[#This Row],[In-Time]])*24</f>
        <v>0</v>
      </c>
      <c r="M1237" s="210">
        <f>表格3_5[[#This Row],[ Hours]]-表格3_5[[#This Row],[Normal working
 hours]]</f>
        <v>0</v>
      </c>
      <c r="N1237" s="205"/>
      <c r="O1237" s="205"/>
      <c r="P1237" s="210">
        <f>(表格3_5[[#This Row],[Out-Time2]] - 表格3_5[[#This Row],[In-Time2]])*24</f>
        <v>0</v>
      </c>
      <c r="Q1237" s="205"/>
      <c r="R1237" s="214">
        <f>_xlfn.XLOOKUP(表格3_5[[#This Row],[Name]],Name_list[Full Name],Name_list[Hourr Rate])</f>
        <v>0</v>
      </c>
      <c r="S1237" s="210">
        <f>表格3_5[[#This Row],[Hours Worked]]*表格3_5[[#This Row],[Hourly Rate]]</f>
        <v>0</v>
      </c>
    </row>
    <row r="1238" spans="1:19">
      <c r="A1238" s="201">
        <v>1236</v>
      </c>
      <c r="B1238" s="210" t="str">
        <f>_xlfn.CONCAT(表格3_5[[#This Row],[Name]],表格3_5[[#This Row],[Location]])</f>
        <v/>
      </c>
      <c r="C1238" s="211" t="str">
        <f>表格3_5[[#This Row],[Location]] &amp; 表格3_5[[#This Row],[Date]] &amp;表格3_5[[#This Row],[Nick Name]]</f>
        <v>0</v>
      </c>
      <c r="D1238" s="202"/>
      <c r="E1238" s="211" t="str">
        <f>DAY(表格3_5[[#This Row],[Date]])&amp;""</f>
        <v>0</v>
      </c>
      <c r="F1238" s="203"/>
      <c r="G1238" s="216">
        <f>_xlfn.XLOOKUP(表格3_5[[#This Row],[Name]],Name_list[Full Name],Name_list[Nick Name])</f>
        <v>0</v>
      </c>
      <c r="H1238" s="207"/>
      <c r="I1238" s="228"/>
      <c r="J1238" s="218"/>
      <c r="K1238" s="205"/>
      <c r="L1238" s="210">
        <f>(表格3_5[[#This Row],[Out-Time]] - 表格3_5[[#This Row],[In-Time]])*24</f>
        <v>0</v>
      </c>
      <c r="M1238" s="210">
        <f>表格3_5[[#This Row],[ Hours]]-表格3_5[[#This Row],[Normal working
 hours]]</f>
        <v>0</v>
      </c>
      <c r="N1238" s="205"/>
      <c r="O1238" s="205"/>
      <c r="P1238" s="210">
        <f>(表格3_5[[#This Row],[Out-Time2]] - 表格3_5[[#This Row],[In-Time2]])*24</f>
        <v>0</v>
      </c>
      <c r="Q1238" s="205"/>
      <c r="R1238" s="214">
        <f>_xlfn.XLOOKUP(表格3_5[[#This Row],[Name]],Name_list[Full Name],Name_list[Hourr Rate])</f>
        <v>0</v>
      </c>
      <c r="S1238" s="210">
        <f>表格3_5[[#This Row],[Hours Worked]]*表格3_5[[#This Row],[Hourly Rate]]</f>
        <v>0</v>
      </c>
    </row>
    <row r="1239" spans="1:19">
      <c r="A1239" s="201">
        <v>1237</v>
      </c>
      <c r="B1239" s="210" t="str">
        <f>_xlfn.CONCAT(表格3_5[[#This Row],[Name]],表格3_5[[#This Row],[Location]])</f>
        <v/>
      </c>
      <c r="C1239" s="211" t="str">
        <f>表格3_5[[#This Row],[Location]] &amp; 表格3_5[[#This Row],[Date]] &amp;表格3_5[[#This Row],[Nick Name]]</f>
        <v>0</v>
      </c>
      <c r="D1239" s="202"/>
      <c r="E1239" s="211" t="str">
        <f>DAY(表格3_5[[#This Row],[Date]])&amp;""</f>
        <v>0</v>
      </c>
      <c r="F1239" s="203"/>
      <c r="G1239" s="216">
        <f>_xlfn.XLOOKUP(表格3_5[[#This Row],[Name]],Name_list[Full Name],Name_list[Nick Name])</f>
        <v>0</v>
      </c>
      <c r="H1239" s="207"/>
      <c r="I1239" s="228"/>
      <c r="J1239" s="218"/>
      <c r="K1239" s="205"/>
      <c r="L1239" s="210">
        <f>(表格3_5[[#This Row],[Out-Time]] - 表格3_5[[#This Row],[In-Time]])*24</f>
        <v>0</v>
      </c>
      <c r="M1239" s="210">
        <f>表格3_5[[#This Row],[ Hours]]-表格3_5[[#This Row],[Normal working
 hours]]</f>
        <v>0</v>
      </c>
      <c r="N1239" s="205"/>
      <c r="O1239" s="205"/>
      <c r="P1239" s="210">
        <f>(表格3_5[[#This Row],[Out-Time2]] - 表格3_5[[#This Row],[In-Time2]])*24</f>
        <v>0</v>
      </c>
      <c r="Q1239" s="205"/>
      <c r="R1239" s="214">
        <f>_xlfn.XLOOKUP(表格3_5[[#This Row],[Name]],Name_list[Full Name],Name_list[Hourr Rate])</f>
        <v>0</v>
      </c>
      <c r="S1239" s="210">
        <f>表格3_5[[#This Row],[Hours Worked]]*表格3_5[[#This Row],[Hourly Rate]]</f>
        <v>0</v>
      </c>
    </row>
    <row r="1240" spans="1:19">
      <c r="A1240" s="201">
        <v>1238</v>
      </c>
      <c r="B1240" s="210" t="str">
        <f>_xlfn.CONCAT(表格3_5[[#This Row],[Name]],表格3_5[[#This Row],[Location]])</f>
        <v/>
      </c>
      <c r="C1240" s="211" t="str">
        <f>表格3_5[[#This Row],[Location]] &amp; 表格3_5[[#This Row],[Date]] &amp;表格3_5[[#This Row],[Nick Name]]</f>
        <v>0</v>
      </c>
      <c r="D1240" s="202"/>
      <c r="E1240" s="211" t="str">
        <f>DAY(表格3_5[[#This Row],[Date]])&amp;""</f>
        <v>0</v>
      </c>
      <c r="F1240" s="203"/>
      <c r="G1240" s="216">
        <f>_xlfn.XLOOKUP(表格3_5[[#This Row],[Name]],Name_list[Full Name],Name_list[Nick Name])</f>
        <v>0</v>
      </c>
      <c r="H1240" s="207"/>
      <c r="I1240" s="228"/>
      <c r="J1240" s="218"/>
      <c r="K1240" s="205"/>
      <c r="L1240" s="210">
        <f>(表格3_5[[#This Row],[Out-Time]] - 表格3_5[[#This Row],[In-Time]])*24</f>
        <v>0</v>
      </c>
      <c r="M1240" s="210">
        <f>表格3_5[[#This Row],[ Hours]]-表格3_5[[#This Row],[Normal working
 hours]]</f>
        <v>0</v>
      </c>
      <c r="N1240" s="205"/>
      <c r="O1240" s="205"/>
      <c r="P1240" s="210">
        <f>(表格3_5[[#This Row],[Out-Time2]] - 表格3_5[[#This Row],[In-Time2]])*24</f>
        <v>0</v>
      </c>
      <c r="Q1240" s="205"/>
      <c r="R1240" s="214">
        <f>_xlfn.XLOOKUP(表格3_5[[#This Row],[Name]],Name_list[Full Name],Name_list[Hourr Rate])</f>
        <v>0</v>
      </c>
      <c r="S1240" s="210">
        <f>表格3_5[[#This Row],[Hours Worked]]*表格3_5[[#This Row],[Hourly Rate]]</f>
        <v>0</v>
      </c>
    </row>
    <row r="1241" spans="1:19">
      <c r="A1241" s="201">
        <v>1239</v>
      </c>
      <c r="B1241" s="210" t="str">
        <f>_xlfn.CONCAT(表格3_5[[#This Row],[Name]],表格3_5[[#This Row],[Location]])</f>
        <v/>
      </c>
      <c r="C1241" s="211" t="str">
        <f>表格3_5[[#This Row],[Location]] &amp; 表格3_5[[#This Row],[Date]] &amp;表格3_5[[#This Row],[Nick Name]]</f>
        <v>0</v>
      </c>
      <c r="D1241" s="202"/>
      <c r="E1241" s="211" t="str">
        <f>DAY(表格3_5[[#This Row],[Date]])&amp;""</f>
        <v>0</v>
      </c>
      <c r="F1241" s="203"/>
      <c r="G1241" s="216">
        <f>_xlfn.XLOOKUP(表格3_5[[#This Row],[Name]],Name_list[Full Name],Name_list[Nick Name])</f>
        <v>0</v>
      </c>
      <c r="H1241" s="207"/>
      <c r="I1241" s="228"/>
      <c r="J1241" s="218"/>
      <c r="K1241" s="205"/>
      <c r="L1241" s="210">
        <f>(表格3_5[[#This Row],[Out-Time]] - 表格3_5[[#This Row],[In-Time]])*24</f>
        <v>0</v>
      </c>
      <c r="M1241" s="210">
        <f>表格3_5[[#This Row],[ Hours]]-表格3_5[[#This Row],[Normal working
 hours]]</f>
        <v>0</v>
      </c>
      <c r="N1241" s="205"/>
      <c r="O1241" s="205"/>
      <c r="P1241" s="210">
        <f>(表格3_5[[#This Row],[Out-Time2]] - 表格3_5[[#This Row],[In-Time2]])*24</f>
        <v>0</v>
      </c>
      <c r="Q1241" s="205"/>
      <c r="R1241" s="214">
        <f>_xlfn.XLOOKUP(表格3_5[[#This Row],[Name]],Name_list[Full Name],Name_list[Hourr Rate])</f>
        <v>0</v>
      </c>
      <c r="S1241" s="210">
        <f>表格3_5[[#This Row],[Hours Worked]]*表格3_5[[#This Row],[Hourly Rate]]</f>
        <v>0</v>
      </c>
    </row>
    <row r="1242" spans="1:19">
      <c r="A1242" s="201">
        <v>1240</v>
      </c>
      <c r="B1242" s="210" t="str">
        <f>_xlfn.CONCAT(表格3_5[[#This Row],[Name]],表格3_5[[#This Row],[Location]])</f>
        <v/>
      </c>
      <c r="C1242" s="211" t="str">
        <f>表格3_5[[#This Row],[Location]] &amp; 表格3_5[[#This Row],[Date]] &amp;表格3_5[[#This Row],[Nick Name]]</f>
        <v>0</v>
      </c>
      <c r="D1242" s="202"/>
      <c r="E1242" s="211" t="str">
        <f>DAY(表格3_5[[#This Row],[Date]])&amp;""</f>
        <v>0</v>
      </c>
      <c r="F1242" s="203"/>
      <c r="G1242" s="216">
        <f>_xlfn.XLOOKUP(表格3_5[[#This Row],[Name]],Name_list[Full Name],Name_list[Nick Name])</f>
        <v>0</v>
      </c>
      <c r="H1242" s="207"/>
      <c r="I1242" s="228"/>
      <c r="J1242" s="218"/>
      <c r="K1242" s="205"/>
      <c r="L1242" s="210">
        <f>(表格3_5[[#This Row],[Out-Time]] - 表格3_5[[#This Row],[In-Time]])*24</f>
        <v>0</v>
      </c>
      <c r="M1242" s="210">
        <f>表格3_5[[#This Row],[ Hours]]-表格3_5[[#This Row],[Normal working
 hours]]</f>
        <v>0</v>
      </c>
      <c r="N1242" s="205"/>
      <c r="O1242" s="205"/>
      <c r="P1242" s="210">
        <f>(表格3_5[[#This Row],[Out-Time2]] - 表格3_5[[#This Row],[In-Time2]])*24</f>
        <v>0</v>
      </c>
      <c r="Q1242" s="205"/>
      <c r="R1242" s="214">
        <f>_xlfn.XLOOKUP(表格3_5[[#This Row],[Name]],Name_list[Full Name],Name_list[Hourr Rate])</f>
        <v>0</v>
      </c>
      <c r="S1242" s="210">
        <f>表格3_5[[#This Row],[Hours Worked]]*表格3_5[[#This Row],[Hourly Rate]]</f>
        <v>0</v>
      </c>
    </row>
    <row r="1243" spans="1:19">
      <c r="A1243" s="201">
        <v>1241</v>
      </c>
      <c r="B1243" s="210" t="str">
        <f>_xlfn.CONCAT(表格3_5[[#This Row],[Name]],表格3_5[[#This Row],[Location]])</f>
        <v/>
      </c>
      <c r="C1243" s="211" t="str">
        <f>表格3_5[[#This Row],[Location]] &amp; 表格3_5[[#This Row],[Date]] &amp;表格3_5[[#This Row],[Nick Name]]</f>
        <v>0</v>
      </c>
      <c r="D1243" s="202"/>
      <c r="E1243" s="211" t="str">
        <f>DAY(表格3_5[[#This Row],[Date]])&amp;""</f>
        <v>0</v>
      </c>
      <c r="F1243" s="203"/>
      <c r="G1243" s="216">
        <f>_xlfn.XLOOKUP(表格3_5[[#This Row],[Name]],Name_list[Full Name],Name_list[Nick Name])</f>
        <v>0</v>
      </c>
      <c r="H1243" s="207"/>
      <c r="I1243" s="228"/>
      <c r="J1243" s="218"/>
      <c r="K1243" s="205"/>
      <c r="L1243" s="210">
        <f>(表格3_5[[#This Row],[Out-Time]] - 表格3_5[[#This Row],[In-Time]])*24</f>
        <v>0</v>
      </c>
      <c r="M1243" s="210">
        <f>表格3_5[[#This Row],[ Hours]]-表格3_5[[#This Row],[Normal working
 hours]]</f>
        <v>0</v>
      </c>
      <c r="N1243" s="205"/>
      <c r="O1243" s="205"/>
      <c r="P1243" s="210">
        <f>(表格3_5[[#This Row],[Out-Time2]] - 表格3_5[[#This Row],[In-Time2]])*24</f>
        <v>0</v>
      </c>
      <c r="Q1243" s="205"/>
      <c r="R1243" s="214">
        <f>_xlfn.XLOOKUP(表格3_5[[#This Row],[Name]],Name_list[Full Name],Name_list[Hourr Rate])</f>
        <v>0</v>
      </c>
      <c r="S1243" s="210">
        <f>表格3_5[[#This Row],[Hours Worked]]*表格3_5[[#This Row],[Hourly Rate]]</f>
        <v>0</v>
      </c>
    </row>
    <row r="1244" spans="1:19">
      <c r="A1244" s="201">
        <v>1242</v>
      </c>
      <c r="B1244" s="210" t="str">
        <f>_xlfn.CONCAT(表格3_5[[#This Row],[Name]],表格3_5[[#This Row],[Location]])</f>
        <v/>
      </c>
      <c r="C1244" s="211" t="str">
        <f>表格3_5[[#This Row],[Location]] &amp; 表格3_5[[#This Row],[Date]] &amp;表格3_5[[#This Row],[Nick Name]]</f>
        <v>0</v>
      </c>
      <c r="D1244" s="202"/>
      <c r="E1244" s="211" t="str">
        <f>DAY(表格3_5[[#This Row],[Date]])&amp;""</f>
        <v>0</v>
      </c>
      <c r="F1244" s="203"/>
      <c r="G1244" s="216">
        <f>_xlfn.XLOOKUP(表格3_5[[#This Row],[Name]],Name_list[Full Name],Name_list[Nick Name])</f>
        <v>0</v>
      </c>
      <c r="H1244" s="207"/>
      <c r="I1244" s="228"/>
      <c r="J1244" s="218"/>
      <c r="K1244" s="205"/>
      <c r="L1244" s="210">
        <f>(表格3_5[[#This Row],[Out-Time]] - 表格3_5[[#This Row],[In-Time]])*24</f>
        <v>0</v>
      </c>
      <c r="M1244" s="210">
        <f>表格3_5[[#This Row],[ Hours]]-表格3_5[[#This Row],[Normal working
 hours]]</f>
        <v>0</v>
      </c>
      <c r="N1244" s="205"/>
      <c r="O1244" s="205"/>
      <c r="P1244" s="210">
        <f>(表格3_5[[#This Row],[Out-Time2]] - 表格3_5[[#This Row],[In-Time2]])*24</f>
        <v>0</v>
      </c>
      <c r="Q1244" s="205"/>
      <c r="R1244" s="214">
        <f>_xlfn.XLOOKUP(表格3_5[[#This Row],[Name]],Name_list[Full Name],Name_list[Hourr Rate])</f>
        <v>0</v>
      </c>
      <c r="S1244" s="210">
        <f>表格3_5[[#This Row],[Hours Worked]]*表格3_5[[#This Row],[Hourly Rate]]</f>
        <v>0</v>
      </c>
    </row>
    <row r="1245" spans="1:19">
      <c r="A1245" s="201">
        <v>1243</v>
      </c>
      <c r="B1245" s="210" t="str">
        <f>_xlfn.CONCAT(表格3_5[[#This Row],[Name]],表格3_5[[#This Row],[Location]])</f>
        <v/>
      </c>
      <c r="C1245" s="211" t="str">
        <f>表格3_5[[#This Row],[Location]] &amp; 表格3_5[[#This Row],[Date]] &amp;表格3_5[[#This Row],[Nick Name]]</f>
        <v>0</v>
      </c>
      <c r="D1245" s="202"/>
      <c r="E1245" s="211" t="str">
        <f>DAY(表格3_5[[#This Row],[Date]])&amp;""</f>
        <v>0</v>
      </c>
      <c r="F1245" s="203"/>
      <c r="G1245" s="216">
        <f>_xlfn.XLOOKUP(表格3_5[[#This Row],[Name]],Name_list[Full Name],Name_list[Nick Name])</f>
        <v>0</v>
      </c>
      <c r="H1245" s="207"/>
      <c r="I1245" s="228"/>
      <c r="J1245" s="218"/>
      <c r="K1245" s="205"/>
      <c r="L1245" s="210">
        <f>(表格3_5[[#This Row],[Out-Time]] - 表格3_5[[#This Row],[In-Time]])*24</f>
        <v>0</v>
      </c>
      <c r="M1245" s="210">
        <f>表格3_5[[#This Row],[ Hours]]-表格3_5[[#This Row],[Normal working
 hours]]</f>
        <v>0</v>
      </c>
      <c r="N1245" s="205"/>
      <c r="O1245" s="205"/>
      <c r="P1245" s="210">
        <f>(表格3_5[[#This Row],[Out-Time2]] - 表格3_5[[#This Row],[In-Time2]])*24</f>
        <v>0</v>
      </c>
      <c r="Q1245" s="205"/>
      <c r="R1245" s="214">
        <f>_xlfn.XLOOKUP(表格3_5[[#This Row],[Name]],Name_list[Full Name],Name_list[Hourr Rate])</f>
        <v>0</v>
      </c>
      <c r="S1245" s="210">
        <f>表格3_5[[#This Row],[Hours Worked]]*表格3_5[[#This Row],[Hourly Rate]]</f>
        <v>0</v>
      </c>
    </row>
    <row r="1246" spans="1:19">
      <c r="A1246" s="201">
        <v>1244</v>
      </c>
      <c r="B1246" s="210" t="str">
        <f>_xlfn.CONCAT(表格3_5[[#This Row],[Name]],表格3_5[[#This Row],[Location]])</f>
        <v/>
      </c>
      <c r="C1246" s="211" t="str">
        <f>表格3_5[[#This Row],[Location]] &amp; 表格3_5[[#This Row],[Date]] &amp;表格3_5[[#This Row],[Nick Name]]</f>
        <v>0</v>
      </c>
      <c r="D1246" s="202"/>
      <c r="E1246" s="211" t="str">
        <f>DAY(表格3_5[[#This Row],[Date]])&amp;""</f>
        <v>0</v>
      </c>
      <c r="F1246" s="203"/>
      <c r="G1246" s="216">
        <f>_xlfn.XLOOKUP(表格3_5[[#This Row],[Name]],Name_list[Full Name],Name_list[Nick Name])</f>
        <v>0</v>
      </c>
      <c r="H1246" s="207"/>
      <c r="I1246" s="228"/>
      <c r="J1246" s="218"/>
      <c r="K1246" s="205"/>
      <c r="L1246" s="210">
        <f>(表格3_5[[#This Row],[Out-Time]] - 表格3_5[[#This Row],[In-Time]])*24</f>
        <v>0</v>
      </c>
      <c r="M1246" s="210">
        <f>表格3_5[[#This Row],[ Hours]]-表格3_5[[#This Row],[Normal working
 hours]]</f>
        <v>0</v>
      </c>
      <c r="N1246" s="205"/>
      <c r="O1246" s="205"/>
      <c r="P1246" s="210">
        <f>(表格3_5[[#This Row],[Out-Time2]] - 表格3_5[[#This Row],[In-Time2]])*24</f>
        <v>0</v>
      </c>
      <c r="Q1246" s="205"/>
      <c r="R1246" s="214">
        <f>_xlfn.XLOOKUP(表格3_5[[#This Row],[Name]],Name_list[Full Name],Name_list[Hourr Rate])</f>
        <v>0</v>
      </c>
      <c r="S1246" s="210">
        <f>表格3_5[[#This Row],[Hours Worked]]*表格3_5[[#This Row],[Hourly Rate]]</f>
        <v>0</v>
      </c>
    </row>
    <row r="1247" spans="1:19">
      <c r="A1247" s="201">
        <v>1245</v>
      </c>
      <c r="B1247" s="210" t="str">
        <f>_xlfn.CONCAT(表格3_5[[#This Row],[Name]],表格3_5[[#This Row],[Location]])</f>
        <v/>
      </c>
      <c r="C1247" s="211" t="str">
        <f>表格3_5[[#This Row],[Location]] &amp; 表格3_5[[#This Row],[Date]] &amp;表格3_5[[#This Row],[Nick Name]]</f>
        <v>0</v>
      </c>
      <c r="D1247" s="202"/>
      <c r="E1247" s="211" t="str">
        <f>DAY(表格3_5[[#This Row],[Date]])&amp;""</f>
        <v>0</v>
      </c>
      <c r="F1247" s="203"/>
      <c r="G1247" s="216">
        <f>_xlfn.XLOOKUP(表格3_5[[#This Row],[Name]],Name_list[Full Name],Name_list[Nick Name])</f>
        <v>0</v>
      </c>
      <c r="H1247" s="207"/>
      <c r="I1247" s="228"/>
      <c r="J1247" s="218"/>
      <c r="K1247" s="205"/>
      <c r="L1247" s="210">
        <f>(表格3_5[[#This Row],[Out-Time]] - 表格3_5[[#This Row],[In-Time]])*24</f>
        <v>0</v>
      </c>
      <c r="M1247" s="210">
        <f>表格3_5[[#This Row],[ Hours]]-表格3_5[[#This Row],[Normal working
 hours]]</f>
        <v>0</v>
      </c>
      <c r="N1247" s="205"/>
      <c r="O1247" s="205"/>
      <c r="P1247" s="210">
        <f>(表格3_5[[#This Row],[Out-Time2]] - 表格3_5[[#This Row],[In-Time2]])*24</f>
        <v>0</v>
      </c>
      <c r="Q1247" s="205"/>
      <c r="R1247" s="214">
        <f>_xlfn.XLOOKUP(表格3_5[[#This Row],[Name]],Name_list[Full Name],Name_list[Hourr Rate])</f>
        <v>0</v>
      </c>
      <c r="S1247" s="210">
        <f>表格3_5[[#This Row],[Hours Worked]]*表格3_5[[#This Row],[Hourly Rate]]</f>
        <v>0</v>
      </c>
    </row>
    <row r="1248" spans="1:19">
      <c r="A1248" s="201">
        <v>1246</v>
      </c>
      <c r="B1248" s="210" t="str">
        <f>_xlfn.CONCAT(表格3_5[[#This Row],[Name]],表格3_5[[#This Row],[Location]])</f>
        <v/>
      </c>
      <c r="C1248" s="211" t="str">
        <f>表格3_5[[#This Row],[Location]] &amp; 表格3_5[[#This Row],[Date]] &amp;表格3_5[[#This Row],[Nick Name]]</f>
        <v>0</v>
      </c>
      <c r="D1248" s="202"/>
      <c r="E1248" s="211" t="str">
        <f>DAY(表格3_5[[#This Row],[Date]])&amp;""</f>
        <v>0</v>
      </c>
      <c r="F1248" s="203"/>
      <c r="G1248" s="216">
        <f>_xlfn.XLOOKUP(表格3_5[[#This Row],[Name]],Name_list[Full Name],Name_list[Nick Name])</f>
        <v>0</v>
      </c>
      <c r="H1248" s="207"/>
      <c r="I1248" s="228"/>
      <c r="J1248" s="218"/>
      <c r="K1248" s="205"/>
      <c r="L1248" s="210">
        <f>(表格3_5[[#This Row],[Out-Time]] - 表格3_5[[#This Row],[In-Time]])*24</f>
        <v>0</v>
      </c>
      <c r="M1248" s="210">
        <f>表格3_5[[#This Row],[ Hours]]-表格3_5[[#This Row],[Normal working
 hours]]</f>
        <v>0</v>
      </c>
      <c r="N1248" s="205"/>
      <c r="O1248" s="205"/>
      <c r="P1248" s="210">
        <f>(表格3_5[[#This Row],[Out-Time2]] - 表格3_5[[#This Row],[In-Time2]])*24</f>
        <v>0</v>
      </c>
      <c r="Q1248" s="205"/>
      <c r="R1248" s="214">
        <f>_xlfn.XLOOKUP(表格3_5[[#This Row],[Name]],Name_list[Full Name],Name_list[Hourr Rate])</f>
        <v>0</v>
      </c>
      <c r="S1248" s="210">
        <f>表格3_5[[#This Row],[Hours Worked]]*表格3_5[[#This Row],[Hourly Rate]]</f>
        <v>0</v>
      </c>
    </row>
    <row r="1249" spans="1:19">
      <c r="A1249" s="201">
        <v>1247</v>
      </c>
      <c r="B1249" s="210" t="str">
        <f>_xlfn.CONCAT(表格3_5[[#This Row],[Name]],表格3_5[[#This Row],[Location]])</f>
        <v/>
      </c>
      <c r="C1249" s="211" t="str">
        <f>表格3_5[[#This Row],[Location]] &amp; 表格3_5[[#This Row],[Date]] &amp;表格3_5[[#This Row],[Nick Name]]</f>
        <v>0</v>
      </c>
      <c r="D1249" s="202"/>
      <c r="E1249" s="211" t="str">
        <f>DAY(表格3_5[[#This Row],[Date]])&amp;""</f>
        <v>0</v>
      </c>
      <c r="F1249" s="203"/>
      <c r="G1249" s="216">
        <f>_xlfn.XLOOKUP(表格3_5[[#This Row],[Name]],Name_list[Full Name],Name_list[Nick Name])</f>
        <v>0</v>
      </c>
      <c r="H1249" s="207"/>
      <c r="I1249" s="228"/>
      <c r="J1249" s="218"/>
      <c r="K1249" s="205"/>
      <c r="L1249" s="210">
        <f>(表格3_5[[#This Row],[Out-Time]] - 表格3_5[[#This Row],[In-Time]])*24</f>
        <v>0</v>
      </c>
      <c r="M1249" s="210">
        <f>表格3_5[[#This Row],[ Hours]]-表格3_5[[#This Row],[Normal working
 hours]]</f>
        <v>0</v>
      </c>
      <c r="N1249" s="205"/>
      <c r="O1249" s="205"/>
      <c r="P1249" s="210">
        <f>(表格3_5[[#This Row],[Out-Time2]] - 表格3_5[[#This Row],[In-Time2]])*24</f>
        <v>0</v>
      </c>
      <c r="Q1249" s="205"/>
      <c r="R1249" s="214">
        <f>_xlfn.XLOOKUP(表格3_5[[#This Row],[Name]],Name_list[Full Name],Name_list[Hourr Rate])</f>
        <v>0</v>
      </c>
      <c r="S1249" s="210">
        <f>表格3_5[[#This Row],[Hours Worked]]*表格3_5[[#This Row],[Hourly Rate]]</f>
        <v>0</v>
      </c>
    </row>
    <row r="1250" spans="1:19">
      <c r="A1250" s="201">
        <v>1248</v>
      </c>
      <c r="B1250" s="210" t="str">
        <f>_xlfn.CONCAT(表格3_5[[#This Row],[Name]],表格3_5[[#This Row],[Location]])</f>
        <v/>
      </c>
      <c r="C1250" s="211" t="str">
        <f>表格3_5[[#This Row],[Location]] &amp; 表格3_5[[#This Row],[Date]] &amp;表格3_5[[#This Row],[Nick Name]]</f>
        <v>0</v>
      </c>
      <c r="D1250" s="202"/>
      <c r="E1250" s="211" t="str">
        <f>DAY(表格3_5[[#This Row],[Date]])&amp;""</f>
        <v>0</v>
      </c>
      <c r="F1250" s="203"/>
      <c r="G1250" s="216">
        <f>_xlfn.XLOOKUP(表格3_5[[#This Row],[Name]],Name_list[Full Name],Name_list[Nick Name])</f>
        <v>0</v>
      </c>
      <c r="H1250" s="207"/>
      <c r="I1250" s="228"/>
      <c r="J1250" s="218"/>
      <c r="K1250" s="205"/>
      <c r="L1250" s="210">
        <f>(表格3_5[[#This Row],[Out-Time]] - 表格3_5[[#This Row],[In-Time]])*24</f>
        <v>0</v>
      </c>
      <c r="M1250" s="210">
        <f>表格3_5[[#This Row],[ Hours]]-表格3_5[[#This Row],[Normal working
 hours]]</f>
        <v>0</v>
      </c>
      <c r="N1250" s="205"/>
      <c r="O1250" s="205"/>
      <c r="P1250" s="210">
        <f>(表格3_5[[#This Row],[Out-Time2]] - 表格3_5[[#This Row],[In-Time2]])*24</f>
        <v>0</v>
      </c>
      <c r="Q1250" s="205"/>
      <c r="R1250" s="214">
        <f>_xlfn.XLOOKUP(表格3_5[[#This Row],[Name]],Name_list[Full Name],Name_list[Hourr Rate])</f>
        <v>0</v>
      </c>
      <c r="S1250" s="210">
        <f>表格3_5[[#This Row],[Hours Worked]]*表格3_5[[#This Row],[Hourly Rate]]</f>
        <v>0</v>
      </c>
    </row>
    <row r="1251" spans="1:19">
      <c r="A1251" s="201">
        <v>1249</v>
      </c>
      <c r="B1251" s="210" t="str">
        <f>_xlfn.CONCAT(表格3_5[[#This Row],[Name]],表格3_5[[#This Row],[Location]])</f>
        <v/>
      </c>
      <c r="C1251" s="211" t="str">
        <f>表格3_5[[#This Row],[Location]] &amp; 表格3_5[[#This Row],[Date]] &amp;表格3_5[[#This Row],[Nick Name]]</f>
        <v>0</v>
      </c>
      <c r="D1251" s="202"/>
      <c r="E1251" s="211" t="str">
        <f>DAY(表格3_5[[#This Row],[Date]])&amp;""</f>
        <v>0</v>
      </c>
      <c r="F1251" s="203"/>
      <c r="G1251" s="216">
        <f>_xlfn.XLOOKUP(表格3_5[[#This Row],[Name]],Name_list[Full Name],Name_list[Nick Name])</f>
        <v>0</v>
      </c>
      <c r="H1251" s="207"/>
      <c r="I1251" s="228"/>
      <c r="J1251" s="218"/>
      <c r="K1251" s="205"/>
      <c r="L1251" s="210">
        <f>(表格3_5[[#This Row],[Out-Time]] - 表格3_5[[#This Row],[In-Time]])*24</f>
        <v>0</v>
      </c>
      <c r="M1251" s="210">
        <f>表格3_5[[#This Row],[ Hours]]-表格3_5[[#This Row],[Normal working
 hours]]</f>
        <v>0</v>
      </c>
      <c r="N1251" s="205"/>
      <c r="O1251" s="205"/>
      <c r="P1251" s="210">
        <f>(表格3_5[[#This Row],[Out-Time2]] - 表格3_5[[#This Row],[In-Time2]])*24</f>
        <v>0</v>
      </c>
      <c r="Q1251" s="205"/>
      <c r="R1251" s="214">
        <f>_xlfn.XLOOKUP(表格3_5[[#This Row],[Name]],Name_list[Full Name],Name_list[Hourr Rate])</f>
        <v>0</v>
      </c>
      <c r="S1251" s="210">
        <f>表格3_5[[#This Row],[Hours Worked]]*表格3_5[[#This Row],[Hourly Rate]]</f>
        <v>0</v>
      </c>
    </row>
    <row r="1252" spans="1:19">
      <c r="A1252" s="201">
        <v>1250</v>
      </c>
      <c r="B1252" s="210" t="str">
        <f>_xlfn.CONCAT(表格3_5[[#This Row],[Name]],表格3_5[[#This Row],[Location]])</f>
        <v/>
      </c>
      <c r="C1252" s="211" t="str">
        <f>表格3_5[[#This Row],[Location]] &amp; 表格3_5[[#This Row],[Date]] &amp;表格3_5[[#This Row],[Nick Name]]</f>
        <v>0</v>
      </c>
      <c r="D1252" s="202"/>
      <c r="E1252" s="211" t="str">
        <f>DAY(表格3_5[[#This Row],[Date]])&amp;""</f>
        <v>0</v>
      </c>
      <c r="F1252" s="203"/>
      <c r="G1252" s="216">
        <f>_xlfn.XLOOKUP(表格3_5[[#This Row],[Name]],Name_list[Full Name],Name_list[Nick Name])</f>
        <v>0</v>
      </c>
      <c r="H1252" s="207"/>
      <c r="I1252" s="228"/>
      <c r="J1252" s="218"/>
      <c r="K1252" s="205"/>
      <c r="L1252" s="210">
        <f>(表格3_5[[#This Row],[Out-Time]] - 表格3_5[[#This Row],[In-Time]])*24</f>
        <v>0</v>
      </c>
      <c r="M1252" s="210">
        <f>表格3_5[[#This Row],[ Hours]]-表格3_5[[#This Row],[Normal working
 hours]]</f>
        <v>0</v>
      </c>
      <c r="N1252" s="205"/>
      <c r="O1252" s="205"/>
      <c r="P1252" s="210">
        <f>(表格3_5[[#This Row],[Out-Time2]] - 表格3_5[[#This Row],[In-Time2]])*24</f>
        <v>0</v>
      </c>
      <c r="Q1252" s="205"/>
      <c r="R1252" s="214">
        <f>_xlfn.XLOOKUP(表格3_5[[#This Row],[Name]],Name_list[Full Name],Name_list[Hourr Rate])</f>
        <v>0</v>
      </c>
      <c r="S1252" s="210">
        <f>表格3_5[[#This Row],[Hours Worked]]*表格3_5[[#This Row],[Hourly Rate]]</f>
        <v>0</v>
      </c>
    </row>
    <row r="1253" spans="1:19">
      <c r="A1253" s="201">
        <v>1251</v>
      </c>
      <c r="B1253" s="210" t="str">
        <f>_xlfn.CONCAT(表格3_5[[#This Row],[Name]],表格3_5[[#This Row],[Location]])</f>
        <v/>
      </c>
      <c r="C1253" s="211" t="str">
        <f>表格3_5[[#This Row],[Location]] &amp; 表格3_5[[#This Row],[Date]] &amp;表格3_5[[#This Row],[Nick Name]]</f>
        <v>0</v>
      </c>
      <c r="D1253" s="202"/>
      <c r="E1253" s="211" t="str">
        <f>DAY(表格3_5[[#This Row],[Date]])&amp;""</f>
        <v>0</v>
      </c>
      <c r="F1253" s="203"/>
      <c r="G1253" s="216">
        <f>_xlfn.XLOOKUP(表格3_5[[#This Row],[Name]],Name_list[Full Name],Name_list[Nick Name])</f>
        <v>0</v>
      </c>
      <c r="H1253" s="207"/>
      <c r="I1253" s="228"/>
      <c r="J1253" s="218"/>
      <c r="K1253" s="205"/>
      <c r="L1253" s="210">
        <f>(表格3_5[[#This Row],[Out-Time]] - 表格3_5[[#This Row],[In-Time]])*24</f>
        <v>0</v>
      </c>
      <c r="M1253" s="210">
        <f>表格3_5[[#This Row],[ Hours]]-表格3_5[[#This Row],[Normal working
 hours]]</f>
        <v>0</v>
      </c>
      <c r="N1253" s="205"/>
      <c r="O1253" s="205"/>
      <c r="P1253" s="210">
        <f>(表格3_5[[#This Row],[Out-Time2]] - 表格3_5[[#This Row],[In-Time2]])*24</f>
        <v>0</v>
      </c>
      <c r="Q1253" s="205"/>
      <c r="R1253" s="214">
        <f>_xlfn.XLOOKUP(表格3_5[[#This Row],[Name]],Name_list[Full Name],Name_list[Hourr Rate])</f>
        <v>0</v>
      </c>
      <c r="S1253" s="210">
        <f>表格3_5[[#This Row],[Hours Worked]]*表格3_5[[#This Row],[Hourly Rate]]</f>
        <v>0</v>
      </c>
    </row>
    <row r="1254" spans="1:19">
      <c r="A1254" s="201">
        <v>1252</v>
      </c>
      <c r="B1254" s="210" t="str">
        <f>_xlfn.CONCAT(表格3_5[[#This Row],[Name]],表格3_5[[#This Row],[Location]])</f>
        <v/>
      </c>
      <c r="C1254" s="211" t="str">
        <f>表格3_5[[#This Row],[Location]] &amp; 表格3_5[[#This Row],[Date]] &amp;表格3_5[[#This Row],[Nick Name]]</f>
        <v>0</v>
      </c>
      <c r="D1254" s="202"/>
      <c r="E1254" s="211" t="str">
        <f>DAY(表格3_5[[#This Row],[Date]])&amp;""</f>
        <v>0</v>
      </c>
      <c r="F1254" s="203"/>
      <c r="G1254" s="216">
        <f>_xlfn.XLOOKUP(表格3_5[[#This Row],[Name]],Name_list[Full Name],Name_list[Nick Name])</f>
        <v>0</v>
      </c>
      <c r="H1254" s="207"/>
      <c r="I1254" s="228"/>
      <c r="J1254" s="218"/>
      <c r="K1254" s="205"/>
      <c r="L1254" s="210">
        <f>(表格3_5[[#This Row],[Out-Time]] - 表格3_5[[#This Row],[In-Time]])*24</f>
        <v>0</v>
      </c>
      <c r="M1254" s="210">
        <f>表格3_5[[#This Row],[ Hours]]-表格3_5[[#This Row],[Normal working
 hours]]</f>
        <v>0</v>
      </c>
      <c r="N1254" s="205"/>
      <c r="O1254" s="205"/>
      <c r="P1254" s="210">
        <f>(表格3_5[[#This Row],[Out-Time2]] - 表格3_5[[#This Row],[In-Time2]])*24</f>
        <v>0</v>
      </c>
      <c r="Q1254" s="205"/>
      <c r="R1254" s="214">
        <f>_xlfn.XLOOKUP(表格3_5[[#This Row],[Name]],Name_list[Full Name],Name_list[Hourr Rate])</f>
        <v>0</v>
      </c>
      <c r="S1254" s="210">
        <f>表格3_5[[#This Row],[Hours Worked]]*表格3_5[[#This Row],[Hourly Rate]]</f>
        <v>0</v>
      </c>
    </row>
    <row r="1255" spans="1:19">
      <c r="A1255" s="201">
        <v>1253</v>
      </c>
      <c r="B1255" s="210" t="str">
        <f>_xlfn.CONCAT(表格3_5[[#This Row],[Name]],表格3_5[[#This Row],[Location]])</f>
        <v/>
      </c>
      <c r="C1255" s="211" t="str">
        <f>表格3_5[[#This Row],[Location]] &amp; 表格3_5[[#This Row],[Date]] &amp;表格3_5[[#This Row],[Nick Name]]</f>
        <v>0</v>
      </c>
      <c r="D1255" s="202"/>
      <c r="E1255" s="211" t="str">
        <f>DAY(表格3_5[[#This Row],[Date]])&amp;""</f>
        <v>0</v>
      </c>
      <c r="F1255" s="203"/>
      <c r="G1255" s="216">
        <f>_xlfn.XLOOKUP(表格3_5[[#This Row],[Name]],Name_list[Full Name],Name_list[Nick Name])</f>
        <v>0</v>
      </c>
      <c r="H1255" s="207"/>
      <c r="I1255" s="228"/>
      <c r="J1255" s="218"/>
      <c r="K1255" s="205"/>
      <c r="L1255" s="210">
        <f>(表格3_5[[#This Row],[Out-Time]] - 表格3_5[[#This Row],[In-Time]])*24</f>
        <v>0</v>
      </c>
      <c r="M1255" s="210">
        <f>表格3_5[[#This Row],[ Hours]]-表格3_5[[#This Row],[Normal working
 hours]]</f>
        <v>0</v>
      </c>
      <c r="N1255" s="205"/>
      <c r="O1255" s="205"/>
      <c r="P1255" s="210">
        <f>(表格3_5[[#This Row],[Out-Time2]] - 表格3_5[[#This Row],[In-Time2]])*24</f>
        <v>0</v>
      </c>
      <c r="Q1255" s="205"/>
      <c r="R1255" s="214">
        <f>_xlfn.XLOOKUP(表格3_5[[#This Row],[Name]],Name_list[Full Name],Name_list[Hourr Rate])</f>
        <v>0</v>
      </c>
      <c r="S1255" s="210">
        <f>表格3_5[[#This Row],[Hours Worked]]*表格3_5[[#This Row],[Hourly Rate]]</f>
        <v>0</v>
      </c>
    </row>
    <row r="1256" spans="1:19">
      <c r="A1256" s="201">
        <v>1254</v>
      </c>
      <c r="B1256" s="210" t="str">
        <f>_xlfn.CONCAT(表格3_5[[#This Row],[Name]],表格3_5[[#This Row],[Location]])</f>
        <v/>
      </c>
      <c r="C1256" s="211" t="str">
        <f>表格3_5[[#This Row],[Location]] &amp; 表格3_5[[#This Row],[Date]] &amp;表格3_5[[#This Row],[Nick Name]]</f>
        <v>0</v>
      </c>
      <c r="D1256" s="202"/>
      <c r="E1256" s="211" t="str">
        <f>DAY(表格3_5[[#This Row],[Date]])&amp;""</f>
        <v>0</v>
      </c>
      <c r="F1256" s="203"/>
      <c r="G1256" s="216">
        <f>_xlfn.XLOOKUP(表格3_5[[#This Row],[Name]],Name_list[Full Name],Name_list[Nick Name])</f>
        <v>0</v>
      </c>
      <c r="H1256" s="207"/>
      <c r="I1256" s="228"/>
      <c r="J1256" s="218"/>
      <c r="K1256" s="205"/>
      <c r="L1256" s="210">
        <f>(表格3_5[[#This Row],[Out-Time]] - 表格3_5[[#This Row],[In-Time]])*24</f>
        <v>0</v>
      </c>
      <c r="M1256" s="210">
        <f>表格3_5[[#This Row],[ Hours]]-表格3_5[[#This Row],[Normal working
 hours]]</f>
        <v>0</v>
      </c>
      <c r="N1256" s="205"/>
      <c r="O1256" s="205"/>
      <c r="P1256" s="210">
        <f>(表格3_5[[#This Row],[Out-Time2]] - 表格3_5[[#This Row],[In-Time2]])*24</f>
        <v>0</v>
      </c>
      <c r="Q1256" s="205"/>
      <c r="R1256" s="214">
        <f>_xlfn.XLOOKUP(表格3_5[[#This Row],[Name]],Name_list[Full Name],Name_list[Hourr Rate])</f>
        <v>0</v>
      </c>
      <c r="S1256" s="210">
        <f>表格3_5[[#This Row],[Hours Worked]]*表格3_5[[#This Row],[Hourly Rate]]</f>
        <v>0</v>
      </c>
    </row>
    <row r="1257" spans="1:19">
      <c r="A1257" s="201">
        <v>1255</v>
      </c>
      <c r="B1257" s="210" t="str">
        <f>_xlfn.CONCAT(表格3_5[[#This Row],[Name]],表格3_5[[#This Row],[Location]])</f>
        <v/>
      </c>
      <c r="C1257" s="211" t="str">
        <f>表格3_5[[#This Row],[Location]] &amp; 表格3_5[[#This Row],[Date]] &amp;表格3_5[[#This Row],[Nick Name]]</f>
        <v>0</v>
      </c>
      <c r="D1257" s="202"/>
      <c r="E1257" s="211" t="str">
        <f>DAY(表格3_5[[#This Row],[Date]])&amp;""</f>
        <v>0</v>
      </c>
      <c r="F1257" s="203"/>
      <c r="G1257" s="216">
        <f>_xlfn.XLOOKUP(表格3_5[[#This Row],[Name]],Name_list[Full Name],Name_list[Nick Name])</f>
        <v>0</v>
      </c>
      <c r="H1257" s="207"/>
      <c r="I1257" s="228"/>
      <c r="J1257" s="218"/>
      <c r="K1257" s="205"/>
      <c r="L1257" s="210">
        <f>(表格3_5[[#This Row],[Out-Time]] - 表格3_5[[#This Row],[In-Time]])*24</f>
        <v>0</v>
      </c>
      <c r="M1257" s="210">
        <f>表格3_5[[#This Row],[ Hours]]-表格3_5[[#This Row],[Normal working
 hours]]</f>
        <v>0</v>
      </c>
      <c r="N1257" s="205"/>
      <c r="O1257" s="205"/>
      <c r="P1257" s="210">
        <f>(表格3_5[[#This Row],[Out-Time2]] - 表格3_5[[#This Row],[In-Time2]])*24</f>
        <v>0</v>
      </c>
      <c r="Q1257" s="205"/>
      <c r="R1257" s="214">
        <f>_xlfn.XLOOKUP(表格3_5[[#This Row],[Name]],Name_list[Full Name],Name_list[Hourr Rate])</f>
        <v>0</v>
      </c>
      <c r="S1257" s="210">
        <f>表格3_5[[#This Row],[Hours Worked]]*表格3_5[[#This Row],[Hourly Rate]]</f>
        <v>0</v>
      </c>
    </row>
    <row r="1258" spans="1:19">
      <c r="A1258" s="201">
        <v>1256</v>
      </c>
      <c r="B1258" s="210" t="str">
        <f>_xlfn.CONCAT(表格3_5[[#This Row],[Name]],表格3_5[[#This Row],[Location]])</f>
        <v/>
      </c>
      <c r="C1258" s="211" t="str">
        <f>表格3_5[[#This Row],[Location]] &amp; 表格3_5[[#This Row],[Date]] &amp;表格3_5[[#This Row],[Nick Name]]</f>
        <v>0</v>
      </c>
      <c r="D1258" s="202"/>
      <c r="E1258" s="211" t="str">
        <f>DAY(表格3_5[[#This Row],[Date]])&amp;""</f>
        <v>0</v>
      </c>
      <c r="F1258" s="203"/>
      <c r="G1258" s="216">
        <f>_xlfn.XLOOKUP(表格3_5[[#This Row],[Name]],Name_list[Full Name],Name_list[Nick Name])</f>
        <v>0</v>
      </c>
      <c r="H1258" s="207"/>
      <c r="I1258" s="228"/>
      <c r="J1258" s="218"/>
      <c r="K1258" s="205"/>
      <c r="L1258" s="210">
        <f>(表格3_5[[#This Row],[Out-Time]] - 表格3_5[[#This Row],[In-Time]])*24</f>
        <v>0</v>
      </c>
      <c r="M1258" s="210">
        <f>表格3_5[[#This Row],[ Hours]]-表格3_5[[#This Row],[Normal working
 hours]]</f>
        <v>0</v>
      </c>
      <c r="N1258" s="205"/>
      <c r="O1258" s="205"/>
      <c r="P1258" s="210">
        <f>(表格3_5[[#This Row],[Out-Time2]] - 表格3_5[[#This Row],[In-Time2]])*24</f>
        <v>0</v>
      </c>
      <c r="Q1258" s="205"/>
      <c r="R1258" s="214">
        <f>_xlfn.XLOOKUP(表格3_5[[#This Row],[Name]],Name_list[Full Name],Name_list[Hourr Rate])</f>
        <v>0</v>
      </c>
      <c r="S1258" s="210">
        <f>表格3_5[[#This Row],[Hours Worked]]*表格3_5[[#This Row],[Hourly Rate]]</f>
        <v>0</v>
      </c>
    </row>
    <row r="1259" spans="1:19">
      <c r="A1259" s="201">
        <v>1257</v>
      </c>
      <c r="B1259" s="210" t="str">
        <f>_xlfn.CONCAT(表格3_5[[#This Row],[Name]],表格3_5[[#This Row],[Location]])</f>
        <v/>
      </c>
      <c r="C1259" s="211" t="str">
        <f>表格3_5[[#This Row],[Location]] &amp; 表格3_5[[#This Row],[Date]] &amp;表格3_5[[#This Row],[Nick Name]]</f>
        <v>0</v>
      </c>
      <c r="D1259" s="202"/>
      <c r="E1259" s="211" t="str">
        <f>DAY(表格3_5[[#This Row],[Date]])&amp;""</f>
        <v>0</v>
      </c>
      <c r="F1259" s="203"/>
      <c r="G1259" s="216">
        <f>_xlfn.XLOOKUP(表格3_5[[#This Row],[Name]],Name_list[Full Name],Name_list[Nick Name])</f>
        <v>0</v>
      </c>
      <c r="H1259" s="207"/>
      <c r="I1259" s="228"/>
      <c r="J1259" s="218"/>
      <c r="K1259" s="205"/>
      <c r="L1259" s="210">
        <f>(表格3_5[[#This Row],[Out-Time]] - 表格3_5[[#This Row],[In-Time]])*24</f>
        <v>0</v>
      </c>
      <c r="M1259" s="210">
        <f>表格3_5[[#This Row],[ Hours]]-表格3_5[[#This Row],[Normal working
 hours]]</f>
        <v>0</v>
      </c>
      <c r="N1259" s="205"/>
      <c r="O1259" s="205"/>
      <c r="P1259" s="210">
        <f>(表格3_5[[#This Row],[Out-Time2]] - 表格3_5[[#This Row],[In-Time2]])*24</f>
        <v>0</v>
      </c>
      <c r="Q1259" s="205"/>
      <c r="R1259" s="214">
        <f>_xlfn.XLOOKUP(表格3_5[[#This Row],[Name]],Name_list[Full Name],Name_list[Hourr Rate])</f>
        <v>0</v>
      </c>
      <c r="S1259" s="210">
        <f>表格3_5[[#This Row],[Hours Worked]]*表格3_5[[#This Row],[Hourly Rate]]</f>
        <v>0</v>
      </c>
    </row>
    <row r="1260" spans="1:19">
      <c r="A1260" s="201">
        <v>1258</v>
      </c>
      <c r="B1260" s="210" t="str">
        <f>_xlfn.CONCAT(表格3_5[[#This Row],[Name]],表格3_5[[#This Row],[Location]])</f>
        <v/>
      </c>
      <c r="C1260" s="211" t="str">
        <f>表格3_5[[#This Row],[Location]] &amp; 表格3_5[[#This Row],[Date]] &amp;表格3_5[[#This Row],[Nick Name]]</f>
        <v>0</v>
      </c>
      <c r="D1260" s="202"/>
      <c r="E1260" s="211" t="str">
        <f>DAY(表格3_5[[#This Row],[Date]])&amp;""</f>
        <v>0</v>
      </c>
      <c r="F1260" s="203"/>
      <c r="G1260" s="216">
        <f>_xlfn.XLOOKUP(表格3_5[[#This Row],[Name]],Name_list[Full Name],Name_list[Nick Name])</f>
        <v>0</v>
      </c>
      <c r="H1260" s="207"/>
      <c r="I1260" s="228"/>
      <c r="J1260" s="218"/>
      <c r="K1260" s="205"/>
      <c r="L1260" s="210">
        <f>(表格3_5[[#This Row],[Out-Time]] - 表格3_5[[#This Row],[In-Time]])*24</f>
        <v>0</v>
      </c>
      <c r="M1260" s="210">
        <f>表格3_5[[#This Row],[ Hours]]-表格3_5[[#This Row],[Normal working
 hours]]</f>
        <v>0</v>
      </c>
      <c r="N1260" s="205"/>
      <c r="O1260" s="205"/>
      <c r="P1260" s="210">
        <f>(表格3_5[[#This Row],[Out-Time2]] - 表格3_5[[#This Row],[In-Time2]])*24</f>
        <v>0</v>
      </c>
      <c r="Q1260" s="205"/>
      <c r="R1260" s="214">
        <f>_xlfn.XLOOKUP(表格3_5[[#This Row],[Name]],Name_list[Full Name],Name_list[Hourr Rate])</f>
        <v>0</v>
      </c>
      <c r="S1260" s="210">
        <f>表格3_5[[#This Row],[Hours Worked]]*表格3_5[[#This Row],[Hourly Rate]]</f>
        <v>0</v>
      </c>
    </row>
    <row r="1261" spans="1:19">
      <c r="A1261" s="201">
        <v>1259</v>
      </c>
      <c r="B1261" s="210" t="str">
        <f>_xlfn.CONCAT(表格3_5[[#This Row],[Name]],表格3_5[[#This Row],[Location]])</f>
        <v/>
      </c>
      <c r="C1261" s="211" t="str">
        <f>表格3_5[[#This Row],[Location]] &amp; 表格3_5[[#This Row],[Date]] &amp;表格3_5[[#This Row],[Nick Name]]</f>
        <v>0</v>
      </c>
      <c r="D1261" s="202"/>
      <c r="E1261" s="211" t="str">
        <f>DAY(表格3_5[[#This Row],[Date]])&amp;""</f>
        <v>0</v>
      </c>
      <c r="F1261" s="203"/>
      <c r="G1261" s="216">
        <f>_xlfn.XLOOKUP(表格3_5[[#This Row],[Name]],Name_list[Full Name],Name_list[Nick Name])</f>
        <v>0</v>
      </c>
      <c r="H1261" s="207"/>
      <c r="I1261" s="228"/>
      <c r="J1261" s="218"/>
      <c r="K1261" s="205"/>
      <c r="L1261" s="210">
        <f>(表格3_5[[#This Row],[Out-Time]] - 表格3_5[[#This Row],[In-Time]])*24</f>
        <v>0</v>
      </c>
      <c r="M1261" s="210">
        <f>表格3_5[[#This Row],[ Hours]]-表格3_5[[#This Row],[Normal working
 hours]]</f>
        <v>0</v>
      </c>
      <c r="N1261" s="205"/>
      <c r="O1261" s="205"/>
      <c r="P1261" s="210">
        <f>(表格3_5[[#This Row],[Out-Time2]] - 表格3_5[[#This Row],[In-Time2]])*24</f>
        <v>0</v>
      </c>
      <c r="Q1261" s="205"/>
      <c r="R1261" s="214">
        <f>_xlfn.XLOOKUP(表格3_5[[#This Row],[Name]],Name_list[Full Name],Name_list[Hourr Rate])</f>
        <v>0</v>
      </c>
      <c r="S1261" s="210">
        <f>表格3_5[[#This Row],[Hours Worked]]*表格3_5[[#This Row],[Hourly Rate]]</f>
        <v>0</v>
      </c>
    </row>
    <row r="1262" spans="1:19">
      <c r="A1262" s="201">
        <v>1260</v>
      </c>
      <c r="B1262" s="210" t="str">
        <f>_xlfn.CONCAT(表格3_5[[#This Row],[Name]],表格3_5[[#This Row],[Location]])</f>
        <v/>
      </c>
      <c r="C1262" s="211" t="str">
        <f>表格3_5[[#This Row],[Location]] &amp; 表格3_5[[#This Row],[Date]] &amp;表格3_5[[#This Row],[Nick Name]]</f>
        <v>0</v>
      </c>
      <c r="D1262" s="202"/>
      <c r="E1262" s="211" t="str">
        <f>DAY(表格3_5[[#This Row],[Date]])&amp;""</f>
        <v>0</v>
      </c>
      <c r="F1262" s="203"/>
      <c r="G1262" s="216">
        <f>_xlfn.XLOOKUP(表格3_5[[#This Row],[Name]],Name_list[Full Name],Name_list[Nick Name])</f>
        <v>0</v>
      </c>
      <c r="H1262" s="207"/>
      <c r="I1262" s="228"/>
      <c r="J1262" s="218"/>
      <c r="K1262" s="205"/>
      <c r="L1262" s="210">
        <f>(表格3_5[[#This Row],[Out-Time]] - 表格3_5[[#This Row],[In-Time]])*24</f>
        <v>0</v>
      </c>
      <c r="M1262" s="210">
        <f>表格3_5[[#This Row],[ Hours]]-表格3_5[[#This Row],[Normal working
 hours]]</f>
        <v>0</v>
      </c>
      <c r="N1262" s="205"/>
      <c r="O1262" s="205"/>
      <c r="P1262" s="210">
        <f>(表格3_5[[#This Row],[Out-Time2]] - 表格3_5[[#This Row],[In-Time2]])*24</f>
        <v>0</v>
      </c>
      <c r="Q1262" s="205"/>
      <c r="R1262" s="214">
        <f>_xlfn.XLOOKUP(表格3_5[[#This Row],[Name]],Name_list[Full Name],Name_list[Hourr Rate])</f>
        <v>0</v>
      </c>
      <c r="S1262" s="210">
        <f>表格3_5[[#This Row],[Hours Worked]]*表格3_5[[#This Row],[Hourly Rate]]</f>
        <v>0</v>
      </c>
    </row>
    <row r="1263" spans="1:19">
      <c r="A1263" s="201">
        <v>1261</v>
      </c>
      <c r="B1263" s="210" t="str">
        <f>_xlfn.CONCAT(表格3_5[[#This Row],[Name]],表格3_5[[#This Row],[Location]])</f>
        <v/>
      </c>
      <c r="C1263" s="211" t="str">
        <f>表格3_5[[#This Row],[Location]] &amp; 表格3_5[[#This Row],[Date]] &amp;表格3_5[[#This Row],[Nick Name]]</f>
        <v>0</v>
      </c>
      <c r="D1263" s="202"/>
      <c r="E1263" s="211" t="str">
        <f>DAY(表格3_5[[#This Row],[Date]])&amp;""</f>
        <v>0</v>
      </c>
      <c r="F1263" s="203"/>
      <c r="G1263" s="216">
        <f>_xlfn.XLOOKUP(表格3_5[[#This Row],[Name]],Name_list[Full Name],Name_list[Nick Name])</f>
        <v>0</v>
      </c>
      <c r="H1263" s="207"/>
      <c r="I1263" s="228"/>
      <c r="J1263" s="218"/>
      <c r="K1263" s="205"/>
      <c r="L1263" s="210">
        <f>(表格3_5[[#This Row],[Out-Time]] - 表格3_5[[#This Row],[In-Time]])*24</f>
        <v>0</v>
      </c>
      <c r="M1263" s="210">
        <f>表格3_5[[#This Row],[ Hours]]-表格3_5[[#This Row],[Normal working
 hours]]</f>
        <v>0</v>
      </c>
      <c r="N1263" s="205"/>
      <c r="O1263" s="205"/>
      <c r="P1263" s="210">
        <f>(表格3_5[[#This Row],[Out-Time2]] - 表格3_5[[#This Row],[In-Time2]])*24</f>
        <v>0</v>
      </c>
      <c r="Q1263" s="205"/>
      <c r="R1263" s="214">
        <f>_xlfn.XLOOKUP(表格3_5[[#This Row],[Name]],Name_list[Full Name],Name_list[Hourr Rate])</f>
        <v>0</v>
      </c>
      <c r="S1263" s="210">
        <f>表格3_5[[#This Row],[Hours Worked]]*表格3_5[[#This Row],[Hourly Rate]]</f>
        <v>0</v>
      </c>
    </row>
    <row r="1264" spans="1:19">
      <c r="A1264" s="201">
        <v>1262</v>
      </c>
      <c r="B1264" s="210" t="str">
        <f>_xlfn.CONCAT(表格3_5[[#This Row],[Name]],表格3_5[[#This Row],[Location]])</f>
        <v/>
      </c>
      <c r="C1264" s="211" t="str">
        <f>表格3_5[[#This Row],[Location]] &amp; 表格3_5[[#This Row],[Date]] &amp;表格3_5[[#This Row],[Nick Name]]</f>
        <v>0</v>
      </c>
      <c r="D1264" s="202"/>
      <c r="E1264" s="211" t="str">
        <f>DAY(表格3_5[[#This Row],[Date]])&amp;""</f>
        <v>0</v>
      </c>
      <c r="F1264" s="203"/>
      <c r="G1264" s="216">
        <f>_xlfn.XLOOKUP(表格3_5[[#This Row],[Name]],Name_list[Full Name],Name_list[Nick Name])</f>
        <v>0</v>
      </c>
      <c r="H1264" s="207"/>
      <c r="I1264" s="228"/>
      <c r="J1264" s="218"/>
      <c r="K1264" s="205"/>
      <c r="L1264" s="210">
        <f>(表格3_5[[#This Row],[Out-Time]] - 表格3_5[[#This Row],[In-Time]])*24</f>
        <v>0</v>
      </c>
      <c r="M1264" s="210">
        <f>表格3_5[[#This Row],[ Hours]]-表格3_5[[#This Row],[Normal working
 hours]]</f>
        <v>0</v>
      </c>
      <c r="N1264" s="205"/>
      <c r="O1264" s="205"/>
      <c r="P1264" s="210">
        <f>(表格3_5[[#This Row],[Out-Time2]] - 表格3_5[[#This Row],[In-Time2]])*24</f>
        <v>0</v>
      </c>
      <c r="Q1264" s="205"/>
      <c r="R1264" s="214">
        <f>_xlfn.XLOOKUP(表格3_5[[#This Row],[Name]],Name_list[Full Name],Name_list[Hourr Rate])</f>
        <v>0</v>
      </c>
      <c r="S1264" s="210">
        <f>表格3_5[[#This Row],[Hours Worked]]*表格3_5[[#This Row],[Hourly Rate]]</f>
        <v>0</v>
      </c>
    </row>
    <row r="1265" spans="1:19">
      <c r="A1265" s="201">
        <v>1263</v>
      </c>
      <c r="B1265" s="210" t="str">
        <f>_xlfn.CONCAT(表格3_5[[#This Row],[Name]],表格3_5[[#This Row],[Location]])</f>
        <v/>
      </c>
      <c r="C1265" s="211" t="str">
        <f>表格3_5[[#This Row],[Location]] &amp; 表格3_5[[#This Row],[Date]] &amp;表格3_5[[#This Row],[Nick Name]]</f>
        <v>0</v>
      </c>
      <c r="D1265" s="202"/>
      <c r="E1265" s="211" t="str">
        <f>DAY(表格3_5[[#This Row],[Date]])&amp;""</f>
        <v>0</v>
      </c>
      <c r="F1265" s="203"/>
      <c r="G1265" s="216">
        <f>_xlfn.XLOOKUP(表格3_5[[#This Row],[Name]],Name_list[Full Name],Name_list[Nick Name])</f>
        <v>0</v>
      </c>
      <c r="H1265" s="207"/>
      <c r="I1265" s="228"/>
      <c r="J1265" s="218"/>
      <c r="K1265" s="205"/>
      <c r="L1265" s="210">
        <f>(表格3_5[[#This Row],[Out-Time]] - 表格3_5[[#This Row],[In-Time]])*24</f>
        <v>0</v>
      </c>
      <c r="M1265" s="210">
        <f>表格3_5[[#This Row],[ Hours]]-表格3_5[[#This Row],[Normal working
 hours]]</f>
        <v>0</v>
      </c>
      <c r="N1265" s="205"/>
      <c r="O1265" s="205"/>
      <c r="P1265" s="210">
        <f>(表格3_5[[#This Row],[Out-Time2]] - 表格3_5[[#This Row],[In-Time2]])*24</f>
        <v>0</v>
      </c>
      <c r="Q1265" s="205"/>
      <c r="R1265" s="214">
        <f>_xlfn.XLOOKUP(表格3_5[[#This Row],[Name]],Name_list[Full Name],Name_list[Hourr Rate])</f>
        <v>0</v>
      </c>
      <c r="S1265" s="210">
        <f>表格3_5[[#This Row],[Hours Worked]]*表格3_5[[#This Row],[Hourly Rate]]</f>
        <v>0</v>
      </c>
    </row>
    <row r="1266" spans="1:19">
      <c r="A1266" s="201">
        <v>1264</v>
      </c>
      <c r="B1266" s="210" t="str">
        <f>_xlfn.CONCAT(表格3_5[[#This Row],[Name]],表格3_5[[#This Row],[Location]])</f>
        <v/>
      </c>
      <c r="C1266" s="211" t="str">
        <f>表格3_5[[#This Row],[Location]] &amp; 表格3_5[[#This Row],[Date]] &amp;表格3_5[[#This Row],[Nick Name]]</f>
        <v>0</v>
      </c>
      <c r="D1266" s="202"/>
      <c r="E1266" s="211" t="str">
        <f>DAY(表格3_5[[#This Row],[Date]])&amp;""</f>
        <v>0</v>
      </c>
      <c r="F1266" s="203"/>
      <c r="G1266" s="216">
        <f>_xlfn.XLOOKUP(表格3_5[[#This Row],[Name]],Name_list[Full Name],Name_list[Nick Name])</f>
        <v>0</v>
      </c>
      <c r="H1266" s="207"/>
      <c r="I1266" s="228"/>
      <c r="J1266" s="218"/>
      <c r="K1266" s="205"/>
      <c r="L1266" s="210">
        <f>(表格3_5[[#This Row],[Out-Time]] - 表格3_5[[#This Row],[In-Time]])*24</f>
        <v>0</v>
      </c>
      <c r="M1266" s="210">
        <f>表格3_5[[#This Row],[ Hours]]-表格3_5[[#This Row],[Normal working
 hours]]</f>
        <v>0</v>
      </c>
      <c r="N1266" s="205"/>
      <c r="O1266" s="205"/>
      <c r="P1266" s="210">
        <f>(表格3_5[[#This Row],[Out-Time2]] - 表格3_5[[#This Row],[In-Time2]])*24</f>
        <v>0</v>
      </c>
      <c r="Q1266" s="205"/>
      <c r="R1266" s="214">
        <f>_xlfn.XLOOKUP(表格3_5[[#This Row],[Name]],Name_list[Full Name],Name_list[Hourr Rate])</f>
        <v>0</v>
      </c>
      <c r="S1266" s="210">
        <f>表格3_5[[#This Row],[Hours Worked]]*表格3_5[[#This Row],[Hourly Rate]]</f>
        <v>0</v>
      </c>
    </row>
    <row r="1267" spans="1:19">
      <c r="A1267" s="201">
        <v>1265</v>
      </c>
      <c r="B1267" s="210" t="str">
        <f>_xlfn.CONCAT(表格3_5[[#This Row],[Name]],表格3_5[[#This Row],[Location]])</f>
        <v/>
      </c>
      <c r="C1267" s="211" t="str">
        <f>表格3_5[[#This Row],[Location]] &amp; 表格3_5[[#This Row],[Date]] &amp;表格3_5[[#This Row],[Nick Name]]</f>
        <v>0</v>
      </c>
      <c r="D1267" s="202"/>
      <c r="E1267" s="211" t="str">
        <f>DAY(表格3_5[[#This Row],[Date]])&amp;""</f>
        <v>0</v>
      </c>
      <c r="F1267" s="203"/>
      <c r="G1267" s="216">
        <f>_xlfn.XLOOKUP(表格3_5[[#This Row],[Name]],Name_list[Full Name],Name_list[Nick Name])</f>
        <v>0</v>
      </c>
      <c r="H1267" s="207"/>
      <c r="I1267" s="228"/>
      <c r="J1267" s="218"/>
      <c r="K1267" s="205"/>
      <c r="L1267" s="210">
        <f>(表格3_5[[#This Row],[Out-Time]] - 表格3_5[[#This Row],[In-Time]])*24</f>
        <v>0</v>
      </c>
      <c r="M1267" s="210">
        <f>表格3_5[[#This Row],[ Hours]]-表格3_5[[#This Row],[Normal working
 hours]]</f>
        <v>0</v>
      </c>
      <c r="N1267" s="205"/>
      <c r="O1267" s="205"/>
      <c r="P1267" s="210">
        <f>(表格3_5[[#This Row],[Out-Time2]] - 表格3_5[[#This Row],[In-Time2]])*24</f>
        <v>0</v>
      </c>
      <c r="Q1267" s="205"/>
      <c r="R1267" s="214">
        <f>_xlfn.XLOOKUP(表格3_5[[#This Row],[Name]],Name_list[Full Name],Name_list[Hourr Rate])</f>
        <v>0</v>
      </c>
      <c r="S1267" s="210">
        <f>表格3_5[[#This Row],[Hours Worked]]*表格3_5[[#This Row],[Hourly Rate]]</f>
        <v>0</v>
      </c>
    </row>
    <row r="1268" spans="1:19">
      <c r="A1268" s="201">
        <v>1266</v>
      </c>
      <c r="B1268" s="210" t="str">
        <f>_xlfn.CONCAT(表格3_5[[#This Row],[Name]],表格3_5[[#This Row],[Location]])</f>
        <v/>
      </c>
      <c r="C1268" s="211" t="str">
        <f>表格3_5[[#This Row],[Location]] &amp; 表格3_5[[#This Row],[Date]] &amp;表格3_5[[#This Row],[Nick Name]]</f>
        <v>0</v>
      </c>
      <c r="D1268" s="202"/>
      <c r="E1268" s="211" t="str">
        <f>DAY(表格3_5[[#This Row],[Date]])&amp;""</f>
        <v>0</v>
      </c>
      <c r="F1268" s="203"/>
      <c r="G1268" s="216">
        <f>_xlfn.XLOOKUP(表格3_5[[#This Row],[Name]],Name_list[Full Name],Name_list[Nick Name])</f>
        <v>0</v>
      </c>
      <c r="H1268" s="207"/>
      <c r="I1268" s="228"/>
      <c r="J1268" s="218"/>
      <c r="K1268" s="205"/>
      <c r="L1268" s="210">
        <f>(表格3_5[[#This Row],[Out-Time]] - 表格3_5[[#This Row],[In-Time]])*24</f>
        <v>0</v>
      </c>
      <c r="M1268" s="210">
        <f>表格3_5[[#This Row],[ Hours]]-表格3_5[[#This Row],[Normal working
 hours]]</f>
        <v>0</v>
      </c>
      <c r="N1268" s="205"/>
      <c r="O1268" s="205"/>
      <c r="P1268" s="210">
        <f>(表格3_5[[#This Row],[Out-Time2]] - 表格3_5[[#This Row],[In-Time2]])*24</f>
        <v>0</v>
      </c>
      <c r="Q1268" s="205"/>
      <c r="R1268" s="214">
        <f>_xlfn.XLOOKUP(表格3_5[[#This Row],[Name]],Name_list[Full Name],Name_list[Hourr Rate])</f>
        <v>0</v>
      </c>
      <c r="S1268" s="210">
        <f>表格3_5[[#This Row],[Hours Worked]]*表格3_5[[#This Row],[Hourly Rate]]</f>
        <v>0</v>
      </c>
    </row>
    <row r="1269" spans="1:19">
      <c r="A1269" s="201">
        <v>1267</v>
      </c>
      <c r="B1269" s="210" t="str">
        <f>_xlfn.CONCAT(表格3_5[[#This Row],[Name]],表格3_5[[#This Row],[Location]])</f>
        <v/>
      </c>
      <c r="C1269" s="211" t="str">
        <f>表格3_5[[#This Row],[Location]] &amp; 表格3_5[[#This Row],[Date]] &amp;表格3_5[[#This Row],[Nick Name]]</f>
        <v>0</v>
      </c>
      <c r="D1269" s="202"/>
      <c r="E1269" s="211" t="str">
        <f>DAY(表格3_5[[#This Row],[Date]])&amp;""</f>
        <v>0</v>
      </c>
      <c r="F1269" s="203"/>
      <c r="G1269" s="216">
        <f>_xlfn.XLOOKUP(表格3_5[[#This Row],[Name]],Name_list[Full Name],Name_list[Nick Name])</f>
        <v>0</v>
      </c>
      <c r="H1269" s="207"/>
      <c r="I1269" s="228"/>
      <c r="J1269" s="218"/>
      <c r="K1269" s="205"/>
      <c r="L1269" s="210">
        <f>(表格3_5[[#This Row],[Out-Time]] - 表格3_5[[#This Row],[In-Time]])*24</f>
        <v>0</v>
      </c>
      <c r="M1269" s="210">
        <f>表格3_5[[#This Row],[ Hours]]-表格3_5[[#This Row],[Normal working
 hours]]</f>
        <v>0</v>
      </c>
      <c r="N1269" s="205"/>
      <c r="O1269" s="205"/>
      <c r="P1269" s="210">
        <f>(表格3_5[[#This Row],[Out-Time2]] - 表格3_5[[#This Row],[In-Time2]])*24</f>
        <v>0</v>
      </c>
      <c r="Q1269" s="205"/>
      <c r="R1269" s="214">
        <f>_xlfn.XLOOKUP(表格3_5[[#This Row],[Name]],Name_list[Full Name],Name_list[Hourr Rate])</f>
        <v>0</v>
      </c>
      <c r="S1269" s="210">
        <f>表格3_5[[#This Row],[Hours Worked]]*表格3_5[[#This Row],[Hourly Rate]]</f>
        <v>0</v>
      </c>
    </row>
    <row r="1270" spans="1:19">
      <c r="A1270" s="201">
        <v>1268</v>
      </c>
      <c r="B1270" s="210" t="str">
        <f>_xlfn.CONCAT(表格3_5[[#This Row],[Name]],表格3_5[[#This Row],[Location]])</f>
        <v/>
      </c>
      <c r="C1270" s="211" t="str">
        <f>表格3_5[[#This Row],[Location]] &amp; 表格3_5[[#This Row],[Date]] &amp;表格3_5[[#This Row],[Nick Name]]</f>
        <v>0</v>
      </c>
      <c r="D1270" s="202"/>
      <c r="E1270" s="211" t="str">
        <f>DAY(表格3_5[[#This Row],[Date]])&amp;""</f>
        <v>0</v>
      </c>
      <c r="F1270" s="203"/>
      <c r="G1270" s="216">
        <f>_xlfn.XLOOKUP(表格3_5[[#This Row],[Name]],Name_list[Full Name],Name_list[Nick Name])</f>
        <v>0</v>
      </c>
      <c r="H1270" s="207"/>
      <c r="I1270" s="228"/>
      <c r="J1270" s="218"/>
      <c r="K1270" s="205"/>
      <c r="L1270" s="210">
        <f>(表格3_5[[#This Row],[Out-Time]] - 表格3_5[[#This Row],[In-Time]])*24</f>
        <v>0</v>
      </c>
      <c r="M1270" s="210">
        <f>表格3_5[[#This Row],[ Hours]]-表格3_5[[#This Row],[Normal working
 hours]]</f>
        <v>0</v>
      </c>
      <c r="N1270" s="205"/>
      <c r="O1270" s="205"/>
      <c r="P1270" s="210">
        <f>(表格3_5[[#This Row],[Out-Time2]] - 表格3_5[[#This Row],[In-Time2]])*24</f>
        <v>0</v>
      </c>
      <c r="Q1270" s="205"/>
      <c r="R1270" s="214">
        <f>_xlfn.XLOOKUP(表格3_5[[#This Row],[Name]],Name_list[Full Name],Name_list[Hourr Rate])</f>
        <v>0</v>
      </c>
      <c r="S1270" s="210">
        <f>表格3_5[[#This Row],[Hours Worked]]*表格3_5[[#This Row],[Hourly Rate]]</f>
        <v>0</v>
      </c>
    </row>
    <row r="1271" spans="1:19">
      <c r="A1271" s="201">
        <v>1269</v>
      </c>
      <c r="B1271" s="210" t="str">
        <f>_xlfn.CONCAT(表格3_5[[#This Row],[Name]],表格3_5[[#This Row],[Location]])</f>
        <v/>
      </c>
      <c r="C1271" s="211" t="str">
        <f>表格3_5[[#This Row],[Location]] &amp; 表格3_5[[#This Row],[Date]] &amp;表格3_5[[#This Row],[Nick Name]]</f>
        <v>0</v>
      </c>
      <c r="D1271" s="202"/>
      <c r="E1271" s="211" t="str">
        <f>DAY(表格3_5[[#This Row],[Date]])&amp;""</f>
        <v>0</v>
      </c>
      <c r="F1271" s="203"/>
      <c r="G1271" s="216">
        <f>_xlfn.XLOOKUP(表格3_5[[#This Row],[Name]],Name_list[Full Name],Name_list[Nick Name])</f>
        <v>0</v>
      </c>
      <c r="H1271" s="207"/>
      <c r="I1271" s="228"/>
      <c r="J1271" s="218"/>
      <c r="K1271" s="205"/>
      <c r="L1271" s="210">
        <f>(表格3_5[[#This Row],[Out-Time]] - 表格3_5[[#This Row],[In-Time]])*24</f>
        <v>0</v>
      </c>
      <c r="M1271" s="210">
        <f>表格3_5[[#This Row],[ Hours]]-表格3_5[[#This Row],[Normal working
 hours]]</f>
        <v>0</v>
      </c>
      <c r="N1271" s="205"/>
      <c r="O1271" s="205"/>
      <c r="P1271" s="210">
        <f>(表格3_5[[#This Row],[Out-Time2]] - 表格3_5[[#This Row],[In-Time2]])*24</f>
        <v>0</v>
      </c>
      <c r="Q1271" s="205"/>
      <c r="R1271" s="214">
        <f>_xlfn.XLOOKUP(表格3_5[[#This Row],[Name]],Name_list[Full Name],Name_list[Hourr Rate])</f>
        <v>0</v>
      </c>
      <c r="S1271" s="210">
        <f>表格3_5[[#This Row],[Hours Worked]]*表格3_5[[#This Row],[Hourly Rate]]</f>
        <v>0</v>
      </c>
    </row>
    <row r="1272" spans="1:19">
      <c r="A1272" s="201">
        <v>1270</v>
      </c>
      <c r="B1272" s="210" t="str">
        <f>_xlfn.CONCAT(表格3_5[[#This Row],[Name]],表格3_5[[#This Row],[Location]])</f>
        <v/>
      </c>
      <c r="C1272" s="211" t="str">
        <f>表格3_5[[#This Row],[Location]] &amp; 表格3_5[[#This Row],[Date]] &amp;表格3_5[[#This Row],[Nick Name]]</f>
        <v>0</v>
      </c>
      <c r="D1272" s="202"/>
      <c r="E1272" s="211" t="str">
        <f>DAY(表格3_5[[#This Row],[Date]])&amp;""</f>
        <v>0</v>
      </c>
      <c r="F1272" s="203"/>
      <c r="G1272" s="216">
        <f>_xlfn.XLOOKUP(表格3_5[[#This Row],[Name]],Name_list[Full Name],Name_list[Nick Name])</f>
        <v>0</v>
      </c>
      <c r="H1272" s="207"/>
      <c r="I1272" s="228"/>
      <c r="J1272" s="218"/>
      <c r="K1272" s="205"/>
      <c r="L1272" s="210">
        <f>(表格3_5[[#This Row],[Out-Time]] - 表格3_5[[#This Row],[In-Time]])*24</f>
        <v>0</v>
      </c>
      <c r="M1272" s="210">
        <f>表格3_5[[#This Row],[ Hours]]-表格3_5[[#This Row],[Normal working
 hours]]</f>
        <v>0</v>
      </c>
      <c r="N1272" s="205"/>
      <c r="O1272" s="205"/>
      <c r="P1272" s="210">
        <f>(表格3_5[[#This Row],[Out-Time2]] - 表格3_5[[#This Row],[In-Time2]])*24</f>
        <v>0</v>
      </c>
      <c r="Q1272" s="205"/>
      <c r="R1272" s="214">
        <f>_xlfn.XLOOKUP(表格3_5[[#This Row],[Name]],Name_list[Full Name],Name_list[Hourr Rate])</f>
        <v>0</v>
      </c>
      <c r="S1272" s="210">
        <f>表格3_5[[#This Row],[Hours Worked]]*表格3_5[[#This Row],[Hourly Rate]]</f>
        <v>0</v>
      </c>
    </row>
    <row r="1273" spans="1:19">
      <c r="A1273" s="201">
        <v>1271</v>
      </c>
      <c r="B1273" s="210" t="str">
        <f>_xlfn.CONCAT(表格3_5[[#This Row],[Name]],表格3_5[[#This Row],[Location]])</f>
        <v/>
      </c>
      <c r="C1273" s="211" t="str">
        <f>表格3_5[[#This Row],[Location]] &amp; 表格3_5[[#This Row],[Date]] &amp;表格3_5[[#This Row],[Nick Name]]</f>
        <v>0</v>
      </c>
      <c r="D1273" s="202"/>
      <c r="E1273" s="211" t="str">
        <f>DAY(表格3_5[[#This Row],[Date]])&amp;""</f>
        <v>0</v>
      </c>
      <c r="F1273" s="203"/>
      <c r="G1273" s="216">
        <f>_xlfn.XLOOKUP(表格3_5[[#This Row],[Name]],Name_list[Full Name],Name_list[Nick Name])</f>
        <v>0</v>
      </c>
      <c r="H1273" s="207"/>
      <c r="I1273" s="228"/>
      <c r="J1273" s="218"/>
      <c r="K1273" s="205"/>
      <c r="L1273" s="210">
        <f>(表格3_5[[#This Row],[Out-Time]] - 表格3_5[[#This Row],[In-Time]])*24</f>
        <v>0</v>
      </c>
      <c r="M1273" s="210">
        <f>表格3_5[[#This Row],[ Hours]]-表格3_5[[#This Row],[Normal working
 hours]]</f>
        <v>0</v>
      </c>
      <c r="N1273" s="205"/>
      <c r="O1273" s="205"/>
      <c r="P1273" s="210">
        <f>(表格3_5[[#This Row],[Out-Time2]] - 表格3_5[[#This Row],[In-Time2]])*24</f>
        <v>0</v>
      </c>
      <c r="Q1273" s="205"/>
      <c r="R1273" s="214">
        <f>_xlfn.XLOOKUP(表格3_5[[#This Row],[Name]],Name_list[Full Name],Name_list[Hourr Rate])</f>
        <v>0</v>
      </c>
      <c r="S1273" s="210">
        <f>表格3_5[[#This Row],[Hours Worked]]*表格3_5[[#This Row],[Hourly Rate]]</f>
        <v>0</v>
      </c>
    </row>
    <row r="1274" spans="1:19">
      <c r="A1274" s="201">
        <v>1272</v>
      </c>
      <c r="B1274" s="210" t="str">
        <f>_xlfn.CONCAT(表格3_5[[#This Row],[Name]],表格3_5[[#This Row],[Location]])</f>
        <v/>
      </c>
      <c r="C1274" s="211" t="str">
        <f>表格3_5[[#This Row],[Location]] &amp; 表格3_5[[#This Row],[Date]] &amp;表格3_5[[#This Row],[Nick Name]]</f>
        <v>0</v>
      </c>
      <c r="D1274" s="202"/>
      <c r="E1274" s="211" t="str">
        <f>DAY(表格3_5[[#This Row],[Date]])&amp;""</f>
        <v>0</v>
      </c>
      <c r="F1274" s="203"/>
      <c r="G1274" s="216">
        <f>_xlfn.XLOOKUP(表格3_5[[#This Row],[Name]],Name_list[Full Name],Name_list[Nick Name])</f>
        <v>0</v>
      </c>
      <c r="H1274" s="207"/>
      <c r="I1274" s="228"/>
      <c r="J1274" s="218"/>
      <c r="K1274" s="205"/>
      <c r="L1274" s="210">
        <f>(表格3_5[[#This Row],[Out-Time]] - 表格3_5[[#This Row],[In-Time]])*24</f>
        <v>0</v>
      </c>
      <c r="M1274" s="210">
        <f>表格3_5[[#This Row],[ Hours]]-表格3_5[[#This Row],[Normal working
 hours]]</f>
        <v>0</v>
      </c>
      <c r="N1274" s="205"/>
      <c r="O1274" s="205"/>
      <c r="P1274" s="210">
        <f>(表格3_5[[#This Row],[Out-Time2]] - 表格3_5[[#This Row],[In-Time2]])*24</f>
        <v>0</v>
      </c>
      <c r="Q1274" s="205"/>
      <c r="R1274" s="214">
        <f>_xlfn.XLOOKUP(表格3_5[[#This Row],[Name]],Name_list[Full Name],Name_list[Hourr Rate])</f>
        <v>0</v>
      </c>
      <c r="S1274" s="210">
        <f>表格3_5[[#This Row],[Hours Worked]]*表格3_5[[#This Row],[Hourly Rate]]</f>
        <v>0</v>
      </c>
    </row>
    <row r="1275" spans="1:19">
      <c r="A1275" s="201">
        <v>1273</v>
      </c>
      <c r="B1275" s="210" t="str">
        <f>_xlfn.CONCAT(表格3_5[[#This Row],[Name]],表格3_5[[#This Row],[Location]])</f>
        <v/>
      </c>
      <c r="C1275" s="211" t="str">
        <f>表格3_5[[#This Row],[Location]] &amp; 表格3_5[[#This Row],[Date]] &amp;表格3_5[[#This Row],[Nick Name]]</f>
        <v>0</v>
      </c>
      <c r="D1275" s="202"/>
      <c r="E1275" s="211" t="str">
        <f>DAY(表格3_5[[#This Row],[Date]])&amp;""</f>
        <v>0</v>
      </c>
      <c r="F1275" s="203"/>
      <c r="G1275" s="216">
        <f>_xlfn.XLOOKUP(表格3_5[[#This Row],[Name]],Name_list[Full Name],Name_list[Nick Name])</f>
        <v>0</v>
      </c>
      <c r="H1275" s="207"/>
      <c r="I1275" s="228"/>
      <c r="J1275" s="218"/>
      <c r="K1275" s="205"/>
      <c r="L1275" s="210">
        <f>(表格3_5[[#This Row],[Out-Time]] - 表格3_5[[#This Row],[In-Time]])*24</f>
        <v>0</v>
      </c>
      <c r="M1275" s="210">
        <f>表格3_5[[#This Row],[ Hours]]-表格3_5[[#This Row],[Normal working
 hours]]</f>
        <v>0</v>
      </c>
      <c r="N1275" s="205"/>
      <c r="O1275" s="205"/>
      <c r="P1275" s="210">
        <f>(表格3_5[[#This Row],[Out-Time2]] - 表格3_5[[#This Row],[In-Time2]])*24</f>
        <v>0</v>
      </c>
      <c r="Q1275" s="205"/>
      <c r="R1275" s="214">
        <f>_xlfn.XLOOKUP(表格3_5[[#This Row],[Name]],Name_list[Full Name],Name_list[Hourr Rate])</f>
        <v>0</v>
      </c>
      <c r="S1275" s="210">
        <f>表格3_5[[#This Row],[Hours Worked]]*表格3_5[[#This Row],[Hourly Rate]]</f>
        <v>0</v>
      </c>
    </row>
    <row r="1276" spans="1:19">
      <c r="A1276" s="201">
        <v>1274</v>
      </c>
      <c r="B1276" s="210" t="str">
        <f>_xlfn.CONCAT(表格3_5[[#This Row],[Name]],表格3_5[[#This Row],[Location]])</f>
        <v/>
      </c>
      <c r="C1276" s="211" t="str">
        <f>表格3_5[[#This Row],[Location]] &amp; 表格3_5[[#This Row],[Date]] &amp;表格3_5[[#This Row],[Nick Name]]</f>
        <v>0</v>
      </c>
      <c r="D1276" s="202"/>
      <c r="E1276" s="211" t="str">
        <f>DAY(表格3_5[[#This Row],[Date]])&amp;""</f>
        <v>0</v>
      </c>
      <c r="F1276" s="203"/>
      <c r="G1276" s="216">
        <f>_xlfn.XLOOKUP(表格3_5[[#This Row],[Name]],Name_list[Full Name],Name_list[Nick Name])</f>
        <v>0</v>
      </c>
      <c r="H1276" s="207"/>
      <c r="I1276" s="228"/>
      <c r="J1276" s="218"/>
      <c r="K1276" s="205"/>
      <c r="L1276" s="210">
        <f>(表格3_5[[#This Row],[Out-Time]] - 表格3_5[[#This Row],[In-Time]])*24</f>
        <v>0</v>
      </c>
      <c r="M1276" s="210">
        <f>表格3_5[[#This Row],[ Hours]]-表格3_5[[#This Row],[Normal working
 hours]]</f>
        <v>0</v>
      </c>
      <c r="N1276" s="205"/>
      <c r="O1276" s="205"/>
      <c r="P1276" s="210">
        <f>(表格3_5[[#This Row],[Out-Time2]] - 表格3_5[[#This Row],[In-Time2]])*24</f>
        <v>0</v>
      </c>
      <c r="Q1276" s="205"/>
      <c r="R1276" s="214">
        <f>_xlfn.XLOOKUP(表格3_5[[#This Row],[Name]],Name_list[Full Name],Name_list[Hourr Rate])</f>
        <v>0</v>
      </c>
      <c r="S1276" s="210">
        <f>表格3_5[[#This Row],[Hours Worked]]*表格3_5[[#This Row],[Hourly Rate]]</f>
        <v>0</v>
      </c>
    </row>
    <row r="1277" spans="1:19">
      <c r="A1277" s="201">
        <v>1275</v>
      </c>
      <c r="B1277" s="210" t="str">
        <f>_xlfn.CONCAT(表格3_5[[#This Row],[Name]],表格3_5[[#This Row],[Location]])</f>
        <v/>
      </c>
      <c r="C1277" s="211" t="str">
        <f>表格3_5[[#This Row],[Location]] &amp; 表格3_5[[#This Row],[Date]] &amp;表格3_5[[#This Row],[Nick Name]]</f>
        <v>0</v>
      </c>
      <c r="D1277" s="202"/>
      <c r="E1277" s="211" t="str">
        <f>DAY(表格3_5[[#This Row],[Date]])&amp;""</f>
        <v>0</v>
      </c>
      <c r="F1277" s="203"/>
      <c r="G1277" s="216">
        <f>_xlfn.XLOOKUP(表格3_5[[#This Row],[Name]],Name_list[Full Name],Name_list[Nick Name])</f>
        <v>0</v>
      </c>
      <c r="H1277" s="207"/>
      <c r="I1277" s="228"/>
      <c r="J1277" s="218"/>
      <c r="K1277" s="205"/>
      <c r="L1277" s="210">
        <f>(表格3_5[[#This Row],[Out-Time]] - 表格3_5[[#This Row],[In-Time]])*24</f>
        <v>0</v>
      </c>
      <c r="M1277" s="210">
        <f>表格3_5[[#This Row],[ Hours]]-表格3_5[[#This Row],[Normal working
 hours]]</f>
        <v>0</v>
      </c>
      <c r="N1277" s="205"/>
      <c r="O1277" s="205"/>
      <c r="P1277" s="210">
        <f>(表格3_5[[#This Row],[Out-Time2]] - 表格3_5[[#This Row],[In-Time2]])*24</f>
        <v>0</v>
      </c>
      <c r="Q1277" s="205"/>
      <c r="R1277" s="214">
        <f>_xlfn.XLOOKUP(表格3_5[[#This Row],[Name]],Name_list[Full Name],Name_list[Hourr Rate])</f>
        <v>0</v>
      </c>
      <c r="S1277" s="210">
        <f>表格3_5[[#This Row],[Hours Worked]]*表格3_5[[#This Row],[Hourly Rate]]</f>
        <v>0</v>
      </c>
    </row>
    <row r="1278" spans="1:19">
      <c r="A1278" s="201">
        <v>1276</v>
      </c>
      <c r="B1278" s="210" t="str">
        <f>_xlfn.CONCAT(表格3_5[[#This Row],[Name]],表格3_5[[#This Row],[Location]])</f>
        <v/>
      </c>
      <c r="C1278" s="211" t="str">
        <f>表格3_5[[#This Row],[Location]] &amp; 表格3_5[[#This Row],[Date]] &amp;表格3_5[[#This Row],[Nick Name]]</f>
        <v>0</v>
      </c>
      <c r="D1278" s="202"/>
      <c r="E1278" s="211" t="str">
        <f>DAY(表格3_5[[#This Row],[Date]])&amp;""</f>
        <v>0</v>
      </c>
      <c r="F1278" s="203"/>
      <c r="G1278" s="216">
        <f>_xlfn.XLOOKUP(表格3_5[[#This Row],[Name]],Name_list[Full Name],Name_list[Nick Name])</f>
        <v>0</v>
      </c>
      <c r="H1278" s="207"/>
      <c r="I1278" s="228"/>
      <c r="J1278" s="218"/>
      <c r="K1278" s="205"/>
      <c r="L1278" s="210">
        <f>(表格3_5[[#This Row],[Out-Time]] - 表格3_5[[#This Row],[In-Time]])*24</f>
        <v>0</v>
      </c>
      <c r="M1278" s="210">
        <f>表格3_5[[#This Row],[ Hours]]-表格3_5[[#This Row],[Normal working
 hours]]</f>
        <v>0</v>
      </c>
      <c r="N1278" s="205"/>
      <c r="O1278" s="205"/>
      <c r="P1278" s="210">
        <f>(表格3_5[[#This Row],[Out-Time2]] - 表格3_5[[#This Row],[In-Time2]])*24</f>
        <v>0</v>
      </c>
      <c r="Q1278" s="205"/>
      <c r="R1278" s="214">
        <f>_xlfn.XLOOKUP(表格3_5[[#This Row],[Name]],Name_list[Full Name],Name_list[Hourr Rate])</f>
        <v>0</v>
      </c>
      <c r="S1278" s="210">
        <f>表格3_5[[#This Row],[Hours Worked]]*表格3_5[[#This Row],[Hourly Rate]]</f>
        <v>0</v>
      </c>
    </row>
    <row r="1279" spans="1:19">
      <c r="A1279" s="201">
        <v>1277</v>
      </c>
      <c r="B1279" s="210" t="str">
        <f>_xlfn.CONCAT(表格3_5[[#This Row],[Name]],表格3_5[[#This Row],[Location]])</f>
        <v/>
      </c>
      <c r="C1279" s="211" t="str">
        <f>表格3_5[[#This Row],[Location]] &amp; 表格3_5[[#This Row],[Date]] &amp;表格3_5[[#This Row],[Nick Name]]</f>
        <v>0</v>
      </c>
      <c r="D1279" s="202"/>
      <c r="E1279" s="211" t="str">
        <f>DAY(表格3_5[[#This Row],[Date]])&amp;""</f>
        <v>0</v>
      </c>
      <c r="F1279" s="203"/>
      <c r="G1279" s="216">
        <f>_xlfn.XLOOKUP(表格3_5[[#This Row],[Name]],Name_list[Full Name],Name_list[Nick Name])</f>
        <v>0</v>
      </c>
      <c r="H1279" s="207"/>
      <c r="I1279" s="228"/>
      <c r="J1279" s="218"/>
      <c r="K1279" s="205"/>
      <c r="L1279" s="210">
        <f>(表格3_5[[#This Row],[Out-Time]] - 表格3_5[[#This Row],[In-Time]])*24</f>
        <v>0</v>
      </c>
      <c r="M1279" s="210">
        <f>表格3_5[[#This Row],[ Hours]]-表格3_5[[#This Row],[Normal working
 hours]]</f>
        <v>0</v>
      </c>
      <c r="N1279" s="205"/>
      <c r="O1279" s="205"/>
      <c r="P1279" s="210">
        <f>(表格3_5[[#This Row],[Out-Time2]] - 表格3_5[[#This Row],[In-Time2]])*24</f>
        <v>0</v>
      </c>
      <c r="Q1279" s="205"/>
      <c r="R1279" s="214">
        <f>_xlfn.XLOOKUP(表格3_5[[#This Row],[Name]],Name_list[Full Name],Name_list[Hourr Rate])</f>
        <v>0</v>
      </c>
      <c r="S1279" s="210">
        <f>表格3_5[[#This Row],[Hours Worked]]*表格3_5[[#This Row],[Hourly Rate]]</f>
        <v>0</v>
      </c>
    </row>
    <row r="1280" spans="1:19">
      <c r="A1280" s="201">
        <v>1278</v>
      </c>
      <c r="B1280" s="210" t="str">
        <f>_xlfn.CONCAT(表格3_5[[#This Row],[Name]],表格3_5[[#This Row],[Location]])</f>
        <v/>
      </c>
      <c r="C1280" s="211" t="str">
        <f>表格3_5[[#This Row],[Location]] &amp; 表格3_5[[#This Row],[Date]] &amp;表格3_5[[#This Row],[Nick Name]]</f>
        <v>0</v>
      </c>
      <c r="D1280" s="202"/>
      <c r="E1280" s="211" t="str">
        <f>DAY(表格3_5[[#This Row],[Date]])&amp;""</f>
        <v>0</v>
      </c>
      <c r="F1280" s="203"/>
      <c r="G1280" s="216">
        <f>_xlfn.XLOOKUP(表格3_5[[#This Row],[Name]],Name_list[Full Name],Name_list[Nick Name])</f>
        <v>0</v>
      </c>
      <c r="H1280" s="207"/>
      <c r="I1280" s="228"/>
      <c r="J1280" s="218"/>
      <c r="K1280" s="205"/>
      <c r="L1280" s="210">
        <f>(表格3_5[[#This Row],[Out-Time]] - 表格3_5[[#This Row],[In-Time]])*24</f>
        <v>0</v>
      </c>
      <c r="M1280" s="210">
        <f>表格3_5[[#This Row],[ Hours]]-表格3_5[[#This Row],[Normal working
 hours]]</f>
        <v>0</v>
      </c>
      <c r="N1280" s="205"/>
      <c r="O1280" s="205"/>
      <c r="P1280" s="210">
        <f>(表格3_5[[#This Row],[Out-Time2]] - 表格3_5[[#This Row],[In-Time2]])*24</f>
        <v>0</v>
      </c>
      <c r="Q1280" s="205"/>
      <c r="R1280" s="214">
        <f>_xlfn.XLOOKUP(表格3_5[[#This Row],[Name]],Name_list[Full Name],Name_list[Hourr Rate])</f>
        <v>0</v>
      </c>
      <c r="S1280" s="210">
        <f>表格3_5[[#This Row],[Hours Worked]]*表格3_5[[#This Row],[Hourly Rate]]</f>
        <v>0</v>
      </c>
    </row>
    <row r="1281" spans="1:19">
      <c r="A1281" s="201">
        <v>1279</v>
      </c>
      <c r="B1281" s="210" t="str">
        <f>_xlfn.CONCAT(表格3_5[[#This Row],[Name]],表格3_5[[#This Row],[Location]])</f>
        <v/>
      </c>
      <c r="C1281" s="211" t="str">
        <f>表格3_5[[#This Row],[Location]] &amp; 表格3_5[[#This Row],[Date]] &amp;表格3_5[[#This Row],[Nick Name]]</f>
        <v>0</v>
      </c>
      <c r="D1281" s="202"/>
      <c r="E1281" s="211" t="str">
        <f>DAY(表格3_5[[#This Row],[Date]])&amp;""</f>
        <v>0</v>
      </c>
      <c r="F1281" s="203"/>
      <c r="G1281" s="216">
        <f>_xlfn.XLOOKUP(表格3_5[[#This Row],[Name]],Name_list[Full Name],Name_list[Nick Name])</f>
        <v>0</v>
      </c>
      <c r="H1281" s="207"/>
      <c r="I1281" s="228"/>
      <c r="J1281" s="218"/>
      <c r="K1281" s="205"/>
      <c r="L1281" s="210">
        <f>(表格3_5[[#This Row],[Out-Time]] - 表格3_5[[#This Row],[In-Time]])*24</f>
        <v>0</v>
      </c>
      <c r="M1281" s="210">
        <f>表格3_5[[#This Row],[ Hours]]-表格3_5[[#This Row],[Normal working
 hours]]</f>
        <v>0</v>
      </c>
      <c r="N1281" s="205"/>
      <c r="O1281" s="205"/>
      <c r="P1281" s="210">
        <f>(表格3_5[[#This Row],[Out-Time2]] - 表格3_5[[#This Row],[In-Time2]])*24</f>
        <v>0</v>
      </c>
      <c r="Q1281" s="205"/>
      <c r="R1281" s="214">
        <f>_xlfn.XLOOKUP(表格3_5[[#This Row],[Name]],Name_list[Full Name],Name_list[Hourr Rate])</f>
        <v>0</v>
      </c>
      <c r="S1281" s="210">
        <f>表格3_5[[#This Row],[Hours Worked]]*表格3_5[[#This Row],[Hourly Rate]]</f>
        <v>0</v>
      </c>
    </row>
    <row r="1282" spans="1:19">
      <c r="A1282" s="201">
        <v>1280</v>
      </c>
      <c r="B1282" s="210" t="str">
        <f>_xlfn.CONCAT(表格3_5[[#This Row],[Name]],表格3_5[[#This Row],[Location]])</f>
        <v/>
      </c>
      <c r="C1282" s="211" t="str">
        <f>表格3_5[[#This Row],[Location]] &amp; 表格3_5[[#This Row],[Date]] &amp;表格3_5[[#This Row],[Nick Name]]</f>
        <v>0</v>
      </c>
      <c r="D1282" s="202"/>
      <c r="E1282" s="211" t="str">
        <f>DAY(表格3_5[[#This Row],[Date]])&amp;""</f>
        <v>0</v>
      </c>
      <c r="F1282" s="203"/>
      <c r="G1282" s="216">
        <f>_xlfn.XLOOKUP(表格3_5[[#This Row],[Name]],Name_list[Full Name],Name_list[Nick Name])</f>
        <v>0</v>
      </c>
      <c r="H1282" s="207"/>
      <c r="I1282" s="228"/>
      <c r="J1282" s="218"/>
      <c r="K1282" s="205"/>
      <c r="L1282" s="210">
        <f>(表格3_5[[#This Row],[Out-Time]] - 表格3_5[[#This Row],[In-Time]])*24</f>
        <v>0</v>
      </c>
      <c r="M1282" s="210">
        <f>表格3_5[[#This Row],[ Hours]]-表格3_5[[#This Row],[Normal working
 hours]]</f>
        <v>0</v>
      </c>
      <c r="N1282" s="205"/>
      <c r="O1282" s="205"/>
      <c r="P1282" s="210">
        <f>(表格3_5[[#This Row],[Out-Time2]] - 表格3_5[[#This Row],[In-Time2]])*24</f>
        <v>0</v>
      </c>
      <c r="Q1282" s="205"/>
      <c r="R1282" s="214">
        <f>_xlfn.XLOOKUP(表格3_5[[#This Row],[Name]],Name_list[Full Name],Name_list[Hourr Rate])</f>
        <v>0</v>
      </c>
      <c r="S1282" s="210">
        <f>表格3_5[[#This Row],[Hours Worked]]*表格3_5[[#This Row],[Hourly Rate]]</f>
        <v>0</v>
      </c>
    </row>
    <row r="1283" spans="1:19">
      <c r="A1283" s="201">
        <v>1281</v>
      </c>
      <c r="B1283" s="210" t="str">
        <f>_xlfn.CONCAT(表格3_5[[#This Row],[Name]],表格3_5[[#This Row],[Location]])</f>
        <v/>
      </c>
      <c r="C1283" s="211" t="str">
        <f>表格3_5[[#This Row],[Location]] &amp; 表格3_5[[#This Row],[Date]] &amp;表格3_5[[#This Row],[Nick Name]]</f>
        <v>0</v>
      </c>
      <c r="D1283" s="202"/>
      <c r="E1283" s="211" t="str">
        <f>DAY(表格3_5[[#This Row],[Date]])&amp;""</f>
        <v>0</v>
      </c>
      <c r="F1283" s="203"/>
      <c r="G1283" s="216">
        <f>_xlfn.XLOOKUP(表格3_5[[#This Row],[Name]],Name_list[Full Name],Name_list[Nick Name])</f>
        <v>0</v>
      </c>
      <c r="H1283" s="207"/>
      <c r="I1283" s="228"/>
      <c r="J1283" s="218"/>
      <c r="K1283" s="205"/>
      <c r="L1283" s="210">
        <f>(表格3_5[[#This Row],[Out-Time]] - 表格3_5[[#This Row],[In-Time]])*24</f>
        <v>0</v>
      </c>
      <c r="M1283" s="210">
        <f>表格3_5[[#This Row],[ Hours]]-表格3_5[[#This Row],[Normal working
 hours]]</f>
        <v>0</v>
      </c>
      <c r="N1283" s="205"/>
      <c r="O1283" s="205"/>
      <c r="P1283" s="210">
        <f>(表格3_5[[#This Row],[Out-Time2]] - 表格3_5[[#This Row],[In-Time2]])*24</f>
        <v>0</v>
      </c>
      <c r="Q1283" s="205"/>
      <c r="R1283" s="214">
        <f>_xlfn.XLOOKUP(表格3_5[[#This Row],[Name]],Name_list[Full Name],Name_list[Hourr Rate])</f>
        <v>0</v>
      </c>
      <c r="S1283" s="210">
        <f>表格3_5[[#This Row],[Hours Worked]]*表格3_5[[#This Row],[Hourly Rate]]</f>
        <v>0</v>
      </c>
    </row>
    <row r="1284" spans="1:19">
      <c r="A1284" s="201">
        <v>1282</v>
      </c>
      <c r="B1284" s="210" t="str">
        <f>_xlfn.CONCAT(表格3_5[[#This Row],[Name]],表格3_5[[#This Row],[Location]])</f>
        <v/>
      </c>
      <c r="C1284" s="211" t="str">
        <f>表格3_5[[#This Row],[Location]] &amp; 表格3_5[[#This Row],[Date]] &amp;表格3_5[[#This Row],[Nick Name]]</f>
        <v>0</v>
      </c>
      <c r="D1284" s="202"/>
      <c r="E1284" s="211" t="str">
        <f>DAY(表格3_5[[#This Row],[Date]])&amp;""</f>
        <v>0</v>
      </c>
      <c r="F1284" s="203"/>
      <c r="G1284" s="216">
        <f>_xlfn.XLOOKUP(表格3_5[[#This Row],[Name]],Name_list[Full Name],Name_list[Nick Name])</f>
        <v>0</v>
      </c>
      <c r="H1284" s="207"/>
      <c r="I1284" s="228"/>
      <c r="J1284" s="218"/>
      <c r="K1284" s="205"/>
      <c r="L1284" s="210">
        <f>(表格3_5[[#This Row],[Out-Time]] - 表格3_5[[#This Row],[In-Time]])*24</f>
        <v>0</v>
      </c>
      <c r="M1284" s="210">
        <f>表格3_5[[#This Row],[ Hours]]-表格3_5[[#This Row],[Normal working
 hours]]</f>
        <v>0</v>
      </c>
      <c r="N1284" s="205"/>
      <c r="O1284" s="205"/>
      <c r="P1284" s="210">
        <f>(表格3_5[[#This Row],[Out-Time2]] - 表格3_5[[#This Row],[In-Time2]])*24</f>
        <v>0</v>
      </c>
      <c r="Q1284" s="205"/>
      <c r="R1284" s="214">
        <f>_xlfn.XLOOKUP(表格3_5[[#This Row],[Name]],Name_list[Full Name],Name_list[Hourr Rate])</f>
        <v>0</v>
      </c>
      <c r="S1284" s="210">
        <f>表格3_5[[#This Row],[Hours Worked]]*表格3_5[[#This Row],[Hourly Rate]]</f>
        <v>0</v>
      </c>
    </row>
    <row r="1285" spans="1:19">
      <c r="A1285" s="201">
        <v>1283</v>
      </c>
      <c r="B1285" s="210" t="str">
        <f>_xlfn.CONCAT(表格3_5[[#This Row],[Name]],表格3_5[[#This Row],[Location]])</f>
        <v/>
      </c>
      <c r="C1285" s="211" t="str">
        <f>表格3_5[[#This Row],[Location]] &amp; 表格3_5[[#This Row],[Date]] &amp;表格3_5[[#This Row],[Nick Name]]</f>
        <v>0</v>
      </c>
      <c r="D1285" s="202"/>
      <c r="E1285" s="211" t="str">
        <f>DAY(表格3_5[[#This Row],[Date]])&amp;""</f>
        <v>0</v>
      </c>
      <c r="F1285" s="203"/>
      <c r="G1285" s="216">
        <f>_xlfn.XLOOKUP(表格3_5[[#This Row],[Name]],Name_list[Full Name],Name_list[Nick Name])</f>
        <v>0</v>
      </c>
      <c r="H1285" s="207"/>
      <c r="I1285" s="228"/>
      <c r="J1285" s="218"/>
      <c r="K1285" s="205"/>
      <c r="L1285" s="210">
        <f>(表格3_5[[#This Row],[Out-Time]] - 表格3_5[[#This Row],[In-Time]])*24</f>
        <v>0</v>
      </c>
      <c r="M1285" s="210">
        <f>表格3_5[[#This Row],[ Hours]]-表格3_5[[#This Row],[Normal working
 hours]]</f>
        <v>0</v>
      </c>
      <c r="N1285" s="205"/>
      <c r="O1285" s="205"/>
      <c r="P1285" s="210">
        <f>(表格3_5[[#This Row],[Out-Time2]] - 表格3_5[[#This Row],[In-Time2]])*24</f>
        <v>0</v>
      </c>
      <c r="Q1285" s="205"/>
      <c r="R1285" s="214">
        <f>_xlfn.XLOOKUP(表格3_5[[#This Row],[Name]],Name_list[Full Name],Name_list[Hourr Rate])</f>
        <v>0</v>
      </c>
      <c r="S1285" s="210">
        <f>表格3_5[[#This Row],[Hours Worked]]*表格3_5[[#This Row],[Hourly Rate]]</f>
        <v>0</v>
      </c>
    </row>
    <row r="1286" spans="1:19">
      <c r="A1286" s="201">
        <v>1284</v>
      </c>
      <c r="B1286" s="210" t="str">
        <f>_xlfn.CONCAT(表格3_5[[#This Row],[Name]],表格3_5[[#This Row],[Location]])</f>
        <v/>
      </c>
      <c r="C1286" s="211" t="str">
        <f>表格3_5[[#This Row],[Location]] &amp; 表格3_5[[#This Row],[Date]] &amp;表格3_5[[#This Row],[Nick Name]]</f>
        <v>0</v>
      </c>
      <c r="D1286" s="202"/>
      <c r="E1286" s="211" t="str">
        <f>DAY(表格3_5[[#This Row],[Date]])&amp;""</f>
        <v>0</v>
      </c>
      <c r="F1286" s="203"/>
      <c r="G1286" s="216">
        <f>_xlfn.XLOOKUP(表格3_5[[#This Row],[Name]],Name_list[Full Name],Name_list[Nick Name])</f>
        <v>0</v>
      </c>
      <c r="H1286" s="207"/>
      <c r="I1286" s="228"/>
      <c r="J1286" s="218"/>
      <c r="K1286" s="205"/>
      <c r="L1286" s="210">
        <f>(表格3_5[[#This Row],[Out-Time]] - 表格3_5[[#This Row],[In-Time]])*24</f>
        <v>0</v>
      </c>
      <c r="M1286" s="210">
        <f>表格3_5[[#This Row],[ Hours]]-表格3_5[[#This Row],[Normal working
 hours]]</f>
        <v>0</v>
      </c>
      <c r="N1286" s="205"/>
      <c r="O1286" s="205"/>
      <c r="P1286" s="210">
        <f>(表格3_5[[#This Row],[Out-Time2]] - 表格3_5[[#This Row],[In-Time2]])*24</f>
        <v>0</v>
      </c>
      <c r="Q1286" s="205"/>
      <c r="R1286" s="214">
        <f>_xlfn.XLOOKUP(表格3_5[[#This Row],[Name]],Name_list[Full Name],Name_list[Hourr Rate])</f>
        <v>0</v>
      </c>
      <c r="S1286" s="210">
        <f>表格3_5[[#This Row],[Hours Worked]]*表格3_5[[#This Row],[Hourly Rate]]</f>
        <v>0</v>
      </c>
    </row>
    <row r="1287" spans="1:19">
      <c r="A1287" s="201">
        <v>1285</v>
      </c>
      <c r="B1287" s="210" t="str">
        <f>_xlfn.CONCAT(表格3_5[[#This Row],[Name]],表格3_5[[#This Row],[Location]])</f>
        <v/>
      </c>
      <c r="C1287" s="211" t="str">
        <f>表格3_5[[#This Row],[Location]] &amp; 表格3_5[[#This Row],[Date]] &amp;表格3_5[[#This Row],[Nick Name]]</f>
        <v>0</v>
      </c>
      <c r="D1287" s="202"/>
      <c r="E1287" s="211" t="str">
        <f>DAY(表格3_5[[#This Row],[Date]])&amp;""</f>
        <v>0</v>
      </c>
      <c r="F1287" s="203"/>
      <c r="G1287" s="216">
        <f>_xlfn.XLOOKUP(表格3_5[[#This Row],[Name]],Name_list[Full Name],Name_list[Nick Name])</f>
        <v>0</v>
      </c>
      <c r="H1287" s="207"/>
      <c r="I1287" s="228"/>
      <c r="J1287" s="218"/>
      <c r="K1287" s="205"/>
      <c r="L1287" s="210">
        <f>(表格3_5[[#This Row],[Out-Time]] - 表格3_5[[#This Row],[In-Time]])*24</f>
        <v>0</v>
      </c>
      <c r="M1287" s="210">
        <f>表格3_5[[#This Row],[ Hours]]-表格3_5[[#This Row],[Normal working
 hours]]</f>
        <v>0</v>
      </c>
      <c r="N1287" s="205"/>
      <c r="O1287" s="205"/>
      <c r="P1287" s="210">
        <f>(表格3_5[[#This Row],[Out-Time2]] - 表格3_5[[#This Row],[In-Time2]])*24</f>
        <v>0</v>
      </c>
      <c r="Q1287" s="205"/>
      <c r="R1287" s="214">
        <f>_xlfn.XLOOKUP(表格3_5[[#This Row],[Name]],Name_list[Full Name],Name_list[Hourr Rate])</f>
        <v>0</v>
      </c>
      <c r="S1287" s="210">
        <f>表格3_5[[#This Row],[Hours Worked]]*表格3_5[[#This Row],[Hourly Rate]]</f>
        <v>0</v>
      </c>
    </row>
    <row r="1288" spans="1:19">
      <c r="A1288" s="201">
        <v>1286</v>
      </c>
      <c r="B1288" s="210" t="str">
        <f>_xlfn.CONCAT(表格3_5[[#This Row],[Name]],表格3_5[[#This Row],[Location]])</f>
        <v/>
      </c>
      <c r="C1288" s="211" t="str">
        <f>表格3_5[[#This Row],[Location]] &amp; 表格3_5[[#This Row],[Date]] &amp;表格3_5[[#This Row],[Nick Name]]</f>
        <v>0</v>
      </c>
      <c r="D1288" s="202"/>
      <c r="E1288" s="211" t="str">
        <f>DAY(表格3_5[[#This Row],[Date]])&amp;""</f>
        <v>0</v>
      </c>
      <c r="F1288" s="203"/>
      <c r="G1288" s="216">
        <f>_xlfn.XLOOKUP(表格3_5[[#This Row],[Name]],Name_list[Full Name],Name_list[Nick Name])</f>
        <v>0</v>
      </c>
      <c r="H1288" s="207"/>
      <c r="I1288" s="228"/>
      <c r="J1288" s="218"/>
      <c r="K1288" s="205"/>
      <c r="L1288" s="210">
        <f>(表格3_5[[#This Row],[Out-Time]] - 表格3_5[[#This Row],[In-Time]])*24</f>
        <v>0</v>
      </c>
      <c r="M1288" s="210">
        <f>表格3_5[[#This Row],[ Hours]]-表格3_5[[#This Row],[Normal working
 hours]]</f>
        <v>0</v>
      </c>
      <c r="N1288" s="205"/>
      <c r="O1288" s="205"/>
      <c r="P1288" s="210">
        <f>(表格3_5[[#This Row],[Out-Time2]] - 表格3_5[[#This Row],[In-Time2]])*24</f>
        <v>0</v>
      </c>
      <c r="Q1288" s="205"/>
      <c r="R1288" s="214">
        <f>_xlfn.XLOOKUP(表格3_5[[#This Row],[Name]],Name_list[Full Name],Name_list[Hourr Rate])</f>
        <v>0</v>
      </c>
      <c r="S1288" s="210">
        <f>表格3_5[[#This Row],[Hours Worked]]*表格3_5[[#This Row],[Hourly Rate]]</f>
        <v>0</v>
      </c>
    </row>
    <row r="1289" spans="1:19">
      <c r="A1289" s="201">
        <v>1287</v>
      </c>
      <c r="B1289" s="210" t="str">
        <f>_xlfn.CONCAT(表格3_5[[#This Row],[Name]],表格3_5[[#This Row],[Location]])</f>
        <v/>
      </c>
      <c r="C1289" s="211" t="str">
        <f>表格3_5[[#This Row],[Location]] &amp; 表格3_5[[#This Row],[Date]] &amp;表格3_5[[#This Row],[Nick Name]]</f>
        <v>0</v>
      </c>
      <c r="D1289" s="202"/>
      <c r="E1289" s="211" t="str">
        <f>DAY(表格3_5[[#This Row],[Date]])&amp;""</f>
        <v>0</v>
      </c>
      <c r="F1289" s="203"/>
      <c r="G1289" s="216">
        <f>_xlfn.XLOOKUP(表格3_5[[#This Row],[Name]],Name_list[Full Name],Name_list[Nick Name])</f>
        <v>0</v>
      </c>
      <c r="H1289" s="207"/>
      <c r="I1289" s="228"/>
      <c r="J1289" s="218"/>
      <c r="K1289" s="205"/>
      <c r="L1289" s="210">
        <f>(表格3_5[[#This Row],[Out-Time]] - 表格3_5[[#This Row],[In-Time]])*24</f>
        <v>0</v>
      </c>
      <c r="M1289" s="210">
        <f>表格3_5[[#This Row],[ Hours]]-表格3_5[[#This Row],[Normal working
 hours]]</f>
        <v>0</v>
      </c>
      <c r="N1289" s="205"/>
      <c r="O1289" s="205"/>
      <c r="P1289" s="210">
        <f>(表格3_5[[#This Row],[Out-Time2]] - 表格3_5[[#This Row],[In-Time2]])*24</f>
        <v>0</v>
      </c>
      <c r="Q1289" s="205"/>
      <c r="R1289" s="214">
        <f>_xlfn.XLOOKUP(表格3_5[[#This Row],[Name]],Name_list[Full Name],Name_list[Hourr Rate])</f>
        <v>0</v>
      </c>
      <c r="S1289" s="210">
        <f>表格3_5[[#This Row],[Hours Worked]]*表格3_5[[#This Row],[Hourly Rate]]</f>
        <v>0</v>
      </c>
    </row>
    <row r="1290" spans="1:19">
      <c r="A1290" s="201">
        <v>1288</v>
      </c>
      <c r="B1290" s="210" t="str">
        <f>_xlfn.CONCAT(表格3_5[[#This Row],[Name]],表格3_5[[#This Row],[Location]])</f>
        <v/>
      </c>
      <c r="C1290" s="211" t="str">
        <f>表格3_5[[#This Row],[Location]] &amp; 表格3_5[[#This Row],[Date]] &amp;表格3_5[[#This Row],[Nick Name]]</f>
        <v>0</v>
      </c>
      <c r="D1290" s="202"/>
      <c r="E1290" s="211" t="str">
        <f>DAY(表格3_5[[#This Row],[Date]])&amp;""</f>
        <v>0</v>
      </c>
      <c r="F1290" s="203"/>
      <c r="G1290" s="216">
        <f>_xlfn.XLOOKUP(表格3_5[[#This Row],[Name]],Name_list[Full Name],Name_list[Nick Name])</f>
        <v>0</v>
      </c>
      <c r="H1290" s="207"/>
      <c r="I1290" s="228"/>
      <c r="J1290" s="218"/>
      <c r="K1290" s="205"/>
      <c r="L1290" s="210">
        <f>(表格3_5[[#This Row],[Out-Time]] - 表格3_5[[#This Row],[In-Time]])*24</f>
        <v>0</v>
      </c>
      <c r="M1290" s="210">
        <f>表格3_5[[#This Row],[ Hours]]-表格3_5[[#This Row],[Normal working
 hours]]</f>
        <v>0</v>
      </c>
      <c r="N1290" s="205"/>
      <c r="O1290" s="205"/>
      <c r="P1290" s="210">
        <f>(表格3_5[[#This Row],[Out-Time2]] - 表格3_5[[#This Row],[In-Time2]])*24</f>
        <v>0</v>
      </c>
      <c r="Q1290" s="205"/>
      <c r="R1290" s="214">
        <f>_xlfn.XLOOKUP(表格3_5[[#This Row],[Name]],Name_list[Full Name],Name_list[Hourr Rate])</f>
        <v>0</v>
      </c>
      <c r="S1290" s="210">
        <f>表格3_5[[#This Row],[Hours Worked]]*表格3_5[[#This Row],[Hourly Rate]]</f>
        <v>0</v>
      </c>
    </row>
    <row r="1291" spans="1:19">
      <c r="A1291" s="201">
        <v>1289</v>
      </c>
      <c r="B1291" s="210" t="str">
        <f>_xlfn.CONCAT(表格3_5[[#This Row],[Name]],表格3_5[[#This Row],[Location]])</f>
        <v/>
      </c>
      <c r="C1291" s="211" t="str">
        <f>表格3_5[[#This Row],[Location]] &amp; 表格3_5[[#This Row],[Date]] &amp;表格3_5[[#This Row],[Nick Name]]</f>
        <v>0</v>
      </c>
      <c r="D1291" s="202"/>
      <c r="E1291" s="211" t="str">
        <f>DAY(表格3_5[[#This Row],[Date]])&amp;""</f>
        <v>0</v>
      </c>
      <c r="F1291" s="203"/>
      <c r="G1291" s="216">
        <f>_xlfn.XLOOKUP(表格3_5[[#This Row],[Name]],Name_list[Full Name],Name_list[Nick Name])</f>
        <v>0</v>
      </c>
      <c r="H1291" s="207"/>
      <c r="I1291" s="228"/>
      <c r="J1291" s="218"/>
      <c r="K1291" s="205"/>
      <c r="L1291" s="210">
        <f>(表格3_5[[#This Row],[Out-Time]] - 表格3_5[[#This Row],[In-Time]])*24</f>
        <v>0</v>
      </c>
      <c r="M1291" s="210">
        <f>表格3_5[[#This Row],[ Hours]]-表格3_5[[#This Row],[Normal working
 hours]]</f>
        <v>0</v>
      </c>
      <c r="N1291" s="205"/>
      <c r="O1291" s="205"/>
      <c r="P1291" s="210">
        <f>(表格3_5[[#This Row],[Out-Time2]] - 表格3_5[[#This Row],[In-Time2]])*24</f>
        <v>0</v>
      </c>
      <c r="Q1291" s="205"/>
      <c r="R1291" s="214">
        <f>_xlfn.XLOOKUP(表格3_5[[#This Row],[Name]],Name_list[Full Name],Name_list[Hourr Rate])</f>
        <v>0</v>
      </c>
      <c r="S1291" s="210">
        <f>表格3_5[[#This Row],[Hours Worked]]*表格3_5[[#This Row],[Hourly Rate]]</f>
        <v>0</v>
      </c>
    </row>
    <row r="1292" spans="1:19">
      <c r="A1292" s="201">
        <v>1290</v>
      </c>
      <c r="B1292" s="210" t="str">
        <f>_xlfn.CONCAT(表格3_5[[#This Row],[Name]],表格3_5[[#This Row],[Location]])</f>
        <v/>
      </c>
      <c r="C1292" s="211" t="str">
        <f>表格3_5[[#This Row],[Location]] &amp; 表格3_5[[#This Row],[Date]] &amp;表格3_5[[#This Row],[Nick Name]]</f>
        <v>0</v>
      </c>
      <c r="D1292" s="202"/>
      <c r="E1292" s="211" t="str">
        <f>DAY(表格3_5[[#This Row],[Date]])&amp;""</f>
        <v>0</v>
      </c>
      <c r="F1292" s="203"/>
      <c r="G1292" s="216">
        <f>_xlfn.XLOOKUP(表格3_5[[#This Row],[Name]],Name_list[Full Name],Name_list[Nick Name])</f>
        <v>0</v>
      </c>
      <c r="H1292" s="207"/>
      <c r="I1292" s="228"/>
      <c r="J1292" s="218"/>
      <c r="K1292" s="205"/>
      <c r="L1292" s="210">
        <f>(表格3_5[[#This Row],[Out-Time]] - 表格3_5[[#This Row],[In-Time]])*24</f>
        <v>0</v>
      </c>
      <c r="M1292" s="210">
        <f>表格3_5[[#This Row],[ Hours]]-表格3_5[[#This Row],[Normal working
 hours]]</f>
        <v>0</v>
      </c>
      <c r="N1292" s="205"/>
      <c r="O1292" s="205"/>
      <c r="P1292" s="210">
        <f>(表格3_5[[#This Row],[Out-Time2]] - 表格3_5[[#This Row],[In-Time2]])*24</f>
        <v>0</v>
      </c>
      <c r="Q1292" s="205"/>
      <c r="R1292" s="214">
        <f>_xlfn.XLOOKUP(表格3_5[[#This Row],[Name]],Name_list[Full Name],Name_list[Hourr Rate])</f>
        <v>0</v>
      </c>
      <c r="S1292" s="210">
        <f>表格3_5[[#This Row],[Hours Worked]]*表格3_5[[#This Row],[Hourly Rate]]</f>
        <v>0</v>
      </c>
    </row>
    <row r="1293" spans="1:19">
      <c r="A1293" s="201">
        <v>1291</v>
      </c>
      <c r="B1293" s="210" t="str">
        <f>_xlfn.CONCAT(表格3_5[[#This Row],[Name]],表格3_5[[#This Row],[Location]])</f>
        <v/>
      </c>
      <c r="C1293" s="211" t="str">
        <f>表格3_5[[#This Row],[Location]] &amp; 表格3_5[[#This Row],[Date]] &amp;表格3_5[[#This Row],[Nick Name]]</f>
        <v>0</v>
      </c>
      <c r="D1293" s="202"/>
      <c r="E1293" s="211" t="str">
        <f>DAY(表格3_5[[#This Row],[Date]])&amp;""</f>
        <v>0</v>
      </c>
      <c r="F1293" s="203"/>
      <c r="G1293" s="216">
        <f>_xlfn.XLOOKUP(表格3_5[[#This Row],[Name]],Name_list[Full Name],Name_list[Nick Name])</f>
        <v>0</v>
      </c>
      <c r="H1293" s="207"/>
      <c r="I1293" s="228"/>
      <c r="J1293" s="218"/>
      <c r="K1293" s="205"/>
      <c r="L1293" s="210">
        <f>(表格3_5[[#This Row],[Out-Time]] - 表格3_5[[#This Row],[In-Time]])*24</f>
        <v>0</v>
      </c>
      <c r="M1293" s="210">
        <f>表格3_5[[#This Row],[ Hours]]-表格3_5[[#This Row],[Normal working
 hours]]</f>
        <v>0</v>
      </c>
      <c r="N1293" s="205"/>
      <c r="O1293" s="205"/>
      <c r="P1293" s="210">
        <f>(表格3_5[[#This Row],[Out-Time2]] - 表格3_5[[#This Row],[In-Time2]])*24</f>
        <v>0</v>
      </c>
      <c r="Q1293" s="205"/>
      <c r="R1293" s="214">
        <f>_xlfn.XLOOKUP(表格3_5[[#This Row],[Name]],Name_list[Full Name],Name_list[Hourr Rate])</f>
        <v>0</v>
      </c>
      <c r="S1293" s="210">
        <f>表格3_5[[#This Row],[Hours Worked]]*表格3_5[[#This Row],[Hourly Rate]]</f>
        <v>0</v>
      </c>
    </row>
    <row r="1294" spans="1:19">
      <c r="A1294" s="201">
        <v>1292</v>
      </c>
      <c r="B1294" s="210" t="str">
        <f>_xlfn.CONCAT(表格3_5[[#This Row],[Name]],表格3_5[[#This Row],[Location]])</f>
        <v/>
      </c>
      <c r="C1294" s="211" t="str">
        <f>表格3_5[[#This Row],[Location]] &amp; 表格3_5[[#This Row],[Date]] &amp;表格3_5[[#This Row],[Nick Name]]</f>
        <v>0</v>
      </c>
      <c r="D1294" s="202"/>
      <c r="E1294" s="211" t="str">
        <f>DAY(表格3_5[[#This Row],[Date]])&amp;""</f>
        <v>0</v>
      </c>
      <c r="F1294" s="203"/>
      <c r="G1294" s="216">
        <f>_xlfn.XLOOKUP(表格3_5[[#This Row],[Name]],Name_list[Full Name],Name_list[Nick Name])</f>
        <v>0</v>
      </c>
      <c r="H1294" s="207"/>
      <c r="I1294" s="228"/>
      <c r="J1294" s="218"/>
      <c r="K1294" s="205"/>
      <c r="L1294" s="210">
        <f>(表格3_5[[#This Row],[Out-Time]] - 表格3_5[[#This Row],[In-Time]])*24</f>
        <v>0</v>
      </c>
      <c r="M1294" s="210">
        <f>表格3_5[[#This Row],[ Hours]]-表格3_5[[#This Row],[Normal working
 hours]]</f>
        <v>0</v>
      </c>
      <c r="N1294" s="205"/>
      <c r="O1294" s="205"/>
      <c r="P1294" s="210">
        <f>(表格3_5[[#This Row],[Out-Time2]] - 表格3_5[[#This Row],[In-Time2]])*24</f>
        <v>0</v>
      </c>
      <c r="Q1294" s="205"/>
      <c r="R1294" s="214">
        <f>_xlfn.XLOOKUP(表格3_5[[#This Row],[Name]],Name_list[Full Name],Name_list[Hourr Rate])</f>
        <v>0</v>
      </c>
      <c r="S1294" s="210">
        <f>表格3_5[[#This Row],[Hours Worked]]*表格3_5[[#This Row],[Hourly Rate]]</f>
        <v>0</v>
      </c>
    </row>
    <row r="1295" spans="1:19">
      <c r="A1295" s="201">
        <v>1293</v>
      </c>
      <c r="B1295" s="210" t="str">
        <f>_xlfn.CONCAT(表格3_5[[#This Row],[Name]],表格3_5[[#This Row],[Location]])</f>
        <v/>
      </c>
      <c r="C1295" s="211" t="str">
        <f>表格3_5[[#This Row],[Location]] &amp; 表格3_5[[#This Row],[Date]] &amp;表格3_5[[#This Row],[Nick Name]]</f>
        <v>0</v>
      </c>
      <c r="D1295" s="202"/>
      <c r="E1295" s="211" t="str">
        <f>DAY(表格3_5[[#This Row],[Date]])&amp;""</f>
        <v>0</v>
      </c>
      <c r="F1295" s="203"/>
      <c r="G1295" s="216">
        <f>_xlfn.XLOOKUP(表格3_5[[#This Row],[Name]],Name_list[Full Name],Name_list[Nick Name])</f>
        <v>0</v>
      </c>
      <c r="H1295" s="207"/>
      <c r="I1295" s="228"/>
      <c r="J1295" s="218"/>
      <c r="K1295" s="205"/>
      <c r="L1295" s="210">
        <f>(表格3_5[[#This Row],[Out-Time]] - 表格3_5[[#This Row],[In-Time]])*24</f>
        <v>0</v>
      </c>
      <c r="M1295" s="210">
        <f>表格3_5[[#This Row],[ Hours]]-表格3_5[[#This Row],[Normal working
 hours]]</f>
        <v>0</v>
      </c>
      <c r="N1295" s="205"/>
      <c r="O1295" s="205"/>
      <c r="P1295" s="210">
        <f>(表格3_5[[#This Row],[Out-Time2]] - 表格3_5[[#This Row],[In-Time2]])*24</f>
        <v>0</v>
      </c>
      <c r="Q1295" s="205"/>
      <c r="R1295" s="214">
        <f>_xlfn.XLOOKUP(表格3_5[[#This Row],[Name]],Name_list[Full Name],Name_list[Hourr Rate])</f>
        <v>0</v>
      </c>
      <c r="S1295" s="210">
        <f>表格3_5[[#This Row],[Hours Worked]]*表格3_5[[#This Row],[Hourly Rate]]</f>
        <v>0</v>
      </c>
    </row>
    <row r="1296" spans="1:19">
      <c r="A1296" s="201">
        <v>1294</v>
      </c>
      <c r="B1296" s="210" t="str">
        <f>_xlfn.CONCAT(表格3_5[[#This Row],[Name]],表格3_5[[#This Row],[Location]])</f>
        <v/>
      </c>
      <c r="C1296" s="211" t="str">
        <f>表格3_5[[#This Row],[Location]] &amp; 表格3_5[[#This Row],[Date]] &amp;表格3_5[[#This Row],[Nick Name]]</f>
        <v>0</v>
      </c>
      <c r="D1296" s="202"/>
      <c r="E1296" s="211" t="str">
        <f>DAY(表格3_5[[#This Row],[Date]])&amp;""</f>
        <v>0</v>
      </c>
      <c r="F1296" s="203"/>
      <c r="G1296" s="216">
        <f>_xlfn.XLOOKUP(表格3_5[[#This Row],[Name]],Name_list[Full Name],Name_list[Nick Name])</f>
        <v>0</v>
      </c>
      <c r="H1296" s="207"/>
      <c r="I1296" s="228"/>
      <c r="J1296" s="218"/>
      <c r="K1296" s="205"/>
      <c r="L1296" s="210">
        <f>(表格3_5[[#This Row],[Out-Time]] - 表格3_5[[#This Row],[In-Time]])*24</f>
        <v>0</v>
      </c>
      <c r="M1296" s="210">
        <f>表格3_5[[#This Row],[ Hours]]-表格3_5[[#This Row],[Normal working
 hours]]</f>
        <v>0</v>
      </c>
      <c r="N1296" s="205"/>
      <c r="O1296" s="205"/>
      <c r="P1296" s="210">
        <f>(表格3_5[[#This Row],[Out-Time2]] - 表格3_5[[#This Row],[In-Time2]])*24</f>
        <v>0</v>
      </c>
      <c r="Q1296" s="205"/>
      <c r="R1296" s="214">
        <f>_xlfn.XLOOKUP(表格3_5[[#This Row],[Name]],Name_list[Full Name],Name_list[Hourr Rate])</f>
        <v>0</v>
      </c>
      <c r="S1296" s="210">
        <f>表格3_5[[#This Row],[Hours Worked]]*表格3_5[[#This Row],[Hourly Rate]]</f>
        <v>0</v>
      </c>
    </row>
    <row r="1297" spans="1:19">
      <c r="A1297" s="201">
        <v>1295</v>
      </c>
      <c r="B1297" s="210" t="str">
        <f>_xlfn.CONCAT(表格3_5[[#This Row],[Name]],表格3_5[[#This Row],[Location]])</f>
        <v/>
      </c>
      <c r="C1297" s="211" t="str">
        <f>表格3_5[[#This Row],[Location]] &amp; 表格3_5[[#This Row],[Date]] &amp;表格3_5[[#This Row],[Nick Name]]</f>
        <v>0</v>
      </c>
      <c r="D1297" s="202"/>
      <c r="E1297" s="211" t="str">
        <f>DAY(表格3_5[[#This Row],[Date]])&amp;""</f>
        <v>0</v>
      </c>
      <c r="F1297" s="203"/>
      <c r="G1297" s="216">
        <f>_xlfn.XLOOKUP(表格3_5[[#This Row],[Name]],Name_list[Full Name],Name_list[Nick Name])</f>
        <v>0</v>
      </c>
      <c r="H1297" s="207"/>
      <c r="I1297" s="228"/>
      <c r="J1297" s="218"/>
      <c r="K1297" s="205"/>
      <c r="L1297" s="210">
        <f>(表格3_5[[#This Row],[Out-Time]] - 表格3_5[[#This Row],[In-Time]])*24</f>
        <v>0</v>
      </c>
      <c r="M1297" s="210">
        <f>表格3_5[[#This Row],[ Hours]]-表格3_5[[#This Row],[Normal working
 hours]]</f>
        <v>0</v>
      </c>
      <c r="N1297" s="205"/>
      <c r="O1297" s="205"/>
      <c r="P1297" s="210">
        <f>(表格3_5[[#This Row],[Out-Time2]] - 表格3_5[[#This Row],[In-Time2]])*24</f>
        <v>0</v>
      </c>
      <c r="Q1297" s="205"/>
      <c r="R1297" s="214">
        <f>_xlfn.XLOOKUP(表格3_5[[#This Row],[Name]],Name_list[Full Name],Name_list[Hourr Rate])</f>
        <v>0</v>
      </c>
      <c r="S1297" s="210">
        <f>表格3_5[[#This Row],[Hours Worked]]*表格3_5[[#This Row],[Hourly Rate]]</f>
        <v>0</v>
      </c>
    </row>
    <row r="1298" spans="1:19">
      <c r="A1298" s="201">
        <v>1296</v>
      </c>
      <c r="B1298" s="210" t="str">
        <f>_xlfn.CONCAT(表格3_5[[#This Row],[Name]],表格3_5[[#This Row],[Location]])</f>
        <v/>
      </c>
      <c r="C1298" s="211" t="str">
        <f>表格3_5[[#This Row],[Location]] &amp; 表格3_5[[#This Row],[Date]] &amp;表格3_5[[#This Row],[Nick Name]]</f>
        <v>0</v>
      </c>
      <c r="D1298" s="202"/>
      <c r="E1298" s="211" t="str">
        <f>DAY(表格3_5[[#This Row],[Date]])&amp;""</f>
        <v>0</v>
      </c>
      <c r="F1298" s="203"/>
      <c r="G1298" s="216">
        <f>_xlfn.XLOOKUP(表格3_5[[#This Row],[Name]],Name_list[Full Name],Name_list[Nick Name])</f>
        <v>0</v>
      </c>
      <c r="H1298" s="207"/>
      <c r="I1298" s="228"/>
      <c r="J1298" s="218"/>
      <c r="K1298" s="205"/>
      <c r="L1298" s="210">
        <f>(表格3_5[[#This Row],[Out-Time]] - 表格3_5[[#This Row],[In-Time]])*24</f>
        <v>0</v>
      </c>
      <c r="M1298" s="210">
        <f>表格3_5[[#This Row],[ Hours]]-表格3_5[[#This Row],[Normal working
 hours]]</f>
        <v>0</v>
      </c>
      <c r="N1298" s="205"/>
      <c r="O1298" s="205"/>
      <c r="P1298" s="210">
        <f>(表格3_5[[#This Row],[Out-Time2]] - 表格3_5[[#This Row],[In-Time2]])*24</f>
        <v>0</v>
      </c>
      <c r="Q1298" s="205"/>
      <c r="R1298" s="214">
        <f>_xlfn.XLOOKUP(表格3_5[[#This Row],[Name]],Name_list[Full Name],Name_list[Hourr Rate])</f>
        <v>0</v>
      </c>
      <c r="S1298" s="210">
        <f>表格3_5[[#This Row],[Hours Worked]]*表格3_5[[#This Row],[Hourly Rate]]</f>
        <v>0</v>
      </c>
    </row>
    <row r="1299" spans="1:19">
      <c r="A1299" s="201">
        <v>1297</v>
      </c>
      <c r="B1299" s="210" t="str">
        <f>_xlfn.CONCAT(表格3_5[[#This Row],[Name]],表格3_5[[#This Row],[Location]])</f>
        <v/>
      </c>
      <c r="C1299" s="211" t="str">
        <f>表格3_5[[#This Row],[Location]] &amp; 表格3_5[[#This Row],[Date]] &amp;表格3_5[[#This Row],[Nick Name]]</f>
        <v>0</v>
      </c>
      <c r="D1299" s="202"/>
      <c r="E1299" s="211" t="str">
        <f>DAY(表格3_5[[#This Row],[Date]])&amp;""</f>
        <v>0</v>
      </c>
      <c r="F1299" s="203"/>
      <c r="G1299" s="216">
        <f>_xlfn.XLOOKUP(表格3_5[[#This Row],[Name]],Name_list[Full Name],Name_list[Nick Name])</f>
        <v>0</v>
      </c>
      <c r="H1299" s="207"/>
      <c r="I1299" s="228"/>
      <c r="J1299" s="218"/>
      <c r="K1299" s="205"/>
      <c r="L1299" s="210">
        <f>(表格3_5[[#This Row],[Out-Time]] - 表格3_5[[#This Row],[In-Time]])*24</f>
        <v>0</v>
      </c>
      <c r="M1299" s="210">
        <f>表格3_5[[#This Row],[ Hours]]-表格3_5[[#This Row],[Normal working
 hours]]</f>
        <v>0</v>
      </c>
      <c r="N1299" s="205"/>
      <c r="O1299" s="205"/>
      <c r="P1299" s="210">
        <f>(表格3_5[[#This Row],[Out-Time2]] - 表格3_5[[#This Row],[In-Time2]])*24</f>
        <v>0</v>
      </c>
      <c r="Q1299" s="205"/>
      <c r="R1299" s="214">
        <f>_xlfn.XLOOKUP(表格3_5[[#This Row],[Name]],Name_list[Full Name],Name_list[Hourr Rate])</f>
        <v>0</v>
      </c>
      <c r="S1299" s="210">
        <f>表格3_5[[#This Row],[Hours Worked]]*表格3_5[[#This Row],[Hourly Rate]]</f>
        <v>0</v>
      </c>
    </row>
    <row r="1300" spans="1:19">
      <c r="A1300" s="201">
        <v>1298</v>
      </c>
      <c r="B1300" s="210" t="str">
        <f>_xlfn.CONCAT(表格3_5[[#This Row],[Name]],表格3_5[[#This Row],[Location]])</f>
        <v/>
      </c>
      <c r="C1300" s="211" t="str">
        <f>表格3_5[[#This Row],[Location]] &amp; 表格3_5[[#This Row],[Date]] &amp;表格3_5[[#This Row],[Nick Name]]</f>
        <v>0</v>
      </c>
      <c r="D1300" s="202"/>
      <c r="E1300" s="211" t="str">
        <f>DAY(表格3_5[[#This Row],[Date]])&amp;""</f>
        <v>0</v>
      </c>
      <c r="F1300" s="203"/>
      <c r="G1300" s="216">
        <f>_xlfn.XLOOKUP(表格3_5[[#This Row],[Name]],Name_list[Full Name],Name_list[Nick Name])</f>
        <v>0</v>
      </c>
      <c r="H1300" s="207"/>
      <c r="I1300" s="228"/>
      <c r="J1300" s="218"/>
      <c r="K1300" s="205"/>
      <c r="L1300" s="210">
        <f>(表格3_5[[#This Row],[Out-Time]] - 表格3_5[[#This Row],[In-Time]])*24</f>
        <v>0</v>
      </c>
      <c r="M1300" s="210">
        <f>表格3_5[[#This Row],[ Hours]]-表格3_5[[#This Row],[Normal working
 hours]]</f>
        <v>0</v>
      </c>
      <c r="N1300" s="205"/>
      <c r="O1300" s="205"/>
      <c r="P1300" s="210">
        <f>(表格3_5[[#This Row],[Out-Time2]] - 表格3_5[[#This Row],[In-Time2]])*24</f>
        <v>0</v>
      </c>
      <c r="Q1300" s="205"/>
      <c r="R1300" s="214">
        <f>_xlfn.XLOOKUP(表格3_5[[#This Row],[Name]],Name_list[Full Name],Name_list[Hourr Rate])</f>
        <v>0</v>
      </c>
      <c r="S1300" s="210">
        <f>表格3_5[[#This Row],[Hours Worked]]*表格3_5[[#This Row],[Hourly Rate]]</f>
        <v>0</v>
      </c>
    </row>
    <row r="1301" spans="1:19">
      <c r="A1301" s="201">
        <v>1299</v>
      </c>
      <c r="B1301" s="210" t="str">
        <f>_xlfn.CONCAT(表格3_5[[#This Row],[Name]],表格3_5[[#This Row],[Location]])</f>
        <v/>
      </c>
      <c r="C1301" s="211" t="str">
        <f>表格3_5[[#This Row],[Location]] &amp; 表格3_5[[#This Row],[Date]] &amp;表格3_5[[#This Row],[Nick Name]]</f>
        <v>0</v>
      </c>
      <c r="D1301" s="202"/>
      <c r="E1301" s="211" t="str">
        <f>DAY(表格3_5[[#This Row],[Date]])&amp;""</f>
        <v>0</v>
      </c>
      <c r="F1301" s="203"/>
      <c r="G1301" s="216">
        <f>_xlfn.XLOOKUP(表格3_5[[#This Row],[Name]],Name_list[Full Name],Name_list[Nick Name])</f>
        <v>0</v>
      </c>
      <c r="H1301" s="207"/>
      <c r="I1301" s="228"/>
      <c r="J1301" s="218"/>
      <c r="K1301" s="205"/>
      <c r="L1301" s="210">
        <f>(表格3_5[[#This Row],[Out-Time]] - 表格3_5[[#This Row],[In-Time]])*24</f>
        <v>0</v>
      </c>
      <c r="M1301" s="210">
        <f>表格3_5[[#This Row],[ Hours]]-表格3_5[[#This Row],[Normal working
 hours]]</f>
        <v>0</v>
      </c>
      <c r="N1301" s="205"/>
      <c r="O1301" s="205"/>
      <c r="P1301" s="210">
        <f>(表格3_5[[#This Row],[Out-Time2]] - 表格3_5[[#This Row],[In-Time2]])*24</f>
        <v>0</v>
      </c>
      <c r="Q1301" s="205"/>
      <c r="R1301" s="214">
        <f>_xlfn.XLOOKUP(表格3_5[[#This Row],[Name]],Name_list[Full Name],Name_list[Hourr Rate])</f>
        <v>0</v>
      </c>
      <c r="S1301" s="210">
        <f>表格3_5[[#This Row],[Hours Worked]]*表格3_5[[#This Row],[Hourly Rate]]</f>
        <v>0</v>
      </c>
    </row>
    <row r="1302" spans="1:19">
      <c r="A1302" s="201">
        <v>1300</v>
      </c>
      <c r="B1302" s="210" t="str">
        <f>_xlfn.CONCAT(表格3_5[[#This Row],[Name]],表格3_5[[#This Row],[Location]])</f>
        <v/>
      </c>
      <c r="C1302" s="211" t="str">
        <f>表格3_5[[#This Row],[Location]] &amp; 表格3_5[[#This Row],[Date]] &amp;表格3_5[[#This Row],[Nick Name]]</f>
        <v>0</v>
      </c>
      <c r="D1302" s="202"/>
      <c r="E1302" s="211" t="str">
        <f>DAY(表格3_5[[#This Row],[Date]])&amp;""</f>
        <v>0</v>
      </c>
      <c r="F1302" s="203"/>
      <c r="G1302" s="216">
        <f>_xlfn.XLOOKUP(表格3_5[[#This Row],[Name]],Name_list[Full Name],Name_list[Nick Name])</f>
        <v>0</v>
      </c>
      <c r="H1302" s="207"/>
      <c r="I1302" s="228"/>
      <c r="J1302" s="218"/>
      <c r="K1302" s="205"/>
      <c r="L1302" s="210">
        <f>(表格3_5[[#This Row],[Out-Time]] - 表格3_5[[#This Row],[In-Time]])*24</f>
        <v>0</v>
      </c>
      <c r="M1302" s="210">
        <f>表格3_5[[#This Row],[ Hours]]-表格3_5[[#This Row],[Normal working
 hours]]</f>
        <v>0</v>
      </c>
      <c r="N1302" s="205"/>
      <c r="O1302" s="205"/>
      <c r="P1302" s="210">
        <f>(表格3_5[[#This Row],[Out-Time2]] - 表格3_5[[#This Row],[In-Time2]])*24</f>
        <v>0</v>
      </c>
      <c r="Q1302" s="205"/>
      <c r="R1302" s="214">
        <f>_xlfn.XLOOKUP(表格3_5[[#This Row],[Name]],Name_list[Full Name],Name_list[Hourr Rate])</f>
        <v>0</v>
      </c>
      <c r="S1302" s="210">
        <f>表格3_5[[#This Row],[Hours Worked]]*表格3_5[[#This Row],[Hourly Rate]]</f>
        <v>0</v>
      </c>
    </row>
    <row r="1303" spans="1:19">
      <c r="A1303" s="201">
        <v>1301</v>
      </c>
      <c r="B1303" s="210" t="str">
        <f>_xlfn.CONCAT(表格3_5[[#This Row],[Name]],表格3_5[[#This Row],[Location]])</f>
        <v/>
      </c>
      <c r="C1303" s="211" t="str">
        <f>表格3_5[[#This Row],[Location]] &amp; 表格3_5[[#This Row],[Date]] &amp;表格3_5[[#This Row],[Nick Name]]</f>
        <v>0</v>
      </c>
      <c r="D1303" s="202"/>
      <c r="E1303" s="211" t="str">
        <f>DAY(表格3_5[[#This Row],[Date]])&amp;""</f>
        <v>0</v>
      </c>
      <c r="F1303" s="203"/>
      <c r="G1303" s="216">
        <f>_xlfn.XLOOKUP(表格3_5[[#This Row],[Name]],Name_list[Full Name],Name_list[Nick Name])</f>
        <v>0</v>
      </c>
      <c r="H1303" s="207"/>
      <c r="I1303" s="228"/>
      <c r="J1303" s="218"/>
      <c r="K1303" s="205"/>
      <c r="L1303" s="210">
        <f>(表格3_5[[#This Row],[Out-Time]] - 表格3_5[[#This Row],[In-Time]])*24</f>
        <v>0</v>
      </c>
      <c r="M1303" s="210">
        <f>表格3_5[[#This Row],[ Hours]]-表格3_5[[#This Row],[Normal working
 hours]]</f>
        <v>0</v>
      </c>
      <c r="N1303" s="205"/>
      <c r="O1303" s="205"/>
      <c r="P1303" s="210">
        <f>(表格3_5[[#This Row],[Out-Time2]] - 表格3_5[[#This Row],[In-Time2]])*24</f>
        <v>0</v>
      </c>
      <c r="Q1303" s="205"/>
      <c r="R1303" s="214">
        <f>_xlfn.XLOOKUP(表格3_5[[#This Row],[Name]],Name_list[Full Name],Name_list[Hourr Rate])</f>
        <v>0</v>
      </c>
      <c r="S1303" s="210">
        <f>表格3_5[[#This Row],[Hours Worked]]*表格3_5[[#This Row],[Hourly Rate]]</f>
        <v>0</v>
      </c>
    </row>
    <row r="1304" spans="1:19">
      <c r="A1304" s="201">
        <v>1302</v>
      </c>
      <c r="B1304" s="210" t="str">
        <f>_xlfn.CONCAT(表格3_5[[#This Row],[Name]],表格3_5[[#This Row],[Location]])</f>
        <v/>
      </c>
      <c r="C1304" s="211" t="str">
        <f>表格3_5[[#This Row],[Location]] &amp; 表格3_5[[#This Row],[Date]] &amp;表格3_5[[#This Row],[Nick Name]]</f>
        <v>0</v>
      </c>
      <c r="D1304" s="202"/>
      <c r="E1304" s="211" t="str">
        <f>DAY(表格3_5[[#This Row],[Date]])&amp;""</f>
        <v>0</v>
      </c>
      <c r="F1304" s="203"/>
      <c r="G1304" s="216">
        <f>_xlfn.XLOOKUP(表格3_5[[#This Row],[Name]],Name_list[Full Name],Name_list[Nick Name])</f>
        <v>0</v>
      </c>
      <c r="H1304" s="207"/>
      <c r="I1304" s="228"/>
      <c r="J1304" s="218"/>
      <c r="K1304" s="205"/>
      <c r="L1304" s="210">
        <f>(表格3_5[[#This Row],[Out-Time]] - 表格3_5[[#This Row],[In-Time]])*24</f>
        <v>0</v>
      </c>
      <c r="M1304" s="210">
        <f>表格3_5[[#This Row],[ Hours]]-表格3_5[[#This Row],[Normal working
 hours]]</f>
        <v>0</v>
      </c>
      <c r="N1304" s="205"/>
      <c r="O1304" s="205"/>
      <c r="P1304" s="210">
        <f>(表格3_5[[#This Row],[Out-Time2]] - 表格3_5[[#This Row],[In-Time2]])*24</f>
        <v>0</v>
      </c>
      <c r="Q1304" s="205"/>
      <c r="R1304" s="214">
        <f>_xlfn.XLOOKUP(表格3_5[[#This Row],[Name]],Name_list[Full Name],Name_list[Hourr Rate])</f>
        <v>0</v>
      </c>
      <c r="S1304" s="210">
        <f>表格3_5[[#This Row],[Hours Worked]]*表格3_5[[#This Row],[Hourly Rate]]</f>
        <v>0</v>
      </c>
    </row>
    <row r="1305" spans="1:19">
      <c r="A1305" s="201">
        <v>1303</v>
      </c>
      <c r="B1305" s="210" t="str">
        <f>_xlfn.CONCAT(表格3_5[[#This Row],[Name]],表格3_5[[#This Row],[Location]])</f>
        <v/>
      </c>
      <c r="C1305" s="211" t="str">
        <f>表格3_5[[#This Row],[Location]] &amp; 表格3_5[[#This Row],[Date]] &amp;表格3_5[[#This Row],[Nick Name]]</f>
        <v>0</v>
      </c>
      <c r="D1305" s="202"/>
      <c r="E1305" s="211" t="str">
        <f>DAY(表格3_5[[#This Row],[Date]])&amp;""</f>
        <v>0</v>
      </c>
      <c r="F1305" s="203"/>
      <c r="G1305" s="216">
        <f>_xlfn.XLOOKUP(表格3_5[[#This Row],[Name]],Name_list[Full Name],Name_list[Nick Name])</f>
        <v>0</v>
      </c>
      <c r="H1305" s="207"/>
      <c r="I1305" s="228"/>
      <c r="J1305" s="218"/>
      <c r="K1305" s="205"/>
      <c r="L1305" s="210">
        <f>(表格3_5[[#This Row],[Out-Time]] - 表格3_5[[#This Row],[In-Time]])*24</f>
        <v>0</v>
      </c>
      <c r="M1305" s="210">
        <f>表格3_5[[#This Row],[ Hours]]-表格3_5[[#This Row],[Normal working
 hours]]</f>
        <v>0</v>
      </c>
      <c r="N1305" s="205"/>
      <c r="O1305" s="205"/>
      <c r="P1305" s="210">
        <f>(表格3_5[[#This Row],[Out-Time2]] - 表格3_5[[#This Row],[In-Time2]])*24</f>
        <v>0</v>
      </c>
      <c r="Q1305" s="205"/>
      <c r="R1305" s="214">
        <f>_xlfn.XLOOKUP(表格3_5[[#This Row],[Name]],Name_list[Full Name],Name_list[Hourr Rate])</f>
        <v>0</v>
      </c>
      <c r="S1305" s="210">
        <f>表格3_5[[#This Row],[Hours Worked]]*表格3_5[[#This Row],[Hourly Rate]]</f>
        <v>0</v>
      </c>
    </row>
    <row r="1306" spans="1:19">
      <c r="A1306" s="201">
        <v>1304</v>
      </c>
      <c r="B1306" s="210" t="str">
        <f>_xlfn.CONCAT(表格3_5[[#This Row],[Name]],表格3_5[[#This Row],[Location]])</f>
        <v/>
      </c>
      <c r="C1306" s="211" t="str">
        <f>表格3_5[[#This Row],[Location]] &amp; 表格3_5[[#This Row],[Date]] &amp;表格3_5[[#This Row],[Nick Name]]</f>
        <v>0</v>
      </c>
      <c r="D1306" s="202"/>
      <c r="E1306" s="211" t="str">
        <f>DAY(表格3_5[[#This Row],[Date]])&amp;""</f>
        <v>0</v>
      </c>
      <c r="F1306" s="203"/>
      <c r="G1306" s="216">
        <f>_xlfn.XLOOKUP(表格3_5[[#This Row],[Name]],Name_list[Full Name],Name_list[Nick Name])</f>
        <v>0</v>
      </c>
      <c r="H1306" s="207"/>
      <c r="I1306" s="228"/>
      <c r="J1306" s="218"/>
      <c r="K1306" s="205"/>
      <c r="L1306" s="210">
        <f>(表格3_5[[#This Row],[Out-Time]] - 表格3_5[[#This Row],[In-Time]])*24</f>
        <v>0</v>
      </c>
      <c r="M1306" s="210">
        <f>表格3_5[[#This Row],[ Hours]]-表格3_5[[#This Row],[Normal working
 hours]]</f>
        <v>0</v>
      </c>
      <c r="N1306" s="205"/>
      <c r="O1306" s="205"/>
      <c r="P1306" s="210">
        <f>(表格3_5[[#This Row],[Out-Time2]] - 表格3_5[[#This Row],[In-Time2]])*24</f>
        <v>0</v>
      </c>
      <c r="Q1306" s="205"/>
      <c r="R1306" s="214">
        <f>_xlfn.XLOOKUP(表格3_5[[#This Row],[Name]],Name_list[Full Name],Name_list[Hourr Rate])</f>
        <v>0</v>
      </c>
      <c r="S1306" s="210">
        <f>表格3_5[[#This Row],[Hours Worked]]*表格3_5[[#This Row],[Hourly Rate]]</f>
        <v>0</v>
      </c>
    </row>
    <row r="1307" spans="1:19">
      <c r="A1307" s="201">
        <v>1305</v>
      </c>
      <c r="B1307" s="210" t="str">
        <f>_xlfn.CONCAT(表格3_5[[#This Row],[Name]],表格3_5[[#This Row],[Location]])</f>
        <v/>
      </c>
      <c r="C1307" s="211" t="str">
        <f>表格3_5[[#This Row],[Location]] &amp; 表格3_5[[#This Row],[Date]] &amp;表格3_5[[#This Row],[Nick Name]]</f>
        <v>0</v>
      </c>
      <c r="D1307" s="202"/>
      <c r="E1307" s="211" t="str">
        <f>DAY(表格3_5[[#This Row],[Date]])&amp;""</f>
        <v>0</v>
      </c>
      <c r="F1307" s="203"/>
      <c r="G1307" s="216">
        <f>_xlfn.XLOOKUP(表格3_5[[#This Row],[Name]],Name_list[Full Name],Name_list[Nick Name])</f>
        <v>0</v>
      </c>
      <c r="H1307" s="207"/>
      <c r="I1307" s="228"/>
      <c r="J1307" s="218"/>
      <c r="K1307" s="205"/>
      <c r="L1307" s="210">
        <f>(表格3_5[[#This Row],[Out-Time]] - 表格3_5[[#This Row],[In-Time]])*24</f>
        <v>0</v>
      </c>
      <c r="M1307" s="210">
        <f>表格3_5[[#This Row],[ Hours]]-表格3_5[[#This Row],[Normal working
 hours]]</f>
        <v>0</v>
      </c>
      <c r="N1307" s="205"/>
      <c r="O1307" s="205"/>
      <c r="P1307" s="210">
        <f>(表格3_5[[#This Row],[Out-Time2]] - 表格3_5[[#This Row],[In-Time2]])*24</f>
        <v>0</v>
      </c>
      <c r="Q1307" s="205"/>
      <c r="R1307" s="214">
        <f>_xlfn.XLOOKUP(表格3_5[[#This Row],[Name]],Name_list[Full Name],Name_list[Hourr Rate])</f>
        <v>0</v>
      </c>
      <c r="S1307" s="210">
        <f>表格3_5[[#This Row],[Hours Worked]]*表格3_5[[#This Row],[Hourly Rate]]</f>
        <v>0</v>
      </c>
    </row>
    <row r="1308" spans="1:19">
      <c r="A1308" s="201">
        <v>1306</v>
      </c>
      <c r="B1308" s="210" t="str">
        <f>_xlfn.CONCAT(表格3_5[[#This Row],[Name]],表格3_5[[#This Row],[Location]])</f>
        <v/>
      </c>
      <c r="C1308" s="211" t="str">
        <f>表格3_5[[#This Row],[Location]] &amp; 表格3_5[[#This Row],[Date]] &amp;表格3_5[[#This Row],[Nick Name]]</f>
        <v>0</v>
      </c>
      <c r="D1308" s="202"/>
      <c r="E1308" s="211" t="str">
        <f>DAY(表格3_5[[#This Row],[Date]])&amp;""</f>
        <v>0</v>
      </c>
      <c r="F1308" s="203"/>
      <c r="G1308" s="216">
        <f>_xlfn.XLOOKUP(表格3_5[[#This Row],[Name]],Name_list[Full Name],Name_list[Nick Name])</f>
        <v>0</v>
      </c>
      <c r="H1308" s="207"/>
      <c r="I1308" s="228"/>
      <c r="J1308" s="218"/>
      <c r="K1308" s="205"/>
      <c r="L1308" s="210">
        <f>(表格3_5[[#This Row],[Out-Time]] - 表格3_5[[#This Row],[In-Time]])*24</f>
        <v>0</v>
      </c>
      <c r="M1308" s="210">
        <f>表格3_5[[#This Row],[ Hours]]-表格3_5[[#This Row],[Normal working
 hours]]</f>
        <v>0</v>
      </c>
      <c r="N1308" s="205"/>
      <c r="O1308" s="205"/>
      <c r="P1308" s="210">
        <f>(表格3_5[[#This Row],[Out-Time2]] - 表格3_5[[#This Row],[In-Time2]])*24</f>
        <v>0</v>
      </c>
      <c r="Q1308" s="205"/>
      <c r="R1308" s="214">
        <f>_xlfn.XLOOKUP(表格3_5[[#This Row],[Name]],Name_list[Full Name],Name_list[Hourr Rate])</f>
        <v>0</v>
      </c>
      <c r="S1308" s="210">
        <f>表格3_5[[#This Row],[Hours Worked]]*表格3_5[[#This Row],[Hourly Rate]]</f>
        <v>0</v>
      </c>
    </row>
    <row r="1309" spans="1:19">
      <c r="A1309" s="201">
        <v>1307</v>
      </c>
      <c r="B1309" s="210" t="str">
        <f>_xlfn.CONCAT(表格3_5[[#This Row],[Name]],表格3_5[[#This Row],[Location]])</f>
        <v/>
      </c>
      <c r="C1309" s="211" t="str">
        <f>表格3_5[[#This Row],[Location]] &amp; 表格3_5[[#This Row],[Date]] &amp;表格3_5[[#This Row],[Nick Name]]</f>
        <v>0</v>
      </c>
      <c r="D1309" s="202"/>
      <c r="E1309" s="211" t="str">
        <f>DAY(表格3_5[[#This Row],[Date]])&amp;""</f>
        <v>0</v>
      </c>
      <c r="F1309" s="203"/>
      <c r="G1309" s="216">
        <f>_xlfn.XLOOKUP(表格3_5[[#This Row],[Name]],Name_list[Full Name],Name_list[Nick Name])</f>
        <v>0</v>
      </c>
      <c r="H1309" s="207"/>
      <c r="I1309" s="228"/>
      <c r="J1309" s="218"/>
      <c r="K1309" s="205"/>
      <c r="L1309" s="210">
        <f>(表格3_5[[#This Row],[Out-Time]] - 表格3_5[[#This Row],[In-Time]])*24</f>
        <v>0</v>
      </c>
      <c r="M1309" s="210">
        <f>表格3_5[[#This Row],[ Hours]]-表格3_5[[#This Row],[Normal working
 hours]]</f>
        <v>0</v>
      </c>
      <c r="N1309" s="205"/>
      <c r="O1309" s="205"/>
      <c r="P1309" s="210">
        <f>(表格3_5[[#This Row],[Out-Time2]] - 表格3_5[[#This Row],[In-Time2]])*24</f>
        <v>0</v>
      </c>
      <c r="Q1309" s="205"/>
      <c r="R1309" s="214">
        <f>_xlfn.XLOOKUP(表格3_5[[#This Row],[Name]],Name_list[Full Name],Name_list[Hourr Rate])</f>
        <v>0</v>
      </c>
      <c r="S1309" s="210">
        <f>表格3_5[[#This Row],[Hours Worked]]*表格3_5[[#This Row],[Hourly Rate]]</f>
        <v>0</v>
      </c>
    </row>
    <row r="1310" spans="1:19">
      <c r="A1310" s="201">
        <v>1308</v>
      </c>
      <c r="B1310" s="210" t="str">
        <f>_xlfn.CONCAT(表格3_5[[#This Row],[Name]],表格3_5[[#This Row],[Location]])</f>
        <v/>
      </c>
      <c r="C1310" s="211" t="str">
        <f>表格3_5[[#This Row],[Location]] &amp; 表格3_5[[#This Row],[Date]] &amp;表格3_5[[#This Row],[Nick Name]]</f>
        <v>0</v>
      </c>
      <c r="D1310" s="202"/>
      <c r="E1310" s="211" t="str">
        <f>DAY(表格3_5[[#This Row],[Date]])&amp;""</f>
        <v>0</v>
      </c>
      <c r="F1310" s="203"/>
      <c r="G1310" s="216">
        <f>_xlfn.XLOOKUP(表格3_5[[#This Row],[Name]],Name_list[Full Name],Name_list[Nick Name])</f>
        <v>0</v>
      </c>
      <c r="H1310" s="207"/>
      <c r="I1310" s="228"/>
      <c r="J1310" s="218"/>
      <c r="K1310" s="205"/>
      <c r="L1310" s="210">
        <f>(表格3_5[[#This Row],[Out-Time]] - 表格3_5[[#This Row],[In-Time]])*24</f>
        <v>0</v>
      </c>
      <c r="M1310" s="210">
        <f>表格3_5[[#This Row],[ Hours]]-表格3_5[[#This Row],[Normal working
 hours]]</f>
        <v>0</v>
      </c>
      <c r="N1310" s="205"/>
      <c r="O1310" s="205"/>
      <c r="P1310" s="210">
        <f>(表格3_5[[#This Row],[Out-Time2]] - 表格3_5[[#This Row],[In-Time2]])*24</f>
        <v>0</v>
      </c>
      <c r="Q1310" s="205"/>
      <c r="R1310" s="214">
        <f>_xlfn.XLOOKUP(表格3_5[[#This Row],[Name]],Name_list[Full Name],Name_list[Hourr Rate])</f>
        <v>0</v>
      </c>
      <c r="S1310" s="210">
        <f>表格3_5[[#This Row],[Hours Worked]]*表格3_5[[#This Row],[Hourly Rate]]</f>
        <v>0</v>
      </c>
    </row>
    <row r="1311" spans="1:19">
      <c r="A1311" s="201">
        <v>1309</v>
      </c>
      <c r="B1311" s="210" t="str">
        <f>_xlfn.CONCAT(表格3_5[[#This Row],[Name]],表格3_5[[#This Row],[Location]])</f>
        <v/>
      </c>
      <c r="C1311" s="211" t="str">
        <f>表格3_5[[#This Row],[Location]] &amp; 表格3_5[[#This Row],[Date]] &amp;表格3_5[[#This Row],[Nick Name]]</f>
        <v>0</v>
      </c>
      <c r="D1311" s="202"/>
      <c r="E1311" s="211" t="str">
        <f>DAY(表格3_5[[#This Row],[Date]])&amp;""</f>
        <v>0</v>
      </c>
      <c r="F1311" s="203"/>
      <c r="G1311" s="216">
        <f>_xlfn.XLOOKUP(表格3_5[[#This Row],[Name]],Name_list[Full Name],Name_list[Nick Name])</f>
        <v>0</v>
      </c>
      <c r="H1311" s="207"/>
      <c r="I1311" s="228"/>
      <c r="J1311" s="218"/>
      <c r="K1311" s="205"/>
      <c r="L1311" s="210">
        <f>(表格3_5[[#This Row],[Out-Time]] - 表格3_5[[#This Row],[In-Time]])*24</f>
        <v>0</v>
      </c>
      <c r="M1311" s="210">
        <f>表格3_5[[#This Row],[ Hours]]-表格3_5[[#This Row],[Normal working
 hours]]</f>
        <v>0</v>
      </c>
      <c r="N1311" s="205"/>
      <c r="O1311" s="205"/>
      <c r="P1311" s="210">
        <f>(表格3_5[[#This Row],[Out-Time2]] - 表格3_5[[#This Row],[In-Time2]])*24</f>
        <v>0</v>
      </c>
      <c r="Q1311" s="205"/>
      <c r="R1311" s="214">
        <f>_xlfn.XLOOKUP(表格3_5[[#This Row],[Name]],Name_list[Full Name],Name_list[Hourr Rate])</f>
        <v>0</v>
      </c>
      <c r="S1311" s="210">
        <f>表格3_5[[#This Row],[Hours Worked]]*表格3_5[[#This Row],[Hourly Rate]]</f>
        <v>0</v>
      </c>
    </row>
    <row r="1312" spans="1:19">
      <c r="A1312" s="201">
        <v>1310</v>
      </c>
      <c r="B1312" s="210" t="str">
        <f>_xlfn.CONCAT(表格3_5[[#This Row],[Name]],表格3_5[[#This Row],[Location]])</f>
        <v/>
      </c>
      <c r="C1312" s="211" t="str">
        <f>表格3_5[[#This Row],[Location]] &amp; 表格3_5[[#This Row],[Date]] &amp;表格3_5[[#This Row],[Nick Name]]</f>
        <v>0</v>
      </c>
      <c r="D1312" s="202"/>
      <c r="E1312" s="211" t="str">
        <f>DAY(表格3_5[[#This Row],[Date]])&amp;""</f>
        <v>0</v>
      </c>
      <c r="F1312" s="203"/>
      <c r="G1312" s="216">
        <f>_xlfn.XLOOKUP(表格3_5[[#This Row],[Name]],Name_list[Full Name],Name_list[Nick Name])</f>
        <v>0</v>
      </c>
      <c r="H1312" s="207"/>
      <c r="I1312" s="228"/>
      <c r="J1312" s="218"/>
      <c r="K1312" s="205"/>
      <c r="L1312" s="210">
        <f>(表格3_5[[#This Row],[Out-Time]] - 表格3_5[[#This Row],[In-Time]])*24</f>
        <v>0</v>
      </c>
      <c r="M1312" s="210">
        <f>表格3_5[[#This Row],[ Hours]]-表格3_5[[#This Row],[Normal working
 hours]]</f>
        <v>0</v>
      </c>
      <c r="N1312" s="205"/>
      <c r="O1312" s="205"/>
      <c r="P1312" s="210">
        <f>(表格3_5[[#This Row],[Out-Time2]] - 表格3_5[[#This Row],[In-Time2]])*24</f>
        <v>0</v>
      </c>
      <c r="Q1312" s="205"/>
      <c r="R1312" s="214">
        <f>_xlfn.XLOOKUP(表格3_5[[#This Row],[Name]],Name_list[Full Name],Name_list[Hourr Rate])</f>
        <v>0</v>
      </c>
      <c r="S1312" s="210">
        <f>表格3_5[[#This Row],[Hours Worked]]*表格3_5[[#This Row],[Hourly Rate]]</f>
        <v>0</v>
      </c>
    </row>
    <row r="1313" spans="1:19">
      <c r="A1313" s="201">
        <v>1311</v>
      </c>
      <c r="B1313" s="210" t="str">
        <f>_xlfn.CONCAT(表格3_5[[#This Row],[Name]],表格3_5[[#This Row],[Location]])</f>
        <v/>
      </c>
      <c r="C1313" s="211" t="str">
        <f>表格3_5[[#This Row],[Location]] &amp; 表格3_5[[#This Row],[Date]] &amp;表格3_5[[#This Row],[Nick Name]]</f>
        <v>0</v>
      </c>
      <c r="D1313" s="202"/>
      <c r="E1313" s="211" t="str">
        <f>DAY(表格3_5[[#This Row],[Date]])&amp;""</f>
        <v>0</v>
      </c>
      <c r="F1313" s="203"/>
      <c r="G1313" s="216">
        <f>_xlfn.XLOOKUP(表格3_5[[#This Row],[Name]],Name_list[Full Name],Name_list[Nick Name])</f>
        <v>0</v>
      </c>
      <c r="H1313" s="207"/>
      <c r="I1313" s="228"/>
      <c r="J1313" s="218"/>
      <c r="K1313" s="205"/>
      <c r="L1313" s="210">
        <f>(表格3_5[[#This Row],[Out-Time]] - 表格3_5[[#This Row],[In-Time]])*24</f>
        <v>0</v>
      </c>
      <c r="M1313" s="210">
        <f>表格3_5[[#This Row],[ Hours]]-表格3_5[[#This Row],[Normal working
 hours]]</f>
        <v>0</v>
      </c>
      <c r="N1313" s="205"/>
      <c r="O1313" s="205"/>
      <c r="P1313" s="210">
        <f>(表格3_5[[#This Row],[Out-Time2]] - 表格3_5[[#This Row],[In-Time2]])*24</f>
        <v>0</v>
      </c>
      <c r="Q1313" s="205"/>
      <c r="R1313" s="214">
        <f>_xlfn.XLOOKUP(表格3_5[[#This Row],[Name]],Name_list[Full Name],Name_list[Hourr Rate])</f>
        <v>0</v>
      </c>
      <c r="S1313" s="210">
        <f>表格3_5[[#This Row],[Hours Worked]]*表格3_5[[#This Row],[Hourly Rate]]</f>
        <v>0</v>
      </c>
    </row>
    <row r="1314" spans="1:19">
      <c r="A1314" s="201">
        <v>1312</v>
      </c>
      <c r="B1314" s="210" t="str">
        <f>_xlfn.CONCAT(表格3_5[[#This Row],[Name]],表格3_5[[#This Row],[Location]])</f>
        <v/>
      </c>
      <c r="C1314" s="211" t="str">
        <f>表格3_5[[#This Row],[Location]] &amp; 表格3_5[[#This Row],[Date]] &amp;表格3_5[[#This Row],[Nick Name]]</f>
        <v>0</v>
      </c>
      <c r="D1314" s="202"/>
      <c r="E1314" s="211" t="str">
        <f>DAY(表格3_5[[#This Row],[Date]])&amp;""</f>
        <v>0</v>
      </c>
      <c r="F1314" s="203"/>
      <c r="G1314" s="216">
        <f>_xlfn.XLOOKUP(表格3_5[[#This Row],[Name]],Name_list[Full Name],Name_list[Nick Name])</f>
        <v>0</v>
      </c>
      <c r="H1314" s="207"/>
      <c r="I1314" s="228"/>
      <c r="J1314" s="218"/>
      <c r="K1314" s="205"/>
      <c r="L1314" s="210">
        <f>(表格3_5[[#This Row],[Out-Time]] - 表格3_5[[#This Row],[In-Time]])*24</f>
        <v>0</v>
      </c>
      <c r="M1314" s="210">
        <f>表格3_5[[#This Row],[ Hours]]-表格3_5[[#This Row],[Normal working
 hours]]</f>
        <v>0</v>
      </c>
      <c r="N1314" s="205"/>
      <c r="O1314" s="205"/>
      <c r="P1314" s="210">
        <f>(表格3_5[[#This Row],[Out-Time2]] - 表格3_5[[#This Row],[In-Time2]])*24</f>
        <v>0</v>
      </c>
      <c r="Q1314" s="205"/>
      <c r="R1314" s="214">
        <f>_xlfn.XLOOKUP(表格3_5[[#This Row],[Name]],Name_list[Full Name],Name_list[Hourr Rate])</f>
        <v>0</v>
      </c>
      <c r="S1314" s="210">
        <f>表格3_5[[#This Row],[Hours Worked]]*表格3_5[[#This Row],[Hourly Rate]]</f>
        <v>0</v>
      </c>
    </row>
    <row r="1315" spans="1:19">
      <c r="A1315" s="201">
        <v>1313</v>
      </c>
      <c r="B1315" s="210" t="str">
        <f>_xlfn.CONCAT(表格3_5[[#This Row],[Name]],表格3_5[[#This Row],[Location]])</f>
        <v/>
      </c>
      <c r="C1315" s="211" t="str">
        <f>表格3_5[[#This Row],[Location]] &amp; 表格3_5[[#This Row],[Date]] &amp;表格3_5[[#This Row],[Nick Name]]</f>
        <v>0</v>
      </c>
      <c r="D1315" s="202"/>
      <c r="E1315" s="211" t="str">
        <f>DAY(表格3_5[[#This Row],[Date]])&amp;""</f>
        <v>0</v>
      </c>
      <c r="F1315" s="203"/>
      <c r="G1315" s="216">
        <f>_xlfn.XLOOKUP(表格3_5[[#This Row],[Name]],Name_list[Full Name],Name_list[Nick Name])</f>
        <v>0</v>
      </c>
      <c r="H1315" s="207"/>
      <c r="I1315" s="228"/>
      <c r="J1315" s="218"/>
      <c r="K1315" s="205"/>
      <c r="L1315" s="210">
        <f>(表格3_5[[#This Row],[Out-Time]] - 表格3_5[[#This Row],[In-Time]])*24</f>
        <v>0</v>
      </c>
      <c r="M1315" s="210">
        <f>表格3_5[[#This Row],[ Hours]]-表格3_5[[#This Row],[Normal working
 hours]]</f>
        <v>0</v>
      </c>
      <c r="N1315" s="205"/>
      <c r="O1315" s="205"/>
      <c r="P1315" s="210">
        <f>(表格3_5[[#This Row],[Out-Time2]] - 表格3_5[[#This Row],[In-Time2]])*24</f>
        <v>0</v>
      </c>
      <c r="Q1315" s="205"/>
      <c r="R1315" s="214">
        <f>_xlfn.XLOOKUP(表格3_5[[#This Row],[Name]],Name_list[Full Name],Name_list[Hourr Rate])</f>
        <v>0</v>
      </c>
      <c r="S1315" s="210">
        <f>表格3_5[[#This Row],[Hours Worked]]*表格3_5[[#This Row],[Hourly Rate]]</f>
        <v>0</v>
      </c>
    </row>
    <row r="1316" spans="1:19">
      <c r="A1316" s="201">
        <v>1314</v>
      </c>
      <c r="B1316" s="210" t="str">
        <f>_xlfn.CONCAT(表格3_5[[#This Row],[Name]],表格3_5[[#This Row],[Location]])</f>
        <v/>
      </c>
      <c r="C1316" s="211" t="str">
        <f>表格3_5[[#This Row],[Location]] &amp; 表格3_5[[#This Row],[Date]] &amp;表格3_5[[#This Row],[Nick Name]]</f>
        <v>0</v>
      </c>
      <c r="D1316" s="202"/>
      <c r="E1316" s="211" t="str">
        <f>DAY(表格3_5[[#This Row],[Date]])&amp;""</f>
        <v>0</v>
      </c>
      <c r="F1316" s="203"/>
      <c r="G1316" s="216">
        <f>_xlfn.XLOOKUP(表格3_5[[#This Row],[Name]],Name_list[Full Name],Name_list[Nick Name])</f>
        <v>0</v>
      </c>
      <c r="H1316" s="207"/>
      <c r="I1316" s="228"/>
      <c r="J1316" s="218"/>
      <c r="K1316" s="205"/>
      <c r="L1316" s="210">
        <f>(表格3_5[[#This Row],[Out-Time]] - 表格3_5[[#This Row],[In-Time]])*24</f>
        <v>0</v>
      </c>
      <c r="M1316" s="210">
        <f>表格3_5[[#This Row],[ Hours]]-表格3_5[[#This Row],[Normal working
 hours]]</f>
        <v>0</v>
      </c>
      <c r="N1316" s="205"/>
      <c r="O1316" s="205"/>
      <c r="P1316" s="210">
        <f>(表格3_5[[#This Row],[Out-Time2]] - 表格3_5[[#This Row],[In-Time2]])*24</f>
        <v>0</v>
      </c>
      <c r="Q1316" s="205"/>
      <c r="R1316" s="214">
        <f>_xlfn.XLOOKUP(表格3_5[[#This Row],[Name]],Name_list[Full Name],Name_list[Hourr Rate])</f>
        <v>0</v>
      </c>
      <c r="S1316" s="210">
        <f>表格3_5[[#This Row],[Hours Worked]]*表格3_5[[#This Row],[Hourly Rate]]</f>
        <v>0</v>
      </c>
    </row>
    <row r="1317" spans="1:19">
      <c r="A1317" s="201">
        <v>1315</v>
      </c>
      <c r="B1317" s="210" t="str">
        <f>_xlfn.CONCAT(表格3_5[[#This Row],[Name]],表格3_5[[#This Row],[Location]])</f>
        <v/>
      </c>
      <c r="C1317" s="211" t="str">
        <f>表格3_5[[#This Row],[Location]] &amp; 表格3_5[[#This Row],[Date]] &amp;表格3_5[[#This Row],[Nick Name]]</f>
        <v>0</v>
      </c>
      <c r="D1317" s="202"/>
      <c r="E1317" s="211" t="str">
        <f>DAY(表格3_5[[#This Row],[Date]])&amp;""</f>
        <v>0</v>
      </c>
      <c r="F1317" s="203"/>
      <c r="G1317" s="216">
        <f>_xlfn.XLOOKUP(表格3_5[[#This Row],[Name]],Name_list[Full Name],Name_list[Nick Name])</f>
        <v>0</v>
      </c>
      <c r="H1317" s="207"/>
      <c r="I1317" s="228"/>
      <c r="J1317" s="218"/>
      <c r="K1317" s="205"/>
      <c r="L1317" s="210">
        <f>(表格3_5[[#This Row],[Out-Time]] - 表格3_5[[#This Row],[In-Time]])*24</f>
        <v>0</v>
      </c>
      <c r="M1317" s="210">
        <f>表格3_5[[#This Row],[ Hours]]-表格3_5[[#This Row],[Normal working
 hours]]</f>
        <v>0</v>
      </c>
      <c r="N1317" s="205"/>
      <c r="O1317" s="205"/>
      <c r="P1317" s="210">
        <f>(表格3_5[[#This Row],[Out-Time2]] - 表格3_5[[#This Row],[In-Time2]])*24</f>
        <v>0</v>
      </c>
      <c r="Q1317" s="205"/>
      <c r="R1317" s="214">
        <f>_xlfn.XLOOKUP(表格3_5[[#This Row],[Name]],Name_list[Full Name],Name_list[Hourr Rate])</f>
        <v>0</v>
      </c>
      <c r="S1317" s="210">
        <f>表格3_5[[#This Row],[Hours Worked]]*表格3_5[[#This Row],[Hourly Rate]]</f>
        <v>0</v>
      </c>
    </row>
    <row r="1318" spans="1:19">
      <c r="A1318" s="201">
        <v>1316</v>
      </c>
      <c r="B1318" s="210" t="str">
        <f>_xlfn.CONCAT(表格3_5[[#This Row],[Name]],表格3_5[[#This Row],[Location]])</f>
        <v/>
      </c>
      <c r="C1318" s="211" t="str">
        <f>表格3_5[[#This Row],[Location]] &amp; 表格3_5[[#This Row],[Date]] &amp;表格3_5[[#This Row],[Nick Name]]</f>
        <v>0</v>
      </c>
      <c r="D1318" s="202"/>
      <c r="E1318" s="211" t="str">
        <f>DAY(表格3_5[[#This Row],[Date]])&amp;""</f>
        <v>0</v>
      </c>
      <c r="F1318" s="203"/>
      <c r="G1318" s="216">
        <f>_xlfn.XLOOKUP(表格3_5[[#This Row],[Name]],Name_list[Full Name],Name_list[Nick Name])</f>
        <v>0</v>
      </c>
      <c r="H1318" s="207"/>
      <c r="I1318" s="228"/>
      <c r="J1318" s="218"/>
      <c r="K1318" s="205"/>
      <c r="L1318" s="210">
        <f>(表格3_5[[#This Row],[Out-Time]] - 表格3_5[[#This Row],[In-Time]])*24</f>
        <v>0</v>
      </c>
      <c r="M1318" s="210">
        <f>表格3_5[[#This Row],[ Hours]]-表格3_5[[#This Row],[Normal working
 hours]]</f>
        <v>0</v>
      </c>
      <c r="N1318" s="205"/>
      <c r="O1318" s="205"/>
      <c r="P1318" s="210">
        <f>(表格3_5[[#This Row],[Out-Time2]] - 表格3_5[[#This Row],[In-Time2]])*24</f>
        <v>0</v>
      </c>
      <c r="Q1318" s="205"/>
      <c r="R1318" s="214">
        <f>_xlfn.XLOOKUP(表格3_5[[#This Row],[Name]],Name_list[Full Name],Name_list[Hourr Rate])</f>
        <v>0</v>
      </c>
      <c r="S1318" s="210">
        <f>表格3_5[[#This Row],[Hours Worked]]*表格3_5[[#This Row],[Hourly Rate]]</f>
        <v>0</v>
      </c>
    </row>
    <row r="1319" spans="1:19">
      <c r="A1319" s="201">
        <v>1317</v>
      </c>
      <c r="B1319" s="210" t="str">
        <f>_xlfn.CONCAT(表格3_5[[#This Row],[Name]],表格3_5[[#This Row],[Location]])</f>
        <v/>
      </c>
      <c r="C1319" s="211" t="str">
        <f>表格3_5[[#This Row],[Location]] &amp; 表格3_5[[#This Row],[Date]] &amp;表格3_5[[#This Row],[Nick Name]]</f>
        <v>0</v>
      </c>
      <c r="D1319" s="202"/>
      <c r="E1319" s="211" t="str">
        <f>DAY(表格3_5[[#This Row],[Date]])&amp;""</f>
        <v>0</v>
      </c>
      <c r="F1319" s="203"/>
      <c r="G1319" s="216">
        <f>_xlfn.XLOOKUP(表格3_5[[#This Row],[Name]],Name_list[Full Name],Name_list[Nick Name])</f>
        <v>0</v>
      </c>
      <c r="H1319" s="207"/>
      <c r="I1319" s="228"/>
      <c r="J1319" s="218"/>
      <c r="K1319" s="205"/>
      <c r="L1319" s="210">
        <f>(表格3_5[[#This Row],[Out-Time]] - 表格3_5[[#This Row],[In-Time]])*24</f>
        <v>0</v>
      </c>
      <c r="M1319" s="210">
        <f>表格3_5[[#This Row],[ Hours]]-表格3_5[[#This Row],[Normal working
 hours]]</f>
        <v>0</v>
      </c>
      <c r="N1319" s="205"/>
      <c r="O1319" s="205"/>
      <c r="P1319" s="210">
        <f>(表格3_5[[#This Row],[Out-Time2]] - 表格3_5[[#This Row],[In-Time2]])*24</f>
        <v>0</v>
      </c>
      <c r="Q1319" s="205"/>
      <c r="R1319" s="214">
        <f>_xlfn.XLOOKUP(表格3_5[[#This Row],[Name]],Name_list[Full Name],Name_list[Hourr Rate])</f>
        <v>0</v>
      </c>
      <c r="S1319" s="210">
        <f>表格3_5[[#This Row],[Hours Worked]]*表格3_5[[#This Row],[Hourly Rate]]</f>
        <v>0</v>
      </c>
    </row>
    <row r="1320" spans="1:19">
      <c r="A1320" s="201">
        <v>1318</v>
      </c>
      <c r="B1320" s="210" t="str">
        <f>_xlfn.CONCAT(表格3_5[[#This Row],[Name]],表格3_5[[#This Row],[Location]])</f>
        <v/>
      </c>
      <c r="C1320" s="211" t="str">
        <f>表格3_5[[#This Row],[Location]] &amp; 表格3_5[[#This Row],[Date]] &amp;表格3_5[[#This Row],[Nick Name]]</f>
        <v>0</v>
      </c>
      <c r="D1320" s="202"/>
      <c r="E1320" s="211" t="str">
        <f>DAY(表格3_5[[#This Row],[Date]])&amp;""</f>
        <v>0</v>
      </c>
      <c r="F1320" s="203"/>
      <c r="G1320" s="216">
        <f>_xlfn.XLOOKUP(表格3_5[[#This Row],[Name]],Name_list[Full Name],Name_list[Nick Name])</f>
        <v>0</v>
      </c>
      <c r="H1320" s="207"/>
      <c r="I1320" s="228"/>
      <c r="J1320" s="218"/>
      <c r="K1320" s="205"/>
      <c r="L1320" s="210">
        <f>(表格3_5[[#This Row],[Out-Time]] - 表格3_5[[#This Row],[In-Time]])*24</f>
        <v>0</v>
      </c>
      <c r="M1320" s="210">
        <f>表格3_5[[#This Row],[ Hours]]-表格3_5[[#This Row],[Normal working
 hours]]</f>
        <v>0</v>
      </c>
      <c r="N1320" s="205"/>
      <c r="O1320" s="205"/>
      <c r="P1320" s="210">
        <f>(表格3_5[[#This Row],[Out-Time2]] - 表格3_5[[#This Row],[In-Time2]])*24</f>
        <v>0</v>
      </c>
      <c r="Q1320" s="205"/>
      <c r="R1320" s="214">
        <f>_xlfn.XLOOKUP(表格3_5[[#This Row],[Name]],Name_list[Full Name],Name_list[Hourr Rate])</f>
        <v>0</v>
      </c>
      <c r="S1320" s="210">
        <f>表格3_5[[#This Row],[Hours Worked]]*表格3_5[[#This Row],[Hourly Rate]]</f>
        <v>0</v>
      </c>
    </row>
    <row r="1321" spans="1:19">
      <c r="A1321" s="201">
        <v>1319</v>
      </c>
      <c r="B1321" s="210" t="str">
        <f>_xlfn.CONCAT(表格3_5[[#This Row],[Name]],表格3_5[[#This Row],[Location]])</f>
        <v/>
      </c>
      <c r="C1321" s="211" t="str">
        <f>表格3_5[[#This Row],[Location]] &amp; 表格3_5[[#This Row],[Date]] &amp;表格3_5[[#This Row],[Nick Name]]</f>
        <v>0</v>
      </c>
      <c r="D1321" s="202"/>
      <c r="E1321" s="211" t="str">
        <f>DAY(表格3_5[[#This Row],[Date]])&amp;""</f>
        <v>0</v>
      </c>
      <c r="F1321" s="203"/>
      <c r="G1321" s="216">
        <f>_xlfn.XLOOKUP(表格3_5[[#This Row],[Name]],Name_list[Full Name],Name_list[Nick Name])</f>
        <v>0</v>
      </c>
      <c r="H1321" s="207"/>
      <c r="I1321" s="228"/>
      <c r="J1321" s="218"/>
      <c r="K1321" s="205"/>
      <c r="L1321" s="210">
        <f>(表格3_5[[#This Row],[Out-Time]] - 表格3_5[[#This Row],[In-Time]])*24</f>
        <v>0</v>
      </c>
      <c r="M1321" s="210">
        <f>表格3_5[[#This Row],[ Hours]]-表格3_5[[#This Row],[Normal working
 hours]]</f>
        <v>0</v>
      </c>
      <c r="N1321" s="205"/>
      <c r="O1321" s="205"/>
      <c r="P1321" s="210">
        <f>(表格3_5[[#This Row],[Out-Time2]] - 表格3_5[[#This Row],[In-Time2]])*24</f>
        <v>0</v>
      </c>
      <c r="Q1321" s="205"/>
      <c r="R1321" s="214">
        <f>_xlfn.XLOOKUP(表格3_5[[#This Row],[Name]],Name_list[Full Name],Name_list[Hourr Rate])</f>
        <v>0</v>
      </c>
      <c r="S1321" s="210">
        <f>表格3_5[[#This Row],[Hours Worked]]*表格3_5[[#This Row],[Hourly Rate]]</f>
        <v>0</v>
      </c>
    </row>
    <row r="1322" spans="1:19">
      <c r="A1322" s="201">
        <v>1320</v>
      </c>
      <c r="B1322" s="210" t="str">
        <f>_xlfn.CONCAT(表格3_5[[#This Row],[Name]],表格3_5[[#This Row],[Location]])</f>
        <v/>
      </c>
      <c r="C1322" s="211" t="str">
        <f>表格3_5[[#This Row],[Location]] &amp; 表格3_5[[#This Row],[Date]] &amp;表格3_5[[#This Row],[Nick Name]]</f>
        <v>0</v>
      </c>
      <c r="D1322" s="202"/>
      <c r="E1322" s="211" t="str">
        <f>DAY(表格3_5[[#This Row],[Date]])&amp;""</f>
        <v>0</v>
      </c>
      <c r="F1322" s="203"/>
      <c r="G1322" s="216">
        <f>_xlfn.XLOOKUP(表格3_5[[#This Row],[Name]],Name_list[Full Name],Name_list[Nick Name])</f>
        <v>0</v>
      </c>
      <c r="H1322" s="207"/>
      <c r="I1322" s="228"/>
      <c r="J1322" s="218"/>
      <c r="K1322" s="205"/>
      <c r="L1322" s="210">
        <f>(表格3_5[[#This Row],[Out-Time]] - 表格3_5[[#This Row],[In-Time]])*24</f>
        <v>0</v>
      </c>
      <c r="M1322" s="210">
        <f>表格3_5[[#This Row],[ Hours]]-表格3_5[[#This Row],[Normal working
 hours]]</f>
        <v>0</v>
      </c>
      <c r="N1322" s="205"/>
      <c r="O1322" s="205"/>
      <c r="P1322" s="210">
        <f>(表格3_5[[#This Row],[Out-Time2]] - 表格3_5[[#This Row],[In-Time2]])*24</f>
        <v>0</v>
      </c>
      <c r="Q1322" s="205"/>
      <c r="R1322" s="214">
        <f>_xlfn.XLOOKUP(表格3_5[[#This Row],[Name]],Name_list[Full Name],Name_list[Hourr Rate])</f>
        <v>0</v>
      </c>
      <c r="S1322" s="210">
        <f>表格3_5[[#This Row],[Hours Worked]]*表格3_5[[#This Row],[Hourly Rate]]</f>
        <v>0</v>
      </c>
    </row>
    <row r="1323" spans="1:19">
      <c r="A1323" s="201">
        <v>1321</v>
      </c>
      <c r="B1323" s="210" t="str">
        <f>_xlfn.CONCAT(表格3_5[[#This Row],[Name]],表格3_5[[#This Row],[Location]])</f>
        <v/>
      </c>
      <c r="C1323" s="211" t="str">
        <f>表格3_5[[#This Row],[Location]] &amp; 表格3_5[[#This Row],[Date]] &amp;表格3_5[[#This Row],[Nick Name]]</f>
        <v>0</v>
      </c>
      <c r="D1323" s="202"/>
      <c r="E1323" s="211" t="str">
        <f>DAY(表格3_5[[#This Row],[Date]])&amp;""</f>
        <v>0</v>
      </c>
      <c r="F1323" s="203"/>
      <c r="G1323" s="216">
        <f>_xlfn.XLOOKUP(表格3_5[[#This Row],[Name]],Name_list[Full Name],Name_list[Nick Name])</f>
        <v>0</v>
      </c>
      <c r="H1323" s="207"/>
      <c r="I1323" s="228"/>
      <c r="J1323" s="218"/>
      <c r="K1323" s="205"/>
      <c r="L1323" s="210">
        <f>(表格3_5[[#This Row],[Out-Time]] - 表格3_5[[#This Row],[In-Time]])*24</f>
        <v>0</v>
      </c>
      <c r="M1323" s="210">
        <f>表格3_5[[#This Row],[ Hours]]-表格3_5[[#This Row],[Normal working
 hours]]</f>
        <v>0</v>
      </c>
      <c r="N1323" s="205"/>
      <c r="O1323" s="205"/>
      <c r="P1323" s="210">
        <f>(表格3_5[[#This Row],[Out-Time2]] - 表格3_5[[#This Row],[In-Time2]])*24</f>
        <v>0</v>
      </c>
      <c r="Q1323" s="205"/>
      <c r="R1323" s="214">
        <f>_xlfn.XLOOKUP(表格3_5[[#This Row],[Name]],Name_list[Full Name],Name_list[Hourr Rate])</f>
        <v>0</v>
      </c>
      <c r="S1323" s="210">
        <f>表格3_5[[#This Row],[Hours Worked]]*表格3_5[[#This Row],[Hourly Rate]]</f>
        <v>0</v>
      </c>
    </row>
    <row r="1324" spans="1:19">
      <c r="A1324" s="201">
        <v>1322</v>
      </c>
      <c r="B1324" s="210" t="str">
        <f>_xlfn.CONCAT(表格3_5[[#This Row],[Name]],表格3_5[[#This Row],[Location]])</f>
        <v/>
      </c>
      <c r="C1324" s="211" t="str">
        <f>表格3_5[[#This Row],[Location]] &amp; 表格3_5[[#This Row],[Date]] &amp;表格3_5[[#This Row],[Nick Name]]</f>
        <v>0</v>
      </c>
      <c r="D1324" s="202"/>
      <c r="E1324" s="211" t="str">
        <f>DAY(表格3_5[[#This Row],[Date]])&amp;""</f>
        <v>0</v>
      </c>
      <c r="F1324" s="203"/>
      <c r="G1324" s="216">
        <f>_xlfn.XLOOKUP(表格3_5[[#This Row],[Name]],Name_list[Full Name],Name_list[Nick Name])</f>
        <v>0</v>
      </c>
      <c r="H1324" s="207"/>
      <c r="I1324" s="228"/>
      <c r="J1324" s="218"/>
      <c r="K1324" s="205"/>
      <c r="L1324" s="210">
        <f>(表格3_5[[#This Row],[Out-Time]] - 表格3_5[[#This Row],[In-Time]])*24</f>
        <v>0</v>
      </c>
      <c r="M1324" s="210">
        <f>表格3_5[[#This Row],[ Hours]]-表格3_5[[#This Row],[Normal working
 hours]]</f>
        <v>0</v>
      </c>
      <c r="N1324" s="205"/>
      <c r="O1324" s="205"/>
      <c r="P1324" s="210">
        <f>(表格3_5[[#This Row],[Out-Time2]] - 表格3_5[[#This Row],[In-Time2]])*24</f>
        <v>0</v>
      </c>
      <c r="Q1324" s="205"/>
      <c r="R1324" s="214">
        <f>_xlfn.XLOOKUP(表格3_5[[#This Row],[Name]],Name_list[Full Name],Name_list[Hourr Rate])</f>
        <v>0</v>
      </c>
      <c r="S1324" s="210">
        <f>表格3_5[[#This Row],[Hours Worked]]*表格3_5[[#This Row],[Hourly Rate]]</f>
        <v>0</v>
      </c>
    </row>
    <row r="1325" spans="1:19">
      <c r="A1325" s="201">
        <v>1323</v>
      </c>
      <c r="B1325" s="210" t="str">
        <f>_xlfn.CONCAT(表格3_5[[#This Row],[Name]],表格3_5[[#This Row],[Location]])</f>
        <v/>
      </c>
      <c r="C1325" s="211" t="str">
        <f>表格3_5[[#This Row],[Location]] &amp; 表格3_5[[#This Row],[Date]] &amp;表格3_5[[#This Row],[Nick Name]]</f>
        <v>0</v>
      </c>
      <c r="D1325" s="202"/>
      <c r="E1325" s="211" t="str">
        <f>DAY(表格3_5[[#This Row],[Date]])&amp;""</f>
        <v>0</v>
      </c>
      <c r="F1325" s="203"/>
      <c r="G1325" s="216">
        <f>_xlfn.XLOOKUP(表格3_5[[#This Row],[Name]],Name_list[Full Name],Name_list[Nick Name])</f>
        <v>0</v>
      </c>
      <c r="H1325" s="207"/>
      <c r="I1325" s="228"/>
      <c r="J1325" s="218"/>
      <c r="K1325" s="205"/>
      <c r="L1325" s="210">
        <f>(表格3_5[[#This Row],[Out-Time]] - 表格3_5[[#This Row],[In-Time]])*24</f>
        <v>0</v>
      </c>
      <c r="M1325" s="210">
        <f>表格3_5[[#This Row],[ Hours]]-表格3_5[[#This Row],[Normal working
 hours]]</f>
        <v>0</v>
      </c>
      <c r="N1325" s="205"/>
      <c r="O1325" s="205"/>
      <c r="P1325" s="210">
        <f>(表格3_5[[#This Row],[Out-Time2]] - 表格3_5[[#This Row],[In-Time2]])*24</f>
        <v>0</v>
      </c>
      <c r="Q1325" s="205"/>
      <c r="R1325" s="214">
        <f>_xlfn.XLOOKUP(表格3_5[[#This Row],[Name]],Name_list[Full Name],Name_list[Hourr Rate])</f>
        <v>0</v>
      </c>
      <c r="S1325" s="210">
        <f>表格3_5[[#This Row],[Hours Worked]]*表格3_5[[#This Row],[Hourly Rate]]</f>
        <v>0</v>
      </c>
    </row>
    <row r="1326" spans="1:19">
      <c r="A1326" s="201">
        <v>1324</v>
      </c>
      <c r="B1326" s="210" t="str">
        <f>_xlfn.CONCAT(表格3_5[[#This Row],[Name]],表格3_5[[#This Row],[Location]])</f>
        <v/>
      </c>
      <c r="C1326" s="211" t="str">
        <f>表格3_5[[#This Row],[Location]] &amp; 表格3_5[[#This Row],[Date]] &amp;表格3_5[[#This Row],[Nick Name]]</f>
        <v>0</v>
      </c>
      <c r="D1326" s="202"/>
      <c r="E1326" s="211" t="str">
        <f>DAY(表格3_5[[#This Row],[Date]])&amp;""</f>
        <v>0</v>
      </c>
      <c r="F1326" s="203"/>
      <c r="G1326" s="216">
        <f>_xlfn.XLOOKUP(表格3_5[[#This Row],[Name]],Name_list[Full Name],Name_list[Nick Name])</f>
        <v>0</v>
      </c>
      <c r="H1326" s="207"/>
      <c r="I1326" s="228"/>
      <c r="J1326" s="218"/>
      <c r="K1326" s="205"/>
      <c r="L1326" s="210">
        <f>(表格3_5[[#This Row],[Out-Time]] - 表格3_5[[#This Row],[In-Time]])*24</f>
        <v>0</v>
      </c>
      <c r="M1326" s="210">
        <f>表格3_5[[#This Row],[ Hours]]-表格3_5[[#This Row],[Normal working
 hours]]</f>
        <v>0</v>
      </c>
      <c r="N1326" s="205"/>
      <c r="O1326" s="205"/>
      <c r="P1326" s="210">
        <f>(表格3_5[[#This Row],[Out-Time2]] - 表格3_5[[#This Row],[In-Time2]])*24</f>
        <v>0</v>
      </c>
      <c r="Q1326" s="205"/>
      <c r="R1326" s="214">
        <f>_xlfn.XLOOKUP(表格3_5[[#This Row],[Name]],Name_list[Full Name],Name_list[Hourr Rate])</f>
        <v>0</v>
      </c>
      <c r="S1326" s="210">
        <f>表格3_5[[#This Row],[Hours Worked]]*表格3_5[[#This Row],[Hourly Rate]]</f>
        <v>0</v>
      </c>
    </row>
    <row r="1327" spans="1:19">
      <c r="A1327" s="201">
        <v>1325</v>
      </c>
      <c r="B1327" s="210" t="str">
        <f>_xlfn.CONCAT(表格3_5[[#This Row],[Name]],表格3_5[[#This Row],[Location]])</f>
        <v/>
      </c>
      <c r="C1327" s="211" t="str">
        <f>表格3_5[[#This Row],[Location]] &amp; 表格3_5[[#This Row],[Date]] &amp;表格3_5[[#This Row],[Nick Name]]</f>
        <v>0</v>
      </c>
      <c r="D1327" s="202"/>
      <c r="E1327" s="211" t="str">
        <f>DAY(表格3_5[[#This Row],[Date]])&amp;""</f>
        <v>0</v>
      </c>
      <c r="F1327" s="203"/>
      <c r="G1327" s="216">
        <f>_xlfn.XLOOKUP(表格3_5[[#This Row],[Name]],Name_list[Full Name],Name_list[Nick Name])</f>
        <v>0</v>
      </c>
      <c r="H1327" s="207"/>
      <c r="I1327" s="228"/>
      <c r="J1327" s="218"/>
      <c r="K1327" s="205"/>
      <c r="L1327" s="210">
        <f>(表格3_5[[#This Row],[Out-Time]] - 表格3_5[[#This Row],[In-Time]])*24</f>
        <v>0</v>
      </c>
      <c r="M1327" s="210">
        <f>表格3_5[[#This Row],[ Hours]]-表格3_5[[#This Row],[Normal working
 hours]]</f>
        <v>0</v>
      </c>
      <c r="N1327" s="205"/>
      <c r="O1327" s="205"/>
      <c r="P1327" s="210">
        <f>(表格3_5[[#This Row],[Out-Time2]] - 表格3_5[[#This Row],[In-Time2]])*24</f>
        <v>0</v>
      </c>
      <c r="Q1327" s="205"/>
      <c r="R1327" s="214">
        <f>_xlfn.XLOOKUP(表格3_5[[#This Row],[Name]],Name_list[Full Name],Name_list[Hourr Rate])</f>
        <v>0</v>
      </c>
      <c r="S1327" s="210">
        <f>表格3_5[[#This Row],[Hours Worked]]*表格3_5[[#This Row],[Hourly Rate]]</f>
        <v>0</v>
      </c>
    </row>
    <row r="1328" spans="1:19">
      <c r="A1328" s="201">
        <v>1326</v>
      </c>
      <c r="B1328" s="210" t="str">
        <f>_xlfn.CONCAT(表格3_5[[#This Row],[Name]],表格3_5[[#This Row],[Location]])</f>
        <v/>
      </c>
      <c r="C1328" s="211" t="str">
        <f>表格3_5[[#This Row],[Location]] &amp; 表格3_5[[#This Row],[Date]] &amp;表格3_5[[#This Row],[Nick Name]]</f>
        <v>0</v>
      </c>
      <c r="D1328" s="202"/>
      <c r="E1328" s="211" t="str">
        <f>DAY(表格3_5[[#This Row],[Date]])&amp;""</f>
        <v>0</v>
      </c>
      <c r="F1328" s="203"/>
      <c r="G1328" s="216">
        <f>_xlfn.XLOOKUP(表格3_5[[#This Row],[Name]],Name_list[Full Name],Name_list[Nick Name])</f>
        <v>0</v>
      </c>
      <c r="H1328" s="207"/>
      <c r="I1328" s="228"/>
      <c r="J1328" s="218"/>
      <c r="K1328" s="205"/>
      <c r="L1328" s="210">
        <f>(表格3_5[[#This Row],[Out-Time]] - 表格3_5[[#This Row],[In-Time]])*24</f>
        <v>0</v>
      </c>
      <c r="M1328" s="210">
        <f>表格3_5[[#This Row],[ Hours]]-表格3_5[[#This Row],[Normal working
 hours]]</f>
        <v>0</v>
      </c>
      <c r="N1328" s="205"/>
      <c r="O1328" s="205"/>
      <c r="P1328" s="210">
        <f>(表格3_5[[#This Row],[Out-Time2]] - 表格3_5[[#This Row],[In-Time2]])*24</f>
        <v>0</v>
      </c>
      <c r="Q1328" s="205"/>
      <c r="R1328" s="214">
        <f>_xlfn.XLOOKUP(表格3_5[[#This Row],[Name]],Name_list[Full Name],Name_list[Hourr Rate])</f>
        <v>0</v>
      </c>
      <c r="S1328" s="210">
        <f>表格3_5[[#This Row],[Hours Worked]]*表格3_5[[#This Row],[Hourly Rate]]</f>
        <v>0</v>
      </c>
    </row>
    <row r="1329" spans="1:19">
      <c r="A1329" s="201">
        <v>1327</v>
      </c>
      <c r="B1329" s="210" t="str">
        <f>_xlfn.CONCAT(表格3_5[[#This Row],[Name]],表格3_5[[#This Row],[Location]])</f>
        <v/>
      </c>
      <c r="C1329" s="211" t="str">
        <f>表格3_5[[#This Row],[Location]] &amp; 表格3_5[[#This Row],[Date]] &amp;表格3_5[[#This Row],[Nick Name]]</f>
        <v>0</v>
      </c>
      <c r="D1329" s="202"/>
      <c r="E1329" s="211" t="str">
        <f>DAY(表格3_5[[#This Row],[Date]])&amp;""</f>
        <v>0</v>
      </c>
      <c r="F1329" s="203"/>
      <c r="G1329" s="216">
        <f>_xlfn.XLOOKUP(表格3_5[[#This Row],[Name]],Name_list[Full Name],Name_list[Nick Name])</f>
        <v>0</v>
      </c>
      <c r="H1329" s="207"/>
      <c r="I1329" s="228"/>
      <c r="J1329" s="218"/>
      <c r="K1329" s="205"/>
      <c r="L1329" s="210">
        <f>(表格3_5[[#This Row],[Out-Time]] - 表格3_5[[#This Row],[In-Time]])*24</f>
        <v>0</v>
      </c>
      <c r="M1329" s="210">
        <f>表格3_5[[#This Row],[ Hours]]-表格3_5[[#This Row],[Normal working
 hours]]</f>
        <v>0</v>
      </c>
      <c r="N1329" s="205"/>
      <c r="O1329" s="205"/>
      <c r="P1329" s="210">
        <f>(表格3_5[[#This Row],[Out-Time2]] - 表格3_5[[#This Row],[In-Time2]])*24</f>
        <v>0</v>
      </c>
      <c r="Q1329" s="205"/>
      <c r="R1329" s="214">
        <f>_xlfn.XLOOKUP(表格3_5[[#This Row],[Name]],Name_list[Full Name],Name_list[Hourr Rate])</f>
        <v>0</v>
      </c>
      <c r="S1329" s="210">
        <f>表格3_5[[#This Row],[Hours Worked]]*表格3_5[[#This Row],[Hourly Rate]]</f>
        <v>0</v>
      </c>
    </row>
    <row r="1330" spans="1:19">
      <c r="A1330" s="201">
        <v>1328</v>
      </c>
      <c r="B1330" s="210" t="str">
        <f>_xlfn.CONCAT(表格3_5[[#This Row],[Name]],表格3_5[[#This Row],[Location]])</f>
        <v/>
      </c>
      <c r="C1330" s="211" t="str">
        <f>表格3_5[[#This Row],[Location]] &amp; 表格3_5[[#This Row],[Date]] &amp;表格3_5[[#This Row],[Nick Name]]</f>
        <v>0</v>
      </c>
      <c r="D1330" s="202"/>
      <c r="E1330" s="211" t="str">
        <f>DAY(表格3_5[[#This Row],[Date]])&amp;""</f>
        <v>0</v>
      </c>
      <c r="F1330" s="203"/>
      <c r="G1330" s="216">
        <f>_xlfn.XLOOKUP(表格3_5[[#This Row],[Name]],Name_list[Full Name],Name_list[Nick Name])</f>
        <v>0</v>
      </c>
      <c r="H1330" s="207"/>
      <c r="I1330" s="228"/>
      <c r="J1330" s="218"/>
      <c r="K1330" s="205"/>
      <c r="L1330" s="210">
        <f>(表格3_5[[#This Row],[Out-Time]] - 表格3_5[[#This Row],[In-Time]])*24</f>
        <v>0</v>
      </c>
      <c r="M1330" s="210">
        <f>表格3_5[[#This Row],[ Hours]]-表格3_5[[#This Row],[Normal working
 hours]]</f>
        <v>0</v>
      </c>
      <c r="N1330" s="205"/>
      <c r="O1330" s="205"/>
      <c r="P1330" s="210">
        <f>(表格3_5[[#This Row],[Out-Time2]] - 表格3_5[[#This Row],[In-Time2]])*24</f>
        <v>0</v>
      </c>
      <c r="Q1330" s="205"/>
      <c r="R1330" s="214">
        <f>_xlfn.XLOOKUP(表格3_5[[#This Row],[Name]],Name_list[Full Name],Name_list[Hourr Rate])</f>
        <v>0</v>
      </c>
      <c r="S1330" s="210">
        <f>表格3_5[[#This Row],[Hours Worked]]*表格3_5[[#This Row],[Hourly Rate]]</f>
        <v>0</v>
      </c>
    </row>
    <row r="1331" spans="1:19">
      <c r="A1331" s="201">
        <v>1329</v>
      </c>
      <c r="B1331" s="210" t="str">
        <f>_xlfn.CONCAT(表格3_5[[#This Row],[Name]],表格3_5[[#This Row],[Location]])</f>
        <v/>
      </c>
      <c r="C1331" s="211" t="str">
        <f>表格3_5[[#This Row],[Location]] &amp; 表格3_5[[#This Row],[Date]] &amp;表格3_5[[#This Row],[Nick Name]]</f>
        <v>0</v>
      </c>
      <c r="D1331" s="202"/>
      <c r="E1331" s="211" t="str">
        <f>DAY(表格3_5[[#This Row],[Date]])&amp;""</f>
        <v>0</v>
      </c>
      <c r="F1331" s="203"/>
      <c r="G1331" s="216">
        <f>_xlfn.XLOOKUP(表格3_5[[#This Row],[Name]],Name_list[Full Name],Name_list[Nick Name])</f>
        <v>0</v>
      </c>
      <c r="H1331" s="207"/>
      <c r="I1331" s="228"/>
      <c r="J1331" s="218"/>
      <c r="K1331" s="205"/>
      <c r="L1331" s="210">
        <f>(表格3_5[[#This Row],[Out-Time]] - 表格3_5[[#This Row],[In-Time]])*24</f>
        <v>0</v>
      </c>
      <c r="M1331" s="210">
        <f>表格3_5[[#This Row],[ Hours]]-表格3_5[[#This Row],[Normal working
 hours]]</f>
        <v>0</v>
      </c>
      <c r="N1331" s="205"/>
      <c r="O1331" s="205"/>
      <c r="P1331" s="210">
        <f>(表格3_5[[#This Row],[Out-Time2]] - 表格3_5[[#This Row],[In-Time2]])*24</f>
        <v>0</v>
      </c>
      <c r="Q1331" s="205"/>
      <c r="R1331" s="214">
        <f>_xlfn.XLOOKUP(表格3_5[[#This Row],[Name]],Name_list[Full Name],Name_list[Hourr Rate])</f>
        <v>0</v>
      </c>
      <c r="S1331" s="210">
        <f>表格3_5[[#This Row],[Hours Worked]]*表格3_5[[#This Row],[Hourly Rate]]</f>
        <v>0</v>
      </c>
    </row>
    <row r="1332" spans="1:19">
      <c r="A1332" s="201">
        <v>1330</v>
      </c>
      <c r="B1332" s="210" t="str">
        <f>_xlfn.CONCAT(表格3_5[[#This Row],[Name]],表格3_5[[#This Row],[Location]])</f>
        <v/>
      </c>
      <c r="C1332" s="211" t="str">
        <f>表格3_5[[#This Row],[Location]] &amp; 表格3_5[[#This Row],[Date]] &amp;表格3_5[[#This Row],[Nick Name]]</f>
        <v>0</v>
      </c>
      <c r="D1332" s="202"/>
      <c r="E1332" s="211" t="str">
        <f>DAY(表格3_5[[#This Row],[Date]])&amp;""</f>
        <v>0</v>
      </c>
      <c r="F1332" s="203"/>
      <c r="G1332" s="216">
        <f>_xlfn.XLOOKUP(表格3_5[[#This Row],[Name]],Name_list[Full Name],Name_list[Nick Name])</f>
        <v>0</v>
      </c>
      <c r="H1332" s="207"/>
      <c r="I1332" s="228"/>
      <c r="J1332" s="218"/>
      <c r="K1332" s="205"/>
      <c r="L1332" s="210">
        <f>(表格3_5[[#This Row],[Out-Time]] - 表格3_5[[#This Row],[In-Time]])*24</f>
        <v>0</v>
      </c>
      <c r="M1332" s="210">
        <f>表格3_5[[#This Row],[ Hours]]-表格3_5[[#This Row],[Normal working
 hours]]</f>
        <v>0</v>
      </c>
      <c r="N1332" s="205"/>
      <c r="O1332" s="205"/>
      <c r="P1332" s="210">
        <f>(表格3_5[[#This Row],[Out-Time2]] - 表格3_5[[#This Row],[In-Time2]])*24</f>
        <v>0</v>
      </c>
      <c r="Q1332" s="205"/>
      <c r="R1332" s="214">
        <f>_xlfn.XLOOKUP(表格3_5[[#This Row],[Name]],Name_list[Full Name],Name_list[Hourr Rate])</f>
        <v>0</v>
      </c>
      <c r="S1332" s="210">
        <f>表格3_5[[#This Row],[Hours Worked]]*表格3_5[[#This Row],[Hourly Rate]]</f>
        <v>0</v>
      </c>
    </row>
    <row r="1333" spans="1:19">
      <c r="A1333" s="201">
        <v>1331</v>
      </c>
      <c r="B1333" s="210" t="str">
        <f>_xlfn.CONCAT(表格3_5[[#This Row],[Name]],表格3_5[[#This Row],[Location]])</f>
        <v/>
      </c>
      <c r="C1333" s="211" t="str">
        <f>表格3_5[[#This Row],[Location]] &amp; 表格3_5[[#This Row],[Date]] &amp;表格3_5[[#This Row],[Nick Name]]</f>
        <v>0</v>
      </c>
      <c r="D1333" s="202"/>
      <c r="E1333" s="211" t="str">
        <f>DAY(表格3_5[[#This Row],[Date]])&amp;""</f>
        <v>0</v>
      </c>
      <c r="F1333" s="203"/>
      <c r="G1333" s="216">
        <f>_xlfn.XLOOKUP(表格3_5[[#This Row],[Name]],Name_list[Full Name],Name_list[Nick Name])</f>
        <v>0</v>
      </c>
      <c r="H1333" s="207"/>
      <c r="I1333" s="228"/>
      <c r="J1333" s="218"/>
      <c r="K1333" s="205"/>
      <c r="L1333" s="210">
        <f>(表格3_5[[#This Row],[Out-Time]] - 表格3_5[[#This Row],[In-Time]])*24</f>
        <v>0</v>
      </c>
      <c r="M1333" s="210">
        <f>表格3_5[[#This Row],[ Hours]]-表格3_5[[#This Row],[Normal working
 hours]]</f>
        <v>0</v>
      </c>
      <c r="N1333" s="205"/>
      <c r="O1333" s="205"/>
      <c r="P1333" s="210">
        <f>(表格3_5[[#This Row],[Out-Time2]] - 表格3_5[[#This Row],[In-Time2]])*24</f>
        <v>0</v>
      </c>
      <c r="Q1333" s="205"/>
      <c r="R1333" s="214">
        <f>_xlfn.XLOOKUP(表格3_5[[#This Row],[Name]],Name_list[Full Name],Name_list[Hourr Rate])</f>
        <v>0</v>
      </c>
      <c r="S1333" s="210">
        <f>表格3_5[[#This Row],[Hours Worked]]*表格3_5[[#This Row],[Hourly Rate]]</f>
        <v>0</v>
      </c>
    </row>
    <row r="1334" spans="1:19">
      <c r="A1334" s="201">
        <v>1332</v>
      </c>
      <c r="B1334" s="210" t="str">
        <f>_xlfn.CONCAT(表格3_5[[#This Row],[Name]],表格3_5[[#This Row],[Location]])</f>
        <v/>
      </c>
      <c r="C1334" s="211" t="str">
        <f>表格3_5[[#This Row],[Location]] &amp; 表格3_5[[#This Row],[Date]] &amp;表格3_5[[#This Row],[Nick Name]]</f>
        <v>0</v>
      </c>
      <c r="D1334" s="202"/>
      <c r="E1334" s="211" t="str">
        <f>DAY(表格3_5[[#This Row],[Date]])&amp;""</f>
        <v>0</v>
      </c>
      <c r="F1334" s="203"/>
      <c r="G1334" s="216">
        <f>_xlfn.XLOOKUP(表格3_5[[#This Row],[Name]],Name_list[Full Name],Name_list[Nick Name])</f>
        <v>0</v>
      </c>
      <c r="H1334" s="207"/>
      <c r="I1334" s="228"/>
      <c r="J1334" s="218"/>
      <c r="K1334" s="205"/>
      <c r="L1334" s="210">
        <f>(表格3_5[[#This Row],[Out-Time]] - 表格3_5[[#This Row],[In-Time]])*24</f>
        <v>0</v>
      </c>
      <c r="M1334" s="210">
        <f>表格3_5[[#This Row],[ Hours]]-表格3_5[[#This Row],[Normal working
 hours]]</f>
        <v>0</v>
      </c>
      <c r="N1334" s="205"/>
      <c r="O1334" s="205"/>
      <c r="P1334" s="210">
        <f>(表格3_5[[#This Row],[Out-Time2]] - 表格3_5[[#This Row],[In-Time2]])*24</f>
        <v>0</v>
      </c>
      <c r="Q1334" s="205"/>
      <c r="R1334" s="214">
        <f>_xlfn.XLOOKUP(表格3_5[[#This Row],[Name]],Name_list[Full Name],Name_list[Hourr Rate])</f>
        <v>0</v>
      </c>
      <c r="S1334" s="210">
        <f>表格3_5[[#This Row],[Hours Worked]]*表格3_5[[#This Row],[Hourly Rate]]</f>
        <v>0</v>
      </c>
    </row>
    <row r="1335" spans="1:19">
      <c r="A1335" s="201">
        <v>1333</v>
      </c>
      <c r="B1335" s="210" t="str">
        <f>_xlfn.CONCAT(表格3_5[[#This Row],[Name]],表格3_5[[#This Row],[Location]])</f>
        <v/>
      </c>
      <c r="C1335" s="211" t="str">
        <f>表格3_5[[#This Row],[Location]] &amp; 表格3_5[[#This Row],[Date]] &amp;表格3_5[[#This Row],[Nick Name]]</f>
        <v>0</v>
      </c>
      <c r="D1335" s="202"/>
      <c r="E1335" s="211" t="str">
        <f>DAY(表格3_5[[#This Row],[Date]])&amp;""</f>
        <v>0</v>
      </c>
      <c r="F1335" s="203"/>
      <c r="G1335" s="216">
        <f>_xlfn.XLOOKUP(表格3_5[[#This Row],[Name]],Name_list[Full Name],Name_list[Nick Name])</f>
        <v>0</v>
      </c>
      <c r="H1335" s="207"/>
      <c r="I1335" s="228"/>
      <c r="J1335" s="218"/>
      <c r="K1335" s="205"/>
      <c r="L1335" s="210">
        <f>(表格3_5[[#This Row],[Out-Time]] - 表格3_5[[#This Row],[In-Time]])*24</f>
        <v>0</v>
      </c>
      <c r="M1335" s="210">
        <f>表格3_5[[#This Row],[ Hours]]-表格3_5[[#This Row],[Normal working
 hours]]</f>
        <v>0</v>
      </c>
      <c r="N1335" s="205"/>
      <c r="O1335" s="205"/>
      <c r="P1335" s="210">
        <f>(表格3_5[[#This Row],[Out-Time2]] - 表格3_5[[#This Row],[In-Time2]])*24</f>
        <v>0</v>
      </c>
      <c r="Q1335" s="205"/>
      <c r="R1335" s="214">
        <f>_xlfn.XLOOKUP(表格3_5[[#This Row],[Name]],Name_list[Full Name],Name_list[Hourr Rate])</f>
        <v>0</v>
      </c>
      <c r="S1335" s="210">
        <f>表格3_5[[#This Row],[Hours Worked]]*表格3_5[[#This Row],[Hourly Rate]]</f>
        <v>0</v>
      </c>
    </row>
    <row r="1336" spans="1:19">
      <c r="A1336" s="201">
        <v>1334</v>
      </c>
      <c r="B1336" s="210" t="str">
        <f>_xlfn.CONCAT(表格3_5[[#This Row],[Name]],表格3_5[[#This Row],[Location]])</f>
        <v/>
      </c>
      <c r="C1336" s="211" t="str">
        <f>表格3_5[[#This Row],[Location]] &amp; 表格3_5[[#This Row],[Date]] &amp;表格3_5[[#This Row],[Nick Name]]</f>
        <v>0</v>
      </c>
      <c r="D1336" s="202"/>
      <c r="E1336" s="211" t="str">
        <f>DAY(表格3_5[[#This Row],[Date]])&amp;""</f>
        <v>0</v>
      </c>
      <c r="F1336" s="203"/>
      <c r="G1336" s="216">
        <f>_xlfn.XLOOKUP(表格3_5[[#This Row],[Name]],Name_list[Full Name],Name_list[Nick Name])</f>
        <v>0</v>
      </c>
      <c r="H1336" s="207"/>
      <c r="I1336" s="228"/>
      <c r="J1336" s="218"/>
      <c r="K1336" s="205"/>
      <c r="L1336" s="210">
        <f>(表格3_5[[#This Row],[Out-Time]] - 表格3_5[[#This Row],[In-Time]])*24</f>
        <v>0</v>
      </c>
      <c r="M1336" s="210">
        <f>表格3_5[[#This Row],[ Hours]]-表格3_5[[#This Row],[Normal working
 hours]]</f>
        <v>0</v>
      </c>
      <c r="N1336" s="205"/>
      <c r="O1336" s="205"/>
      <c r="P1336" s="210">
        <f>(表格3_5[[#This Row],[Out-Time2]] - 表格3_5[[#This Row],[In-Time2]])*24</f>
        <v>0</v>
      </c>
      <c r="Q1336" s="205"/>
      <c r="R1336" s="214">
        <f>_xlfn.XLOOKUP(表格3_5[[#This Row],[Name]],Name_list[Full Name],Name_list[Hourr Rate])</f>
        <v>0</v>
      </c>
      <c r="S1336" s="210">
        <f>表格3_5[[#This Row],[Hours Worked]]*表格3_5[[#This Row],[Hourly Rate]]</f>
        <v>0</v>
      </c>
    </row>
    <row r="1337" spans="1:19">
      <c r="A1337" s="201">
        <v>1335</v>
      </c>
      <c r="B1337" s="210" t="str">
        <f>_xlfn.CONCAT(表格3_5[[#This Row],[Name]],表格3_5[[#This Row],[Location]])</f>
        <v/>
      </c>
      <c r="C1337" s="211" t="str">
        <f>表格3_5[[#This Row],[Location]] &amp; 表格3_5[[#This Row],[Date]] &amp;表格3_5[[#This Row],[Nick Name]]</f>
        <v>0</v>
      </c>
      <c r="D1337" s="202"/>
      <c r="E1337" s="211" t="str">
        <f>DAY(表格3_5[[#This Row],[Date]])&amp;""</f>
        <v>0</v>
      </c>
      <c r="F1337" s="203"/>
      <c r="G1337" s="216">
        <f>_xlfn.XLOOKUP(表格3_5[[#This Row],[Name]],Name_list[Full Name],Name_list[Nick Name])</f>
        <v>0</v>
      </c>
      <c r="H1337" s="207"/>
      <c r="I1337" s="228"/>
      <c r="J1337" s="218"/>
      <c r="K1337" s="205"/>
      <c r="L1337" s="210">
        <f>(表格3_5[[#This Row],[Out-Time]] - 表格3_5[[#This Row],[In-Time]])*24</f>
        <v>0</v>
      </c>
      <c r="M1337" s="210">
        <f>表格3_5[[#This Row],[ Hours]]-表格3_5[[#This Row],[Normal working
 hours]]</f>
        <v>0</v>
      </c>
      <c r="N1337" s="205"/>
      <c r="O1337" s="205"/>
      <c r="P1337" s="210">
        <f>(表格3_5[[#This Row],[Out-Time2]] - 表格3_5[[#This Row],[In-Time2]])*24</f>
        <v>0</v>
      </c>
      <c r="Q1337" s="205"/>
      <c r="R1337" s="214">
        <f>_xlfn.XLOOKUP(表格3_5[[#This Row],[Name]],Name_list[Full Name],Name_list[Hourr Rate])</f>
        <v>0</v>
      </c>
      <c r="S1337" s="210">
        <f>表格3_5[[#This Row],[Hours Worked]]*表格3_5[[#This Row],[Hourly Rate]]</f>
        <v>0</v>
      </c>
    </row>
    <row r="1338" spans="1:19">
      <c r="A1338" s="201">
        <v>1336</v>
      </c>
      <c r="B1338" s="210" t="str">
        <f>_xlfn.CONCAT(表格3_5[[#This Row],[Name]],表格3_5[[#This Row],[Location]])</f>
        <v/>
      </c>
      <c r="C1338" s="211" t="str">
        <f>表格3_5[[#This Row],[Location]] &amp; 表格3_5[[#This Row],[Date]] &amp;表格3_5[[#This Row],[Nick Name]]</f>
        <v>0</v>
      </c>
      <c r="D1338" s="202"/>
      <c r="E1338" s="211" t="str">
        <f>DAY(表格3_5[[#This Row],[Date]])&amp;""</f>
        <v>0</v>
      </c>
      <c r="F1338" s="203"/>
      <c r="G1338" s="216">
        <f>_xlfn.XLOOKUP(表格3_5[[#This Row],[Name]],Name_list[Full Name],Name_list[Nick Name])</f>
        <v>0</v>
      </c>
      <c r="H1338" s="207"/>
      <c r="I1338" s="228"/>
      <c r="J1338" s="218"/>
      <c r="K1338" s="205"/>
      <c r="L1338" s="210">
        <f>(表格3_5[[#This Row],[Out-Time]] - 表格3_5[[#This Row],[In-Time]])*24</f>
        <v>0</v>
      </c>
      <c r="M1338" s="210">
        <f>表格3_5[[#This Row],[ Hours]]-表格3_5[[#This Row],[Normal working
 hours]]</f>
        <v>0</v>
      </c>
      <c r="N1338" s="205"/>
      <c r="O1338" s="205"/>
      <c r="P1338" s="210">
        <f>(表格3_5[[#This Row],[Out-Time2]] - 表格3_5[[#This Row],[In-Time2]])*24</f>
        <v>0</v>
      </c>
      <c r="Q1338" s="205"/>
      <c r="R1338" s="214">
        <f>_xlfn.XLOOKUP(表格3_5[[#This Row],[Name]],Name_list[Full Name],Name_list[Hourr Rate])</f>
        <v>0</v>
      </c>
      <c r="S1338" s="210">
        <f>表格3_5[[#This Row],[Hours Worked]]*表格3_5[[#This Row],[Hourly Rate]]</f>
        <v>0</v>
      </c>
    </row>
    <row r="1339" spans="1:19">
      <c r="A1339" s="201">
        <v>1337</v>
      </c>
      <c r="B1339" s="210" t="str">
        <f>_xlfn.CONCAT(表格3_5[[#This Row],[Name]],表格3_5[[#This Row],[Location]])</f>
        <v/>
      </c>
      <c r="C1339" s="211" t="str">
        <f>表格3_5[[#This Row],[Location]] &amp; 表格3_5[[#This Row],[Date]] &amp;表格3_5[[#This Row],[Nick Name]]</f>
        <v>0</v>
      </c>
      <c r="D1339" s="202"/>
      <c r="E1339" s="211" t="str">
        <f>DAY(表格3_5[[#This Row],[Date]])&amp;""</f>
        <v>0</v>
      </c>
      <c r="F1339" s="203"/>
      <c r="G1339" s="216">
        <f>_xlfn.XLOOKUP(表格3_5[[#This Row],[Name]],Name_list[Full Name],Name_list[Nick Name])</f>
        <v>0</v>
      </c>
      <c r="H1339" s="207"/>
      <c r="I1339" s="228"/>
      <c r="J1339" s="218"/>
      <c r="K1339" s="205"/>
      <c r="L1339" s="210">
        <f>(表格3_5[[#This Row],[Out-Time]] - 表格3_5[[#This Row],[In-Time]])*24</f>
        <v>0</v>
      </c>
      <c r="M1339" s="210">
        <f>表格3_5[[#This Row],[ Hours]]-表格3_5[[#This Row],[Normal working
 hours]]</f>
        <v>0</v>
      </c>
      <c r="N1339" s="205"/>
      <c r="O1339" s="205"/>
      <c r="P1339" s="210">
        <f>(表格3_5[[#This Row],[Out-Time2]] - 表格3_5[[#This Row],[In-Time2]])*24</f>
        <v>0</v>
      </c>
      <c r="Q1339" s="205"/>
      <c r="R1339" s="214">
        <f>_xlfn.XLOOKUP(表格3_5[[#This Row],[Name]],Name_list[Full Name],Name_list[Hourr Rate])</f>
        <v>0</v>
      </c>
      <c r="S1339" s="210">
        <f>表格3_5[[#This Row],[Hours Worked]]*表格3_5[[#This Row],[Hourly Rate]]</f>
        <v>0</v>
      </c>
    </row>
    <row r="1340" spans="1:19">
      <c r="A1340" s="201">
        <v>1338</v>
      </c>
      <c r="B1340" s="210" t="str">
        <f>_xlfn.CONCAT(表格3_5[[#This Row],[Name]],表格3_5[[#This Row],[Location]])</f>
        <v/>
      </c>
      <c r="C1340" s="211" t="str">
        <f>表格3_5[[#This Row],[Location]] &amp; 表格3_5[[#This Row],[Date]] &amp;表格3_5[[#This Row],[Nick Name]]</f>
        <v>0</v>
      </c>
      <c r="D1340" s="202"/>
      <c r="E1340" s="211" t="str">
        <f>DAY(表格3_5[[#This Row],[Date]])&amp;""</f>
        <v>0</v>
      </c>
      <c r="F1340" s="203"/>
      <c r="G1340" s="216">
        <f>_xlfn.XLOOKUP(表格3_5[[#This Row],[Name]],Name_list[Full Name],Name_list[Nick Name])</f>
        <v>0</v>
      </c>
      <c r="H1340" s="207"/>
      <c r="I1340" s="228"/>
      <c r="J1340" s="218"/>
      <c r="K1340" s="205"/>
      <c r="L1340" s="210">
        <f>(表格3_5[[#This Row],[Out-Time]] - 表格3_5[[#This Row],[In-Time]])*24</f>
        <v>0</v>
      </c>
      <c r="M1340" s="210">
        <f>表格3_5[[#This Row],[ Hours]]-表格3_5[[#This Row],[Normal working
 hours]]</f>
        <v>0</v>
      </c>
      <c r="N1340" s="205"/>
      <c r="O1340" s="205"/>
      <c r="P1340" s="210">
        <f>(表格3_5[[#This Row],[Out-Time2]] - 表格3_5[[#This Row],[In-Time2]])*24</f>
        <v>0</v>
      </c>
      <c r="Q1340" s="205"/>
      <c r="R1340" s="214">
        <f>_xlfn.XLOOKUP(表格3_5[[#This Row],[Name]],Name_list[Full Name],Name_list[Hourr Rate])</f>
        <v>0</v>
      </c>
      <c r="S1340" s="210">
        <f>表格3_5[[#This Row],[Hours Worked]]*表格3_5[[#This Row],[Hourly Rate]]</f>
        <v>0</v>
      </c>
    </row>
    <row r="1341" spans="1:19">
      <c r="A1341" s="201">
        <v>1339</v>
      </c>
      <c r="B1341" s="210" t="str">
        <f>_xlfn.CONCAT(表格3_5[[#This Row],[Name]],表格3_5[[#This Row],[Location]])</f>
        <v/>
      </c>
      <c r="C1341" s="211" t="str">
        <f>表格3_5[[#This Row],[Location]] &amp; 表格3_5[[#This Row],[Date]] &amp;表格3_5[[#This Row],[Nick Name]]</f>
        <v>0</v>
      </c>
      <c r="D1341" s="202"/>
      <c r="E1341" s="211" t="str">
        <f>DAY(表格3_5[[#This Row],[Date]])&amp;""</f>
        <v>0</v>
      </c>
      <c r="F1341" s="203"/>
      <c r="G1341" s="216">
        <f>_xlfn.XLOOKUP(表格3_5[[#This Row],[Name]],Name_list[Full Name],Name_list[Nick Name])</f>
        <v>0</v>
      </c>
      <c r="H1341" s="207"/>
      <c r="I1341" s="228"/>
      <c r="J1341" s="218"/>
      <c r="K1341" s="205"/>
      <c r="L1341" s="210">
        <f>(表格3_5[[#This Row],[Out-Time]] - 表格3_5[[#This Row],[In-Time]])*24</f>
        <v>0</v>
      </c>
      <c r="M1341" s="210">
        <f>表格3_5[[#This Row],[ Hours]]-表格3_5[[#This Row],[Normal working
 hours]]</f>
        <v>0</v>
      </c>
      <c r="N1341" s="205"/>
      <c r="O1341" s="205"/>
      <c r="P1341" s="210">
        <f>(表格3_5[[#This Row],[Out-Time2]] - 表格3_5[[#This Row],[In-Time2]])*24</f>
        <v>0</v>
      </c>
      <c r="Q1341" s="205"/>
      <c r="R1341" s="214">
        <f>_xlfn.XLOOKUP(表格3_5[[#This Row],[Name]],Name_list[Full Name],Name_list[Hourr Rate])</f>
        <v>0</v>
      </c>
      <c r="S1341" s="210">
        <f>表格3_5[[#This Row],[Hours Worked]]*表格3_5[[#This Row],[Hourly Rate]]</f>
        <v>0</v>
      </c>
    </row>
    <row r="1342" spans="1:19">
      <c r="A1342" s="201">
        <v>1340</v>
      </c>
      <c r="B1342" s="210" t="str">
        <f>_xlfn.CONCAT(表格3_5[[#This Row],[Name]],表格3_5[[#This Row],[Location]])</f>
        <v/>
      </c>
      <c r="C1342" s="211" t="str">
        <f>表格3_5[[#This Row],[Location]] &amp; 表格3_5[[#This Row],[Date]] &amp;表格3_5[[#This Row],[Nick Name]]</f>
        <v>0</v>
      </c>
      <c r="D1342" s="202"/>
      <c r="E1342" s="211" t="str">
        <f>DAY(表格3_5[[#This Row],[Date]])&amp;""</f>
        <v>0</v>
      </c>
      <c r="F1342" s="203"/>
      <c r="G1342" s="216">
        <f>_xlfn.XLOOKUP(表格3_5[[#This Row],[Name]],Name_list[Full Name],Name_list[Nick Name])</f>
        <v>0</v>
      </c>
      <c r="H1342" s="207"/>
      <c r="I1342" s="228"/>
      <c r="J1342" s="218"/>
      <c r="K1342" s="205"/>
      <c r="L1342" s="210">
        <f>(表格3_5[[#This Row],[Out-Time]] - 表格3_5[[#This Row],[In-Time]])*24</f>
        <v>0</v>
      </c>
      <c r="M1342" s="210">
        <f>表格3_5[[#This Row],[ Hours]]-表格3_5[[#This Row],[Normal working
 hours]]</f>
        <v>0</v>
      </c>
      <c r="N1342" s="205"/>
      <c r="O1342" s="205"/>
      <c r="P1342" s="210">
        <f>(表格3_5[[#This Row],[Out-Time2]] - 表格3_5[[#This Row],[In-Time2]])*24</f>
        <v>0</v>
      </c>
      <c r="Q1342" s="205"/>
      <c r="R1342" s="214">
        <f>_xlfn.XLOOKUP(表格3_5[[#This Row],[Name]],Name_list[Full Name],Name_list[Hourr Rate])</f>
        <v>0</v>
      </c>
      <c r="S1342" s="210">
        <f>表格3_5[[#This Row],[Hours Worked]]*表格3_5[[#This Row],[Hourly Rate]]</f>
        <v>0</v>
      </c>
    </row>
    <row r="1343" spans="1:19">
      <c r="A1343" s="201">
        <v>1341</v>
      </c>
      <c r="B1343" s="210" t="str">
        <f>_xlfn.CONCAT(表格3_5[[#This Row],[Name]],表格3_5[[#This Row],[Location]])</f>
        <v/>
      </c>
      <c r="C1343" s="211" t="str">
        <f>表格3_5[[#This Row],[Location]] &amp; 表格3_5[[#This Row],[Date]] &amp;表格3_5[[#This Row],[Nick Name]]</f>
        <v>0</v>
      </c>
      <c r="D1343" s="202"/>
      <c r="E1343" s="211" t="str">
        <f>DAY(表格3_5[[#This Row],[Date]])&amp;""</f>
        <v>0</v>
      </c>
      <c r="F1343" s="203"/>
      <c r="G1343" s="216">
        <f>_xlfn.XLOOKUP(表格3_5[[#This Row],[Name]],Name_list[Full Name],Name_list[Nick Name])</f>
        <v>0</v>
      </c>
      <c r="H1343" s="207"/>
      <c r="I1343" s="228"/>
      <c r="J1343" s="218"/>
      <c r="K1343" s="205"/>
      <c r="L1343" s="210">
        <f>(表格3_5[[#This Row],[Out-Time]] - 表格3_5[[#This Row],[In-Time]])*24</f>
        <v>0</v>
      </c>
      <c r="M1343" s="210">
        <f>表格3_5[[#This Row],[ Hours]]-表格3_5[[#This Row],[Normal working
 hours]]</f>
        <v>0</v>
      </c>
      <c r="N1343" s="205"/>
      <c r="O1343" s="205"/>
      <c r="P1343" s="210">
        <f>(表格3_5[[#This Row],[Out-Time2]] - 表格3_5[[#This Row],[In-Time2]])*24</f>
        <v>0</v>
      </c>
      <c r="Q1343" s="205"/>
      <c r="R1343" s="214">
        <f>_xlfn.XLOOKUP(表格3_5[[#This Row],[Name]],Name_list[Full Name],Name_list[Hourr Rate])</f>
        <v>0</v>
      </c>
      <c r="S1343" s="210">
        <f>表格3_5[[#This Row],[Hours Worked]]*表格3_5[[#This Row],[Hourly Rate]]</f>
        <v>0</v>
      </c>
    </row>
    <row r="1344" spans="1:19">
      <c r="A1344" s="201">
        <v>1342</v>
      </c>
      <c r="B1344" s="210" t="str">
        <f>_xlfn.CONCAT(表格3_5[[#This Row],[Name]],表格3_5[[#This Row],[Location]])</f>
        <v/>
      </c>
      <c r="C1344" s="211" t="str">
        <f>表格3_5[[#This Row],[Location]] &amp; 表格3_5[[#This Row],[Date]] &amp;表格3_5[[#This Row],[Nick Name]]</f>
        <v>0</v>
      </c>
      <c r="D1344" s="202"/>
      <c r="E1344" s="211" t="str">
        <f>DAY(表格3_5[[#This Row],[Date]])&amp;""</f>
        <v>0</v>
      </c>
      <c r="F1344" s="203"/>
      <c r="G1344" s="216">
        <f>_xlfn.XLOOKUP(表格3_5[[#This Row],[Name]],Name_list[Full Name],Name_list[Nick Name])</f>
        <v>0</v>
      </c>
      <c r="H1344" s="207"/>
      <c r="I1344" s="228"/>
      <c r="J1344" s="218"/>
      <c r="K1344" s="205"/>
      <c r="L1344" s="210">
        <f>(表格3_5[[#This Row],[Out-Time]] - 表格3_5[[#This Row],[In-Time]])*24</f>
        <v>0</v>
      </c>
      <c r="M1344" s="210">
        <f>表格3_5[[#This Row],[ Hours]]-表格3_5[[#This Row],[Normal working
 hours]]</f>
        <v>0</v>
      </c>
      <c r="N1344" s="205"/>
      <c r="O1344" s="205"/>
      <c r="P1344" s="210">
        <f>(表格3_5[[#This Row],[Out-Time2]] - 表格3_5[[#This Row],[In-Time2]])*24</f>
        <v>0</v>
      </c>
      <c r="Q1344" s="205"/>
      <c r="R1344" s="214">
        <f>_xlfn.XLOOKUP(表格3_5[[#This Row],[Name]],Name_list[Full Name],Name_list[Hourr Rate])</f>
        <v>0</v>
      </c>
      <c r="S1344" s="210">
        <f>表格3_5[[#This Row],[Hours Worked]]*表格3_5[[#This Row],[Hourly Rate]]</f>
        <v>0</v>
      </c>
    </row>
    <row r="1345" spans="1:19">
      <c r="A1345" s="201">
        <v>1343</v>
      </c>
      <c r="B1345" s="210" t="str">
        <f>_xlfn.CONCAT(表格3_5[[#This Row],[Name]],表格3_5[[#This Row],[Location]])</f>
        <v/>
      </c>
      <c r="C1345" s="211" t="str">
        <f>表格3_5[[#This Row],[Location]] &amp; 表格3_5[[#This Row],[Date]] &amp;表格3_5[[#This Row],[Nick Name]]</f>
        <v>0</v>
      </c>
      <c r="D1345" s="202"/>
      <c r="E1345" s="211" t="str">
        <f>DAY(表格3_5[[#This Row],[Date]])&amp;""</f>
        <v>0</v>
      </c>
      <c r="F1345" s="203"/>
      <c r="G1345" s="216">
        <f>_xlfn.XLOOKUP(表格3_5[[#This Row],[Name]],Name_list[Full Name],Name_list[Nick Name])</f>
        <v>0</v>
      </c>
      <c r="H1345" s="207"/>
      <c r="I1345" s="228"/>
      <c r="J1345" s="218"/>
      <c r="K1345" s="205"/>
      <c r="L1345" s="210">
        <f>(表格3_5[[#This Row],[Out-Time]] - 表格3_5[[#This Row],[In-Time]])*24</f>
        <v>0</v>
      </c>
      <c r="M1345" s="210">
        <f>表格3_5[[#This Row],[ Hours]]-表格3_5[[#This Row],[Normal working
 hours]]</f>
        <v>0</v>
      </c>
      <c r="N1345" s="205"/>
      <c r="O1345" s="205"/>
      <c r="P1345" s="210">
        <f>(表格3_5[[#This Row],[Out-Time2]] - 表格3_5[[#This Row],[In-Time2]])*24</f>
        <v>0</v>
      </c>
      <c r="Q1345" s="205"/>
      <c r="R1345" s="214">
        <f>_xlfn.XLOOKUP(表格3_5[[#This Row],[Name]],Name_list[Full Name],Name_list[Hourr Rate])</f>
        <v>0</v>
      </c>
      <c r="S1345" s="210">
        <f>表格3_5[[#This Row],[Hours Worked]]*表格3_5[[#This Row],[Hourly Rate]]</f>
        <v>0</v>
      </c>
    </row>
    <row r="1346" spans="1:19">
      <c r="A1346" s="201">
        <v>1344</v>
      </c>
      <c r="B1346" s="210" t="str">
        <f>_xlfn.CONCAT(表格3_5[[#This Row],[Name]],表格3_5[[#This Row],[Location]])</f>
        <v/>
      </c>
      <c r="C1346" s="211" t="str">
        <f>表格3_5[[#This Row],[Location]] &amp; 表格3_5[[#This Row],[Date]] &amp;表格3_5[[#This Row],[Nick Name]]</f>
        <v>0</v>
      </c>
      <c r="D1346" s="202"/>
      <c r="E1346" s="211" t="str">
        <f>DAY(表格3_5[[#This Row],[Date]])&amp;""</f>
        <v>0</v>
      </c>
      <c r="F1346" s="203"/>
      <c r="G1346" s="216">
        <f>_xlfn.XLOOKUP(表格3_5[[#This Row],[Name]],Name_list[Full Name],Name_list[Nick Name])</f>
        <v>0</v>
      </c>
      <c r="H1346" s="207"/>
      <c r="I1346" s="228"/>
      <c r="J1346" s="218"/>
      <c r="K1346" s="205"/>
      <c r="L1346" s="210">
        <f>(表格3_5[[#This Row],[Out-Time]] - 表格3_5[[#This Row],[In-Time]])*24</f>
        <v>0</v>
      </c>
      <c r="M1346" s="210">
        <f>表格3_5[[#This Row],[ Hours]]-表格3_5[[#This Row],[Normal working
 hours]]</f>
        <v>0</v>
      </c>
      <c r="N1346" s="205"/>
      <c r="O1346" s="205"/>
      <c r="P1346" s="210">
        <f>(表格3_5[[#This Row],[Out-Time2]] - 表格3_5[[#This Row],[In-Time2]])*24</f>
        <v>0</v>
      </c>
      <c r="Q1346" s="205"/>
      <c r="R1346" s="214">
        <f>_xlfn.XLOOKUP(表格3_5[[#This Row],[Name]],Name_list[Full Name],Name_list[Hourr Rate])</f>
        <v>0</v>
      </c>
      <c r="S1346" s="210">
        <f>表格3_5[[#This Row],[Hours Worked]]*表格3_5[[#This Row],[Hourly Rate]]</f>
        <v>0</v>
      </c>
    </row>
    <row r="1347" spans="1:19">
      <c r="A1347" s="201">
        <v>1345</v>
      </c>
      <c r="B1347" s="210" t="str">
        <f>_xlfn.CONCAT(表格3_5[[#This Row],[Name]],表格3_5[[#This Row],[Location]])</f>
        <v/>
      </c>
      <c r="C1347" s="211" t="str">
        <f>表格3_5[[#This Row],[Location]] &amp; 表格3_5[[#This Row],[Date]] &amp;表格3_5[[#This Row],[Nick Name]]</f>
        <v>0</v>
      </c>
      <c r="D1347" s="202"/>
      <c r="E1347" s="211" t="str">
        <f>DAY(表格3_5[[#This Row],[Date]])&amp;""</f>
        <v>0</v>
      </c>
      <c r="F1347" s="203"/>
      <c r="G1347" s="216">
        <f>_xlfn.XLOOKUP(表格3_5[[#This Row],[Name]],Name_list[Full Name],Name_list[Nick Name])</f>
        <v>0</v>
      </c>
      <c r="H1347" s="207"/>
      <c r="I1347" s="228"/>
      <c r="J1347" s="218"/>
      <c r="K1347" s="205"/>
      <c r="L1347" s="210">
        <f>(表格3_5[[#This Row],[Out-Time]] - 表格3_5[[#This Row],[In-Time]])*24</f>
        <v>0</v>
      </c>
      <c r="M1347" s="210">
        <f>表格3_5[[#This Row],[ Hours]]-表格3_5[[#This Row],[Normal working
 hours]]</f>
        <v>0</v>
      </c>
      <c r="N1347" s="205"/>
      <c r="O1347" s="205"/>
      <c r="P1347" s="210">
        <f>(表格3_5[[#This Row],[Out-Time2]] - 表格3_5[[#This Row],[In-Time2]])*24</f>
        <v>0</v>
      </c>
      <c r="Q1347" s="205"/>
      <c r="R1347" s="214">
        <f>_xlfn.XLOOKUP(表格3_5[[#This Row],[Name]],Name_list[Full Name],Name_list[Hourr Rate])</f>
        <v>0</v>
      </c>
      <c r="S1347" s="210">
        <f>表格3_5[[#This Row],[Hours Worked]]*表格3_5[[#This Row],[Hourly Rate]]</f>
        <v>0</v>
      </c>
    </row>
    <row r="1348" spans="1:19">
      <c r="A1348" s="201">
        <v>1346</v>
      </c>
      <c r="B1348" s="210" t="str">
        <f>_xlfn.CONCAT(表格3_5[[#This Row],[Name]],表格3_5[[#This Row],[Location]])</f>
        <v/>
      </c>
      <c r="C1348" s="211" t="str">
        <f>表格3_5[[#This Row],[Location]] &amp; 表格3_5[[#This Row],[Date]] &amp;表格3_5[[#This Row],[Nick Name]]</f>
        <v>0</v>
      </c>
      <c r="D1348" s="202"/>
      <c r="E1348" s="211" t="str">
        <f>DAY(表格3_5[[#This Row],[Date]])&amp;""</f>
        <v>0</v>
      </c>
      <c r="F1348" s="203"/>
      <c r="G1348" s="216">
        <f>_xlfn.XLOOKUP(表格3_5[[#This Row],[Name]],Name_list[Full Name],Name_list[Nick Name])</f>
        <v>0</v>
      </c>
      <c r="H1348" s="207"/>
      <c r="I1348" s="228"/>
      <c r="J1348" s="218"/>
      <c r="K1348" s="205"/>
      <c r="L1348" s="210">
        <f>(表格3_5[[#This Row],[Out-Time]] - 表格3_5[[#This Row],[In-Time]])*24</f>
        <v>0</v>
      </c>
      <c r="M1348" s="210">
        <f>表格3_5[[#This Row],[ Hours]]-表格3_5[[#This Row],[Normal working
 hours]]</f>
        <v>0</v>
      </c>
      <c r="N1348" s="205"/>
      <c r="O1348" s="205"/>
      <c r="P1348" s="210">
        <f>(表格3_5[[#This Row],[Out-Time2]] - 表格3_5[[#This Row],[In-Time2]])*24</f>
        <v>0</v>
      </c>
      <c r="Q1348" s="205"/>
      <c r="R1348" s="214">
        <f>_xlfn.XLOOKUP(表格3_5[[#This Row],[Name]],Name_list[Full Name],Name_list[Hourr Rate])</f>
        <v>0</v>
      </c>
      <c r="S1348" s="210">
        <f>表格3_5[[#This Row],[Hours Worked]]*表格3_5[[#This Row],[Hourly Rate]]</f>
        <v>0</v>
      </c>
    </row>
    <row r="1349" spans="1:19">
      <c r="A1349" s="201">
        <v>1347</v>
      </c>
      <c r="B1349" s="210" t="str">
        <f>_xlfn.CONCAT(表格3_5[[#This Row],[Name]],表格3_5[[#This Row],[Location]])</f>
        <v/>
      </c>
      <c r="C1349" s="211" t="str">
        <f>表格3_5[[#This Row],[Location]] &amp; 表格3_5[[#This Row],[Date]] &amp;表格3_5[[#This Row],[Nick Name]]</f>
        <v>0</v>
      </c>
      <c r="D1349" s="202"/>
      <c r="E1349" s="211" t="str">
        <f>DAY(表格3_5[[#This Row],[Date]])&amp;""</f>
        <v>0</v>
      </c>
      <c r="F1349" s="203"/>
      <c r="G1349" s="216">
        <f>_xlfn.XLOOKUP(表格3_5[[#This Row],[Name]],Name_list[Full Name],Name_list[Nick Name])</f>
        <v>0</v>
      </c>
      <c r="H1349" s="207"/>
      <c r="I1349" s="228"/>
      <c r="J1349" s="218"/>
      <c r="K1349" s="205"/>
      <c r="L1349" s="210">
        <f>(表格3_5[[#This Row],[Out-Time]] - 表格3_5[[#This Row],[In-Time]])*24</f>
        <v>0</v>
      </c>
      <c r="M1349" s="210">
        <f>表格3_5[[#This Row],[ Hours]]-表格3_5[[#This Row],[Normal working
 hours]]</f>
        <v>0</v>
      </c>
      <c r="N1349" s="205"/>
      <c r="O1349" s="205"/>
      <c r="P1349" s="210">
        <f>(表格3_5[[#This Row],[Out-Time2]] - 表格3_5[[#This Row],[In-Time2]])*24</f>
        <v>0</v>
      </c>
      <c r="Q1349" s="205"/>
      <c r="R1349" s="214">
        <f>_xlfn.XLOOKUP(表格3_5[[#This Row],[Name]],Name_list[Full Name],Name_list[Hourr Rate])</f>
        <v>0</v>
      </c>
      <c r="S1349" s="210">
        <f>表格3_5[[#This Row],[Hours Worked]]*表格3_5[[#This Row],[Hourly Rate]]</f>
        <v>0</v>
      </c>
    </row>
    <row r="1350" spans="1:19">
      <c r="A1350" s="201">
        <v>1348</v>
      </c>
      <c r="B1350" s="210" t="str">
        <f>_xlfn.CONCAT(表格3_5[[#This Row],[Name]],表格3_5[[#This Row],[Location]])</f>
        <v/>
      </c>
      <c r="C1350" s="211" t="str">
        <f>表格3_5[[#This Row],[Location]] &amp; 表格3_5[[#This Row],[Date]] &amp;表格3_5[[#This Row],[Nick Name]]</f>
        <v>0</v>
      </c>
      <c r="D1350" s="202"/>
      <c r="E1350" s="211" t="str">
        <f>DAY(表格3_5[[#This Row],[Date]])&amp;""</f>
        <v>0</v>
      </c>
      <c r="F1350" s="203"/>
      <c r="G1350" s="216">
        <f>_xlfn.XLOOKUP(表格3_5[[#This Row],[Name]],Name_list[Full Name],Name_list[Nick Name])</f>
        <v>0</v>
      </c>
      <c r="H1350" s="207"/>
      <c r="I1350" s="228"/>
      <c r="J1350" s="218"/>
      <c r="K1350" s="205"/>
      <c r="L1350" s="210">
        <f>(表格3_5[[#This Row],[Out-Time]] - 表格3_5[[#This Row],[In-Time]])*24</f>
        <v>0</v>
      </c>
      <c r="M1350" s="210">
        <f>表格3_5[[#This Row],[ Hours]]-表格3_5[[#This Row],[Normal working
 hours]]</f>
        <v>0</v>
      </c>
      <c r="N1350" s="205"/>
      <c r="O1350" s="205"/>
      <c r="P1350" s="210">
        <f>(表格3_5[[#This Row],[Out-Time2]] - 表格3_5[[#This Row],[In-Time2]])*24</f>
        <v>0</v>
      </c>
      <c r="Q1350" s="205"/>
      <c r="R1350" s="214">
        <f>_xlfn.XLOOKUP(表格3_5[[#This Row],[Name]],Name_list[Full Name],Name_list[Hourr Rate])</f>
        <v>0</v>
      </c>
      <c r="S1350" s="210">
        <f>表格3_5[[#This Row],[Hours Worked]]*表格3_5[[#This Row],[Hourly Rate]]</f>
        <v>0</v>
      </c>
    </row>
    <row r="1351" spans="1:19">
      <c r="A1351" s="201">
        <v>1349</v>
      </c>
      <c r="B1351" s="210" t="str">
        <f>_xlfn.CONCAT(表格3_5[[#This Row],[Name]],表格3_5[[#This Row],[Location]])</f>
        <v/>
      </c>
      <c r="C1351" s="211" t="str">
        <f>表格3_5[[#This Row],[Location]] &amp; 表格3_5[[#This Row],[Date]] &amp;表格3_5[[#This Row],[Nick Name]]</f>
        <v>0</v>
      </c>
      <c r="D1351" s="202"/>
      <c r="E1351" s="211" t="str">
        <f>DAY(表格3_5[[#This Row],[Date]])&amp;""</f>
        <v>0</v>
      </c>
      <c r="F1351" s="203"/>
      <c r="G1351" s="216">
        <f>_xlfn.XLOOKUP(表格3_5[[#This Row],[Name]],Name_list[Full Name],Name_list[Nick Name])</f>
        <v>0</v>
      </c>
      <c r="H1351" s="207"/>
      <c r="I1351" s="228"/>
      <c r="J1351" s="218"/>
      <c r="K1351" s="205"/>
      <c r="L1351" s="210">
        <f>(表格3_5[[#This Row],[Out-Time]] - 表格3_5[[#This Row],[In-Time]])*24</f>
        <v>0</v>
      </c>
      <c r="M1351" s="210">
        <f>表格3_5[[#This Row],[ Hours]]-表格3_5[[#This Row],[Normal working
 hours]]</f>
        <v>0</v>
      </c>
      <c r="N1351" s="205"/>
      <c r="O1351" s="205"/>
      <c r="P1351" s="210">
        <f>(表格3_5[[#This Row],[Out-Time2]] - 表格3_5[[#This Row],[In-Time2]])*24</f>
        <v>0</v>
      </c>
      <c r="Q1351" s="205"/>
      <c r="R1351" s="214">
        <f>_xlfn.XLOOKUP(表格3_5[[#This Row],[Name]],Name_list[Full Name],Name_list[Hourr Rate])</f>
        <v>0</v>
      </c>
      <c r="S1351" s="210">
        <f>表格3_5[[#This Row],[Hours Worked]]*表格3_5[[#This Row],[Hourly Rate]]</f>
        <v>0</v>
      </c>
    </row>
    <row r="1352" spans="1:19">
      <c r="A1352" s="201">
        <v>1350</v>
      </c>
      <c r="B1352" s="210" t="str">
        <f>_xlfn.CONCAT(表格3_5[[#This Row],[Name]],表格3_5[[#This Row],[Location]])</f>
        <v/>
      </c>
      <c r="C1352" s="211" t="str">
        <f>表格3_5[[#This Row],[Location]] &amp; 表格3_5[[#This Row],[Date]] &amp;表格3_5[[#This Row],[Nick Name]]</f>
        <v>0</v>
      </c>
      <c r="D1352" s="202"/>
      <c r="E1352" s="211" t="str">
        <f>DAY(表格3_5[[#This Row],[Date]])&amp;""</f>
        <v>0</v>
      </c>
      <c r="F1352" s="203"/>
      <c r="G1352" s="216">
        <f>_xlfn.XLOOKUP(表格3_5[[#This Row],[Name]],Name_list[Full Name],Name_list[Nick Name])</f>
        <v>0</v>
      </c>
      <c r="H1352" s="207"/>
      <c r="I1352" s="228"/>
      <c r="J1352" s="218"/>
      <c r="K1352" s="205"/>
      <c r="L1352" s="210">
        <f>(表格3_5[[#This Row],[Out-Time]] - 表格3_5[[#This Row],[In-Time]])*24</f>
        <v>0</v>
      </c>
      <c r="M1352" s="210">
        <f>表格3_5[[#This Row],[ Hours]]-表格3_5[[#This Row],[Normal working
 hours]]</f>
        <v>0</v>
      </c>
      <c r="N1352" s="205"/>
      <c r="O1352" s="205"/>
      <c r="P1352" s="210">
        <f>(表格3_5[[#This Row],[Out-Time2]] - 表格3_5[[#This Row],[In-Time2]])*24</f>
        <v>0</v>
      </c>
      <c r="Q1352" s="205"/>
      <c r="R1352" s="214">
        <f>_xlfn.XLOOKUP(表格3_5[[#This Row],[Name]],Name_list[Full Name],Name_list[Hourr Rate])</f>
        <v>0</v>
      </c>
      <c r="S1352" s="210">
        <f>表格3_5[[#This Row],[Hours Worked]]*表格3_5[[#This Row],[Hourly Rate]]</f>
        <v>0</v>
      </c>
    </row>
    <row r="1353" spans="1:19">
      <c r="A1353" s="201">
        <v>1351</v>
      </c>
      <c r="B1353" s="210" t="str">
        <f>_xlfn.CONCAT(表格3_5[[#This Row],[Name]],表格3_5[[#This Row],[Location]])</f>
        <v/>
      </c>
      <c r="C1353" s="211" t="str">
        <f>表格3_5[[#This Row],[Location]] &amp; 表格3_5[[#This Row],[Date]] &amp;表格3_5[[#This Row],[Nick Name]]</f>
        <v>0</v>
      </c>
      <c r="D1353" s="202"/>
      <c r="E1353" s="211" t="str">
        <f>DAY(表格3_5[[#This Row],[Date]])&amp;""</f>
        <v>0</v>
      </c>
      <c r="F1353" s="203"/>
      <c r="G1353" s="216">
        <f>_xlfn.XLOOKUP(表格3_5[[#This Row],[Name]],Name_list[Full Name],Name_list[Nick Name])</f>
        <v>0</v>
      </c>
      <c r="H1353" s="207"/>
      <c r="I1353" s="228"/>
      <c r="J1353" s="218"/>
      <c r="K1353" s="205"/>
      <c r="L1353" s="210">
        <f>(表格3_5[[#This Row],[Out-Time]] - 表格3_5[[#This Row],[In-Time]])*24</f>
        <v>0</v>
      </c>
      <c r="M1353" s="210">
        <f>表格3_5[[#This Row],[ Hours]]-表格3_5[[#This Row],[Normal working
 hours]]</f>
        <v>0</v>
      </c>
      <c r="N1353" s="205"/>
      <c r="O1353" s="205"/>
      <c r="P1353" s="210">
        <f>(表格3_5[[#This Row],[Out-Time2]] - 表格3_5[[#This Row],[In-Time2]])*24</f>
        <v>0</v>
      </c>
      <c r="Q1353" s="205"/>
      <c r="R1353" s="214">
        <f>_xlfn.XLOOKUP(表格3_5[[#This Row],[Name]],Name_list[Full Name],Name_list[Hourr Rate])</f>
        <v>0</v>
      </c>
      <c r="S1353" s="210">
        <f>表格3_5[[#This Row],[Hours Worked]]*表格3_5[[#This Row],[Hourly Rate]]</f>
        <v>0</v>
      </c>
    </row>
    <row r="1354" spans="1:19">
      <c r="A1354" s="201">
        <v>1352</v>
      </c>
      <c r="B1354" s="210" t="str">
        <f>_xlfn.CONCAT(表格3_5[[#This Row],[Name]],表格3_5[[#This Row],[Location]])</f>
        <v/>
      </c>
      <c r="C1354" s="211" t="str">
        <f>表格3_5[[#This Row],[Location]] &amp; 表格3_5[[#This Row],[Date]] &amp;表格3_5[[#This Row],[Nick Name]]</f>
        <v>0</v>
      </c>
      <c r="D1354" s="202"/>
      <c r="E1354" s="211" t="str">
        <f>DAY(表格3_5[[#This Row],[Date]])&amp;""</f>
        <v>0</v>
      </c>
      <c r="F1354" s="203"/>
      <c r="G1354" s="216">
        <f>_xlfn.XLOOKUP(表格3_5[[#This Row],[Name]],Name_list[Full Name],Name_list[Nick Name])</f>
        <v>0</v>
      </c>
      <c r="H1354" s="207"/>
      <c r="I1354" s="228"/>
      <c r="J1354" s="218"/>
      <c r="K1354" s="205"/>
      <c r="L1354" s="210">
        <f>(表格3_5[[#This Row],[Out-Time]] - 表格3_5[[#This Row],[In-Time]])*24</f>
        <v>0</v>
      </c>
      <c r="M1354" s="210">
        <f>表格3_5[[#This Row],[ Hours]]-表格3_5[[#This Row],[Normal working
 hours]]</f>
        <v>0</v>
      </c>
      <c r="N1354" s="205"/>
      <c r="O1354" s="205"/>
      <c r="P1354" s="210">
        <f>(表格3_5[[#This Row],[Out-Time2]] - 表格3_5[[#This Row],[In-Time2]])*24</f>
        <v>0</v>
      </c>
      <c r="Q1354" s="205"/>
      <c r="R1354" s="214">
        <f>_xlfn.XLOOKUP(表格3_5[[#This Row],[Name]],Name_list[Full Name],Name_list[Hourr Rate])</f>
        <v>0</v>
      </c>
      <c r="S1354" s="210">
        <f>表格3_5[[#This Row],[Hours Worked]]*表格3_5[[#This Row],[Hourly Rate]]</f>
        <v>0</v>
      </c>
    </row>
    <row r="1355" spans="1:19">
      <c r="A1355" s="201">
        <v>1353</v>
      </c>
      <c r="B1355" s="210" t="str">
        <f>_xlfn.CONCAT(表格3_5[[#This Row],[Name]],表格3_5[[#This Row],[Location]])</f>
        <v/>
      </c>
      <c r="C1355" s="211" t="str">
        <f>表格3_5[[#This Row],[Location]] &amp; 表格3_5[[#This Row],[Date]] &amp;表格3_5[[#This Row],[Nick Name]]</f>
        <v>0</v>
      </c>
      <c r="D1355" s="202"/>
      <c r="E1355" s="211" t="str">
        <f>DAY(表格3_5[[#This Row],[Date]])&amp;""</f>
        <v>0</v>
      </c>
      <c r="F1355" s="203"/>
      <c r="G1355" s="216">
        <f>_xlfn.XLOOKUP(表格3_5[[#This Row],[Name]],Name_list[Full Name],Name_list[Nick Name])</f>
        <v>0</v>
      </c>
      <c r="H1355" s="207"/>
      <c r="I1355" s="228"/>
      <c r="J1355" s="218"/>
      <c r="K1355" s="205"/>
      <c r="L1355" s="210">
        <f>(表格3_5[[#This Row],[Out-Time]] - 表格3_5[[#This Row],[In-Time]])*24</f>
        <v>0</v>
      </c>
      <c r="M1355" s="210">
        <f>表格3_5[[#This Row],[ Hours]]-表格3_5[[#This Row],[Normal working
 hours]]</f>
        <v>0</v>
      </c>
      <c r="N1355" s="205"/>
      <c r="O1355" s="205"/>
      <c r="P1355" s="210">
        <f>(表格3_5[[#This Row],[Out-Time2]] - 表格3_5[[#This Row],[In-Time2]])*24</f>
        <v>0</v>
      </c>
      <c r="Q1355" s="205"/>
      <c r="R1355" s="214">
        <f>_xlfn.XLOOKUP(表格3_5[[#This Row],[Name]],Name_list[Full Name],Name_list[Hourr Rate])</f>
        <v>0</v>
      </c>
      <c r="S1355" s="210">
        <f>表格3_5[[#This Row],[Hours Worked]]*表格3_5[[#This Row],[Hourly Rate]]</f>
        <v>0</v>
      </c>
    </row>
    <row r="1356" spans="1:19">
      <c r="A1356" s="201">
        <v>1354</v>
      </c>
      <c r="B1356" s="210" t="str">
        <f>_xlfn.CONCAT(表格3_5[[#This Row],[Name]],表格3_5[[#This Row],[Location]])</f>
        <v/>
      </c>
      <c r="C1356" s="211" t="str">
        <f>表格3_5[[#This Row],[Location]] &amp; 表格3_5[[#This Row],[Date]] &amp;表格3_5[[#This Row],[Nick Name]]</f>
        <v>0</v>
      </c>
      <c r="D1356" s="202"/>
      <c r="E1356" s="211" t="str">
        <f>DAY(表格3_5[[#This Row],[Date]])&amp;""</f>
        <v>0</v>
      </c>
      <c r="F1356" s="203"/>
      <c r="G1356" s="216">
        <f>_xlfn.XLOOKUP(表格3_5[[#This Row],[Name]],Name_list[Full Name],Name_list[Nick Name])</f>
        <v>0</v>
      </c>
      <c r="H1356" s="207"/>
      <c r="I1356" s="228"/>
      <c r="J1356" s="218"/>
      <c r="K1356" s="205"/>
      <c r="L1356" s="210">
        <f>(表格3_5[[#This Row],[Out-Time]] - 表格3_5[[#This Row],[In-Time]])*24</f>
        <v>0</v>
      </c>
      <c r="M1356" s="210">
        <f>表格3_5[[#This Row],[ Hours]]-表格3_5[[#This Row],[Normal working
 hours]]</f>
        <v>0</v>
      </c>
      <c r="N1356" s="205"/>
      <c r="O1356" s="205"/>
      <c r="P1356" s="210">
        <f>(表格3_5[[#This Row],[Out-Time2]] - 表格3_5[[#This Row],[In-Time2]])*24</f>
        <v>0</v>
      </c>
      <c r="Q1356" s="205"/>
      <c r="R1356" s="214">
        <f>_xlfn.XLOOKUP(表格3_5[[#This Row],[Name]],Name_list[Full Name],Name_list[Hourr Rate])</f>
        <v>0</v>
      </c>
      <c r="S1356" s="210">
        <f>表格3_5[[#This Row],[Hours Worked]]*表格3_5[[#This Row],[Hourly Rate]]</f>
        <v>0</v>
      </c>
    </row>
    <row r="1357" spans="1:19">
      <c r="A1357" s="201">
        <v>1355</v>
      </c>
      <c r="B1357" s="210" t="str">
        <f>_xlfn.CONCAT(表格3_5[[#This Row],[Name]],表格3_5[[#This Row],[Location]])</f>
        <v/>
      </c>
      <c r="C1357" s="211" t="str">
        <f>表格3_5[[#This Row],[Location]] &amp; 表格3_5[[#This Row],[Date]] &amp;表格3_5[[#This Row],[Nick Name]]</f>
        <v>0</v>
      </c>
      <c r="D1357" s="202"/>
      <c r="E1357" s="211" t="str">
        <f>DAY(表格3_5[[#This Row],[Date]])&amp;""</f>
        <v>0</v>
      </c>
      <c r="F1357" s="203"/>
      <c r="G1357" s="216">
        <f>_xlfn.XLOOKUP(表格3_5[[#This Row],[Name]],Name_list[Full Name],Name_list[Nick Name])</f>
        <v>0</v>
      </c>
      <c r="H1357" s="207"/>
      <c r="I1357" s="228"/>
      <c r="J1357" s="218"/>
      <c r="K1357" s="205"/>
      <c r="L1357" s="210">
        <f>(表格3_5[[#This Row],[Out-Time]] - 表格3_5[[#This Row],[In-Time]])*24</f>
        <v>0</v>
      </c>
      <c r="M1357" s="210">
        <f>表格3_5[[#This Row],[ Hours]]-表格3_5[[#This Row],[Normal working
 hours]]</f>
        <v>0</v>
      </c>
      <c r="N1357" s="205"/>
      <c r="O1357" s="205"/>
      <c r="P1357" s="210">
        <f>(表格3_5[[#This Row],[Out-Time2]] - 表格3_5[[#This Row],[In-Time2]])*24</f>
        <v>0</v>
      </c>
      <c r="Q1357" s="205"/>
      <c r="R1357" s="214">
        <f>_xlfn.XLOOKUP(表格3_5[[#This Row],[Name]],Name_list[Full Name],Name_list[Hourr Rate])</f>
        <v>0</v>
      </c>
      <c r="S1357" s="210">
        <f>表格3_5[[#This Row],[Hours Worked]]*表格3_5[[#This Row],[Hourly Rate]]</f>
        <v>0</v>
      </c>
    </row>
    <row r="1358" spans="1:19">
      <c r="A1358" s="201">
        <v>1356</v>
      </c>
      <c r="B1358" s="210" t="str">
        <f>_xlfn.CONCAT(表格3_5[[#This Row],[Name]],表格3_5[[#This Row],[Location]])</f>
        <v/>
      </c>
      <c r="C1358" s="211" t="str">
        <f>表格3_5[[#This Row],[Location]] &amp; 表格3_5[[#This Row],[Date]] &amp;表格3_5[[#This Row],[Nick Name]]</f>
        <v>0</v>
      </c>
      <c r="D1358" s="202"/>
      <c r="E1358" s="211" t="str">
        <f>DAY(表格3_5[[#This Row],[Date]])&amp;""</f>
        <v>0</v>
      </c>
      <c r="F1358" s="203"/>
      <c r="G1358" s="216">
        <f>_xlfn.XLOOKUP(表格3_5[[#This Row],[Name]],Name_list[Full Name],Name_list[Nick Name])</f>
        <v>0</v>
      </c>
      <c r="H1358" s="207"/>
      <c r="I1358" s="228"/>
      <c r="J1358" s="218"/>
      <c r="K1358" s="205"/>
      <c r="L1358" s="210">
        <f>(表格3_5[[#This Row],[Out-Time]] - 表格3_5[[#This Row],[In-Time]])*24</f>
        <v>0</v>
      </c>
      <c r="M1358" s="210">
        <f>表格3_5[[#This Row],[ Hours]]-表格3_5[[#This Row],[Normal working
 hours]]</f>
        <v>0</v>
      </c>
      <c r="N1358" s="205"/>
      <c r="O1358" s="205"/>
      <c r="P1358" s="210">
        <f>(表格3_5[[#This Row],[Out-Time2]] - 表格3_5[[#This Row],[In-Time2]])*24</f>
        <v>0</v>
      </c>
      <c r="Q1358" s="205"/>
      <c r="R1358" s="214">
        <f>_xlfn.XLOOKUP(表格3_5[[#This Row],[Name]],Name_list[Full Name],Name_list[Hourr Rate])</f>
        <v>0</v>
      </c>
      <c r="S1358" s="210">
        <f>表格3_5[[#This Row],[Hours Worked]]*表格3_5[[#This Row],[Hourly Rate]]</f>
        <v>0</v>
      </c>
    </row>
    <row r="1359" spans="1:19">
      <c r="A1359" s="201">
        <v>1357</v>
      </c>
      <c r="B1359" s="210" t="str">
        <f>_xlfn.CONCAT(表格3_5[[#This Row],[Name]],表格3_5[[#This Row],[Location]])</f>
        <v/>
      </c>
      <c r="C1359" s="211" t="str">
        <f>表格3_5[[#This Row],[Location]] &amp; 表格3_5[[#This Row],[Date]] &amp;表格3_5[[#This Row],[Nick Name]]</f>
        <v>0</v>
      </c>
      <c r="D1359" s="202"/>
      <c r="E1359" s="211" t="str">
        <f>DAY(表格3_5[[#This Row],[Date]])&amp;""</f>
        <v>0</v>
      </c>
      <c r="F1359" s="203"/>
      <c r="G1359" s="216">
        <f>_xlfn.XLOOKUP(表格3_5[[#This Row],[Name]],Name_list[Full Name],Name_list[Nick Name])</f>
        <v>0</v>
      </c>
      <c r="H1359" s="207"/>
      <c r="I1359" s="228"/>
      <c r="J1359" s="218"/>
      <c r="K1359" s="205"/>
      <c r="L1359" s="210">
        <f>(表格3_5[[#This Row],[Out-Time]] - 表格3_5[[#This Row],[In-Time]])*24</f>
        <v>0</v>
      </c>
      <c r="M1359" s="210">
        <f>表格3_5[[#This Row],[ Hours]]-表格3_5[[#This Row],[Normal working
 hours]]</f>
        <v>0</v>
      </c>
      <c r="N1359" s="205"/>
      <c r="O1359" s="205"/>
      <c r="P1359" s="210">
        <f>(表格3_5[[#This Row],[Out-Time2]] - 表格3_5[[#This Row],[In-Time2]])*24</f>
        <v>0</v>
      </c>
      <c r="Q1359" s="205"/>
      <c r="R1359" s="214">
        <f>_xlfn.XLOOKUP(表格3_5[[#This Row],[Name]],Name_list[Full Name],Name_list[Hourr Rate])</f>
        <v>0</v>
      </c>
      <c r="S1359" s="210">
        <f>表格3_5[[#This Row],[Hours Worked]]*表格3_5[[#This Row],[Hourly Rate]]</f>
        <v>0</v>
      </c>
    </row>
    <row r="1360" spans="1:19">
      <c r="A1360" s="201">
        <v>1358</v>
      </c>
      <c r="B1360" s="210" t="str">
        <f>_xlfn.CONCAT(表格3_5[[#This Row],[Name]],表格3_5[[#This Row],[Location]])</f>
        <v/>
      </c>
      <c r="C1360" s="211" t="str">
        <f>表格3_5[[#This Row],[Location]] &amp; 表格3_5[[#This Row],[Date]] &amp;表格3_5[[#This Row],[Nick Name]]</f>
        <v>0</v>
      </c>
      <c r="D1360" s="202"/>
      <c r="E1360" s="211" t="str">
        <f>DAY(表格3_5[[#This Row],[Date]])&amp;""</f>
        <v>0</v>
      </c>
      <c r="F1360" s="203"/>
      <c r="G1360" s="216">
        <f>_xlfn.XLOOKUP(表格3_5[[#This Row],[Name]],Name_list[Full Name],Name_list[Nick Name])</f>
        <v>0</v>
      </c>
      <c r="H1360" s="207"/>
      <c r="I1360" s="228"/>
      <c r="J1360" s="218"/>
      <c r="K1360" s="205"/>
      <c r="L1360" s="210">
        <f>(表格3_5[[#This Row],[Out-Time]] - 表格3_5[[#This Row],[In-Time]])*24</f>
        <v>0</v>
      </c>
      <c r="M1360" s="210">
        <f>表格3_5[[#This Row],[ Hours]]-表格3_5[[#This Row],[Normal working
 hours]]</f>
        <v>0</v>
      </c>
      <c r="N1360" s="205"/>
      <c r="O1360" s="205"/>
      <c r="P1360" s="210">
        <f>(表格3_5[[#This Row],[Out-Time2]] - 表格3_5[[#This Row],[In-Time2]])*24</f>
        <v>0</v>
      </c>
      <c r="Q1360" s="205"/>
      <c r="R1360" s="214">
        <f>_xlfn.XLOOKUP(表格3_5[[#This Row],[Name]],Name_list[Full Name],Name_list[Hourr Rate])</f>
        <v>0</v>
      </c>
      <c r="S1360" s="210">
        <f>表格3_5[[#This Row],[Hours Worked]]*表格3_5[[#This Row],[Hourly Rate]]</f>
        <v>0</v>
      </c>
    </row>
    <row r="1361" spans="1:19">
      <c r="A1361" s="201">
        <v>1359</v>
      </c>
      <c r="B1361" s="210" t="str">
        <f>_xlfn.CONCAT(表格3_5[[#This Row],[Name]],表格3_5[[#This Row],[Location]])</f>
        <v/>
      </c>
      <c r="C1361" s="211" t="str">
        <f>表格3_5[[#This Row],[Location]] &amp; 表格3_5[[#This Row],[Date]] &amp;表格3_5[[#This Row],[Nick Name]]</f>
        <v>0</v>
      </c>
      <c r="D1361" s="202"/>
      <c r="E1361" s="211" t="str">
        <f>DAY(表格3_5[[#This Row],[Date]])&amp;""</f>
        <v>0</v>
      </c>
      <c r="F1361" s="203"/>
      <c r="G1361" s="216">
        <f>_xlfn.XLOOKUP(表格3_5[[#This Row],[Name]],Name_list[Full Name],Name_list[Nick Name])</f>
        <v>0</v>
      </c>
      <c r="H1361" s="207"/>
      <c r="I1361" s="228"/>
      <c r="J1361" s="218"/>
      <c r="K1361" s="205"/>
      <c r="L1361" s="210">
        <f>(表格3_5[[#This Row],[Out-Time]] - 表格3_5[[#This Row],[In-Time]])*24</f>
        <v>0</v>
      </c>
      <c r="M1361" s="210">
        <f>表格3_5[[#This Row],[ Hours]]-表格3_5[[#This Row],[Normal working
 hours]]</f>
        <v>0</v>
      </c>
      <c r="N1361" s="205"/>
      <c r="O1361" s="205"/>
      <c r="P1361" s="210">
        <f>(表格3_5[[#This Row],[Out-Time2]] - 表格3_5[[#This Row],[In-Time2]])*24</f>
        <v>0</v>
      </c>
      <c r="Q1361" s="205"/>
      <c r="R1361" s="214">
        <f>_xlfn.XLOOKUP(表格3_5[[#This Row],[Name]],Name_list[Full Name],Name_list[Hourr Rate])</f>
        <v>0</v>
      </c>
      <c r="S1361" s="210">
        <f>表格3_5[[#This Row],[Hours Worked]]*表格3_5[[#This Row],[Hourly Rate]]</f>
        <v>0</v>
      </c>
    </row>
    <row r="1362" spans="1:19">
      <c r="A1362" s="201">
        <v>1360</v>
      </c>
      <c r="B1362" s="210" t="str">
        <f>_xlfn.CONCAT(表格3_5[[#This Row],[Name]],表格3_5[[#This Row],[Location]])</f>
        <v/>
      </c>
      <c r="C1362" s="211" t="str">
        <f>表格3_5[[#This Row],[Location]] &amp; 表格3_5[[#This Row],[Date]] &amp;表格3_5[[#This Row],[Nick Name]]</f>
        <v>0</v>
      </c>
      <c r="D1362" s="202"/>
      <c r="E1362" s="211" t="str">
        <f>DAY(表格3_5[[#This Row],[Date]])&amp;""</f>
        <v>0</v>
      </c>
      <c r="F1362" s="203"/>
      <c r="G1362" s="216">
        <f>_xlfn.XLOOKUP(表格3_5[[#This Row],[Name]],Name_list[Full Name],Name_list[Nick Name])</f>
        <v>0</v>
      </c>
      <c r="H1362" s="207"/>
      <c r="I1362" s="228"/>
      <c r="J1362" s="218"/>
      <c r="K1362" s="205"/>
      <c r="L1362" s="210">
        <f>(表格3_5[[#This Row],[Out-Time]] - 表格3_5[[#This Row],[In-Time]])*24</f>
        <v>0</v>
      </c>
      <c r="M1362" s="210">
        <f>表格3_5[[#This Row],[ Hours]]-表格3_5[[#This Row],[Normal working
 hours]]</f>
        <v>0</v>
      </c>
      <c r="N1362" s="205"/>
      <c r="O1362" s="205"/>
      <c r="P1362" s="210">
        <f>(表格3_5[[#This Row],[Out-Time2]] - 表格3_5[[#This Row],[In-Time2]])*24</f>
        <v>0</v>
      </c>
      <c r="Q1362" s="205"/>
      <c r="R1362" s="214">
        <f>_xlfn.XLOOKUP(表格3_5[[#This Row],[Name]],Name_list[Full Name],Name_list[Hourr Rate])</f>
        <v>0</v>
      </c>
      <c r="S1362" s="210">
        <f>表格3_5[[#This Row],[Hours Worked]]*表格3_5[[#This Row],[Hourly Rate]]</f>
        <v>0</v>
      </c>
    </row>
    <row r="1363" spans="1:19">
      <c r="A1363" s="201">
        <v>1361</v>
      </c>
      <c r="B1363" s="210" t="str">
        <f>_xlfn.CONCAT(表格3_5[[#This Row],[Name]],表格3_5[[#This Row],[Location]])</f>
        <v/>
      </c>
      <c r="C1363" s="211" t="str">
        <f>表格3_5[[#This Row],[Location]] &amp; 表格3_5[[#This Row],[Date]] &amp;表格3_5[[#This Row],[Nick Name]]</f>
        <v>0</v>
      </c>
      <c r="D1363" s="202"/>
      <c r="E1363" s="211" t="str">
        <f>DAY(表格3_5[[#This Row],[Date]])&amp;""</f>
        <v>0</v>
      </c>
      <c r="F1363" s="203"/>
      <c r="G1363" s="216">
        <f>_xlfn.XLOOKUP(表格3_5[[#This Row],[Name]],Name_list[Full Name],Name_list[Nick Name])</f>
        <v>0</v>
      </c>
      <c r="H1363" s="207"/>
      <c r="I1363" s="228"/>
      <c r="J1363" s="218"/>
      <c r="K1363" s="205"/>
      <c r="L1363" s="210">
        <f>(表格3_5[[#This Row],[Out-Time]] - 表格3_5[[#This Row],[In-Time]])*24</f>
        <v>0</v>
      </c>
      <c r="M1363" s="210">
        <f>表格3_5[[#This Row],[ Hours]]-表格3_5[[#This Row],[Normal working
 hours]]</f>
        <v>0</v>
      </c>
      <c r="N1363" s="205"/>
      <c r="O1363" s="205"/>
      <c r="P1363" s="210">
        <f>(表格3_5[[#This Row],[Out-Time2]] - 表格3_5[[#This Row],[In-Time2]])*24</f>
        <v>0</v>
      </c>
      <c r="Q1363" s="205"/>
      <c r="R1363" s="214">
        <f>_xlfn.XLOOKUP(表格3_5[[#This Row],[Name]],Name_list[Full Name],Name_list[Hourr Rate])</f>
        <v>0</v>
      </c>
      <c r="S1363" s="210">
        <f>表格3_5[[#This Row],[Hours Worked]]*表格3_5[[#This Row],[Hourly Rate]]</f>
        <v>0</v>
      </c>
    </row>
    <row r="1364" spans="1:19">
      <c r="A1364" s="201">
        <v>1362</v>
      </c>
      <c r="B1364" s="210" t="str">
        <f>_xlfn.CONCAT(表格3_5[[#This Row],[Name]],表格3_5[[#This Row],[Location]])</f>
        <v/>
      </c>
      <c r="C1364" s="211" t="str">
        <f>表格3_5[[#This Row],[Location]] &amp; 表格3_5[[#This Row],[Date]] &amp;表格3_5[[#This Row],[Nick Name]]</f>
        <v>0</v>
      </c>
      <c r="D1364" s="202"/>
      <c r="E1364" s="211" t="str">
        <f>DAY(表格3_5[[#This Row],[Date]])&amp;""</f>
        <v>0</v>
      </c>
      <c r="F1364" s="203"/>
      <c r="G1364" s="216">
        <f>_xlfn.XLOOKUP(表格3_5[[#This Row],[Name]],Name_list[Full Name],Name_list[Nick Name])</f>
        <v>0</v>
      </c>
      <c r="H1364" s="207"/>
      <c r="I1364" s="228"/>
      <c r="J1364" s="218"/>
      <c r="K1364" s="205"/>
      <c r="L1364" s="210">
        <f>(表格3_5[[#This Row],[Out-Time]] - 表格3_5[[#This Row],[In-Time]])*24</f>
        <v>0</v>
      </c>
      <c r="M1364" s="210">
        <f>表格3_5[[#This Row],[ Hours]]-表格3_5[[#This Row],[Normal working
 hours]]</f>
        <v>0</v>
      </c>
      <c r="N1364" s="205"/>
      <c r="O1364" s="205"/>
      <c r="P1364" s="210">
        <f>(表格3_5[[#This Row],[Out-Time2]] - 表格3_5[[#This Row],[In-Time2]])*24</f>
        <v>0</v>
      </c>
      <c r="Q1364" s="205"/>
      <c r="R1364" s="214">
        <f>_xlfn.XLOOKUP(表格3_5[[#This Row],[Name]],Name_list[Full Name],Name_list[Hourr Rate])</f>
        <v>0</v>
      </c>
      <c r="S1364" s="210">
        <f>表格3_5[[#This Row],[Hours Worked]]*表格3_5[[#This Row],[Hourly Rate]]</f>
        <v>0</v>
      </c>
    </row>
    <row r="1365" spans="1:19">
      <c r="A1365" s="201">
        <v>1363</v>
      </c>
      <c r="B1365" s="210" t="str">
        <f>_xlfn.CONCAT(表格3_5[[#This Row],[Name]],表格3_5[[#This Row],[Location]])</f>
        <v/>
      </c>
      <c r="C1365" s="211" t="str">
        <f>表格3_5[[#This Row],[Location]] &amp; 表格3_5[[#This Row],[Date]] &amp;表格3_5[[#This Row],[Nick Name]]</f>
        <v>0</v>
      </c>
      <c r="D1365" s="202"/>
      <c r="E1365" s="211" t="str">
        <f>DAY(表格3_5[[#This Row],[Date]])&amp;""</f>
        <v>0</v>
      </c>
      <c r="F1365" s="203"/>
      <c r="G1365" s="216">
        <f>_xlfn.XLOOKUP(表格3_5[[#This Row],[Name]],Name_list[Full Name],Name_list[Nick Name])</f>
        <v>0</v>
      </c>
      <c r="H1365" s="207"/>
      <c r="I1365" s="228"/>
      <c r="J1365" s="218"/>
      <c r="K1365" s="205"/>
      <c r="L1365" s="210">
        <f>(表格3_5[[#This Row],[Out-Time]] - 表格3_5[[#This Row],[In-Time]])*24</f>
        <v>0</v>
      </c>
      <c r="M1365" s="210">
        <f>表格3_5[[#This Row],[ Hours]]-表格3_5[[#This Row],[Normal working
 hours]]</f>
        <v>0</v>
      </c>
      <c r="N1365" s="205"/>
      <c r="O1365" s="205"/>
      <c r="P1365" s="210">
        <f>(表格3_5[[#This Row],[Out-Time2]] - 表格3_5[[#This Row],[In-Time2]])*24</f>
        <v>0</v>
      </c>
      <c r="Q1365" s="205"/>
      <c r="R1365" s="214">
        <f>_xlfn.XLOOKUP(表格3_5[[#This Row],[Name]],Name_list[Full Name],Name_list[Hourr Rate])</f>
        <v>0</v>
      </c>
      <c r="S1365" s="210">
        <f>表格3_5[[#This Row],[Hours Worked]]*表格3_5[[#This Row],[Hourly Rate]]</f>
        <v>0</v>
      </c>
    </row>
    <row r="1366" spans="1:19">
      <c r="A1366" s="201">
        <v>1364</v>
      </c>
      <c r="B1366" s="210" t="str">
        <f>_xlfn.CONCAT(表格3_5[[#This Row],[Name]],表格3_5[[#This Row],[Location]])</f>
        <v/>
      </c>
      <c r="C1366" s="211" t="str">
        <f>表格3_5[[#This Row],[Location]] &amp; 表格3_5[[#This Row],[Date]] &amp;表格3_5[[#This Row],[Nick Name]]</f>
        <v>0</v>
      </c>
      <c r="D1366" s="202"/>
      <c r="E1366" s="211" t="str">
        <f>DAY(表格3_5[[#This Row],[Date]])&amp;""</f>
        <v>0</v>
      </c>
      <c r="F1366" s="203"/>
      <c r="G1366" s="216">
        <f>_xlfn.XLOOKUP(表格3_5[[#This Row],[Name]],Name_list[Full Name],Name_list[Nick Name])</f>
        <v>0</v>
      </c>
      <c r="H1366" s="207"/>
      <c r="I1366" s="228"/>
      <c r="J1366" s="218"/>
      <c r="K1366" s="205"/>
      <c r="L1366" s="210">
        <f>(表格3_5[[#This Row],[Out-Time]] - 表格3_5[[#This Row],[In-Time]])*24</f>
        <v>0</v>
      </c>
      <c r="M1366" s="210">
        <f>表格3_5[[#This Row],[ Hours]]-表格3_5[[#This Row],[Normal working
 hours]]</f>
        <v>0</v>
      </c>
      <c r="N1366" s="205"/>
      <c r="O1366" s="205"/>
      <c r="P1366" s="210">
        <f>(表格3_5[[#This Row],[Out-Time2]] - 表格3_5[[#This Row],[In-Time2]])*24</f>
        <v>0</v>
      </c>
      <c r="Q1366" s="205"/>
      <c r="R1366" s="214">
        <f>_xlfn.XLOOKUP(表格3_5[[#This Row],[Name]],Name_list[Full Name],Name_list[Hourr Rate])</f>
        <v>0</v>
      </c>
      <c r="S1366" s="210">
        <f>表格3_5[[#This Row],[Hours Worked]]*表格3_5[[#This Row],[Hourly Rate]]</f>
        <v>0</v>
      </c>
    </row>
    <row r="1367" spans="1:19">
      <c r="A1367" s="201">
        <v>1365</v>
      </c>
      <c r="B1367" s="210" t="str">
        <f>_xlfn.CONCAT(表格3_5[[#This Row],[Name]],表格3_5[[#This Row],[Location]])</f>
        <v/>
      </c>
      <c r="C1367" s="211" t="str">
        <f>表格3_5[[#This Row],[Location]] &amp; 表格3_5[[#This Row],[Date]] &amp;表格3_5[[#This Row],[Nick Name]]</f>
        <v>0</v>
      </c>
      <c r="D1367" s="202"/>
      <c r="E1367" s="211" t="str">
        <f>DAY(表格3_5[[#This Row],[Date]])&amp;""</f>
        <v>0</v>
      </c>
      <c r="F1367" s="203"/>
      <c r="G1367" s="216">
        <f>_xlfn.XLOOKUP(表格3_5[[#This Row],[Name]],Name_list[Full Name],Name_list[Nick Name])</f>
        <v>0</v>
      </c>
      <c r="H1367" s="207"/>
      <c r="I1367" s="228"/>
      <c r="J1367" s="218"/>
      <c r="K1367" s="205"/>
      <c r="L1367" s="210">
        <f>(表格3_5[[#This Row],[Out-Time]] - 表格3_5[[#This Row],[In-Time]])*24</f>
        <v>0</v>
      </c>
      <c r="M1367" s="210">
        <f>表格3_5[[#This Row],[ Hours]]-表格3_5[[#This Row],[Normal working
 hours]]</f>
        <v>0</v>
      </c>
      <c r="N1367" s="205"/>
      <c r="O1367" s="205"/>
      <c r="P1367" s="210">
        <f>(表格3_5[[#This Row],[Out-Time2]] - 表格3_5[[#This Row],[In-Time2]])*24</f>
        <v>0</v>
      </c>
      <c r="Q1367" s="205"/>
      <c r="R1367" s="214">
        <f>_xlfn.XLOOKUP(表格3_5[[#This Row],[Name]],Name_list[Full Name],Name_list[Hourr Rate])</f>
        <v>0</v>
      </c>
      <c r="S1367" s="210">
        <f>表格3_5[[#This Row],[Hours Worked]]*表格3_5[[#This Row],[Hourly Rate]]</f>
        <v>0</v>
      </c>
    </row>
    <row r="1368" spans="1:19">
      <c r="A1368" s="201">
        <v>1366</v>
      </c>
      <c r="B1368" s="210" t="str">
        <f>_xlfn.CONCAT(表格3_5[[#This Row],[Name]],表格3_5[[#This Row],[Location]])</f>
        <v/>
      </c>
      <c r="C1368" s="211" t="str">
        <f>表格3_5[[#This Row],[Location]] &amp; 表格3_5[[#This Row],[Date]] &amp;表格3_5[[#This Row],[Nick Name]]</f>
        <v>0</v>
      </c>
      <c r="D1368" s="202"/>
      <c r="E1368" s="211" t="str">
        <f>DAY(表格3_5[[#This Row],[Date]])&amp;""</f>
        <v>0</v>
      </c>
      <c r="F1368" s="203"/>
      <c r="G1368" s="216">
        <f>_xlfn.XLOOKUP(表格3_5[[#This Row],[Name]],Name_list[Full Name],Name_list[Nick Name])</f>
        <v>0</v>
      </c>
      <c r="H1368" s="207"/>
      <c r="I1368" s="228"/>
      <c r="J1368" s="218"/>
      <c r="K1368" s="205"/>
      <c r="L1368" s="210">
        <f>(表格3_5[[#This Row],[Out-Time]] - 表格3_5[[#This Row],[In-Time]])*24</f>
        <v>0</v>
      </c>
      <c r="M1368" s="210">
        <f>表格3_5[[#This Row],[ Hours]]-表格3_5[[#This Row],[Normal working
 hours]]</f>
        <v>0</v>
      </c>
      <c r="N1368" s="205"/>
      <c r="O1368" s="205"/>
      <c r="P1368" s="210">
        <f>(表格3_5[[#This Row],[Out-Time2]] - 表格3_5[[#This Row],[In-Time2]])*24</f>
        <v>0</v>
      </c>
      <c r="Q1368" s="205"/>
      <c r="R1368" s="214">
        <f>_xlfn.XLOOKUP(表格3_5[[#This Row],[Name]],Name_list[Full Name],Name_list[Hourr Rate])</f>
        <v>0</v>
      </c>
      <c r="S1368" s="210">
        <f>表格3_5[[#This Row],[Hours Worked]]*表格3_5[[#This Row],[Hourly Rate]]</f>
        <v>0</v>
      </c>
    </row>
    <row r="1369" spans="1:19">
      <c r="A1369" s="201">
        <v>1367</v>
      </c>
      <c r="B1369" s="210" t="str">
        <f>_xlfn.CONCAT(表格3_5[[#This Row],[Name]],表格3_5[[#This Row],[Location]])</f>
        <v/>
      </c>
      <c r="C1369" s="211" t="str">
        <f>表格3_5[[#This Row],[Location]] &amp; 表格3_5[[#This Row],[Date]] &amp;表格3_5[[#This Row],[Nick Name]]</f>
        <v>0</v>
      </c>
      <c r="D1369" s="202"/>
      <c r="E1369" s="211" t="str">
        <f>DAY(表格3_5[[#This Row],[Date]])&amp;""</f>
        <v>0</v>
      </c>
      <c r="F1369" s="203"/>
      <c r="G1369" s="216">
        <f>_xlfn.XLOOKUP(表格3_5[[#This Row],[Name]],Name_list[Full Name],Name_list[Nick Name])</f>
        <v>0</v>
      </c>
      <c r="H1369" s="207"/>
      <c r="I1369" s="228"/>
      <c r="J1369" s="218"/>
      <c r="K1369" s="205"/>
      <c r="L1369" s="210">
        <f>(表格3_5[[#This Row],[Out-Time]] - 表格3_5[[#This Row],[In-Time]])*24</f>
        <v>0</v>
      </c>
      <c r="M1369" s="210">
        <f>表格3_5[[#This Row],[ Hours]]-表格3_5[[#This Row],[Normal working
 hours]]</f>
        <v>0</v>
      </c>
      <c r="N1369" s="205"/>
      <c r="O1369" s="205"/>
      <c r="P1369" s="210">
        <f>(表格3_5[[#This Row],[Out-Time2]] - 表格3_5[[#This Row],[In-Time2]])*24</f>
        <v>0</v>
      </c>
      <c r="Q1369" s="205"/>
      <c r="R1369" s="214">
        <f>_xlfn.XLOOKUP(表格3_5[[#This Row],[Name]],Name_list[Full Name],Name_list[Hourr Rate])</f>
        <v>0</v>
      </c>
      <c r="S1369" s="210">
        <f>表格3_5[[#This Row],[Hours Worked]]*表格3_5[[#This Row],[Hourly Rate]]</f>
        <v>0</v>
      </c>
    </row>
    <row r="1370" spans="1:19">
      <c r="A1370" s="201">
        <v>1368</v>
      </c>
      <c r="B1370" s="210" t="str">
        <f>_xlfn.CONCAT(表格3_5[[#This Row],[Name]],表格3_5[[#This Row],[Location]])</f>
        <v/>
      </c>
      <c r="C1370" s="211" t="str">
        <f>表格3_5[[#This Row],[Location]] &amp; 表格3_5[[#This Row],[Date]] &amp;表格3_5[[#This Row],[Nick Name]]</f>
        <v>0</v>
      </c>
      <c r="D1370" s="202"/>
      <c r="E1370" s="211" t="str">
        <f>DAY(表格3_5[[#This Row],[Date]])&amp;""</f>
        <v>0</v>
      </c>
      <c r="F1370" s="203"/>
      <c r="G1370" s="216">
        <f>_xlfn.XLOOKUP(表格3_5[[#This Row],[Name]],Name_list[Full Name],Name_list[Nick Name])</f>
        <v>0</v>
      </c>
      <c r="H1370" s="207"/>
      <c r="I1370" s="228"/>
      <c r="J1370" s="218"/>
      <c r="K1370" s="205"/>
      <c r="L1370" s="210">
        <f>(表格3_5[[#This Row],[Out-Time]] - 表格3_5[[#This Row],[In-Time]])*24</f>
        <v>0</v>
      </c>
      <c r="M1370" s="210">
        <f>表格3_5[[#This Row],[ Hours]]-表格3_5[[#This Row],[Normal working
 hours]]</f>
        <v>0</v>
      </c>
      <c r="N1370" s="205"/>
      <c r="O1370" s="205"/>
      <c r="P1370" s="210">
        <f>(表格3_5[[#This Row],[Out-Time2]] - 表格3_5[[#This Row],[In-Time2]])*24</f>
        <v>0</v>
      </c>
      <c r="Q1370" s="205"/>
      <c r="R1370" s="214">
        <f>_xlfn.XLOOKUP(表格3_5[[#This Row],[Name]],Name_list[Full Name],Name_list[Hourr Rate])</f>
        <v>0</v>
      </c>
      <c r="S1370" s="210">
        <f>表格3_5[[#This Row],[Hours Worked]]*表格3_5[[#This Row],[Hourly Rate]]</f>
        <v>0</v>
      </c>
    </row>
    <row r="1371" spans="1:19">
      <c r="A1371" s="201">
        <v>1369</v>
      </c>
      <c r="B1371" s="210" t="str">
        <f>_xlfn.CONCAT(表格3_5[[#This Row],[Name]],表格3_5[[#This Row],[Location]])</f>
        <v/>
      </c>
      <c r="C1371" s="211" t="str">
        <f>表格3_5[[#This Row],[Location]] &amp; 表格3_5[[#This Row],[Date]] &amp;表格3_5[[#This Row],[Nick Name]]</f>
        <v>0</v>
      </c>
      <c r="D1371" s="202"/>
      <c r="E1371" s="211" t="str">
        <f>DAY(表格3_5[[#This Row],[Date]])&amp;""</f>
        <v>0</v>
      </c>
      <c r="F1371" s="203"/>
      <c r="G1371" s="216">
        <f>_xlfn.XLOOKUP(表格3_5[[#This Row],[Name]],Name_list[Full Name],Name_list[Nick Name])</f>
        <v>0</v>
      </c>
      <c r="H1371" s="207"/>
      <c r="I1371" s="228"/>
      <c r="J1371" s="218"/>
      <c r="K1371" s="205"/>
      <c r="L1371" s="210">
        <f>(表格3_5[[#This Row],[Out-Time]] - 表格3_5[[#This Row],[In-Time]])*24</f>
        <v>0</v>
      </c>
      <c r="M1371" s="210">
        <f>表格3_5[[#This Row],[ Hours]]-表格3_5[[#This Row],[Normal working
 hours]]</f>
        <v>0</v>
      </c>
      <c r="N1371" s="205"/>
      <c r="O1371" s="205"/>
      <c r="P1371" s="210">
        <f>(表格3_5[[#This Row],[Out-Time2]] - 表格3_5[[#This Row],[In-Time2]])*24</f>
        <v>0</v>
      </c>
      <c r="Q1371" s="205"/>
      <c r="R1371" s="214">
        <f>_xlfn.XLOOKUP(表格3_5[[#This Row],[Name]],Name_list[Full Name],Name_list[Hourr Rate])</f>
        <v>0</v>
      </c>
      <c r="S1371" s="210">
        <f>表格3_5[[#This Row],[Hours Worked]]*表格3_5[[#This Row],[Hourly Rate]]</f>
        <v>0</v>
      </c>
    </row>
    <row r="1372" spans="1:19">
      <c r="A1372" s="201">
        <v>1370</v>
      </c>
      <c r="B1372" s="210" t="str">
        <f>_xlfn.CONCAT(表格3_5[[#This Row],[Name]],表格3_5[[#This Row],[Location]])</f>
        <v/>
      </c>
      <c r="C1372" s="211" t="str">
        <f>表格3_5[[#This Row],[Location]] &amp; 表格3_5[[#This Row],[Date]] &amp;表格3_5[[#This Row],[Nick Name]]</f>
        <v>0</v>
      </c>
      <c r="D1372" s="202"/>
      <c r="E1372" s="211" t="str">
        <f>DAY(表格3_5[[#This Row],[Date]])&amp;""</f>
        <v>0</v>
      </c>
      <c r="F1372" s="203"/>
      <c r="G1372" s="216">
        <f>_xlfn.XLOOKUP(表格3_5[[#This Row],[Name]],Name_list[Full Name],Name_list[Nick Name])</f>
        <v>0</v>
      </c>
      <c r="H1372" s="207"/>
      <c r="I1372" s="228"/>
      <c r="J1372" s="218"/>
      <c r="K1372" s="205"/>
      <c r="L1372" s="210">
        <f>(表格3_5[[#This Row],[Out-Time]] - 表格3_5[[#This Row],[In-Time]])*24</f>
        <v>0</v>
      </c>
      <c r="M1372" s="210">
        <f>表格3_5[[#This Row],[ Hours]]-表格3_5[[#This Row],[Normal working
 hours]]</f>
        <v>0</v>
      </c>
      <c r="N1372" s="205"/>
      <c r="O1372" s="205"/>
      <c r="P1372" s="210">
        <f>(表格3_5[[#This Row],[Out-Time2]] - 表格3_5[[#This Row],[In-Time2]])*24</f>
        <v>0</v>
      </c>
      <c r="Q1372" s="205"/>
      <c r="R1372" s="214">
        <f>_xlfn.XLOOKUP(表格3_5[[#This Row],[Name]],Name_list[Full Name],Name_list[Hourr Rate])</f>
        <v>0</v>
      </c>
      <c r="S1372" s="210">
        <f>表格3_5[[#This Row],[Hours Worked]]*表格3_5[[#This Row],[Hourly Rate]]</f>
        <v>0</v>
      </c>
    </row>
    <row r="1373" spans="1:19">
      <c r="A1373" s="201">
        <v>1371</v>
      </c>
      <c r="B1373" s="210" t="str">
        <f>_xlfn.CONCAT(表格3_5[[#This Row],[Name]],表格3_5[[#This Row],[Location]])</f>
        <v/>
      </c>
      <c r="C1373" s="211" t="str">
        <f>表格3_5[[#This Row],[Location]] &amp; 表格3_5[[#This Row],[Date]] &amp;表格3_5[[#This Row],[Nick Name]]</f>
        <v>0</v>
      </c>
      <c r="D1373" s="202"/>
      <c r="E1373" s="211" t="str">
        <f>DAY(表格3_5[[#This Row],[Date]])&amp;""</f>
        <v>0</v>
      </c>
      <c r="F1373" s="203"/>
      <c r="G1373" s="216">
        <f>_xlfn.XLOOKUP(表格3_5[[#This Row],[Name]],Name_list[Full Name],Name_list[Nick Name])</f>
        <v>0</v>
      </c>
      <c r="H1373" s="207"/>
      <c r="I1373" s="228"/>
      <c r="J1373" s="218"/>
      <c r="K1373" s="205"/>
      <c r="L1373" s="210">
        <f>(表格3_5[[#This Row],[Out-Time]] - 表格3_5[[#This Row],[In-Time]])*24</f>
        <v>0</v>
      </c>
      <c r="M1373" s="210">
        <f>表格3_5[[#This Row],[ Hours]]-表格3_5[[#This Row],[Normal working
 hours]]</f>
        <v>0</v>
      </c>
      <c r="N1373" s="205"/>
      <c r="O1373" s="205"/>
      <c r="P1373" s="210">
        <f>(表格3_5[[#This Row],[Out-Time2]] - 表格3_5[[#This Row],[In-Time2]])*24</f>
        <v>0</v>
      </c>
      <c r="Q1373" s="205"/>
      <c r="R1373" s="214">
        <f>_xlfn.XLOOKUP(表格3_5[[#This Row],[Name]],Name_list[Full Name],Name_list[Hourr Rate])</f>
        <v>0</v>
      </c>
      <c r="S1373" s="210">
        <f>表格3_5[[#This Row],[Hours Worked]]*表格3_5[[#This Row],[Hourly Rate]]</f>
        <v>0</v>
      </c>
    </row>
    <row r="1374" spans="1:19">
      <c r="A1374" s="201">
        <v>1372</v>
      </c>
      <c r="B1374" s="210" t="str">
        <f>_xlfn.CONCAT(表格3_5[[#This Row],[Name]],表格3_5[[#This Row],[Location]])</f>
        <v/>
      </c>
      <c r="C1374" s="211" t="str">
        <f>表格3_5[[#This Row],[Location]] &amp; 表格3_5[[#This Row],[Date]] &amp;表格3_5[[#This Row],[Nick Name]]</f>
        <v>0</v>
      </c>
      <c r="D1374" s="202"/>
      <c r="E1374" s="211" t="str">
        <f>DAY(表格3_5[[#This Row],[Date]])&amp;""</f>
        <v>0</v>
      </c>
      <c r="F1374" s="203"/>
      <c r="G1374" s="216">
        <f>_xlfn.XLOOKUP(表格3_5[[#This Row],[Name]],Name_list[Full Name],Name_list[Nick Name])</f>
        <v>0</v>
      </c>
      <c r="H1374" s="207"/>
      <c r="I1374" s="228"/>
      <c r="J1374" s="218"/>
      <c r="K1374" s="205"/>
      <c r="L1374" s="210">
        <f>(表格3_5[[#This Row],[Out-Time]] - 表格3_5[[#This Row],[In-Time]])*24</f>
        <v>0</v>
      </c>
      <c r="M1374" s="210">
        <f>表格3_5[[#This Row],[ Hours]]-表格3_5[[#This Row],[Normal working
 hours]]</f>
        <v>0</v>
      </c>
      <c r="N1374" s="205"/>
      <c r="O1374" s="205"/>
      <c r="P1374" s="210">
        <f>(表格3_5[[#This Row],[Out-Time2]] - 表格3_5[[#This Row],[In-Time2]])*24</f>
        <v>0</v>
      </c>
      <c r="Q1374" s="205"/>
      <c r="R1374" s="214">
        <f>_xlfn.XLOOKUP(表格3_5[[#This Row],[Name]],Name_list[Full Name],Name_list[Hourr Rate])</f>
        <v>0</v>
      </c>
      <c r="S1374" s="210">
        <f>表格3_5[[#This Row],[Hours Worked]]*表格3_5[[#This Row],[Hourly Rate]]</f>
        <v>0</v>
      </c>
    </row>
    <row r="1375" spans="1:19">
      <c r="A1375" s="201">
        <v>1373</v>
      </c>
      <c r="B1375" s="210" t="str">
        <f>_xlfn.CONCAT(表格3_5[[#This Row],[Name]],表格3_5[[#This Row],[Location]])</f>
        <v/>
      </c>
      <c r="C1375" s="211" t="str">
        <f>表格3_5[[#This Row],[Location]] &amp; 表格3_5[[#This Row],[Date]] &amp;表格3_5[[#This Row],[Nick Name]]</f>
        <v>0</v>
      </c>
      <c r="D1375" s="202"/>
      <c r="E1375" s="211" t="str">
        <f>DAY(表格3_5[[#This Row],[Date]])&amp;""</f>
        <v>0</v>
      </c>
      <c r="F1375" s="203"/>
      <c r="G1375" s="216">
        <f>_xlfn.XLOOKUP(表格3_5[[#This Row],[Name]],Name_list[Full Name],Name_list[Nick Name])</f>
        <v>0</v>
      </c>
      <c r="H1375" s="207"/>
      <c r="I1375" s="228"/>
      <c r="J1375" s="218"/>
      <c r="K1375" s="205"/>
      <c r="L1375" s="210">
        <f>(表格3_5[[#This Row],[Out-Time]] - 表格3_5[[#This Row],[In-Time]])*24</f>
        <v>0</v>
      </c>
      <c r="M1375" s="210">
        <f>表格3_5[[#This Row],[ Hours]]-表格3_5[[#This Row],[Normal working
 hours]]</f>
        <v>0</v>
      </c>
      <c r="N1375" s="205"/>
      <c r="O1375" s="205"/>
      <c r="P1375" s="210">
        <f>(表格3_5[[#This Row],[Out-Time2]] - 表格3_5[[#This Row],[In-Time2]])*24</f>
        <v>0</v>
      </c>
      <c r="Q1375" s="205"/>
      <c r="R1375" s="214">
        <f>_xlfn.XLOOKUP(表格3_5[[#This Row],[Name]],Name_list[Full Name],Name_list[Hourr Rate])</f>
        <v>0</v>
      </c>
      <c r="S1375" s="210">
        <f>表格3_5[[#This Row],[Hours Worked]]*表格3_5[[#This Row],[Hourly Rate]]</f>
        <v>0</v>
      </c>
    </row>
    <row r="1376" spans="1:19">
      <c r="A1376" s="201">
        <v>1374</v>
      </c>
      <c r="B1376" s="210" t="str">
        <f>_xlfn.CONCAT(表格3_5[[#This Row],[Name]],表格3_5[[#This Row],[Location]])</f>
        <v/>
      </c>
      <c r="C1376" s="211" t="str">
        <f>表格3_5[[#This Row],[Location]] &amp; 表格3_5[[#This Row],[Date]] &amp;表格3_5[[#This Row],[Nick Name]]</f>
        <v>0</v>
      </c>
      <c r="D1376" s="202"/>
      <c r="E1376" s="211" t="str">
        <f>DAY(表格3_5[[#This Row],[Date]])&amp;""</f>
        <v>0</v>
      </c>
      <c r="F1376" s="203"/>
      <c r="G1376" s="216">
        <f>_xlfn.XLOOKUP(表格3_5[[#This Row],[Name]],Name_list[Full Name],Name_list[Nick Name])</f>
        <v>0</v>
      </c>
      <c r="H1376" s="207"/>
      <c r="I1376" s="228"/>
      <c r="J1376" s="218"/>
      <c r="K1376" s="205"/>
      <c r="L1376" s="210">
        <f>(表格3_5[[#This Row],[Out-Time]] - 表格3_5[[#This Row],[In-Time]])*24</f>
        <v>0</v>
      </c>
      <c r="M1376" s="210">
        <f>表格3_5[[#This Row],[ Hours]]-表格3_5[[#This Row],[Normal working
 hours]]</f>
        <v>0</v>
      </c>
      <c r="N1376" s="205"/>
      <c r="O1376" s="205"/>
      <c r="P1376" s="210">
        <f>(表格3_5[[#This Row],[Out-Time2]] - 表格3_5[[#This Row],[In-Time2]])*24</f>
        <v>0</v>
      </c>
      <c r="Q1376" s="205"/>
      <c r="R1376" s="214">
        <f>_xlfn.XLOOKUP(表格3_5[[#This Row],[Name]],Name_list[Full Name],Name_list[Hourr Rate])</f>
        <v>0</v>
      </c>
      <c r="S1376" s="210">
        <f>表格3_5[[#This Row],[Hours Worked]]*表格3_5[[#This Row],[Hourly Rate]]</f>
        <v>0</v>
      </c>
    </row>
    <row r="1377" spans="1:19">
      <c r="A1377" s="201">
        <v>1375</v>
      </c>
      <c r="B1377" s="210" t="str">
        <f>_xlfn.CONCAT(表格3_5[[#This Row],[Name]],表格3_5[[#This Row],[Location]])</f>
        <v/>
      </c>
      <c r="C1377" s="211" t="str">
        <f>表格3_5[[#This Row],[Location]] &amp; 表格3_5[[#This Row],[Date]] &amp;表格3_5[[#This Row],[Nick Name]]</f>
        <v>0</v>
      </c>
      <c r="D1377" s="202"/>
      <c r="E1377" s="211" t="str">
        <f>DAY(表格3_5[[#This Row],[Date]])&amp;""</f>
        <v>0</v>
      </c>
      <c r="F1377" s="203"/>
      <c r="G1377" s="216">
        <f>_xlfn.XLOOKUP(表格3_5[[#This Row],[Name]],Name_list[Full Name],Name_list[Nick Name])</f>
        <v>0</v>
      </c>
      <c r="H1377" s="207"/>
      <c r="I1377" s="228"/>
      <c r="J1377" s="218"/>
      <c r="K1377" s="205"/>
      <c r="L1377" s="210">
        <f>(表格3_5[[#This Row],[Out-Time]] - 表格3_5[[#This Row],[In-Time]])*24</f>
        <v>0</v>
      </c>
      <c r="M1377" s="210">
        <f>表格3_5[[#This Row],[ Hours]]-表格3_5[[#This Row],[Normal working
 hours]]</f>
        <v>0</v>
      </c>
      <c r="N1377" s="205"/>
      <c r="O1377" s="205"/>
      <c r="P1377" s="210">
        <f>(表格3_5[[#This Row],[Out-Time2]] - 表格3_5[[#This Row],[In-Time2]])*24</f>
        <v>0</v>
      </c>
      <c r="Q1377" s="205"/>
      <c r="R1377" s="214">
        <f>_xlfn.XLOOKUP(表格3_5[[#This Row],[Name]],Name_list[Full Name],Name_list[Hourr Rate])</f>
        <v>0</v>
      </c>
      <c r="S1377" s="210">
        <f>表格3_5[[#This Row],[Hours Worked]]*表格3_5[[#This Row],[Hourly Rate]]</f>
        <v>0</v>
      </c>
    </row>
    <row r="1378" spans="1:19">
      <c r="A1378" s="201">
        <v>1376</v>
      </c>
      <c r="B1378" s="210" t="str">
        <f>_xlfn.CONCAT(表格3_5[[#This Row],[Name]],表格3_5[[#This Row],[Location]])</f>
        <v/>
      </c>
      <c r="C1378" s="211" t="str">
        <f>表格3_5[[#This Row],[Location]] &amp; 表格3_5[[#This Row],[Date]] &amp;表格3_5[[#This Row],[Nick Name]]</f>
        <v>0</v>
      </c>
      <c r="D1378" s="202"/>
      <c r="E1378" s="211" t="str">
        <f>DAY(表格3_5[[#This Row],[Date]])&amp;""</f>
        <v>0</v>
      </c>
      <c r="F1378" s="203"/>
      <c r="G1378" s="216">
        <f>_xlfn.XLOOKUP(表格3_5[[#This Row],[Name]],Name_list[Full Name],Name_list[Nick Name])</f>
        <v>0</v>
      </c>
      <c r="H1378" s="207"/>
      <c r="I1378" s="228"/>
      <c r="J1378" s="218"/>
      <c r="K1378" s="205"/>
      <c r="L1378" s="210">
        <f>(表格3_5[[#This Row],[Out-Time]] - 表格3_5[[#This Row],[In-Time]])*24</f>
        <v>0</v>
      </c>
      <c r="M1378" s="210">
        <f>表格3_5[[#This Row],[ Hours]]-表格3_5[[#This Row],[Normal working
 hours]]</f>
        <v>0</v>
      </c>
      <c r="N1378" s="205"/>
      <c r="O1378" s="205"/>
      <c r="P1378" s="210">
        <f>(表格3_5[[#This Row],[Out-Time2]] - 表格3_5[[#This Row],[In-Time2]])*24</f>
        <v>0</v>
      </c>
      <c r="Q1378" s="205"/>
      <c r="R1378" s="214">
        <f>_xlfn.XLOOKUP(表格3_5[[#This Row],[Name]],Name_list[Full Name],Name_list[Hourr Rate])</f>
        <v>0</v>
      </c>
      <c r="S1378" s="210">
        <f>表格3_5[[#This Row],[Hours Worked]]*表格3_5[[#This Row],[Hourly Rate]]</f>
        <v>0</v>
      </c>
    </row>
    <row r="1379" spans="1:19">
      <c r="A1379" s="201">
        <v>1377</v>
      </c>
      <c r="B1379" s="210" t="str">
        <f>_xlfn.CONCAT(表格3_5[[#This Row],[Name]],表格3_5[[#This Row],[Location]])</f>
        <v/>
      </c>
      <c r="C1379" s="211" t="str">
        <f>表格3_5[[#This Row],[Location]] &amp; 表格3_5[[#This Row],[Date]] &amp;表格3_5[[#This Row],[Nick Name]]</f>
        <v>0</v>
      </c>
      <c r="D1379" s="202"/>
      <c r="E1379" s="211" t="str">
        <f>DAY(表格3_5[[#This Row],[Date]])&amp;""</f>
        <v>0</v>
      </c>
      <c r="F1379" s="203"/>
      <c r="G1379" s="216">
        <f>_xlfn.XLOOKUP(表格3_5[[#This Row],[Name]],Name_list[Full Name],Name_list[Nick Name])</f>
        <v>0</v>
      </c>
      <c r="H1379" s="207"/>
      <c r="I1379" s="228"/>
      <c r="J1379" s="218"/>
      <c r="K1379" s="205"/>
      <c r="L1379" s="210">
        <f>(表格3_5[[#This Row],[Out-Time]] - 表格3_5[[#This Row],[In-Time]])*24</f>
        <v>0</v>
      </c>
      <c r="M1379" s="210">
        <f>表格3_5[[#This Row],[ Hours]]-表格3_5[[#This Row],[Normal working
 hours]]</f>
        <v>0</v>
      </c>
      <c r="N1379" s="205"/>
      <c r="O1379" s="205"/>
      <c r="P1379" s="210">
        <f>(表格3_5[[#This Row],[Out-Time2]] - 表格3_5[[#This Row],[In-Time2]])*24</f>
        <v>0</v>
      </c>
      <c r="Q1379" s="205"/>
      <c r="R1379" s="214">
        <f>_xlfn.XLOOKUP(表格3_5[[#This Row],[Name]],Name_list[Full Name],Name_list[Hourr Rate])</f>
        <v>0</v>
      </c>
      <c r="S1379" s="210">
        <f>表格3_5[[#This Row],[Hours Worked]]*表格3_5[[#This Row],[Hourly Rate]]</f>
        <v>0</v>
      </c>
    </row>
    <row r="1380" spans="1:19">
      <c r="A1380" s="201">
        <v>1378</v>
      </c>
      <c r="B1380" s="210" t="str">
        <f>_xlfn.CONCAT(表格3_5[[#This Row],[Name]],表格3_5[[#This Row],[Location]])</f>
        <v/>
      </c>
      <c r="C1380" s="211" t="str">
        <f>表格3_5[[#This Row],[Location]] &amp; 表格3_5[[#This Row],[Date]] &amp;表格3_5[[#This Row],[Nick Name]]</f>
        <v>0</v>
      </c>
      <c r="D1380" s="202"/>
      <c r="E1380" s="211" t="str">
        <f>DAY(表格3_5[[#This Row],[Date]])&amp;""</f>
        <v>0</v>
      </c>
      <c r="F1380" s="203"/>
      <c r="G1380" s="216">
        <f>_xlfn.XLOOKUP(表格3_5[[#This Row],[Name]],Name_list[Full Name],Name_list[Nick Name])</f>
        <v>0</v>
      </c>
      <c r="H1380" s="207"/>
      <c r="I1380" s="228"/>
      <c r="J1380" s="218"/>
      <c r="K1380" s="205"/>
      <c r="L1380" s="210">
        <f>(表格3_5[[#This Row],[Out-Time]] - 表格3_5[[#This Row],[In-Time]])*24</f>
        <v>0</v>
      </c>
      <c r="M1380" s="210">
        <f>表格3_5[[#This Row],[ Hours]]-表格3_5[[#This Row],[Normal working
 hours]]</f>
        <v>0</v>
      </c>
      <c r="N1380" s="205"/>
      <c r="O1380" s="205"/>
      <c r="P1380" s="210">
        <f>(表格3_5[[#This Row],[Out-Time2]] - 表格3_5[[#This Row],[In-Time2]])*24</f>
        <v>0</v>
      </c>
      <c r="Q1380" s="205"/>
      <c r="R1380" s="214">
        <f>_xlfn.XLOOKUP(表格3_5[[#This Row],[Name]],Name_list[Full Name],Name_list[Hourr Rate])</f>
        <v>0</v>
      </c>
      <c r="S1380" s="210">
        <f>表格3_5[[#This Row],[Hours Worked]]*表格3_5[[#This Row],[Hourly Rate]]</f>
        <v>0</v>
      </c>
    </row>
    <row r="1381" spans="1:19">
      <c r="A1381" s="201">
        <v>1379</v>
      </c>
      <c r="B1381" s="210" t="str">
        <f>_xlfn.CONCAT(表格3_5[[#This Row],[Name]],表格3_5[[#This Row],[Location]])</f>
        <v/>
      </c>
      <c r="C1381" s="211" t="str">
        <f>表格3_5[[#This Row],[Location]] &amp; 表格3_5[[#This Row],[Date]] &amp;表格3_5[[#This Row],[Nick Name]]</f>
        <v>0</v>
      </c>
      <c r="D1381" s="202"/>
      <c r="E1381" s="211" t="str">
        <f>DAY(表格3_5[[#This Row],[Date]])&amp;""</f>
        <v>0</v>
      </c>
      <c r="F1381" s="203"/>
      <c r="G1381" s="216">
        <f>_xlfn.XLOOKUP(表格3_5[[#This Row],[Name]],Name_list[Full Name],Name_list[Nick Name])</f>
        <v>0</v>
      </c>
      <c r="H1381" s="207"/>
      <c r="I1381" s="228"/>
      <c r="J1381" s="218"/>
      <c r="K1381" s="205"/>
      <c r="L1381" s="210">
        <f>(表格3_5[[#This Row],[Out-Time]] - 表格3_5[[#This Row],[In-Time]])*24</f>
        <v>0</v>
      </c>
      <c r="M1381" s="210">
        <f>表格3_5[[#This Row],[ Hours]]-表格3_5[[#This Row],[Normal working
 hours]]</f>
        <v>0</v>
      </c>
      <c r="N1381" s="205"/>
      <c r="O1381" s="205"/>
      <c r="P1381" s="210">
        <f>(表格3_5[[#This Row],[Out-Time2]] - 表格3_5[[#This Row],[In-Time2]])*24</f>
        <v>0</v>
      </c>
      <c r="Q1381" s="205"/>
      <c r="R1381" s="214">
        <f>_xlfn.XLOOKUP(表格3_5[[#This Row],[Name]],Name_list[Full Name],Name_list[Hourr Rate])</f>
        <v>0</v>
      </c>
      <c r="S1381" s="210">
        <f>表格3_5[[#This Row],[Hours Worked]]*表格3_5[[#This Row],[Hourly Rate]]</f>
        <v>0</v>
      </c>
    </row>
    <row r="1382" spans="1:19">
      <c r="A1382" s="201">
        <v>1380</v>
      </c>
      <c r="B1382" s="210" t="str">
        <f>_xlfn.CONCAT(表格3_5[[#This Row],[Name]],表格3_5[[#This Row],[Location]])</f>
        <v/>
      </c>
      <c r="C1382" s="211" t="str">
        <f>表格3_5[[#This Row],[Location]] &amp; 表格3_5[[#This Row],[Date]] &amp;表格3_5[[#This Row],[Nick Name]]</f>
        <v>0</v>
      </c>
      <c r="D1382" s="202"/>
      <c r="E1382" s="211" t="str">
        <f>DAY(表格3_5[[#This Row],[Date]])&amp;""</f>
        <v>0</v>
      </c>
      <c r="F1382" s="203"/>
      <c r="G1382" s="216">
        <f>_xlfn.XLOOKUP(表格3_5[[#This Row],[Name]],Name_list[Full Name],Name_list[Nick Name])</f>
        <v>0</v>
      </c>
      <c r="H1382" s="207"/>
      <c r="I1382" s="228"/>
      <c r="J1382" s="218"/>
      <c r="K1382" s="205"/>
      <c r="L1382" s="210">
        <f>(表格3_5[[#This Row],[Out-Time]] - 表格3_5[[#This Row],[In-Time]])*24</f>
        <v>0</v>
      </c>
      <c r="M1382" s="210">
        <f>表格3_5[[#This Row],[ Hours]]-表格3_5[[#This Row],[Normal working
 hours]]</f>
        <v>0</v>
      </c>
      <c r="N1382" s="205"/>
      <c r="O1382" s="205"/>
      <c r="P1382" s="210">
        <f>(表格3_5[[#This Row],[Out-Time2]] - 表格3_5[[#This Row],[In-Time2]])*24</f>
        <v>0</v>
      </c>
      <c r="Q1382" s="205"/>
      <c r="R1382" s="214">
        <f>_xlfn.XLOOKUP(表格3_5[[#This Row],[Name]],Name_list[Full Name],Name_list[Hourr Rate])</f>
        <v>0</v>
      </c>
      <c r="S1382" s="210">
        <f>表格3_5[[#This Row],[Hours Worked]]*表格3_5[[#This Row],[Hourly Rate]]</f>
        <v>0</v>
      </c>
    </row>
    <row r="1383" spans="1:19">
      <c r="A1383" s="201">
        <v>1381</v>
      </c>
      <c r="B1383" s="210" t="str">
        <f>_xlfn.CONCAT(表格3_5[[#This Row],[Name]],表格3_5[[#This Row],[Location]])</f>
        <v/>
      </c>
      <c r="C1383" s="211" t="str">
        <f>表格3_5[[#This Row],[Location]] &amp; 表格3_5[[#This Row],[Date]] &amp;表格3_5[[#This Row],[Nick Name]]</f>
        <v>0</v>
      </c>
      <c r="D1383" s="202"/>
      <c r="E1383" s="211" t="str">
        <f>DAY(表格3_5[[#This Row],[Date]])&amp;""</f>
        <v>0</v>
      </c>
      <c r="F1383" s="203"/>
      <c r="G1383" s="216">
        <f>_xlfn.XLOOKUP(表格3_5[[#This Row],[Name]],Name_list[Full Name],Name_list[Nick Name])</f>
        <v>0</v>
      </c>
      <c r="H1383" s="207"/>
      <c r="I1383" s="228"/>
      <c r="J1383" s="218"/>
      <c r="K1383" s="205"/>
      <c r="L1383" s="210">
        <f>(表格3_5[[#This Row],[Out-Time]] - 表格3_5[[#This Row],[In-Time]])*24</f>
        <v>0</v>
      </c>
      <c r="M1383" s="210">
        <f>表格3_5[[#This Row],[ Hours]]-表格3_5[[#This Row],[Normal working
 hours]]</f>
        <v>0</v>
      </c>
      <c r="N1383" s="205"/>
      <c r="O1383" s="205"/>
      <c r="P1383" s="210">
        <f>(表格3_5[[#This Row],[Out-Time2]] - 表格3_5[[#This Row],[In-Time2]])*24</f>
        <v>0</v>
      </c>
      <c r="Q1383" s="205"/>
      <c r="R1383" s="214">
        <f>_xlfn.XLOOKUP(表格3_5[[#This Row],[Name]],Name_list[Full Name],Name_list[Hourr Rate])</f>
        <v>0</v>
      </c>
      <c r="S1383" s="210">
        <f>表格3_5[[#This Row],[Hours Worked]]*表格3_5[[#This Row],[Hourly Rate]]</f>
        <v>0</v>
      </c>
    </row>
    <row r="1384" spans="1:19">
      <c r="A1384" s="201">
        <v>1382</v>
      </c>
      <c r="B1384" s="210" t="str">
        <f>_xlfn.CONCAT(表格3_5[[#This Row],[Name]],表格3_5[[#This Row],[Location]])</f>
        <v/>
      </c>
      <c r="C1384" s="211" t="str">
        <f>表格3_5[[#This Row],[Location]] &amp; 表格3_5[[#This Row],[Date]] &amp;表格3_5[[#This Row],[Nick Name]]</f>
        <v>0</v>
      </c>
      <c r="D1384" s="202"/>
      <c r="E1384" s="211" t="str">
        <f>DAY(表格3_5[[#This Row],[Date]])&amp;""</f>
        <v>0</v>
      </c>
      <c r="F1384" s="203"/>
      <c r="G1384" s="216">
        <f>_xlfn.XLOOKUP(表格3_5[[#This Row],[Name]],Name_list[Full Name],Name_list[Nick Name])</f>
        <v>0</v>
      </c>
      <c r="H1384" s="207"/>
      <c r="I1384" s="228"/>
      <c r="J1384" s="218"/>
      <c r="K1384" s="205"/>
      <c r="L1384" s="210">
        <f>(表格3_5[[#This Row],[Out-Time]] - 表格3_5[[#This Row],[In-Time]])*24</f>
        <v>0</v>
      </c>
      <c r="M1384" s="210">
        <f>表格3_5[[#This Row],[ Hours]]-表格3_5[[#This Row],[Normal working
 hours]]</f>
        <v>0</v>
      </c>
      <c r="N1384" s="205"/>
      <c r="O1384" s="205"/>
      <c r="P1384" s="210">
        <f>(表格3_5[[#This Row],[Out-Time2]] - 表格3_5[[#This Row],[In-Time2]])*24</f>
        <v>0</v>
      </c>
      <c r="Q1384" s="205"/>
      <c r="R1384" s="214">
        <f>_xlfn.XLOOKUP(表格3_5[[#This Row],[Name]],Name_list[Full Name],Name_list[Hourr Rate])</f>
        <v>0</v>
      </c>
      <c r="S1384" s="210">
        <f>表格3_5[[#This Row],[Hours Worked]]*表格3_5[[#This Row],[Hourly Rate]]</f>
        <v>0</v>
      </c>
    </row>
    <row r="1385" spans="1:19">
      <c r="A1385" s="201">
        <v>1383</v>
      </c>
      <c r="B1385" s="210" t="str">
        <f>_xlfn.CONCAT(表格3_5[[#This Row],[Name]],表格3_5[[#This Row],[Location]])</f>
        <v/>
      </c>
      <c r="C1385" s="211" t="str">
        <f>表格3_5[[#This Row],[Location]] &amp; 表格3_5[[#This Row],[Date]] &amp;表格3_5[[#This Row],[Nick Name]]</f>
        <v>0</v>
      </c>
      <c r="D1385" s="202"/>
      <c r="E1385" s="211" t="str">
        <f>DAY(表格3_5[[#This Row],[Date]])&amp;""</f>
        <v>0</v>
      </c>
      <c r="F1385" s="203"/>
      <c r="G1385" s="216">
        <f>_xlfn.XLOOKUP(表格3_5[[#This Row],[Name]],Name_list[Full Name],Name_list[Nick Name])</f>
        <v>0</v>
      </c>
      <c r="H1385" s="207"/>
      <c r="I1385" s="228"/>
      <c r="J1385" s="218"/>
      <c r="K1385" s="205"/>
      <c r="L1385" s="210">
        <f>(表格3_5[[#This Row],[Out-Time]] - 表格3_5[[#This Row],[In-Time]])*24</f>
        <v>0</v>
      </c>
      <c r="M1385" s="210">
        <f>表格3_5[[#This Row],[ Hours]]-表格3_5[[#This Row],[Normal working
 hours]]</f>
        <v>0</v>
      </c>
      <c r="N1385" s="205"/>
      <c r="O1385" s="205"/>
      <c r="P1385" s="210">
        <f>(表格3_5[[#This Row],[Out-Time2]] - 表格3_5[[#This Row],[In-Time2]])*24</f>
        <v>0</v>
      </c>
      <c r="Q1385" s="205"/>
      <c r="R1385" s="214">
        <f>_xlfn.XLOOKUP(表格3_5[[#This Row],[Name]],Name_list[Full Name],Name_list[Hourr Rate])</f>
        <v>0</v>
      </c>
      <c r="S1385" s="210">
        <f>表格3_5[[#This Row],[Hours Worked]]*表格3_5[[#This Row],[Hourly Rate]]</f>
        <v>0</v>
      </c>
    </row>
    <row r="1386" spans="1:19">
      <c r="A1386" s="201">
        <v>1384</v>
      </c>
      <c r="B1386" s="210" t="str">
        <f>_xlfn.CONCAT(表格3_5[[#This Row],[Name]],表格3_5[[#This Row],[Location]])</f>
        <v/>
      </c>
      <c r="C1386" s="211" t="str">
        <f>表格3_5[[#This Row],[Location]] &amp; 表格3_5[[#This Row],[Date]] &amp;表格3_5[[#This Row],[Nick Name]]</f>
        <v>0</v>
      </c>
      <c r="D1386" s="202"/>
      <c r="E1386" s="211" t="str">
        <f>DAY(表格3_5[[#This Row],[Date]])&amp;""</f>
        <v>0</v>
      </c>
      <c r="F1386" s="203"/>
      <c r="G1386" s="216">
        <f>_xlfn.XLOOKUP(表格3_5[[#This Row],[Name]],Name_list[Full Name],Name_list[Nick Name])</f>
        <v>0</v>
      </c>
      <c r="H1386" s="207"/>
      <c r="I1386" s="228"/>
      <c r="J1386" s="218"/>
      <c r="K1386" s="205"/>
      <c r="L1386" s="210">
        <f>(表格3_5[[#This Row],[Out-Time]] - 表格3_5[[#This Row],[In-Time]])*24</f>
        <v>0</v>
      </c>
      <c r="M1386" s="210">
        <f>表格3_5[[#This Row],[ Hours]]-表格3_5[[#This Row],[Normal working
 hours]]</f>
        <v>0</v>
      </c>
      <c r="N1386" s="205"/>
      <c r="O1386" s="205"/>
      <c r="P1386" s="210">
        <f>(表格3_5[[#This Row],[Out-Time2]] - 表格3_5[[#This Row],[In-Time2]])*24</f>
        <v>0</v>
      </c>
      <c r="Q1386" s="205"/>
      <c r="R1386" s="214">
        <f>_xlfn.XLOOKUP(表格3_5[[#This Row],[Name]],Name_list[Full Name],Name_list[Hourr Rate])</f>
        <v>0</v>
      </c>
      <c r="S1386" s="210">
        <f>表格3_5[[#This Row],[Hours Worked]]*表格3_5[[#This Row],[Hourly Rate]]</f>
        <v>0</v>
      </c>
    </row>
    <row r="1387" spans="1:19">
      <c r="A1387" s="201">
        <v>1385</v>
      </c>
      <c r="B1387" s="210" t="str">
        <f>_xlfn.CONCAT(表格3_5[[#This Row],[Name]],表格3_5[[#This Row],[Location]])</f>
        <v/>
      </c>
      <c r="C1387" s="211" t="str">
        <f>表格3_5[[#This Row],[Location]] &amp; 表格3_5[[#This Row],[Date]] &amp;表格3_5[[#This Row],[Nick Name]]</f>
        <v>0</v>
      </c>
      <c r="D1387" s="202"/>
      <c r="E1387" s="211" t="str">
        <f>DAY(表格3_5[[#This Row],[Date]])&amp;""</f>
        <v>0</v>
      </c>
      <c r="F1387" s="203"/>
      <c r="G1387" s="216">
        <f>_xlfn.XLOOKUP(表格3_5[[#This Row],[Name]],Name_list[Full Name],Name_list[Nick Name])</f>
        <v>0</v>
      </c>
      <c r="H1387" s="207"/>
      <c r="I1387" s="228"/>
      <c r="J1387" s="218"/>
      <c r="K1387" s="205"/>
      <c r="L1387" s="210">
        <f>(表格3_5[[#This Row],[Out-Time]] - 表格3_5[[#This Row],[In-Time]])*24</f>
        <v>0</v>
      </c>
      <c r="M1387" s="210">
        <f>表格3_5[[#This Row],[ Hours]]-表格3_5[[#This Row],[Normal working
 hours]]</f>
        <v>0</v>
      </c>
      <c r="N1387" s="205"/>
      <c r="O1387" s="205"/>
      <c r="P1387" s="210">
        <f>(表格3_5[[#This Row],[Out-Time2]] - 表格3_5[[#This Row],[In-Time2]])*24</f>
        <v>0</v>
      </c>
      <c r="Q1387" s="205"/>
      <c r="R1387" s="214">
        <f>_xlfn.XLOOKUP(表格3_5[[#This Row],[Name]],Name_list[Full Name],Name_list[Hourr Rate])</f>
        <v>0</v>
      </c>
      <c r="S1387" s="210">
        <f>表格3_5[[#This Row],[Hours Worked]]*表格3_5[[#This Row],[Hourly Rate]]</f>
        <v>0</v>
      </c>
    </row>
    <row r="1388" spans="1:19">
      <c r="A1388" s="201">
        <v>1386</v>
      </c>
      <c r="B1388" s="210" t="str">
        <f>_xlfn.CONCAT(表格3_5[[#This Row],[Name]],表格3_5[[#This Row],[Location]])</f>
        <v/>
      </c>
      <c r="C1388" s="211" t="str">
        <f>表格3_5[[#This Row],[Location]] &amp; 表格3_5[[#This Row],[Date]] &amp;表格3_5[[#This Row],[Nick Name]]</f>
        <v>0</v>
      </c>
      <c r="D1388" s="202"/>
      <c r="E1388" s="211" t="str">
        <f>DAY(表格3_5[[#This Row],[Date]])&amp;""</f>
        <v>0</v>
      </c>
      <c r="F1388" s="203"/>
      <c r="G1388" s="216">
        <f>_xlfn.XLOOKUP(表格3_5[[#This Row],[Name]],Name_list[Full Name],Name_list[Nick Name])</f>
        <v>0</v>
      </c>
      <c r="H1388" s="207"/>
      <c r="I1388" s="228"/>
      <c r="J1388" s="218"/>
      <c r="K1388" s="205"/>
      <c r="L1388" s="210">
        <f>(表格3_5[[#This Row],[Out-Time]] - 表格3_5[[#This Row],[In-Time]])*24</f>
        <v>0</v>
      </c>
      <c r="M1388" s="210">
        <f>表格3_5[[#This Row],[ Hours]]-表格3_5[[#This Row],[Normal working
 hours]]</f>
        <v>0</v>
      </c>
      <c r="N1388" s="205"/>
      <c r="O1388" s="205"/>
      <c r="P1388" s="210">
        <f>(表格3_5[[#This Row],[Out-Time2]] - 表格3_5[[#This Row],[In-Time2]])*24</f>
        <v>0</v>
      </c>
      <c r="Q1388" s="205"/>
      <c r="R1388" s="214">
        <f>_xlfn.XLOOKUP(表格3_5[[#This Row],[Name]],Name_list[Full Name],Name_list[Hourr Rate])</f>
        <v>0</v>
      </c>
      <c r="S1388" s="210">
        <f>表格3_5[[#This Row],[Hours Worked]]*表格3_5[[#This Row],[Hourly Rate]]</f>
        <v>0</v>
      </c>
    </row>
    <row r="1389" spans="1:19">
      <c r="A1389" s="201">
        <v>1387</v>
      </c>
      <c r="B1389" s="210" t="str">
        <f>_xlfn.CONCAT(表格3_5[[#This Row],[Name]],表格3_5[[#This Row],[Location]])</f>
        <v/>
      </c>
      <c r="C1389" s="211" t="str">
        <f>表格3_5[[#This Row],[Location]] &amp; 表格3_5[[#This Row],[Date]] &amp;表格3_5[[#This Row],[Nick Name]]</f>
        <v>0</v>
      </c>
      <c r="D1389" s="202"/>
      <c r="E1389" s="211" t="str">
        <f>DAY(表格3_5[[#This Row],[Date]])&amp;""</f>
        <v>0</v>
      </c>
      <c r="F1389" s="203"/>
      <c r="G1389" s="216">
        <f>_xlfn.XLOOKUP(表格3_5[[#This Row],[Name]],Name_list[Full Name],Name_list[Nick Name])</f>
        <v>0</v>
      </c>
      <c r="H1389" s="207"/>
      <c r="I1389" s="228"/>
      <c r="J1389" s="218"/>
      <c r="K1389" s="205"/>
      <c r="L1389" s="210">
        <f>(表格3_5[[#This Row],[Out-Time]] - 表格3_5[[#This Row],[In-Time]])*24</f>
        <v>0</v>
      </c>
      <c r="M1389" s="210">
        <f>表格3_5[[#This Row],[ Hours]]-表格3_5[[#This Row],[Normal working
 hours]]</f>
        <v>0</v>
      </c>
      <c r="N1389" s="205"/>
      <c r="O1389" s="205"/>
      <c r="P1389" s="210">
        <f>(表格3_5[[#This Row],[Out-Time2]] - 表格3_5[[#This Row],[In-Time2]])*24</f>
        <v>0</v>
      </c>
      <c r="Q1389" s="205"/>
      <c r="R1389" s="214">
        <f>_xlfn.XLOOKUP(表格3_5[[#This Row],[Name]],Name_list[Full Name],Name_list[Hourr Rate])</f>
        <v>0</v>
      </c>
      <c r="S1389" s="210">
        <f>表格3_5[[#This Row],[Hours Worked]]*表格3_5[[#This Row],[Hourly Rate]]</f>
        <v>0</v>
      </c>
    </row>
    <row r="1390" spans="1:19">
      <c r="A1390" s="201">
        <v>1388</v>
      </c>
      <c r="B1390" s="210" t="str">
        <f>_xlfn.CONCAT(表格3_5[[#This Row],[Name]],表格3_5[[#This Row],[Location]])</f>
        <v/>
      </c>
      <c r="C1390" s="211" t="str">
        <f>表格3_5[[#This Row],[Location]] &amp; 表格3_5[[#This Row],[Date]] &amp;表格3_5[[#This Row],[Nick Name]]</f>
        <v>0</v>
      </c>
      <c r="D1390" s="202"/>
      <c r="E1390" s="211" t="str">
        <f>DAY(表格3_5[[#This Row],[Date]])&amp;""</f>
        <v>0</v>
      </c>
      <c r="F1390" s="203"/>
      <c r="G1390" s="216">
        <f>_xlfn.XLOOKUP(表格3_5[[#This Row],[Name]],Name_list[Full Name],Name_list[Nick Name])</f>
        <v>0</v>
      </c>
      <c r="H1390" s="207"/>
      <c r="I1390" s="228"/>
      <c r="J1390" s="218"/>
      <c r="K1390" s="205"/>
      <c r="L1390" s="210">
        <f>(表格3_5[[#This Row],[Out-Time]] - 表格3_5[[#This Row],[In-Time]])*24</f>
        <v>0</v>
      </c>
      <c r="M1390" s="210">
        <f>表格3_5[[#This Row],[ Hours]]-表格3_5[[#This Row],[Normal working
 hours]]</f>
        <v>0</v>
      </c>
      <c r="N1390" s="205"/>
      <c r="O1390" s="205"/>
      <c r="P1390" s="210">
        <f>(表格3_5[[#This Row],[Out-Time2]] - 表格3_5[[#This Row],[In-Time2]])*24</f>
        <v>0</v>
      </c>
      <c r="Q1390" s="205"/>
      <c r="R1390" s="214">
        <f>_xlfn.XLOOKUP(表格3_5[[#This Row],[Name]],Name_list[Full Name],Name_list[Hourr Rate])</f>
        <v>0</v>
      </c>
      <c r="S1390" s="210">
        <f>表格3_5[[#This Row],[Hours Worked]]*表格3_5[[#This Row],[Hourly Rate]]</f>
        <v>0</v>
      </c>
    </row>
    <row r="1391" spans="1:19">
      <c r="A1391" s="201">
        <v>1389</v>
      </c>
      <c r="B1391" s="210" t="str">
        <f>_xlfn.CONCAT(表格3_5[[#This Row],[Name]],表格3_5[[#This Row],[Location]])</f>
        <v/>
      </c>
      <c r="C1391" s="211" t="str">
        <f>表格3_5[[#This Row],[Location]] &amp; 表格3_5[[#This Row],[Date]] &amp;表格3_5[[#This Row],[Nick Name]]</f>
        <v>0</v>
      </c>
      <c r="D1391" s="202"/>
      <c r="E1391" s="211" t="str">
        <f>DAY(表格3_5[[#This Row],[Date]])&amp;""</f>
        <v>0</v>
      </c>
      <c r="F1391" s="203"/>
      <c r="G1391" s="216">
        <f>_xlfn.XLOOKUP(表格3_5[[#This Row],[Name]],Name_list[Full Name],Name_list[Nick Name])</f>
        <v>0</v>
      </c>
      <c r="H1391" s="207"/>
      <c r="I1391" s="228"/>
      <c r="J1391" s="218"/>
      <c r="K1391" s="205"/>
      <c r="L1391" s="210">
        <f>(表格3_5[[#This Row],[Out-Time]] - 表格3_5[[#This Row],[In-Time]])*24</f>
        <v>0</v>
      </c>
      <c r="M1391" s="210">
        <f>表格3_5[[#This Row],[ Hours]]-表格3_5[[#This Row],[Normal working
 hours]]</f>
        <v>0</v>
      </c>
      <c r="N1391" s="205"/>
      <c r="O1391" s="205"/>
      <c r="P1391" s="210">
        <f>(表格3_5[[#This Row],[Out-Time2]] - 表格3_5[[#This Row],[In-Time2]])*24</f>
        <v>0</v>
      </c>
      <c r="Q1391" s="205"/>
      <c r="R1391" s="214">
        <f>_xlfn.XLOOKUP(表格3_5[[#This Row],[Name]],Name_list[Full Name],Name_list[Hourr Rate])</f>
        <v>0</v>
      </c>
      <c r="S1391" s="210">
        <f>表格3_5[[#This Row],[Hours Worked]]*表格3_5[[#This Row],[Hourly Rate]]</f>
        <v>0</v>
      </c>
    </row>
    <row r="1392" spans="1:19">
      <c r="A1392" s="201">
        <v>1390</v>
      </c>
      <c r="B1392" s="210" t="str">
        <f>_xlfn.CONCAT(表格3_5[[#This Row],[Name]],表格3_5[[#This Row],[Location]])</f>
        <v/>
      </c>
      <c r="C1392" s="211" t="str">
        <f>表格3_5[[#This Row],[Location]] &amp; 表格3_5[[#This Row],[Date]] &amp;表格3_5[[#This Row],[Nick Name]]</f>
        <v>0</v>
      </c>
      <c r="D1392" s="202"/>
      <c r="E1392" s="211" t="str">
        <f>DAY(表格3_5[[#This Row],[Date]])&amp;""</f>
        <v>0</v>
      </c>
      <c r="F1392" s="203"/>
      <c r="G1392" s="216">
        <f>_xlfn.XLOOKUP(表格3_5[[#This Row],[Name]],Name_list[Full Name],Name_list[Nick Name])</f>
        <v>0</v>
      </c>
      <c r="H1392" s="207"/>
      <c r="I1392" s="228"/>
      <c r="J1392" s="218"/>
      <c r="K1392" s="205"/>
      <c r="L1392" s="210">
        <f>(表格3_5[[#This Row],[Out-Time]] - 表格3_5[[#This Row],[In-Time]])*24</f>
        <v>0</v>
      </c>
      <c r="M1392" s="210">
        <f>表格3_5[[#This Row],[ Hours]]-表格3_5[[#This Row],[Normal working
 hours]]</f>
        <v>0</v>
      </c>
      <c r="N1392" s="205"/>
      <c r="O1392" s="205"/>
      <c r="P1392" s="210">
        <f>(表格3_5[[#This Row],[Out-Time2]] - 表格3_5[[#This Row],[In-Time2]])*24</f>
        <v>0</v>
      </c>
      <c r="Q1392" s="205"/>
      <c r="R1392" s="214">
        <f>_xlfn.XLOOKUP(表格3_5[[#This Row],[Name]],Name_list[Full Name],Name_list[Hourr Rate])</f>
        <v>0</v>
      </c>
      <c r="S1392" s="210">
        <f>表格3_5[[#This Row],[Hours Worked]]*表格3_5[[#This Row],[Hourly Rate]]</f>
        <v>0</v>
      </c>
    </row>
    <row r="1393" spans="1:19">
      <c r="A1393" s="201">
        <v>1391</v>
      </c>
      <c r="B1393" s="210" t="str">
        <f>_xlfn.CONCAT(表格3_5[[#This Row],[Name]],表格3_5[[#This Row],[Location]])</f>
        <v/>
      </c>
      <c r="C1393" s="211" t="str">
        <f>表格3_5[[#This Row],[Location]] &amp; 表格3_5[[#This Row],[Date]] &amp;表格3_5[[#This Row],[Nick Name]]</f>
        <v>0</v>
      </c>
      <c r="D1393" s="202"/>
      <c r="E1393" s="211" t="str">
        <f>DAY(表格3_5[[#This Row],[Date]])&amp;""</f>
        <v>0</v>
      </c>
      <c r="F1393" s="203"/>
      <c r="G1393" s="216">
        <f>_xlfn.XLOOKUP(表格3_5[[#This Row],[Name]],Name_list[Full Name],Name_list[Nick Name])</f>
        <v>0</v>
      </c>
      <c r="H1393" s="207"/>
      <c r="I1393" s="228"/>
      <c r="J1393" s="218"/>
      <c r="K1393" s="205"/>
      <c r="L1393" s="210">
        <f>(表格3_5[[#This Row],[Out-Time]] - 表格3_5[[#This Row],[In-Time]])*24</f>
        <v>0</v>
      </c>
      <c r="M1393" s="210">
        <f>表格3_5[[#This Row],[ Hours]]-表格3_5[[#This Row],[Normal working
 hours]]</f>
        <v>0</v>
      </c>
      <c r="N1393" s="205"/>
      <c r="O1393" s="205"/>
      <c r="P1393" s="210">
        <f>(表格3_5[[#This Row],[Out-Time2]] - 表格3_5[[#This Row],[In-Time2]])*24</f>
        <v>0</v>
      </c>
      <c r="Q1393" s="205"/>
      <c r="R1393" s="214">
        <f>_xlfn.XLOOKUP(表格3_5[[#This Row],[Name]],Name_list[Full Name],Name_list[Hourr Rate])</f>
        <v>0</v>
      </c>
      <c r="S1393" s="210">
        <f>表格3_5[[#This Row],[Hours Worked]]*表格3_5[[#This Row],[Hourly Rate]]</f>
        <v>0</v>
      </c>
    </row>
    <row r="1394" spans="1:19">
      <c r="A1394" s="201">
        <v>1392</v>
      </c>
      <c r="B1394" s="210" t="str">
        <f>_xlfn.CONCAT(表格3_5[[#This Row],[Name]],表格3_5[[#This Row],[Location]])</f>
        <v/>
      </c>
      <c r="C1394" s="211" t="str">
        <f>表格3_5[[#This Row],[Location]] &amp; 表格3_5[[#This Row],[Date]] &amp;表格3_5[[#This Row],[Nick Name]]</f>
        <v>0</v>
      </c>
      <c r="D1394" s="202"/>
      <c r="E1394" s="211" t="str">
        <f>DAY(表格3_5[[#This Row],[Date]])&amp;""</f>
        <v>0</v>
      </c>
      <c r="F1394" s="203"/>
      <c r="G1394" s="216">
        <f>_xlfn.XLOOKUP(表格3_5[[#This Row],[Name]],Name_list[Full Name],Name_list[Nick Name])</f>
        <v>0</v>
      </c>
      <c r="H1394" s="207"/>
      <c r="I1394" s="228"/>
      <c r="J1394" s="218"/>
      <c r="K1394" s="205"/>
      <c r="L1394" s="210">
        <f>(表格3_5[[#This Row],[Out-Time]] - 表格3_5[[#This Row],[In-Time]])*24</f>
        <v>0</v>
      </c>
      <c r="M1394" s="210">
        <f>表格3_5[[#This Row],[ Hours]]-表格3_5[[#This Row],[Normal working
 hours]]</f>
        <v>0</v>
      </c>
      <c r="N1394" s="205"/>
      <c r="O1394" s="205"/>
      <c r="P1394" s="210">
        <f>(表格3_5[[#This Row],[Out-Time2]] - 表格3_5[[#This Row],[In-Time2]])*24</f>
        <v>0</v>
      </c>
      <c r="Q1394" s="205"/>
      <c r="R1394" s="214">
        <f>_xlfn.XLOOKUP(表格3_5[[#This Row],[Name]],Name_list[Full Name],Name_list[Hourr Rate])</f>
        <v>0</v>
      </c>
      <c r="S1394" s="210">
        <f>表格3_5[[#This Row],[Hours Worked]]*表格3_5[[#This Row],[Hourly Rate]]</f>
        <v>0</v>
      </c>
    </row>
    <row r="1395" spans="1:19">
      <c r="A1395" s="201">
        <v>1393</v>
      </c>
      <c r="B1395" s="210" t="str">
        <f>_xlfn.CONCAT(表格3_5[[#This Row],[Name]],表格3_5[[#This Row],[Location]])</f>
        <v/>
      </c>
      <c r="C1395" s="211" t="str">
        <f>表格3_5[[#This Row],[Location]] &amp; 表格3_5[[#This Row],[Date]] &amp;表格3_5[[#This Row],[Nick Name]]</f>
        <v>0</v>
      </c>
      <c r="D1395" s="202"/>
      <c r="E1395" s="211" t="str">
        <f>DAY(表格3_5[[#This Row],[Date]])&amp;""</f>
        <v>0</v>
      </c>
      <c r="F1395" s="203"/>
      <c r="G1395" s="216">
        <f>_xlfn.XLOOKUP(表格3_5[[#This Row],[Name]],Name_list[Full Name],Name_list[Nick Name])</f>
        <v>0</v>
      </c>
      <c r="H1395" s="207"/>
      <c r="I1395" s="228"/>
      <c r="J1395" s="218"/>
      <c r="K1395" s="205"/>
      <c r="L1395" s="210">
        <f>(表格3_5[[#This Row],[Out-Time]] - 表格3_5[[#This Row],[In-Time]])*24</f>
        <v>0</v>
      </c>
      <c r="M1395" s="210">
        <f>表格3_5[[#This Row],[ Hours]]-表格3_5[[#This Row],[Normal working
 hours]]</f>
        <v>0</v>
      </c>
      <c r="N1395" s="205"/>
      <c r="O1395" s="205"/>
      <c r="P1395" s="210">
        <f>(表格3_5[[#This Row],[Out-Time2]] - 表格3_5[[#This Row],[In-Time2]])*24</f>
        <v>0</v>
      </c>
      <c r="Q1395" s="205"/>
      <c r="R1395" s="214">
        <f>_xlfn.XLOOKUP(表格3_5[[#This Row],[Name]],Name_list[Full Name],Name_list[Hourr Rate])</f>
        <v>0</v>
      </c>
      <c r="S1395" s="210">
        <f>表格3_5[[#This Row],[Hours Worked]]*表格3_5[[#This Row],[Hourly Rate]]</f>
        <v>0</v>
      </c>
    </row>
    <row r="1396" spans="1:19">
      <c r="A1396" s="201">
        <v>1394</v>
      </c>
      <c r="B1396" s="210" t="str">
        <f>_xlfn.CONCAT(表格3_5[[#This Row],[Name]],表格3_5[[#This Row],[Location]])</f>
        <v/>
      </c>
      <c r="C1396" s="211" t="str">
        <f>表格3_5[[#This Row],[Location]] &amp; 表格3_5[[#This Row],[Date]] &amp;表格3_5[[#This Row],[Nick Name]]</f>
        <v>0</v>
      </c>
      <c r="D1396" s="202"/>
      <c r="E1396" s="211" t="str">
        <f>DAY(表格3_5[[#This Row],[Date]])&amp;""</f>
        <v>0</v>
      </c>
      <c r="F1396" s="203"/>
      <c r="G1396" s="216">
        <f>_xlfn.XLOOKUP(表格3_5[[#This Row],[Name]],Name_list[Full Name],Name_list[Nick Name])</f>
        <v>0</v>
      </c>
      <c r="H1396" s="207"/>
      <c r="I1396" s="228"/>
      <c r="J1396" s="218"/>
      <c r="K1396" s="205"/>
      <c r="L1396" s="210">
        <f>(表格3_5[[#This Row],[Out-Time]] - 表格3_5[[#This Row],[In-Time]])*24</f>
        <v>0</v>
      </c>
      <c r="M1396" s="210">
        <f>表格3_5[[#This Row],[ Hours]]-表格3_5[[#This Row],[Normal working
 hours]]</f>
        <v>0</v>
      </c>
      <c r="N1396" s="205"/>
      <c r="O1396" s="205"/>
      <c r="P1396" s="210">
        <f>(表格3_5[[#This Row],[Out-Time2]] - 表格3_5[[#This Row],[In-Time2]])*24</f>
        <v>0</v>
      </c>
      <c r="Q1396" s="205"/>
      <c r="R1396" s="214">
        <f>_xlfn.XLOOKUP(表格3_5[[#This Row],[Name]],Name_list[Full Name],Name_list[Hourr Rate])</f>
        <v>0</v>
      </c>
      <c r="S1396" s="210">
        <f>表格3_5[[#This Row],[Hours Worked]]*表格3_5[[#This Row],[Hourly Rate]]</f>
        <v>0</v>
      </c>
    </row>
    <row r="1397" spans="1:19">
      <c r="A1397" s="201">
        <v>1395</v>
      </c>
      <c r="B1397" s="210" t="str">
        <f>_xlfn.CONCAT(表格3_5[[#This Row],[Name]],表格3_5[[#This Row],[Location]])</f>
        <v/>
      </c>
      <c r="C1397" s="211" t="str">
        <f>表格3_5[[#This Row],[Location]] &amp; 表格3_5[[#This Row],[Date]] &amp;表格3_5[[#This Row],[Nick Name]]</f>
        <v>0</v>
      </c>
      <c r="D1397" s="202"/>
      <c r="E1397" s="211" t="str">
        <f>DAY(表格3_5[[#This Row],[Date]])&amp;""</f>
        <v>0</v>
      </c>
      <c r="F1397" s="203"/>
      <c r="G1397" s="216">
        <f>_xlfn.XLOOKUP(表格3_5[[#This Row],[Name]],Name_list[Full Name],Name_list[Nick Name])</f>
        <v>0</v>
      </c>
      <c r="H1397" s="207"/>
      <c r="I1397" s="228"/>
      <c r="J1397" s="218"/>
      <c r="K1397" s="205"/>
      <c r="L1397" s="210">
        <f>(表格3_5[[#This Row],[Out-Time]] - 表格3_5[[#This Row],[In-Time]])*24</f>
        <v>0</v>
      </c>
      <c r="M1397" s="210">
        <f>表格3_5[[#This Row],[ Hours]]-表格3_5[[#This Row],[Normal working
 hours]]</f>
        <v>0</v>
      </c>
      <c r="N1397" s="205"/>
      <c r="O1397" s="205"/>
      <c r="P1397" s="210">
        <f>(表格3_5[[#This Row],[Out-Time2]] - 表格3_5[[#This Row],[In-Time2]])*24</f>
        <v>0</v>
      </c>
      <c r="Q1397" s="205"/>
      <c r="R1397" s="214">
        <f>_xlfn.XLOOKUP(表格3_5[[#This Row],[Name]],Name_list[Full Name],Name_list[Hourr Rate])</f>
        <v>0</v>
      </c>
      <c r="S1397" s="210">
        <f>表格3_5[[#This Row],[Hours Worked]]*表格3_5[[#This Row],[Hourly Rate]]</f>
        <v>0</v>
      </c>
    </row>
    <row r="1398" spans="1:19">
      <c r="A1398" s="201">
        <v>1396</v>
      </c>
      <c r="B1398" s="210" t="str">
        <f>_xlfn.CONCAT(表格3_5[[#This Row],[Name]],表格3_5[[#This Row],[Location]])</f>
        <v/>
      </c>
      <c r="C1398" s="211" t="str">
        <f>表格3_5[[#This Row],[Location]] &amp; 表格3_5[[#This Row],[Date]] &amp;表格3_5[[#This Row],[Nick Name]]</f>
        <v>0</v>
      </c>
      <c r="D1398" s="202"/>
      <c r="E1398" s="211" t="str">
        <f>DAY(表格3_5[[#This Row],[Date]])&amp;""</f>
        <v>0</v>
      </c>
      <c r="F1398" s="203"/>
      <c r="G1398" s="216">
        <f>_xlfn.XLOOKUP(表格3_5[[#This Row],[Name]],Name_list[Full Name],Name_list[Nick Name])</f>
        <v>0</v>
      </c>
      <c r="H1398" s="207"/>
      <c r="I1398" s="228"/>
      <c r="J1398" s="218"/>
      <c r="K1398" s="205"/>
      <c r="L1398" s="210">
        <f>(表格3_5[[#This Row],[Out-Time]] - 表格3_5[[#This Row],[In-Time]])*24</f>
        <v>0</v>
      </c>
      <c r="M1398" s="210">
        <f>表格3_5[[#This Row],[ Hours]]-表格3_5[[#This Row],[Normal working
 hours]]</f>
        <v>0</v>
      </c>
      <c r="N1398" s="205"/>
      <c r="O1398" s="205"/>
      <c r="P1398" s="210">
        <f>(表格3_5[[#This Row],[Out-Time2]] - 表格3_5[[#This Row],[In-Time2]])*24</f>
        <v>0</v>
      </c>
      <c r="Q1398" s="205"/>
      <c r="R1398" s="214">
        <f>_xlfn.XLOOKUP(表格3_5[[#This Row],[Name]],Name_list[Full Name],Name_list[Hourr Rate])</f>
        <v>0</v>
      </c>
      <c r="S1398" s="210">
        <f>表格3_5[[#This Row],[Hours Worked]]*表格3_5[[#This Row],[Hourly Rate]]</f>
        <v>0</v>
      </c>
    </row>
    <row r="1399" spans="1:19">
      <c r="A1399" s="201">
        <v>1397</v>
      </c>
      <c r="B1399" s="210" t="str">
        <f>_xlfn.CONCAT(表格3_5[[#This Row],[Name]],表格3_5[[#This Row],[Location]])</f>
        <v/>
      </c>
      <c r="C1399" s="211" t="str">
        <f>表格3_5[[#This Row],[Location]] &amp; 表格3_5[[#This Row],[Date]] &amp;表格3_5[[#This Row],[Nick Name]]</f>
        <v>0</v>
      </c>
      <c r="D1399" s="202"/>
      <c r="E1399" s="211" t="str">
        <f>DAY(表格3_5[[#This Row],[Date]])&amp;""</f>
        <v>0</v>
      </c>
      <c r="F1399" s="203"/>
      <c r="G1399" s="216">
        <f>_xlfn.XLOOKUP(表格3_5[[#This Row],[Name]],Name_list[Full Name],Name_list[Nick Name])</f>
        <v>0</v>
      </c>
      <c r="H1399" s="207"/>
      <c r="I1399" s="228"/>
      <c r="J1399" s="218"/>
      <c r="K1399" s="205"/>
      <c r="L1399" s="210">
        <f>(表格3_5[[#This Row],[Out-Time]] - 表格3_5[[#This Row],[In-Time]])*24</f>
        <v>0</v>
      </c>
      <c r="M1399" s="210">
        <f>表格3_5[[#This Row],[ Hours]]-表格3_5[[#This Row],[Normal working
 hours]]</f>
        <v>0</v>
      </c>
      <c r="N1399" s="205"/>
      <c r="O1399" s="205"/>
      <c r="P1399" s="210">
        <f>(表格3_5[[#This Row],[Out-Time2]] - 表格3_5[[#This Row],[In-Time2]])*24</f>
        <v>0</v>
      </c>
      <c r="Q1399" s="205"/>
      <c r="R1399" s="214">
        <f>_xlfn.XLOOKUP(表格3_5[[#This Row],[Name]],Name_list[Full Name],Name_list[Hourr Rate])</f>
        <v>0</v>
      </c>
      <c r="S1399" s="210">
        <f>表格3_5[[#This Row],[Hours Worked]]*表格3_5[[#This Row],[Hourly Rate]]</f>
        <v>0</v>
      </c>
    </row>
    <row r="1400" spans="1:19">
      <c r="A1400" s="201">
        <v>1398</v>
      </c>
      <c r="B1400" s="210" t="str">
        <f>_xlfn.CONCAT(表格3_5[[#This Row],[Name]],表格3_5[[#This Row],[Location]])</f>
        <v/>
      </c>
      <c r="C1400" s="211" t="str">
        <f>表格3_5[[#This Row],[Location]] &amp; 表格3_5[[#This Row],[Date]] &amp;表格3_5[[#This Row],[Nick Name]]</f>
        <v>0</v>
      </c>
      <c r="D1400" s="202"/>
      <c r="E1400" s="211" t="str">
        <f>DAY(表格3_5[[#This Row],[Date]])&amp;""</f>
        <v>0</v>
      </c>
      <c r="F1400" s="203"/>
      <c r="G1400" s="216">
        <f>_xlfn.XLOOKUP(表格3_5[[#This Row],[Name]],Name_list[Full Name],Name_list[Nick Name])</f>
        <v>0</v>
      </c>
      <c r="H1400" s="207"/>
      <c r="I1400" s="228"/>
      <c r="J1400" s="218"/>
      <c r="K1400" s="205"/>
      <c r="L1400" s="210">
        <f>(表格3_5[[#This Row],[Out-Time]] - 表格3_5[[#This Row],[In-Time]])*24</f>
        <v>0</v>
      </c>
      <c r="M1400" s="210">
        <f>表格3_5[[#This Row],[ Hours]]-表格3_5[[#This Row],[Normal working
 hours]]</f>
        <v>0</v>
      </c>
      <c r="N1400" s="205"/>
      <c r="O1400" s="205"/>
      <c r="P1400" s="210">
        <f>(表格3_5[[#This Row],[Out-Time2]] - 表格3_5[[#This Row],[In-Time2]])*24</f>
        <v>0</v>
      </c>
      <c r="Q1400" s="205"/>
      <c r="R1400" s="214">
        <f>_xlfn.XLOOKUP(表格3_5[[#This Row],[Name]],Name_list[Full Name],Name_list[Hourr Rate])</f>
        <v>0</v>
      </c>
      <c r="S1400" s="210">
        <f>表格3_5[[#This Row],[Hours Worked]]*表格3_5[[#This Row],[Hourly Rate]]</f>
        <v>0</v>
      </c>
    </row>
    <row r="1401" spans="1:19">
      <c r="A1401" s="201">
        <v>1399</v>
      </c>
      <c r="B1401" s="210" t="str">
        <f>_xlfn.CONCAT(表格3_5[[#This Row],[Name]],表格3_5[[#This Row],[Location]])</f>
        <v/>
      </c>
      <c r="C1401" s="211" t="str">
        <f>表格3_5[[#This Row],[Location]] &amp; 表格3_5[[#This Row],[Date]] &amp;表格3_5[[#This Row],[Nick Name]]</f>
        <v>0</v>
      </c>
      <c r="D1401" s="202"/>
      <c r="E1401" s="211" t="str">
        <f>DAY(表格3_5[[#This Row],[Date]])&amp;""</f>
        <v>0</v>
      </c>
      <c r="F1401" s="203"/>
      <c r="G1401" s="216">
        <f>_xlfn.XLOOKUP(表格3_5[[#This Row],[Name]],Name_list[Full Name],Name_list[Nick Name])</f>
        <v>0</v>
      </c>
      <c r="H1401" s="207"/>
      <c r="I1401" s="228"/>
      <c r="J1401" s="218"/>
      <c r="K1401" s="205"/>
      <c r="L1401" s="210">
        <f>(表格3_5[[#This Row],[Out-Time]] - 表格3_5[[#This Row],[In-Time]])*24</f>
        <v>0</v>
      </c>
      <c r="M1401" s="210">
        <f>表格3_5[[#This Row],[ Hours]]-表格3_5[[#This Row],[Normal working
 hours]]</f>
        <v>0</v>
      </c>
      <c r="N1401" s="205"/>
      <c r="O1401" s="205"/>
      <c r="P1401" s="210">
        <f>(表格3_5[[#This Row],[Out-Time2]] - 表格3_5[[#This Row],[In-Time2]])*24</f>
        <v>0</v>
      </c>
      <c r="Q1401" s="205"/>
      <c r="R1401" s="214">
        <f>_xlfn.XLOOKUP(表格3_5[[#This Row],[Name]],Name_list[Full Name],Name_list[Hourr Rate])</f>
        <v>0</v>
      </c>
      <c r="S1401" s="210">
        <f>表格3_5[[#This Row],[Hours Worked]]*表格3_5[[#This Row],[Hourly Rate]]</f>
        <v>0</v>
      </c>
    </row>
    <row r="1402" spans="1:19">
      <c r="A1402" s="201">
        <v>1400</v>
      </c>
      <c r="B1402" s="210" t="str">
        <f>_xlfn.CONCAT(表格3_5[[#This Row],[Name]],表格3_5[[#This Row],[Location]])</f>
        <v/>
      </c>
      <c r="C1402" s="211" t="str">
        <f>表格3_5[[#This Row],[Location]] &amp; 表格3_5[[#This Row],[Date]] &amp;表格3_5[[#This Row],[Nick Name]]</f>
        <v>0</v>
      </c>
      <c r="D1402" s="202"/>
      <c r="E1402" s="211" t="str">
        <f>DAY(表格3_5[[#This Row],[Date]])&amp;""</f>
        <v>0</v>
      </c>
      <c r="F1402" s="203"/>
      <c r="G1402" s="216">
        <f>_xlfn.XLOOKUP(表格3_5[[#This Row],[Name]],Name_list[Full Name],Name_list[Nick Name])</f>
        <v>0</v>
      </c>
      <c r="H1402" s="207"/>
      <c r="I1402" s="228"/>
      <c r="J1402" s="218"/>
      <c r="K1402" s="205"/>
      <c r="L1402" s="210">
        <f>(表格3_5[[#This Row],[Out-Time]] - 表格3_5[[#This Row],[In-Time]])*24</f>
        <v>0</v>
      </c>
      <c r="M1402" s="210">
        <f>表格3_5[[#This Row],[ Hours]]-表格3_5[[#This Row],[Normal working
 hours]]</f>
        <v>0</v>
      </c>
      <c r="N1402" s="205"/>
      <c r="O1402" s="205"/>
      <c r="P1402" s="210">
        <f>(表格3_5[[#This Row],[Out-Time2]] - 表格3_5[[#This Row],[In-Time2]])*24</f>
        <v>0</v>
      </c>
      <c r="Q1402" s="205"/>
      <c r="R1402" s="214">
        <f>_xlfn.XLOOKUP(表格3_5[[#This Row],[Name]],Name_list[Full Name],Name_list[Hourr Rate])</f>
        <v>0</v>
      </c>
      <c r="S1402" s="210">
        <f>表格3_5[[#This Row],[Hours Worked]]*表格3_5[[#This Row],[Hourly Rate]]</f>
        <v>0</v>
      </c>
    </row>
    <row r="1403" spans="1:19">
      <c r="A1403" s="201">
        <v>1401</v>
      </c>
      <c r="B1403" s="210" t="str">
        <f>_xlfn.CONCAT(表格3_5[[#This Row],[Name]],表格3_5[[#This Row],[Location]])</f>
        <v/>
      </c>
      <c r="C1403" s="211" t="str">
        <f>表格3_5[[#This Row],[Location]] &amp; 表格3_5[[#This Row],[Date]] &amp;表格3_5[[#This Row],[Nick Name]]</f>
        <v>0</v>
      </c>
      <c r="D1403" s="202"/>
      <c r="E1403" s="211" t="str">
        <f>DAY(表格3_5[[#This Row],[Date]])&amp;""</f>
        <v>0</v>
      </c>
      <c r="F1403" s="203"/>
      <c r="G1403" s="216">
        <f>_xlfn.XLOOKUP(表格3_5[[#This Row],[Name]],Name_list[Full Name],Name_list[Nick Name])</f>
        <v>0</v>
      </c>
      <c r="H1403" s="207"/>
      <c r="I1403" s="228"/>
      <c r="J1403" s="218"/>
      <c r="K1403" s="205"/>
      <c r="L1403" s="210">
        <f>(表格3_5[[#This Row],[Out-Time]] - 表格3_5[[#This Row],[In-Time]])*24</f>
        <v>0</v>
      </c>
      <c r="M1403" s="210">
        <f>表格3_5[[#This Row],[ Hours]]-表格3_5[[#This Row],[Normal working
 hours]]</f>
        <v>0</v>
      </c>
      <c r="N1403" s="205"/>
      <c r="O1403" s="205"/>
      <c r="P1403" s="210">
        <f>(表格3_5[[#This Row],[Out-Time2]] - 表格3_5[[#This Row],[In-Time2]])*24</f>
        <v>0</v>
      </c>
      <c r="Q1403" s="205"/>
      <c r="R1403" s="214">
        <f>_xlfn.XLOOKUP(表格3_5[[#This Row],[Name]],Name_list[Full Name],Name_list[Hourr Rate])</f>
        <v>0</v>
      </c>
      <c r="S1403" s="210">
        <f>表格3_5[[#This Row],[Hours Worked]]*表格3_5[[#This Row],[Hourly Rate]]</f>
        <v>0</v>
      </c>
    </row>
    <row r="1404" spans="1:19">
      <c r="A1404" s="201">
        <v>1402</v>
      </c>
      <c r="B1404" s="210" t="str">
        <f>_xlfn.CONCAT(表格3_5[[#This Row],[Name]],表格3_5[[#This Row],[Location]])</f>
        <v/>
      </c>
      <c r="C1404" s="211" t="str">
        <f>表格3_5[[#This Row],[Location]] &amp; 表格3_5[[#This Row],[Date]] &amp;表格3_5[[#This Row],[Nick Name]]</f>
        <v>0</v>
      </c>
      <c r="D1404" s="202"/>
      <c r="E1404" s="211" t="str">
        <f>DAY(表格3_5[[#This Row],[Date]])&amp;""</f>
        <v>0</v>
      </c>
      <c r="F1404" s="203"/>
      <c r="G1404" s="216">
        <f>_xlfn.XLOOKUP(表格3_5[[#This Row],[Name]],Name_list[Full Name],Name_list[Nick Name])</f>
        <v>0</v>
      </c>
      <c r="H1404" s="207"/>
      <c r="I1404" s="228"/>
      <c r="J1404" s="218"/>
      <c r="K1404" s="205"/>
      <c r="L1404" s="210">
        <f>(表格3_5[[#This Row],[Out-Time]] - 表格3_5[[#This Row],[In-Time]])*24</f>
        <v>0</v>
      </c>
      <c r="M1404" s="210">
        <f>表格3_5[[#This Row],[ Hours]]-表格3_5[[#This Row],[Normal working
 hours]]</f>
        <v>0</v>
      </c>
      <c r="N1404" s="205"/>
      <c r="O1404" s="205"/>
      <c r="P1404" s="210">
        <f>(表格3_5[[#This Row],[Out-Time2]] - 表格3_5[[#This Row],[In-Time2]])*24</f>
        <v>0</v>
      </c>
      <c r="Q1404" s="205"/>
      <c r="R1404" s="214">
        <f>_xlfn.XLOOKUP(表格3_5[[#This Row],[Name]],Name_list[Full Name],Name_list[Hourr Rate])</f>
        <v>0</v>
      </c>
      <c r="S1404" s="210">
        <f>表格3_5[[#This Row],[Hours Worked]]*表格3_5[[#This Row],[Hourly Rate]]</f>
        <v>0</v>
      </c>
    </row>
    <row r="1405" spans="1:19">
      <c r="A1405" s="201">
        <v>1403</v>
      </c>
      <c r="B1405" s="210" t="str">
        <f>_xlfn.CONCAT(表格3_5[[#This Row],[Name]],表格3_5[[#This Row],[Location]])</f>
        <v/>
      </c>
      <c r="C1405" s="211" t="str">
        <f>表格3_5[[#This Row],[Location]] &amp; 表格3_5[[#This Row],[Date]] &amp;表格3_5[[#This Row],[Nick Name]]</f>
        <v>0</v>
      </c>
      <c r="D1405" s="202"/>
      <c r="E1405" s="211" t="str">
        <f>DAY(表格3_5[[#This Row],[Date]])&amp;""</f>
        <v>0</v>
      </c>
      <c r="F1405" s="203"/>
      <c r="G1405" s="216">
        <f>_xlfn.XLOOKUP(表格3_5[[#This Row],[Name]],Name_list[Full Name],Name_list[Nick Name])</f>
        <v>0</v>
      </c>
      <c r="H1405" s="207"/>
      <c r="I1405" s="228"/>
      <c r="J1405" s="218"/>
      <c r="K1405" s="205"/>
      <c r="L1405" s="210">
        <f>(表格3_5[[#This Row],[Out-Time]] - 表格3_5[[#This Row],[In-Time]])*24</f>
        <v>0</v>
      </c>
      <c r="M1405" s="210">
        <f>表格3_5[[#This Row],[ Hours]]-表格3_5[[#This Row],[Normal working
 hours]]</f>
        <v>0</v>
      </c>
      <c r="N1405" s="205"/>
      <c r="O1405" s="205"/>
      <c r="P1405" s="210">
        <f>(表格3_5[[#This Row],[Out-Time2]] - 表格3_5[[#This Row],[In-Time2]])*24</f>
        <v>0</v>
      </c>
      <c r="Q1405" s="205"/>
      <c r="R1405" s="214">
        <f>_xlfn.XLOOKUP(表格3_5[[#This Row],[Name]],Name_list[Full Name],Name_list[Hourr Rate])</f>
        <v>0</v>
      </c>
      <c r="S1405" s="210">
        <f>表格3_5[[#This Row],[Hours Worked]]*表格3_5[[#This Row],[Hourly Rate]]</f>
        <v>0</v>
      </c>
    </row>
    <row r="1406" spans="1:19">
      <c r="A1406" s="201">
        <v>1404</v>
      </c>
      <c r="B1406" s="210" t="str">
        <f>_xlfn.CONCAT(表格3_5[[#This Row],[Name]],表格3_5[[#This Row],[Location]])</f>
        <v/>
      </c>
      <c r="C1406" s="211" t="str">
        <f>表格3_5[[#This Row],[Location]] &amp; 表格3_5[[#This Row],[Date]] &amp;表格3_5[[#This Row],[Nick Name]]</f>
        <v>0</v>
      </c>
      <c r="D1406" s="202"/>
      <c r="E1406" s="211" t="str">
        <f>DAY(表格3_5[[#This Row],[Date]])&amp;""</f>
        <v>0</v>
      </c>
      <c r="F1406" s="203"/>
      <c r="G1406" s="216">
        <f>_xlfn.XLOOKUP(表格3_5[[#This Row],[Name]],Name_list[Full Name],Name_list[Nick Name])</f>
        <v>0</v>
      </c>
      <c r="H1406" s="207"/>
      <c r="I1406" s="228"/>
      <c r="J1406" s="218"/>
      <c r="K1406" s="205"/>
      <c r="L1406" s="210">
        <f>(表格3_5[[#This Row],[Out-Time]] - 表格3_5[[#This Row],[In-Time]])*24</f>
        <v>0</v>
      </c>
      <c r="M1406" s="210">
        <f>表格3_5[[#This Row],[ Hours]]-表格3_5[[#This Row],[Normal working
 hours]]</f>
        <v>0</v>
      </c>
      <c r="N1406" s="205"/>
      <c r="O1406" s="205"/>
      <c r="P1406" s="210">
        <f>(表格3_5[[#This Row],[Out-Time2]] - 表格3_5[[#This Row],[In-Time2]])*24</f>
        <v>0</v>
      </c>
      <c r="Q1406" s="205"/>
      <c r="R1406" s="214">
        <f>_xlfn.XLOOKUP(表格3_5[[#This Row],[Name]],Name_list[Full Name],Name_list[Hourr Rate])</f>
        <v>0</v>
      </c>
      <c r="S1406" s="210">
        <f>表格3_5[[#This Row],[Hours Worked]]*表格3_5[[#This Row],[Hourly Rate]]</f>
        <v>0</v>
      </c>
    </row>
    <row r="1407" spans="1:19">
      <c r="A1407" s="201">
        <v>1405</v>
      </c>
      <c r="B1407" s="210" t="str">
        <f>_xlfn.CONCAT(表格3_5[[#This Row],[Name]],表格3_5[[#This Row],[Location]])</f>
        <v/>
      </c>
      <c r="C1407" s="211" t="str">
        <f>表格3_5[[#This Row],[Location]] &amp; 表格3_5[[#This Row],[Date]] &amp;表格3_5[[#This Row],[Nick Name]]</f>
        <v>0</v>
      </c>
      <c r="D1407" s="202"/>
      <c r="E1407" s="211" t="str">
        <f>DAY(表格3_5[[#This Row],[Date]])&amp;""</f>
        <v>0</v>
      </c>
      <c r="F1407" s="203"/>
      <c r="G1407" s="216">
        <f>_xlfn.XLOOKUP(表格3_5[[#This Row],[Name]],Name_list[Full Name],Name_list[Nick Name])</f>
        <v>0</v>
      </c>
      <c r="H1407" s="207"/>
      <c r="I1407" s="228"/>
      <c r="J1407" s="218"/>
      <c r="K1407" s="205"/>
      <c r="L1407" s="210">
        <f>(表格3_5[[#This Row],[Out-Time]] - 表格3_5[[#This Row],[In-Time]])*24</f>
        <v>0</v>
      </c>
      <c r="M1407" s="210">
        <f>表格3_5[[#This Row],[ Hours]]-表格3_5[[#This Row],[Normal working
 hours]]</f>
        <v>0</v>
      </c>
      <c r="N1407" s="205"/>
      <c r="O1407" s="205"/>
      <c r="P1407" s="210">
        <f>(表格3_5[[#This Row],[Out-Time2]] - 表格3_5[[#This Row],[In-Time2]])*24</f>
        <v>0</v>
      </c>
      <c r="Q1407" s="205"/>
      <c r="R1407" s="214">
        <f>_xlfn.XLOOKUP(表格3_5[[#This Row],[Name]],Name_list[Full Name],Name_list[Hourr Rate])</f>
        <v>0</v>
      </c>
      <c r="S1407" s="210">
        <f>表格3_5[[#This Row],[Hours Worked]]*表格3_5[[#This Row],[Hourly Rate]]</f>
        <v>0</v>
      </c>
    </row>
    <row r="1408" spans="1:19">
      <c r="A1408" s="201">
        <v>1406</v>
      </c>
      <c r="B1408" s="210" t="str">
        <f>_xlfn.CONCAT(表格3_5[[#This Row],[Name]],表格3_5[[#This Row],[Location]])</f>
        <v/>
      </c>
      <c r="C1408" s="211" t="str">
        <f>表格3_5[[#This Row],[Location]] &amp; 表格3_5[[#This Row],[Date]] &amp;表格3_5[[#This Row],[Nick Name]]</f>
        <v>0</v>
      </c>
      <c r="D1408" s="202"/>
      <c r="E1408" s="211" t="str">
        <f>DAY(表格3_5[[#This Row],[Date]])&amp;""</f>
        <v>0</v>
      </c>
      <c r="F1408" s="203"/>
      <c r="G1408" s="216">
        <f>_xlfn.XLOOKUP(表格3_5[[#This Row],[Name]],Name_list[Full Name],Name_list[Nick Name])</f>
        <v>0</v>
      </c>
      <c r="H1408" s="207"/>
      <c r="I1408" s="228"/>
      <c r="J1408" s="218"/>
      <c r="K1408" s="205"/>
      <c r="L1408" s="210">
        <f>(表格3_5[[#This Row],[Out-Time]] - 表格3_5[[#This Row],[In-Time]])*24</f>
        <v>0</v>
      </c>
      <c r="M1408" s="210">
        <f>表格3_5[[#This Row],[ Hours]]-表格3_5[[#This Row],[Normal working
 hours]]</f>
        <v>0</v>
      </c>
      <c r="N1408" s="205"/>
      <c r="O1408" s="205"/>
      <c r="P1408" s="210">
        <f>(表格3_5[[#This Row],[Out-Time2]] - 表格3_5[[#This Row],[In-Time2]])*24</f>
        <v>0</v>
      </c>
      <c r="Q1408" s="205"/>
      <c r="R1408" s="214">
        <f>_xlfn.XLOOKUP(表格3_5[[#This Row],[Name]],Name_list[Full Name],Name_list[Hourr Rate])</f>
        <v>0</v>
      </c>
      <c r="S1408" s="210">
        <f>表格3_5[[#This Row],[Hours Worked]]*表格3_5[[#This Row],[Hourly Rate]]</f>
        <v>0</v>
      </c>
    </row>
    <row r="1409" spans="1:19">
      <c r="A1409" s="201">
        <v>1407</v>
      </c>
      <c r="B1409" s="210" t="str">
        <f>_xlfn.CONCAT(表格3_5[[#This Row],[Name]],表格3_5[[#This Row],[Location]])</f>
        <v/>
      </c>
      <c r="C1409" s="211" t="str">
        <f>表格3_5[[#This Row],[Location]] &amp; 表格3_5[[#This Row],[Date]] &amp;表格3_5[[#This Row],[Nick Name]]</f>
        <v>0</v>
      </c>
      <c r="D1409" s="202"/>
      <c r="E1409" s="211" t="str">
        <f>DAY(表格3_5[[#This Row],[Date]])&amp;""</f>
        <v>0</v>
      </c>
      <c r="F1409" s="203"/>
      <c r="G1409" s="216">
        <f>_xlfn.XLOOKUP(表格3_5[[#This Row],[Name]],Name_list[Full Name],Name_list[Nick Name])</f>
        <v>0</v>
      </c>
      <c r="H1409" s="207"/>
      <c r="I1409" s="228"/>
      <c r="J1409" s="218"/>
      <c r="K1409" s="205"/>
      <c r="L1409" s="210">
        <f>(表格3_5[[#This Row],[Out-Time]] - 表格3_5[[#This Row],[In-Time]])*24</f>
        <v>0</v>
      </c>
      <c r="M1409" s="210">
        <f>表格3_5[[#This Row],[ Hours]]-表格3_5[[#This Row],[Normal working
 hours]]</f>
        <v>0</v>
      </c>
      <c r="N1409" s="205"/>
      <c r="O1409" s="205"/>
      <c r="P1409" s="210">
        <f>(表格3_5[[#This Row],[Out-Time2]] - 表格3_5[[#This Row],[In-Time2]])*24</f>
        <v>0</v>
      </c>
      <c r="Q1409" s="205"/>
      <c r="R1409" s="214">
        <f>_xlfn.XLOOKUP(表格3_5[[#This Row],[Name]],Name_list[Full Name],Name_list[Hourr Rate])</f>
        <v>0</v>
      </c>
      <c r="S1409" s="210">
        <f>表格3_5[[#This Row],[Hours Worked]]*表格3_5[[#This Row],[Hourly Rate]]</f>
        <v>0</v>
      </c>
    </row>
    <row r="1410" spans="1:19">
      <c r="A1410" s="201">
        <v>1408</v>
      </c>
      <c r="B1410" s="210" t="str">
        <f>_xlfn.CONCAT(表格3_5[[#This Row],[Name]],表格3_5[[#This Row],[Location]])</f>
        <v/>
      </c>
      <c r="C1410" s="211" t="str">
        <f>表格3_5[[#This Row],[Location]] &amp; 表格3_5[[#This Row],[Date]] &amp;表格3_5[[#This Row],[Nick Name]]</f>
        <v>0</v>
      </c>
      <c r="D1410" s="202"/>
      <c r="E1410" s="211" t="str">
        <f>DAY(表格3_5[[#This Row],[Date]])&amp;""</f>
        <v>0</v>
      </c>
      <c r="F1410" s="203"/>
      <c r="G1410" s="216">
        <f>_xlfn.XLOOKUP(表格3_5[[#This Row],[Name]],Name_list[Full Name],Name_list[Nick Name])</f>
        <v>0</v>
      </c>
      <c r="H1410" s="207"/>
      <c r="I1410" s="228"/>
      <c r="J1410" s="218"/>
      <c r="K1410" s="205"/>
      <c r="L1410" s="210">
        <f>(表格3_5[[#This Row],[Out-Time]] - 表格3_5[[#This Row],[In-Time]])*24</f>
        <v>0</v>
      </c>
      <c r="M1410" s="210">
        <f>表格3_5[[#This Row],[ Hours]]-表格3_5[[#This Row],[Normal working
 hours]]</f>
        <v>0</v>
      </c>
      <c r="N1410" s="205"/>
      <c r="O1410" s="205"/>
      <c r="P1410" s="210">
        <f>(表格3_5[[#This Row],[Out-Time2]] - 表格3_5[[#This Row],[In-Time2]])*24</f>
        <v>0</v>
      </c>
      <c r="Q1410" s="205"/>
      <c r="R1410" s="214">
        <f>_xlfn.XLOOKUP(表格3_5[[#This Row],[Name]],Name_list[Full Name],Name_list[Hourr Rate])</f>
        <v>0</v>
      </c>
      <c r="S1410" s="210">
        <f>表格3_5[[#This Row],[Hours Worked]]*表格3_5[[#This Row],[Hourly Rate]]</f>
        <v>0</v>
      </c>
    </row>
    <row r="1411" spans="1:19">
      <c r="A1411" s="201">
        <v>1409</v>
      </c>
      <c r="B1411" s="210" t="str">
        <f>_xlfn.CONCAT(表格3_5[[#This Row],[Name]],表格3_5[[#This Row],[Location]])</f>
        <v/>
      </c>
      <c r="C1411" s="211" t="str">
        <f>表格3_5[[#This Row],[Location]] &amp; 表格3_5[[#This Row],[Date]] &amp;表格3_5[[#This Row],[Nick Name]]</f>
        <v>0</v>
      </c>
      <c r="D1411" s="202"/>
      <c r="E1411" s="211" t="str">
        <f>DAY(表格3_5[[#This Row],[Date]])&amp;""</f>
        <v>0</v>
      </c>
      <c r="F1411" s="203"/>
      <c r="G1411" s="216">
        <f>_xlfn.XLOOKUP(表格3_5[[#This Row],[Name]],Name_list[Full Name],Name_list[Nick Name])</f>
        <v>0</v>
      </c>
      <c r="H1411" s="207"/>
      <c r="I1411" s="228"/>
      <c r="J1411" s="218"/>
      <c r="K1411" s="205"/>
      <c r="L1411" s="210">
        <f>(表格3_5[[#This Row],[Out-Time]] - 表格3_5[[#This Row],[In-Time]])*24</f>
        <v>0</v>
      </c>
      <c r="M1411" s="210">
        <f>表格3_5[[#This Row],[ Hours]]-表格3_5[[#This Row],[Normal working
 hours]]</f>
        <v>0</v>
      </c>
      <c r="N1411" s="205"/>
      <c r="O1411" s="205"/>
      <c r="P1411" s="210">
        <f>(表格3_5[[#This Row],[Out-Time2]] - 表格3_5[[#This Row],[In-Time2]])*24</f>
        <v>0</v>
      </c>
      <c r="Q1411" s="205"/>
      <c r="R1411" s="214">
        <f>_xlfn.XLOOKUP(表格3_5[[#This Row],[Name]],Name_list[Full Name],Name_list[Hourr Rate])</f>
        <v>0</v>
      </c>
      <c r="S1411" s="210">
        <f>表格3_5[[#This Row],[Hours Worked]]*表格3_5[[#This Row],[Hourly Rate]]</f>
        <v>0</v>
      </c>
    </row>
    <row r="1412" spans="1:19">
      <c r="A1412" s="201">
        <v>1410</v>
      </c>
      <c r="B1412" s="210" t="str">
        <f>_xlfn.CONCAT(表格3_5[[#This Row],[Name]],表格3_5[[#This Row],[Location]])</f>
        <v/>
      </c>
      <c r="C1412" s="211" t="str">
        <f>表格3_5[[#This Row],[Location]] &amp; 表格3_5[[#This Row],[Date]] &amp;表格3_5[[#This Row],[Nick Name]]</f>
        <v>0</v>
      </c>
      <c r="D1412" s="202"/>
      <c r="E1412" s="211" t="str">
        <f>DAY(表格3_5[[#This Row],[Date]])&amp;""</f>
        <v>0</v>
      </c>
      <c r="F1412" s="203"/>
      <c r="G1412" s="216">
        <f>_xlfn.XLOOKUP(表格3_5[[#This Row],[Name]],Name_list[Full Name],Name_list[Nick Name])</f>
        <v>0</v>
      </c>
      <c r="H1412" s="207"/>
      <c r="I1412" s="228"/>
      <c r="J1412" s="218"/>
      <c r="K1412" s="205"/>
      <c r="L1412" s="210">
        <f>(表格3_5[[#This Row],[Out-Time]] - 表格3_5[[#This Row],[In-Time]])*24</f>
        <v>0</v>
      </c>
      <c r="M1412" s="210">
        <f>表格3_5[[#This Row],[ Hours]]-表格3_5[[#This Row],[Normal working
 hours]]</f>
        <v>0</v>
      </c>
      <c r="N1412" s="205"/>
      <c r="O1412" s="205"/>
      <c r="P1412" s="210">
        <f>(表格3_5[[#This Row],[Out-Time2]] - 表格3_5[[#This Row],[In-Time2]])*24</f>
        <v>0</v>
      </c>
      <c r="Q1412" s="205"/>
      <c r="R1412" s="214">
        <f>_xlfn.XLOOKUP(表格3_5[[#This Row],[Name]],Name_list[Full Name],Name_list[Hourr Rate])</f>
        <v>0</v>
      </c>
      <c r="S1412" s="210">
        <f>表格3_5[[#This Row],[Hours Worked]]*表格3_5[[#This Row],[Hourly Rate]]</f>
        <v>0</v>
      </c>
    </row>
    <row r="1413" spans="1:19">
      <c r="A1413" s="201">
        <v>1411</v>
      </c>
      <c r="B1413" s="210" t="str">
        <f>_xlfn.CONCAT(表格3_5[[#This Row],[Name]],表格3_5[[#This Row],[Location]])</f>
        <v/>
      </c>
      <c r="C1413" s="211" t="str">
        <f>表格3_5[[#This Row],[Location]] &amp; 表格3_5[[#This Row],[Date]] &amp;表格3_5[[#This Row],[Nick Name]]</f>
        <v>0</v>
      </c>
      <c r="D1413" s="202"/>
      <c r="E1413" s="211" t="str">
        <f>DAY(表格3_5[[#This Row],[Date]])&amp;""</f>
        <v>0</v>
      </c>
      <c r="F1413" s="203"/>
      <c r="G1413" s="216">
        <f>_xlfn.XLOOKUP(表格3_5[[#This Row],[Name]],Name_list[Full Name],Name_list[Nick Name])</f>
        <v>0</v>
      </c>
      <c r="H1413" s="207"/>
      <c r="I1413" s="228"/>
      <c r="J1413" s="218"/>
      <c r="K1413" s="205"/>
      <c r="L1413" s="210">
        <f>(表格3_5[[#This Row],[Out-Time]] - 表格3_5[[#This Row],[In-Time]])*24</f>
        <v>0</v>
      </c>
      <c r="M1413" s="210">
        <f>表格3_5[[#This Row],[ Hours]]-表格3_5[[#This Row],[Normal working
 hours]]</f>
        <v>0</v>
      </c>
      <c r="N1413" s="205"/>
      <c r="O1413" s="205"/>
      <c r="P1413" s="210">
        <f>(表格3_5[[#This Row],[Out-Time2]] - 表格3_5[[#This Row],[In-Time2]])*24</f>
        <v>0</v>
      </c>
      <c r="Q1413" s="205"/>
      <c r="R1413" s="214">
        <f>_xlfn.XLOOKUP(表格3_5[[#This Row],[Name]],Name_list[Full Name],Name_list[Hourr Rate])</f>
        <v>0</v>
      </c>
      <c r="S1413" s="210">
        <f>表格3_5[[#This Row],[Hours Worked]]*表格3_5[[#This Row],[Hourly Rate]]</f>
        <v>0</v>
      </c>
    </row>
    <row r="1414" spans="1:19">
      <c r="A1414" s="201">
        <v>1412</v>
      </c>
      <c r="B1414" s="210" t="str">
        <f>_xlfn.CONCAT(表格3_5[[#This Row],[Name]],表格3_5[[#This Row],[Location]])</f>
        <v/>
      </c>
      <c r="C1414" s="211" t="str">
        <f>表格3_5[[#This Row],[Location]] &amp; 表格3_5[[#This Row],[Date]] &amp;表格3_5[[#This Row],[Nick Name]]</f>
        <v>0</v>
      </c>
      <c r="D1414" s="202"/>
      <c r="E1414" s="211" t="str">
        <f>DAY(表格3_5[[#This Row],[Date]])&amp;""</f>
        <v>0</v>
      </c>
      <c r="F1414" s="203"/>
      <c r="G1414" s="216">
        <f>_xlfn.XLOOKUP(表格3_5[[#This Row],[Name]],Name_list[Full Name],Name_list[Nick Name])</f>
        <v>0</v>
      </c>
      <c r="H1414" s="207"/>
      <c r="I1414" s="228"/>
      <c r="J1414" s="218"/>
      <c r="K1414" s="205"/>
      <c r="L1414" s="210">
        <f>(表格3_5[[#This Row],[Out-Time]] - 表格3_5[[#This Row],[In-Time]])*24</f>
        <v>0</v>
      </c>
      <c r="M1414" s="210">
        <f>表格3_5[[#This Row],[ Hours]]-表格3_5[[#This Row],[Normal working
 hours]]</f>
        <v>0</v>
      </c>
      <c r="N1414" s="205"/>
      <c r="O1414" s="205"/>
      <c r="P1414" s="210">
        <f>(表格3_5[[#This Row],[Out-Time2]] - 表格3_5[[#This Row],[In-Time2]])*24</f>
        <v>0</v>
      </c>
      <c r="Q1414" s="205"/>
      <c r="R1414" s="214">
        <f>_xlfn.XLOOKUP(表格3_5[[#This Row],[Name]],Name_list[Full Name],Name_list[Hourr Rate])</f>
        <v>0</v>
      </c>
      <c r="S1414" s="210">
        <f>表格3_5[[#This Row],[Hours Worked]]*表格3_5[[#This Row],[Hourly Rate]]</f>
        <v>0</v>
      </c>
    </row>
    <row r="1415" spans="1:19">
      <c r="A1415" s="201">
        <v>1413</v>
      </c>
      <c r="B1415" s="210" t="str">
        <f>_xlfn.CONCAT(表格3_5[[#This Row],[Name]],表格3_5[[#This Row],[Location]])</f>
        <v/>
      </c>
      <c r="C1415" s="211" t="str">
        <f>表格3_5[[#This Row],[Location]] &amp; 表格3_5[[#This Row],[Date]] &amp;表格3_5[[#This Row],[Nick Name]]</f>
        <v>0</v>
      </c>
      <c r="D1415" s="202"/>
      <c r="E1415" s="211" t="str">
        <f>DAY(表格3_5[[#This Row],[Date]])&amp;""</f>
        <v>0</v>
      </c>
      <c r="F1415" s="203"/>
      <c r="G1415" s="216">
        <f>_xlfn.XLOOKUP(表格3_5[[#This Row],[Name]],Name_list[Full Name],Name_list[Nick Name])</f>
        <v>0</v>
      </c>
      <c r="H1415" s="207"/>
      <c r="I1415" s="228"/>
      <c r="J1415" s="218"/>
      <c r="K1415" s="205"/>
      <c r="L1415" s="210">
        <f>(表格3_5[[#This Row],[Out-Time]] - 表格3_5[[#This Row],[In-Time]])*24</f>
        <v>0</v>
      </c>
      <c r="M1415" s="210">
        <f>表格3_5[[#This Row],[ Hours]]-表格3_5[[#This Row],[Normal working
 hours]]</f>
        <v>0</v>
      </c>
      <c r="N1415" s="205"/>
      <c r="O1415" s="205"/>
      <c r="P1415" s="210">
        <f>(表格3_5[[#This Row],[Out-Time2]] - 表格3_5[[#This Row],[In-Time2]])*24</f>
        <v>0</v>
      </c>
      <c r="Q1415" s="205"/>
      <c r="R1415" s="214">
        <f>_xlfn.XLOOKUP(表格3_5[[#This Row],[Name]],Name_list[Full Name],Name_list[Hourr Rate])</f>
        <v>0</v>
      </c>
      <c r="S1415" s="210">
        <f>表格3_5[[#This Row],[Hours Worked]]*表格3_5[[#This Row],[Hourly Rate]]</f>
        <v>0</v>
      </c>
    </row>
    <row r="1416" spans="1:19">
      <c r="A1416" s="201">
        <v>1414</v>
      </c>
      <c r="B1416" s="210" t="str">
        <f>_xlfn.CONCAT(表格3_5[[#This Row],[Name]],表格3_5[[#This Row],[Location]])</f>
        <v/>
      </c>
      <c r="C1416" s="211" t="str">
        <f>表格3_5[[#This Row],[Location]] &amp; 表格3_5[[#This Row],[Date]] &amp;表格3_5[[#This Row],[Nick Name]]</f>
        <v>0</v>
      </c>
      <c r="D1416" s="202"/>
      <c r="E1416" s="211" t="str">
        <f>DAY(表格3_5[[#This Row],[Date]])&amp;""</f>
        <v>0</v>
      </c>
      <c r="F1416" s="203"/>
      <c r="G1416" s="216">
        <f>_xlfn.XLOOKUP(表格3_5[[#This Row],[Name]],Name_list[Full Name],Name_list[Nick Name])</f>
        <v>0</v>
      </c>
      <c r="H1416" s="207"/>
      <c r="I1416" s="228"/>
      <c r="J1416" s="218"/>
      <c r="K1416" s="205"/>
      <c r="L1416" s="210">
        <f>(表格3_5[[#This Row],[Out-Time]] - 表格3_5[[#This Row],[In-Time]])*24</f>
        <v>0</v>
      </c>
      <c r="M1416" s="210">
        <f>表格3_5[[#This Row],[ Hours]]-表格3_5[[#This Row],[Normal working
 hours]]</f>
        <v>0</v>
      </c>
      <c r="N1416" s="205"/>
      <c r="O1416" s="205"/>
      <c r="P1416" s="210">
        <f>(表格3_5[[#This Row],[Out-Time2]] - 表格3_5[[#This Row],[In-Time2]])*24</f>
        <v>0</v>
      </c>
      <c r="Q1416" s="205"/>
      <c r="R1416" s="214">
        <f>_xlfn.XLOOKUP(表格3_5[[#This Row],[Name]],Name_list[Full Name],Name_list[Hourr Rate])</f>
        <v>0</v>
      </c>
      <c r="S1416" s="210">
        <f>表格3_5[[#This Row],[Hours Worked]]*表格3_5[[#This Row],[Hourly Rate]]</f>
        <v>0</v>
      </c>
    </row>
    <row r="1417" spans="1:19">
      <c r="A1417" s="201">
        <v>1415</v>
      </c>
      <c r="B1417" s="210" t="str">
        <f>_xlfn.CONCAT(表格3_5[[#This Row],[Name]],表格3_5[[#This Row],[Location]])</f>
        <v/>
      </c>
      <c r="C1417" s="211" t="str">
        <f>表格3_5[[#This Row],[Location]] &amp; 表格3_5[[#This Row],[Date]] &amp;表格3_5[[#This Row],[Nick Name]]</f>
        <v>0</v>
      </c>
      <c r="D1417" s="202"/>
      <c r="E1417" s="211" t="str">
        <f>DAY(表格3_5[[#This Row],[Date]])&amp;""</f>
        <v>0</v>
      </c>
      <c r="F1417" s="203"/>
      <c r="G1417" s="216">
        <f>_xlfn.XLOOKUP(表格3_5[[#This Row],[Name]],Name_list[Full Name],Name_list[Nick Name])</f>
        <v>0</v>
      </c>
      <c r="H1417" s="207"/>
      <c r="I1417" s="228"/>
      <c r="J1417" s="218"/>
      <c r="K1417" s="205"/>
      <c r="L1417" s="210">
        <f>(表格3_5[[#This Row],[Out-Time]] - 表格3_5[[#This Row],[In-Time]])*24</f>
        <v>0</v>
      </c>
      <c r="M1417" s="210">
        <f>表格3_5[[#This Row],[ Hours]]-表格3_5[[#This Row],[Normal working
 hours]]</f>
        <v>0</v>
      </c>
      <c r="N1417" s="205"/>
      <c r="O1417" s="205"/>
      <c r="P1417" s="210">
        <f>(表格3_5[[#This Row],[Out-Time2]] - 表格3_5[[#This Row],[In-Time2]])*24</f>
        <v>0</v>
      </c>
      <c r="Q1417" s="205"/>
      <c r="R1417" s="214">
        <f>_xlfn.XLOOKUP(表格3_5[[#This Row],[Name]],Name_list[Full Name],Name_list[Hourr Rate])</f>
        <v>0</v>
      </c>
      <c r="S1417" s="210">
        <f>表格3_5[[#This Row],[Hours Worked]]*表格3_5[[#This Row],[Hourly Rate]]</f>
        <v>0</v>
      </c>
    </row>
    <row r="1418" spans="1:19">
      <c r="A1418" s="201">
        <v>1416</v>
      </c>
      <c r="B1418" s="210" t="str">
        <f>_xlfn.CONCAT(表格3_5[[#This Row],[Name]],表格3_5[[#This Row],[Location]])</f>
        <v/>
      </c>
      <c r="C1418" s="211" t="str">
        <f>表格3_5[[#This Row],[Location]] &amp; 表格3_5[[#This Row],[Date]] &amp;表格3_5[[#This Row],[Nick Name]]</f>
        <v>0</v>
      </c>
      <c r="D1418" s="202"/>
      <c r="E1418" s="211" t="str">
        <f>DAY(表格3_5[[#This Row],[Date]])&amp;""</f>
        <v>0</v>
      </c>
      <c r="F1418" s="203"/>
      <c r="G1418" s="216">
        <f>_xlfn.XLOOKUP(表格3_5[[#This Row],[Name]],Name_list[Full Name],Name_list[Nick Name])</f>
        <v>0</v>
      </c>
      <c r="H1418" s="207"/>
      <c r="I1418" s="228"/>
      <c r="J1418" s="218"/>
      <c r="K1418" s="205"/>
      <c r="L1418" s="210">
        <f>(表格3_5[[#This Row],[Out-Time]] - 表格3_5[[#This Row],[In-Time]])*24</f>
        <v>0</v>
      </c>
      <c r="M1418" s="210">
        <f>表格3_5[[#This Row],[ Hours]]-表格3_5[[#This Row],[Normal working
 hours]]</f>
        <v>0</v>
      </c>
      <c r="N1418" s="205"/>
      <c r="O1418" s="205"/>
      <c r="P1418" s="210">
        <f>(表格3_5[[#This Row],[Out-Time2]] - 表格3_5[[#This Row],[In-Time2]])*24</f>
        <v>0</v>
      </c>
      <c r="Q1418" s="205"/>
      <c r="R1418" s="214">
        <f>_xlfn.XLOOKUP(表格3_5[[#This Row],[Name]],Name_list[Full Name],Name_list[Hourr Rate])</f>
        <v>0</v>
      </c>
      <c r="S1418" s="210">
        <f>表格3_5[[#This Row],[Hours Worked]]*表格3_5[[#This Row],[Hourly Rate]]</f>
        <v>0</v>
      </c>
    </row>
    <row r="1419" spans="1:19">
      <c r="A1419" s="201">
        <v>1417</v>
      </c>
      <c r="B1419" s="210" t="str">
        <f>_xlfn.CONCAT(表格3_5[[#This Row],[Name]],表格3_5[[#This Row],[Location]])</f>
        <v/>
      </c>
      <c r="C1419" s="211" t="str">
        <f>表格3_5[[#This Row],[Location]] &amp; 表格3_5[[#This Row],[Date]] &amp;表格3_5[[#This Row],[Nick Name]]</f>
        <v>0</v>
      </c>
      <c r="D1419" s="202"/>
      <c r="E1419" s="211" t="str">
        <f>DAY(表格3_5[[#This Row],[Date]])&amp;""</f>
        <v>0</v>
      </c>
      <c r="F1419" s="203"/>
      <c r="G1419" s="216">
        <f>_xlfn.XLOOKUP(表格3_5[[#This Row],[Name]],Name_list[Full Name],Name_list[Nick Name])</f>
        <v>0</v>
      </c>
      <c r="H1419" s="207"/>
      <c r="I1419" s="228"/>
      <c r="J1419" s="218"/>
      <c r="K1419" s="205"/>
      <c r="L1419" s="210">
        <f>(表格3_5[[#This Row],[Out-Time]] - 表格3_5[[#This Row],[In-Time]])*24</f>
        <v>0</v>
      </c>
      <c r="M1419" s="210">
        <f>表格3_5[[#This Row],[ Hours]]-表格3_5[[#This Row],[Normal working
 hours]]</f>
        <v>0</v>
      </c>
      <c r="N1419" s="205"/>
      <c r="O1419" s="205"/>
      <c r="P1419" s="210">
        <f>(表格3_5[[#This Row],[Out-Time2]] - 表格3_5[[#This Row],[In-Time2]])*24</f>
        <v>0</v>
      </c>
      <c r="Q1419" s="205"/>
      <c r="R1419" s="214">
        <f>_xlfn.XLOOKUP(表格3_5[[#This Row],[Name]],Name_list[Full Name],Name_list[Hourr Rate])</f>
        <v>0</v>
      </c>
      <c r="S1419" s="210">
        <f>表格3_5[[#This Row],[Hours Worked]]*表格3_5[[#This Row],[Hourly Rate]]</f>
        <v>0</v>
      </c>
    </row>
    <row r="1420" spans="1:19">
      <c r="A1420" s="201">
        <v>1418</v>
      </c>
      <c r="B1420" s="210" t="str">
        <f>_xlfn.CONCAT(表格3_5[[#This Row],[Name]],表格3_5[[#This Row],[Location]])</f>
        <v/>
      </c>
      <c r="C1420" s="211" t="str">
        <f>表格3_5[[#This Row],[Location]] &amp; 表格3_5[[#This Row],[Date]] &amp;表格3_5[[#This Row],[Nick Name]]</f>
        <v>0</v>
      </c>
      <c r="D1420" s="202"/>
      <c r="E1420" s="211" t="str">
        <f>DAY(表格3_5[[#This Row],[Date]])&amp;""</f>
        <v>0</v>
      </c>
      <c r="F1420" s="203"/>
      <c r="G1420" s="216">
        <f>_xlfn.XLOOKUP(表格3_5[[#This Row],[Name]],Name_list[Full Name],Name_list[Nick Name])</f>
        <v>0</v>
      </c>
      <c r="H1420" s="207"/>
      <c r="I1420" s="228"/>
      <c r="J1420" s="218"/>
      <c r="K1420" s="205"/>
      <c r="L1420" s="210">
        <f>(表格3_5[[#This Row],[Out-Time]] - 表格3_5[[#This Row],[In-Time]])*24</f>
        <v>0</v>
      </c>
      <c r="M1420" s="210">
        <f>表格3_5[[#This Row],[ Hours]]-表格3_5[[#This Row],[Normal working
 hours]]</f>
        <v>0</v>
      </c>
      <c r="N1420" s="205"/>
      <c r="O1420" s="205"/>
      <c r="P1420" s="210">
        <f>(表格3_5[[#This Row],[Out-Time2]] - 表格3_5[[#This Row],[In-Time2]])*24</f>
        <v>0</v>
      </c>
      <c r="Q1420" s="205"/>
      <c r="R1420" s="214">
        <f>_xlfn.XLOOKUP(表格3_5[[#This Row],[Name]],Name_list[Full Name],Name_list[Hourr Rate])</f>
        <v>0</v>
      </c>
      <c r="S1420" s="210">
        <f>表格3_5[[#This Row],[Hours Worked]]*表格3_5[[#This Row],[Hourly Rate]]</f>
        <v>0</v>
      </c>
    </row>
    <row r="1421" spans="1:19">
      <c r="A1421" s="201">
        <v>1419</v>
      </c>
      <c r="B1421" s="210" t="str">
        <f>_xlfn.CONCAT(表格3_5[[#This Row],[Name]],表格3_5[[#This Row],[Location]])</f>
        <v/>
      </c>
      <c r="C1421" s="211" t="str">
        <f>表格3_5[[#This Row],[Location]] &amp; 表格3_5[[#This Row],[Date]] &amp;表格3_5[[#This Row],[Nick Name]]</f>
        <v>0</v>
      </c>
      <c r="D1421" s="202"/>
      <c r="E1421" s="211" t="str">
        <f>DAY(表格3_5[[#This Row],[Date]])&amp;""</f>
        <v>0</v>
      </c>
      <c r="F1421" s="203"/>
      <c r="G1421" s="216">
        <f>_xlfn.XLOOKUP(表格3_5[[#This Row],[Name]],Name_list[Full Name],Name_list[Nick Name])</f>
        <v>0</v>
      </c>
      <c r="H1421" s="207"/>
      <c r="I1421" s="228"/>
      <c r="J1421" s="218"/>
      <c r="K1421" s="205"/>
      <c r="L1421" s="210">
        <f>(表格3_5[[#This Row],[Out-Time]] - 表格3_5[[#This Row],[In-Time]])*24</f>
        <v>0</v>
      </c>
      <c r="M1421" s="210">
        <f>表格3_5[[#This Row],[ Hours]]-表格3_5[[#This Row],[Normal working
 hours]]</f>
        <v>0</v>
      </c>
      <c r="N1421" s="205"/>
      <c r="O1421" s="205"/>
      <c r="P1421" s="210">
        <f>(表格3_5[[#This Row],[Out-Time2]] - 表格3_5[[#This Row],[In-Time2]])*24</f>
        <v>0</v>
      </c>
      <c r="Q1421" s="205"/>
      <c r="R1421" s="214">
        <f>_xlfn.XLOOKUP(表格3_5[[#This Row],[Name]],Name_list[Full Name],Name_list[Hourr Rate])</f>
        <v>0</v>
      </c>
      <c r="S1421" s="210">
        <f>表格3_5[[#This Row],[Hours Worked]]*表格3_5[[#This Row],[Hourly Rate]]</f>
        <v>0</v>
      </c>
    </row>
    <row r="1422" spans="1:19">
      <c r="A1422" s="201">
        <v>1420</v>
      </c>
      <c r="B1422" s="210" t="str">
        <f>_xlfn.CONCAT(表格3_5[[#This Row],[Name]],表格3_5[[#This Row],[Location]])</f>
        <v/>
      </c>
      <c r="C1422" s="211" t="str">
        <f>表格3_5[[#This Row],[Location]] &amp; 表格3_5[[#This Row],[Date]] &amp;表格3_5[[#This Row],[Nick Name]]</f>
        <v>0</v>
      </c>
      <c r="D1422" s="202"/>
      <c r="E1422" s="211" t="str">
        <f>DAY(表格3_5[[#This Row],[Date]])&amp;""</f>
        <v>0</v>
      </c>
      <c r="F1422" s="203"/>
      <c r="G1422" s="216">
        <f>_xlfn.XLOOKUP(表格3_5[[#This Row],[Name]],Name_list[Full Name],Name_list[Nick Name])</f>
        <v>0</v>
      </c>
      <c r="H1422" s="207"/>
      <c r="I1422" s="228"/>
      <c r="J1422" s="218"/>
      <c r="K1422" s="205"/>
      <c r="L1422" s="210">
        <f>(表格3_5[[#This Row],[Out-Time]] - 表格3_5[[#This Row],[In-Time]])*24</f>
        <v>0</v>
      </c>
      <c r="M1422" s="210">
        <f>表格3_5[[#This Row],[ Hours]]-表格3_5[[#This Row],[Normal working
 hours]]</f>
        <v>0</v>
      </c>
      <c r="N1422" s="205"/>
      <c r="O1422" s="205"/>
      <c r="P1422" s="210">
        <f>(表格3_5[[#This Row],[Out-Time2]] - 表格3_5[[#This Row],[In-Time2]])*24</f>
        <v>0</v>
      </c>
      <c r="Q1422" s="205"/>
      <c r="R1422" s="214">
        <f>_xlfn.XLOOKUP(表格3_5[[#This Row],[Name]],Name_list[Full Name],Name_list[Hourr Rate])</f>
        <v>0</v>
      </c>
      <c r="S1422" s="210">
        <f>表格3_5[[#This Row],[Hours Worked]]*表格3_5[[#This Row],[Hourly Rate]]</f>
        <v>0</v>
      </c>
    </row>
    <row r="1423" spans="1:19">
      <c r="A1423" s="201">
        <v>1421</v>
      </c>
      <c r="B1423" s="210" t="str">
        <f>_xlfn.CONCAT(表格3_5[[#This Row],[Name]],表格3_5[[#This Row],[Location]])</f>
        <v/>
      </c>
      <c r="C1423" s="211" t="str">
        <f>表格3_5[[#This Row],[Location]] &amp; 表格3_5[[#This Row],[Date]] &amp;表格3_5[[#This Row],[Nick Name]]</f>
        <v>0</v>
      </c>
      <c r="D1423" s="202"/>
      <c r="E1423" s="211" t="str">
        <f>DAY(表格3_5[[#This Row],[Date]])&amp;""</f>
        <v>0</v>
      </c>
      <c r="F1423" s="203"/>
      <c r="G1423" s="216">
        <f>_xlfn.XLOOKUP(表格3_5[[#This Row],[Name]],Name_list[Full Name],Name_list[Nick Name])</f>
        <v>0</v>
      </c>
      <c r="H1423" s="207"/>
      <c r="I1423" s="228"/>
      <c r="J1423" s="218"/>
      <c r="K1423" s="205"/>
      <c r="L1423" s="210">
        <f>(表格3_5[[#This Row],[Out-Time]] - 表格3_5[[#This Row],[In-Time]])*24</f>
        <v>0</v>
      </c>
      <c r="M1423" s="210">
        <f>表格3_5[[#This Row],[ Hours]]-表格3_5[[#This Row],[Normal working
 hours]]</f>
        <v>0</v>
      </c>
      <c r="N1423" s="205"/>
      <c r="O1423" s="205"/>
      <c r="P1423" s="210">
        <f>(表格3_5[[#This Row],[Out-Time2]] - 表格3_5[[#This Row],[In-Time2]])*24</f>
        <v>0</v>
      </c>
      <c r="Q1423" s="205"/>
      <c r="R1423" s="214">
        <f>_xlfn.XLOOKUP(表格3_5[[#This Row],[Name]],Name_list[Full Name],Name_list[Hourr Rate])</f>
        <v>0</v>
      </c>
      <c r="S1423" s="210">
        <f>表格3_5[[#This Row],[Hours Worked]]*表格3_5[[#This Row],[Hourly Rate]]</f>
        <v>0</v>
      </c>
    </row>
    <row r="1424" spans="1:19">
      <c r="A1424" s="201">
        <v>1422</v>
      </c>
      <c r="B1424" s="210" t="str">
        <f>_xlfn.CONCAT(表格3_5[[#This Row],[Name]],表格3_5[[#This Row],[Location]])</f>
        <v/>
      </c>
      <c r="C1424" s="211" t="str">
        <f>表格3_5[[#This Row],[Location]] &amp; 表格3_5[[#This Row],[Date]] &amp;表格3_5[[#This Row],[Nick Name]]</f>
        <v>0</v>
      </c>
      <c r="D1424" s="202"/>
      <c r="E1424" s="211" t="str">
        <f>DAY(表格3_5[[#This Row],[Date]])&amp;""</f>
        <v>0</v>
      </c>
      <c r="F1424" s="203"/>
      <c r="G1424" s="216">
        <f>_xlfn.XLOOKUP(表格3_5[[#This Row],[Name]],Name_list[Full Name],Name_list[Nick Name])</f>
        <v>0</v>
      </c>
      <c r="H1424" s="207"/>
      <c r="I1424" s="228"/>
      <c r="J1424" s="218"/>
      <c r="K1424" s="205"/>
      <c r="L1424" s="210">
        <f>(表格3_5[[#This Row],[Out-Time]] - 表格3_5[[#This Row],[In-Time]])*24</f>
        <v>0</v>
      </c>
      <c r="M1424" s="210">
        <f>表格3_5[[#This Row],[ Hours]]-表格3_5[[#This Row],[Normal working
 hours]]</f>
        <v>0</v>
      </c>
      <c r="N1424" s="205"/>
      <c r="O1424" s="205"/>
      <c r="P1424" s="210">
        <f>(表格3_5[[#This Row],[Out-Time2]] - 表格3_5[[#This Row],[In-Time2]])*24</f>
        <v>0</v>
      </c>
      <c r="Q1424" s="205"/>
      <c r="R1424" s="214">
        <f>_xlfn.XLOOKUP(表格3_5[[#This Row],[Name]],Name_list[Full Name],Name_list[Hourr Rate])</f>
        <v>0</v>
      </c>
      <c r="S1424" s="210">
        <f>表格3_5[[#This Row],[Hours Worked]]*表格3_5[[#This Row],[Hourly Rate]]</f>
        <v>0</v>
      </c>
    </row>
    <row r="1425" spans="1:19">
      <c r="A1425" s="201">
        <v>1423</v>
      </c>
      <c r="B1425" s="210" t="str">
        <f>_xlfn.CONCAT(表格3_5[[#This Row],[Name]],表格3_5[[#This Row],[Location]])</f>
        <v/>
      </c>
      <c r="C1425" s="211" t="str">
        <f>表格3_5[[#This Row],[Location]] &amp; 表格3_5[[#This Row],[Date]] &amp;表格3_5[[#This Row],[Nick Name]]</f>
        <v>0</v>
      </c>
      <c r="D1425" s="202"/>
      <c r="E1425" s="211" t="str">
        <f>DAY(表格3_5[[#This Row],[Date]])&amp;""</f>
        <v>0</v>
      </c>
      <c r="F1425" s="203"/>
      <c r="G1425" s="216">
        <f>_xlfn.XLOOKUP(表格3_5[[#This Row],[Name]],Name_list[Full Name],Name_list[Nick Name])</f>
        <v>0</v>
      </c>
      <c r="H1425" s="207"/>
      <c r="I1425" s="228"/>
      <c r="J1425" s="218"/>
      <c r="K1425" s="205"/>
      <c r="L1425" s="210">
        <f>(表格3_5[[#This Row],[Out-Time]] - 表格3_5[[#This Row],[In-Time]])*24</f>
        <v>0</v>
      </c>
      <c r="M1425" s="210">
        <f>表格3_5[[#This Row],[ Hours]]-表格3_5[[#This Row],[Normal working
 hours]]</f>
        <v>0</v>
      </c>
      <c r="N1425" s="205"/>
      <c r="O1425" s="205"/>
      <c r="P1425" s="210">
        <f>(表格3_5[[#This Row],[Out-Time2]] - 表格3_5[[#This Row],[In-Time2]])*24</f>
        <v>0</v>
      </c>
      <c r="Q1425" s="205"/>
      <c r="R1425" s="214">
        <f>_xlfn.XLOOKUP(表格3_5[[#This Row],[Name]],Name_list[Full Name],Name_list[Hourr Rate])</f>
        <v>0</v>
      </c>
      <c r="S1425" s="210">
        <f>表格3_5[[#This Row],[Hours Worked]]*表格3_5[[#This Row],[Hourly Rate]]</f>
        <v>0</v>
      </c>
    </row>
    <row r="1426" spans="1:19">
      <c r="A1426" s="201">
        <v>1424</v>
      </c>
      <c r="B1426" s="210" t="str">
        <f>_xlfn.CONCAT(表格3_5[[#This Row],[Name]],表格3_5[[#This Row],[Location]])</f>
        <v/>
      </c>
      <c r="C1426" s="211" t="str">
        <f>表格3_5[[#This Row],[Location]] &amp; 表格3_5[[#This Row],[Date]] &amp;表格3_5[[#This Row],[Nick Name]]</f>
        <v>0</v>
      </c>
      <c r="D1426" s="202"/>
      <c r="E1426" s="211" t="str">
        <f>DAY(表格3_5[[#This Row],[Date]])&amp;""</f>
        <v>0</v>
      </c>
      <c r="F1426" s="203"/>
      <c r="G1426" s="216">
        <f>_xlfn.XLOOKUP(表格3_5[[#This Row],[Name]],Name_list[Full Name],Name_list[Nick Name])</f>
        <v>0</v>
      </c>
      <c r="H1426" s="207"/>
      <c r="I1426" s="228"/>
      <c r="J1426" s="218"/>
      <c r="K1426" s="205"/>
      <c r="L1426" s="210">
        <f>(表格3_5[[#This Row],[Out-Time]] - 表格3_5[[#This Row],[In-Time]])*24</f>
        <v>0</v>
      </c>
      <c r="M1426" s="210">
        <f>表格3_5[[#This Row],[ Hours]]-表格3_5[[#This Row],[Normal working
 hours]]</f>
        <v>0</v>
      </c>
      <c r="N1426" s="205"/>
      <c r="O1426" s="205"/>
      <c r="P1426" s="210">
        <f>(表格3_5[[#This Row],[Out-Time2]] - 表格3_5[[#This Row],[In-Time2]])*24</f>
        <v>0</v>
      </c>
      <c r="Q1426" s="205"/>
      <c r="R1426" s="214">
        <f>_xlfn.XLOOKUP(表格3_5[[#This Row],[Name]],Name_list[Full Name],Name_list[Hourr Rate])</f>
        <v>0</v>
      </c>
      <c r="S1426" s="210">
        <f>表格3_5[[#This Row],[Hours Worked]]*表格3_5[[#This Row],[Hourly Rate]]</f>
        <v>0</v>
      </c>
    </row>
    <row r="1427" spans="1:19">
      <c r="A1427" s="201">
        <v>1425</v>
      </c>
      <c r="B1427" s="210" t="str">
        <f>_xlfn.CONCAT(表格3_5[[#This Row],[Name]],表格3_5[[#This Row],[Location]])</f>
        <v/>
      </c>
      <c r="C1427" s="211" t="str">
        <f>表格3_5[[#This Row],[Location]] &amp; 表格3_5[[#This Row],[Date]] &amp;表格3_5[[#This Row],[Nick Name]]</f>
        <v>0</v>
      </c>
      <c r="D1427" s="202"/>
      <c r="E1427" s="211" t="str">
        <f>DAY(表格3_5[[#This Row],[Date]])&amp;""</f>
        <v>0</v>
      </c>
      <c r="F1427" s="203"/>
      <c r="G1427" s="216">
        <f>_xlfn.XLOOKUP(表格3_5[[#This Row],[Name]],Name_list[Full Name],Name_list[Nick Name])</f>
        <v>0</v>
      </c>
      <c r="H1427" s="207"/>
      <c r="I1427" s="228"/>
      <c r="J1427" s="218"/>
      <c r="K1427" s="205"/>
      <c r="L1427" s="210">
        <f>(表格3_5[[#This Row],[Out-Time]] - 表格3_5[[#This Row],[In-Time]])*24</f>
        <v>0</v>
      </c>
      <c r="M1427" s="210">
        <f>表格3_5[[#This Row],[ Hours]]-表格3_5[[#This Row],[Normal working
 hours]]</f>
        <v>0</v>
      </c>
      <c r="N1427" s="205"/>
      <c r="O1427" s="205"/>
      <c r="P1427" s="210">
        <f>(表格3_5[[#This Row],[Out-Time2]] - 表格3_5[[#This Row],[In-Time2]])*24</f>
        <v>0</v>
      </c>
      <c r="Q1427" s="205"/>
      <c r="R1427" s="214">
        <f>_xlfn.XLOOKUP(表格3_5[[#This Row],[Name]],Name_list[Full Name],Name_list[Hourr Rate])</f>
        <v>0</v>
      </c>
      <c r="S1427" s="210">
        <f>表格3_5[[#This Row],[Hours Worked]]*表格3_5[[#This Row],[Hourly Rate]]</f>
        <v>0</v>
      </c>
    </row>
    <row r="1428" spans="1:19">
      <c r="A1428" s="201">
        <v>1426</v>
      </c>
      <c r="B1428" s="210" t="str">
        <f>_xlfn.CONCAT(表格3_5[[#This Row],[Name]],表格3_5[[#This Row],[Location]])</f>
        <v/>
      </c>
      <c r="C1428" s="211" t="str">
        <f>表格3_5[[#This Row],[Location]] &amp; 表格3_5[[#This Row],[Date]] &amp;表格3_5[[#This Row],[Nick Name]]</f>
        <v>0</v>
      </c>
      <c r="D1428" s="202"/>
      <c r="E1428" s="211" t="str">
        <f>DAY(表格3_5[[#This Row],[Date]])&amp;""</f>
        <v>0</v>
      </c>
      <c r="F1428" s="203"/>
      <c r="G1428" s="216">
        <f>_xlfn.XLOOKUP(表格3_5[[#This Row],[Name]],Name_list[Full Name],Name_list[Nick Name])</f>
        <v>0</v>
      </c>
      <c r="H1428" s="207"/>
      <c r="I1428" s="228"/>
      <c r="J1428" s="218"/>
      <c r="K1428" s="205"/>
      <c r="L1428" s="210">
        <f>(表格3_5[[#This Row],[Out-Time]] - 表格3_5[[#This Row],[In-Time]])*24</f>
        <v>0</v>
      </c>
      <c r="M1428" s="210">
        <f>表格3_5[[#This Row],[ Hours]]-表格3_5[[#This Row],[Normal working
 hours]]</f>
        <v>0</v>
      </c>
      <c r="N1428" s="205"/>
      <c r="O1428" s="205"/>
      <c r="P1428" s="210">
        <f>(表格3_5[[#This Row],[Out-Time2]] - 表格3_5[[#This Row],[In-Time2]])*24</f>
        <v>0</v>
      </c>
      <c r="Q1428" s="205"/>
      <c r="R1428" s="214">
        <f>_xlfn.XLOOKUP(表格3_5[[#This Row],[Name]],Name_list[Full Name],Name_list[Hourr Rate])</f>
        <v>0</v>
      </c>
      <c r="S1428" s="210">
        <f>表格3_5[[#This Row],[Hours Worked]]*表格3_5[[#This Row],[Hourly Rate]]</f>
        <v>0</v>
      </c>
    </row>
    <row r="1429" spans="1:19">
      <c r="A1429" s="201">
        <v>1427</v>
      </c>
      <c r="B1429" s="210" t="str">
        <f>_xlfn.CONCAT(表格3_5[[#This Row],[Name]],表格3_5[[#This Row],[Location]])</f>
        <v/>
      </c>
      <c r="C1429" s="211" t="str">
        <f>表格3_5[[#This Row],[Location]] &amp; 表格3_5[[#This Row],[Date]] &amp;表格3_5[[#This Row],[Nick Name]]</f>
        <v>0</v>
      </c>
      <c r="D1429" s="202"/>
      <c r="E1429" s="211" t="str">
        <f>DAY(表格3_5[[#This Row],[Date]])&amp;""</f>
        <v>0</v>
      </c>
      <c r="F1429" s="203"/>
      <c r="G1429" s="216">
        <f>_xlfn.XLOOKUP(表格3_5[[#This Row],[Name]],Name_list[Full Name],Name_list[Nick Name])</f>
        <v>0</v>
      </c>
      <c r="H1429" s="207"/>
      <c r="I1429" s="228"/>
      <c r="J1429" s="218"/>
      <c r="K1429" s="205"/>
      <c r="L1429" s="210">
        <f>(表格3_5[[#This Row],[Out-Time]] - 表格3_5[[#This Row],[In-Time]])*24</f>
        <v>0</v>
      </c>
      <c r="M1429" s="210">
        <f>表格3_5[[#This Row],[ Hours]]-表格3_5[[#This Row],[Normal working
 hours]]</f>
        <v>0</v>
      </c>
      <c r="N1429" s="205"/>
      <c r="O1429" s="205"/>
      <c r="P1429" s="210">
        <f>(表格3_5[[#This Row],[Out-Time2]] - 表格3_5[[#This Row],[In-Time2]])*24</f>
        <v>0</v>
      </c>
      <c r="Q1429" s="205"/>
      <c r="R1429" s="214">
        <f>_xlfn.XLOOKUP(表格3_5[[#This Row],[Name]],Name_list[Full Name],Name_list[Hourr Rate])</f>
        <v>0</v>
      </c>
      <c r="S1429" s="210">
        <f>表格3_5[[#This Row],[Hours Worked]]*表格3_5[[#This Row],[Hourly Rate]]</f>
        <v>0</v>
      </c>
    </row>
    <row r="1430" spans="1:19">
      <c r="A1430" s="201">
        <v>1428</v>
      </c>
      <c r="B1430" s="210" t="str">
        <f>_xlfn.CONCAT(表格3_5[[#This Row],[Name]],表格3_5[[#This Row],[Location]])</f>
        <v/>
      </c>
      <c r="C1430" s="211" t="str">
        <f>表格3_5[[#This Row],[Location]] &amp; 表格3_5[[#This Row],[Date]] &amp;表格3_5[[#This Row],[Nick Name]]</f>
        <v>0</v>
      </c>
      <c r="D1430" s="202"/>
      <c r="E1430" s="211" t="str">
        <f>DAY(表格3_5[[#This Row],[Date]])&amp;""</f>
        <v>0</v>
      </c>
      <c r="F1430" s="203"/>
      <c r="G1430" s="216">
        <f>_xlfn.XLOOKUP(表格3_5[[#This Row],[Name]],Name_list[Full Name],Name_list[Nick Name])</f>
        <v>0</v>
      </c>
      <c r="H1430" s="207"/>
      <c r="I1430" s="228"/>
      <c r="J1430" s="218"/>
      <c r="K1430" s="205"/>
      <c r="L1430" s="210">
        <f>(表格3_5[[#This Row],[Out-Time]] - 表格3_5[[#This Row],[In-Time]])*24</f>
        <v>0</v>
      </c>
      <c r="M1430" s="210">
        <f>表格3_5[[#This Row],[ Hours]]-表格3_5[[#This Row],[Normal working
 hours]]</f>
        <v>0</v>
      </c>
      <c r="N1430" s="205"/>
      <c r="O1430" s="205"/>
      <c r="P1430" s="210">
        <f>(表格3_5[[#This Row],[Out-Time2]] - 表格3_5[[#This Row],[In-Time2]])*24</f>
        <v>0</v>
      </c>
      <c r="Q1430" s="205"/>
      <c r="R1430" s="214">
        <f>_xlfn.XLOOKUP(表格3_5[[#This Row],[Name]],Name_list[Full Name],Name_list[Hourr Rate])</f>
        <v>0</v>
      </c>
      <c r="S1430" s="210">
        <f>表格3_5[[#This Row],[Hours Worked]]*表格3_5[[#This Row],[Hourly Rate]]</f>
        <v>0</v>
      </c>
    </row>
    <row r="1431" spans="1:19">
      <c r="A1431" s="201">
        <v>1429</v>
      </c>
      <c r="B1431" s="210" t="str">
        <f>_xlfn.CONCAT(表格3_5[[#This Row],[Name]],表格3_5[[#This Row],[Location]])</f>
        <v/>
      </c>
      <c r="C1431" s="211" t="str">
        <f>表格3_5[[#This Row],[Location]] &amp; 表格3_5[[#This Row],[Date]] &amp;表格3_5[[#This Row],[Nick Name]]</f>
        <v>0</v>
      </c>
      <c r="D1431" s="202"/>
      <c r="E1431" s="211" t="str">
        <f>DAY(表格3_5[[#This Row],[Date]])&amp;""</f>
        <v>0</v>
      </c>
      <c r="F1431" s="203"/>
      <c r="G1431" s="216">
        <f>_xlfn.XLOOKUP(表格3_5[[#This Row],[Name]],Name_list[Full Name],Name_list[Nick Name])</f>
        <v>0</v>
      </c>
      <c r="H1431" s="207"/>
      <c r="I1431" s="228"/>
      <c r="J1431" s="218"/>
      <c r="K1431" s="205"/>
      <c r="L1431" s="210">
        <f>(表格3_5[[#This Row],[Out-Time]] - 表格3_5[[#This Row],[In-Time]])*24</f>
        <v>0</v>
      </c>
      <c r="M1431" s="210">
        <f>表格3_5[[#This Row],[ Hours]]-表格3_5[[#This Row],[Normal working
 hours]]</f>
        <v>0</v>
      </c>
      <c r="N1431" s="205"/>
      <c r="O1431" s="205"/>
      <c r="P1431" s="210">
        <f>(表格3_5[[#This Row],[Out-Time2]] - 表格3_5[[#This Row],[In-Time2]])*24</f>
        <v>0</v>
      </c>
      <c r="Q1431" s="205"/>
      <c r="R1431" s="214">
        <f>_xlfn.XLOOKUP(表格3_5[[#This Row],[Name]],Name_list[Full Name],Name_list[Hourr Rate])</f>
        <v>0</v>
      </c>
      <c r="S1431" s="210">
        <f>表格3_5[[#This Row],[Hours Worked]]*表格3_5[[#This Row],[Hourly Rate]]</f>
        <v>0</v>
      </c>
    </row>
    <row r="1432" spans="1:19">
      <c r="A1432" s="201">
        <v>1430</v>
      </c>
      <c r="B1432" s="210" t="str">
        <f>_xlfn.CONCAT(表格3_5[[#This Row],[Name]],表格3_5[[#This Row],[Location]])</f>
        <v/>
      </c>
      <c r="C1432" s="211" t="str">
        <f>表格3_5[[#This Row],[Location]] &amp; 表格3_5[[#This Row],[Date]] &amp;表格3_5[[#This Row],[Nick Name]]</f>
        <v>0</v>
      </c>
      <c r="D1432" s="202"/>
      <c r="E1432" s="211" t="str">
        <f>DAY(表格3_5[[#This Row],[Date]])&amp;""</f>
        <v>0</v>
      </c>
      <c r="F1432" s="203"/>
      <c r="G1432" s="216">
        <f>_xlfn.XLOOKUP(表格3_5[[#This Row],[Name]],Name_list[Full Name],Name_list[Nick Name])</f>
        <v>0</v>
      </c>
      <c r="H1432" s="207"/>
      <c r="I1432" s="228"/>
      <c r="J1432" s="218"/>
      <c r="K1432" s="205"/>
      <c r="L1432" s="210">
        <f>(表格3_5[[#This Row],[Out-Time]] - 表格3_5[[#This Row],[In-Time]])*24</f>
        <v>0</v>
      </c>
      <c r="M1432" s="210">
        <f>表格3_5[[#This Row],[ Hours]]-表格3_5[[#This Row],[Normal working
 hours]]</f>
        <v>0</v>
      </c>
      <c r="N1432" s="205"/>
      <c r="O1432" s="205"/>
      <c r="P1432" s="210">
        <f>(表格3_5[[#This Row],[Out-Time2]] - 表格3_5[[#This Row],[In-Time2]])*24</f>
        <v>0</v>
      </c>
      <c r="Q1432" s="205"/>
      <c r="R1432" s="214">
        <f>_xlfn.XLOOKUP(表格3_5[[#This Row],[Name]],Name_list[Full Name],Name_list[Hourr Rate])</f>
        <v>0</v>
      </c>
      <c r="S1432" s="210">
        <f>表格3_5[[#This Row],[Hours Worked]]*表格3_5[[#This Row],[Hourly Rate]]</f>
        <v>0</v>
      </c>
    </row>
    <row r="1433" spans="1:19">
      <c r="A1433" s="201">
        <v>1431</v>
      </c>
      <c r="B1433" s="210" t="str">
        <f>_xlfn.CONCAT(表格3_5[[#This Row],[Name]],表格3_5[[#This Row],[Location]])</f>
        <v/>
      </c>
      <c r="C1433" s="211" t="str">
        <f>表格3_5[[#This Row],[Location]] &amp; 表格3_5[[#This Row],[Date]] &amp;表格3_5[[#This Row],[Nick Name]]</f>
        <v>0</v>
      </c>
      <c r="D1433" s="202"/>
      <c r="E1433" s="211" t="str">
        <f>DAY(表格3_5[[#This Row],[Date]])&amp;""</f>
        <v>0</v>
      </c>
      <c r="F1433" s="203"/>
      <c r="G1433" s="216">
        <f>_xlfn.XLOOKUP(表格3_5[[#This Row],[Name]],Name_list[Full Name],Name_list[Nick Name])</f>
        <v>0</v>
      </c>
      <c r="H1433" s="207"/>
      <c r="I1433" s="228"/>
      <c r="J1433" s="218"/>
      <c r="K1433" s="205"/>
      <c r="L1433" s="210">
        <f>(表格3_5[[#This Row],[Out-Time]] - 表格3_5[[#This Row],[In-Time]])*24</f>
        <v>0</v>
      </c>
      <c r="M1433" s="210">
        <f>表格3_5[[#This Row],[ Hours]]-表格3_5[[#This Row],[Normal working
 hours]]</f>
        <v>0</v>
      </c>
      <c r="N1433" s="205"/>
      <c r="O1433" s="205"/>
      <c r="P1433" s="210">
        <f>(表格3_5[[#This Row],[Out-Time2]] - 表格3_5[[#This Row],[In-Time2]])*24</f>
        <v>0</v>
      </c>
      <c r="Q1433" s="205"/>
      <c r="R1433" s="214">
        <f>_xlfn.XLOOKUP(表格3_5[[#This Row],[Name]],Name_list[Full Name],Name_list[Hourr Rate])</f>
        <v>0</v>
      </c>
      <c r="S1433" s="210">
        <f>表格3_5[[#This Row],[Hours Worked]]*表格3_5[[#This Row],[Hourly Rate]]</f>
        <v>0</v>
      </c>
    </row>
    <row r="1434" spans="1:19">
      <c r="A1434" s="201">
        <v>1432</v>
      </c>
      <c r="B1434" s="210" t="str">
        <f>_xlfn.CONCAT(表格3_5[[#This Row],[Name]],表格3_5[[#This Row],[Location]])</f>
        <v/>
      </c>
      <c r="C1434" s="211" t="str">
        <f>表格3_5[[#This Row],[Location]] &amp; 表格3_5[[#This Row],[Date]] &amp;表格3_5[[#This Row],[Nick Name]]</f>
        <v>0</v>
      </c>
      <c r="D1434" s="202"/>
      <c r="E1434" s="211" t="str">
        <f>DAY(表格3_5[[#This Row],[Date]])&amp;""</f>
        <v>0</v>
      </c>
      <c r="F1434" s="203"/>
      <c r="G1434" s="216">
        <f>_xlfn.XLOOKUP(表格3_5[[#This Row],[Name]],Name_list[Full Name],Name_list[Nick Name])</f>
        <v>0</v>
      </c>
      <c r="H1434" s="207"/>
      <c r="I1434" s="228"/>
      <c r="J1434" s="218"/>
      <c r="K1434" s="205"/>
      <c r="L1434" s="210">
        <f>(表格3_5[[#This Row],[Out-Time]] - 表格3_5[[#This Row],[In-Time]])*24</f>
        <v>0</v>
      </c>
      <c r="M1434" s="210">
        <f>表格3_5[[#This Row],[ Hours]]-表格3_5[[#This Row],[Normal working
 hours]]</f>
        <v>0</v>
      </c>
      <c r="N1434" s="205"/>
      <c r="O1434" s="205"/>
      <c r="P1434" s="210">
        <f>(表格3_5[[#This Row],[Out-Time2]] - 表格3_5[[#This Row],[In-Time2]])*24</f>
        <v>0</v>
      </c>
      <c r="Q1434" s="205"/>
      <c r="R1434" s="214">
        <f>_xlfn.XLOOKUP(表格3_5[[#This Row],[Name]],Name_list[Full Name],Name_list[Hourr Rate])</f>
        <v>0</v>
      </c>
      <c r="S1434" s="210">
        <f>表格3_5[[#This Row],[Hours Worked]]*表格3_5[[#This Row],[Hourly Rate]]</f>
        <v>0</v>
      </c>
    </row>
    <row r="1435" spans="1:19">
      <c r="A1435" s="201">
        <v>1433</v>
      </c>
      <c r="B1435" s="210" t="str">
        <f>_xlfn.CONCAT(表格3_5[[#This Row],[Name]],表格3_5[[#This Row],[Location]])</f>
        <v/>
      </c>
      <c r="C1435" s="211" t="str">
        <f>表格3_5[[#This Row],[Location]] &amp; 表格3_5[[#This Row],[Date]] &amp;表格3_5[[#This Row],[Nick Name]]</f>
        <v>0</v>
      </c>
      <c r="D1435" s="202"/>
      <c r="E1435" s="211" t="str">
        <f>DAY(表格3_5[[#This Row],[Date]])&amp;""</f>
        <v>0</v>
      </c>
      <c r="F1435" s="203"/>
      <c r="G1435" s="216">
        <f>_xlfn.XLOOKUP(表格3_5[[#This Row],[Name]],Name_list[Full Name],Name_list[Nick Name])</f>
        <v>0</v>
      </c>
      <c r="H1435" s="207"/>
      <c r="I1435" s="228"/>
      <c r="J1435" s="218"/>
      <c r="K1435" s="205"/>
      <c r="L1435" s="210">
        <f>(表格3_5[[#This Row],[Out-Time]] - 表格3_5[[#This Row],[In-Time]])*24</f>
        <v>0</v>
      </c>
      <c r="M1435" s="210">
        <f>表格3_5[[#This Row],[ Hours]]-表格3_5[[#This Row],[Normal working
 hours]]</f>
        <v>0</v>
      </c>
      <c r="N1435" s="205"/>
      <c r="O1435" s="205"/>
      <c r="P1435" s="210">
        <f>(表格3_5[[#This Row],[Out-Time2]] - 表格3_5[[#This Row],[In-Time2]])*24</f>
        <v>0</v>
      </c>
      <c r="Q1435" s="205"/>
      <c r="R1435" s="214">
        <f>_xlfn.XLOOKUP(表格3_5[[#This Row],[Name]],Name_list[Full Name],Name_list[Hourr Rate])</f>
        <v>0</v>
      </c>
      <c r="S1435" s="210">
        <f>表格3_5[[#This Row],[Hours Worked]]*表格3_5[[#This Row],[Hourly Rate]]</f>
        <v>0</v>
      </c>
    </row>
    <row r="1436" spans="1:19">
      <c r="A1436" s="201">
        <v>1434</v>
      </c>
      <c r="B1436" s="210" t="str">
        <f>_xlfn.CONCAT(表格3_5[[#This Row],[Name]],表格3_5[[#This Row],[Location]])</f>
        <v/>
      </c>
      <c r="C1436" s="211" t="str">
        <f>表格3_5[[#This Row],[Location]] &amp; 表格3_5[[#This Row],[Date]] &amp;表格3_5[[#This Row],[Nick Name]]</f>
        <v>0</v>
      </c>
      <c r="D1436" s="202"/>
      <c r="E1436" s="211" t="str">
        <f>DAY(表格3_5[[#This Row],[Date]])&amp;""</f>
        <v>0</v>
      </c>
      <c r="F1436" s="203"/>
      <c r="G1436" s="216">
        <f>_xlfn.XLOOKUP(表格3_5[[#This Row],[Name]],Name_list[Full Name],Name_list[Nick Name])</f>
        <v>0</v>
      </c>
      <c r="H1436" s="207"/>
      <c r="I1436" s="228"/>
      <c r="J1436" s="218"/>
      <c r="K1436" s="205"/>
      <c r="L1436" s="210">
        <f>(表格3_5[[#This Row],[Out-Time]] - 表格3_5[[#This Row],[In-Time]])*24</f>
        <v>0</v>
      </c>
      <c r="M1436" s="210">
        <f>表格3_5[[#This Row],[ Hours]]-表格3_5[[#This Row],[Normal working
 hours]]</f>
        <v>0</v>
      </c>
      <c r="N1436" s="205"/>
      <c r="O1436" s="205"/>
      <c r="P1436" s="210">
        <f>(表格3_5[[#This Row],[Out-Time2]] - 表格3_5[[#This Row],[In-Time2]])*24</f>
        <v>0</v>
      </c>
      <c r="Q1436" s="205"/>
      <c r="R1436" s="214">
        <f>_xlfn.XLOOKUP(表格3_5[[#This Row],[Name]],Name_list[Full Name],Name_list[Hourr Rate])</f>
        <v>0</v>
      </c>
      <c r="S1436" s="210">
        <f>表格3_5[[#This Row],[Hours Worked]]*表格3_5[[#This Row],[Hourly Rate]]</f>
        <v>0</v>
      </c>
    </row>
    <row r="1437" spans="1:19">
      <c r="A1437" s="201">
        <v>1435</v>
      </c>
      <c r="B1437" s="210" t="str">
        <f>_xlfn.CONCAT(表格3_5[[#This Row],[Name]],表格3_5[[#This Row],[Location]])</f>
        <v/>
      </c>
      <c r="C1437" s="211" t="str">
        <f>表格3_5[[#This Row],[Location]] &amp; 表格3_5[[#This Row],[Date]] &amp;表格3_5[[#This Row],[Nick Name]]</f>
        <v>0</v>
      </c>
      <c r="D1437" s="202"/>
      <c r="E1437" s="211" t="str">
        <f>DAY(表格3_5[[#This Row],[Date]])&amp;""</f>
        <v>0</v>
      </c>
      <c r="F1437" s="203"/>
      <c r="G1437" s="216">
        <f>_xlfn.XLOOKUP(表格3_5[[#This Row],[Name]],Name_list[Full Name],Name_list[Nick Name])</f>
        <v>0</v>
      </c>
      <c r="H1437" s="207"/>
      <c r="I1437" s="228"/>
      <c r="J1437" s="218"/>
      <c r="K1437" s="205"/>
      <c r="L1437" s="210">
        <f>(表格3_5[[#This Row],[Out-Time]] - 表格3_5[[#This Row],[In-Time]])*24</f>
        <v>0</v>
      </c>
      <c r="M1437" s="210">
        <f>表格3_5[[#This Row],[ Hours]]-表格3_5[[#This Row],[Normal working
 hours]]</f>
        <v>0</v>
      </c>
      <c r="N1437" s="205"/>
      <c r="O1437" s="205"/>
      <c r="P1437" s="210">
        <f>(表格3_5[[#This Row],[Out-Time2]] - 表格3_5[[#This Row],[In-Time2]])*24</f>
        <v>0</v>
      </c>
      <c r="Q1437" s="205"/>
      <c r="R1437" s="214">
        <f>_xlfn.XLOOKUP(表格3_5[[#This Row],[Name]],Name_list[Full Name],Name_list[Hourr Rate])</f>
        <v>0</v>
      </c>
      <c r="S1437" s="210">
        <f>表格3_5[[#This Row],[Hours Worked]]*表格3_5[[#This Row],[Hourly Rate]]</f>
        <v>0</v>
      </c>
    </row>
    <row r="1438" spans="1:19">
      <c r="A1438" s="201">
        <v>1436</v>
      </c>
      <c r="B1438" s="210" t="str">
        <f>_xlfn.CONCAT(表格3_5[[#This Row],[Name]],表格3_5[[#This Row],[Location]])</f>
        <v/>
      </c>
      <c r="C1438" s="211" t="str">
        <f>表格3_5[[#This Row],[Location]] &amp; 表格3_5[[#This Row],[Date]] &amp;表格3_5[[#This Row],[Nick Name]]</f>
        <v>0</v>
      </c>
      <c r="D1438" s="202"/>
      <c r="E1438" s="211" t="str">
        <f>DAY(表格3_5[[#This Row],[Date]])&amp;""</f>
        <v>0</v>
      </c>
      <c r="F1438" s="203"/>
      <c r="G1438" s="216">
        <f>_xlfn.XLOOKUP(表格3_5[[#This Row],[Name]],Name_list[Full Name],Name_list[Nick Name])</f>
        <v>0</v>
      </c>
      <c r="H1438" s="207"/>
      <c r="I1438" s="228"/>
      <c r="J1438" s="218"/>
      <c r="K1438" s="205"/>
      <c r="L1438" s="210">
        <f>(表格3_5[[#This Row],[Out-Time]] - 表格3_5[[#This Row],[In-Time]])*24</f>
        <v>0</v>
      </c>
      <c r="M1438" s="210">
        <f>表格3_5[[#This Row],[ Hours]]-表格3_5[[#This Row],[Normal working
 hours]]</f>
        <v>0</v>
      </c>
      <c r="N1438" s="205"/>
      <c r="O1438" s="205"/>
      <c r="P1438" s="210">
        <f>(表格3_5[[#This Row],[Out-Time2]] - 表格3_5[[#This Row],[In-Time2]])*24</f>
        <v>0</v>
      </c>
      <c r="Q1438" s="205"/>
      <c r="R1438" s="214">
        <f>_xlfn.XLOOKUP(表格3_5[[#This Row],[Name]],Name_list[Full Name],Name_list[Hourr Rate])</f>
        <v>0</v>
      </c>
      <c r="S1438" s="210">
        <f>表格3_5[[#This Row],[Hours Worked]]*表格3_5[[#This Row],[Hourly Rate]]</f>
        <v>0</v>
      </c>
    </row>
    <row r="1439" spans="1:19">
      <c r="A1439" s="201">
        <v>1437</v>
      </c>
      <c r="B1439" s="210" t="str">
        <f>_xlfn.CONCAT(表格3_5[[#This Row],[Name]],表格3_5[[#This Row],[Location]])</f>
        <v/>
      </c>
      <c r="C1439" s="211" t="str">
        <f>表格3_5[[#This Row],[Location]] &amp; 表格3_5[[#This Row],[Date]] &amp;表格3_5[[#This Row],[Nick Name]]</f>
        <v>0</v>
      </c>
      <c r="D1439" s="202"/>
      <c r="E1439" s="211" t="str">
        <f>DAY(表格3_5[[#This Row],[Date]])&amp;""</f>
        <v>0</v>
      </c>
      <c r="F1439" s="203"/>
      <c r="G1439" s="216">
        <f>_xlfn.XLOOKUP(表格3_5[[#This Row],[Name]],Name_list[Full Name],Name_list[Nick Name])</f>
        <v>0</v>
      </c>
      <c r="H1439" s="207"/>
      <c r="I1439" s="228"/>
      <c r="J1439" s="218"/>
      <c r="K1439" s="205"/>
      <c r="L1439" s="210">
        <f>(表格3_5[[#This Row],[Out-Time]] - 表格3_5[[#This Row],[In-Time]])*24</f>
        <v>0</v>
      </c>
      <c r="M1439" s="210">
        <f>表格3_5[[#This Row],[ Hours]]-表格3_5[[#This Row],[Normal working
 hours]]</f>
        <v>0</v>
      </c>
      <c r="N1439" s="205"/>
      <c r="O1439" s="205"/>
      <c r="P1439" s="210">
        <f>(表格3_5[[#This Row],[Out-Time2]] - 表格3_5[[#This Row],[In-Time2]])*24</f>
        <v>0</v>
      </c>
      <c r="Q1439" s="205"/>
      <c r="R1439" s="214">
        <f>_xlfn.XLOOKUP(表格3_5[[#This Row],[Name]],Name_list[Full Name],Name_list[Hourr Rate])</f>
        <v>0</v>
      </c>
      <c r="S1439" s="210">
        <f>表格3_5[[#This Row],[Hours Worked]]*表格3_5[[#This Row],[Hourly Rate]]</f>
        <v>0</v>
      </c>
    </row>
    <row r="1440" spans="1:19">
      <c r="A1440" s="201">
        <v>1438</v>
      </c>
      <c r="B1440" s="210" t="str">
        <f>_xlfn.CONCAT(表格3_5[[#This Row],[Name]],表格3_5[[#This Row],[Location]])</f>
        <v/>
      </c>
      <c r="C1440" s="211" t="str">
        <f>表格3_5[[#This Row],[Location]] &amp; 表格3_5[[#This Row],[Date]] &amp;表格3_5[[#This Row],[Nick Name]]</f>
        <v>0</v>
      </c>
      <c r="D1440" s="202"/>
      <c r="E1440" s="211" t="str">
        <f>DAY(表格3_5[[#This Row],[Date]])&amp;""</f>
        <v>0</v>
      </c>
      <c r="F1440" s="203"/>
      <c r="G1440" s="216">
        <f>_xlfn.XLOOKUP(表格3_5[[#This Row],[Name]],Name_list[Full Name],Name_list[Nick Name])</f>
        <v>0</v>
      </c>
      <c r="H1440" s="207"/>
      <c r="I1440" s="228"/>
      <c r="J1440" s="218"/>
      <c r="K1440" s="205"/>
      <c r="L1440" s="210">
        <f>(表格3_5[[#This Row],[Out-Time]] - 表格3_5[[#This Row],[In-Time]])*24</f>
        <v>0</v>
      </c>
      <c r="M1440" s="210">
        <f>表格3_5[[#This Row],[ Hours]]-表格3_5[[#This Row],[Normal working
 hours]]</f>
        <v>0</v>
      </c>
      <c r="N1440" s="205"/>
      <c r="O1440" s="205"/>
      <c r="P1440" s="210">
        <f>(表格3_5[[#This Row],[Out-Time2]] - 表格3_5[[#This Row],[In-Time2]])*24</f>
        <v>0</v>
      </c>
      <c r="Q1440" s="205"/>
      <c r="R1440" s="214">
        <f>_xlfn.XLOOKUP(表格3_5[[#This Row],[Name]],Name_list[Full Name],Name_list[Hourr Rate])</f>
        <v>0</v>
      </c>
      <c r="S1440" s="210">
        <f>表格3_5[[#This Row],[Hours Worked]]*表格3_5[[#This Row],[Hourly Rate]]</f>
        <v>0</v>
      </c>
    </row>
    <row r="1441" spans="1:19">
      <c r="A1441" s="201">
        <v>1439</v>
      </c>
      <c r="B1441" s="210" t="str">
        <f>_xlfn.CONCAT(表格3_5[[#This Row],[Name]],表格3_5[[#This Row],[Location]])</f>
        <v/>
      </c>
      <c r="C1441" s="211" t="str">
        <f>表格3_5[[#This Row],[Location]] &amp; 表格3_5[[#This Row],[Date]] &amp;表格3_5[[#This Row],[Nick Name]]</f>
        <v>0</v>
      </c>
      <c r="D1441" s="202"/>
      <c r="E1441" s="211" t="str">
        <f>DAY(表格3_5[[#This Row],[Date]])&amp;""</f>
        <v>0</v>
      </c>
      <c r="F1441" s="203"/>
      <c r="G1441" s="216">
        <f>_xlfn.XLOOKUP(表格3_5[[#This Row],[Name]],Name_list[Full Name],Name_list[Nick Name])</f>
        <v>0</v>
      </c>
      <c r="H1441" s="207"/>
      <c r="I1441" s="228"/>
      <c r="J1441" s="218"/>
      <c r="K1441" s="205"/>
      <c r="L1441" s="210">
        <f>(表格3_5[[#This Row],[Out-Time]] - 表格3_5[[#This Row],[In-Time]])*24</f>
        <v>0</v>
      </c>
      <c r="M1441" s="210">
        <f>表格3_5[[#This Row],[ Hours]]-表格3_5[[#This Row],[Normal working
 hours]]</f>
        <v>0</v>
      </c>
      <c r="N1441" s="205"/>
      <c r="O1441" s="205"/>
      <c r="P1441" s="210">
        <f>(表格3_5[[#This Row],[Out-Time2]] - 表格3_5[[#This Row],[In-Time2]])*24</f>
        <v>0</v>
      </c>
      <c r="Q1441" s="205"/>
      <c r="R1441" s="214">
        <f>_xlfn.XLOOKUP(表格3_5[[#This Row],[Name]],Name_list[Full Name],Name_list[Hourr Rate])</f>
        <v>0</v>
      </c>
      <c r="S1441" s="210">
        <f>表格3_5[[#This Row],[Hours Worked]]*表格3_5[[#This Row],[Hourly Rate]]</f>
        <v>0</v>
      </c>
    </row>
    <row r="1442" spans="1:19">
      <c r="A1442" s="201">
        <v>1440</v>
      </c>
      <c r="B1442" s="210" t="str">
        <f>_xlfn.CONCAT(表格3_5[[#This Row],[Name]],表格3_5[[#This Row],[Location]])</f>
        <v/>
      </c>
      <c r="C1442" s="211" t="str">
        <f>表格3_5[[#This Row],[Location]] &amp; 表格3_5[[#This Row],[Date]] &amp;表格3_5[[#This Row],[Nick Name]]</f>
        <v>0</v>
      </c>
      <c r="D1442" s="202"/>
      <c r="E1442" s="211" t="str">
        <f>DAY(表格3_5[[#This Row],[Date]])&amp;""</f>
        <v>0</v>
      </c>
      <c r="F1442" s="203"/>
      <c r="G1442" s="216">
        <f>_xlfn.XLOOKUP(表格3_5[[#This Row],[Name]],Name_list[Full Name],Name_list[Nick Name])</f>
        <v>0</v>
      </c>
      <c r="H1442" s="207"/>
      <c r="I1442" s="228"/>
      <c r="J1442" s="218"/>
      <c r="K1442" s="205"/>
      <c r="L1442" s="210">
        <f>(表格3_5[[#This Row],[Out-Time]] - 表格3_5[[#This Row],[In-Time]])*24</f>
        <v>0</v>
      </c>
      <c r="M1442" s="210">
        <f>表格3_5[[#This Row],[ Hours]]-表格3_5[[#This Row],[Normal working
 hours]]</f>
        <v>0</v>
      </c>
      <c r="N1442" s="205"/>
      <c r="O1442" s="205"/>
      <c r="P1442" s="210">
        <f>(表格3_5[[#This Row],[Out-Time2]] - 表格3_5[[#This Row],[In-Time2]])*24</f>
        <v>0</v>
      </c>
      <c r="Q1442" s="205"/>
      <c r="R1442" s="214">
        <f>_xlfn.XLOOKUP(表格3_5[[#This Row],[Name]],Name_list[Full Name],Name_list[Hourr Rate])</f>
        <v>0</v>
      </c>
      <c r="S1442" s="210">
        <f>表格3_5[[#This Row],[Hours Worked]]*表格3_5[[#This Row],[Hourly Rate]]</f>
        <v>0</v>
      </c>
    </row>
    <row r="1443" spans="1:19">
      <c r="A1443" s="201">
        <v>1441</v>
      </c>
      <c r="B1443" s="210" t="str">
        <f>_xlfn.CONCAT(表格3_5[[#This Row],[Name]],表格3_5[[#This Row],[Location]])</f>
        <v/>
      </c>
      <c r="C1443" s="211" t="str">
        <f>表格3_5[[#This Row],[Location]] &amp; 表格3_5[[#This Row],[Date]] &amp;表格3_5[[#This Row],[Nick Name]]</f>
        <v>0</v>
      </c>
      <c r="D1443" s="202"/>
      <c r="E1443" s="211" t="str">
        <f>DAY(表格3_5[[#This Row],[Date]])&amp;""</f>
        <v>0</v>
      </c>
      <c r="F1443" s="203"/>
      <c r="G1443" s="216">
        <f>_xlfn.XLOOKUP(表格3_5[[#This Row],[Name]],Name_list[Full Name],Name_list[Nick Name])</f>
        <v>0</v>
      </c>
      <c r="H1443" s="207"/>
      <c r="I1443" s="228"/>
      <c r="J1443" s="218"/>
      <c r="K1443" s="205"/>
      <c r="L1443" s="210">
        <f>(表格3_5[[#This Row],[Out-Time]] - 表格3_5[[#This Row],[In-Time]])*24</f>
        <v>0</v>
      </c>
      <c r="M1443" s="210">
        <f>表格3_5[[#This Row],[ Hours]]-表格3_5[[#This Row],[Normal working
 hours]]</f>
        <v>0</v>
      </c>
      <c r="N1443" s="205"/>
      <c r="O1443" s="205"/>
      <c r="P1443" s="210">
        <f>(表格3_5[[#This Row],[Out-Time2]] - 表格3_5[[#This Row],[In-Time2]])*24</f>
        <v>0</v>
      </c>
      <c r="Q1443" s="205"/>
      <c r="R1443" s="214">
        <f>_xlfn.XLOOKUP(表格3_5[[#This Row],[Name]],Name_list[Full Name],Name_list[Hourr Rate])</f>
        <v>0</v>
      </c>
      <c r="S1443" s="210">
        <f>表格3_5[[#This Row],[Hours Worked]]*表格3_5[[#This Row],[Hourly Rate]]</f>
        <v>0</v>
      </c>
    </row>
    <row r="1444" spans="1:19">
      <c r="A1444" s="201">
        <v>1442</v>
      </c>
      <c r="B1444" s="210" t="str">
        <f>_xlfn.CONCAT(表格3_5[[#This Row],[Name]],表格3_5[[#This Row],[Location]])</f>
        <v/>
      </c>
      <c r="C1444" s="211" t="str">
        <f>表格3_5[[#This Row],[Location]] &amp; 表格3_5[[#This Row],[Date]] &amp;表格3_5[[#This Row],[Nick Name]]</f>
        <v>0</v>
      </c>
      <c r="D1444" s="202"/>
      <c r="E1444" s="211" t="str">
        <f>DAY(表格3_5[[#This Row],[Date]])&amp;""</f>
        <v>0</v>
      </c>
      <c r="F1444" s="203"/>
      <c r="G1444" s="216">
        <f>_xlfn.XLOOKUP(表格3_5[[#This Row],[Name]],Name_list[Full Name],Name_list[Nick Name])</f>
        <v>0</v>
      </c>
      <c r="H1444" s="207"/>
      <c r="I1444" s="228"/>
      <c r="J1444" s="218"/>
      <c r="K1444" s="205"/>
      <c r="L1444" s="210">
        <f>(表格3_5[[#This Row],[Out-Time]] - 表格3_5[[#This Row],[In-Time]])*24</f>
        <v>0</v>
      </c>
      <c r="M1444" s="210">
        <f>表格3_5[[#This Row],[ Hours]]-表格3_5[[#This Row],[Normal working
 hours]]</f>
        <v>0</v>
      </c>
      <c r="N1444" s="205"/>
      <c r="O1444" s="205"/>
      <c r="P1444" s="210">
        <f>(表格3_5[[#This Row],[Out-Time2]] - 表格3_5[[#This Row],[In-Time2]])*24</f>
        <v>0</v>
      </c>
      <c r="Q1444" s="205"/>
      <c r="R1444" s="214">
        <f>_xlfn.XLOOKUP(表格3_5[[#This Row],[Name]],Name_list[Full Name],Name_list[Hourr Rate])</f>
        <v>0</v>
      </c>
      <c r="S1444" s="210">
        <f>表格3_5[[#This Row],[Hours Worked]]*表格3_5[[#This Row],[Hourly Rate]]</f>
        <v>0</v>
      </c>
    </row>
    <row r="1445" spans="1:19">
      <c r="A1445" s="201">
        <v>1443</v>
      </c>
      <c r="B1445" s="210" t="str">
        <f>_xlfn.CONCAT(表格3_5[[#This Row],[Name]],表格3_5[[#This Row],[Location]])</f>
        <v/>
      </c>
      <c r="C1445" s="211" t="str">
        <f>表格3_5[[#This Row],[Location]] &amp; 表格3_5[[#This Row],[Date]] &amp;表格3_5[[#This Row],[Nick Name]]</f>
        <v>0</v>
      </c>
      <c r="D1445" s="202"/>
      <c r="E1445" s="211" t="str">
        <f>DAY(表格3_5[[#This Row],[Date]])&amp;""</f>
        <v>0</v>
      </c>
      <c r="F1445" s="203"/>
      <c r="G1445" s="216">
        <f>_xlfn.XLOOKUP(表格3_5[[#This Row],[Name]],Name_list[Full Name],Name_list[Nick Name])</f>
        <v>0</v>
      </c>
      <c r="H1445" s="207"/>
      <c r="I1445" s="228"/>
      <c r="J1445" s="218"/>
      <c r="K1445" s="205"/>
      <c r="L1445" s="210">
        <f>(表格3_5[[#This Row],[Out-Time]] - 表格3_5[[#This Row],[In-Time]])*24</f>
        <v>0</v>
      </c>
      <c r="M1445" s="210">
        <f>表格3_5[[#This Row],[ Hours]]-表格3_5[[#This Row],[Normal working
 hours]]</f>
        <v>0</v>
      </c>
      <c r="N1445" s="205"/>
      <c r="O1445" s="205"/>
      <c r="P1445" s="210">
        <f>(表格3_5[[#This Row],[Out-Time2]] - 表格3_5[[#This Row],[In-Time2]])*24</f>
        <v>0</v>
      </c>
      <c r="Q1445" s="205"/>
      <c r="R1445" s="214">
        <f>_xlfn.XLOOKUP(表格3_5[[#This Row],[Name]],Name_list[Full Name],Name_list[Hourr Rate])</f>
        <v>0</v>
      </c>
      <c r="S1445" s="210">
        <f>表格3_5[[#This Row],[Hours Worked]]*表格3_5[[#This Row],[Hourly Rate]]</f>
        <v>0</v>
      </c>
    </row>
    <row r="1446" spans="1:19">
      <c r="A1446" s="201">
        <v>1444</v>
      </c>
      <c r="B1446" s="210" t="str">
        <f>_xlfn.CONCAT(表格3_5[[#This Row],[Name]],表格3_5[[#This Row],[Location]])</f>
        <v/>
      </c>
      <c r="C1446" s="211" t="str">
        <f>表格3_5[[#This Row],[Location]] &amp; 表格3_5[[#This Row],[Date]] &amp;表格3_5[[#This Row],[Nick Name]]</f>
        <v>0</v>
      </c>
      <c r="D1446" s="202"/>
      <c r="E1446" s="211" t="str">
        <f>DAY(表格3_5[[#This Row],[Date]])&amp;""</f>
        <v>0</v>
      </c>
      <c r="F1446" s="203"/>
      <c r="G1446" s="216">
        <f>_xlfn.XLOOKUP(表格3_5[[#This Row],[Name]],Name_list[Full Name],Name_list[Nick Name])</f>
        <v>0</v>
      </c>
      <c r="H1446" s="207"/>
      <c r="I1446" s="228"/>
      <c r="J1446" s="218"/>
      <c r="K1446" s="205"/>
      <c r="L1446" s="210">
        <f>(表格3_5[[#This Row],[Out-Time]] - 表格3_5[[#This Row],[In-Time]])*24</f>
        <v>0</v>
      </c>
      <c r="M1446" s="210">
        <f>表格3_5[[#This Row],[ Hours]]-表格3_5[[#This Row],[Normal working
 hours]]</f>
        <v>0</v>
      </c>
      <c r="N1446" s="205"/>
      <c r="O1446" s="205"/>
      <c r="P1446" s="210">
        <f>(表格3_5[[#This Row],[Out-Time2]] - 表格3_5[[#This Row],[In-Time2]])*24</f>
        <v>0</v>
      </c>
      <c r="Q1446" s="205"/>
      <c r="R1446" s="214">
        <f>_xlfn.XLOOKUP(表格3_5[[#This Row],[Name]],Name_list[Full Name],Name_list[Hourr Rate])</f>
        <v>0</v>
      </c>
      <c r="S1446" s="210">
        <f>表格3_5[[#This Row],[Hours Worked]]*表格3_5[[#This Row],[Hourly Rate]]</f>
        <v>0</v>
      </c>
    </row>
    <row r="1447" spans="1:19">
      <c r="A1447" s="201">
        <v>1445</v>
      </c>
      <c r="B1447" s="210" t="str">
        <f>_xlfn.CONCAT(表格3_5[[#This Row],[Name]],表格3_5[[#This Row],[Location]])</f>
        <v/>
      </c>
      <c r="C1447" s="211" t="str">
        <f>表格3_5[[#This Row],[Location]] &amp; 表格3_5[[#This Row],[Date]] &amp;表格3_5[[#This Row],[Nick Name]]</f>
        <v>0</v>
      </c>
      <c r="D1447" s="202"/>
      <c r="E1447" s="211" t="str">
        <f>DAY(表格3_5[[#This Row],[Date]])&amp;""</f>
        <v>0</v>
      </c>
      <c r="F1447" s="203"/>
      <c r="G1447" s="216">
        <f>_xlfn.XLOOKUP(表格3_5[[#This Row],[Name]],Name_list[Full Name],Name_list[Nick Name])</f>
        <v>0</v>
      </c>
      <c r="H1447" s="207"/>
      <c r="I1447" s="228"/>
      <c r="J1447" s="218"/>
      <c r="K1447" s="205"/>
      <c r="L1447" s="210">
        <f>(表格3_5[[#This Row],[Out-Time]] - 表格3_5[[#This Row],[In-Time]])*24</f>
        <v>0</v>
      </c>
      <c r="M1447" s="210">
        <f>表格3_5[[#This Row],[ Hours]]-表格3_5[[#This Row],[Normal working
 hours]]</f>
        <v>0</v>
      </c>
      <c r="N1447" s="205"/>
      <c r="O1447" s="205"/>
      <c r="P1447" s="210">
        <f>(表格3_5[[#This Row],[Out-Time2]] - 表格3_5[[#This Row],[In-Time2]])*24</f>
        <v>0</v>
      </c>
      <c r="Q1447" s="205"/>
      <c r="R1447" s="214">
        <f>_xlfn.XLOOKUP(表格3_5[[#This Row],[Name]],Name_list[Full Name],Name_list[Hourr Rate])</f>
        <v>0</v>
      </c>
      <c r="S1447" s="210">
        <f>表格3_5[[#This Row],[Hours Worked]]*表格3_5[[#This Row],[Hourly Rate]]</f>
        <v>0</v>
      </c>
    </row>
    <row r="1448" spans="1:19">
      <c r="A1448" s="201">
        <v>1446</v>
      </c>
      <c r="B1448" s="210" t="str">
        <f>_xlfn.CONCAT(表格3_5[[#This Row],[Name]],表格3_5[[#This Row],[Location]])</f>
        <v/>
      </c>
      <c r="C1448" s="211" t="str">
        <f>表格3_5[[#This Row],[Location]] &amp; 表格3_5[[#This Row],[Date]] &amp;表格3_5[[#This Row],[Nick Name]]</f>
        <v>0</v>
      </c>
      <c r="D1448" s="202"/>
      <c r="E1448" s="211" t="str">
        <f>DAY(表格3_5[[#This Row],[Date]])&amp;""</f>
        <v>0</v>
      </c>
      <c r="F1448" s="203"/>
      <c r="G1448" s="216">
        <f>_xlfn.XLOOKUP(表格3_5[[#This Row],[Name]],Name_list[Full Name],Name_list[Nick Name])</f>
        <v>0</v>
      </c>
      <c r="H1448" s="207"/>
      <c r="I1448" s="228"/>
      <c r="J1448" s="218"/>
      <c r="K1448" s="205"/>
      <c r="L1448" s="210">
        <f>(表格3_5[[#This Row],[Out-Time]] - 表格3_5[[#This Row],[In-Time]])*24</f>
        <v>0</v>
      </c>
      <c r="M1448" s="210">
        <f>表格3_5[[#This Row],[ Hours]]-表格3_5[[#This Row],[Normal working
 hours]]</f>
        <v>0</v>
      </c>
      <c r="N1448" s="205"/>
      <c r="O1448" s="205"/>
      <c r="P1448" s="210">
        <f>(表格3_5[[#This Row],[Out-Time2]] - 表格3_5[[#This Row],[In-Time2]])*24</f>
        <v>0</v>
      </c>
      <c r="Q1448" s="205"/>
      <c r="R1448" s="214">
        <f>_xlfn.XLOOKUP(表格3_5[[#This Row],[Name]],Name_list[Full Name],Name_list[Hourr Rate])</f>
        <v>0</v>
      </c>
      <c r="S1448" s="210">
        <f>表格3_5[[#This Row],[Hours Worked]]*表格3_5[[#This Row],[Hourly Rate]]</f>
        <v>0</v>
      </c>
    </row>
    <row r="1449" spans="1:19">
      <c r="A1449" s="201">
        <v>1447</v>
      </c>
      <c r="B1449" s="210" t="str">
        <f>_xlfn.CONCAT(表格3_5[[#This Row],[Name]],表格3_5[[#This Row],[Location]])</f>
        <v/>
      </c>
      <c r="C1449" s="211" t="str">
        <f>表格3_5[[#This Row],[Location]] &amp; 表格3_5[[#This Row],[Date]] &amp;表格3_5[[#This Row],[Nick Name]]</f>
        <v>0</v>
      </c>
      <c r="D1449" s="202"/>
      <c r="E1449" s="211" t="str">
        <f>DAY(表格3_5[[#This Row],[Date]])&amp;""</f>
        <v>0</v>
      </c>
      <c r="F1449" s="203"/>
      <c r="G1449" s="216">
        <f>_xlfn.XLOOKUP(表格3_5[[#This Row],[Name]],Name_list[Full Name],Name_list[Nick Name])</f>
        <v>0</v>
      </c>
      <c r="H1449" s="207"/>
      <c r="I1449" s="228"/>
      <c r="J1449" s="218"/>
      <c r="K1449" s="205"/>
      <c r="L1449" s="210">
        <f>(表格3_5[[#This Row],[Out-Time]] - 表格3_5[[#This Row],[In-Time]])*24</f>
        <v>0</v>
      </c>
      <c r="M1449" s="210">
        <f>表格3_5[[#This Row],[ Hours]]-表格3_5[[#This Row],[Normal working
 hours]]</f>
        <v>0</v>
      </c>
      <c r="N1449" s="205"/>
      <c r="O1449" s="205"/>
      <c r="P1449" s="210">
        <f>(表格3_5[[#This Row],[Out-Time2]] - 表格3_5[[#This Row],[In-Time2]])*24</f>
        <v>0</v>
      </c>
      <c r="Q1449" s="205"/>
      <c r="R1449" s="214">
        <f>_xlfn.XLOOKUP(表格3_5[[#This Row],[Name]],Name_list[Full Name],Name_list[Hourr Rate])</f>
        <v>0</v>
      </c>
      <c r="S1449" s="210">
        <f>表格3_5[[#This Row],[Hours Worked]]*表格3_5[[#This Row],[Hourly Rate]]</f>
        <v>0</v>
      </c>
    </row>
    <row r="1450" spans="1:19">
      <c r="A1450" s="201">
        <v>1448</v>
      </c>
      <c r="B1450" s="210" t="str">
        <f>_xlfn.CONCAT(表格3_5[[#This Row],[Name]],表格3_5[[#This Row],[Location]])</f>
        <v/>
      </c>
      <c r="C1450" s="211" t="str">
        <f>表格3_5[[#This Row],[Location]] &amp; 表格3_5[[#This Row],[Date]] &amp;表格3_5[[#This Row],[Nick Name]]</f>
        <v>0</v>
      </c>
      <c r="D1450" s="202"/>
      <c r="E1450" s="211" t="str">
        <f>DAY(表格3_5[[#This Row],[Date]])&amp;""</f>
        <v>0</v>
      </c>
      <c r="F1450" s="203"/>
      <c r="G1450" s="216">
        <f>_xlfn.XLOOKUP(表格3_5[[#This Row],[Name]],Name_list[Full Name],Name_list[Nick Name])</f>
        <v>0</v>
      </c>
      <c r="H1450" s="207"/>
      <c r="I1450" s="228"/>
      <c r="J1450" s="218"/>
      <c r="K1450" s="205"/>
      <c r="L1450" s="210">
        <f>(表格3_5[[#This Row],[Out-Time]] - 表格3_5[[#This Row],[In-Time]])*24</f>
        <v>0</v>
      </c>
      <c r="M1450" s="210">
        <f>表格3_5[[#This Row],[ Hours]]-表格3_5[[#This Row],[Normal working
 hours]]</f>
        <v>0</v>
      </c>
      <c r="N1450" s="205"/>
      <c r="O1450" s="205"/>
      <c r="P1450" s="210">
        <f>(表格3_5[[#This Row],[Out-Time2]] - 表格3_5[[#This Row],[In-Time2]])*24</f>
        <v>0</v>
      </c>
      <c r="Q1450" s="205"/>
      <c r="R1450" s="214">
        <f>_xlfn.XLOOKUP(表格3_5[[#This Row],[Name]],Name_list[Full Name],Name_list[Hourr Rate])</f>
        <v>0</v>
      </c>
      <c r="S1450" s="210">
        <f>表格3_5[[#This Row],[Hours Worked]]*表格3_5[[#This Row],[Hourly Rate]]</f>
        <v>0</v>
      </c>
    </row>
    <row r="1451" spans="1:19">
      <c r="A1451" s="201">
        <v>1449</v>
      </c>
      <c r="B1451" s="210" t="str">
        <f>_xlfn.CONCAT(表格3_5[[#This Row],[Name]],表格3_5[[#This Row],[Location]])</f>
        <v/>
      </c>
      <c r="C1451" s="211" t="str">
        <f>表格3_5[[#This Row],[Location]] &amp; 表格3_5[[#This Row],[Date]] &amp;表格3_5[[#This Row],[Nick Name]]</f>
        <v>0</v>
      </c>
      <c r="D1451" s="202"/>
      <c r="E1451" s="211" t="str">
        <f>DAY(表格3_5[[#This Row],[Date]])&amp;""</f>
        <v>0</v>
      </c>
      <c r="F1451" s="203"/>
      <c r="G1451" s="216">
        <f>_xlfn.XLOOKUP(表格3_5[[#This Row],[Name]],Name_list[Full Name],Name_list[Nick Name])</f>
        <v>0</v>
      </c>
      <c r="H1451" s="207"/>
      <c r="I1451" s="228"/>
      <c r="J1451" s="218"/>
      <c r="K1451" s="205"/>
      <c r="L1451" s="210">
        <f>(表格3_5[[#This Row],[Out-Time]] - 表格3_5[[#This Row],[In-Time]])*24</f>
        <v>0</v>
      </c>
      <c r="M1451" s="210">
        <f>表格3_5[[#This Row],[ Hours]]-表格3_5[[#This Row],[Normal working
 hours]]</f>
        <v>0</v>
      </c>
      <c r="N1451" s="205"/>
      <c r="O1451" s="205"/>
      <c r="P1451" s="210">
        <f>(表格3_5[[#This Row],[Out-Time2]] - 表格3_5[[#This Row],[In-Time2]])*24</f>
        <v>0</v>
      </c>
      <c r="Q1451" s="205"/>
      <c r="R1451" s="214">
        <f>_xlfn.XLOOKUP(表格3_5[[#This Row],[Name]],Name_list[Full Name],Name_list[Hourr Rate])</f>
        <v>0</v>
      </c>
      <c r="S1451" s="210">
        <f>表格3_5[[#This Row],[Hours Worked]]*表格3_5[[#This Row],[Hourly Rate]]</f>
        <v>0</v>
      </c>
    </row>
    <row r="1452" spans="1:19">
      <c r="A1452" s="201">
        <v>1450</v>
      </c>
      <c r="B1452" s="210" t="str">
        <f>_xlfn.CONCAT(表格3_5[[#This Row],[Name]],表格3_5[[#This Row],[Location]])</f>
        <v/>
      </c>
      <c r="C1452" s="211" t="str">
        <f>表格3_5[[#This Row],[Location]] &amp; 表格3_5[[#This Row],[Date]] &amp;表格3_5[[#This Row],[Nick Name]]</f>
        <v>0</v>
      </c>
      <c r="D1452" s="202"/>
      <c r="E1452" s="211" t="str">
        <f>DAY(表格3_5[[#This Row],[Date]])&amp;""</f>
        <v>0</v>
      </c>
      <c r="F1452" s="203"/>
      <c r="G1452" s="216">
        <f>_xlfn.XLOOKUP(表格3_5[[#This Row],[Name]],Name_list[Full Name],Name_list[Nick Name])</f>
        <v>0</v>
      </c>
      <c r="H1452" s="207"/>
      <c r="I1452" s="228"/>
      <c r="J1452" s="218"/>
      <c r="K1452" s="205"/>
      <c r="L1452" s="210">
        <f>(表格3_5[[#This Row],[Out-Time]] - 表格3_5[[#This Row],[In-Time]])*24</f>
        <v>0</v>
      </c>
      <c r="M1452" s="210">
        <f>表格3_5[[#This Row],[ Hours]]-表格3_5[[#This Row],[Normal working
 hours]]</f>
        <v>0</v>
      </c>
      <c r="N1452" s="205"/>
      <c r="O1452" s="205"/>
      <c r="P1452" s="210">
        <f>(表格3_5[[#This Row],[Out-Time2]] - 表格3_5[[#This Row],[In-Time2]])*24</f>
        <v>0</v>
      </c>
      <c r="Q1452" s="205"/>
      <c r="R1452" s="214">
        <f>_xlfn.XLOOKUP(表格3_5[[#This Row],[Name]],Name_list[Full Name],Name_list[Hourr Rate])</f>
        <v>0</v>
      </c>
      <c r="S1452" s="210">
        <f>表格3_5[[#This Row],[Hours Worked]]*表格3_5[[#This Row],[Hourly Rate]]</f>
        <v>0</v>
      </c>
    </row>
    <row r="1453" spans="1:19">
      <c r="A1453" s="201">
        <v>1451</v>
      </c>
      <c r="B1453" s="210" t="str">
        <f>_xlfn.CONCAT(表格3_5[[#This Row],[Name]],表格3_5[[#This Row],[Location]])</f>
        <v/>
      </c>
      <c r="C1453" s="211" t="str">
        <f>表格3_5[[#This Row],[Location]] &amp; 表格3_5[[#This Row],[Date]] &amp;表格3_5[[#This Row],[Nick Name]]</f>
        <v>0</v>
      </c>
      <c r="D1453" s="202"/>
      <c r="E1453" s="211" t="str">
        <f>DAY(表格3_5[[#This Row],[Date]])&amp;""</f>
        <v>0</v>
      </c>
      <c r="F1453" s="203"/>
      <c r="G1453" s="216">
        <f>_xlfn.XLOOKUP(表格3_5[[#This Row],[Name]],Name_list[Full Name],Name_list[Nick Name])</f>
        <v>0</v>
      </c>
      <c r="H1453" s="207"/>
      <c r="I1453" s="228"/>
      <c r="J1453" s="218"/>
      <c r="K1453" s="205"/>
      <c r="L1453" s="210">
        <f>(表格3_5[[#This Row],[Out-Time]] - 表格3_5[[#This Row],[In-Time]])*24</f>
        <v>0</v>
      </c>
      <c r="M1453" s="210">
        <f>表格3_5[[#This Row],[ Hours]]-表格3_5[[#This Row],[Normal working
 hours]]</f>
        <v>0</v>
      </c>
      <c r="N1453" s="205"/>
      <c r="O1453" s="205"/>
      <c r="P1453" s="210">
        <f>(表格3_5[[#This Row],[Out-Time2]] - 表格3_5[[#This Row],[In-Time2]])*24</f>
        <v>0</v>
      </c>
      <c r="Q1453" s="205"/>
      <c r="R1453" s="214">
        <f>_xlfn.XLOOKUP(表格3_5[[#This Row],[Name]],Name_list[Full Name],Name_list[Hourr Rate])</f>
        <v>0</v>
      </c>
      <c r="S1453" s="210">
        <f>表格3_5[[#This Row],[Hours Worked]]*表格3_5[[#This Row],[Hourly Rate]]</f>
        <v>0</v>
      </c>
    </row>
    <row r="1454" spans="1:19">
      <c r="A1454" s="201">
        <v>1452</v>
      </c>
      <c r="B1454" s="210" t="str">
        <f>_xlfn.CONCAT(表格3_5[[#This Row],[Name]],表格3_5[[#This Row],[Location]])</f>
        <v/>
      </c>
      <c r="C1454" s="211" t="str">
        <f>表格3_5[[#This Row],[Location]] &amp; 表格3_5[[#This Row],[Date]] &amp;表格3_5[[#This Row],[Nick Name]]</f>
        <v>0</v>
      </c>
      <c r="D1454" s="202"/>
      <c r="E1454" s="211" t="str">
        <f>DAY(表格3_5[[#This Row],[Date]])&amp;""</f>
        <v>0</v>
      </c>
      <c r="F1454" s="203"/>
      <c r="G1454" s="216">
        <f>_xlfn.XLOOKUP(表格3_5[[#This Row],[Name]],Name_list[Full Name],Name_list[Nick Name])</f>
        <v>0</v>
      </c>
      <c r="H1454" s="207"/>
      <c r="I1454" s="228"/>
      <c r="J1454" s="218"/>
      <c r="K1454" s="205"/>
      <c r="L1454" s="210">
        <f>(表格3_5[[#This Row],[Out-Time]] - 表格3_5[[#This Row],[In-Time]])*24</f>
        <v>0</v>
      </c>
      <c r="M1454" s="210">
        <f>表格3_5[[#This Row],[ Hours]]-表格3_5[[#This Row],[Normal working
 hours]]</f>
        <v>0</v>
      </c>
      <c r="N1454" s="205"/>
      <c r="O1454" s="205"/>
      <c r="P1454" s="210">
        <f>(表格3_5[[#This Row],[Out-Time2]] - 表格3_5[[#This Row],[In-Time2]])*24</f>
        <v>0</v>
      </c>
      <c r="Q1454" s="205"/>
      <c r="R1454" s="214">
        <f>_xlfn.XLOOKUP(表格3_5[[#This Row],[Name]],Name_list[Full Name],Name_list[Hourr Rate])</f>
        <v>0</v>
      </c>
      <c r="S1454" s="210">
        <f>表格3_5[[#This Row],[Hours Worked]]*表格3_5[[#This Row],[Hourly Rate]]</f>
        <v>0</v>
      </c>
    </row>
    <row r="1455" spans="1:19">
      <c r="A1455" s="201">
        <v>1453</v>
      </c>
      <c r="B1455" s="210" t="str">
        <f>_xlfn.CONCAT(表格3_5[[#This Row],[Name]],表格3_5[[#This Row],[Location]])</f>
        <v/>
      </c>
      <c r="C1455" s="211" t="str">
        <f>表格3_5[[#This Row],[Location]] &amp; 表格3_5[[#This Row],[Date]] &amp;表格3_5[[#This Row],[Nick Name]]</f>
        <v>0</v>
      </c>
      <c r="D1455" s="202"/>
      <c r="E1455" s="211" t="str">
        <f>DAY(表格3_5[[#This Row],[Date]])&amp;""</f>
        <v>0</v>
      </c>
      <c r="F1455" s="203"/>
      <c r="G1455" s="216">
        <f>_xlfn.XLOOKUP(表格3_5[[#This Row],[Name]],Name_list[Full Name],Name_list[Nick Name])</f>
        <v>0</v>
      </c>
      <c r="H1455" s="207"/>
      <c r="I1455" s="228"/>
      <c r="J1455" s="218"/>
      <c r="K1455" s="205"/>
      <c r="L1455" s="210">
        <f>(表格3_5[[#This Row],[Out-Time]] - 表格3_5[[#This Row],[In-Time]])*24</f>
        <v>0</v>
      </c>
      <c r="M1455" s="210">
        <f>表格3_5[[#This Row],[ Hours]]-表格3_5[[#This Row],[Normal working
 hours]]</f>
        <v>0</v>
      </c>
      <c r="N1455" s="205"/>
      <c r="O1455" s="205"/>
      <c r="P1455" s="210">
        <f>(表格3_5[[#This Row],[Out-Time2]] - 表格3_5[[#This Row],[In-Time2]])*24</f>
        <v>0</v>
      </c>
      <c r="Q1455" s="205"/>
      <c r="R1455" s="214">
        <f>_xlfn.XLOOKUP(表格3_5[[#This Row],[Name]],Name_list[Full Name],Name_list[Hourr Rate])</f>
        <v>0</v>
      </c>
      <c r="S1455" s="210">
        <f>表格3_5[[#This Row],[Hours Worked]]*表格3_5[[#This Row],[Hourly Rate]]</f>
        <v>0</v>
      </c>
    </row>
    <row r="1456" spans="1:19">
      <c r="A1456" s="201">
        <v>1454</v>
      </c>
      <c r="B1456" s="210" t="str">
        <f>_xlfn.CONCAT(表格3_5[[#This Row],[Name]],表格3_5[[#This Row],[Location]])</f>
        <v/>
      </c>
      <c r="C1456" s="211" t="str">
        <f>表格3_5[[#This Row],[Location]] &amp; 表格3_5[[#This Row],[Date]] &amp;表格3_5[[#This Row],[Nick Name]]</f>
        <v>0</v>
      </c>
      <c r="D1456" s="202"/>
      <c r="E1456" s="211" t="str">
        <f>DAY(表格3_5[[#This Row],[Date]])&amp;""</f>
        <v>0</v>
      </c>
      <c r="F1456" s="203"/>
      <c r="G1456" s="216">
        <f>_xlfn.XLOOKUP(表格3_5[[#This Row],[Name]],Name_list[Full Name],Name_list[Nick Name])</f>
        <v>0</v>
      </c>
      <c r="H1456" s="207"/>
      <c r="I1456" s="228"/>
      <c r="J1456" s="218"/>
      <c r="K1456" s="205"/>
      <c r="L1456" s="210">
        <f>(表格3_5[[#This Row],[Out-Time]] - 表格3_5[[#This Row],[In-Time]])*24</f>
        <v>0</v>
      </c>
      <c r="M1456" s="210">
        <f>表格3_5[[#This Row],[ Hours]]-表格3_5[[#This Row],[Normal working
 hours]]</f>
        <v>0</v>
      </c>
      <c r="N1456" s="205"/>
      <c r="O1456" s="205"/>
      <c r="P1456" s="210">
        <f>(表格3_5[[#This Row],[Out-Time2]] - 表格3_5[[#This Row],[In-Time2]])*24</f>
        <v>0</v>
      </c>
      <c r="Q1456" s="205"/>
      <c r="R1456" s="214">
        <f>_xlfn.XLOOKUP(表格3_5[[#This Row],[Name]],Name_list[Full Name],Name_list[Hourr Rate])</f>
        <v>0</v>
      </c>
      <c r="S1456" s="210">
        <f>表格3_5[[#This Row],[Hours Worked]]*表格3_5[[#This Row],[Hourly Rate]]</f>
        <v>0</v>
      </c>
    </row>
    <row r="1457" spans="1:19">
      <c r="A1457" s="201">
        <v>1455</v>
      </c>
      <c r="B1457" s="210" t="str">
        <f>_xlfn.CONCAT(表格3_5[[#This Row],[Name]],表格3_5[[#This Row],[Location]])</f>
        <v/>
      </c>
      <c r="C1457" s="211" t="str">
        <f>表格3_5[[#This Row],[Location]] &amp; 表格3_5[[#This Row],[Date]] &amp;表格3_5[[#This Row],[Nick Name]]</f>
        <v>0</v>
      </c>
      <c r="D1457" s="202"/>
      <c r="E1457" s="211" t="str">
        <f>DAY(表格3_5[[#This Row],[Date]])&amp;""</f>
        <v>0</v>
      </c>
      <c r="F1457" s="203"/>
      <c r="G1457" s="216">
        <f>_xlfn.XLOOKUP(表格3_5[[#This Row],[Name]],Name_list[Full Name],Name_list[Nick Name])</f>
        <v>0</v>
      </c>
      <c r="H1457" s="207"/>
      <c r="I1457" s="228"/>
      <c r="J1457" s="218"/>
      <c r="K1457" s="205"/>
      <c r="L1457" s="210">
        <f>(表格3_5[[#This Row],[Out-Time]] - 表格3_5[[#This Row],[In-Time]])*24</f>
        <v>0</v>
      </c>
      <c r="M1457" s="210">
        <f>表格3_5[[#This Row],[ Hours]]-表格3_5[[#This Row],[Normal working
 hours]]</f>
        <v>0</v>
      </c>
      <c r="N1457" s="205"/>
      <c r="O1457" s="205"/>
      <c r="P1457" s="210">
        <f>(表格3_5[[#This Row],[Out-Time2]] - 表格3_5[[#This Row],[In-Time2]])*24</f>
        <v>0</v>
      </c>
      <c r="Q1457" s="205"/>
      <c r="R1457" s="214">
        <f>_xlfn.XLOOKUP(表格3_5[[#This Row],[Name]],Name_list[Full Name],Name_list[Hourr Rate])</f>
        <v>0</v>
      </c>
      <c r="S1457" s="210">
        <f>表格3_5[[#This Row],[Hours Worked]]*表格3_5[[#This Row],[Hourly Rate]]</f>
        <v>0</v>
      </c>
    </row>
    <row r="1458" spans="1:19">
      <c r="A1458" s="201">
        <v>1456</v>
      </c>
      <c r="B1458" s="210" t="str">
        <f>_xlfn.CONCAT(表格3_5[[#This Row],[Name]],表格3_5[[#This Row],[Location]])</f>
        <v/>
      </c>
      <c r="C1458" s="211" t="str">
        <f>表格3_5[[#This Row],[Location]] &amp; 表格3_5[[#This Row],[Date]] &amp;表格3_5[[#This Row],[Nick Name]]</f>
        <v>0</v>
      </c>
      <c r="D1458" s="202"/>
      <c r="E1458" s="211" t="str">
        <f>DAY(表格3_5[[#This Row],[Date]])&amp;""</f>
        <v>0</v>
      </c>
      <c r="F1458" s="203"/>
      <c r="G1458" s="216">
        <f>_xlfn.XLOOKUP(表格3_5[[#This Row],[Name]],Name_list[Full Name],Name_list[Nick Name])</f>
        <v>0</v>
      </c>
      <c r="H1458" s="207"/>
      <c r="I1458" s="228"/>
      <c r="J1458" s="218"/>
      <c r="K1458" s="205"/>
      <c r="L1458" s="210">
        <f>(表格3_5[[#This Row],[Out-Time]] - 表格3_5[[#This Row],[In-Time]])*24</f>
        <v>0</v>
      </c>
      <c r="M1458" s="210">
        <f>表格3_5[[#This Row],[ Hours]]-表格3_5[[#This Row],[Normal working
 hours]]</f>
        <v>0</v>
      </c>
      <c r="N1458" s="205"/>
      <c r="O1458" s="205"/>
      <c r="P1458" s="210">
        <f>(表格3_5[[#This Row],[Out-Time2]] - 表格3_5[[#This Row],[In-Time2]])*24</f>
        <v>0</v>
      </c>
      <c r="Q1458" s="205"/>
      <c r="R1458" s="214">
        <f>_xlfn.XLOOKUP(表格3_5[[#This Row],[Name]],Name_list[Full Name],Name_list[Hourr Rate])</f>
        <v>0</v>
      </c>
      <c r="S1458" s="210">
        <f>表格3_5[[#This Row],[Hours Worked]]*表格3_5[[#This Row],[Hourly Rate]]</f>
        <v>0</v>
      </c>
    </row>
    <row r="1459" spans="1:19">
      <c r="A1459" s="201">
        <v>1457</v>
      </c>
      <c r="B1459" s="210" t="str">
        <f>_xlfn.CONCAT(表格3_5[[#This Row],[Name]],表格3_5[[#This Row],[Location]])</f>
        <v/>
      </c>
      <c r="C1459" s="211" t="str">
        <f>表格3_5[[#This Row],[Location]] &amp; 表格3_5[[#This Row],[Date]] &amp;表格3_5[[#This Row],[Nick Name]]</f>
        <v>0</v>
      </c>
      <c r="D1459" s="202"/>
      <c r="E1459" s="211" t="str">
        <f>DAY(表格3_5[[#This Row],[Date]])&amp;""</f>
        <v>0</v>
      </c>
      <c r="F1459" s="203"/>
      <c r="G1459" s="216">
        <f>_xlfn.XLOOKUP(表格3_5[[#This Row],[Name]],Name_list[Full Name],Name_list[Nick Name])</f>
        <v>0</v>
      </c>
      <c r="H1459" s="207"/>
      <c r="I1459" s="228"/>
      <c r="J1459" s="218"/>
      <c r="K1459" s="205"/>
      <c r="L1459" s="210">
        <f>(表格3_5[[#This Row],[Out-Time]] - 表格3_5[[#This Row],[In-Time]])*24</f>
        <v>0</v>
      </c>
      <c r="M1459" s="210">
        <f>表格3_5[[#This Row],[ Hours]]-表格3_5[[#This Row],[Normal working
 hours]]</f>
        <v>0</v>
      </c>
      <c r="N1459" s="205"/>
      <c r="O1459" s="205"/>
      <c r="P1459" s="210">
        <f>(表格3_5[[#This Row],[Out-Time2]] - 表格3_5[[#This Row],[In-Time2]])*24</f>
        <v>0</v>
      </c>
      <c r="Q1459" s="205"/>
      <c r="R1459" s="214">
        <f>_xlfn.XLOOKUP(表格3_5[[#This Row],[Name]],Name_list[Full Name],Name_list[Hourr Rate])</f>
        <v>0</v>
      </c>
      <c r="S1459" s="210">
        <f>表格3_5[[#This Row],[Hours Worked]]*表格3_5[[#This Row],[Hourly Rate]]</f>
        <v>0</v>
      </c>
    </row>
    <row r="1460" spans="1:19">
      <c r="A1460" s="201">
        <v>1458</v>
      </c>
      <c r="B1460" s="210" t="str">
        <f>_xlfn.CONCAT(表格3_5[[#This Row],[Name]],表格3_5[[#This Row],[Location]])</f>
        <v/>
      </c>
      <c r="C1460" s="211" t="str">
        <f>表格3_5[[#This Row],[Location]] &amp; 表格3_5[[#This Row],[Date]] &amp;表格3_5[[#This Row],[Nick Name]]</f>
        <v>0</v>
      </c>
      <c r="D1460" s="202"/>
      <c r="E1460" s="211" t="str">
        <f>DAY(表格3_5[[#This Row],[Date]])&amp;""</f>
        <v>0</v>
      </c>
      <c r="F1460" s="203"/>
      <c r="G1460" s="216">
        <f>_xlfn.XLOOKUP(表格3_5[[#This Row],[Name]],Name_list[Full Name],Name_list[Nick Name])</f>
        <v>0</v>
      </c>
      <c r="H1460" s="207"/>
      <c r="I1460" s="228"/>
      <c r="J1460" s="218"/>
      <c r="K1460" s="205"/>
      <c r="L1460" s="210">
        <f>(表格3_5[[#This Row],[Out-Time]] - 表格3_5[[#This Row],[In-Time]])*24</f>
        <v>0</v>
      </c>
      <c r="M1460" s="210">
        <f>表格3_5[[#This Row],[ Hours]]-表格3_5[[#This Row],[Normal working
 hours]]</f>
        <v>0</v>
      </c>
      <c r="N1460" s="205"/>
      <c r="O1460" s="205"/>
      <c r="P1460" s="210">
        <f>(表格3_5[[#This Row],[Out-Time2]] - 表格3_5[[#This Row],[In-Time2]])*24</f>
        <v>0</v>
      </c>
      <c r="Q1460" s="205"/>
      <c r="R1460" s="214">
        <f>_xlfn.XLOOKUP(表格3_5[[#This Row],[Name]],Name_list[Full Name],Name_list[Hourr Rate])</f>
        <v>0</v>
      </c>
      <c r="S1460" s="210">
        <f>表格3_5[[#This Row],[Hours Worked]]*表格3_5[[#This Row],[Hourly Rate]]</f>
        <v>0</v>
      </c>
    </row>
    <row r="1461" spans="1:19">
      <c r="A1461" s="201">
        <v>1459</v>
      </c>
      <c r="B1461" s="210" t="str">
        <f>_xlfn.CONCAT(表格3_5[[#This Row],[Name]],表格3_5[[#This Row],[Location]])</f>
        <v/>
      </c>
      <c r="C1461" s="211" t="str">
        <f>表格3_5[[#This Row],[Location]] &amp; 表格3_5[[#This Row],[Date]] &amp;表格3_5[[#This Row],[Nick Name]]</f>
        <v>0</v>
      </c>
      <c r="D1461" s="202"/>
      <c r="E1461" s="211" t="str">
        <f>DAY(表格3_5[[#This Row],[Date]])&amp;""</f>
        <v>0</v>
      </c>
      <c r="F1461" s="203"/>
      <c r="G1461" s="216">
        <f>_xlfn.XLOOKUP(表格3_5[[#This Row],[Name]],Name_list[Full Name],Name_list[Nick Name])</f>
        <v>0</v>
      </c>
      <c r="H1461" s="207"/>
      <c r="I1461" s="228"/>
      <c r="J1461" s="218"/>
      <c r="K1461" s="205"/>
      <c r="L1461" s="210">
        <f>(表格3_5[[#This Row],[Out-Time]] - 表格3_5[[#This Row],[In-Time]])*24</f>
        <v>0</v>
      </c>
      <c r="M1461" s="210">
        <f>表格3_5[[#This Row],[ Hours]]-表格3_5[[#This Row],[Normal working
 hours]]</f>
        <v>0</v>
      </c>
      <c r="N1461" s="205"/>
      <c r="O1461" s="205"/>
      <c r="P1461" s="210">
        <f>(表格3_5[[#This Row],[Out-Time2]] - 表格3_5[[#This Row],[In-Time2]])*24</f>
        <v>0</v>
      </c>
      <c r="Q1461" s="205"/>
      <c r="R1461" s="214">
        <f>_xlfn.XLOOKUP(表格3_5[[#This Row],[Name]],Name_list[Full Name],Name_list[Hourr Rate])</f>
        <v>0</v>
      </c>
      <c r="S1461" s="210">
        <f>表格3_5[[#This Row],[Hours Worked]]*表格3_5[[#This Row],[Hourly Rate]]</f>
        <v>0</v>
      </c>
    </row>
    <row r="1462" spans="1:19">
      <c r="A1462" s="201">
        <v>1460</v>
      </c>
      <c r="B1462" s="210" t="str">
        <f>_xlfn.CONCAT(表格3_5[[#This Row],[Name]],表格3_5[[#This Row],[Location]])</f>
        <v/>
      </c>
      <c r="C1462" s="211" t="str">
        <f>表格3_5[[#This Row],[Location]] &amp; 表格3_5[[#This Row],[Date]] &amp;表格3_5[[#This Row],[Nick Name]]</f>
        <v>0</v>
      </c>
      <c r="D1462" s="202"/>
      <c r="E1462" s="211" t="str">
        <f>DAY(表格3_5[[#This Row],[Date]])&amp;""</f>
        <v>0</v>
      </c>
      <c r="F1462" s="203"/>
      <c r="G1462" s="216">
        <f>_xlfn.XLOOKUP(表格3_5[[#This Row],[Name]],Name_list[Full Name],Name_list[Nick Name])</f>
        <v>0</v>
      </c>
      <c r="H1462" s="207"/>
      <c r="I1462" s="228"/>
      <c r="J1462" s="218"/>
      <c r="K1462" s="205"/>
      <c r="L1462" s="210">
        <f>(表格3_5[[#This Row],[Out-Time]] - 表格3_5[[#This Row],[In-Time]])*24</f>
        <v>0</v>
      </c>
      <c r="M1462" s="210">
        <f>表格3_5[[#This Row],[ Hours]]-表格3_5[[#This Row],[Normal working
 hours]]</f>
        <v>0</v>
      </c>
      <c r="N1462" s="205"/>
      <c r="O1462" s="205"/>
      <c r="P1462" s="210">
        <f>(表格3_5[[#This Row],[Out-Time2]] - 表格3_5[[#This Row],[In-Time2]])*24</f>
        <v>0</v>
      </c>
      <c r="Q1462" s="205"/>
      <c r="R1462" s="214">
        <f>_xlfn.XLOOKUP(表格3_5[[#This Row],[Name]],Name_list[Full Name],Name_list[Hourr Rate])</f>
        <v>0</v>
      </c>
      <c r="S1462" s="210">
        <f>表格3_5[[#This Row],[Hours Worked]]*表格3_5[[#This Row],[Hourly Rate]]</f>
        <v>0</v>
      </c>
    </row>
    <row r="1463" spans="1:19">
      <c r="A1463" s="201">
        <v>1461</v>
      </c>
      <c r="B1463" s="210" t="str">
        <f>_xlfn.CONCAT(表格3_5[[#This Row],[Name]],表格3_5[[#This Row],[Location]])</f>
        <v/>
      </c>
      <c r="C1463" s="211" t="str">
        <f>表格3_5[[#This Row],[Location]] &amp; 表格3_5[[#This Row],[Date]] &amp;表格3_5[[#This Row],[Nick Name]]</f>
        <v>0</v>
      </c>
      <c r="D1463" s="202"/>
      <c r="E1463" s="211" t="str">
        <f>DAY(表格3_5[[#This Row],[Date]])&amp;""</f>
        <v>0</v>
      </c>
      <c r="F1463" s="203"/>
      <c r="G1463" s="216">
        <f>_xlfn.XLOOKUP(表格3_5[[#This Row],[Name]],Name_list[Full Name],Name_list[Nick Name])</f>
        <v>0</v>
      </c>
      <c r="H1463" s="207"/>
      <c r="I1463" s="228"/>
      <c r="J1463" s="218"/>
      <c r="K1463" s="205"/>
      <c r="L1463" s="210">
        <f>(表格3_5[[#This Row],[Out-Time]] - 表格3_5[[#This Row],[In-Time]])*24</f>
        <v>0</v>
      </c>
      <c r="M1463" s="210">
        <f>表格3_5[[#This Row],[ Hours]]-表格3_5[[#This Row],[Normal working
 hours]]</f>
        <v>0</v>
      </c>
      <c r="N1463" s="205"/>
      <c r="O1463" s="205"/>
      <c r="P1463" s="210">
        <f>(表格3_5[[#This Row],[Out-Time2]] - 表格3_5[[#This Row],[In-Time2]])*24</f>
        <v>0</v>
      </c>
      <c r="Q1463" s="205"/>
      <c r="R1463" s="214">
        <f>_xlfn.XLOOKUP(表格3_5[[#This Row],[Name]],Name_list[Full Name],Name_list[Hourr Rate])</f>
        <v>0</v>
      </c>
      <c r="S1463" s="210">
        <f>表格3_5[[#This Row],[Hours Worked]]*表格3_5[[#This Row],[Hourly Rate]]</f>
        <v>0</v>
      </c>
    </row>
    <row r="1464" spans="1:19">
      <c r="A1464" s="201">
        <v>1462</v>
      </c>
      <c r="B1464" s="210" t="str">
        <f>_xlfn.CONCAT(表格3_5[[#This Row],[Name]],表格3_5[[#This Row],[Location]])</f>
        <v/>
      </c>
      <c r="C1464" s="211" t="str">
        <f>表格3_5[[#This Row],[Location]] &amp; 表格3_5[[#This Row],[Date]] &amp;表格3_5[[#This Row],[Nick Name]]</f>
        <v>0</v>
      </c>
      <c r="D1464" s="202"/>
      <c r="E1464" s="211" t="str">
        <f>DAY(表格3_5[[#This Row],[Date]])&amp;""</f>
        <v>0</v>
      </c>
      <c r="F1464" s="203"/>
      <c r="G1464" s="216">
        <f>_xlfn.XLOOKUP(表格3_5[[#This Row],[Name]],Name_list[Full Name],Name_list[Nick Name])</f>
        <v>0</v>
      </c>
      <c r="H1464" s="207"/>
      <c r="I1464" s="228"/>
      <c r="J1464" s="218"/>
      <c r="K1464" s="205"/>
      <c r="L1464" s="210">
        <f>(表格3_5[[#This Row],[Out-Time]] - 表格3_5[[#This Row],[In-Time]])*24</f>
        <v>0</v>
      </c>
      <c r="M1464" s="210">
        <f>表格3_5[[#This Row],[ Hours]]-表格3_5[[#This Row],[Normal working
 hours]]</f>
        <v>0</v>
      </c>
      <c r="N1464" s="205"/>
      <c r="O1464" s="205"/>
      <c r="P1464" s="210">
        <f>(表格3_5[[#This Row],[Out-Time2]] - 表格3_5[[#This Row],[In-Time2]])*24</f>
        <v>0</v>
      </c>
      <c r="Q1464" s="205"/>
      <c r="R1464" s="214">
        <f>_xlfn.XLOOKUP(表格3_5[[#This Row],[Name]],Name_list[Full Name],Name_list[Hourr Rate])</f>
        <v>0</v>
      </c>
      <c r="S1464" s="210">
        <f>表格3_5[[#This Row],[Hours Worked]]*表格3_5[[#This Row],[Hourly Rate]]</f>
        <v>0</v>
      </c>
    </row>
    <row r="1465" spans="1:19">
      <c r="A1465" s="201">
        <v>1463</v>
      </c>
      <c r="B1465" s="210" t="str">
        <f>_xlfn.CONCAT(表格3_5[[#This Row],[Name]],表格3_5[[#This Row],[Location]])</f>
        <v/>
      </c>
      <c r="C1465" s="211" t="str">
        <f>表格3_5[[#This Row],[Location]] &amp; 表格3_5[[#This Row],[Date]] &amp;表格3_5[[#This Row],[Nick Name]]</f>
        <v>0</v>
      </c>
      <c r="D1465" s="202"/>
      <c r="E1465" s="211" t="str">
        <f>DAY(表格3_5[[#This Row],[Date]])&amp;""</f>
        <v>0</v>
      </c>
      <c r="F1465" s="203"/>
      <c r="G1465" s="216">
        <f>_xlfn.XLOOKUP(表格3_5[[#This Row],[Name]],Name_list[Full Name],Name_list[Nick Name])</f>
        <v>0</v>
      </c>
      <c r="H1465" s="207"/>
      <c r="I1465" s="228"/>
      <c r="J1465" s="218"/>
      <c r="K1465" s="205"/>
      <c r="L1465" s="210">
        <f>(表格3_5[[#This Row],[Out-Time]] - 表格3_5[[#This Row],[In-Time]])*24</f>
        <v>0</v>
      </c>
      <c r="M1465" s="210">
        <f>表格3_5[[#This Row],[ Hours]]-表格3_5[[#This Row],[Normal working
 hours]]</f>
        <v>0</v>
      </c>
      <c r="N1465" s="205"/>
      <c r="O1465" s="205"/>
      <c r="P1465" s="210">
        <f>(表格3_5[[#This Row],[Out-Time2]] - 表格3_5[[#This Row],[In-Time2]])*24</f>
        <v>0</v>
      </c>
      <c r="Q1465" s="205"/>
      <c r="R1465" s="214">
        <f>_xlfn.XLOOKUP(表格3_5[[#This Row],[Name]],Name_list[Full Name],Name_list[Hourr Rate])</f>
        <v>0</v>
      </c>
      <c r="S1465" s="210">
        <f>表格3_5[[#This Row],[Hours Worked]]*表格3_5[[#This Row],[Hourly Rate]]</f>
        <v>0</v>
      </c>
    </row>
    <row r="1466" spans="1:19">
      <c r="A1466" s="201">
        <v>1464</v>
      </c>
      <c r="B1466" s="210" t="str">
        <f>_xlfn.CONCAT(表格3_5[[#This Row],[Name]],表格3_5[[#This Row],[Location]])</f>
        <v/>
      </c>
      <c r="C1466" s="211" t="str">
        <f>表格3_5[[#This Row],[Location]] &amp; 表格3_5[[#This Row],[Date]] &amp;表格3_5[[#This Row],[Nick Name]]</f>
        <v>0</v>
      </c>
      <c r="D1466" s="202"/>
      <c r="E1466" s="211" t="str">
        <f>DAY(表格3_5[[#This Row],[Date]])&amp;""</f>
        <v>0</v>
      </c>
      <c r="F1466" s="203"/>
      <c r="G1466" s="216">
        <f>_xlfn.XLOOKUP(表格3_5[[#This Row],[Name]],Name_list[Full Name],Name_list[Nick Name])</f>
        <v>0</v>
      </c>
      <c r="H1466" s="207"/>
      <c r="I1466" s="228"/>
      <c r="J1466" s="218"/>
      <c r="K1466" s="205"/>
      <c r="L1466" s="210">
        <f>(表格3_5[[#This Row],[Out-Time]] - 表格3_5[[#This Row],[In-Time]])*24</f>
        <v>0</v>
      </c>
      <c r="M1466" s="210">
        <f>表格3_5[[#This Row],[ Hours]]-表格3_5[[#This Row],[Normal working
 hours]]</f>
        <v>0</v>
      </c>
      <c r="N1466" s="205"/>
      <c r="O1466" s="205"/>
      <c r="P1466" s="210">
        <f>(表格3_5[[#This Row],[Out-Time2]] - 表格3_5[[#This Row],[In-Time2]])*24</f>
        <v>0</v>
      </c>
      <c r="Q1466" s="205"/>
      <c r="R1466" s="214">
        <f>_xlfn.XLOOKUP(表格3_5[[#This Row],[Name]],Name_list[Full Name],Name_list[Hourr Rate])</f>
        <v>0</v>
      </c>
      <c r="S1466" s="210">
        <f>表格3_5[[#This Row],[Hours Worked]]*表格3_5[[#This Row],[Hourly Rate]]</f>
        <v>0</v>
      </c>
    </row>
    <row r="1467" spans="1:19">
      <c r="A1467" s="201">
        <v>1465</v>
      </c>
      <c r="B1467" s="210" t="str">
        <f>_xlfn.CONCAT(表格3_5[[#This Row],[Name]],表格3_5[[#This Row],[Location]])</f>
        <v/>
      </c>
      <c r="C1467" s="211" t="str">
        <f>表格3_5[[#This Row],[Location]] &amp; 表格3_5[[#This Row],[Date]] &amp;表格3_5[[#This Row],[Nick Name]]</f>
        <v>0</v>
      </c>
      <c r="D1467" s="202"/>
      <c r="E1467" s="211" t="str">
        <f>DAY(表格3_5[[#This Row],[Date]])&amp;""</f>
        <v>0</v>
      </c>
      <c r="F1467" s="203"/>
      <c r="G1467" s="216">
        <f>_xlfn.XLOOKUP(表格3_5[[#This Row],[Name]],Name_list[Full Name],Name_list[Nick Name])</f>
        <v>0</v>
      </c>
      <c r="H1467" s="207"/>
      <c r="I1467" s="228"/>
      <c r="J1467" s="218"/>
      <c r="K1467" s="205"/>
      <c r="L1467" s="210">
        <f>(表格3_5[[#This Row],[Out-Time]] - 表格3_5[[#This Row],[In-Time]])*24</f>
        <v>0</v>
      </c>
      <c r="M1467" s="210">
        <f>表格3_5[[#This Row],[ Hours]]-表格3_5[[#This Row],[Normal working
 hours]]</f>
        <v>0</v>
      </c>
      <c r="N1467" s="205"/>
      <c r="O1467" s="205"/>
      <c r="P1467" s="210">
        <f>(表格3_5[[#This Row],[Out-Time2]] - 表格3_5[[#This Row],[In-Time2]])*24</f>
        <v>0</v>
      </c>
      <c r="Q1467" s="205"/>
      <c r="R1467" s="214">
        <f>_xlfn.XLOOKUP(表格3_5[[#This Row],[Name]],Name_list[Full Name],Name_list[Hourr Rate])</f>
        <v>0</v>
      </c>
      <c r="S1467" s="210">
        <f>表格3_5[[#This Row],[Hours Worked]]*表格3_5[[#This Row],[Hourly Rate]]</f>
        <v>0</v>
      </c>
    </row>
    <row r="1468" spans="1:19">
      <c r="A1468" s="201">
        <v>1466</v>
      </c>
      <c r="B1468" s="210" t="str">
        <f>_xlfn.CONCAT(表格3_5[[#This Row],[Name]],表格3_5[[#This Row],[Location]])</f>
        <v/>
      </c>
      <c r="C1468" s="211" t="str">
        <f>表格3_5[[#This Row],[Location]] &amp; 表格3_5[[#This Row],[Date]] &amp;表格3_5[[#This Row],[Nick Name]]</f>
        <v>0</v>
      </c>
      <c r="D1468" s="202"/>
      <c r="E1468" s="211" t="str">
        <f>DAY(表格3_5[[#This Row],[Date]])&amp;""</f>
        <v>0</v>
      </c>
      <c r="F1468" s="203"/>
      <c r="G1468" s="216">
        <f>_xlfn.XLOOKUP(表格3_5[[#This Row],[Name]],Name_list[Full Name],Name_list[Nick Name])</f>
        <v>0</v>
      </c>
      <c r="H1468" s="207"/>
      <c r="I1468" s="228"/>
      <c r="J1468" s="218"/>
      <c r="K1468" s="205"/>
      <c r="L1468" s="210">
        <f>(表格3_5[[#This Row],[Out-Time]] - 表格3_5[[#This Row],[In-Time]])*24</f>
        <v>0</v>
      </c>
      <c r="M1468" s="210">
        <f>表格3_5[[#This Row],[ Hours]]-表格3_5[[#This Row],[Normal working
 hours]]</f>
        <v>0</v>
      </c>
      <c r="N1468" s="205"/>
      <c r="O1468" s="205"/>
      <c r="P1468" s="210">
        <f>(表格3_5[[#This Row],[Out-Time2]] - 表格3_5[[#This Row],[In-Time2]])*24</f>
        <v>0</v>
      </c>
      <c r="Q1468" s="205"/>
      <c r="R1468" s="214">
        <f>_xlfn.XLOOKUP(表格3_5[[#This Row],[Name]],Name_list[Full Name],Name_list[Hourr Rate])</f>
        <v>0</v>
      </c>
      <c r="S1468" s="210">
        <f>表格3_5[[#This Row],[Hours Worked]]*表格3_5[[#This Row],[Hourly Rate]]</f>
        <v>0</v>
      </c>
    </row>
    <row r="1469" spans="1:19">
      <c r="A1469" s="201">
        <v>1467</v>
      </c>
      <c r="B1469" s="210" t="str">
        <f>_xlfn.CONCAT(表格3_5[[#This Row],[Name]],表格3_5[[#This Row],[Location]])</f>
        <v/>
      </c>
      <c r="C1469" s="211" t="str">
        <f>表格3_5[[#This Row],[Location]] &amp; 表格3_5[[#This Row],[Date]] &amp;表格3_5[[#This Row],[Nick Name]]</f>
        <v>0</v>
      </c>
      <c r="D1469" s="202"/>
      <c r="E1469" s="211" t="str">
        <f>DAY(表格3_5[[#This Row],[Date]])&amp;""</f>
        <v>0</v>
      </c>
      <c r="F1469" s="203"/>
      <c r="G1469" s="216">
        <f>_xlfn.XLOOKUP(表格3_5[[#This Row],[Name]],Name_list[Full Name],Name_list[Nick Name])</f>
        <v>0</v>
      </c>
      <c r="H1469" s="207"/>
      <c r="I1469" s="228"/>
      <c r="J1469" s="218"/>
      <c r="K1469" s="205"/>
      <c r="L1469" s="210">
        <f>(表格3_5[[#This Row],[Out-Time]] - 表格3_5[[#This Row],[In-Time]])*24</f>
        <v>0</v>
      </c>
      <c r="M1469" s="210">
        <f>表格3_5[[#This Row],[ Hours]]-表格3_5[[#This Row],[Normal working
 hours]]</f>
        <v>0</v>
      </c>
      <c r="N1469" s="205"/>
      <c r="O1469" s="205"/>
      <c r="P1469" s="210">
        <f>(表格3_5[[#This Row],[Out-Time2]] - 表格3_5[[#This Row],[In-Time2]])*24</f>
        <v>0</v>
      </c>
      <c r="Q1469" s="205"/>
      <c r="R1469" s="214">
        <f>_xlfn.XLOOKUP(表格3_5[[#This Row],[Name]],Name_list[Full Name],Name_list[Hourr Rate])</f>
        <v>0</v>
      </c>
      <c r="S1469" s="210">
        <f>表格3_5[[#This Row],[Hours Worked]]*表格3_5[[#This Row],[Hourly Rate]]</f>
        <v>0</v>
      </c>
    </row>
    <row r="1470" spans="1:19">
      <c r="A1470" s="201">
        <v>1468</v>
      </c>
      <c r="B1470" s="210" t="str">
        <f>_xlfn.CONCAT(表格3_5[[#This Row],[Name]],表格3_5[[#This Row],[Location]])</f>
        <v/>
      </c>
      <c r="C1470" s="211" t="str">
        <f>表格3_5[[#This Row],[Location]] &amp; 表格3_5[[#This Row],[Date]] &amp;表格3_5[[#This Row],[Nick Name]]</f>
        <v>0</v>
      </c>
      <c r="D1470" s="202"/>
      <c r="E1470" s="211" t="str">
        <f>DAY(表格3_5[[#This Row],[Date]])&amp;""</f>
        <v>0</v>
      </c>
      <c r="F1470" s="203"/>
      <c r="G1470" s="216">
        <f>_xlfn.XLOOKUP(表格3_5[[#This Row],[Name]],Name_list[Full Name],Name_list[Nick Name])</f>
        <v>0</v>
      </c>
      <c r="H1470" s="207"/>
      <c r="I1470" s="228"/>
      <c r="J1470" s="218"/>
      <c r="K1470" s="205"/>
      <c r="L1470" s="210">
        <f>(表格3_5[[#This Row],[Out-Time]] - 表格3_5[[#This Row],[In-Time]])*24</f>
        <v>0</v>
      </c>
      <c r="M1470" s="210">
        <f>表格3_5[[#This Row],[ Hours]]-表格3_5[[#This Row],[Normal working
 hours]]</f>
        <v>0</v>
      </c>
      <c r="N1470" s="205"/>
      <c r="O1470" s="205"/>
      <c r="P1470" s="210">
        <f>(表格3_5[[#This Row],[Out-Time2]] - 表格3_5[[#This Row],[In-Time2]])*24</f>
        <v>0</v>
      </c>
      <c r="Q1470" s="205"/>
      <c r="R1470" s="214">
        <f>_xlfn.XLOOKUP(表格3_5[[#This Row],[Name]],Name_list[Full Name],Name_list[Hourr Rate])</f>
        <v>0</v>
      </c>
      <c r="S1470" s="210">
        <f>表格3_5[[#This Row],[Hours Worked]]*表格3_5[[#This Row],[Hourly Rate]]</f>
        <v>0</v>
      </c>
    </row>
    <row r="1471" spans="1:19">
      <c r="A1471" s="201">
        <v>1469</v>
      </c>
      <c r="B1471" s="210" t="str">
        <f>_xlfn.CONCAT(表格3_5[[#This Row],[Name]],表格3_5[[#This Row],[Location]])</f>
        <v/>
      </c>
      <c r="C1471" s="211" t="str">
        <f>表格3_5[[#This Row],[Location]] &amp; 表格3_5[[#This Row],[Date]] &amp;表格3_5[[#This Row],[Nick Name]]</f>
        <v>0</v>
      </c>
      <c r="D1471" s="202"/>
      <c r="E1471" s="211" t="str">
        <f>DAY(表格3_5[[#This Row],[Date]])&amp;""</f>
        <v>0</v>
      </c>
      <c r="F1471" s="203"/>
      <c r="G1471" s="216">
        <f>_xlfn.XLOOKUP(表格3_5[[#This Row],[Name]],Name_list[Full Name],Name_list[Nick Name])</f>
        <v>0</v>
      </c>
      <c r="H1471" s="207"/>
      <c r="I1471" s="228"/>
      <c r="J1471" s="218"/>
      <c r="K1471" s="205"/>
      <c r="L1471" s="210">
        <f>(表格3_5[[#This Row],[Out-Time]] - 表格3_5[[#This Row],[In-Time]])*24</f>
        <v>0</v>
      </c>
      <c r="M1471" s="210">
        <f>表格3_5[[#This Row],[ Hours]]-表格3_5[[#This Row],[Normal working
 hours]]</f>
        <v>0</v>
      </c>
      <c r="N1471" s="205"/>
      <c r="O1471" s="205"/>
      <c r="P1471" s="210">
        <f>(表格3_5[[#This Row],[Out-Time2]] - 表格3_5[[#This Row],[In-Time2]])*24</f>
        <v>0</v>
      </c>
      <c r="Q1471" s="205"/>
      <c r="R1471" s="214">
        <f>_xlfn.XLOOKUP(表格3_5[[#This Row],[Name]],Name_list[Full Name],Name_list[Hourr Rate])</f>
        <v>0</v>
      </c>
      <c r="S1471" s="210">
        <f>表格3_5[[#This Row],[Hours Worked]]*表格3_5[[#This Row],[Hourly Rate]]</f>
        <v>0</v>
      </c>
    </row>
    <row r="1472" spans="1:19">
      <c r="A1472" s="201">
        <v>1470</v>
      </c>
      <c r="B1472" s="210" t="str">
        <f>_xlfn.CONCAT(表格3_5[[#This Row],[Name]],表格3_5[[#This Row],[Location]])</f>
        <v/>
      </c>
      <c r="C1472" s="211" t="str">
        <f>表格3_5[[#This Row],[Location]] &amp; 表格3_5[[#This Row],[Date]] &amp;表格3_5[[#This Row],[Nick Name]]</f>
        <v>0</v>
      </c>
      <c r="D1472" s="202"/>
      <c r="E1472" s="211" t="str">
        <f>DAY(表格3_5[[#This Row],[Date]])&amp;""</f>
        <v>0</v>
      </c>
      <c r="F1472" s="203"/>
      <c r="G1472" s="216">
        <f>_xlfn.XLOOKUP(表格3_5[[#This Row],[Name]],Name_list[Full Name],Name_list[Nick Name])</f>
        <v>0</v>
      </c>
      <c r="H1472" s="207"/>
      <c r="I1472" s="228"/>
      <c r="J1472" s="218"/>
      <c r="K1472" s="205"/>
      <c r="L1472" s="210">
        <f>(表格3_5[[#This Row],[Out-Time]] - 表格3_5[[#This Row],[In-Time]])*24</f>
        <v>0</v>
      </c>
      <c r="M1472" s="210">
        <f>表格3_5[[#This Row],[ Hours]]-表格3_5[[#This Row],[Normal working
 hours]]</f>
        <v>0</v>
      </c>
      <c r="N1472" s="205"/>
      <c r="O1472" s="205"/>
      <c r="P1472" s="210">
        <f>(表格3_5[[#This Row],[Out-Time2]] - 表格3_5[[#This Row],[In-Time2]])*24</f>
        <v>0</v>
      </c>
      <c r="Q1472" s="205"/>
      <c r="R1472" s="214">
        <f>_xlfn.XLOOKUP(表格3_5[[#This Row],[Name]],Name_list[Full Name],Name_list[Hourr Rate])</f>
        <v>0</v>
      </c>
      <c r="S1472" s="210">
        <f>表格3_5[[#This Row],[Hours Worked]]*表格3_5[[#This Row],[Hourly Rate]]</f>
        <v>0</v>
      </c>
    </row>
    <row r="1473" spans="1:19">
      <c r="A1473" s="201">
        <v>1471</v>
      </c>
      <c r="B1473" s="210" t="str">
        <f>_xlfn.CONCAT(表格3_5[[#This Row],[Name]],表格3_5[[#This Row],[Location]])</f>
        <v/>
      </c>
      <c r="C1473" s="211" t="str">
        <f>表格3_5[[#This Row],[Location]] &amp; 表格3_5[[#This Row],[Date]] &amp;表格3_5[[#This Row],[Nick Name]]</f>
        <v>0</v>
      </c>
      <c r="D1473" s="202"/>
      <c r="E1473" s="211" t="str">
        <f>DAY(表格3_5[[#This Row],[Date]])&amp;""</f>
        <v>0</v>
      </c>
      <c r="F1473" s="203"/>
      <c r="G1473" s="216">
        <f>_xlfn.XLOOKUP(表格3_5[[#This Row],[Name]],Name_list[Full Name],Name_list[Nick Name])</f>
        <v>0</v>
      </c>
      <c r="H1473" s="207"/>
      <c r="I1473" s="228"/>
      <c r="J1473" s="218"/>
      <c r="K1473" s="205"/>
      <c r="L1473" s="210">
        <f>(表格3_5[[#This Row],[Out-Time]] - 表格3_5[[#This Row],[In-Time]])*24</f>
        <v>0</v>
      </c>
      <c r="M1473" s="210">
        <f>表格3_5[[#This Row],[ Hours]]-表格3_5[[#This Row],[Normal working
 hours]]</f>
        <v>0</v>
      </c>
      <c r="N1473" s="205"/>
      <c r="O1473" s="205"/>
      <c r="P1473" s="210">
        <f>(表格3_5[[#This Row],[Out-Time2]] - 表格3_5[[#This Row],[In-Time2]])*24</f>
        <v>0</v>
      </c>
      <c r="Q1473" s="205"/>
      <c r="R1473" s="214">
        <f>_xlfn.XLOOKUP(表格3_5[[#This Row],[Name]],Name_list[Full Name],Name_list[Hourr Rate])</f>
        <v>0</v>
      </c>
      <c r="S1473" s="210">
        <f>表格3_5[[#This Row],[Hours Worked]]*表格3_5[[#This Row],[Hourly Rate]]</f>
        <v>0</v>
      </c>
    </row>
    <row r="1474" spans="1:19">
      <c r="A1474" s="201">
        <v>1472</v>
      </c>
      <c r="B1474" s="210" t="str">
        <f>_xlfn.CONCAT(表格3_5[[#This Row],[Name]],表格3_5[[#This Row],[Location]])</f>
        <v/>
      </c>
      <c r="C1474" s="211" t="str">
        <f>表格3_5[[#This Row],[Location]] &amp; 表格3_5[[#This Row],[Date]] &amp;表格3_5[[#This Row],[Nick Name]]</f>
        <v>0</v>
      </c>
      <c r="D1474" s="202"/>
      <c r="E1474" s="211" t="str">
        <f>DAY(表格3_5[[#This Row],[Date]])&amp;""</f>
        <v>0</v>
      </c>
      <c r="F1474" s="203"/>
      <c r="G1474" s="216">
        <f>_xlfn.XLOOKUP(表格3_5[[#This Row],[Name]],Name_list[Full Name],Name_list[Nick Name])</f>
        <v>0</v>
      </c>
      <c r="H1474" s="207"/>
      <c r="I1474" s="228"/>
      <c r="J1474" s="218"/>
      <c r="K1474" s="205"/>
      <c r="L1474" s="210">
        <f>(表格3_5[[#This Row],[Out-Time]] - 表格3_5[[#This Row],[In-Time]])*24</f>
        <v>0</v>
      </c>
      <c r="M1474" s="210">
        <f>表格3_5[[#This Row],[ Hours]]-表格3_5[[#This Row],[Normal working
 hours]]</f>
        <v>0</v>
      </c>
      <c r="N1474" s="205"/>
      <c r="O1474" s="205"/>
      <c r="P1474" s="210">
        <f>(表格3_5[[#This Row],[Out-Time2]] - 表格3_5[[#This Row],[In-Time2]])*24</f>
        <v>0</v>
      </c>
      <c r="Q1474" s="205"/>
      <c r="R1474" s="214">
        <f>_xlfn.XLOOKUP(表格3_5[[#This Row],[Name]],Name_list[Full Name],Name_list[Hourr Rate])</f>
        <v>0</v>
      </c>
      <c r="S1474" s="210">
        <f>表格3_5[[#This Row],[Hours Worked]]*表格3_5[[#This Row],[Hourly Rate]]</f>
        <v>0</v>
      </c>
    </row>
    <row r="1475" spans="1:19">
      <c r="A1475" s="201">
        <v>1473</v>
      </c>
      <c r="B1475" s="210" t="str">
        <f>_xlfn.CONCAT(表格3_5[[#This Row],[Name]],表格3_5[[#This Row],[Location]])</f>
        <v/>
      </c>
      <c r="C1475" s="211" t="str">
        <f>表格3_5[[#This Row],[Location]] &amp; 表格3_5[[#This Row],[Date]] &amp;表格3_5[[#This Row],[Nick Name]]</f>
        <v>0</v>
      </c>
      <c r="D1475" s="202"/>
      <c r="E1475" s="211" t="str">
        <f>DAY(表格3_5[[#This Row],[Date]])&amp;""</f>
        <v>0</v>
      </c>
      <c r="F1475" s="203"/>
      <c r="G1475" s="216">
        <f>_xlfn.XLOOKUP(表格3_5[[#This Row],[Name]],Name_list[Full Name],Name_list[Nick Name])</f>
        <v>0</v>
      </c>
      <c r="H1475" s="207"/>
      <c r="I1475" s="228"/>
      <c r="J1475" s="218"/>
      <c r="K1475" s="205"/>
      <c r="L1475" s="210">
        <f>(表格3_5[[#This Row],[Out-Time]] - 表格3_5[[#This Row],[In-Time]])*24</f>
        <v>0</v>
      </c>
      <c r="M1475" s="210">
        <f>表格3_5[[#This Row],[ Hours]]-表格3_5[[#This Row],[Normal working
 hours]]</f>
        <v>0</v>
      </c>
      <c r="N1475" s="205"/>
      <c r="O1475" s="205"/>
      <c r="P1475" s="210">
        <f>(表格3_5[[#This Row],[Out-Time2]] - 表格3_5[[#This Row],[In-Time2]])*24</f>
        <v>0</v>
      </c>
      <c r="Q1475" s="205"/>
      <c r="R1475" s="214">
        <f>_xlfn.XLOOKUP(表格3_5[[#This Row],[Name]],Name_list[Full Name],Name_list[Hourr Rate])</f>
        <v>0</v>
      </c>
      <c r="S1475" s="210">
        <f>表格3_5[[#This Row],[Hours Worked]]*表格3_5[[#This Row],[Hourly Rate]]</f>
        <v>0</v>
      </c>
    </row>
    <row r="1476" spans="1:19">
      <c r="A1476" s="201">
        <v>1474</v>
      </c>
      <c r="B1476" s="210" t="str">
        <f>_xlfn.CONCAT(表格3_5[[#This Row],[Name]],表格3_5[[#This Row],[Location]])</f>
        <v/>
      </c>
      <c r="C1476" s="211" t="str">
        <f>表格3_5[[#This Row],[Location]] &amp; 表格3_5[[#This Row],[Date]] &amp;表格3_5[[#This Row],[Nick Name]]</f>
        <v>0</v>
      </c>
      <c r="D1476" s="202"/>
      <c r="E1476" s="211" t="str">
        <f>DAY(表格3_5[[#This Row],[Date]])&amp;""</f>
        <v>0</v>
      </c>
      <c r="F1476" s="203"/>
      <c r="G1476" s="216">
        <f>_xlfn.XLOOKUP(表格3_5[[#This Row],[Name]],Name_list[Full Name],Name_list[Nick Name])</f>
        <v>0</v>
      </c>
      <c r="H1476" s="207"/>
      <c r="I1476" s="228"/>
      <c r="J1476" s="218"/>
      <c r="K1476" s="205"/>
      <c r="L1476" s="210">
        <f>(表格3_5[[#This Row],[Out-Time]] - 表格3_5[[#This Row],[In-Time]])*24</f>
        <v>0</v>
      </c>
      <c r="M1476" s="210">
        <f>表格3_5[[#This Row],[ Hours]]-表格3_5[[#This Row],[Normal working
 hours]]</f>
        <v>0</v>
      </c>
      <c r="N1476" s="205"/>
      <c r="O1476" s="205"/>
      <c r="P1476" s="210">
        <f>(表格3_5[[#This Row],[Out-Time2]] - 表格3_5[[#This Row],[In-Time2]])*24</f>
        <v>0</v>
      </c>
      <c r="Q1476" s="205"/>
      <c r="R1476" s="214">
        <f>_xlfn.XLOOKUP(表格3_5[[#This Row],[Name]],Name_list[Full Name],Name_list[Hourr Rate])</f>
        <v>0</v>
      </c>
      <c r="S1476" s="210">
        <f>表格3_5[[#This Row],[Hours Worked]]*表格3_5[[#This Row],[Hourly Rate]]</f>
        <v>0</v>
      </c>
    </row>
    <row r="1477" spans="1:19">
      <c r="A1477" s="201">
        <v>1475</v>
      </c>
      <c r="B1477" s="210" t="str">
        <f>_xlfn.CONCAT(表格3_5[[#This Row],[Name]],表格3_5[[#This Row],[Location]])</f>
        <v/>
      </c>
      <c r="C1477" s="211" t="str">
        <f>表格3_5[[#This Row],[Location]] &amp; 表格3_5[[#This Row],[Date]] &amp;表格3_5[[#This Row],[Nick Name]]</f>
        <v>0</v>
      </c>
      <c r="D1477" s="202"/>
      <c r="E1477" s="211" t="str">
        <f>DAY(表格3_5[[#This Row],[Date]])&amp;""</f>
        <v>0</v>
      </c>
      <c r="F1477" s="203"/>
      <c r="G1477" s="216">
        <f>_xlfn.XLOOKUP(表格3_5[[#This Row],[Name]],Name_list[Full Name],Name_list[Nick Name])</f>
        <v>0</v>
      </c>
      <c r="H1477" s="207"/>
      <c r="I1477" s="228"/>
      <c r="J1477" s="218"/>
      <c r="K1477" s="205"/>
      <c r="L1477" s="210">
        <f>(表格3_5[[#This Row],[Out-Time]] - 表格3_5[[#This Row],[In-Time]])*24</f>
        <v>0</v>
      </c>
      <c r="M1477" s="210">
        <f>表格3_5[[#This Row],[ Hours]]-表格3_5[[#This Row],[Normal working
 hours]]</f>
        <v>0</v>
      </c>
      <c r="N1477" s="205"/>
      <c r="O1477" s="205"/>
      <c r="P1477" s="210">
        <f>(表格3_5[[#This Row],[Out-Time2]] - 表格3_5[[#This Row],[In-Time2]])*24</f>
        <v>0</v>
      </c>
      <c r="Q1477" s="205"/>
      <c r="R1477" s="214">
        <f>_xlfn.XLOOKUP(表格3_5[[#This Row],[Name]],Name_list[Full Name],Name_list[Hourr Rate])</f>
        <v>0</v>
      </c>
      <c r="S1477" s="210">
        <f>表格3_5[[#This Row],[Hours Worked]]*表格3_5[[#This Row],[Hourly Rate]]</f>
        <v>0</v>
      </c>
    </row>
    <row r="1478" spans="1:19">
      <c r="A1478" s="201">
        <v>1476</v>
      </c>
      <c r="B1478" s="210" t="str">
        <f>_xlfn.CONCAT(表格3_5[[#This Row],[Name]],表格3_5[[#This Row],[Location]])</f>
        <v/>
      </c>
      <c r="C1478" s="211" t="str">
        <f>表格3_5[[#This Row],[Location]] &amp; 表格3_5[[#This Row],[Date]] &amp;表格3_5[[#This Row],[Nick Name]]</f>
        <v>0</v>
      </c>
      <c r="D1478" s="202"/>
      <c r="E1478" s="211" t="str">
        <f>DAY(表格3_5[[#This Row],[Date]])&amp;""</f>
        <v>0</v>
      </c>
      <c r="F1478" s="203"/>
      <c r="G1478" s="216">
        <f>_xlfn.XLOOKUP(表格3_5[[#This Row],[Name]],Name_list[Full Name],Name_list[Nick Name])</f>
        <v>0</v>
      </c>
      <c r="H1478" s="207"/>
      <c r="I1478" s="228"/>
      <c r="J1478" s="218"/>
      <c r="K1478" s="205"/>
      <c r="L1478" s="210">
        <f>(表格3_5[[#This Row],[Out-Time]] - 表格3_5[[#This Row],[In-Time]])*24</f>
        <v>0</v>
      </c>
      <c r="M1478" s="210">
        <f>表格3_5[[#This Row],[ Hours]]-表格3_5[[#This Row],[Normal working
 hours]]</f>
        <v>0</v>
      </c>
      <c r="N1478" s="205"/>
      <c r="O1478" s="205"/>
      <c r="P1478" s="210">
        <f>(表格3_5[[#This Row],[Out-Time2]] - 表格3_5[[#This Row],[In-Time2]])*24</f>
        <v>0</v>
      </c>
      <c r="Q1478" s="205"/>
      <c r="R1478" s="214">
        <f>_xlfn.XLOOKUP(表格3_5[[#This Row],[Name]],Name_list[Full Name],Name_list[Hourr Rate])</f>
        <v>0</v>
      </c>
      <c r="S1478" s="210">
        <f>表格3_5[[#This Row],[Hours Worked]]*表格3_5[[#This Row],[Hourly Rate]]</f>
        <v>0</v>
      </c>
    </row>
    <row r="1479" spans="1:19">
      <c r="A1479" s="201">
        <v>1477</v>
      </c>
      <c r="B1479" s="210" t="str">
        <f>_xlfn.CONCAT(表格3_5[[#This Row],[Name]],表格3_5[[#This Row],[Location]])</f>
        <v/>
      </c>
      <c r="C1479" s="211" t="str">
        <f>表格3_5[[#This Row],[Location]] &amp; 表格3_5[[#This Row],[Date]] &amp;表格3_5[[#This Row],[Nick Name]]</f>
        <v>0</v>
      </c>
      <c r="D1479" s="202"/>
      <c r="E1479" s="211" t="str">
        <f>DAY(表格3_5[[#This Row],[Date]])&amp;""</f>
        <v>0</v>
      </c>
      <c r="F1479" s="203"/>
      <c r="G1479" s="216">
        <f>_xlfn.XLOOKUP(表格3_5[[#This Row],[Name]],Name_list[Full Name],Name_list[Nick Name])</f>
        <v>0</v>
      </c>
      <c r="H1479" s="207"/>
      <c r="I1479" s="228"/>
      <c r="J1479" s="218"/>
      <c r="K1479" s="205"/>
      <c r="L1479" s="210">
        <f>(表格3_5[[#This Row],[Out-Time]] - 表格3_5[[#This Row],[In-Time]])*24</f>
        <v>0</v>
      </c>
      <c r="M1479" s="210">
        <f>表格3_5[[#This Row],[ Hours]]-表格3_5[[#This Row],[Normal working
 hours]]</f>
        <v>0</v>
      </c>
      <c r="N1479" s="205"/>
      <c r="O1479" s="205"/>
      <c r="P1479" s="210">
        <f>(表格3_5[[#This Row],[Out-Time2]] - 表格3_5[[#This Row],[In-Time2]])*24</f>
        <v>0</v>
      </c>
      <c r="Q1479" s="205"/>
      <c r="R1479" s="214">
        <f>_xlfn.XLOOKUP(表格3_5[[#This Row],[Name]],Name_list[Full Name],Name_list[Hourr Rate])</f>
        <v>0</v>
      </c>
      <c r="S1479" s="210">
        <f>表格3_5[[#This Row],[Hours Worked]]*表格3_5[[#This Row],[Hourly Rate]]</f>
        <v>0</v>
      </c>
    </row>
    <row r="1480" spans="1:19">
      <c r="A1480" s="201">
        <v>1478</v>
      </c>
      <c r="B1480" s="210" t="str">
        <f>_xlfn.CONCAT(表格3_5[[#This Row],[Name]],表格3_5[[#This Row],[Location]])</f>
        <v/>
      </c>
      <c r="C1480" s="211" t="str">
        <f>表格3_5[[#This Row],[Location]] &amp; 表格3_5[[#This Row],[Date]] &amp;表格3_5[[#This Row],[Nick Name]]</f>
        <v>0</v>
      </c>
      <c r="D1480" s="202"/>
      <c r="E1480" s="211" t="str">
        <f>DAY(表格3_5[[#This Row],[Date]])&amp;""</f>
        <v>0</v>
      </c>
      <c r="F1480" s="203"/>
      <c r="G1480" s="216">
        <f>_xlfn.XLOOKUP(表格3_5[[#This Row],[Name]],Name_list[Full Name],Name_list[Nick Name])</f>
        <v>0</v>
      </c>
      <c r="H1480" s="207"/>
      <c r="I1480" s="228"/>
      <c r="J1480" s="218"/>
      <c r="K1480" s="205"/>
      <c r="L1480" s="210">
        <f>(表格3_5[[#This Row],[Out-Time]] - 表格3_5[[#This Row],[In-Time]])*24</f>
        <v>0</v>
      </c>
      <c r="M1480" s="210">
        <f>表格3_5[[#This Row],[ Hours]]-表格3_5[[#This Row],[Normal working
 hours]]</f>
        <v>0</v>
      </c>
      <c r="N1480" s="205"/>
      <c r="O1480" s="205"/>
      <c r="P1480" s="210">
        <f>(表格3_5[[#This Row],[Out-Time2]] - 表格3_5[[#This Row],[In-Time2]])*24</f>
        <v>0</v>
      </c>
      <c r="Q1480" s="205"/>
      <c r="R1480" s="214">
        <f>_xlfn.XLOOKUP(表格3_5[[#This Row],[Name]],Name_list[Full Name],Name_list[Hourr Rate])</f>
        <v>0</v>
      </c>
      <c r="S1480" s="210">
        <f>表格3_5[[#This Row],[Hours Worked]]*表格3_5[[#This Row],[Hourly Rate]]</f>
        <v>0</v>
      </c>
    </row>
    <row r="1481" spans="1:19">
      <c r="A1481" s="201">
        <v>1479</v>
      </c>
      <c r="B1481" s="210" t="str">
        <f>_xlfn.CONCAT(表格3_5[[#This Row],[Name]],表格3_5[[#This Row],[Location]])</f>
        <v/>
      </c>
      <c r="C1481" s="211" t="str">
        <f>表格3_5[[#This Row],[Location]] &amp; 表格3_5[[#This Row],[Date]] &amp;表格3_5[[#This Row],[Nick Name]]</f>
        <v>0</v>
      </c>
      <c r="D1481" s="202"/>
      <c r="E1481" s="211" t="str">
        <f>DAY(表格3_5[[#This Row],[Date]])&amp;""</f>
        <v>0</v>
      </c>
      <c r="F1481" s="203"/>
      <c r="G1481" s="216">
        <f>_xlfn.XLOOKUP(表格3_5[[#This Row],[Name]],Name_list[Full Name],Name_list[Nick Name])</f>
        <v>0</v>
      </c>
      <c r="H1481" s="207"/>
      <c r="I1481" s="228"/>
      <c r="J1481" s="218"/>
      <c r="K1481" s="205"/>
      <c r="L1481" s="210">
        <f>(表格3_5[[#This Row],[Out-Time]] - 表格3_5[[#This Row],[In-Time]])*24</f>
        <v>0</v>
      </c>
      <c r="M1481" s="210">
        <f>表格3_5[[#This Row],[ Hours]]-表格3_5[[#This Row],[Normal working
 hours]]</f>
        <v>0</v>
      </c>
      <c r="N1481" s="205"/>
      <c r="O1481" s="205"/>
      <c r="P1481" s="210">
        <f>(表格3_5[[#This Row],[Out-Time2]] - 表格3_5[[#This Row],[In-Time2]])*24</f>
        <v>0</v>
      </c>
      <c r="Q1481" s="205"/>
      <c r="R1481" s="214">
        <f>_xlfn.XLOOKUP(表格3_5[[#This Row],[Name]],Name_list[Full Name],Name_list[Hourr Rate])</f>
        <v>0</v>
      </c>
      <c r="S1481" s="210">
        <f>表格3_5[[#This Row],[Hours Worked]]*表格3_5[[#This Row],[Hourly Rate]]</f>
        <v>0</v>
      </c>
    </row>
    <row r="1482" spans="1:19">
      <c r="A1482" s="201">
        <v>1480</v>
      </c>
      <c r="B1482" s="210" t="str">
        <f>_xlfn.CONCAT(表格3_5[[#This Row],[Name]],表格3_5[[#This Row],[Location]])</f>
        <v/>
      </c>
      <c r="C1482" s="211" t="str">
        <f>表格3_5[[#This Row],[Location]] &amp; 表格3_5[[#This Row],[Date]] &amp;表格3_5[[#This Row],[Nick Name]]</f>
        <v>0</v>
      </c>
      <c r="D1482" s="202"/>
      <c r="E1482" s="211" t="str">
        <f>DAY(表格3_5[[#This Row],[Date]])&amp;""</f>
        <v>0</v>
      </c>
      <c r="F1482" s="203"/>
      <c r="G1482" s="216">
        <f>_xlfn.XLOOKUP(表格3_5[[#This Row],[Name]],Name_list[Full Name],Name_list[Nick Name])</f>
        <v>0</v>
      </c>
      <c r="H1482" s="207"/>
      <c r="I1482" s="228"/>
      <c r="J1482" s="218"/>
      <c r="K1482" s="205"/>
      <c r="L1482" s="210">
        <f>(表格3_5[[#This Row],[Out-Time]] - 表格3_5[[#This Row],[In-Time]])*24</f>
        <v>0</v>
      </c>
      <c r="M1482" s="210">
        <f>表格3_5[[#This Row],[ Hours]]-表格3_5[[#This Row],[Normal working
 hours]]</f>
        <v>0</v>
      </c>
      <c r="N1482" s="205"/>
      <c r="O1482" s="205"/>
      <c r="P1482" s="210">
        <f>(表格3_5[[#This Row],[Out-Time2]] - 表格3_5[[#This Row],[In-Time2]])*24</f>
        <v>0</v>
      </c>
      <c r="Q1482" s="205"/>
      <c r="R1482" s="214">
        <f>_xlfn.XLOOKUP(表格3_5[[#This Row],[Name]],Name_list[Full Name],Name_list[Hourr Rate])</f>
        <v>0</v>
      </c>
      <c r="S1482" s="210">
        <f>表格3_5[[#This Row],[Hours Worked]]*表格3_5[[#This Row],[Hourly Rate]]</f>
        <v>0</v>
      </c>
    </row>
    <row r="1483" spans="1:19">
      <c r="A1483" s="201">
        <v>1481</v>
      </c>
      <c r="B1483" s="210" t="str">
        <f>_xlfn.CONCAT(表格3_5[[#This Row],[Name]],表格3_5[[#This Row],[Location]])</f>
        <v/>
      </c>
      <c r="C1483" s="211" t="str">
        <f>表格3_5[[#This Row],[Location]] &amp; 表格3_5[[#This Row],[Date]] &amp;表格3_5[[#This Row],[Nick Name]]</f>
        <v>0</v>
      </c>
      <c r="D1483" s="202"/>
      <c r="E1483" s="211" t="str">
        <f>DAY(表格3_5[[#This Row],[Date]])&amp;""</f>
        <v>0</v>
      </c>
      <c r="F1483" s="203"/>
      <c r="G1483" s="216">
        <f>_xlfn.XLOOKUP(表格3_5[[#This Row],[Name]],Name_list[Full Name],Name_list[Nick Name])</f>
        <v>0</v>
      </c>
      <c r="H1483" s="207"/>
      <c r="I1483" s="228"/>
      <c r="J1483" s="218"/>
      <c r="K1483" s="205"/>
      <c r="L1483" s="210">
        <f>(表格3_5[[#This Row],[Out-Time]] - 表格3_5[[#This Row],[In-Time]])*24</f>
        <v>0</v>
      </c>
      <c r="M1483" s="210">
        <f>表格3_5[[#This Row],[ Hours]]-表格3_5[[#This Row],[Normal working
 hours]]</f>
        <v>0</v>
      </c>
      <c r="N1483" s="205"/>
      <c r="O1483" s="205"/>
      <c r="P1483" s="210">
        <f>(表格3_5[[#This Row],[Out-Time2]] - 表格3_5[[#This Row],[In-Time2]])*24</f>
        <v>0</v>
      </c>
      <c r="Q1483" s="205"/>
      <c r="R1483" s="214">
        <f>_xlfn.XLOOKUP(表格3_5[[#This Row],[Name]],Name_list[Full Name],Name_list[Hourr Rate])</f>
        <v>0</v>
      </c>
      <c r="S1483" s="210">
        <f>表格3_5[[#This Row],[Hours Worked]]*表格3_5[[#This Row],[Hourly Rate]]</f>
        <v>0</v>
      </c>
    </row>
    <row r="1484" spans="1:19">
      <c r="A1484" s="201">
        <v>1482</v>
      </c>
      <c r="B1484" s="210" t="str">
        <f>_xlfn.CONCAT(表格3_5[[#This Row],[Name]],表格3_5[[#This Row],[Location]])</f>
        <v/>
      </c>
      <c r="C1484" s="211" t="str">
        <f>表格3_5[[#This Row],[Location]] &amp; 表格3_5[[#This Row],[Date]] &amp;表格3_5[[#This Row],[Nick Name]]</f>
        <v>0</v>
      </c>
      <c r="D1484" s="202"/>
      <c r="E1484" s="211" t="str">
        <f>DAY(表格3_5[[#This Row],[Date]])&amp;""</f>
        <v>0</v>
      </c>
      <c r="F1484" s="203"/>
      <c r="G1484" s="216">
        <f>_xlfn.XLOOKUP(表格3_5[[#This Row],[Name]],Name_list[Full Name],Name_list[Nick Name])</f>
        <v>0</v>
      </c>
      <c r="H1484" s="207"/>
      <c r="I1484" s="228"/>
      <c r="J1484" s="218"/>
      <c r="K1484" s="205"/>
      <c r="L1484" s="210">
        <f>(表格3_5[[#This Row],[Out-Time]] - 表格3_5[[#This Row],[In-Time]])*24</f>
        <v>0</v>
      </c>
      <c r="M1484" s="210">
        <f>表格3_5[[#This Row],[ Hours]]-表格3_5[[#This Row],[Normal working
 hours]]</f>
        <v>0</v>
      </c>
      <c r="N1484" s="205"/>
      <c r="O1484" s="205"/>
      <c r="P1484" s="210">
        <f>(表格3_5[[#This Row],[Out-Time2]] - 表格3_5[[#This Row],[In-Time2]])*24</f>
        <v>0</v>
      </c>
      <c r="Q1484" s="205"/>
      <c r="R1484" s="214">
        <f>_xlfn.XLOOKUP(表格3_5[[#This Row],[Name]],Name_list[Full Name],Name_list[Hourr Rate])</f>
        <v>0</v>
      </c>
      <c r="S1484" s="210">
        <f>表格3_5[[#This Row],[Hours Worked]]*表格3_5[[#This Row],[Hourly Rate]]</f>
        <v>0</v>
      </c>
    </row>
    <row r="1485" spans="1:19">
      <c r="A1485" s="201">
        <v>1483</v>
      </c>
      <c r="B1485" s="210" t="str">
        <f>_xlfn.CONCAT(表格3_5[[#This Row],[Name]],表格3_5[[#This Row],[Location]])</f>
        <v/>
      </c>
      <c r="C1485" s="211" t="str">
        <f>表格3_5[[#This Row],[Location]] &amp; 表格3_5[[#This Row],[Date]] &amp;表格3_5[[#This Row],[Nick Name]]</f>
        <v>0</v>
      </c>
      <c r="D1485" s="202"/>
      <c r="E1485" s="211" t="str">
        <f>DAY(表格3_5[[#This Row],[Date]])&amp;""</f>
        <v>0</v>
      </c>
      <c r="F1485" s="203"/>
      <c r="G1485" s="216">
        <f>_xlfn.XLOOKUP(表格3_5[[#This Row],[Name]],Name_list[Full Name],Name_list[Nick Name])</f>
        <v>0</v>
      </c>
      <c r="H1485" s="207"/>
      <c r="I1485" s="228"/>
      <c r="J1485" s="218"/>
      <c r="K1485" s="205"/>
      <c r="L1485" s="210">
        <f>(表格3_5[[#This Row],[Out-Time]] - 表格3_5[[#This Row],[In-Time]])*24</f>
        <v>0</v>
      </c>
      <c r="M1485" s="210">
        <f>表格3_5[[#This Row],[ Hours]]-表格3_5[[#This Row],[Normal working
 hours]]</f>
        <v>0</v>
      </c>
      <c r="N1485" s="205"/>
      <c r="O1485" s="205"/>
      <c r="P1485" s="210">
        <f>(表格3_5[[#This Row],[Out-Time2]] - 表格3_5[[#This Row],[In-Time2]])*24</f>
        <v>0</v>
      </c>
      <c r="Q1485" s="205"/>
      <c r="R1485" s="214">
        <f>_xlfn.XLOOKUP(表格3_5[[#This Row],[Name]],Name_list[Full Name],Name_list[Hourr Rate])</f>
        <v>0</v>
      </c>
      <c r="S1485" s="210">
        <f>表格3_5[[#This Row],[Hours Worked]]*表格3_5[[#This Row],[Hourly Rate]]</f>
        <v>0</v>
      </c>
    </row>
    <row r="1486" spans="1:19">
      <c r="A1486" s="201">
        <v>1484</v>
      </c>
      <c r="B1486" s="210" t="str">
        <f>_xlfn.CONCAT(表格3_5[[#This Row],[Name]],表格3_5[[#This Row],[Location]])</f>
        <v/>
      </c>
      <c r="C1486" s="211" t="str">
        <f>表格3_5[[#This Row],[Location]] &amp; 表格3_5[[#This Row],[Date]] &amp;表格3_5[[#This Row],[Nick Name]]</f>
        <v>0</v>
      </c>
      <c r="D1486" s="202"/>
      <c r="E1486" s="211" t="str">
        <f>DAY(表格3_5[[#This Row],[Date]])&amp;""</f>
        <v>0</v>
      </c>
      <c r="F1486" s="203"/>
      <c r="G1486" s="216">
        <f>_xlfn.XLOOKUP(表格3_5[[#This Row],[Name]],Name_list[Full Name],Name_list[Nick Name])</f>
        <v>0</v>
      </c>
      <c r="H1486" s="207"/>
      <c r="I1486" s="228"/>
      <c r="J1486" s="218"/>
      <c r="K1486" s="205"/>
      <c r="L1486" s="210">
        <f>(表格3_5[[#This Row],[Out-Time]] - 表格3_5[[#This Row],[In-Time]])*24</f>
        <v>0</v>
      </c>
      <c r="M1486" s="210">
        <f>表格3_5[[#This Row],[ Hours]]-表格3_5[[#This Row],[Normal working
 hours]]</f>
        <v>0</v>
      </c>
      <c r="N1486" s="205"/>
      <c r="O1486" s="205"/>
      <c r="P1486" s="210">
        <f>(表格3_5[[#This Row],[Out-Time2]] - 表格3_5[[#This Row],[In-Time2]])*24</f>
        <v>0</v>
      </c>
      <c r="Q1486" s="205"/>
      <c r="R1486" s="214">
        <f>_xlfn.XLOOKUP(表格3_5[[#This Row],[Name]],Name_list[Full Name],Name_list[Hourr Rate])</f>
        <v>0</v>
      </c>
      <c r="S1486" s="210">
        <f>表格3_5[[#This Row],[Hours Worked]]*表格3_5[[#This Row],[Hourly Rate]]</f>
        <v>0</v>
      </c>
    </row>
    <row r="1487" spans="1:19">
      <c r="A1487" s="201">
        <v>1485</v>
      </c>
      <c r="B1487" s="210" t="str">
        <f>_xlfn.CONCAT(表格3_5[[#This Row],[Name]],表格3_5[[#This Row],[Location]])</f>
        <v/>
      </c>
      <c r="C1487" s="211" t="str">
        <f>表格3_5[[#This Row],[Location]] &amp; 表格3_5[[#This Row],[Date]] &amp;表格3_5[[#This Row],[Nick Name]]</f>
        <v>0</v>
      </c>
      <c r="D1487" s="202"/>
      <c r="E1487" s="211" t="str">
        <f>DAY(表格3_5[[#This Row],[Date]])&amp;""</f>
        <v>0</v>
      </c>
      <c r="F1487" s="203"/>
      <c r="G1487" s="216">
        <f>_xlfn.XLOOKUP(表格3_5[[#This Row],[Name]],Name_list[Full Name],Name_list[Nick Name])</f>
        <v>0</v>
      </c>
      <c r="H1487" s="207"/>
      <c r="I1487" s="228"/>
      <c r="J1487" s="218"/>
      <c r="K1487" s="205"/>
      <c r="L1487" s="210">
        <f>(表格3_5[[#This Row],[Out-Time]] - 表格3_5[[#This Row],[In-Time]])*24</f>
        <v>0</v>
      </c>
      <c r="M1487" s="210">
        <f>表格3_5[[#This Row],[ Hours]]-表格3_5[[#This Row],[Normal working
 hours]]</f>
        <v>0</v>
      </c>
      <c r="N1487" s="205"/>
      <c r="O1487" s="205"/>
      <c r="P1487" s="210">
        <f>(表格3_5[[#This Row],[Out-Time2]] - 表格3_5[[#This Row],[In-Time2]])*24</f>
        <v>0</v>
      </c>
      <c r="Q1487" s="205"/>
      <c r="R1487" s="214">
        <f>_xlfn.XLOOKUP(表格3_5[[#This Row],[Name]],Name_list[Full Name],Name_list[Hourr Rate])</f>
        <v>0</v>
      </c>
      <c r="S1487" s="210">
        <f>表格3_5[[#This Row],[Hours Worked]]*表格3_5[[#This Row],[Hourly Rate]]</f>
        <v>0</v>
      </c>
    </row>
    <row r="1488" spans="1:19">
      <c r="A1488" s="201">
        <v>1486</v>
      </c>
      <c r="B1488" s="210" t="str">
        <f>_xlfn.CONCAT(表格3_5[[#This Row],[Name]],表格3_5[[#This Row],[Location]])</f>
        <v/>
      </c>
      <c r="C1488" s="211" t="str">
        <f>表格3_5[[#This Row],[Location]] &amp; 表格3_5[[#This Row],[Date]] &amp;表格3_5[[#This Row],[Nick Name]]</f>
        <v>0</v>
      </c>
      <c r="D1488" s="202"/>
      <c r="E1488" s="211" t="str">
        <f>DAY(表格3_5[[#This Row],[Date]])&amp;""</f>
        <v>0</v>
      </c>
      <c r="F1488" s="203"/>
      <c r="G1488" s="216">
        <f>_xlfn.XLOOKUP(表格3_5[[#This Row],[Name]],Name_list[Full Name],Name_list[Nick Name])</f>
        <v>0</v>
      </c>
      <c r="H1488" s="207"/>
      <c r="I1488" s="228"/>
      <c r="J1488" s="218"/>
      <c r="K1488" s="205"/>
      <c r="L1488" s="210">
        <f>(表格3_5[[#This Row],[Out-Time]] - 表格3_5[[#This Row],[In-Time]])*24</f>
        <v>0</v>
      </c>
      <c r="M1488" s="210">
        <f>表格3_5[[#This Row],[ Hours]]-表格3_5[[#This Row],[Normal working
 hours]]</f>
        <v>0</v>
      </c>
      <c r="N1488" s="205"/>
      <c r="O1488" s="205"/>
      <c r="P1488" s="210">
        <f>(表格3_5[[#This Row],[Out-Time2]] - 表格3_5[[#This Row],[In-Time2]])*24</f>
        <v>0</v>
      </c>
      <c r="Q1488" s="205"/>
      <c r="R1488" s="214">
        <f>_xlfn.XLOOKUP(表格3_5[[#This Row],[Name]],Name_list[Full Name],Name_list[Hourr Rate])</f>
        <v>0</v>
      </c>
      <c r="S1488" s="210">
        <f>表格3_5[[#This Row],[Hours Worked]]*表格3_5[[#This Row],[Hourly Rate]]</f>
        <v>0</v>
      </c>
    </row>
    <row r="1489" spans="1:19">
      <c r="A1489" s="201">
        <v>1487</v>
      </c>
      <c r="B1489" s="210" t="str">
        <f>_xlfn.CONCAT(表格3_5[[#This Row],[Name]],表格3_5[[#This Row],[Location]])</f>
        <v/>
      </c>
      <c r="C1489" s="211" t="str">
        <f>表格3_5[[#This Row],[Location]] &amp; 表格3_5[[#This Row],[Date]] &amp;表格3_5[[#This Row],[Nick Name]]</f>
        <v>0</v>
      </c>
      <c r="D1489" s="202"/>
      <c r="E1489" s="211" t="str">
        <f>DAY(表格3_5[[#This Row],[Date]])&amp;""</f>
        <v>0</v>
      </c>
      <c r="F1489" s="203"/>
      <c r="G1489" s="216">
        <f>_xlfn.XLOOKUP(表格3_5[[#This Row],[Name]],Name_list[Full Name],Name_list[Nick Name])</f>
        <v>0</v>
      </c>
      <c r="H1489" s="207"/>
      <c r="I1489" s="228"/>
      <c r="J1489" s="218"/>
      <c r="K1489" s="205"/>
      <c r="L1489" s="210">
        <f>(表格3_5[[#This Row],[Out-Time]] - 表格3_5[[#This Row],[In-Time]])*24</f>
        <v>0</v>
      </c>
      <c r="M1489" s="210">
        <f>表格3_5[[#This Row],[ Hours]]-表格3_5[[#This Row],[Normal working
 hours]]</f>
        <v>0</v>
      </c>
      <c r="N1489" s="205"/>
      <c r="O1489" s="205"/>
      <c r="P1489" s="210">
        <f>(表格3_5[[#This Row],[Out-Time2]] - 表格3_5[[#This Row],[In-Time2]])*24</f>
        <v>0</v>
      </c>
      <c r="Q1489" s="205"/>
      <c r="R1489" s="214">
        <f>_xlfn.XLOOKUP(表格3_5[[#This Row],[Name]],Name_list[Full Name],Name_list[Hourr Rate])</f>
        <v>0</v>
      </c>
      <c r="S1489" s="210">
        <f>表格3_5[[#This Row],[Hours Worked]]*表格3_5[[#This Row],[Hourly Rate]]</f>
        <v>0</v>
      </c>
    </row>
    <row r="1490" spans="1:19">
      <c r="A1490" s="201">
        <v>1488</v>
      </c>
      <c r="B1490" s="210" t="str">
        <f>_xlfn.CONCAT(表格3_5[[#This Row],[Name]],表格3_5[[#This Row],[Location]])</f>
        <v/>
      </c>
      <c r="C1490" s="211" t="str">
        <f>表格3_5[[#This Row],[Location]] &amp; 表格3_5[[#This Row],[Date]] &amp;表格3_5[[#This Row],[Nick Name]]</f>
        <v>0</v>
      </c>
      <c r="D1490" s="202"/>
      <c r="E1490" s="211" t="str">
        <f>DAY(表格3_5[[#This Row],[Date]])&amp;""</f>
        <v>0</v>
      </c>
      <c r="F1490" s="203"/>
      <c r="G1490" s="216">
        <f>_xlfn.XLOOKUP(表格3_5[[#This Row],[Name]],Name_list[Full Name],Name_list[Nick Name])</f>
        <v>0</v>
      </c>
      <c r="H1490" s="207"/>
      <c r="I1490" s="228"/>
      <c r="J1490" s="218"/>
      <c r="K1490" s="205"/>
      <c r="L1490" s="210">
        <f>(表格3_5[[#This Row],[Out-Time]] - 表格3_5[[#This Row],[In-Time]])*24</f>
        <v>0</v>
      </c>
      <c r="M1490" s="210">
        <f>表格3_5[[#This Row],[ Hours]]-表格3_5[[#This Row],[Normal working
 hours]]</f>
        <v>0</v>
      </c>
      <c r="N1490" s="205"/>
      <c r="O1490" s="205"/>
      <c r="P1490" s="210">
        <f>(表格3_5[[#This Row],[Out-Time2]] - 表格3_5[[#This Row],[In-Time2]])*24</f>
        <v>0</v>
      </c>
      <c r="Q1490" s="205"/>
      <c r="R1490" s="214">
        <f>_xlfn.XLOOKUP(表格3_5[[#This Row],[Name]],Name_list[Full Name],Name_list[Hourr Rate])</f>
        <v>0</v>
      </c>
      <c r="S1490" s="210">
        <f>表格3_5[[#This Row],[Hours Worked]]*表格3_5[[#This Row],[Hourly Rate]]</f>
        <v>0</v>
      </c>
    </row>
    <row r="1491" spans="1:19">
      <c r="A1491" s="201">
        <v>1489</v>
      </c>
      <c r="B1491" s="210" t="str">
        <f>_xlfn.CONCAT(表格3_5[[#This Row],[Name]],表格3_5[[#This Row],[Location]])</f>
        <v/>
      </c>
      <c r="C1491" s="211" t="str">
        <f>表格3_5[[#This Row],[Location]] &amp; 表格3_5[[#This Row],[Date]] &amp;表格3_5[[#This Row],[Nick Name]]</f>
        <v>0</v>
      </c>
      <c r="D1491" s="202"/>
      <c r="E1491" s="211" t="str">
        <f>DAY(表格3_5[[#This Row],[Date]])&amp;""</f>
        <v>0</v>
      </c>
      <c r="F1491" s="203"/>
      <c r="G1491" s="216">
        <f>_xlfn.XLOOKUP(表格3_5[[#This Row],[Name]],Name_list[Full Name],Name_list[Nick Name])</f>
        <v>0</v>
      </c>
      <c r="H1491" s="207"/>
      <c r="I1491" s="228"/>
      <c r="J1491" s="218"/>
      <c r="K1491" s="205"/>
      <c r="L1491" s="210">
        <f>(表格3_5[[#This Row],[Out-Time]] - 表格3_5[[#This Row],[In-Time]])*24</f>
        <v>0</v>
      </c>
      <c r="M1491" s="210">
        <f>表格3_5[[#This Row],[ Hours]]-表格3_5[[#This Row],[Normal working
 hours]]</f>
        <v>0</v>
      </c>
      <c r="N1491" s="205"/>
      <c r="O1491" s="205"/>
      <c r="P1491" s="210">
        <f>(表格3_5[[#This Row],[Out-Time2]] - 表格3_5[[#This Row],[In-Time2]])*24</f>
        <v>0</v>
      </c>
      <c r="Q1491" s="205"/>
      <c r="R1491" s="214">
        <f>_xlfn.XLOOKUP(表格3_5[[#This Row],[Name]],Name_list[Full Name],Name_list[Hourr Rate])</f>
        <v>0</v>
      </c>
      <c r="S1491" s="210">
        <f>表格3_5[[#This Row],[Hours Worked]]*表格3_5[[#This Row],[Hourly Rate]]</f>
        <v>0</v>
      </c>
    </row>
    <row r="1492" spans="1:19">
      <c r="A1492" s="201">
        <v>1490</v>
      </c>
      <c r="B1492" s="210" t="str">
        <f>_xlfn.CONCAT(表格3_5[[#This Row],[Name]],表格3_5[[#This Row],[Location]])</f>
        <v/>
      </c>
      <c r="C1492" s="211" t="str">
        <f>表格3_5[[#This Row],[Location]] &amp; 表格3_5[[#This Row],[Date]] &amp;表格3_5[[#This Row],[Nick Name]]</f>
        <v>0</v>
      </c>
      <c r="D1492" s="202"/>
      <c r="E1492" s="211" t="str">
        <f>DAY(表格3_5[[#This Row],[Date]])&amp;""</f>
        <v>0</v>
      </c>
      <c r="F1492" s="203"/>
      <c r="G1492" s="216">
        <f>_xlfn.XLOOKUP(表格3_5[[#This Row],[Name]],Name_list[Full Name],Name_list[Nick Name])</f>
        <v>0</v>
      </c>
      <c r="H1492" s="207"/>
      <c r="I1492" s="228"/>
      <c r="J1492" s="218"/>
      <c r="K1492" s="205"/>
      <c r="L1492" s="210">
        <f>(表格3_5[[#This Row],[Out-Time]] - 表格3_5[[#This Row],[In-Time]])*24</f>
        <v>0</v>
      </c>
      <c r="M1492" s="210">
        <f>表格3_5[[#This Row],[ Hours]]-表格3_5[[#This Row],[Normal working
 hours]]</f>
        <v>0</v>
      </c>
      <c r="N1492" s="205"/>
      <c r="O1492" s="205"/>
      <c r="P1492" s="210">
        <f>(表格3_5[[#This Row],[Out-Time2]] - 表格3_5[[#This Row],[In-Time2]])*24</f>
        <v>0</v>
      </c>
      <c r="Q1492" s="205"/>
      <c r="R1492" s="214">
        <f>_xlfn.XLOOKUP(表格3_5[[#This Row],[Name]],Name_list[Full Name],Name_list[Hourr Rate])</f>
        <v>0</v>
      </c>
      <c r="S1492" s="210">
        <f>表格3_5[[#This Row],[Hours Worked]]*表格3_5[[#This Row],[Hourly Rate]]</f>
        <v>0</v>
      </c>
    </row>
    <row r="1493" spans="1:19">
      <c r="A1493" s="201">
        <v>1491</v>
      </c>
      <c r="B1493" s="210" t="str">
        <f>_xlfn.CONCAT(表格3_5[[#This Row],[Name]],表格3_5[[#This Row],[Location]])</f>
        <v/>
      </c>
      <c r="C1493" s="211" t="str">
        <f>表格3_5[[#This Row],[Location]] &amp; 表格3_5[[#This Row],[Date]] &amp;表格3_5[[#This Row],[Nick Name]]</f>
        <v>0</v>
      </c>
      <c r="D1493" s="202"/>
      <c r="E1493" s="211" t="str">
        <f>DAY(表格3_5[[#This Row],[Date]])&amp;""</f>
        <v>0</v>
      </c>
      <c r="F1493" s="203"/>
      <c r="G1493" s="216">
        <f>_xlfn.XLOOKUP(表格3_5[[#This Row],[Name]],Name_list[Full Name],Name_list[Nick Name])</f>
        <v>0</v>
      </c>
      <c r="H1493" s="207"/>
      <c r="I1493" s="228"/>
      <c r="J1493" s="218"/>
      <c r="K1493" s="205"/>
      <c r="L1493" s="210">
        <f>(表格3_5[[#This Row],[Out-Time]] - 表格3_5[[#This Row],[In-Time]])*24</f>
        <v>0</v>
      </c>
      <c r="M1493" s="210">
        <f>表格3_5[[#This Row],[ Hours]]-表格3_5[[#This Row],[Normal working
 hours]]</f>
        <v>0</v>
      </c>
      <c r="N1493" s="205"/>
      <c r="O1493" s="205"/>
      <c r="P1493" s="210">
        <f>(表格3_5[[#This Row],[Out-Time2]] - 表格3_5[[#This Row],[In-Time2]])*24</f>
        <v>0</v>
      </c>
      <c r="Q1493" s="205"/>
      <c r="R1493" s="214">
        <f>_xlfn.XLOOKUP(表格3_5[[#This Row],[Name]],Name_list[Full Name],Name_list[Hourr Rate])</f>
        <v>0</v>
      </c>
      <c r="S1493" s="210">
        <f>表格3_5[[#This Row],[Hours Worked]]*表格3_5[[#This Row],[Hourly Rate]]</f>
        <v>0</v>
      </c>
    </row>
    <row r="1494" spans="1:19">
      <c r="A1494" s="201">
        <v>1492</v>
      </c>
      <c r="B1494" s="210" t="str">
        <f>_xlfn.CONCAT(表格3_5[[#This Row],[Name]],表格3_5[[#This Row],[Location]])</f>
        <v/>
      </c>
      <c r="C1494" s="211" t="str">
        <f>表格3_5[[#This Row],[Location]] &amp; 表格3_5[[#This Row],[Date]] &amp;表格3_5[[#This Row],[Nick Name]]</f>
        <v>0</v>
      </c>
      <c r="D1494" s="202"/>
      <c r="E1494" s="211" t="str">
        <f>DAY(表格3_5[[#This Row],[Date]])&amp;""</f>
        <v>0</v>
      </c>
      <c r="F1494" s="203"/>
      <c r="G1494" s="216">
        <f>_xlfn.XLOOKUP(表格3_5[[#This Row],[Name]],Name_list[Full Name],Name_list[Nick Name])</f>
        <v>0</v>
      </c>
      <c r="H1494" s="207"/>
      <c r="I1494" s="228"/>
      <c r="J1494" s="218"/>
      <c r="K1494" s="205"/>
      <c r="L1494" s="210">
        <f>(表格3_5[[#This Row],[Out-Time]] - 表格3_5[[#This Row],[In-Time]])*24</f>
        <v>0</v>
      </c>
      <c r="M1494" s="210">
        <f>表格3_5[[#This Row],[ Hours]]-表格3_5[[#This Row],[Normal working
 hours]]</f>
        <v>0</v>
      </c>
      <c r="N1494" s="205"/>
      <c r="O1494" s="205"/>
      <c r="P1494" s="210">
        <f>(表格3_5[[#This Row],[Out-Time2]] - 表格3_5[[#This Row],[In-Time2]])*24</f>
        <v>0</v>
      </c>
      <c r="Q1494" s="205"/>
      <c r="R1494" s="214">
        <f>_xlfn.XLOOKUP(表格3_5[[#This Row],[Name]],Name_list[Full Name],Name_list[Hourr Rate])</f>
        <v>0</v>
      </c>
      <c r="S1494" s="210">
        <f>表格3_5[[#This Row],[Hours Worked]]*表格3_5[[#This Row],[Hourly Rate]]</f>
        <v>0</v>
      </c>
    </row>
    <row r="1495" spans="1:19">
      <c r="A1495" s="201">
        <v>1493</v>
      </c>
      <c r="B1495" s="210" t="str">
        <f>_xlfn.CONCAT(表格3_5[[#This Row],[Name]],表格3_5[[#This Row],[Location]])</f>
        <v/>
      </c>
      <c r="C1495" s="211" t="str">
        <f>表格3_5[[#This Row],[Location]] &amp; 表格3_5[[#This Row],[Date]] &amp;表格3_5[[#This Row],[Nick Name]]</f>
        <v>0</v>
      </c>
      <c r="D1495" s="202"/>
      <c r="E1495" s="211" t="str">
        <f>DAY(表格3_5[[#This Row],[Date]])&amp;""</f>
        <v>0</v>
      </c>
      <c r="F1495" s="203"/>
      <c r="G1495" s="216">
        <f>_xlfn.XLOOKUP(表格3_5[[#This Row],[Name]],Name_list[Full Name],Name_list[Nick Name])</f>
        <v>0</v>
      </c>
      <c r="H1495" s="207"/>
      <c r="I1495" s="228"/>
      <c r="J1495" s="218"/>
      <c r="K1495" s="205"/>
      <c r="L1495" s="210">
        <f>(表格3_5[[#This Row],[Out-Time]] - 表格3_5[[#This Row],[In-Time]])*24</f>
        <v>0</v>
      </c>
      <c r="M1495" s="210">
        <f>表格3_5[[#This Row],[ Hours]]-表格3_5[[#This Row],[Normal working
 hours]]</f>
        <v>0</v>
      </c>
      <c r="N1495" s="205"/>
      <c r="O1495" s="205"/>
      <c r="P1495" s="210">
        <f>(表格3_5[[#This Row],[Out-Time2]] - 表格3_5[[#This Row],[In-Time2]])*24</f>
        <v>0</v>
      </c>
      <c r="Q1495" s="205"/>
      <c r="R1495" s="214">
        <f>_xlfn.XLOOKUP(表格3_5[[#This Row],[Name]],Name_list[Full Name],Name_list[Hourr Rate])</f>
        <v>0</v>
      </c>
      <c r="S1495" s="210">
        <f>表格3_5[[#This Row],[Hours Worked]]*表格3_5[[#This Row],[Hourly Rate]]</f>
        <v>0</v>
      </c>
    </row>
    <row r="1496" spans="1:19">
      <c r="A1496" s="201">
        <v>1494</v>
      </c>
      <c r="B1496" s="210" t="str">
        <f>_xlfn.CONCAT(表格3_5[[#This Row],[Name]],表格3_5[[#This Row],[Location]])</f>
        <v/>
      </c>
      <c r="C1496" s="211" t="str">
        <f>表格3_5[[#This Row],[Location]] &amp; 表格3_5[[#This Row],[Date]] &amp;表格3_5[[#This Row],[Nick Name]]</f>
        <v>0</v>
      </c>
      <c r="D1496" s="202"/>
      <c r="E1496" s="211" t="str">
        <f>DAY(表格3_5[[#This Row],[Date]])&amp;""</f>
        <v>0</v>
      </c>
      <c r="F1496" s="203"/>
      <c r="G1496" s="216">
        <f>_xlfn.XLOOKUP(表格3_5[[#This Row],[Name]],Name_list[Full Name],Name_list[Nick Name])</f>
        <v>0</v>
      </c>
      <c r="H1496" s="207"/>
      <c r="I1496" s="228"/>
      <c r="J1496" s="218"/>
      <c r="K1496" s="205"/>
      <c r="L1496" s="210">
        <f>(表格3_5[[#This Row],[Out-Time]] - 表格3_5[[#This Row],[In-Time]])*24</f>
        <v>0</v>
      </c>
      <c r="M1496" s="210">
        <f>表格3_5[[#This Row],[ Hours]]-表格3_5[[#This Row],[Normal working
 hours]]</f>
        <v>0</v>
      </c>
      <c r="N1496" s="205"/>
      <c r="O1496" s="205"/>
      <c r="P1496" s="210">
        <f>(表格3_5[[#This Row],[Out-Time2]] - 表格3_5[[#This Row],[In-Time2]])*24</f>
        <v>0</v>
      </c>
      <c r="Q1496" s="205"/>
      <c r="R1496" s="214">
        <f>_xlfn.XLOOKUP(表格3_5[[#This Row],[Name]],Name_list[Full Name],Name_list[Hourr Rate])</f>
        <v>0</v>
      </c>
      <c r="S1496" s="210">
        <f>表格3_5[[#This Row],[Hours Worked]]*表格3_5[[#This Row],[Hourly Rate]]</f>
        <v>0</v>
      </c>
    </row>
    <row r="1497" spans="1:19">
      <c r="A1497" s="201">
        <v>1495</v>
      </c>
      <c r="B1497" s="210" t="str">
        <f>_xlfn.CONCAT(表格3_5[[#This Row],[Name]],表格3_5[[#This Row],[Location]])</f>
        <v/>
      </c>
      <c r="C1497" s="211" t="str">
        <f>表格3_5[[#This Row],[Location]] &amp; 表格3_5[[#This Row],[Date]] &amp;表格3_5[[#This Row],[Nick Name]]</f>
        <v>0</v>
      </c>
      <c r="D1497" s="202"/>
      <c r="E1497" s="211" t="str">
        <f>DAY(表格3_5[[#This Row],[Date]])&amp;""</f>
        <v>0</v>
      </c>
      <c r="F1497" s="203"/>
      <c r="G1497" s="216">
        <f>_xlfn.XLOOKUP(表格3_5[[#This Row],[Name]],Name_list[Full Name],Name_list[Nick Name])</f>
        <v>0</v>
      </c>
      <c r="H1497" s="207"/>
      <c r="I1497" s="228"/>
      <c r="J1497" s="218"/>
      <c r="K1497" s="205"/>
      <c r="L1497" s="210">
        <f>(表格3_5[[#This Row],[Out-Time]] - 表格3_5[[#This Row],[In-Time]])*24</f>
        <v>0</v>
      </c>
      <c r="M1497" s="210">
        <f>表格3_5[[#This Row],[ Hours]]-表格3_5[[#This Row],[Normal working
 hours]]</f>
        <v>0</v>
      </c>
      <c r="N1497" s="205"/>
      <c r="O1497" s="205"/>
      <c r="P1497" s="210">
        <f>(表格3_5[[#This Row],[Out-Time2]] - 表格3_5[[#This Row],[In-Time2]])*24</f>
        <v>0</v>
      </c>
      <c r="Q1497" s="205"/>
      <c r="R1497" s="214">
        <f>_xlfn.XLOOKUP(表格3_5[[#This Row],[Name]],Name_list[Full Name],Name_list[Hourr Rate])</f>
        <v>0</v>
      </c>
      <c r="S1497" s="210">
        <f>表格3_5[[#This Row],[Hours Worked]]*表格3_5[[#This Row],[Hourly Rate]]</f>
        <v>0</v>
      </c>
    </row>
    <row r="1498" spans="1:19">
      <c r="A1498" s="201">
        <v>1496</v>
      </c>
      <c r="B1498" s="210" t="str">
        <f>_xlfn.CONCAT(表格3_5[[#This Row],[Name]],表格3_5[[#This Row],[Location]])</f>
        <v/>
      </c>
      <c r="C1498" s="211" t="str">
        <f>表格3_5[[#This Row],[Location]] &amp; 表格3_5[[#This Row],[Date]] &amp;表格3_5[[#This Row],[Nick Name]]</f>
        <v>0</v>
      </c>
      <c r="D1498" s="202"/>
      <c r="E1498" s="211" t="str">
        <f>DAY(表格3_5[[#This Row],[Date]])&amp;""</f>
        <v>0</v>
      </c>
      <c r="F1498" s="203"/>
      <c r="G1498" s="216">
        <f>_xlfn.XLOOKUP(表格3_5[[#This Row],[Name]],Name_list[Full Name],Name_list[Nick Name])</f>
        <v>0</v>
      </c>
      <c r="H1498" s="207"/>
      <c r="I1498" s="228"/>
      <c r="J1498" s="218"/>
      <c r="K1498" s="205"/>
      <c r="L1498" s="210">
        <f>(表格3_5[[#This Row],[Out-Time]] - 表格3_5[[#This Row],[In-Time]])*24</f>
        <v>0</v>
      </c>
      <c r="M1498" s="210">
        <f>表格3_5[[#This Row],[ Hours]]-表格3_5[[#This Row],[Normal working
 hours]]</f>
        <v>0</v>
      </c>
      <c r="N1498" s="205"/>
      <c r="O1498" s="205"/>
      <c r="P1498" s="210">
        <f>(表格3_5[[#This Row],[Out-Time2]] - 表格3_5[[#This Row],[In-Time2]])*24</f>
        <v>0</v>
      </c>
      <c r="Q1498" s="205"/>
      <c r="R1498" s="214">
        <f>_xlfn.XLOOKUP(表格3_5[[#This Row],[Name]],Name_list[Full Name],Name_list[Hourr Rate])</f>
        <v>0</v>
      </c>
      <c r="S1498" s="210">
        <f>表格3_5[[#This Row],[Hours Worked]]*表格3_5[[#This Row],[Hourly Rate]]</f>
        <v>0</v>
      </c>
    </row>
    <row r="1499" spans="1:19">
      <c r="A1499" s="201">
        <v>1497</v>
      </c>
      <c r="B1499" s="210" t="str">
        <f>_xlfn.CONCAT(表格3_5[[#This Row],[Name]],表格3_5[[#This Row],[Location]])</f>
        <v/>
      </c>
      <c r="C1499" s="211" t="str">
        <f>表格3_5[[#This Row],[Location]] &amp; 表格3_5[[#This Row],[Date]] &amp;表格3_5[[#This Row],[Nick Name]]</f>
        <v>0</v>
      </c>
      <c r="D1499" s="202"/>
      <c r="E1499" s="211" t="str">
        <f>DAY(表格3_5[[#This Row],[Date]])&amp;""</f>
        <v>0</v>
      </c>
      <c r="F1499" s="203"/>
      <c r="G1499" s="216">
        <f>_xlfn.XLOOKUP(表格3_5[[#This Row],[Name]],Name_list[Full Name],Name_list[Nick Name])</f>
        <v>0</v>
      </c>
      <c r="H1499" s="207"/>
      <c r="I1499" s="228"/>
      <c r="J1499" s="218"/>
      <c r="K1499" s="205"/>
      <c r="L1499" s="210">
        <f>(表格3_5[[#This Row],[Out-Time]] - 表格3_5[[#This Row],[In-Time]])*24</f>
        <v>0</v>
      </c>
      <c r="M1499" s="210">
        <f>表格3_5[[#This Row],[ Hours]]-表格3_5[[#This Row],[Normal working
 hours]]</f>
        <v>0</v>
      </c>
      <c r="N1499" s="205"/>
      <c r="O1499" s="205"/>
      <c r="P1499" s="210">
        <f>(表格3_5[[#This Row],[Out-Time2]] - 表格3_5[[#This Row],[In-Time2]])*24</f>
        <v>0</v>
      </c>
      <c r="Q1499" s="205"/>
      <c r="R1499" s="214">
        <f>_xlfn.XLOOKUP(表格3_5[[#This Row],[Name]],Name_list[Full Name],Name_list[Hourr Rate])</f>
        <v>0</v>
      </c>
      <c r="S1499" s="210">
        <f>表格3_5[[#This Row],[Hours Worked]]*表格3_5[[#This Row],[Hourly Rate]]</f>
        <v>0</v>
      </c>
    </row>
    <row r="1500" spans="1:19">
      <c r="A1500" s="201">
        <v>1498</v>
      </c>
      <c r="B1500" s="210" t="str">
        <f>_xlfn.CONCAT(表格3_5[[#This Row],[Name]],表格3_5[[#This Row],[Location]])</f>
        <v/>
      </c>
      <c r="C1500" s="211" t="str">
        <f>表格3_5[[#This Row],[Location]] &amp; 表格3_5[[#This Row],[Date]] &amp;表格3_5[[#This Row],[Nick Name]]</f>
        <v>0</v>
      </c>
      <c r="D1500" s="202"/>
      <c r="E1500" s="211" t="str">
        <f>DAY(表格3_5[[#This Row],[Date]])&amp;""</f>
        <v>0</v>
      </c>
      <c r="F1500" s="203"/>
      <c r="G1500" s="216">
        <f>_xlfn.XLOOKUP(表格3_5[[#This Row],[Name]],Name_list[Full Name],Name_list[Nick Name])</f>
        <v>0</v>
      </c>
      <c r="H1500" s="207"/>
      <c r="I1500" s="228"/>
      <c r="J1500" s="218"/>
      <c r="K1500" s="205"/>
      <c r="L1500" s="210">
        <f>(表格3_5[[#This Row],[Out-Time]] - 表格3_5[[#This Row],[In-Time]])*24</f>
        <v>0</v>
      </c>
      <c r="M1500" s="210">
        <f>表格3_5[[#This Row],[ Hours]]-表格3_5[[#This Row],[Normal working
 hours]]</f>
        <v>0</v>
      </c>
      <c r="N1500" s="205"/>
      <c r="O1500" s="205"/>
      <c r="P1500" s="210">
        <f>(表格3_5[[#This Row],[Out-Time2]] - 表格3_5[[#This Row],[In-Time2]])*24</f>
        <v>0</v>
      </c>
      <c r="Q1500" s="205"/>
      <c r="R1500" s="214">
        <f>_xlfn.XLOOKUP(表格3_5[[#This Row],[Name]],Name_list[Full Name],Name_list[Hourr Rate])</f>
        <v>0</v>
      </c>
      <c r="S1500" s="210">
        <f>表格3_5[[#This Row],[Hours Worked]]*表格3_5[[#This Row],[Hourly Rate]]</f>
        <v>0</v>
      </c>
    </row>
    <row r="1501" spans="1:19">
      <c r="A1501" s="201">
        <v>1499</v>
      </c>
      <c r="B1501" s="210" t="str">
        <f>_xlfn.CONCAT(表格3_5[[#This Row],[Name]],表格3_5[[#This Row],[Location]])</f>
        <v/>
      </c>
      <c r="C1501" s="211" t="str">
        <f>表格3_5[[#This Row],[Location]] &amp; 表格3_5[[#This Row],[Date]] &amp;表格3_5[[#This Row],[Nick Name]]</f>
        <v>0</v>
      </c>
      <c r="D1501" s="202"/>
      <c r="E1501" s="211" t="str">
        <f>DAY(表格3_5[[#This Row],[Date]])&amp;""</f>
        <v>0</v>
      </c>
      <c r="F1501" s="203"/>
      <c r="G1501" s="216">
        <f>_xlfn.XLOOKUP(表格3_5[[#This Row],[Name]],Name_list[Full Name],Name_list[Nick Name])</f>
        <v>0</v>
      </c>
      <c r="H1501" s="207"/>
      <c r="I1501" s="228"/>
      <c r="J1501" s="218"/>
      <c r="K1501" s="205"/>
      <c r="L1501" s="210">
        <f>(表格3_5[[#This Row],[Out-Time]] - 表格3_5[[#This Row],[In-Time]])*24</f>
        <v>0</v>
      </c>
      <c r="M1501" s="210">
        <f>表格3_5[[#This Row],[ Hours]]-表格3_5[[#This Row],[Normal working
 hours]]</f>
        <v>0</v>
      </c>
      <c r="N1501" s="205"/>
      <c r="O1501" s="205"/>
      <c r="P1501" s="210">
        <f>(表格3_5[[#This Row],[Out-Time2]] - 表格3_5[[#This Row],[In-Time2]])*24</f>
        <v>0</v>
      </c>
      <c r="Q1501" s="205"/>
      <c r="R1501" s="214">
        <f>_xlfn.XLOOKUP(表格3_5[[#This Row],[Name]],Name_list[Full Name],Name_list[Hourr Rate])</f>
        <v>0</v>
      </c>
      <c r="S1501" s="210">
        <f>表格3_5[[#This Row],[Hours Worked]]*表格3_5[[#This Row],[Hourly Rate]]</f>
        <v>0</v>
      </c>
    </row>
    <row r="1502" spans="1:19">
      <c r="A1502" s="201">
        <v>1500</v>
      </c>
      <c r="B1502" s="210" t="str">
        <f>_xlfn.CONCAT(表格3_5[[#This Row],[Name]],表格3_5[[#This Row],[Location]])</f>
        <v/>
      </c>
      <c r="C1502" s="211" t="str">
        <f>表格3_5[[#This Row],[Location]] &amp; 表格3_5[[#This Row],[Date]] &amp;表格3_5[[#This Row],[Nick Name]]</f>
        <v>0</v>
      </c>
      <c r="D1502" s="202"/>
      <c r="E1502" s="211" t="str">
        <f>DAY(表格3_5[[#This Row],[Date]])&amp;""</f>
        <v>0</v>
      </c>
      <c r="F1502" s="203"/>
      <c r="G1502" s="216">
        <f>_xlfn.XLOOKUP(表格3_5[[#This Row],[Name]],Name_list[Full Name],Name_list[Nick Name])</f>
        <v>0</v>
      </c>
      <c r="H1502" s="207"/>
      <c r="I1502" s="228"/>
      <c r="J1502" s="218"/>
      <c r="K1502" s="205"/>
      <c r="L1502" s="210">
        <f>(表格3_5[[#This Row],[Out-Time]] - 表格3_5[[#This Row],[In-Time]])*24</f>
        <v>0</v>
      </c>
      <c r="M1502" s="210">
        <f>表格3_5[[#This Row],[ Hours]]-表格3_5[[#This Row],[Normal working
 hours]]</f>
        <v>0</v>
      </c>
      <c r="N1502" s="205"/>
      <c r="O1502" s="205"/>
      <c r="P1502" s="210">
        <f>(表格3_5[[#This Row],[Out-Time2]] - 表格3_5[[#This Row],[In-Time2]])*24</f>
        <v>0</v>
      </c>
      <c r="Q1502" s="205"/>
      <c r="R1502" s="214">
        <f>_xlfn.XLOOKUP(表格3_5[[#This Row],[Name]],Name_list[Full Name],Name_list[Hourr Rate])</f>
        <v>0</v>
      </c>
      <c r="S1502" s="210">
        <f>表格3_5[[#This Row],[Hours Worked]]*表格3_5[[#This Row],[Hourly Rate]]</f>
        <v>0</v>
      </c>
    </row>
    <row r="1503" spans="1:19">
      <c r="A1503" s="201">
        <v>1501</v>
      </c>
      <c r="B1503" s="210" t="str">
        <f>_xlfn.CONCAT(表格3_5[[#This Row],[Name]],表格3_5[[#This Row],[Location]])</f>
        <v/>
      </c>
      <c r="C1503" s="211" t="str">
        <f>表格3_5[[#This Row],[Location]] &amp; 表格3_5[[#This Row],[Date]] &amp;表格3_5[[#This Row],[Nick Name]]</f>
        <v>0</v>
      </c>
      <c r="D1503" s="202"/>
      <c r="E1503" s="211" t="str">
        <f>DAY(表格3_5[[#This Row],[Date]])&amp;""</f>
        <v>0</v>
      </c>
      <c r="F1503" s="203"/>
      <c r="G1503" s="216">
        <f>_xlfn.XLOOKUP(表格3_5[[#This Row],[Name]],Name_list[Full Name],Name_list[Nick Name])</f>
        <v>0</v>
      </c>
      <c r="H1503" s="207"/>
      <c r="I1503" s="228"/>
      <c r="J1503" s="218"/>
      <c r="K1503" s="205"/>
      <c r="L1503" s="210">
        <f>(表格3_5[[#This Row],[Out-Time]] - 表格3_5[[#This Row],[In-Time]])*24</f>
        <v>0</v>
      </c>
      <c r="M1503" s="210">
        <f>表格3_5[[#This Row],[ Hours]]-表格3_5[[#This Row],[Normal working
 hours]]</f>
        <v>0</v>
      </c>
      <c r="N1503" s="205"/>
      <c r="O1503" s="205"/>
      <c r="P1503" s="210">
        <f>(表格3_5[[#This Row],[Out-Time2]] - 表格3_5[[#This Row],[In-Time2]])*24</f>
        <v>0</v>
      </c>
      <c r="Q1503" s="205"/>
      <c r="R1503" s="214">
        <f>_xlfn.XLOOKUP(表格3_5[[#This Row],[Name]],Name_list[Full Name],Name_list[Hourr Rate])</f>
        <v>0</v>
      </c>
      <c r="S1503" s="210">
        <f>表格3_5[[#This Row],[Hours Worked]]*表格3_5[[#This Row],[Hourly Rate]]</f>
        <v>0</v>
      </c>
    </row>
    <row r="1504" spans="1:19">
      <c r="A1504" s="201">
        <v>1502</v>
      </c>
      <c r="B1504" s="210" t="str">
        <f>_xlfn.CONCAT(表格3_5[[#This Row],[Name]],表格3_5[[#This Row],[Location]])</f>
        <v/>
      </c>
      <c r="C1504" s="211" t="str">
        <f>表格3_5[[#This Row],[Location]] &amp; 表格3_5[[#This Row],[Date]] &amp;表格3_5[[#This Row],[Nick Name]]</f>
        <v>0</v>
      </c>
      <c r="D1504" s="202"/>
      <c r="E1504" s="211" t="str">
        <f>DAY(表格3_5[[#This Row],[Date]])&amp;""</f>
        <v>0</v>
      </c>
      <c r="F1504" s="203"/>
      <c r="G1504" s="216">
        <f>_xlfn.XLOOKUP(表格3_5[[#This Row],[Name]],Name_list[Full Name],Name_list[Nick Name])</f>
        <v>0</v>
      </c>
      <c r="H1504" s="207"/>
      <c r="I1504" s="228"/>
      <c r="J1504" s="218"/>
      <c r="K1504" s="205"/>
      <c r="L1504" s="210">
        <f>(表格3_5[[#This Row],[Out-Time]] - 表格3_5[[#This Row],[In-Time]])*24</f>
        <v>0</v>
      </c>
      <c r="M1504" s="210">
        <f>表格3_5[[#This Row],[ Hours]]-表格3_5[[#This Row],[Normal working
 hours]]</f>
        <v>0</v>
      </c>
      <c r="N1504" s="205"/>
      <c r="O1504" s="205"/>
      <c r="P1504" s="210">
        <f>(表格3_5[[#This Row],[Out-Time2]] - 表格3_5[[#This Row],[In-Time2]])*24</f>
        <v>0</v>
      </c>
      <c r="Q1504" s="205"/>
      <c r="R1504" s="214">
        <f>_xlfn.XLOOKUP(表格3_5[[#This Row],[Name]],Name_list[Full Name],Name_list[Hourr Rate])</f>
        <v>0</v>
      </c>
      <c r="S1504" s="210">
        <f>表格3_5[[#This Row],[Hours Worked]]*表格3_5[[#This Row],[Hourly Rate]]</f>
        <v>0</v>
      </c>
    </row>
    <row r="1505" spans="1:19">
      <c r="A1505" s="201">
        <v>1503</v>
      </c>
      <c r="B1505" s="210" t="str">
        <f>_xlfn.CONCAT(表格3_5[[#This Row],[Name]],表格3_5[[#This Row],[Location]])</f>
        <v/>
      </c>
      <c r="C1505" s="211" t="str">
        <f>表格3_5[[#This Row],[Location]] &amp; 表格3_5[[#This Row],[Date]] &amp;表格3_5[[#This Row],[Nick Name]]</f>
        <v>0</v>
      </c>
      <c r="D1505" s="202"/>
      <c r="E1505" s="211" t="str">
        <f>DAY(表格3_5[[#This Row],[Date]])&amp;""</f>
        <v>0</v>
      </c>
      <c r="F1505" s="203"/>
      <c r="G1505" s="216">
        <f>_xlfn.XLOOKUP(表格3_5[[#This Row],[Name]],Name_list[Full Name],Name_list[Nick Name])</f>
        <v>0</v>
      </c>
      <c r="H1505" s="207"/>
      <c r="I1505" s="228"/>
      <c r="J1505" s="218"/>
      <c r="K1505" s="205"/>
      <c r="L1505" s="210">
        <f>(表格3_5[[#This Row],[Out-Time]] - 表格3_5[[#This Row],[In-Time]])*24</f>
        <v>0</v>
      </c>
      <c r="M1505" s="210">
        <f>表格3_5[[#This Row],[ Hours]]-表格3_5[[#This Row],[Normal working
 hours]]</f>
        <v>0</v>
      </c>
      <c r="N1505" s="205"/>
      <c r="O1505" s="205"/>
      <c r="P1505" s="210">
        <f>(表格3_5[[#This Row],[Out-Time2]] - 表格3_5[[#This Row],[In-Time2]])*24</f>
        <v>0</v>
      </c>
      <c r="Q1505" s="205"/>
      <c r="R1505" s="214">
        <f>_xlfn.XLOOKUP(表格3_5[[#This Row],[Name]],Name_list[Full Name],Name_list[Hourr Rate])</f>
        <v>0</v>
      </c>
      <c r="S1505" s="210">
        <f>表格3_5[[#This Row],[Hours Worked]]*表格3_5[[#This Row],[Hourly Rate]]</f>
        <v>0</v>
      </c>
    </row>
    <row r="1506" spans="1:19">
      <c r="A1506" s="201">
        <v>1504</v>
      </c>
      <c r="B1506" s="210" t="str">
        <f>_xlfn.CONCAT(表格3_5[[#This Row],[Name]],表格3_5[[#This Row],[Location]])</f>
        <v/>
      </c>
      <c r="C1506" s="211" t="str">
        <f>表格3_5[[#This Row],[Location]] &amp; 表格3_5[[#This Row],[Date]] &amp;表格3_5[[#This Row],[Nick Name]]</f>
        <v>0</v>
      </c>
      <c r="D1506" s="202"/>
      <c r="E1506" s="211" t="str">
        <f>DAY(表格3_5[[#This Row],[Date]])&amp;""</f>
        <v>0</v>
      </c>
      <c r="F1506" s="203"/>
      <c r="G1506" s="216">
        <f>_xlfn.XLOOKUP(表格3_5[[#This Row],[Name]],Name_list[Full Name],Name_list[Nick Name])</f>
        <v>0</v>
      </c>
      <c r="H1506" s="207"/>
      <c r="I1506" s="228"/>
      <c r="J1506" s="218"/>
      <c r="K1506" s="205"/>
      <c r="L1506" s="210">
        <f>(表格3_5[[#This Row],[Out-Time]] - 表格3_5[[#This Row],[In-Time]])*24</f>
        <v>0</v>
      </c>
      <c r="M1506" s="210">
        <f>表格3_5[[#This Row],[ Hours]]-表格3_5[[#This Row],[Normal working
 hours]]</f>
        <v>0</v>
      </c>
      <c r="N1506" s="205"/>
      <c r="O1506" s="205"/>
      <c r="P1506" s="210">
        <f>(表格3_5[[#This Row],[Out-Time2]] - 表格3_5[[#This Row],[In-Time2]])*24</f>
        <v>0</v>
      </c>
      <c r="Q1506" s="205"/>
      <c r="R1506" s="214">
        <f>_xlfn.XLOOKUP(表格3_5[[#This Row],[Name]],Name_list[Full Name],Name_list[Hourr Rate])</f>
        <v>0</v>
      </c>
      <c r="S1506" s="210">
        <f>表格3_5[[#This Row],[Hours Worked]]*表格3_5[[#This Row],[Hourly Rate]]</f>
        <v>0</v>
      </c>
    </row>
    <row r="1507" spans="1:19">
      <c r="A1507" s="201">
        <v>1505</v>
      </c>
      <c r="B1507" s="210" t="str">
        <f>_xlfn.CONCAT(表格3_5[[#This Row],[Name]],表格3_5[[#This Row],[Location]])</f>
        <v/>
      </c>
      <c r="C1507" s="211" t="str">
        <f>表格3_5[[#This Row],[Location]] &amp; 表格3_5[[#This Row],[Date]] &amp;表格3_5[[#This Row],[Nick Name]]</f>
        <v>0</v>
      </c>
      <c r="D1507" s="202"/>
      <c r="E1507" s="211" t="str">
        <f>DAY(表格3_5[[#This Row],[Date]])&amp;""</f>
        <v>0</v>
      </c>
      <c r="F1507" s="203"/>
      <c r="G1507" s="216">
        <f>_xlfn.XLOOKUP(表格3_5[[#This Row],[Name]],Name_list[Full Name],Name_list[Nick Name])</f>
        <v>0</v>
      </c>
      <c r="H1507" s="207"/>
      <c r="I1507" s="228"/>
      <c r="J1507" s="218"/>
      <c r="K1507" s="205"/>
      <c r="L1507" s="210">
        <f>(表格3_5[[#This Row],[Out-Time]] - 表格3_5[[#This Row],[In-Time]])*24</f>
        <v>0</v>
      </c>
      <c r="M1507" s="210">
        <f>表格3_5[[#This Row],[ Hours]]-表格3_5[[#This Row],[Normal working
 hours]]</f>
        <v>0</v>
      </c>
      <c r="N1507" s="205"/>
      <c r="O1507" s="205"/>
      <c r="P1507" s="210">
        <f>(表格3_5[[#This Row],[Out-Time2]] - 表格3_5[[#This Row],[In-Time2]])*24</f>
        <v>0</v>
      </c>
      <c r="Q1507" s="205"/>
      <c r="R1507" s="214">
        <f>_xlfn.XLOOKUP(表格3_5[[#This Row],[Name]],Name_list[Full Name],Name_list[Hourr Rate])</f>
        <v>0</v>
      </c>
      <c r="S1507" s="210">
        <f>表格3_5[[#This Row],[Hours Worked]]*表格3_5[[#This Row],[Hourly Rate]]</f>
        <v>0</v>
      </c>
    </row>
    <row r="1508" spans="1:19">
      <c r="A1508" s="201">
        <v>1506</v>
      </c>
      <c r="B1508" s="210" t="str">
        <f>_xlfn.CONCAT(表格3_5[[#This Row],[Name]],表格3_5[[#This Row],[Location]])</f>
        <v/>
      </c>
      <c r="C1508" s="211" t="str">
        <f>表格3_5[[#This Row],[Location]] &amp; 表格3_5[[#This Row],[Date]] &amp;表格3_5[[#This Row],[Nick Name]]</f>
        <v>0</v>
      </c>
      <c r="D1508" s="202"/>
      <c r="E1508" s="211" t="str">
        <f>DAY(表格3_5[[#This Row],[Date]])&amp;""</f>
        <v>0</v>
      </c>
      <c r="F1508" s="203"/>
      <c r="G1508" s="216">
        <f>_xlfn.XLOOKUP(表格3_5[[#This Row],[Name]],Name_list[Full Name],Name_list[Nick Name])</f>
        <v>0</v>
      </c>
      <c r="H1508" s="207"/>
      <c r="I1508" s="228"/>
      <c r="J1508" s="218"/>
      <c r="K1508" s="205"/>
      <c r="L1508" s="210">
        <f>(表格3_5[[#This Row],[Out-Time]] - 表格3_5[[#This Row],[In-Time]])*24</f>
        <v>0</v>
      </c>
      <c r="M1508" s="210">
        <f>表格3_5[[#This Row],[ Hours]]-表格3_5[[#This Row],[Normal working
 hours]]</f>
        <v>0</v>
      </c>
      <c r="N1508" s="205"/>
      <c r="O1508" s="205"/>
      <c r="P1508" s="210">
        <f>(表格3_5[[#This Row],[Out-Time2]] - 表格3_5[[#This Row],[In-Time2]])*24</f>
        <v>0</v>
      </c>
      <c r="Q1508" s="205"/>
      <c r="R1508" s="214">
        <f>_xlfn.XLOOKUP(表格3_5[[#This Row],[Name]],Name_list[Full Name],Name_list[Hourr Rate])</f>
        <v>0</v>
      </c>
      <c r="S1508" s="210">
        <f>表格3_5[[#This Row],[Hours Worked]]*表格3_5[[#This Row],[Hourly Rate]]</f>
        <v>0</v>
      </c>
    </row>
    <row r="1509" spans="1:19">
      <c r="A1509" s="201">
        <v>1507</v>
      </c>
      <c r="B1509" s="210" t="str">
        <f>_xlfn.CONCAT(表格3_5[[#This Row],[Name]],表格3_5[[#This Row],[Location]])</f>
        <v/>
      </c>
      <c r="C1509" s="211" t="str">
        <f>表格3_5[[#This Row],[Location]] &amp; 表格3_5[[#This Row],[Date]] &amp;表格3_5[[#This Row],[Nick Name]]</f>
        <v>0</v>
      </c>
      <c r="D1509" s="202"/>
      <c r="E1509" s="211" t="str">
        <f>DAY(表格3_5[[#This Row],[Date]])&amp;""</f>
        <v>0</v>
      </c>
      <c r="F1509" s="203"/>
      <c r="G1509" s="216">
        <f>_xlfn.XLOOKUP(表格3_5[[#This Row],[Name]],Name_list[Full Name],Name_list[Nick Name])</f>
        <v>0</v>
      </c>
      <c r="H1509" s="207"/>
      <c r="I1509" s="228"/>
      <c r="J1509" s="218"/>
      <c r="K1509" s="205"/>
      <c r="L1509" s="210">
        <f>(表格3_5[[#This Row],[Out-Time]] - 表格3_5[[#This Row],[In-Time]])*24</f>
        <v>0</v>
      </c>
      <c r="M1509" s="210">
        <f>表格3_5[[#This Row],[ Hours]]-表格3_5[[#This Row],[Normal working
 hours]]</f>
        <v>0</v>
      </c>
      <c r="N1509" s="205"/>
      <c r="O1509" s="205"/>
      <c r="P1509" s="210">
        <f>(表格3_5[[#This Row],[Out-Time2]] - 表格3_5[[#This Row],[In-Time2]])*24</f>
        <v>0</v>
      </c>
      <c r="Q1509" s="205"/>
      <c r="R1509" s="214">
        <f>_xlfn.XLOOKUP(表格3_5[[#This Row],[Name]],Name_list[Full Name],Name_list[Hourr Rate])</f>
        <v>0</v>
      </c>
      <c r="S1509" s="210">
        <f>表格3_5[[#This Row],[Hours Worked]]*表格3_5[[#This Row],[Hourly Rate]]</f>
        <v>0</v>
      </c>
    </row>
    <row r="1510" spans="1:19">
      <c r="A1510" s="201">
        <v>1508</v>
      </c>
      <c r="B1510" s="210" t="str">
        <f>_xlfn.CONCAT(表格3_5[[#This Row],[Name]],表格3_5[[#This Row],[Location]])</f>
        <v/>
      </c>
      <c r="C1510" s="211" t="str">
        <f>表格3_5[[#This Row],[Location]] &amp; 表格3_5[[#This Row],[Date]] &amp;表格3_5[[#This Row],[Nick Name]]</f>
        <v>0</v>
      </c>
      <c r="D1510" s="202"/>
      <c r="E1510" s="211" t="str">
        <f>DAY(表格3_5[[#This Row],[Date]])&amp;""</f>
        <v>0</v>
      </c>
      <c r="F1510" s="203"/>
      <c r="G1510" s="216">
        <f>_xlfn.XLOOKUP(表格3_5[[#This Row],[Name]],Name_list[Full Name],Name_list[Nick Name])</f>
        <v>0</v>
      </c>
      <c r="H1510" s="207"/>
      <c r="I1510" s="228"/>
      <c r="J1510" s="218"/>
      <c r="K1510" s="205"/>
      <c r="L1510" s="210">
        <f>(表格3_5[[#This Row],[Out-Time]] - 表格3_5[[#This Row],[In-Time]])*24</f>
        <v>0</v>
      </c>
      <c r="M1510" s="210">
        <f>表格3_5[[#This Row],[ Hours]]-表格3_5[[#This Row],[Normal working
 hours]]</f>
        <v>0</v>
      </c>
      <c r="N1510" s="205"/>
      <c r="O1510" s="205"/>
      <c r="P1510" s="210">
        <f>(表格3_5[[#This Row],[Out-Time2]] - 表格3_5[[#This Row],[In-Time2]])*24</f>
        <v>0</v>
      </c>
      <c r="Q1510" s="205"/>
      <c r="R1510" s="214">
        <f>_xlfn.XLOOKUP(表格3_5[[#This Row],[Name]],Name_list[Full Name],Name_list[Hourr Rate])</f>
        <v>0</v>
      </c>
      <c r="S1510" s="210">
        <f>表格3_5[[#This Row],[Hours Worked]]*表格3_5[[#This Row],[Hourly Rate]]</f>
        <v>0</v>
      </c>
    </row>
    <row r="1511" spans="1:19">
      <c r="A1511" s="201">
        <v>1509</v>
      </c>
      <c r="B1511" s="210" t="str">
        <f>_xlfn.CONCAT(表格3_5[[#This Row],[Name]],表格3_5[[#This Row],[Location]])</f>
        <v/>
      </c>
      <c r="C1511" s="211" t="str">
        <f>表格3_5[[#This Row],[Location]] &amp; 表格3_5[[#This Row],[Date]] &amp;表格3_5[[#This Row],[Nick Name]]</f>
        <v>0</v>
      </c>
      <c r="D1511" s="202"/>
      <c r="E1511" s="211" t="str">
        <f>DAY(表格3_5[[#This Row],[Date]])&amp;""</f>
        <v>0</v>
      </c>
      <c r="F1511" s="203"/>
      <c r="G1511" s="216">
        <f>_xlfn.XLOOKUP(表格3_5[[#This Row],[Name]],Name_list[Full Name],Name_list[Nick Name])</f>
        <v>0</v>
      </c>
      <c r="H1511" s="207"/>
      <c r="I1511" s="228"/>
      <c r="J1511" s="218"/>
      <c r="K1511" s="205"/>
      <c r="L1511" s="210">
        <f>(表格3_5[[#This Row],[Out-Time]] - 表格3_5[[#This Row],[In-Time]])*24</f>
        <v>0</v>
      </c>
      <c r="M1511" s="210">
        <f>表格3_5[[#This Row],[ Hours]]-表格3_5[[#This Row],[Normal working
 hours]]</f>
        <v>0</v>
      </c>
      <c r="N1511" s="205"/>
      <c r="O1511" s="205"/>
      <c r="P1511" s="210">
        <f>(表格3_5[[#This Row],[Out-Time2]] - 表格3_5[[#This Row],[In-Time2]])*24</f>
        <v>0</v>
      </c>
      <c r="Q1511" s="205"/>
      <c r="R1511" s="214">
        <f>_xlfn.XLOOKUP(表格3_5[[#This Row],[Name]],Name_list[Full Name],Name_list[Hourr Rate])</f>
        <v>0</v>
      </c>
      <c r="S1511" s="210">
        <f>表格3_5[[#This Row],[Hours Worked]]*表格3_5[[#This Row],[Hourly Rate]]</f>
        <v>0</v>
      </c>
    </row>
    <row r="1512" spans="1:19">
      <c r="A1512" s="201">
        <v>1510</v>
      </c>
      <c r="B1512" s="210" t="str">
        <f>_xlfn.CONCAT(表格3_5[[#This Row],[Name]],表格3_5[[#This Row],[Location]])</f>
        <v/>
      </c>
      <c r="C1512" s="211" t="str">
        <f>表格3_5[[#This Row],[Location]] &amp; 表格3_5[[#This Row],[Date]] &amp;表格3_5[[#This Row],[Nick Name]]</f>
        <v>0</v>
      </c>
      <c r="D1512" s="202"/>
      <c r="E1512" s="211" t="str">
        <f>DAY(表格3_5[[#This Row],[Date]])&amp;""</f>
        <v>0</v>
      </c>
      <c r="F1512" s="203"/>
      <c r="G1512" s="216">
        <f>_xlfn.XLOOKUP(表格3_5[[#This Row],[Name]],Name_list[Full Name],Name_list[Nick Name])</f>
        <v>0</v>
      </c>
      <c r="H1512" s="207"/>
      <c r="I1512" s="228"/>
      <c r="J1512" s="218"/>
      <c r="K1512" s="205"/>
      <c r="L1512" s="210">
        <f>(表格3_5[[#This Row],[Out-Time]] - 表格3_5[[#This Row],[In-Time]])*24</f>
        <v>0</v>
      </c>
      <c r="M1512" s="210">
        <f>表格3_5[[#This Row],[ Hours]]-表格3_5[[#This Row],[Normal working
 hours]]</f>
        <v>0</v>
      </c>
      <c r="N1512" s="205"/>
      <c r="O1512" s="205"/>
      <c r="P1512" s="210">
        <f>(表格3_5[[#This Row],[Out-Time2]] - 表格3_5[[#This Row],[In-Time2]])*24</f>
        <v>0</v>
      </c>
      <c r="Q1512" s="205"/>
      <c r="R1512" s="214">
        <f>_xlfn.XLOOKUP(表格3_5[[#This Row],[Name]],Name_list[Full Name],Name_list[Hourr Rate])</f>
        <v>0</v>
      </c>
      <c r="S1512" s="210">
        <f>表格3_5[[#This Row],[Hours Worked]]*表格3_5[[#This Row],[Hourly Rate]]</f>
        <v>0</v>
      </c>
    </row>
    <row r="1513" spans="1:19">
      <c r="A1513" s="201">
        <v>1511</v>
      </c>
      <c r="B1513" s="210" t="str">
        <f>_xlfn.CONCAT(表格3_5[[#This Row],[Name]],表格3_5[[#This Row],[Location]])</f>
        <v/>
      </c>
      <c r="C1513" s="211" t="str">
        <f>表格3_5[[#This Row],[Location]] &amp; 表格3_5[[#This Row],[Date]] &amp;表格3_5[[#This Row],[Nick Name]]</f>
        <v>0</v>
      </c>
      <c r="D1513" s="202"/>
      <c r="E1513" s="211" t="str">
        <f>DAY(表格3_5[[#This Row],[Date]])&amp;""</f>
        <v>0</v>
      </c>
      <c r="F1513" s="203"/>
      <c r="G1513" s="216">
        <f>_xlfn.XLOOKUP(表格3_5[[#This Row],[Name]],Name_list[Full Name],Name_list[Nick Name])</f>
        <v>0</v>
      </c>
      <c r="H1513" s="207"/>
      <c r="I1513" s="228"/>
      <c r="J1513" s="218"/>
      <c r="K1513" s="205"/>
      <c r="L1513" s="210">
        <f>(表格3_5[[#This Row],[Out-Time]] - 表格3_5[[#This Row],[In-Time]])*24</f>
        <v>0</v>
      </c>
      <c r="M1513" s="210">
        <f>表格3_5[[#This Row],[ Hours]]-表格3_5[[#This Row],[Normal working
 hours]]</f>
        <v>0</v>
      </c>
      <c r="N1513" s="205"/>
      <c r="O1513" s="205"/>
      <c r="P1513" s="210">
        <f>(表格3_5[[#This Row],[Out-Time2]] - 表格3_5[[#This Row],[In-Time2]])*24</f>
        <v>0</v>
      </c>
      <c r="Q1513" s="205"/>
      <c r="R1513" s="214">
        <f>_xlfn.XLOOKUP(表格3_5[[#This Row],[Name]],Name_list[Full Name],Name_list[Hourr Rate])</f>
        <v>0</v>
      </c>
      <c r="S1513" s="210">
        <f>表格3_5[[#This Row],[Hours Worked]]*表格3_5[[#This Row],[Hourly Rate]]</f>
        <v>0</v>
      </c>
    </row>
    <row r="1514" spans="1:19">
      <c r="A1514" s="201">
        <v>1512</v>
      </c>
      <c r="B1514" s="210" t="str">
        <f>_xlfn.CONCAT(表格3_5[[#This Row],[Name]],表格3_5[[#This Row],[Location]])</f>
        <v/>
      </c>
      <c r="C1514" s="211" t="str">
        <f>表格3_5[[#This Row],[Location]] &amp; 表格3_5[[#This Row],[Date]] &amp;表格3_5[[#This Row],[Nick Name]]</f>
        <v>0</v>
      </c>
      <c r="D1514" s="202"/>
      <c r="E1514" s="211" t="str">
        <f>DAY(表格3_5[[#This Row],[Date]])&amp;""</f>
        <v>0</v>
      </c>
      <c r="F1514" s="203"/>
      <c r="G1514" s="216">
        <f>_xlfn.XLOOKUP(表格3_5[[#This Row],[Name]],Name_list[Full Name],Name_list[Nick Name])</f>
        <v>0</v>
      </c>
      <c r="H1514" s="207"/>
      <c r="I1514" s="228"/>
      <c r="J1514" s="218"/>
      <c r="K1514" s="205"/>
      <c r="L1514" s="210">
        <f>(表格3_5[[#This Row],[Out-Time]] - 表格3_5[[#This Row],[In-Time]])*24</f>
        <v>0</v>
      </c>
      <c r="M1514" s="210">
        <f>表格3_5[[#This Row],[ Hours]]-表格3_5[[#This Row],[Normal working
 hours]]</f>
        <v>0</v>
      </c>
      <c r="N1514" s="205"/>
      <c r="O1514" s="205"/>
      <c r="P1514" s="210">
        <f>(表格3_5[[#This Row],[Out-Time2]] - 表格3_5[[#This Row],[In-Time2]])*24</f>
        <v>0</v>
      </c>
      <c r="Q1514" s="205"/>
      <c r="R1514" s="214">
        <f>_xlfn.XLOOKUP(表格3_5[[#This Row],[Name]],Name_list[Full Name],Name_list[Hourr Rate])</f>
        <v>0</v>
      </c>
      <c r="S1514" s="210">
        <f>表格3_5[[#This Row],[Hours Worked]]*表格3_5[[#This Row],[Hourly Rate]]</f>
        <v>0</v>
      </c>
    </row>
    <row r="1515" spans="1:19">
      <c r="A1515" s="201">
        <v>1513</v>
      </c>
      <c r="B1515" s="210" t="str">
        <f>_xlfn.CONCAT(表格3_5[[#This Row],[Name]],表格3_5[[#This Row],[Location]])</f>
        <v/>
      </c>
      <c r="C1515" s="211" t="str">
        <f>表格3_5[[#This Row],[Location]] &amp; 表格3_5[[#This Row],[Date]] &amp;表格3_5[[#This Row],[Nick Name]]</f>
        <v>0</v>
      </c>
      <c r="D1515" s="202"/>
      <c r="E1515" s="211" t="str">
        <f>DAY(表格3_5[[#This Row],[Date]])&amp;""</f>
        <v>0</v>
      </c>
      <c r="F1515" s="203"/>
      <c r="G1515" s="216">
        <f>_xlfn.XLOOKUP(表格3_5[[#This Row],[Name]],Name_list[Full Name],Name_list[Nick Name])</f>
        <v>0</v>
      </c>
      <c r="H1515" s="207"/>
      <c r="I1515" s="228"/>
      <c r="J1515" s="218"/>
      <c r="K1515" s="205"/>
      <c r="L1515" s="210">
        <f>(表格3_5[[#This Row],[Out-Time]] - 表格3_5[[#This Row],[In-Time]])*24</f>
        <v>0</v>
      </c>
      <c r="M1515" s="210">
        <f>表格3_5[[#This Row],[ Hours]]-表格3_5[[#This Row],[Normal working
 hours]]</f>
        <v>0</v>
      </c>
      <c r="N1515" s="205"/>
      <c r="O1515" s="205"/>
      <c r="P1515" s="210">
        <f>(表格3_5[[#This Row],[Out-Time2]] - 表格3_5[[#This Row],[In-Time2]])*24</f>
        <v>0</v>
      </c>
      <c r="Q1515" s="205"/>
      <c r="R1515" s="214">
        <f>_xlfn.XLOOKUP(表格3_5[[#This Row],[Name]],Name_list[Full Name],Name_list[Hourr Rate])</f>
        <v>0</v>
      </c>
      <c r="S1515" s="210">
        <f>表格3_5[[#This Row],[Hours Worked]]*表格3_5[[#This Row],[Hourly Rate]]</f>
        <v>0</v>
      </c>
    </row>
    <row r="1516" spans="1:19">
      <c r="A1516" s="201">
        <v>1514</v>
      </c>
      <c r="B1516" s="210" t="str">
        <f>_xlfn.CONCAT(表格3_5[[#This Row],[Name]],表格3_5[[#This Row],[Location]])</f>
        <v/>
      </c>
      <c r="C1516" s="211" t="str">
        <f>表格3_5[[#This Row],[Location]] &amp; 表格3_5[[#This Row],[Date]] &amp;表格3_5[[#This Row],[Nick Name]]</f>
        <v>0</v>
      </c>
      <c r="D1516" s="202"/>
      <c r="E1516" s="211" t="str">
        <f>DAY(表格3_5[[#This Row],[Date]])&amp;""</f>
        <v>0</v>
      </c>
      <c r="F1516" s="203"/>
      <c r="G1516" s="216">
        <f>_xlfn.XLOOKUP(表格3_5[[#This Row],[Name]],Name_list[Full Name],Name_list[Nick Name])</f>
        <v>0</v>
      </c>
      <c r="H1516" s="207"/>
      <c r="I1516" s="228"/>
      <c r="J1516" s="218"/>
      <c r="K1516" s="205"/>
      <c r="L1516" s="210">
        <f>(表格3_5[[#This Row],[Out-Time]] - 表格3_5[[#This Row],[In-Time]])*24</f>
        <v>0</v>
      </c>
      <c r="M1516" s="210">
        <f>表格3_5[[#This Row],[ Hours]]-表格3_5[[#This Row],[Normal working
 hours]]</f>
        <v>0</v>
      </c>
      <c r="N1516" s="205"/>
      <c r="O1516" s="205"/>
      <c r="P1516" s="210">
        <f>(表格3_5[[#This Row],[Out-Time2]] - 表格3_5[[#This Row],[In-Time2]])*24</f>
        <v>0</v>
      </c>
      <c r="Q1516" s="205"/>
      <c r="R1516" s="214">
        <f>_xlfn.XLOOKUP(表格3_5[[#This Row],[Name]],Name_list[Full Name],Name_list[Hourr Rate])</f>
        <v>0</v>
      </c>
      <c r="S1516" s="210">
        <f>表格3_5[[#This Row],[Hours Worked]]*表格3_5[[#This Row],[Hourly Rate]]</f>
        <v>0</v>
      </c>
    </row>
    <row r="1517" spans="1:19">
      <c r="A1517" s="201">
        <v>1515</v>
      </c>
      <c r="B1517" s="210" t="str">
        <f>_xlfn.CONCAT(表格3_5[[#This Row],[Name]],表格3_5[[#This Row],[Location]])</f>
        <v/>
      </c>
      <c r="C1517" s="211" t="str">
        <f>表格3_5[[#This Row],[Location]] &amp; 表格3_5[[#This Row],[Date]] &amp;表格3_5[[#This Row],[Nick Name]]</f>
        <v>0</v>
      </c>
      <c r="D1517" s="202"/>
      <c r="E1517" s="211" t="str">
        <f>DAY(表格3_5[[#This Row],[Date]])&amp;""</f>
        <v>0</v>
      </c>
      <c r="F1517" s="203"/>
      <c r="G1517" s="216">
        <f>_xlfn.XLOOKUP(表格3_5[[#This Row],[Name]],Name_list[Full Name],Name_list[Nick Name])</f>
        <v>0</v>
      </c>
      <c r="H1517" s="207"/>
      <c r="I1517" s="228"/>
      <c r="J1517" s="218"/>
      <c r="K1517" s="205"/>
      <c r="L1517" s="210">
        <f>(表格3_5[[#This Row],[Out-Time]] - 表格3_5[[#This Row],[In-Time]])*24</f>
        <v>0</v>
      </c>
      <c r="M1517" s="210">
        <f>表格3_5[[#This Row],[ Hours]]-表格3_5[[#This Row],[Normal working
 hours]]</f>
        <v>0</v>
      </c>
      <c r="N1517" s="205"/>
      <c r="O1517" s="205"/>
      <c r="P1517" s="210">
        <f>(表格3_5[[#This Row],[Out-Time2]] - 表格3_5[[#This Row],[In-Time2]])*24</f>
        <v>0</v>
      </c>
      <c r="Q1517" s="205"/>
      <c r="R1517" s="214">
        <f>_xlfn.XLOOKUP(表格3_5[[#This Row],[Name]],Name_list[Full Name],Name_list[Hourr Rate])</f>
        <v>0</v>
      </c>
      <c r="S1517" s="210">
        <f>表格3_5[[#This Row],[Hours Worked]]*表格3_5[[#This Row],[Hourly Rate]]</f>
        <v>0</v>
      </c>
    </row>
    <row r="1518" spans="1:19">
      <c r="A1518" s="201">
        <v>1516</v>
      </c>
      <c r="B1518" s="210" t="str">
        <f>_xlfn.CONCAT(表格3_5[[#This Row],[Name]],表格3_5[[#This Row],[Location]])</f>
        <v/>
      </c>
      <c r="C1518" s="211" t="str">
        <f>表格3_5[[#This Row],[Location]] &amp; 表格3_5[[#This Row],[Date]] &amp;表格3_5[[#This Row],[Nick Name]]</f>
        <v>0</v>
      </c>
      <c r="D1518" s="202"/>
      <c r="E1518" s="211" t="str">
        <f>DAY(表格3_5[[#This Row],[Date]])&amp;""</f>
        <v>0</v>
      </c>
      <c r="F1518" s="203"/>
      <c r="G1518" s="216">
        <f>_xlfn.XLOOKUP(表格3_5[[#This Row],[Name]],Name_list[Full Name],Name_list[Nick Name])</f>
        <v>0</v>
      </c>
      <c r="H1518" s="207"/>
      <c r="I1518" s="228"/>
      <c r="J1518" s="218"/>
      <c r="K1518" s="205"/>
      <c r="L1518" s="210">
        <f>(表格3_5[[#This Row],[Out-Time]] - 表格3_5[[#This Row],[In-Time]])*24</f>
        <v>0</v>
      </c>
      <c r="M1518" s="210">
        <f>表格3_5[[#This Row],[ Hours]]-表格3_5[[#This Row],[Normal working
 hours]]</f>
        <v>0</v>
      </c>
      <c r="N1518" s="205"/>
      <c r="O1518" s="205"/>
      <c r="P1518" s="210">
        <f>(表格3_5[[#This Row],[Out-Time2]] - 表格3_5[[#This Row],[In-Time2]])*24</f>
        <v>0</v>
      </c>
      <c r="Q1518" s="205"/>
      <c r="R1518" s="214">
        <f>_xlfn.XLOOKUP(表格3_5[[#This Row],[Name]],Name_list[Full Name],Name_list[Hourr Rate])</f>
        <v>0</v>
      </c>
      <c r="S1518" s="210">
        <f>表格3_5[[#This Row],[Hours Worked]]*表格3_5[[#This Row],[Hourly Rate]]</f>
        <v>0</v>
      </c>
    </row>
    <row r="1519" spans="1:19">
      <c r="A1519" s="201">
        <v>1517</v>
      </c>
      <c r="B1519" s="210" t="str">
        <f>_xlfn.CONCAT(表格3_5[[#This Row],[Name]],表格3_5[[#This Row],[Location]])</f>
        <v/>
      </c>
      <c r="C1519" s="211" t="str">
        <f>表格3_5[[#This Row],[Location]] &amp; 表格3_5[[#This Row],[Date]] &amp;表格3_5[[#This Row],[Nick Name]]</f>
        <v>0</v>
      </c>
      <c r="D1519" s="202"/>
      <c r="E1519" s="211" t="str">
        <f>DAY(表格3_5[[#This Row],[Date]])&amp;""</f>
        <v>0</v>
      </c>
      <c r="F1519" s="203"/>
      <c r="G1519" s="216">
        <f>_xlfn.XLOOKUP(表格3_5[[#This Row],[Name]],Name_list[Full Name],Name_list[Nick Name])</f>
        <v>0</v>
      </c>
      <c r="H1519" s="207"/>
      <c r="I1519" s="228"/>
      <c r="J1519" s="218"/>
      <c r="K1519" s="205"/>
      <c r="L1519" s="210">
        <f>(表格3_5[[#This Row],[Out-Time]] - 表格3_5[[#This Row],[In-Time]])*24</f>
        <v>0</v>
      </c>
      <c r="M1519" s="210">
        <f>表格3_5[[#This Row],[ Hours]]-表格3_5[[#This Row],[Normal working
 hours]]</f>
        <v>0</v>
      </c>
      <c r="N1519" s="205"/>
      <c r="O1519" s="205"/>
      <c r="P1519" s="210">
        <f>(表格3_5[[#This Row],[Out-Time2]] - 表格3_5[[#This Row],[In-Time2]])*24</f>
        <v>0</v>
      </c>
      <c r="Q1519" s="205"/>
      <c r="R1519" s="214">
        <f>_xlfn.XLOOKUP(表格3_5[[#This Row],[Name]],Name_list[Full Name],Name_list[Hourr Rate])</f>
        <v>0</v>
      </c>
      <c r="S1519" s="210">
        <f>表格3_5[[#This Row],[Hours Worked]]*表格3_5[[#This Row],[Hourly Rate]]</f>
        <v>0</v>
      </c>
    </row>
    <row r="1520" spans="1:19">
      <c r="A1520" s="201">
        <v>1518</v>
      </c>
      <c r="B1520" s="210" t="str">
        <f>_xlfn.CONCAT(表格3_5[[#This Row],[Name]],表格3_5[[#This Row],[Location]])</f>
        <v/>
      </c>
      <c r="C1520" s="211" t="str">
        <f>表格3_5[[#This Row],[Location]] &amp; 表格3_5[[#This Row],[Date]] &amp;表格3_5[[#This Row],[Nick Name]]</f>
        <v>0</v>
      </c>
      <c r="D1520" s="202"/>
      <c r="E1520" s="211" t="str">
        <f>DAY(表格3_5[[#This Row],[Date]])&amp;""</f>
        <v>0</v>
      </c>
      <c r="F1520" s="203"/>
      <c r="G1520" s="216">
        <f>_xlfn.XLOOKUP(表格3_5[[#This Row],[Name]],Name_list[Full Name],Name_list[Nick Name])</f>
        <v>0</v>
      </c>
      <c r="H1520" s="207"/>
      <c r="I1520" s="228"/>
      <c r="J1520" s="218"/>
      <c r="K1520" s="205"/>
      <c r="L1520" s="210">
        <f>(表格3_5[[#This Row],[Out-Time]] - 表格3_5[[#This Row],[In-Time]])*24</f>
        <v>0</v>
      </c>
      <c r="M1520" s="210">
        <f>表格3_5[[#This Row],[ Hours]]-表格3_5[[#This Row],[Normal working
 hours]]</f>
        <v>0</v>
      </c>
      <c r="N1520" s="205"/>
      <c r="O1520" s="205"/>
      <c r="P1520" s="210">
        <f>(表格3_5[[#This Row],[Out-Time2]] - 表格3_5[[#This Row],[In-Time2]])*24</f>
        <v>0</v>
      </c>
      <c r="Q1520" s="205"/>
      <c r="R1520" s="214">
        <f>_xlfn.XLOOKUP(表格3_5[[#This Row],[Name]],Name_list[Full Name],Name_list[Hourr Rate])</f>
        <v>0</v>
      </c>
      <c r="S1520" s="210">
        <f>表格3_5[[#This Row],[Hours Worked]]*表格3_5[[#This Row],[Hourly Rate]]</f>
        <v>0</v>
      </c>
    </row>
    <row r="1521" spans="1:19">
      <c r="A1521" s="201">
        <v>1519</v>
      </c>
      <c r="B1521" s="210" t="str">
        <f>_xlfn.CONCAT(表格3_5[[#This Row],[Name]],表格3_5[[#This Row],[Location]])</f>
        <v/>
      </c>
      <c r="C1521" s="211" t="str">
        <f>表格3_5[[#This Row],[Location]] &amp; 表格3_5[[#This Row],[Date]] &amp;表格3_5[[#This Row],[Nick Name]]</f>
        <v>0</v>
      </c>
      <c r="D1521" s="202"/>
      <c r="E1521" s="211" t="str">
        <f>DAY(表格3_5[[#This Row],[Date]])&amp;""</f>
        <v>0</v>
      </c>
      <c r="F1521" s="203"/>
      <c r="G1521" s="216">
        <f>_xlfn.XLOOKUP(表格3_5[[#This Row],[Name]],Name_list[Full Name],Name_list[Nick Name])</f>
        <v>0</v>
      </c>
      <c r="H1521" s="207"/>
      <c r="I1521" s="228"/>
      <c r="J1521" s="218"/>
      <c r="K1521" s="205"/>
      <c r="L1521" s="210">
        <f>(表格3_5[[#This Row],[Out-Time]] - 表格3_5[[#This Row],[In-Time]])*24</f>
        <v>0</v>
      </c>
      <c r="M1521" s="210">
        <f>表格3_5[[#This Row],[ Hours]]-表格3_5[[#This Row],[Normal working
 hours]]</f>
        <v>0</v>
      </c>
      <c r="N1521" s="205"/>
      <c r="O1521" s="205"/>
      <c r="P1521" s="210">
        <f>(表格3_5[[#This Row],[Out-Time2]] - 表格3_5[[#This Row],[In-Time2]])*24</f>
        <v>0</v>
      </c>
      <c r="Q1521" s="205"/>
      <c r="R1521" s="214">
        <f>_xlfn.XLOOKUP(表格3_5[[#This Row],[Name]],Name_list[Full Name],Name_list[Hourr Rate])</f>
        <v>0</v>
      </c>
      <c r="S1521" s="210">
        <f>表格3_5[[#This Row],[Hours Worked]]*表格3_5[[#This Row],[Hourly Rate]]</f>
        <v>0</v>
      </c>
    </row>
    <row r="1522" spans="1:19">
      <c r="A1522" s="201">
        <v>1520</v>
      </c>
      <c r="B1522" s="210" t="str">
        <f>_xlfn.CONCAT(表格3_5[[#This Row],[Name]],表格3_5[[#This Row],[Location]])</f>
        <v/>
      </c>
      <c r="C1522" s="211" t="str">
        <f>表格3_5[[#This Row],[Location]] &amp; 表格3_5[[#This Row],[Date]] &amp;表格3_5[[#This Row],[Nick Name]]</f>
        <v>0</v>
      </c>
      <c r="D1522" s="202"/>
      <c r="E1522" s="211" t="str">
        <f>DAY(表格3_5[[#This Row],[Date]])&amp;""</f>
        <v>0</v>
      </c>
      <c r="F1522" s="203"/>
      <c r="G1522" s="216">
        <f>_xlfn.XLOOKUP(表格3_5[[#This Row],[Name]],Name_list[Full Name],Name_list[Nick Name])</f>
        <v>0</v>
      </c>
      <c r="H1522" s="207"/>
      <c r="I1522" s="228"/>
      <c r="J1522" s="218"/>
      <c r="K1522" s="205"/>
      <c r="L1522" s="210">
        <f>(表格3_5[[#This Row],[Out-Time]] - 表格3_5[[#This Row],[In-Time]])*24</f>
        <v>0</v>
      </c>
      <c r="M1522" s="210">
        <f>表格3_5[[#This Row],[ Hours]]-表格3_5[[#This Row],[Normal working
 hours]]</f>
        <v>0</v>
      </c>
      <c r="N1522" s="205"/>
      <c r="O1522" s="205"/>
      <c r="P1522" s="210">
        <f>(表格3_5[[#This Row],[Out-Time2]] - 表格3_5[[#This Row],[In-Time2]])*24</f>
        <v>0</v>
      </c>
      <c r="Q1522" s="205"/>
      <c r="R1522" s="214">
        <f>_xlfn.XLOOKUP(表格3_5[[#This Row],[Name]],Name_list[Full Name],Name_list[Hourr Rate])</f>
        <v>0</v>
      </c>
      <c r="S1522" s="210">
        <f>表格3_5[[#This Row],[Hours Worked]]*表格3_5[[#This Row],[Hourly Rate]]</f>
        <v>0</v>
      </c>
    </row>
    <row r="1523" spans="1:19">
      <c r="A1523" s="201">
        <v>1521</v>
      </c>
      <c r="B1523" s="210" t="str">
        <f>_xlfn.CONCAT(表格3_5[[#This Row],[Name]],表格3_5[[#This Row],[Location]])</f>
        <v/>
      </c>
      <c r="C1523" s="211" t="str">
        <f>表格3_5[[#This Row],[Location]] &amp; 表格3_5[[#This Row],[Date]] &amp;表格3_5[[#This Row],[Nick Name]]</f>
        <v>0</v>
      </c>
      <c r="D1523" s="202"/>
      <c r="E1523" s="211" t="str">
        <f>DAY(表格3_5[[#This Row],[Date]])&amp;""</f>
        <v>0</v>
      </c>
      <c r="F1523" s="203"/>
      <c r="G1523" s="216">
        <f>_xlfn.XLOOKUP(表格3_5[[#This Row],[Name]],Name_list[Full Name],Name_list[Nick Name])</f>
        <v>0</v>
      </c>
      <c r="H1523" s="207"/>
      <c r="I1523" s="228"/>
      <c r="J1523" s="218"/>
      <c r="K1523" s="205"/>
      <c r="L1523" s="210">
        <f>(表格3_5[[#This Row],[Out-Time]] - 表格3_5[[#This Row],[In-Time]])*24</f>
        <v>0</v>
      </c>
      <c r="M1523" s="210">
        <f>表格3_5[[#This Row],[ Hours]]-表格3_5[[#This Row],[Normal working
 hours]]</f>
        <v>0</v>
      </c>
      <c r="N1523" s="205"/>
      <c r="O1523" s="205"/>
      <c r="P1523" s="210">
        <f>(表格3_5[[#This Row],[Out-Time2]] - 表格3_5[[#This Row],[In-Time2]])*24</f>
        <v>0</v>
      </c>
      <c r="Q1523" s="205"/>
      <c r="R1523" s="214">
        <f>_xlfn.XLOOKUP(表格3_5[[#This Row],[Name]],Name_list[Full Name],Name_list[Hourr Rate])</f>
        <v>0</v>
      </c>
      <c r="S1523" s="210">
        <f>表格3_5[[#This Row],[Hours Worked]]*表格3_5[[#This Row],[Hourly Rate]]</f>
        <v>0</v>
      </c>
    </row>
    <row r="1524" spans="1:19">
      <c r="A1524" s="201">
        <v>1522</v>
      </c>
      <c r="B1524" s="210" t="str">
        <f>_xlfn.CONCAT(表格3_5[[#This Row],[Name]],表格3_5[[#This Row],[Location]])</f>
        <v/>
      </c>
      <c r="C1524" s="211" t="str">
        <f>表格3_5[[#This Row],[Location]] &amp; 表格3_5[[#This Row],[Date]] &amp;表格3_5[[#This Row],[Nick Name]]</f>
        <v>0</v>
      </c>
      <c r="D1524" s="202"/>
      <c r="E1524" s="211" t="str">
        <f>DAY(表格3_5[[#This Row],[Date]])&amp;""</f>
        <v>0</v>
      </c>
      <c r="F1524" s="203"/>
      <c r="G1524" s="216">
        <f>_xlfn.XLOOKUP(表格3_5[[#This Row],[Name]],Name_list[Full Name],Name_list[Nick Name])</f>
        <v>0</v>
      </c>
      <c r="H1524" s="207"/>
      <c r="I1524" s="228"/>
      <c r="J1524" s="218"/>
      <c r="K1524" s="205"/>
      <c r="L1524" s="210">
        <f>(表格3_5[[#This Row],[Out-Time]] - 表格3_5[[#This Row],[In-Time]])*24</f>
        <v>0</v>
      </c>
      <c r="M1524" s="210">
        <f>表格3_5[[#This Row],[ Hours]]-表格3_5[[#This Row],[Normal working
 hours]]</f>
        <v>0</v>
      </c>
      <c r="N1524" s="205"/>
      <c r="O1524" s="205"/>
      <c r="P1524" s="210">
        <f>(表格3_5[[#This Row],[Out-Time2]] - 表格3_5[[#This Row],[In-Time2]])*24</f>
        <v>0</v>
      </c>
      <c r="Q1524" s="205"/>
      <c r="R1524" s="214">
        <f>_xlfn.XLOOKUP(表格3_5[[#This Row],[Name]],Name_list[Full Name],Name_list[Hourr Rate])</f>
        <v>0</v>
      </c>
      <c r="S1524" s="210">
        <f>表格3_5[[#This Row],[Hours Worked]]*表格3_5[[#This Row],[Hourly Rate]]</f>
        <v>0</v>
      </c>
    </row>
    <row r="1525" spans="1:19">
      <c r="A1525" s="201">
        <v>1523</v>
      </c>
      <c r="B1525" s="210" t="str">
        <f>_xlfn.CONCAT(表格3_5[[#This Row],[Name]],表格3_5[[#This Row],[Location]])</f>
        <v/>
      </c>
      <c r="C1525" s="211" t="str">
        <f>表格3_5[[#This Row],[Location]] &amp; 表格3_5[[#This Row],[Date]] &amp;表格3_5[[#This Row],[Nick Name]]</f>
        <v>0</v>
      </c>
      <c r="D1525" s="202"/>
      <c r="E1525" s="211" t="str">
        <f>DAY(表格3_5[[#This Row],[Date]])&amp;""</f>
        <v>0</v>
      </c>
      <c r="F1525" s="203"/>
      <c r="G1525" s="216">
        <f>_xlfn.XLOOKUP(表格3_5[[#This Row],[Name]],Name_list[Full Name],Name_list[Nick Name])</f>
        <v>0</v>
      </c>
      <c r="H1525" s="207"/>
      <c r="I1525" s="228"/>
      <c r="J1525" s="218"/>
      <c r="K1525" s="205"/>
      <c r="L1525" s="210">
        <f>(表格3_5[[#This Row],[Out-Time]] - 表格3_5[[#This Row],[In-Time]])*24</f>
        <v>0</v>
      </c>
      <c r="M1525" s="210">
        <f>表格3_5[[#This Row],[ Hours]]-表格3_5[[#This Row],[Normal working
 hours]]</f>
        <v>0</v>
      </c>
      <c r="N1525" s="205"/>
      <c r="O1525" s="205"/>
      <c r="P1525" s="210">
        <f>(表格3_5[[#This Row],[Out-Time2]] - 表格3_5[[#This Row],[In-Time2]])*24</f>
        <v>0</v>
      </c>
      <c r="Q1525" s="205"/>
      <c r="R1525" s="214">
        <f>_xlfn.XLOOKUP(表格3_5[[#This Row],[Name]],Name_list[Full Name],Name_list[Hourr Rate])</f>
        <v>0</v>
      </c>
      <c r="S1525" s="210">
        <f>表格3_5[[#This Row],[Hours Worked]]*表格3_5[[#This Row],[Hourly Rate]]</f>
        <v>0</v>
      </c>
    </row>
    <row r="1526" spans="1:19">
      <c r="A1526" s="201">
        <v>1524</v>
      </c>
      <c r="B1526" s="210" t="str">
        <f>_xlfn.CONCAT(表格3_5[[#This Row],[Name]],表格3_5[[#This Row],[Location]])</f>
        <v/>
      </c>
      <c r="C1526" s="211" t="str">
        <f>表格3_5[[#This Row],[Location]] &amp; 表格3_5[[#This Row],[Date]] &amp;表格3_5[[#This Row],[Nick Name]]</f>
        <v>0</v>
      </c>
      <c r="D1526" s="202"/>
      <c r="E1526" s="211" t="str">
        <f>DAY(表格3_5[[#This Row],[Date]])&amp;""</f>
        <v>0</v>
      </c>
      <c r="F1526" s="203"/>
      <c r="G1526" s="216">
        <f>_xlfn.XLOOKUP(表格3_5[[#This Row],[Name]],Name_list[Full Name],Name_list[Nick Name])</f>
        <v>0</v>
      </c>
      <c r="H1526" s="207"/>
      <c r="I1526" s="228"/>
      <c r="J1526" s="218"/>
      <c r="K1526" s="205"/>
      <c r="L1526" s="210">
        <f>(表格3_5[[#This Row],[Out-Time]] - 表格3_5[[#This Row],[In-Time]])*24</f>
        <v>0</v>
      </c>
      <c r="M1526" s="210">
        <f>表格3_5[[#This Row],[ Hours]]-表格3_5[[#This Row],[Normal working
 hours]]</f>
        <v>0</v>
      </c>
      <c r="N1526" s="205"/>
      <c r="O1526" s="205"/>
      <c r="P1526" s="210">
        <f>(表格3_5[[#This Row],[Out-Time2]] - 表格3_5[[#This Row],[In-Time2]])*24</f>
        <v>0</v>
      </c>
      <c r="Q1526" s="205"/>
      <c r="R1526" s="214">
        <f>_xlfn.XLOOKUP(表格3_5[[#This Row],[Name]],Name_list[Full Name],Name_list[Hourr Rate])</f>
        <v>0</v>
      </c>
      <c r="S1526" s="210">
        <f>表格3_5[[#This Row],[Hours Worked]]*表格3_5[[#This Row],[Hourly Rate]]</f>
        <v>0</v>
      </c>
    </row>
    <row r="1527" spans="1:19">
      <c r="A1527" s="201">
        <v>1525</v>
      </c>
      <c r="B1527" s="210" t="str">
        <f>_xlfn.CONCAT(表格3_5[[#This Row],[Name]],表格3_5[[#This Row],[Location]])</f>
        <v/>
      </c>
      <c r="C1527" s="211" t="str">
        <f>表格3_5[[#This Row],[Location]] &amp; 表格3_5[[#This Row],[Date]] &amp;表格3_5[[#This Row],[Nick Name]]</f>
        <v>0</v>
      </c>
      <c r="D1527" s="202"/>
      <c r="E1527" s="211" t="str">
        <f>DAY(表格3_5[[#This Row],[Date]])&amp;""</f>
        <v>0</v>
      </c>
      <c r="F1527" s="203"/>
      <c r="G1527" s="216">
        <f>_xlfn.XLOOKUP(表格3_5[[#This Row],[Name]],Name_list[Full Name],Name_list[Nick Name])</f>
        <v>0</v>
      </c>
      <c r="H1527" s="207"/>
      <c r="I1527" s="228"/>
      <c r="J1527" s="218"/>
      <c r="K1527" s="205"/>
      <c r="L1527" s="210">
        <f>(表格3_5[[#This Row],[Out-Time]] - 表格3_5[[#This Row],[In-Time]])*24</f>
        <v>0</v>
      </c>
      <c r="M1527" s="210">
        <f>表格3_5[[#This Row],[ Hours]]-表格3_5[[#This Row],[Normal working
 hours]]</f>
        <v>0</v>
      </c>
      <c r="N1527" s="205"/>
      <c r="O1527" s="205"/>
      <c r="P1527" s="210">
        <f>(表格3_5[[#This Row],[Out-Time2]] - 表格3_5[[#This Row],[In-Time2]])*24</f>
        <v>0</v>
      </c>
      <c r="Q1527" s="205"/>
      <c r="R1527" s="214">
        <f>_xlfn.XLOOKUP(表格3_5[[#This Row],[Name]],Name_list[Full Name],Name_list[Hourr Rate])</f>
        <v>0</v>
      </c>
      <c r="S1527" s="210">
        <f>表格3_5[[#This Row],[Hours Worked]]*表格3_5[[#This Row],[Hourly Rate]]</f>
        <v>0</v>
      </c>
    </row>
    <row r="1528" spans="1:19">
      <c r="A1528" s="201">
        <v>1526</v>
      </c>
      <c r="B1528" s="210" t="str">
        <f>_xlfn.CONCAT(表格3_5[[#This Row],[Name]],表格3_5[[#This Row],[Location]])</f>
        <v/>
      </c>
      <c r="C1528" s="211" t="str">
        <f>表格3_5[[#This Row],[Location]] &amp; 表格3_5[[#This Row],[Date]] &amp;表格3_5[[#This Row],[Nick Name]]</f>
        <v>0</v>
      </c>
      <c r="D1528" s="202"/>
      <c r="E1528" s="211" t="str">
        <f>DAY(表格3_5[[#This Row],[Date]])&amp;""</f>
        <v>0</v>
      </c>
      <c r="F1528" s="203"/>
      <c r="G1528" s="216">
        <f>_xlfn.XLOOKUP(表格3_5[[#This Row],[Name]],Name_list[Full Name],Name_list[Nick Name])</f>
        <v>0</v>
      </c>
      <c r="H1528" s="207"/>
      <c r="I1528" s="228"/>
      <c r="J1528" s="218"/>
      <c r="K1528" s="205"/>
      <c r="L1528" s="210">
        <f>(表格3_5[[#This Row],[Out-Time]] - 表格3_5[[#This Row],[In-Time]])*24</f>
        <v>0</v>
      </c>
      <c r="M1528" s="210">
        <f>表格3_5[[#This Row],[ Hours]]-表格3_5[[#This Row],[Normal working
 hours]]</f>
        <v>0</v>
      </c>
      <c r="N1528" s="205"/>
      <c r="O1528" s="205"/>
      <c r="P1528" s="210">
        <f>(表格3_5[[#This Row],[Out-Time2]] - 表格3_5[[#This Row],[In-Time2]])*24</f>
        <v>0</v>
      </c>
      <c r="Q1528" s="205"/>
      <c r="R1528" s="214">
        <f>_xlfn.XLOOKUP(表格3_5[[#This Row],[Name]],Name_list[Full Name],Name_list[Hourr Rate])</f>
        <v>0</v>
      </c>
      <c r="S1528" s="210">
        <f>表格3_5[[#This Row],[Hours Worked]]*表格3_5[[#This Row],[Hourly Rate]]</f>
        <v>0</v>
      </c>
    </row>
    <row r="1529" spans="1:19">
      <c r="A1529" s="201">
        <v>1527</v>
      </c>
      <c r="B1529" s="210" t="str">
        <f>_xlfn.CONCAT(表格3_5[[#This Row],[Name]],表格3_5[[#This Row],[Location]])</f>
        <v/>
      </c>
      <c r="C1529" s="211" t="str">
        <f>表格3_5[[#This Row],[Location]] &amp; 表格3_5[[#This Row],[Date]] &amp;表格3_5[[#This Row],[Nick Name]]</f>
        <v>0</v>
      </c>
      <c r="D1529" s="202"/>
      <c r="E1529" s="211" t="str">
        <f>DAY(表格3_5[[#This Row],[Date]])&amp;""</f>
        <v>0</v>
      </c>
      <c r="F1529" s="203"/>
      <c r="G1529" s="216">
        <f>_xlfn.XLOOKUP(表格3_5[[#This Row],[Name]],Name_list[Full Name],Name_list[Nick Name])</f>
        <v>0</v>
      </c>
      <c r="H1529" s="207"/>
      <c r="I1529" s="228"/>
      <c r="J1529" s="218"/>
      <c r="K1529" s="205"/>
      <c r="L1529" s="210">
        <f>(表格3_5[[#This Row],[Out-Time]] - 表格3_5[[#This Row],[In-Time]])*24</f>
        <v>0</v>
      </c>
      <c r="M1529" s="210">
        <f>表格3_5[[#This Row],[ Hours]]-表格3_5[[#This Row],[Normal working
 hours]]</f>
        <v>0</v>
      </c>
      <c r="N1529" s="205"/>
      <c r="O1529" s="205"/>
      <c r="P1529" s="210">
        <f>(表格3_5[[#This Row],[Out-Time2]] - 表格3_5[[#This Row],[In-Time2]])*24</f>
        <v>0</v>
      </c>
      <c r="Q1529" s="205"/>
      <c r="R1529" s="214">
        <f>_xlfn.XLOOKUP(表格3_5[[#This Row],[Name]],Name_list[Full Name],Name_list[Hourr Rate])</f>
        <v>0</v>
      </c>
      <c r="S1529" s="210">
        <f>表格3_5[[#This Row],[Hours Worked]]*表格3_5[[#This Row],[Hourly Rate]]</f>
        <v>0</v>
      </c>
    </row>
    <row r="1530" spans="1:19">
      <c r="A1530" s="201">
        <v>1528</v>
      </c>
      <c r="B1530" s="210" t="str">
        <f>_xlfn.CONCAT(表格3_5[[#This Row],[Name]],表格3_5[[#This Row],[Location]])</f>
        <v/>
      </c>
      <c r="C1530" s="211" t="str">
        <f>表格3_5[[#This Row],[Location]] &amp; 表格3_5[[#This Row],[Date]] &amp;表格3_5[[#This Row],[Nick Name]]</f>
        <v>0</v>
      </c>
      <c r="D1530" s="202"/>
      <c r="E1530" s="211" t="str">
        <f>DAY(表格3_5[[#This Row],[Date]])&amp;""</f>
        <v>0</v>
      </c>
      <c r="F1530" s="203"/>
      <c r="G1530" s="216">
        <f>_xlfn.XLOOKUP(表格3_5[[#This Row],[Name]],Name_list[Full Name],Name_list[Nick Name])</f>
        <v>0</v>
      </c>
      <c r="H1530" s="207"/>
      <c r="I1530" s="228"/>
      <c r="J1530" s="218"/>
      <c r="K1530" s="205"/>
      <c r="L1530" s="210">
        <f>(表格3_5[[#This Row],[Out-Time]] - 表格3_5[[#This Row],[In-Time]])*24</f>
        <v>0</v>
      </c>
      <c r="M1530" s="210">
        <f>表格3_5[[#This Row],[ Hours]]-表格3_5[[#This Row],[Normal working
 hours]]</f>
        <v>0</v>
      </c>
      <c r="N1530" s="205"/>
      <c r="O1530" s="205"/>
      <c r="P1530" s="210">
        <f>(表格3_5[[#This Row],[Out-Time2]] - 表格3_5[[#This Row],[In-Time2]])*24</f>
        <v>0</v>
      </c>
      <c r="Q1530" s="205"/>
      <c r="R1530" s="214">
        <f>_xlfn.XLOOKUP(表格3_5[[#This Row],[Name]],Name_list[Full Name],Name_list[Hourr Rate])</f>
        <v>0</v>
      </c>
      <c r="S1530" s="210">
        <f>表格3_5[[#This Row],[Hours Worked]]*表格3_5[[#This Row],[Hourly Rate]]</f>
        <v>0</v>
      </c>
    </row>
    <row r="1531" spans="1:19">
      <c r="A1531" s="201">
        <v>1529</v>
      </c>
      <c r="B1531" s="210" t="str">
        <f>_xlfn.CONCAT(表格3_5[[#This Row],[Name]],表格3_5[[#This Row],[Location]])</f>
        <v/>
      </c>
      <c r="C1531" s="211" t="str">
        <f>表格3_5[[#This Row],[Location]] &amp; 表格3_5[[#This Row],[Date]] &amp;表格3_5[[#This Row],[Nick Name]]</f>
        <v>0</v>
      </c>
      <c r="D1531" s="202"/>
      <c r="E1531" s="211" t="str">
        <f>DAY(表格3_5[[#This Row],[Date]])&amp;""</f>
        <v>0</v>
      </c>
      <c r="F1531" s="203"/>
      <c r="G1531" s="216">
        <f>_xlfn.XLOOKUP(表格3_5[[#This Row],[Name]],Name_list[Full Name],Name_list[Nick Name])</f>
        <v>0</v>
      </c>
      <c r="H1531" s="207"/>
      <c r="I1531" s="228"/>
      <c r="J1531" s="218"/>
      <c r="K1531" s="205"/>
      <c r="L1531" s="210">
        <f>(表格3_5[[#This Row],[Out-Time]] - 表格3_5[[#This Row],[In-Time]])*24</f>
        <v>0</v>
      </c>
      <c r="M1531" s="210">
        <f>表格3_5[[#This Row],[ Hours]]-表格3_5[[#This Row],[Normal working
 hours]]</f>
        <v>0</v>
      </c>
      <c r="N1531" s="205"/>
      <c r="O1531" s="205"/>
      <c r="P1531" s="210">
        <f>(表格3_5[[#This Row],[Out-Time2]] - 表格3_5[[#This Row],[In-Time2]])*24</f>
        <v>0</v>
      </c>
      <c r="Q1531" s="205"/>
      <c r="R1531" s="214">
        <f>_xlfn.XLOOKUP(表格3_5[[#This Row],[Name]],Name_list[Full Name],Name_list[Hourr Rate])</f>
        <v>0</v>
      </c>
      <c r="S1531" s="210">
        <f>表格3_5[[#This Row],[Hours Worked]]*表格3_5[[#This Row],[Hourly Rate]]</f>
        <v>0</v>
      </c>
    </row>
    <row r="1532" spans="1:19">
      <c r="A1532" s="201">
        <v>1530</v>
      </c>
      <c r="B1532" s="210" t="str">
        <f>_xlfn.CONCAT(表格3_5[[#This Row],[Name]],表格3_5[[#This Row],[Location]])</f>
        <v/>
      </c>
      <c r="C1532" s="211" t="str">
        <f>表格3_5[[#This Row],[Location]] &amp; 表格3_5[[#This Row],[Date]] &amp;表格3_5[[#This Row],[Nick Name]]</f>
        <v>0</v>
      </c>
      <c r="D1532" s="202"/>
      <c r="E1532" s="211" t="str">
        <f>DAY(表格3_5[[#This Row],[Date]])&amp;""</f>
        <v>0</v>
      </c>
      <c r="F1532" s="203"/>
      <c r="G1532" s="216">
        <f>_xlfn.XLOOKUP(表格3_5[[#This Row],[Name]],Name_list[Full Name],Name_list[Nick Name])</f>
        <v>0</v>
      </c>
      <c r="H1532" s="207"/>
      <c r="I1532" s="228"/>
      <c r="J1532" s="218"/>
      <c r="K1532" s="205"/>
      <c r="L1532" s="210">
        <f>(表格3_5[[#This Row],[Out-Time]] - 表格3_5[[#This Row],[In-Time]])*24</f>
        <v>0</v>
      </c>
      <c r="M1532" s="210">
        <f>表格3_5[[#This Row],[ Hours]]-表格3_5[[#This Row],[Normal working
 hours]]</f>
        <v>0</v>
      </c>
      <c r="N1532" s="205"/>
      <c r="O1532" s="205"/>
      <c r="P1532" s="210">
        <f>(表格3_5[[#This Row],[Out-Time2]] - 表格3_5[[#This Row],[In-Time2]])*24</f>
        <v>0</v>
      </c>
      <c r="Q1532" s="205"/>
      <c r="R1532" s="214">
        <f>_xlfn.XLOOKUP(表格3_5[[#This Row],[Name]],Name_list[Full Name],Name_list[Hourr Rate])</f>
        <v>0</v>
      </c>
      <c r="S1532" s="210">
        <f>表格3_5[[#This Row],[Hours Worked]]*表格3_5[[#This Row],[Hourly Rate]]</f>
        <v>0</v>
      </c>
    </row>
    <row r="1533" spans="1:19">
      <c r="A1533" s="201">
        <v>1531</v>
      </c>
      <c r="B1533" s="210" t="str">
        <f>_xlfn.CONCAT(表格3_5[[#This Row],[Name]],表格3_5[[#This Row],[Location]])</f>
        <v/>
      </c>
      <c r="C1533" s="211" t="str">
        <f>表格3_5[[#This Row],[Location]] &amp; 表格3_5[[#This Row],[Date]] &amp;表格3_5[[#This Row],[Nick Name]]</f>
        <v>0</v>
      </c>
      <c r="D1533" s="202"/>
      <c r="E1533" s="211" t="str">
        <f>DAY(表格3_5[[#This Row],[Date]])&amp;""</f>
        <v>0</v>
      </c>
      <c r="F1533" s="203"/>
      <c r="G1533" s="216">
        <f>_xlfn.XLOOKUP(表格3_5[[#This Row],[Name]],Name_list[Full Name],Name_list[Nick Name])</f>
        <v>0</v>
      </c>
      <c r="H1533" s="207"/>
      <c r="I1533" s="228"/>
      <c r="J1533" s="218"/>
      <c r="K1533" s="205"/>
      <c r="L1533" s="210">
        <f>(表格3_5[[#This Row],[Out-Time]] - 表格3_5[[#This Row],[In-Time]])*24</f>
        <v>0</v>
      </c>
      <c r="M1533" s="210">
        <f>表格3_5[[#This Row],[ Hours]]-表格3_5[[#This Row],[Normal working
 hours]]</f>
        <v>0</v>
      </c>
      <c r="N1533" s="205"/>
      <c r="O1533" s="205"/>
      <c r="P1533" s="210">
        <f>(表格3_5[[#This Row],[Out-Time2]] - 表格3_5[[#This Row],[In-Time2]])*24</f>
        <v>0</v>
      </c>
      <c r="Q1533" s="205"/>
      <c r="R1533" s="214">
        <f>_xlfn.XLOOKUP(表格3_5[[#This Row],[Name]],Name_list[Full Name],Name_list[Hourr Rate])</f>
        <v>0</v>
      </c>
      <c r="S1533" s="210">
        <f>表格3_5[[#This Row],[Hours Worked]]*表格3_5[[#This Row],[Hourly Rate]]</f>
        <v>0</v>
      </c>
    </row>
    <row r="1534" spans="1:19">
      <c r="A1534" s="201">
        <v>1532</v>
      </c>
      <c r="B1534" s="210" t="str">
        <f>_xlfn.CONCAT(表格3_5[[#This Row],[Name]],表格3_5[[#This Row],[Location]])</f>
        <v/>
      </c>
      <c r="C1534" s="211" t="str">
        <f>表格3_5[[#This Row],[Location]] &amp; 表格3_5[[#This Row],[Date]] &amp;表格3_5[[#This Row],[Nick Name]]</f>
        <v>0</v>
      </c>
      <c r="D1534" s="202"/>
      <c r="E1534" s="211" t="str">
        <f>DAY(表格3_5[[#This Row],[Date]])&amp;""</f>
        <v>0</v>
      </c>
      <c r="F1534" s="203"/>
      <c r="G1534" s="216">
        <f>_xlfn.XLOOKUP(表格3_5[[#This Row],[Name]],Name_list[Full Name],Name_list[Nick Name])</f>
        <v>0</v>
      </c>
      <c r="H1534" s="207"/>
      <c r="I1534" s="228"/>
      <c r="J1534" s="218"/>
      <c r="K1534" s="205"/>
      <c r="L1534" s="210">
        <f>(表格3_5[[#This Row],[Out-Time]] - 表格3_5[[#This Row],[In-Time]])*24</f>
        <v>0</v>
      </c>
      <c r="M1534" s="210">
        <f>表格3_5[[#This Row],[ Hours]]-表格3_5[[#This Row],[Normal working
 hours]]</f>
        <v>0</v>
      </c>
      <c r="N1534" s="205"/>
      <c r="O1534" s="205"/>
      <c r="P1534" s="210">
        <f>(表格3_5[[#This Row],[Out-Time2]] - 表格3_5[[#This Row],[In-Time2]])*24</f>
        <v>0</v>
      </c>
      <c r="Q1534" s="205"/>
      <c r="R1534" s="214">
        <f>_xlfn.XLOOKUP(表格3_5[[#This Row],[Name]],Name_list[Full Name],Name_list[Hourr Rate])</f>
        <v>0</v>
      </c>
      <c r="S1534" s="210">
        <f>表格3_5[[#This Row],[Hours Worked]]*表格3_5[[#This Row],[Hourly Rate]]</f>
        <v>0</v>
      </c>
    </row>
    <row r="1535" spans="1:19">
      <c r="A1535" s="201">
        <v>1533</v>
      </c>
      <c r="B1535" s="210" t="str">
        <f>_xlfn.CONCAT(表格3_5[[#This Row],[Name]],表格3_5[[#This Row],[Location]])</f>
        <v/>
      </c>
      <c r="C1535" s="211" t="str">
        <f>表格3_5[[#This Row],[Location]] &amp; 表格3_5[[#This Row],[Date]] &amp;表格3_5[[#This Row],[Nick Name]]</f>
        <v>0</v>
      </c>
      <c r="D1535" s="202"/>
      <c r="E1535" s="211" t="str">
        <f>DAY(表格3_5[[#This Row],[Date]])&amp;""</f>
        <v>0</v>
      </c>
      <c r="F1535" s="203"/>
      <c r="G1535" s="216">
        <f>_xlfn.XLOOKUP(表格3_5[[#This Row],[Name]],Name_list[Full Name],Name_list[Nick Name])</f>
        <v>0</v>
      </c>
      <c r="H1535" s="207"/>
      <c r="I1535" s="228"/>
      <c r="J1535" s="218"/>
      <c r="K1535" s="205"/>
      <c r="L1535" s="210">
        <f>(表格3_5[[#This Row],[Out-Time]] - 表格3_5[[#This Row],[In-Time]])*24</f>
        <v>0</v>
      </c>
      <c r="M1535" s="210">
        <f>表格3_5[[#This Row],[ Hours]]-表格3_5[[#This Row],[Normal working
 hours]]</f>
        <v>0</v>
      </c>
      <c r="N1535" s="205"/>
      <c r="O1535" s="205"/>
      <c r="P1535" s="210">
        <f>(表格3_5[[#This Row],[Out-Time2]] - 表格3_5[[#This Row],[In-Time2]])*24</f>
        <v>0</v>
      </c>
      <c r="Q1535" s="205"/>
      <c r="R1535" s="214">
        <f>_xlfn.XLOOKUP(表格3_5[[#This Row],[Name]],Name_list[Full Name],Name_list[Hourr Rate])</f>
        <v>0</v>
      </c>
      <c r="S1535" s="210">
        <f>表格3_5[[#This Row],[Hours Worked]]*表格3_5[[#This Row],[Hourly Rate]]</f>
        <v>0</v>
      </c>
    </row>
    <row r="1536" spans="1:19">
      <c r="A1536" s="201">
        <v>1534</v>
      </c>
      <c r="B1536" s="210" t="str">
        <f>_xlfn.CONCAT(表格3_5[[#This Row],[Name]],表格3_5[[#This Row],[Location]])</f>
        <v/>
      </c>
      <c r="C1536" s="211" t="str">
        <f>表格3_5[[#This Row],[Location]] &amp; 表格3_5[[#This Row],[Date]] &amp;表格3_5[[#This Row],[Nick Name]]</f>
        <v>0</v>
      </c>
      <c r="D1536" s="202"/>
      <c r="E1536" s="211" t="str">
        <f>DAY(表格3_5[[#This Row],[Date]])&amp;""</f>
        <v>0</v>
      </c>
      <c r="F1536" s="203"/>
      <c r="G1536" s="216">
        <f>_xlfn.XLOOKUP(表格3_5[[#This Row],[Name]],Name_list[Full Name],Name_list[Nick Name])</f>
        <v>0</v>
      </c>
      <c r="H1536" s="207"/>
      <c r="I1536" s="228"/>
      <c r="J1536" s="218"/>
      <c r="K1536" s="205"/>
      <c r="L1536" s="210">
        <f>(表格3_5[[#This Row],[Out-Time]] - 表格3_5[[#This Row],[In-Time]])*24</f>
        <v>0</v>
      </c>
      <c r="M1536" s="210">
        <f>表格3_5[[#This Row],[ Hours]]-表格3_5[[#This Row],[Normal working
 hours]]</f>
        <v>0</v>
      </c>
      <c r="N1536" s="205"/>
      <c r="O1536" s="205"/>
      <c r="P1536" s="210">
        <f>(表格3_5[[#This Row],[Out-Time2]] - 表格3_5[[#This Row],[In-Time2]])*24</f>
        <v>0</v>
      </c>
      <c r="Q1536" s="205"/>
      <c r="R1536" s="214">
        <f>_xlfn.XLOOKUP(表格3_5[[#This Row],[Name]],Name_list[Full Name],Name_list[Hourr Rate])</f>
        <v>0</v>
      </c>
      <c r="S1536" s="210">
        <f>表格3_5[[#This Row],[Hours Worked]]*表格3_5[[#This Row],[Hourly Rate]]</f>
        <v>0</v>
      </c>
    </row>
    <row r="1537" spans="1:19">
      <c r="A1537" s="201">
        <v>1535</v>
      </c>
      <c r="B1537" s="210" t="str">
        <f>_xlfn.CONCAT(表格3_5[[#This Row],[Name]],表格3_5[[#This Row],[Location]])</f>
        <v/>
      </c>
      <c r="C1537" s="211" t="str">
        <f>表格3_5[[#This Row],[Location]] &amp; 表格3_5[[#This Row],[Date]] &amp;表格3_5[[#This Row],[Nick Name]]</f>
        <v>0</v>
      </c>
      <c r="D1537" s="202"/>
      <c r="E1537" s="211" t="str">
        <f>DAY(表格3_5[[#This Row],[Date]])&amp;""</f>
        <v>0</v>
      </c>
      <c r="F1537" s="203"/>
      <c r="G1537" s="216">
        <f>_xlfn.XLOOKUP(表格3_5[[#This Row],[Name]],Name_list[Full Name],Name_list[Nick Name])</f>
        <v>0</v>
      </c>
      <c r="H1537" s="207"/>
      <c r="I1537" s="228"/>
      <c r="J1537" s="218"/>
      <c r="K1537" s="205"/>
      <c r="L1537" s="210">
        <f>(表格3_5[[#This Row],[Out-Time]] - 表格3_5[[#This Row],[In-Time]])*24</f>
        <v>0</v>
      </c>
      <c r="M1537" s="210">
        <f>表格3_5[[#This Row],[ Hours]]-表格3_5[[#This Row],[Normal working
 hours]]</f>
        <v>0</v>
      </c>
      <c r="N1537" s="205"/>
      <c r="O1537" s="205"/>
      <c r="P1537" s="210">
        <f>(表格3_5[[#This Row],[Out-Time2]] - 表格3_5[[#This Row],[In-Time2]])*24</f>
        <v>0</v>
      </c>
      <c r="Q1537" s="205"/>
      <c r="R1537" s="214">
        <f>_xlfn.XLOOKUP(表格3_5[[#This Row],[Name]],Name_list[Full Name],Name_list[Hourr Rate])</f>
        <v>0</v>
      </c>
      <c r="S1537" s="210">
        <f>表格3_5[[#This Row],[Hours Worked]]*表格3_5[[#This Row],[Hourly Rate]]</f>
        <v>0</v>
      </c>
    </row>
    <row r="1538" spans="1:19">
      <c r="A1538" s="201">
        <v>1536</v>
      </c>
      <c r="B1538" s="210" t="str">
        <f>_xlfn.CONCAT(表格3_5[[#This Row],[Name]],表格3_5[[#This Row],[Location]])</f>
        <v/>
      </c>
      <c r="C1538" s="211" t="str">
        <f>表格3_5[[#This Row],[Location]] &amp; 表格3_5[[#This Row],[Date]] &amp;表格3_5[[#This Row],[Nick Name]]</f>
        <v>0</v>
      </c>
      <c r="D1538" s="202"/>
      <c r="E1538" s="211" t="str">
        <f>DAY(表格3_5[[#This Row],[Date]])&amp;""</f>
        <v>0</v>
      </c>
      <c r="F1538" s="203"/>
      <c r="G1538" s="216">
        <f>_xlfn.XLOOKUP(表格3_5[[#This Row],[Name]],Name_list[Full Name],Name_list[Nick Name])</f>
        <v>0</v>
      </c>
      <c r="H1538" s="207"/>
      <c r="I1538" s="228"/>
      <c r="J1538" s="218"/>
      <c r="K1538" s="205"/>
      <c r="L1538" s="210">
        <f>(表格3_5[[#This Row],[Out-Time]] - 表格3_5[[#This Row],[In-Time]])*24</f>
        <v>0</v>
      </c>
      <c r="M1538" s="210">
        <f>表格3_5[[#This Row],[ Hours]]-表格3_5[[#This Row],[Normal working
 hours]]</f>
        <v>0</v>
      </c>
      <c r="N1538" s="205"/>
      <c r="O1538" s="205"/>
      <c r="P1538" s="210">
        <f>(表格3_5[[#This Row],[Out-Time2]] - 表格3_5[[#This Row],[In-Time2]])*24</f>
        <v>0</v>
      </c>
      <c r="Q1538" s="205"/>
      <c r="R1538" s="214">
        <f>_xlfn.XLOOKUP(表格3_5[[#This Row],[Name]],Name_list[Full Name],Name_list[Hourr Rate])</f>
        <v>0</v>
      </c>
      <c r="S1538" s="210">
        <f>表格3_5[[#This Row],[Hours Worked]]*表格3_5[[#This Row],[Hourly Rate]]</f>
        <v>0</v>
      </c>
    </row>
    <row r="1539" spans="1:19">
      <c r="A1539" s="201">
        <v>1537</v>
      </c>
      <c r="B1539" s="210" t="str">
        <f>_xlfn.CONCAT(表格3_5[[#This Row],[Name]],表格3_5[[#This Row],[Location]])</f>
        <v/>
      </c>
      <c r="C1539" s="211" t="str">
        <f>表格3_5[[#This Row],[Location]] &amp; 表格3_5[[#This Row],[Date]] &amp;表格3_5[[#This Row],[Nick Name]]</f>
        <v>0</v>
      </c>
      <c r="D1539" s="202"/>
      <c r="E1539" s="211" t="str">
        <f>DAY(表格3_5[[#This Row],[Date]])&amp;""</f>
        <v>0</v>
      </c>
      <c r="F1539" s="203"/>
      <c r="G1539" s="216">
        <f>_xlfn.XLOOKUP(表格3_5[[#This Row],[Name]],Name_list[Full Name],Name_list[Nick Name])</f>
        <v>0</v>
      </c>
      <c r="H1539" s="207"/>
      <c r="I1539" s="228"/>
      <c r="J1539" s="218"/>
      <c r="K1539" s="205"/>
      <c r="L1539" s="210">
        <f>(表格3_5[[#This Row],[Out-Time]] - 表格3_5[[#This Row],[In-Time]])*24</f>
        <v>0</v>
      </c>
      <c r="M1539" s="210">
        <f>表格3_5[[#This Row],[ Hours]]-表格3_5[[#This Row],[Normal working
 hours]]</f>
        <v>0</v>
      </c>
      <c r="N1539" s="205"/>
      <c r="O1539" s="205"/>
      <c r="P1539" s="210">
        <f>(表格3_5[[#This Row],[Out-Time2]] - 表格3_5[[#This Row],[In-Time2]])*24</f>
        <v>0</v>
      </c>
      <c r="Q1539" s="205"/>
      <c r="R1539" s="214">
        <f>_xlfn.XLOOKUP(表格3_5[[#This Row],[Name]],Name_list[Full Name],Name_list[Hourr Rate])</f>
        <v>0</v>
      </c>
      <c r="S1539" s="210">
        <f>表格3_5[[#This Row],[Hours Worked]]*表格3_5[[#This Row],[Hourly Rate]]</f>
        <v>0</v>
      </c>
    </row>
    <row r="1540" spans="1:19">
      <c r="A1540" s="201">
        <v>1538</v>
      </c>
      <c r="B1540" s="210" t="str">
        <f>_xlfn.CONCAT(表格3_5[[#This Row],[Name]],表格3_5[[#This Row],[Location]])</f>
        <v/>
      </c>
      <c r="C1540" s="211" t="str">
        <f>表格3_5[[#This Row],[Location]] &amp; 表格3_5[[#This Row],[Date]] &amp;表格3_5[[#This Row],[Nick Name]]</f>
        <v>0</v>
      </c>
      <c r="D1540" s="202"/>
      <c r="E1540" s="211" t="str">
        <f>DAY(表格3_5[[#This Row],[Date]])&amp;""</f>
        <v>0</v>
      </c>
      <c r="F1540" s="203"/>
      <c r="G1540" s="216">
        <f>_xlfn.XLOOKUP(表格3_5[[#This Row],[Name]],Name_list[Full Name],Name_list[Nick Name])</f>
        <v>0</v>
      </c>
      <c r="H1540" s="207"/>
      <c r="I1540" s="228"/>
      <c r="J1540" s="218"/>
      <c r="K1540" s="205"/>
      <c r="L1540" s="210">
        <f>(表格3_5[[#This Row],[Out-Time]] - 表格3_5[[#This Row],[In-Time]])*24</f>
        <v>0</v>
      </c>
      <c r="M1540" s="210">
        <f>表格3_5[[#This Row],[ Hours]]-表格3_5[[#This Row],[Normal working
 hours]]</f>
        <v>0</v>
      </c>
      <c r="N1540" s="205"/>
      <c r="O1540" s="205"/>
      <c r="P1540" s="210">
        <f>(表格3_5[[#This Row],[Out-Time2]] - 表格3_5[[#This Row],[In-Time2]])*24</f>
        <v>0</v>
      </c>
      <c r="Q1540" s="205"/>
      <c r="R1540" s="214">
        <f>_xlfn.XLOOKUP(表格3_5[[#This Row],[Name]],Name_list[Full Name],Name_list[Hourr Rate])</f>
        <v>0</v>
      </c>
      <c r="S1540" s="210">
        <f>表格3_5[[#This Row],[Hours Worked]]*表格3_5[[#This Row],[Hourly Rate]]</f>
        <v>0</v>
      </c>
    </row>
    <row r="1541" spans="1:19">
      <c r="A1541" s="201">
        <v>1539</v>
      </c>
      <c r="B1541" s="210" t="str">
        <f>_xlfn.CONCAT(表格3_5[[#This Row],[Name]],表格3_5[[#This Row],[Location]])</f>
        <v/>
      </c>
      <c r="C1541" s="211" t="str">
        <f>表格3_5[[#This Row],[Location]] &amp; 表格3_5[[#This Row],[Date]] &amp;表格3_5[[#This Row],[Nick Name]]</f>
        <v>0</v>
      </c>
      <c r="D1541" s="202"/>
      <c r="E1541" s="211" t="str">
        <f>DAY(表格3_5[[#This Row],[Date]])&amp;""</f>
        <v>0</v>
      </c>
      <c r="F1541" s="203"/>
      <c r="G1541" s="216">
        <f>_xlfn.XLOOKUP(表格3_5[[#This Row],[Name]],Name_list[Full Name],Name_list[Nick Name])</f>
        <v>0</v>
      </c>
      <c r="H1541" s="207"/>
      <c r="I1541" s="228"/>
      <c r="J1541" s="218"/>
      <c r="K1541" s="205"/>
      <c r="L1541" s="210">
        <f>(表格3_5[[#This Row],[Out-Time]] - 表格3_5[[#This Row],[In-Time]])*24</f>
        <v>0</v>
      </c>
      <c r="M1541" s="210">
        <f>表格3_5[[#This Row],[ Hours]]-表格3_5[[#This Row],[Normal working
 hours]]</f>
        <v>0</v>
      </c>
      <c r="N1541" s="205"/>
      <c r="O1541" s="205"/>
      <c r="P1541" s="210">
        <f>(表格3_5[[#This Row],[Out-Time2]] - 表格3_5[[#This Row],[In-Time2]])*24</f>
        <v>0</v>
      </c>
      <c r="Q1541" s="205"/>
      <c r="R1541" s="214">
        <f>_xlfn.XLOOKUP(表格3_5[[#This Row],[Name]],Name_list[Full Name],Name_list[Hourr Rate])</f>
        <v>0</v>
      </c>
      <c r="S1541" s="210">
        <f>表格3_5[[#This Row],[Hours Worked]]*表格3_5[[#This Row],[Hourly Rate]]</f>
        <v>0</v>
      </c>
    </row>
    <row r="1542" spans="1:19">
      <c r="A1542" s="201">
        <v>1540</v>
      </c>
      <c r="B1542" s="210" t="str">
        <f>_xlfn.CONCAT(表格3_5[[#This Row],[Name]],表格3_5[[#This Row],[Location]])</f>
        <v/>
      </c>
      <c r="C1542" s="211" t="str">
        <f>表格3_5[[#This Row],[Location]] &amp; 表格3_5[[#This Row],[Date]] &amp;表格3_5[[#This Row],[Nick Name]]</f>
        <v>0</v>
      </c>
      <c r="D1542" s="202"/>
      <c r="E1542" s="211" t="str">
        <f>DAY(表格3_5[[#This Row],[Date]])&amp;""</f>
        <v>0</v>
      </c>
      <c r="F1542" s="203"/>
      <c r="G1542" s="216">
        <f>_xlfn.XLOOKUP(表格3_5[[#This Row],[Name]],Name_list[Full Name],Name_list[Nick Name])</f>
        <v>0</v>
      </c>
      <c r="H1542" s="207"/>
      <c r="I1542" s="228"/>
      <c r="J1542" s="218"/>
      <c r="K1542" s="205"/>
      <c r="L1542" s="210">
        <f>(表格3_5[[#This Row],[Out-Time]] - 表格3_5[[#This Row],[In-Time]])*24</f>
        <v>0</v>
      </c>
      <c r="M1542" s="210">
        <f>表格3_5[[#This Row],[ Hours]]-表格3_5[[#This Row],[Normal working
 hours]]</f>
        <v>0</v>
      </c>
      <c r="N1542" s="205"/>
      <c r="O1542" s="205"/>
      <c r="P1542" s="210">
        <f>(表格3_5[[#This Row],[Out-Time2]] - 表格3_5[[#This Row],[In-Time2]])*24</f>
        <v>0</v>
      </c>
      <c r="Q1542" s="205"/>
      <c r="R1542" s="214">
        <f>_xlfn.XLOOKUP(表格3_5[[#This Row],[Name]],Name_list[Full Name],Name_list[Hourr Rate])</f>
        <v>0</v>
      </c>
      <c r="S1542" s="210">
        <f>表格3_5[[#This Row],[Hours Worked]]*表格3_5[[#This Row],[Hourly Rate]]</f>
        <v>0</v>
      </c>
    </row>
    <row r="1543" spans="1:19">
      <c r="A1543" s="201">
        <v>1541</v>
      </c>
      <c r="B1543" s="210" t="str">
        <f>_xlfn.CONCAT(表格3_5[[#This Row],[Name]],表格3_5[[#This Row],[Location]])</f>
        <v/>
      </c>
      <c r="C1543" s="211" t="str">
        <f>表格3_5[[#This Row],[Location]] &amp; 表格3_5[[#This Row],[Date]] &amp;表格3_5[[#This Row],[Nick Name]]</f>
        <v>0</v>
      </c>
      <c r="D1543" s="202"/>
      <c r="E1543" s="211" t="str">
        <f>DAY(表格3_5[[#This Row],[Date]])&amp;""</f>
        <v>0</v>
      </c>
      <c r="F1543" s="203"/>
      <c r="G1543" s="216">
        <f>_xlfn.XLOOKUP(表格3_5[[#This Row],[Name]],Name_list[Full Name],Name_list[Nick Name])</f>
        <v>0</v>
      </c>
      <c r="H1543" s="207"/>
      <c r="I1543" s="228"/>
      <c r="J1543" s="218"/>
      <c r="K1543" s="205"/>
      <c r="L1543" s="210">
        <f>(表格3_5[[#This Row],[Out-Time]] - 表格3_5[[#This Row],[In-Time]])*24</f>
        <v>0</v>
      </c>
      <c r="M1543" s="210">
        <f>表格3_5[[#This Row],[ Hours]]-表格3_5[[#This Row],[Normal working
 hours]]</f>
        <v>0</v>
      </c>
      <c r="N1543" s="205"/>
      <c r="O1543" s="205"/>
      <c r="P1543" s="210">
        <f>(表格3_5[[#This Row],[Out-Time2]] - 表格3_5[[#This Row],[In-Time2]])*24</f>
        <v>0</v>
      </c>
      <c r="Q1543" s="205"/>
      <c r="R1543" s="214">
        <f>_xlfn.XLOOKUP(表格3_5[[#This Row],[Name]],Name_list[Full Name],Name_list[Hourr Rate])</f>
        <v>0</v>
      </c>
      <c r="S1543" s="210">
        <f>表格3_5[[#This Row],[Hours Worked]]*表格3_5[[#This Row],[Hourly Rate]]</f>
        <v>0</v>
      </c>
    </row>
    <row r="1544" spans="1:19">
      <c r="A1544" s="201">
        <v>1542</v>
      </c>
      <c r="B1544" s="210" t="str">
        <f>_xlfn.CONCAT(表格3_5[[#This Row],[Name]],表格3_5[[#This Row],[Location]])</f>
        <v/>
      </c>
      <c r="C1544" s="211" t="str">
        <f>表格3_5[[#This Row],[Location]] &amp; 表格3_5[[#This Row],[Date]] &amp;表格3_5[[#This Row],[Nick Name]]</f>
        <v>0</v>
      </c>
      <c r="D1544" s="202"/>
      <c r="E1544" s="211" t="str">
        <f>DAY(表格3_5[[#This Row],[Date]])&amp;""</f>
        <v>0</v>
      </c>
      <c r="F1544" s="203"/>
      <c r="G1544" s="216">
        <f>_xlfn.XLOOKUP(表格3_5[[#This Row],[Name]],Name_list[Full Name],Name_list[Nick Name])</f>
        <v>0</v>
      </c>
      <c r="H1544" s="207"/>
      <c r="I1544" s="228"/>
      <c r="J1544" s="218"/>
      <c r="K1544" s="205"/>
      <c r="L1544" s="210">
        <f>(表格3_5[[#This Row],[Out-Time]] - 表格3_5[[#This Row],[In-Time]])*24</f>
        <v>0</v>
      </c>
      <c r="M1544" s="210">
        <f>表格3_5[[#This Row],[ Hours]]-表格3_5[[#This Row],[Normal working
 hours]]</f>
        <v>0</v>
      </c>
      <c r="N1544" s="205"/>
      <c r="O1544" s="205"/>
      <c r="P1544" s="210">
        <f>(表格3_5[[#This Row],[Out-Time2]] - 表格3_5[[#This Row],[In-Time2]])*24</f>
        <v>0</v>
      </c>
      <c r="Q1544" s="205"/>
      <c r="R1544" s="214">
        <f>_xlfn.XLOOKUP(表格3_5[[#This Row],[Name]],Name_list[Full Name],Name_list[Hourr Rate])</f>
        <v>0</v>
      </c>
      <c r="S1544" s="210">
        <f>表格3_5[[#This Row],[Hours Worked]]*表格3_5[[#This Row],[Hourly Rate]]</f>
        <v>0</v>
      </c>
    </row>
    <row r="1545" spans="1:19">
      <c r="A1545" s="201">
        <v>1543</v>
      </c>
      <c r="B1545" s="210" t="str">
        <f>_xlfn.CONCAT(表格3_5[[#This Row],[Name]],表格3_5[[#This Row],[Location]])</f>
        <v/>
      </c>
      <c r="C1545" s="211" t="str">
        <f>表格3_5[[#This Row],[Location]] &amp; 表格3_5[[#This Row],[Date]] &amp;表格3_5[[#This Row],[Nick Name]]</f>
        <v>0</v>
      </c>
      <c r="D1545" s="202"/>
      <c r="E1545" s="211" t="str">
        <f>DAY(表格3_5[[#This Row],[Date]])&amp;""</f>
        <v>0</v>
      </c>
      <c r="F1545" s="203"/>
      <c r="G1545" s="216">
        <f>_xlfn.XLOOKUP(表格3_5[[#This Row],[Name]],Name_list[Full Name],Name_list[Nick Name])</f>
        <v>0</v>
      </c>
      <c r="H1545" s="207"/>
      <c r="I1545" s="228"/>
      <c r="J1545" s="218"/>
      <c r="K1545" s="205"/>
      <c r="L1545" s="210">
        <f>(表格3_5[[#This Row],[Out-Time]] - 表格3_5[[#This Row],[In-Time]])*24</f>
        <v>0</v>
      </c>
      <c r="M1545" s="210">
        <f>表格3_5[[#This Row],[ Hours]]-表格3_5[[#This Row],[Normal working
 hours]]</f>
        <v>0</v>
      </c>
      <c r="N1545" s="205"/>
      <c r="O1545" s="205"/>
      <c r="P1545" s="210">
        <f>(表格3_5[[#This Row],[Out-Time2]] - 表格3_5[[#This Row],[In-Time2]])*24</f>
        <v>0</v>
      </c>
      <c r="Q1545" s="205"/>
      <c r="R1545" s="214">
        <f>_xlfn.XLOOKUP(表格3_5[[#This Row],[Name]],Name_list[Full Name],Name_list[Hourr Rate])</f>
        <v>0</v>
      </c>
      <c r="S1545" s="210">
        <f>表格3_5[[#This Row],[Hours Worked]]*表格3_5[[#This Row],[Hourly Rate]]</f>
        <v>0</v>
      </c>
    </row>
    <row r="1546" spans="1:19">
      <c r="A1546" s="201">
        <v>1544</v>
      </c>
      <c r="B1546" s="210" t="str">
        <f>_xlfn.CONCAT(表格3_5[[#This Row],[Name]],表格3_5[[#This Row],[Location]])</f>
        <v/>
      </c>
      <c r="C1546" s="211" t="str">
        <f>表格3_5[[#This Row],[Location]] &amp; 表格3_5[[#This Row],[Date]] &amp;表格3_5[[#This Row],[Nick Name]]</f>
        <v>0</v>
      </c>
      <c r="D1546" s="202"/>
      <c r="E1546" s="211" t="str">
        <f>DAY(表格3_5[[#This Row],[Date]])&amp;""</f>
        <v>0</v>
      </c>
      <c r="F1546" s="203"/>
      <c r="G1546" s="216">
        <f>_xlfn.XLOOKUP(表格3_5[[#This Row],[Name]],Name_list[Full Name],Name_list[Nick Name])</f>
        <v>0</v>
      </c>
      <c r="H1546" s="207"/>
      <c r="I1546" s="228"/>
      <c r="J1546" s="218"/>
      <c r="K1546" s="205"/>
      <c r="L1546" s="210">
        <f>(表格3_5[[#This Row],[Out-Time]] - 表格3_5[[#This Row],[In-Time]])*24</f>
        <v>0</v>
      </c>
      <c r="M1546" s="210">
        <f>表格3_5[[#This Row],[ Hours]]-表格3_5[[#This Row],[Normal working
 hours]]</f>
        <v>0</v>
      </c>
      <c r="N1546" s="205"/>
      <c r="O1546" s="205"/>
      <c r="P1546" s="210">
        <f>(表格3_5[[#This Row],[Out-Time2]] - 表格3_5[[#This Row],[In-Time2]])*24</f>
        <v>0</v>
      </c>
      <c r="Q1546" s="205"/>
      <c r="R1546" s="214">
        <f>_xlfn.XLOOKUP(表格3_5[[#This Row],[Name]],Name_list[Full Name],Name_list[Hourr Rate])</f>
        <v>0</v>
      </c>
      <c r="S1546" s="210">
        <f>表格3_5[[#This Row],[Hours Worked]]*表格3_5[[#This Row],[Hourly Rate]]</f>
        <v>0</v>
      </c>
    </row>
    <row r="1547" spans="1:19">
      <c r="A1547" s="201">
        <v>1545</v>
      </c>
      <c r="B1547" s="210" t="str">
        <f>_xlfn.CONCAT(表格3_5[[#This Row],[Name]],表格3_5[[#This Row],[Location]])</f>
        <v/>
      </c>
      <c r="C1547" s="211" t="str">
        <f>表格3_5[[#This Row],[Location]] &amp; 表格3_5[[#This Row],[Date]] &amp;表格3_5[[#This Row],[Nick Name]]</f>
        <v>0</v>
      </c>
      <c r="D1547" s="202"/>
      <c r="E1547" s="211" t="str">
        <f>DAY(表格3_5[[#This Row],[Date]])&amp;""</f>
        <v>0</v>
      </c>
      <c r="F1547" s="203"/>
      <c r="G1547" s="216">
        <f>_xlfn.XLOOKUP(表格3_5[[#This Row],[Name]],Name_list[Full Name],Name_list[Nick Name])</f>
        <v>0</v>
      </c>
      <c r="H1547" s="207"/>
      <c r="I1547" s="228"/>
      <c r="J1547" s="218"/>
      <c r="K1547" s="205"/>
      <c r="L1547" s="210">
        <f>(表格3_5[[#This Row],[Out-Time]] - 表格3_5[[#This Row],[In-Time]])*24</f>
        <v>0</v>
      </c>
      <c r="M1547" s="210">
        <f>表格3_5[[#This Row],[ Hours]]-表格3_5[[#This Row],[Normal working
 hours]]</f>
        <v>0</v>
      </c>
      <c r="N1547" s="205"/>
      <c r="O1547" s="205"/>
      <c r="P1547" s="210">
        <f>(表格3_5[[#This Row],[Out-Time2]] - 表格3_5[[#This Row],[In-Time2]])*24</f>
        <v>0</v>
      </c>
      <c r="Q1547" s="205"/>
      <c r="R1547" s="214">
        <f>_xlfn.XLOOKUP(表格3_5[[#This Row],[Name]],Name_list[Full Name],Name_list[Hourr Rate])</f>
        <v>0</v>
      </c>
      <c r="S1547" s="210">
        <f>表格3_5[[#This Row],[Hours Worked]]*表格3_5[[#This Row],[Hourly Rate]]</f>
        <v>0</v>
      </c>
    </row>
    <row r="1548" spans="1:19">
      <c r="A1548" s="201">
        <v>1546</v>
      </c>
      <c r="B1548" s="210" t="str">
        <f>_xlfn.CONCAT(表格3_5[[#This Row],[Name]],表格3_5[[#This Row],[Location]])</f>
        <v/>
      </c>
      <c r="C1548" s="211" t="str">
        <f>表格3_5[[#This Row],[Location]] &amp; 表格3_5[[#This Row],[Date]] &amp;表格3_5[[#This Row],[Nick Name]]</f>
        <v>0</v>
      </c>
      <c r="D1548" s="202"/>
      <c r="E1548" s="211" t="str">
        <f>DAY(表格3_5[[#This Row],[Date]])&amp;""</f>
        <v>0</v>
      </c>
      <c r="F1548" s="203"/>
      <c r="G1548" s="216">
        <f>_xlfn.XLOOKUP(表格3_5[[#This Row],[Name]],Name_list[Full Name],Name_list[Nick Name])</f>
        <v>0</v>
      </c>
      <c r="H1548" s="207"/>
      <c r="I1548" s="228"/>
      <c r="J1548" s="218"/>
      <c r="K1548" s="205"/>
      <c r="L1548" s="210">
        <f>(表格3_5[[#This Row],[Out-Time]] - 表格3_5[[#This Row],[In-Time]])*24</f>
        <v>0</v>
      </c>
      <c r="M1548" s="210">
        <f>表格3_5[[#This Row],[ Hours]]-表格3_5[[#This Row],[Normal working
 hours]]</f>
        <v>0</v>
      </c>
      <c r="N1548" s="205"/>
      <c r="O1548" s="205"/>
      <c r="P1548" s="210">
        <f>(表格3_5[[#This Row],[Out-Time2]] - 表格3_5[[#This Row],[In-Time2]])*24</f>
        <v>0</v>
      </c>
      <c r="Q1548" s="205"/>
      <c r="R1548" s="214">
        <f>_xlfn.XLOOKUP(表格3_5[[#This Row],[Name]],Name_list[Full Name],Name_list[Hourr Rate])</f>
        <v>0</v>
      </c>
      <c r="S1548" s="210">
        <f>表格3_5[[#This Row],[Hours Worked]]*表格3_5[[#This Row],[Hourly Rate]]</f>
        <v>0</v>
      </c>
    </row>
    <row r="1549" spans="1:19">
      <c r="A1549" s="201">
        <v>1547</v>
      </c>
      <c r="B1549" s="210" t="str">
        <f>_xlfn.CONCAT(表格3_5[[#This Row],[Name]],表格3_5[[#This Row],[Location]])</f>
        <v/>
      </c>
      <c r="C1549" s="211" t="str">
        <f>表格3_5[[#This Row],[Location]] &amp; 表格3_5[[#This Row],[Date]] &amp;表格3_5[[#This Row],[Nick Name]]</f>
        <v>0</v>
      </c>
      <c r="D1549" s="202"/>
      <c r="E1549" s="211" t="str">
        <f>DAY(表格3_5[[#This Row],[Date]])&amp;""</f>
        <v>0</v>
      </c>
      <c r="F1549" s="203"/>
      <c r="G1549" s="216">
        <f>_xlfn.XLOOKUP(表格3_5[[#This Row],[Name]],Name_list[Full Name],Name_list[Nick Name])</f>
        <v>0</v>
      </c>
      <c r="H1549" s="207"/>
      <c r="I1549" s="228"/>
      <c r="J1549" s="218"/>
      <c r="K1549" s="205"/>
      <c r="L1549" s="210">
        <f>(表格3_5[[#This Row],[Out-Time]] - 表格3_5[[#This Row],[In-Time]])*24</f>
        <v>0</v>
      </c>
      <c r="M1549" s="210">
        <f>表格3_5[[#This Row],[ Hours]]-表格3_5[[#This Row],[Normal working
 hours]]</f>
        <v>0</v>
      </c>
      <c r="N1549" s="205"/>
      <c r="O1549" s="205"/>
      <c r="P1549" s="210">
        <f>(表格3_5[[#This Row],[Out-Time2]] - 表格3_5[[#This Row],[In-Time2]])*24</f>
        <v>0</v>
      </c>
      <c r="Q1549" s="205"/>
      <c r="R1549" s="214">
        <f>_xlfn.XLOOKUP(表格3_5[[#This Row],[Name]],Name_list[Full Name],Name_list[Hourr Rate])</f>
        <v>0</v>
      </c>
      <c r="S1549" s="210">
        <f>表格3_5[[#This Row],[Hours Worked]]*表格3_5[[#This Row],[Hourly Rate]]</f>
        <v>0</v>
      </c>
    </row>
    <row r="1550" spans="1:19">
      <c r="A1550" s="201">
        <v>1548</v>
      </c>
      <c r="B1550" s="210" t="str">
        <f>_xlfn.CONCAT(表格3_5[[#This Row],[Name]],表格3_5[[#This Row],[Location]])</f>
        <v/>
      </c>
      <c r="C1550" s="211" t="str">
        <f>表格3_5[[#This Row],[Location]] &amp; 表格3_5[[#This Row],[Date]] &amp;表格3_5[[#This Row],[Nick Name]]</f>
        <v>0</v>
      </c>
      <c r="D1550" s="202"/>
      <c r="E1550" s="211" t="str">
        <f>DAY(表格3_5[[#This Row],[Date]])&amp;""</f>
        <v>0</v>
      </c>
      <c r="F1550" s="203"/>
      <c r="G1550" s="216">
        <f>_xlfn.XLOOKUP(表格3_5[[#This Row],[Name]],Name_list[Full Name],Name_list[Nick Name])</f>
        <v>0</v>
      </c>
      <c r="H1550" s="207"/>
      <c r="I1550" s="228"/>
      <c r="J1550" s="218"/>
      <c r="K1550" s="205"/>
      <c r="L1550" s="210">
        <f>(表格3_5[[#This Row],[Out-Time]] - 表格3_5[[#This Row],[In-Time]])*24</f>
        <v>0</v>
      </c>
      <c r="M1550" s="210">
        <f>表格3_5[[#This Row],[ Hours]]-表格3_5[[#This Row],[Normal working
 hours]]</f>
        <v>0</v>
      </c>
      <c r="N1550" s="205"/>
      <c r="O1550" s="205"/>
      <c r="P1550" s="210">
        <f>(表格3_5[[#This Row],[Out-Time2]] - 表格3_5[[#This Row],[In-Time2]])*24</f>
        <v>0</v>
      </c>
      <c r="Q1550" s="205"/>
      <c r="R1550" s="214">
        <f>_xlfn.XLOOKUP(表格3_5[[#This Row],[Name]],Name_list[Full Name],Name_list[Hourr Rate])</f>
        <v>0</v>
      </c>
      <c r="S1550" s="210">
        <f>表格3_5[[#This Row],[Hours Worked]]*表格3_5[[#This Row],[Hourly Rate]]</f>
        <v>0</v>
      </c>
    </row>
    <row r="1551" spans="1:19">
      <c r="A1551" s="201">
        <v>1549</v>
      </c>
      <c r="B1551" s="210" t="str">
        <f>_xlfn.CONCAT(表格3_5[[#This Row],[Name]],表格3_5[[#This Row],[Location]])</f>
        <v/>
      </c>
      <c r="C1551" s="211" t="str">
        <f>表格3_5[[#This Row],[Location]] &amp; 表格3_5[[#This Row],[Date]] &amp;表格3_5[[#This Row],[Nick Name]]</f>
        <v>0</v>
      </c>
      <c r="D1551" s="202"/>
      <c r="E1551" s="211" t="str">
        <f>DAY(表格3_5[[#This Row],[Date]])&amp;""</f>
        <v>0</v>
      </c>
      <c r="F1551" s="203"/>
      <c r="G1551" s="216">
        <f>_xlfn.XLOOKUP(表格3_5[[#This Row],[Name]],Name_list[Full Name],Name_list[Nick Name])</f>
        <v>0</v>
      </c>
      <c r="H1551" s="207"/>
      <c r="I1551" s="228"/>
      <c r="J1551" s="218"/>
      <c r="K1551" s="205"/>
      <c r="L1551" s="210">
        <f>(表格3_5[[#This Row],[Out-Time]] - 表格3_5[[#This Row],[In-Time]])*24</f>
        <v>0</v>
      </c>
      <c r="M1551" s="210">
        <f>表格3_5[[#This Row],[ Hours]]-表格3_5[[#This Row],[Normal working
 hours]]</f>
        <v>0</v>
      </c>
      <c r="N1551" s="205"/>
      <c r="O1551" s="205"/>
      <c r="P1551" s="210">
        <f>(表格3_5[[#This Row],[Out-Time2]] - 表格3_5[[#This Row],[In-Time2]])*24</f>
        <v>0</v>
      </c>
      <c r="Q1551" s="205"/>
      <c r="R1551" s="214">
        <f>_xlfn.XLOOKUP(表格3_5[[#This Row],[Name]],Name_list[Full Name],Name_list[Hourr Rate])</f>
        <v>0</v>
      </c>
      <c r="S1551" s="210">
        <f>表格3_5[[#This Row],[Hours Worked]]*表格3_5[[#This Row],[Hourly Rate]]</f>
        <v>0</v>
      </c>
    </row>
    <row r="1552" spans="1:19">
      <c r="A1552" s="201">
        <v>1550</v>
      </c>
      <c r="B1552" s="210" t="str">
        <f>_xlfn.CONCAT(表格3_5[[#This Row],[Name]],表格3_5[[#This Row],[Location]])</f>
        <v/>
      </c>
      <c r="C1552" s="211" t="str">
        <f>表格3_5[[#This Row],[Location]] &amp; 表格3_5[[#This Row],[Date]] &amp;表格3_5[[#This Row],[Nick Name]]</f>
        <v>0</v>
      </c>
      <c r="D1552" s="202"/>
      <c r="E1552" s="211" t="str">
        <f>DAY(表格3_5[[#This Row],[Date]])&amp;""</f>
        <v>0</v>
      </c>
      <c r="F1552" s="203"/>
      <c r="G1552" s="216">
        <f>_xlfn.XLOOKUP(表格3_5[[#This Row],[Name]],Name_list[Full Name],Name_list[Nick Name])</f>
        <v>0</v>
      </c>
      <c r="H1552" s="207"/>
      <c r="I1552" s="228"/>
      <c r="J1552" s="218"/>
      <c r="K1552" s="205"/>
      <c r="L1552" s="210">
        <f>(表格3_5[[#This Row],[Out-Time]] - 表格3_5[[#This Row],[In-Time]])*24</f>
        <v>0</v>
      </c>
      <c r="M1552" s="210">
        <f>表格3_5[[#This Row],[ Hours]]-表格3_5[[#This Row],[Normal working
 hours]]</f>
        <v>0</v>
      </c>
      <c r="N1552" s="205"/>
      <c r="O1552" s="205"/>
      <c r="P1552" s="210">
        <f>(表格3_5[[#This Row],[Out-Time2]] - 表格3_5[[#This Row],[In-Time2]])*24</f>
        <v>0</v>
      </c>
      <c r="Q1552" s="205"/>
      <c r="R1552" s="214">
        <f>_xlfn.XLOOKUP(表格3_5[[#This Row],[Name]],Name_list[Full Name],Name_list[Hourr Rate])</f>
        <v>0</v>
      </c>
      <c r="S1552" s="210">
        <f>表格3_5[[#This Row],[Hours Worked]]*表格3_5[[#This Row],[Hourly Rate]]</f>
        <v>0</v>
      </c>
    </row>
    <row r="1553" spans="1:19">
      <c r="A1553" s="201">
        <v>1551</v>
      </c>
      <c r="B1553" s="210" t="str">
        <f>_xlfn.CONCAT(表格3_5[[#This Row],[Name]],表格3_5[[#This Row],[Location]])</f>
        <v/>
      </c>
      <c r="C1553" s="211" t="str">
        <f>表格3_5[[#This Row],[Location]] &amp; 表格3_5[[#This Row],[Date]] &amp;表格3_5[[#This Row],[Nick Name]]</f>
        <v>0</v>
      </c>
      <c r="D1553" s="202"/>
      <c r="E1553" s="211" t="str">
        <f>DAY(表格3_5[[#This Row],[Date]])&amp;""</f>
        <v>0</v>
      </c>
      <c r="F1553" s="203"/>
      <c r="G1553" s="216">
        <f>_xlfn.XLOOKUP(表格3_5[[#This Row],[Name]],Name_list[Full Name],Name_list[Nick Name])</f>
        <v>0</v>
      </c>
      <c r="H1553" s="207"/>
      <c r="I1553" s="228"/>
      <c r="J1553" s="218"/>
      <c r="K1553" s="205"/>
      <c r="L1553" s="210">
        <f>(表格3_5[[#This Row],[Out-Time]] - 表格3_5[[#This Row],[In-Time]])*24</f>
        <v>0</v>
      </c>
      <c r="M1553" s="210">
        <f>表格3_5[[#This Row],[ Hours]]-表格3_5[[#This Row],[Normal working
 hours]]</f>
        <v>0</v>
      </c>
      <c r="N1553" s="205"/>
      <c r="O1553" s="205"/>
      <c r="P1553" s="210">
        <f>(表格3_5[[#This Row],[Out-Time2]] - 表格3_5[[#This Row],[In-Time2]])*24</f>
        <v>0</v>
      </c>
      <c r="Q1553" s="205"/>
      <c r="R1553" s="214">
        <f>_xlfn.XLOOKUP(表格3_5[[#This Row],[Name]],Name_list[Full Name],Name_list[Hourr Rate])</f>
        <v>0</v>
      </c>
      <c r="S1553" s="210">
        <f>表格3_5[[#This Row],[Hours Worked]]*表格3_5[[#This Row],[Hourly Rate]]</f>
        <v>0</v>
      </c>
    </row>
    <row r="1554" spans="1:19">
      <c r="A1554" s="201">
        <v>1552</v>
      </c>
      <c r="B1554" s="210" t="str">
        <f>_xlfn.CONCAT(表格3_5[[#This Row],[Name]],表格3_5[[#This Row],[Location]])</f>
        <v/>
      </c>
      <c r="C1554" s="211" t="str">
        <f>表格3_5[[#This Row],[Location]] &amp; 表格3_5[[#This Row],[Date]] &amp;表格3_5[[#This Row],[Nick Name]]</f>
        <v>0</v>
      </c>
      <c r="D1554" s="202"/>
      <c r="E1554" s="211" t="str">
        <f>DAY(表格3_5[[#This Row],[Date]])&amp;""</f>
        <v>0</v>
      </c>
      <c r="F1554" s="203"/>
      <c r="G1554" s="216">
        <f>_xlfn.XLOOKUP(表格3_5[[#This Row],[Name]],Name_list[Full Name],Name_list[Nick Name])</f>
        <v>0</v>
      </c>
      <c r="H1554" s="207"/>
      <c r="I1554" s="228"/>
      <c r="J1554" s="218"/>
      <c r="K1554" s="205"/>
      <c r="L1554" s="210">
        <f>(表格3_5[[#This Row],[Out-Time]] - 表格3_5[[#This Row],[In-Time]])*24</f>
        <v>0</v>
      </c>
      <c r="M1554" s="210">
        <f>表格3_5[[#This Row],[ Hours]]-表格3_5[[#This Row],[Normal working
 hours]]</f>
        <v>0</v>
      </c>
      <c r="N1554" s="205"/>
      <c r="O1554" s="205"/>
      <c r="P1554" s="210">
        <f>(表格3_5[[#This Row],[Out-Time2]] - 表格3_5[[#This Row],[In-Time2]])*24</f>
        <v>0</v>
      </c>
      <c r="Q1554" s="205"/>
      <c r="R1554" s="214">
        <f>_xlfn.XLOOKUP(表格3_5[[#This Row],[Name]],Name_list[Full Name],Name_list[Hourr Rate])</f>
        <v>0</v>
      </c>
      <c r="S1554" s="210">
        <f>表格3_5[[#This Row],[Hours Worked]]*表格3_5[[#This Row],[Hourly Rate]]</f>
        <v>0</v>
      </c>
    </row>
    <row r="1555" spans="1:19">
      <c r="A1555" s="201">
        <v>1553</v>
      </c>
      <c r="B1555" s="210" t="str">
        <f>_xlfn.CONCAT(表格3_5[[#This Row],[Name]],表格3_5[[#This Row],[Location]])</f>
        <v/>
      </c>
      <c r="C1555" s="211" t="str">
        <f>表格3_5[[#This Row],[Location]] &amp; 表格3_5[[#This Row],[Date]] &amp;表格3_5[[#This Row],[Nick Name]]</f>
        <v>0</v>
      </c>
      <c r="D1555" s="202"/>
      <c r="E1555" s="211" t="str">
        <f>DAY(表格3_5[[#This Row],[Date]])&amp;""</f>
        <v>0</v>
      </c>
      <c r="F1555" s="203"/>
      <c r="G1555" s="216">
        <f>_xlfn.XLOOKUP(表格3_5[[#This Row],[Name]],Name_list[Full Name],Name_list[Nick Name])</f>
        <v>0</v>
      </c>
      <c r="H1555" s="207"/>
      <c r="I1555" s="228"/>
      <c r="J1555" s="218"/>
      <c r="K1555" s="205"/>
      <c r="L1555" s="210">
        <f>(表格3_5[[#This Row],[Out-Time]] - 表格3_5[[#This Row],[In-Time]])*24</f>
        <v>0</v>
      </c>
      <c r="M1555" s="210">
        <f>表格3_5[[#This Row],[ Hours]]-表格3_5[[#This Row],[Normal working
 hours]]</f>
        <v>0</v>
      </c>
      <c r="N1555" s="205"/>
      <c r="O1555" s="205"/>
      <c r="P1555" s="210">
        <f>(表格3_5[[#This Row],[Out-Time2]] - 表格3_5[[#This Row],[In-Time2]])*24</f>
        <v>0</v>
      </c>
      <c r="Q1555" s="205"/>
      <c r="R1555" s="214">
        <f>_xlfn.XLOOKUP(表格3_5[[#This Row],[Name]],Name_list[Full Name],Name_list[Hourr Rate])</f>
        <v>0</v>
      </c>
      <c r="S1555" s="210">
        <f>表格3_5[[#This Row],[Hours Worked]]*表格3_5[[#This Row],[Hourly Rate]]</f>
        <v>0</v>
      </c>
    </row>
    <row r="1556" spans="1:19">
      <c r="A1556" s="201">
        <v>1554</v>
      </c>
      <c r="B1556" s="210" t="str">
        <f>_xlfn.CONCAT(表格3_5[[#This Row],[Name]],表格3_5[[#This Row],[Location]])</f>
        <v/>
      </c>
      <c r="C1556" s="211" t="str">
        <f>表格3_5[[#This Row],[Location]] &amp; 表格3_5[[#This Row],[Date]] &amp;表格3_5[[#This Row],[Nick Name]]</f>
        <v>0</v>
      </c>
      <c r="D1556" s="202"/>
      <c r="E1556" s="211" t="str">
        <f>DAY(表格3_5[[#This Row],[Date]])&amp;""</f>
        <v>0</v>
      </c>
      <c r="F1556" s="203"/>
      <c r="G1556" s="216">
        <f>_xlfn.XLOOKUP(表格3_5[[#This Row],[Name]],Name_list[Full Name],Name_list[Nick Name])</f>
        <v>0</v>
      </c>
      <c r="H1556" s="207"/>
      <c r="I1556" s="228"/>
      <c r="J1556" s="218"/>
      <c r="K1556" s="205"/>
      <c r="L1556" s="210">
        <f>(表格3_5[[#This Row],[Out-Time]] - 表格3_5[[#This Row],[In-Time]])*24</f>
        <v>0</v>
      </c>
      <c r="M1556" s="210">
        <f>表格3_5[[#This Row],[ Hours]]-表格3_5[[#This Row],[Normal working
 hours]]</f>
        <v>0</v>
      </c>
      <c r="N1556" s="205"/>
      <c r="O1556" s="205"/>
      <c r="P1556" s="210">
        <f>(表格3_5[[#This Row],[Out-Time2]] - 表格3_5[[#This Row],[In-Time2]])*24</f>
        <v>0</v>
      </c>
      <c r="Q1556" s="205"/>
      <c r="R1556" s="214">
        <f>_xlfn.XLOOKUP(表格3_5[[#This Row],[Name]],Name_list[Full Name],Name_list[Hourr Rate])</f>
        <v>0</v>
      </c>
      <c r="S1556" s="210">
        <f>表格3_5[[#This Row],[Hours Worked]]*表格3_5[[#This Row],[Hourly Rate]]</f>
        <v>0</v>
      </c>
    </row>
    <row r="1557" spans="1:19">
      <c r="A1557" s="201">
        <v>1555</v>
      </c>
      <c r="B1557" s="210" t="str">
        <f>_xlfn.CONCAT(表格3_5[[#This Row],[Name]],表格3_5[[#This Row],[Location]])</f>
        <v/>
      </c>
      <c r="C1557" s="211" t="str">
        <f>表格3_5[[#This Row],[Location]] &amp; 表格3_5[[#This Row],[Date]] &amp;表格3_5[[#This Row],[Nick Name]]</f>
        <v>0</v>
      </c>
      <c r="D1557" s="202"/>
      <c r="E1557" s="211" t="str">
        <f>DAY(表格3_5[[#This Row],[Date]])&amp;""</f>
        <v>0</v>
      </c>
      <c r="F1557" s="203"/>
      <c r="G1557" s="216">
        <f>_xlfn.XLOOKUP(表格3_5[[#This Row],[Name]],Name_list[Full Name],Name_list[Nick Name])</f>
        <v>0</v>
      </c>
      <c r="H1557" s="207"/>
      <c r="I1557" s="228"/>
      <c r="J1557" s="218"/>
      <c r="K1557" s="205"/>
      <c r="L1557" s="210">
        <f>(表格3_5[[#This Row],[Out-Time]] - 表格3_5[[#This Row],[In-Time]])*24</f>
        <v>0</v>
      </c>
      <c r="M1557" s="210">
        <f>表格3_5[[#This Row],[ Hours]]-表格3_5[[#This Row],[Normal working
 hours]]</f>
        <v>0</v>
      </c>
      <c r="N1557" s="205"/>
      <c r="O1557" s="205"/>
      <c r="P1557" s="210">
        <f>(表格3_5[[#This Row],[Out-Time2]] - 表格3_5[[#This Row],[In-Time2]])*24</f>
        <v>0</v>
      </c>
      <c r="Q1557" s="205"/>
      <c r="R1557" s="214">
        <f>_xlfn.XLOOKUP(表格3_5[[#This Row],[Name]],Name_list[Full Name],Name_list[Hourr Rate])</f>
        <v>0</v>
      </c>
      <c r="S1557" s="210">
        <f>表格3_5[[#This Row],[Hours Worked]]*表格3_5[[#This Row],[Hourly Rate]]</f>
        <v>0</v>
      </c>
    </row>
    <row r="1558" spans="1:19">
      <c r="A1558" s="201">
        <v>1556</v>
      </c>
      <c r="B1558" s="210" t="str">
        <f>_xlfn.CONCAT(表格3_5[[#This Row],[Name]],表格3_5[[#This Row],[Location]])</f>
        <v/>
      </c>
      <c r="C1558" s="211" t="str">
        <f>表格3_5[[#This Row],[Location]] &amp; 表格3_5[[#This Row],[Date]] &amp;表格3_5[[#This Row],[Nick Name]]</f>
        <v>0</v>
      </c>
      <c r="D1558" s="202"/>
      <c r="E1558" s="211" t="str">
        <f>DAY(表格3_5[[#This Row],[Date]])&amp;""</f>
        <v>0</v>
      </c>
      <c r="F1558" s="203"/>
      <c r="G1558" s="216">
        <f>_xlfn.XLOOKUP(表格3_5[[#This Row],[Name]],Name_list[Full Name],Name_list[Nick Name])</f>
        <v>0</v>
      </c>
      <c r="H1558" s="207"/>
      <c r="I1558" s="228"/>
      <c r="J1558" s="218"/>
      <c r="K1558" s="205"/>
      <c r="L1558" s="210">
        <f>(表格3_5[[#This Row],[Out-Time]] - 表格3_5[[#This Row],[In-Time]])*24</f>
        <v>0</v>
      </c>
      <c r="M1558" s="210">
        <f>表格3_5[[#This Row],[ Hours]]-表格3_5[[#This Row],[Normal working
 hours]]</f>
        <v>0</v>
      </c>
      <c r="N1558" s="205"/>
      <c r="O1558" s="205"/>
      <c r="P1558" s="210">
        <f>(表格3_5[[#This Row],[Out-Time2]] - 表格3_5[[#This Row],[In-Time2]])*24</f>
        <v>0</v>
      </c>
      <c r="Q1558" s="205"/>
      <c r="R1558" s="214">
        <f>_xlfn.XLOOKUP(表格3_5[[#This Row],[Name]],Name_list[Full Name],Name_list[Hourr Rate])</f>
        <v>0</v>
      </c>
      <c r="S1558" s="210">
        <f>表格3_5[[#This Row],[Hours Worked]]*表格3_5[[#This Row],[Hourly Rate]]</f>
        <v>0</v>
      </c>
    </row>
    <row r="1559" spans="1:19">
      <c r="A1559" s="201">
        <v>1557</v>
      </c>
      <c r="B1559" s="210" t="str">
        <f>_xlfn.CONCAT(表格3_5[[#This Row],[Name]],表格3_5[[#This Row],[Location]])</f>
        <v/>
      </c>
      <c r="C1559" s="211" t="str">
        <f>表格3_5[[#This Row],[Location]] &amp; 表格3_5[[#This Row],[Date]] &amp;表格3_5[[#This Row],[Nick Name]]</f>
        <v>0</v>
      </c>
      <c r="D1559" s="202"/>
      <c r="E1559" s="211" t="str">
        <f>DAY(表格3_5[[#This Row],[Date]])&amp;""</f>
        <v>0</v>
      </c>
      <c r="F1559" s="203"/>
      <c r="G1559" s="216">
        <f>_xlfn.XLOOKUP(表格3_5[[#This Row],[Name]],Name_list[Full Name],Name_list[Nick Name])</f>
        <v>0</v>
      </c>
      <c r="H1559" s="207"/>
      <c r="I1559" s="228"/>
      <c r="J1559" s="218"/>
      <c r="K1559" s="205"/>
      <c r="L1559" s="210">
        <f>(表格3_5[[#This Row],[Out-Time]] - 表格3_5[[#This Row],[In-Time]])*24</f>
        <v>0</v>
      </c>
      <c r="M1559" s="210">
        <f>表格3_5[[#This Row],[ Hours]]-表格3_5[[#This Row],[Normal working
 hours]]</f>
        <v>0</v>
      </c>
      <c r="N1559" s="205"/>
      <c r="O1559" s="205"/>
      <c r="P1559" s="210">
        <f>(表格3_5[[#This Row],[Out-Time2]] - 表格3_5[[#This Row],[In-Time2]])*24</f>
        <v>0</v>
      </c>
      <c r="Q1559" s="205"/>
      <c r="R1559" s="214">
        <f>_xlfn.XLOOKUP(表格3_5[[#This Row],[Name]],Name_list[Full Name],Name_list[Hourr Rate])</f>
        <v>0</v>
      </c>
      <c r="S1559" s="210">
        <f>表格3_5[[#This Row],[Hours Worked]]*表格3_5[[#This Row],[Hourly Rate]]</f>
        <v>0</v>
      </c>
    </row>
    <row r="1560" spans="1:19">
      <c r="A1560" s="201">
        <v>1558</v>
      </c>
      <c r="B1560" s="210" t="str">
        <f>_xlfn.CONCAT(表格3_5[[#This Row],[Name]],表格3_5[[#This Row],[Location]])</f>
        <v/>
      </c>
      <c r="C1560" s="211" t="str">
        <f>表格3_5[[#This Row],[Location]] &amp; 表格3_5[[#This Row],[Date]] &amp;表格3_5[[#This Row],[Nick Name]]</f>
        <v>0</v>
      </c>
      <c r="D1560" s="202"/>
      <c r="E1560" s="211" t="str">
        <f>DAY(表格3_5[[#This Row],[Date]])&amp;""</f>
        <v>0</v>
      </c>
      <c r="F1560" s="203"/>
      <c r="G1560" s="216">
        <f>_xlfn.XLOOKUP(表格3_5[[#This Row],[Name]],Name_list[Full Name],Name_list[Nick Name])</f>
        <v>0</v>
      </c>
      <c r="H1560" s="207"/>
      <c r="I1560" s="228"/>
      <c r="J1560" s="218"/>
      <c r="K1560" s="205"/>
      <c r="L1560" s="210">
        <f>(表格3_5[[#This Row],[Out-Time]] - 表格3_5[[#This Row],[In-Time]])*24</f>
        <v>0</v>
      </c>
      <c r="M1560" s="210">
        <f>表格3_5[[#This Row],[ Hours]]-表格3_5[[#This Row],[Normal working
 hours]]</f>
        <v>0</v>
      </c>
      <c r="N1560" s="205"/>
      <c r="O1560" s="205"/>
      <c r="P1560" s="210">
        <f>(表格3_5[[#This Row],[Out-Time2]] - 表格3_5[[#This Row],[In-Time2]])*24</f>
        <v>0</v>
      </c>
      <c r="Q1560" s="205"/>
      <c r="R1560" s="214">
        <f>_xlfn.XLOOKUP(表格3_5[[#This Row],[Name]],Name_list[Full Name],Name_list[Hourr Rate])</f>
        <v>0</v>
      </c>
      <c r="S1560" s="210">
        <f>表格3_5[[#This Row],[Hours Worked]]*表格3_5[[#This Row],[Hourly Rate]]</f>
        <v>0</v>
      </c>
    </row>
    <row r="1561" spans="1:19">
      <c r="A1561" s="201">
        <v>1559</v>
      </c>
      <c r="B1561" s="210" t="str">
        <f>_xlfn.CONCAT(表格3_5[[#This Row],[Name]],表格3_5[[#This Row],[Location]])</f>
        <v/>
      </c>
      <c r="C1561" s="211" t="str">
        <f>表格3_5[[#This Row],[Location]] &amp; 表格3_5[[#This Row],[Date]] &amp;表格3_5[[#This Row],[Nick Name]]</f>
        <v>0</v>
      </c>
      <c r="D1561" s="202"/>
      <c r="E1561" s="211" t="str">
        <f>DAY(表格3_5[[#This Row],[Date]])&amp;""</f>
        <v>0</v>
      </c>
      <c r="F1561" s="203"/>
      <c r="G1561" s="216">
        <f>_xlfn.XLOOKUP(表格3_5[[#This Row],[Name]],Name_list[Full Name],Name_list[Nick Name])</f>
        <v>0</v>
      </c>
      <c r="H1561" s="207"/>
      <c r="I1561" s="228"/>
      <c r="J1561" s="218"/>
      <c r="K1561" s="205"/>
      <c r="L1561" s="210">
        <f>(表格3_5[[#This Row],[Out-Time]] - 表格3_5[[#This Row],[In-Time]])*24</f>
        <v>0</v>
      </c>
      <c r="M1561" s="210">
        <f>表格3_5[[#This Row],[ Hours]]-表格3_5[[#This Row],[Normal working
 hours]]</f>
        <v>0</v>
      </c>
      <c r="N1561" s="205"/>
      <c r="O1561" s="205"/>
      <c r="P1561" s="210">
        <f>(表格3_5[[#This Row],[Out-Time2]] - 表格3_5[[#This Row],[In-Time2]])*24</f>
        <v>0</v>
      </c>
      <c r="Q1561" s="205"/>
      <c r="R1561" s="214">
        <f>_xlfn.XLOOKUP(表格3_5[[#This Row],[Name]],Name_list[Full Name],Name_list[Hourr Rate])</f>
        <v>0</v>
      </c>
      <c r="S1561" s="210">
        <f>表格3_5[[#This Row],[Hours Worked]]*表格3_5[[#This Row],[Hourly Rate]]</f>
        <v>0</v>
      </c>
    </row>
    <row r="1562" spans="1:19">
      <c r="A1562" s="201">
        <v>1560</v>
      </c>
      <c r="B1562" s="210" t="str">
        <f>_xlfn.CONCAT(表格3_5[[#This Row],[Name]],表格3_5[[#This Row],[Location]])</f>
        <v/>
      </c>
      <c r="C1562" s="211" t="str">
        <f>表格3_5[[#This Row],[Location]] &amp; 表格3_5[[#This Row],[Date]] &amp;表格3_5[[#This Row],[Nick Name]]</f>
        <v>0</v>
      </c>
      <c r="D1562" s="202"/>
      <c r="E1562" s="211" t="str">
        <f>DAY(表格3_5[[#This Row],[Date]])&amp;""</f>
        <v>0</v>
      </c>
      <c r="F1562" s="203"/>
      <c r="G1562" s="216">
        <f>_xlfn.XLOOKUP(表格3_5[[#This Row],[Name]],Name_list[Full Name],Name_list[Nick Name])</f>
        <v>0</v>
      </c>
      <c r="H1562" s="207"/>
      <c r="I1562" s="228"/>
      <c r="J1562" s="218"/>
      <c r="K1562" s="205"/>
      <c r="L1562" s="210">
        <f>(表格3_5[[#This Row],[Out-Time]] - 表格3_5[[#This Row],[In-Time]])*24</f>
        <v>0</v>
      </c>
      <c r="M1562" s="210">
        <f>表格3_5[[#This Row],[ Hours]]-表格3_5[[#This Row],[Normal working
 hours]]</f>
        <v>0</v>
      </c>
      <c r="N1562" s="205"/>
      <c r="O1562" s="205"/>
      <c r="P1562" s="210">
        <f>(表格3_5[[#This Row],[Out-Time2]] - 表格3_5[[#This Row],[In-Time2]])*24</f>
        <v>0</v>
      </c>
      <c r="Q1562" s="205"/>
      <c r="R1562" s="214">
        <f>_xlfn.XLOOKUP(表格3_5[[#This Row],[Name]],Name_list[Full Name],Name_list[Hourr Rate])</f>
        <v>0</v>
      </c>
      <c r="S1562" s="210">
        <f>表格3_5[[#This Row],[Hours Worked]]*表格3_5[[#This Row],[Hourly Rate]]</f>
        <v>0</v>
      </c>
    </row>
    <row r="1563" spans="1:19">
      <c r="A1563" s="201">
        <v>1561</v>
      </c>
      <c r="B1563" s="210" t="str">
        <f>_xlfn.CONCAT(表格3_5[[#This Row],[Name]],表格3_5[[#This Row],[Location]])</f>
        <v/>
      </c>
      <c r="C1563" s="211" t="str">
        <f>表格3_5[[#This Row],[Location]] &amp; 表格3_5[[#This Row],[Date]] &amp;表格3_5[[#This Row],[Nick Name]]</f>
        <v>0</v>
      </c>
      <c r="D1563" s="202"/>
      <c r="E1563" s="211" t="str">
        <f>DAY(表格3_5[[#This Row],[Date]])&amp;""</f>
        <v>0</v>
      </c>
      <c r="F1563" s="203"/>
      <c r="G1563" s="216">
        <f>_xlfn.XLOOKUP(表格3_5[[#This Row],[Name]],Name_list[Full Name],Name_list[Nick Name])</f>
        <v>0</v>
      </c>
      <c r="H1563" s="207"/>
      <c r="I1563" s="228"/>
      <c r="J1563" s="218"/>
      <c r="K1563" s="205"/>
      <c r="L1563" s="210">
        <f>(表格3_5[[#This Row],[Out-Time]] - 表格3_5[[#This Row],[In-Time]])*24</f>
        <v>0</v>
      </c>
      <c r="M1563" s="210">
        <f>表格3_5[[#This Row],[ Hours]]-表格3_5[[#This Row],[Normal working
 hours]]</f>
        <v>0</v>
      </c>
      <c r="N1563" s="205"/>
      <c r="O1563" s="205"/>
      <c r="P1563" s="210">
        <f>(表格3_5[[#This Row],[Out-Time2]] - 表格3_5[[#This Row],[In-Time2]])*24</f>
        <v>0</v>
      </c>
      <c r="Q1563" s="205"/>
      <c r="R1563" s="214">
        <f>_xlfn.XLOOKUP(表格3_5[[#This Row],[Name]],Name_list[Full Name],Name_list[Hourr Rate])</f>
        <v>0</v>
      </c>
      <c r="S1563" s="210">
        <f>表格3_5[[#This Row],[Hours Worked]]*表格3_5[[#This Row],[Hourly Rate]]</f>
        <v>0</v>
      </c>
    </row>
    <row r="1564" spans="1:19">
      <c r="A1564" s="201">
        <v>1562</v>
      </c>
      <c r="B1564" s="210" t="str">
        <f>_xlfn.CONCAT(表格3_5[[#This Row],[Name]],表格3_5[[#This Row],[Location]])</f>
        <v/>
      </c>
      <c r="C1564" s="211" t="str">
        <f>表格3_5[[#This Row],[Location]] &amp; 表格3_5[[#This Row],[Date]] &amp;表格3_5[[#This Row],[Nick Name]]</f>
        <v>0</v>
      </c>
      <c r="D1564" s="202"/>
      <c r="E1564" s="211" t="str">
        <f>DAY(表格3_5[[#This Row],[Date]])&amp;""</f>
        <v>0</v>
      </c>
      <c r="F1564" s="203"/>
      <c r="G1564" s="216">
        <f>_xlfn.XLOOKUP(表格3_5[[#This Row],[Name]],Name_list[Full Name],Name_list[Nick Name])</f>
        <v>0</v>
      </c>
      <c r="H1564" s="207"/>
      <c r="I1564" s="228"/>
      <c r="J1564" s="218"/>
      <c r="K1564" s="205"/>
      <c r="L1564" s="210">
        <f>(表格3_5[[#This Row],[Out-Time]] - 表格3_5[[#This Row],[In-Time]])*24</f>
        <v>0</v>
      </c>
      <c r="M1564" s="210">
        <f>表格3_5[[#This Row],[ Hours]]-表格3_5[[#This Row],[Normal working
 hours]]</f>
        <v>0</v>
      </c>
      <c r="N1564" s="205"/>
      <c r="O1564" s="205"/>
      <c r="P1564" s="210">
        <f>(表格3_5[[#This Row],[Out-Time2]] - 表格3_5[[#This Row],[In-Time2]])*24</f>
        <v>0</v>
      </c>
      <c r="Q1564" s="205"/>
      <c r="R1564" s="214">
        <f>_xlfn.XLOOKUP(表格3_5[[#This Row],[Name]],Name_list[Full Name],Name_list[Hourr Rate])</f>
        <v>0</v>
      </c>
      <c r="S1564" s="210">
        <f>表格3_5[[#This Row],[Hours Worked]]*表格3_5[[#This Row],[Hourly Rate]]</f>
        <v>0</v>
      </c>
    </row>
    <row r="1565" spans="1:19">
      <c r="A1565" s="201">
        <v>1563</v>
      </c>
      <c r="B1565" s="210" t="str">
        <f>_xlfn.CONCAT(表格3_5[[#This Row],[Name]],表格3_5[[#This Row],[Location]])</f>
        <v/>
      </c>
      <c r="C1565" s="211" t="str">
        <f>表格3_5[[#This Row],[Location]] &amp; 表格3_5[[#This Row],[Date]] &amp;表格3_5[[#This Row],[Nick Name]]</f>
        <v>0</v>
      </c>
      <c r="D1565" s="202"/>
      <c r="E1565" s="211" t="str">
        <f>DAY(表格3_5[[#This Row],[Date]])&amp;""</f>
        <v>0</v>
      </c>
      <c r="F1565" s="203"/>
      <c r="G1565" s="216">
        <f>_xlfn.XLOOKUP(表格3_5[[#This Row],[Name]],Name_list[Full Name],Name_list[Nick Name])</f>
        <v>0</v>
      </c>
      <c r="H1565" s="207"/>
      <c r="I1565" s="228"/>
      <c r="J1565" s="218"/>
      <c r="K1565" s="205"/>
      <c r="L1565" s="210">
        <f>(表格3_5[[#This Row],[Out-Time]] - 表格3_5[[#This Row],[In-Time]])*24</f>
        <v>0</v>
      </c>
      <c r="M1565" s="210">
        <f>表格3_5[[#This Row],[ Hours]]-表格3_5[[#This Row],[Normal working
 hours]]</f>
        <v>0</v>
      </c>
      <c r="N1565" s="205"/>
      <c r="O1565" s="205"/>
      <c r="P1565" s="210">
        <f>(表格3_5[[#This Row],[Out-Time2]] - 表格3_5[[#This Row],[In-Time2]])*24</f>
        <v>0</v>
      </c>
      <c r="Q1565" s="205"/>
      <c r="R1565" s="214">
        <f>_xlfn.XLOOKUP(表格3_5[[#This Row],[Name]],Name_list[Full Name],Name_list[Hourr Rate])</f>
        <v>0</v>
      </c>
      <c r="S1565" s="210">
        <f>表格3_5[[#This Row],[Hours Worked]]*表格3_5[[#This Row],[Hourly Rate]]</f>
        <v>0</v>
      </c>
    </row>
    <row r="1566" spans="1:19">
      <c r="A1566" s="201">
        <v>1564</v>
      </c>
      <c r="B1566" s="210" t="str">
        <f>_xlfn.CONCAT(表格3_5[[#This Row],[Name]],表格3_5[[#This Row],[Location]])</f>
        <v/>
      </c>
      <c r="C1566" s="211" t="str">
        <f>表格3_5[[#This Row],[Location]] &amp; 表格3_5[[#This Row],[Date]] &amp;表格3_5[[#This Row],[Nick Name]]</f>
        <v>0</v>
      </c>
      <c r="D1566" s="202"/>
      <c r="E1566" s="211" t="str">
        <f>DAY(表格3_5[[#This Row],[Date]])&amp;""</f>
        <v>0</v>
      </c>
      <c r="F1566" s="203"/>
      <c r="G1566" s="216">
        <f>_xlfn.XLOOKUP(表格3_5[[#This Row],[Name]],Name_list[Full Name],Name_list[Nick Name])</f>
        <v>0</v>
      </c>
      <c r="H1566" s="207"/>
      <c r="I1566" s="228"/>
      <c r="J1566" s="218"/>
      <c r="K1566" s="205"/>
      <c r="L1566" s="210">
        <f>(表格3_5[[#This Row],[Out-Time]] - 表格3_5[[#This Row],[In-Time]])*24</f>
        <v>0</v>
      </c>
      <c r="M1566" s="210">
        <f>表格3_5[[#This Row],[ Hours]]-表格3_5[[#This Row],[Normal working
 hours]]</f>
        <v>0</v>
      </c>
      <c r="N1566" s="205"/>
      <c r="O1566" s="205"/>
      <c r="P1566" s="210">
        <f>(表格3_5[[#This Row],[Out-Time2]] - 表格3_5[[#This Row],[In-Time2]])*24</f>
        <v>0</v>
      </c>
      <c r="Q1566" s="205"/>
      <c r="R1566" s="214">
        <f>_xlfn.XLOOKUP(表格3_5[[#This Row],[Name]],Name_list[Full Name],Name_list[Hourr Rate])</f>
        <v>0</v>
      </c>
      <c r="S1566" s="210">
        <f>表格3_5[[#This Row],[Hours Worked]]*表格3_5[[#This Row],[Hourly Rate]]</f>
        <v>0</v>
      </c>
    </row>
    <row r="1567" spans="1:19">
      <c r="A1567" s="201">
        <v>1565</v>
      </c>
      <c r="B1567" s="210" t="str">
        <f>_xlfn.CONCAT(表格3_5[[#This Row],[Name]],表格3_5[[#This Row],[Location]])</f>
        <v/>
      </c>
      <c r="C1567" s="211" t="str">
        <f>表格3_5[[#This Row],[Location]] &amp; 表格3_5[[#This Row],[Date]] &amp;表格3_5[[#This Row],[Nick Name]]</f>
        <v>0</v>
      </c>
      <c r="D1567" s="202"/>
      <c r="E1567" s="211" t="str">
        <f>DAY(表格3_5[[#This Row],[Date]])&amp;""</f>
        <v>0</v>
      </c>
      <c r="F1567" s="203"/>
      <c r="G1567" s="216">
        <f>_xlfn.XLOOKUP(表格3_5[[#This Row],[Name]],Name_list[Full Name],Name_list[Nick Name])</f>
        <v>0</v>
      </c>
      <c r="H1567" s="207"/>
      <c r="I1567" s="228"/>
      <c r="J1567" s="218"/>
      <c r="K1567" s="205"/>
      <c r="L1567" s="210">
        <f>(表格3_5[[#This Row],[Out-Time]] - 表格3_5[[#This Row],[In-Time]])*24</f>
        <v>0</v>
      </c>
      <c r="M1567" s="210">
        <f>表格3_5[[#This Row],[ Hours]]-表格3_5[[#This Row],[Normal working
 hours]]</f>
        <v>0</v>
      </c>
      <c r="N1567" s="205"/>
      <c r="O1567" s="205"/>
      <c r="P1567" s="210">
        <f>(表格3_5[[#This Row],[Out-Time2]] - 表格3_5[[#This Row],[In-Time2]])*24</f>
        <v>0</v>
      </c>
      <c r="Q1567" s="205"/>
      <c r="R1567" s="214">
        <f>_xlfn.XLOOKUP(表格3_5[[#This Row],[Name]],Name_list[Full Name],Name_list[Hourr Rate])</f>
        <v>0</v>
      </c>
      <c r="S1567" s="210">
        <f>表格3_5[[#This Row],[Hours Worked]]*表格3_5[[#This Row],[Hourly Rate]]</f>
        <v>0</v>
      </c>
    </row>
    <row r="1568" spans="1:19">
      <c r="A1568" s="201">
        <v>1566</v>
      </c>
      <c r="B1568" s="210" t="str">
        <f>_xlfn.CONCAT(表格3_5[[#This Row],[Name]],表格3_5[[#This Row],[Location]])</f>
        <v/>
      </c>
      <c r="C1568" s="211" t="str">
        <f>表格3_5[[#This Row],[Location]] &amp; 表格3_5[[#This Row],[Date]] &amp;表格3_5[[#This Row],[Nick Name]]</f>
        <v>0</v>
      </c>
      <c r="D1568" s="202"/>
      <c r="E1568" s="211" t="str">
        <f>DAY(表格3_5[[#This Row],[Date]])&amp;""</f>
        <v>0</v>
      </c>
      <c r="F1568" s="203"/>
      <c r="G1568" s="216">
        <f>_xlfn.XLOOKUP(表格3_5[[#This Row],[Name]],Name_list[Full Name],Name_list[Nick Name])</f>
        <v>0</v>
      </c>
      <c r="H1568" s="207"/>
      <c r="I1568" s="228"/>
      <c r="J1568" s="218"/>
      <c r="K1568" s="205"/>
      <c r="L1568" s="210">
        <f>(表格3_5[[#This Row],[Out-Time]] - 表格3_5[[#This Row],[In-Time]])*24</f>
        <v>0</v>
      </c>
      <c r="M1568" s="210">
        <f>表格3_5[[#This Row],[ Hours]]-表格3_5[[#This Row],[Normal working
 hours]]</f>
        <v>0</v>
      </c>
      <c r="N1568" s="205"/>
      <c r="O1568" s="205"/>
      <c r="P1568" s="210">
        <f>(表格3_5[[#This Row],[Out-Time2]] - 表格3_5[[#This Row],[In-Time2]])*24</f>
        <v>0</v>
      </c>
      <c r="Q1568" s="205"/>
      <c r="R1568" s="214">
        <f>_xlfn.XLOOKUP(表格3_5[[#This Row],[Name]],Name_list[Full Name],Name_list[Hourr Rate])</f>
        <v>0</v>
      </c>
      <c r="S1568" s="210">
        <f>表格3_5[[#This Row],[Hours Worked]]*表格3_5[[#This Row],[Hourly Rate]]</f>
        <v>0</v>
      </c>
    </row>
    <row r="1569" spans="1:19">
      <c r="A1569" s="201">
        <v>1567</v>
      </c>
      <c r="B1569" s="210" t="str">
        <f>_xlfn.CONCAT(表格3_5[[#This Row],[Name]],表格3_5[[#This Row],[Location]])</f>
        <v/>
      </c>
      <c r="C1569" s="211" t="str">
        <f>表格3_5[[#This Row],[Location]] &amp; 表格3_5[[#This Row],[Date]] &amp;表格3_5[[#This Row],[Nick Name]]</f>
        <v>0</v>
      </c>
      <c r="D1569" s="202"/>
      <c r="E1569" s="211" t="str">
        <f>DAY(表格3_5[[#This Row],[Date]])&amp;""</f>
        <v>0</v>
      </c>
      <c r="F1569" s="203"/>
      <c r="G1569" s="216">
        <f>_xlfn.XLOOKUP(表格3_5[[#This Row],[Name]],Name_list[Full Name],Name_list[Nick Name])</f>
        <v>0</v>
      </c>
      <c r="H1569" s="207"/>
      <c r="I1569" s="228"/>
      <c r="J1569" s="218"/>
      <c r="K1569" s="205"/>
      <c r="L1569" s="210">
        <f>(表格3_5[[#This Row],[Out-Time]] - 表格3_5[[#This Row],[In-Time]])*24</f>
        <v>0</v>
      </c>
      <c r="M1569" s="210">
        <f>表格3_5[[#This Row],[ Hours]]-表格3_5[[#This Row],[Normal working
 hours]]</f>
        <v>0</v>
      </c>
      <c r="N1569" s="205"/>
      <c r="O1569" s="205"/>
      <c r="P1569" s="210">
        <f>(表格3_5[[#This Row],[Out-Time2]] - 表格3_5[[#This Row],[In-Time2]])*24</f>
        <v>0</v>
      </c>
      <c r="Q1569" s="205"/>
      <c r="R1569" s="214">
        <f>_xlfn.XLOOKUP(表格3_5[[#This Row],[Name]],Name_list[Full Name],Name_list[Hourr Rate])</f>
        <v>0</v>
      </c>
      <c r="S1569" s="210">
        <f>表格3_5[[#This Row],[Hours Worked]]*表格3_5[[#This Row],[Hourly Rate]]</f>
        <v>0</v>
      </c>
    </row>
    <row r="1570" spans="1:19">
      <c r="A1570" s="201">
        <v>1568</v>
      </c>
      <c r="B1570" s="210" t="str">
        <f>_xlfn.CONCAT(表格3_5[[#This Row],[Name]],表格3_5[[#This Row],[Location]])</f>
        <v/>
      </c>
      <c r="C1570" s="211" t="str">
        <f>表格3_5[[#This Row],[Location]] &amp; 表格3_5[[#This Row],[Date]] &amp;表格3_5[[#This Row],[Nick Name]]</f>
        <v>0</v>
      </c>
      <c r="D1570" s="202"/>
      <c r="E1570" s="211" t="str">
        <f>DAY(表格3_5[[#This Row],[Date]])&amp;""</f>
        <v>0</v>
      </c>
      <c r="F1570" s="203"/>
      <c r="G1570" s="216">
        <f>_xlfn.XLOOKUP(表格3_5[[#This Row],[Name]],Name_list[Full Name],Name_list[Nick Name])</f>
        <v>0</v>
      </c>
      <c r="H1570" s="207"/>
      <c r="I1570" s="228"/>
      <c r="J1570" s="218"/>
      <c r="K1570" s="205"/>
      <c r="L1570" s="210">
        <f>(表格3_5[[#This Row],[Out-Time]] - 表格3_5[[#This Row],[In-Time]])*24</f>
        <v>0</v>
      </c>
      <c r="M1570" s="210">
        <f>表格3_5[[#This Row],[ Hours]]-表格3_5[[#This Row],[Normal working
 hours]]</f>
        <v>0</v>
      </c>
      <c r="N1570" s="205"/>
      <c r="O1570" s="205"/>
      <c r="P1570" s="210">
        <f>(表格3_5[[#This Row],[Out-Time2]] - 表格3_5[[#This Row],[In-Time2]])*24</f>
        <v>0</v>
      </c>
      <c r="Q1570" s="205"/>
      <c r="R1570" s="214">
        <f>_xlfn.XLOOKUP(表格3_5[[#This Row],[Name]],Name_list[Full Name],Name_list[Hourr Rate])</f>
        <v>0</v>
      </c>
      <c r="S1570" s="210">
        <f>表格3_5[[#This Row],[Hours Worked]]*表格3_5[[#This Row],[Hourly Rate]]</f>
        <v>0</v>
      </c>
    </row>
    <row r="1571" spans="1:19">
      <c r="A1571" s="201">
        <v>1569</v>
      </c>
      <c r="B1571" s="210" t="str">
        <f>_xlfn.CONCAT(表格3_5[[#This Row],[Name]],表格3_5[[#This Row],[Location]])</f>
        <v/>
      </c>
      <c r="C1571" s="211" t="str">
        <f>表格3_5[[#This Row],[Location]] &amp; 表格3_5[[#This Row],[Date]] &amp;表格3_5[[#This Row],[Nick Name]]</f>
        <v>0</v>
      </c>
      <c r="D1571" s="202"/>
      <c r="E1571" s="211" t="str">
        <f>DAY(表格3_5[[#This Row],[Date]])&amp;""</f>
        <v>0</v>
      </c>
      <c r="F1571" s="203"/>
      <c r="G1571" s="216">
        <f>_xlfn.XLOOKUP(表格3_5[[#This Row],[Name]],Name_list[Full Name],Name_list[Nick Name])</f>
        <v>0</v>
      </c>
      <c r="H1571" s="207"/>
      <c r="I1571" s="228"/>
      <c r="J1571" s="218"/>
      <c r="K1571" s="205"/>
      <c r="L1571" s="210">
        <f>(表格3_5[[#This Row],[Out-Time]] - 表格3_5[[#This Row],[In-Time]])*24</f>
        <v>0</v>
      </c>
      <c r="M1571" s="210">
        <f>表格3_5[[#This Row],[ Hours]]-表格3_5[[#This Row],[Normal working
 hours]]</f>
        <v>0</v>
      </c>
      <c r="N1571" s="205"/>
      <c r="O1571" s="205"/>
      <c r="P1571" s="210">
        <f>(表格3_5[[#This Row],[Out-Time2]] - 表格3_5[[#This Row],[In-Time2]])*24</f>
        <v>0</v>
      </c>
      <c r="Q1571" s="205"/>
      <c r="R1571" s="214">
        <f>_xlfn.XLOOKUP(表格3_5[[#This Row],[Name]],Name_list[Full Name],Name_list[Hourr Rate])</f>
        <v>0</v>
      </c>
      <c r="S1571" s="210">
        <f>表格3_5[[#This Row],[Hours Worked]]*表格3_5[[#This Row],[Hourly Rate]]</f>
        <v>0</v>
      </c>
    </row>
    <row r="1572" spans="1:19">
      <c r="A1572" s="201">
        <v>1570</v>
      </c>
      <c r="B1572" s="210" t="str">
        <f>_xlfn.CONCAT(表格3_5[[#This Row],[Name]],表格3_5[[#This Row],[Location]])</f>
        <v/>
      </c>
      <c r="C1572" s="211" t="str">
        <f>表格3_5[[#This Row],[Location]] &amp; 表格3_5[[#This Row],[Date]] &amp;表格3_5[[#This Row],[Nick Name]]</f>
        <v>0</v>
      </c>
      <c r="D1572" s="202"/>
      <c r="E1572" s="211" t="str">
        <f>DAY(表格3_5[[#This Row],[Date]])&amp;""</f>
        <v>0</v>
      </c>
      <c r="F1572" s="203"/>
      <c r="G1572" s="216">
        <f>_xlfn.XLOOKUP(表格3_5[[#This Row],[Name]],Name_list[Full Name],Name_list[Nick Name])</f>
        <v>0</v>
      </c>
      <c r="H1572" s="207"/>
      <c r="I1572" s="228"/>
      <c r="J1572" s="218"/>
      <c r="K1572" s="205"/>
      <c r="L1572" s="210">
        <f>(表格3_5[[#This Row],[Out-Time]] - 表格3_5[[#This Row],[In-Time]])*24</f>
        <v>0</v>
      </c>
      <c r="M1572" s="210">
        <f>表格3_5[[#This Row],[ Hours]]-表格3_5[[#This Row],[Normal working
 hours]]</f>
        <v>0</v>
      </c>
      <c r="N1572" s="205"/>
      <c r="O1572" s="205"/>
      <c r="P1572" s="210">
        <f>(表格3_5[[#This Row],[Out-Time2]] - 表格3_5[[#This Row],[In-Time2]])*24</f>
        <v>0</v>
      </c>
      <c r="Q1572" s="205"/>
      <c r="R1572" s="214">
        <f>_xlfn.XLOOKUP(表格3_5[[#This Row],[Name]],Name_list[Full Name],Name_list[Hourr Rate])</f>
        <v>0</v>
      </c>
      <c r="S1572" s="210">
        <f>表格3_5[[#This Row],[Hours Worked]]*表格3_5[[#This Row],[Hourly Rate]]</f>
        <v>0</v>
      </c>
    </row>
    <row r="1573" spans="1:19">
      <c r="A1573" s="201">
        <v>1571</v>
      </c>
      <c r="B1573" s="210" t="str">
        <f>_xlfn.CONCAT(表格3_5[[#This Row],[Name]],表格3_5[[#This Row],[Location]])</f>
        <v/>
      </c>
      <c r="C1573" s="211" t="str">
        <f>表格3_5[[#This Row],[Location]] &amp; 表格3_5[[#This Row],[Date]] &amp;表格3_5[[#This Row],[Nick Name]]</f>
        <v>0</v>
      </c>
      <c r="D1573" s="202"/>
      <c r="E1573" s="211" t="str">
        <f>DAY(表格3_5[[#This Row],[Date]])&amp;""</f>
        <v>0</v>
      </c>
      <c r="F1573" s="203"/>
      <c r="G1573" s="216">
        <f>_xlfn.XLOOKUP(表格3_5[[#This Row],[Name]],Name_list[Full Name],Name_list[Nick Name])</f>
        <v>0</v>
      </c>
      <c r="H1573" s="207"/>
      <c r="I1573" s="228"/>
      <c r="J1573" s="218"/>
      <c r="K1573" s="205"/>
      <c r="L1573" s="210">
        <f>(表格3_5[[#This Row],[Out-Time]] - 表格3_5[[#This Row],[In-Time]])*24</f>
        <v>0</v>
      </c>
      <c r="M1573" s="210">
        <f>表格3_5[[#This Row],[ Hours]]-表格3_5[[#This Row],[Normal working
 hours]]</f>
        <v>0</v>
      </c>
      <c r="N1573" s="205"/>
      <c r="O1573" s="205"/>
      <c r="P1573" s="210">
        <f>(表格3_5[[#This Row],[Out-Time2]] - 表格3_5[[#This Row],[In-Time2]])*24</f>
        <v>0</v>
      </c>
      <c r="Q1573" s="205"/>
      <c r="R1573" s="214">
        <f>_xlfn.XLOOKUP(表格3_5[[#This Row],[Name]],Name_list[Full Name],Name_list[Hourr Rate])</f>
        <v>0</v>
      </c>
      <c r="S1573" s="210">
        <f>表格3_5[[#This Row],[Hours Worked]]*表格3_5[[#This Row],[Hourly Rate]]</f>
        <v>0</v>
      </c>
    </row>
    <row r="1574" spans="1:19">
      <c r="A1574" s="201">
        <v>1572</v>
      </c>
      <c r="B1574" s="210" t="str">
        <f>_xlfn.CONCAT(表格3_5[[#This Row],[Name]],表格3_5[[#This Row],[Location]])</f>
        <v/>
      </c>
      <c r="C1574" s="211" t="str">
        <f>表格3_5[[#This Row],[Location]] &amp; 表格3_5[[#This Row],[Date]] &amp;表格3_5[[#This Row],[Nick Name]]</f>
        <v>0</v>
      </c>
      <c r="D1574" s="202"/>
      <c r="E1574" s="211" t="str">
        <f>DAY(表格3_5[[#This Row],[Date]])&amp;""</f>
        <v>0</v>
      </c>
      <c r="F1574" s="203"/>
      <c r="G1574" s="216">
        <f>_xlfn.XLOOKUP(表格3_5[[#This Row],[Name]],Name_list[Full Name],Name_list[Nick Name])</f>
        <v>0</v>
      </c>
      <c r="H1574" s="207"/>
      <c r="I1574" s="228"/>
      <c r="J1574" s="218"/>
      <c r="K1574" s="205"/>
      <c r="L1574" s="210">
        <f>(表格3_5[[#This Row],[Out-Time]] - 表格3_5[[#This Row],[In-Time]])*24</f>
        <v>0</v>
      </c>
      <c r="M1574" s="210">
        <f>表格3_5[[#This Row],[ Hours]]-表格3_5[[#This Row],[Normal working
 hours]]</f>
        <v>0</v>
      </c>
      <c r="N1574" s="205"/>
      <c r="O1574" s="205"/>
      <c r="P1574" s="210">
        <f>(表格3_5[[#This Row],[Out-Time2]] - 表格3_5[[#This Row],[In-Time2]])*24</f>
        <v>0</v>
      </c>
      <c r="Q1574" s="205"/>
      <c r="R1574" s="214">
        <f>_xlfn.XLOOKUP(表格3_5[[#This Row],[Name]],Name_list[Full Name],Name_list[Hourr Rate])</f>
        <v>0</v>
      </c>
      <c r="S1574" s="210">
        <f>表格3_5[[#This Row],[Hours Worked]]*表格3_5[[#This Row],[Hourly Rate]]</f>
        <v>0</v>
      </c>
    </row>
    <row r="1575" spans="1:19">
      <c r="A1575" s="201">
        <v>1573</v>
      </c>
      <c r="B1575" s="210" t="str">
        <f>_xlfn.CONCAT(表格3_5[[#This Row],[Name]],表格3_5[[#This Row],[Location]])</f>
        <v/>
      </c>
      <c r="C1575" s="211" t="str">
        <f>表格3_5[[#This Row],[Location]] &amp; 表格3_5[[#This Row],[Date]] &amp;表格3_5[[#This Row],[Nick Name]]</f>
        <v>0</v>
      </c>
      <c r="D1575" s="202"/>
      <c r="E1575" s="211" t="str">
        <f>DAY(表格3_5[[#This Row],[Date]])&amp;""</f>
        <v>0</v>
      </c>
      <c r="F1575" s="203"/>
      <c r="G1575" s="216">
        <f>_xlfn.XLOOKUP(表格3_5[[#This Row],[Name]],Name_list[Full Name],Name_list[Nick Name])</f>
        <v>0</v>
      </c>
      <c r="H1575" s="207"/>
      <c r="I1575" s="228"/>
      <c r="J1575" s="218"/>
      <c r="K1575" s="205"/>
      <c r="L1575" s="210">
        <f>(表格3_5[[#This Row],[Out-Time]] - 表格3_5[[#This Row],[In-Time]])*24</f>
        <v>0</v>
      </c>
      <c r="M1575" s="210">
        <f>表格3_5[[#This Row],[ Hours]]-表格3_5[[#This Row],[Normal working
 hours]]</f>
        <v>0</v>
      </c>
      <c r="N1575" s="205"/>
      <c r="O1575" s="205"/>
      <c r="P1575" s="210">
        <f>(表格3_5[[#This Row],[Out-Time2]] - 表格3_5[[#This Row],[In-Time2]])*24</f>
        <v>0</v>
      </c>
      <c r="Q1575" s="205"/>
      <c r="R1575" s="214">
        <f>_xlfn.XLOOKUP(表格3_5[[#This Row],[Name]],Name_list[Full Name],Name_list[Hourr Rate])</f>
        <v>0</v>
      </c>
      <c r="S1575" s="210">
        <f>表格3_5[[#This Row],[Hours Worked]]*表格3_5[[#This Row],[Hourly Rate]]</f>
        <v>0</v>
      </c>
    </row>
    <row r="1576" spans="1:19">
      <c r="A1576" s="201">
        <v>1574</v>
      </c>
      <c r="B1576" s="210" t="str">
        <f>_xlfn.CONCAT(表格3_5[[#This Row],[Name]],表格3_5[[#This Row],[Location]])</f>
        <v/>
      </c>
      <c r="C1576" s="211" t="str">
        <f>表格3_5[[#This Row],[Location]] &amp; 表格3_5[[#This Row],[Date]] &amp;表格3_5[[#This Row],[Nick Name]]</f>
        <v>0</v>
      </c>
      <c r="D1576" s="202"/>
      <c r="E1576" s="211" t="str">
        <f>DAY(表格3_5[[#This Row],[Date]])&amp;""</f>
        <v>0</v>
      </c>
      <c r="F1576" s="203"/>
      <c r="G1576" s="216">
        <f>_xlfn.XLOOKUP(表格3_5[[#This Row],[Name]],Name_list[Full Name],Name_list[Nick Name])</f>
        <v>0</v>
      </c>
      <c r="H1576" s="207"/>
      <c r="I1576" s="228"/>
      <c r="J1576" s="218"/>
      <c r="K1576" s="205"/>
      <c r="L1576" s="210">
        <f>(表格3_5[[#This Row],[Out-Time]] - 表格3_5[[#This Row],[In-Time]])*24</f>
        <v>0</v>
      </c>
      <c r="M1576" s="210">
        <f>表格3_5[[#This Row],[ Hours]]-表格3_5[[#This Row],[Normal working
 hours]]</f>
        <v>0</v>
      </c>
      <c r="N1576" s="205"/>
      <c r="O1576" s="205"/>
      <c r="P1576" s="210">
        <f>(表格3_5[[#This Row],[Out-Time2]] - 表格3_5[[#This Row],[In-Time2]])*24</f>
        <v>0</v>
      </c>
      <c r="Q1576" s="205"/>
      <c r="R1576" s="214">
        <f>_xlfn.XLOOKUP(表格3_5[[#This Row],[Name]],Name_list[Full Name],Name_list[Hourr Rate])</f>
        <v>0</v>
      </c>
      <c r="S1576" s="210">
        <f>表格3_5[[#This Row],[Hours Worked]]*表格3_5[[#This Row],[Hourly Rate]]</f>
        <v>0</v>
      </c>
    </row>
    <row r="1577" spans="1:19">
      <c r="A1577" s="201">
        <v>1575</v>
      </c>
      <c r="B1577" s="210" t="str">
        <f>_xlfn.CONCAT(表格3_5[[#This Row],[Name]],表格3_5[[#This Row],[Location]])</f>
        <v/>
      </c>
      <c r="C1577" s="211" t="str">
        <f>表格3_5[[#This Row],[Location]] &amp; 表格3_5[[#This Row],[Date]] &amp;表格3_5[[#This Row],[Nick Name]]</f>
        <v>0</v>
      </c>
      <c r="D1577" s="202"/>
      <c r="E1577" s="211" t="str">
        <f>DAY(表格3_5[[#This Row],[Date]])&amp;""</f>
        <v>0</v>
      </c>
      <c r="F1577" s="203"/>
      <c r="G1577" s="216">
        <f>_xlfn.XLOOKUP(表格3_5[[#This Row],[Name]],Name_list[Full Name],Name_list[Nick Name])</f>
        <v>0</v>
      </c>
      <c r="H1577" s="207"/>
      <c r="I1577" s="228"/>
      <c r="J1577" s="218"/>
      <c r="K1577" s="205"/>
      <c r="L1577" s="210">
        <f>(表格3_5[[#This Row],[Out-Time]] - 表格3_5[[#This Row],[In-Time]])*24</f>
        <v>0</v>
      </c>
      <c r="M1577" s="210">
        <f>表格3_5[[#This Row],[ Hours]]-表格3_5[[#This Row],[Normal working
 hours]]</f>
        <v>0</v>
      </c>
      <c r="N1577" s="205"/>
      <c r="O1577" s="205"/>
      <c r="P1577" s="210">
        <f>(表格3_5[[#This Row],[Out-Time2]] - 表格3_5[[#This Row],[In-Time2]])*24</f>
        <v>0</v>
      </c>
      <c r="Q1577" s="205"/>
      <c r="R1577" s="214">
        <f>_xlfn.XLOOKUP(表格3_5[[#This Row],[Name]],Name_list[Full Name],Name_list[Hourr Rate])</f>
        <v>0</v>
      </c>
      <c r="S1577" s="210">
        <f>表格3_5[[#This Row],[Hours Worked]]*表格3_5[[#This Row],[Hourly Rate]]</f>
        <v>0</v>
      </c>
    </row>
    <row r="1578" spans="1:19">
      <c r="A1578" s="201">
        <v>1576</v>
      </c>
      <c r="B1578" s="210" t="str">
        <f>_xlfn.CONCAT(表格3_5[[#This Row],[Name]],表格3_5[[#This Row],[Location]])</f>
        <v/>
      </c>
      <c r="C1578" s="211" t="str">
        <f>表格3_5[[#This Row],[Location]] &amp; 表格3_5[[#This Row],[Date]] &amp;表格3_5[[#This Row],[Nick Name]]</f>
        <v>0</v>
      </c>
      <c r="D1578" s="202"/>
      <c r="E1578" s="211" t="str">
        <f>DAY(表格3_5[[#This Row],[Date]])&amp;""</f>
        <v>0</v>
      </c>
      <c r="F1578" s="203"/>
      <c r="G1578" s="216">
        <f>_xlfn.XLOOKUP(表格3_5[[#This Row],[Name]],Name_list[Full Name],Name_list[Nick Name])</f>
        <v>0</v>
      </c>
      <c r="H1578" s="207"/>
      <c r="I1578" s="228"/>
      <c r="J1578" s="218"/>
      <c r="K1578" s="205"/>
      <c r="L1578" s="210">
        <f>(表格3_5[[#This Row],[Out-Time]] - 表格3_5[[#This Row],[In-Time]])*24</f>
        <v>0</v>
      </c>
      <c r="M1578" s="210">
        <f>表格3_5[[#This Row],[ Hours]]-表格3_5[[#This Row],[Normal working
 hours]]</f>
        <v>0</v>
      </c>
      <c r="N1578" s="205"/>
      <c r="O1578" s="205"/>
      <c r="P1578" s="210">
        <f>(表格3_5[[#This Row],[Out-Time2]] - 表格3_5[[#This Row],[In-Time2]])*24</f>
        <v>0</v>
      </c>
      <c r="Q1578" s="205"/>
      <c r="R1578" s="214">
        <f>_xlfn.XLOOKUP(表格3_5[[#This Row],[Name]],Name_list[Full Name],Name_list[Hourr Rate])</f>
        <v>0</v>
      </c>
      <c r="S1578" s="210">
        <f>表格3_5[[#This Row],[Hours Worked]]*表格3_5[[#This Row],[Hourly Rate]]</f>
        <v>0</v>
      </c>
    </row>
    <row r="1579" spans="1:19">
      <c r="A1579" s="201">
        <v>1577</v>
      </c>
      <c r="B1579" s="210" t="str">
        <f>_xlfn.CONCAT(表格3_5[[#This Row],[Name]],表格3_5[[#This Row],[Location]])</f>
        <v/>
      </c>
      <c r="C1579" s="211" t="str">
        <f>表格3_5[[#This Row],[Location]] &amp; 表格3_5[[#This Row],[Date]] &amp;表格3_5[[#This Row],[Nick Name]]</f>
        <v>0</v>
      </c>
      <c r="D1579" s="202"/>
      <c r="E1579" s="211" t="str">
        <f>DAY(表格3_5[[#This Row],[Date]])&amp;""</f>
        <v>0</v>
      </c>
      <c r="F1579" s="203"/>
      <c r="G1579" s="216">
        <f>_xlfn.XLOOKUP(表格3_5[[#This Row],[Name]],Name_list[Full Name],Name_list[Nick Name])</f>
        <v>0</v>
      </c>
      <c r="H1579" s="207"/>
      <c r="I1579" s="228"/>
      <c r="J1579" s="218"/>
      <c r="K1579" s="205"/>
      <c r="L1579" s="210">
        <f>(表格3_5[[#This Row],[Out-Time]] - 表格3_5[[#This Row],[In-Time]])*24</f>
        <v>0</v>
      </c>
      <c r="M1579" s="210">
        <f>表格3_5[[#This Row],[ Hours]]-表格3_5[[#This Row],[Normal working
 hours]]</f>
        <v>0</v>
      </c>
      <c r="N1579" s="205"/>
      <c r="O1579" s="205"/>
      <c r="P1579" s="210">
        <f>(表格3_5[[#This Row],[Out-Time2]] - 表格3_5[[#This Row],[In-Time2]])*24</f>
        <v>0</v>
      </c>
      <c r="Q1579" s="205"/>
      <c r="R1579" s="214">
        <f>_xlfn.XLOOKUP(表格3_5[[#This Row],[Name]],Name_list[Full Name],Name_list[Hourr Rate])</f>
        <v>0</v>
      </c>
      <c r="S1579" s="210">
        <f>表格3_5[[#This Row],[Hours Worked]]*表格3_5[[#This Row],[Hourly Rate]]</f>
        <v>0</v>
      </c>
    </row>
    <row r="1580" spans="1:19">
      <c r="A1580" s="201">
        <v>1578</v>
      </c>
      <c r="B1580" s="210" t="str">
        <f>_xlfn.CONCAT(表格3_5[[#This Row],[Name]],表格3_5[[#This Row],[Location]])</f>
        <v/>
      </c>
      <c r="C1580" s="211" t="str">
        <f>表格3_5[[#This Row],[Location]] &amp; 表格3_5[[#This Row],[Date]] &amp;表格3_5[[#This Row],[Nick Name]]</f>
        <v>0</v>
      </c>
      <c r="D1580" s="202"/>
      <c r="E1580" s="211" t="str">
        <f>DAY(表格3_5[[#This Row],[Date]])&amp;""</f>
        <v>0</v>
      </c>
      <c r="F1580" s="203"/>
      <c r="G1580" s="216">
        <f>_xlfn.XLOOKUP(表格3_5[[#This Row],[Name]],Name_list[Full Name],Name_list[Nick Name])</f>
        <v>0</v>
      </c>
      <c r="H1580" s="207"/>
      <c r="I1580" s="228"/>
      <c r="J1580" s="218"/>
      <c r="K1580" s="205"/>
      <c r="L1580" s="210">
        <f>(表格3_5[[#This Row],[Out-Time]] - 表格3_5[[#This Row],[In-Time]])*24</f>
        <v>0</v>
      </c>
      <c r="M1580" s="210">
        <f>表格3_5[[#This Row],[ Hours]]-表格3_5[[#This Row],[Normal working
 hours]]</f>
        <v>0</v>
      </c>
      <c r="N1580" s="205"/>
      <c r="O1580" s="205"/>
      <c r="P1580" s="210">
        <f>(表格3_5[[#This Row],[Out-Time2]] - 表格3_5[[#This Row],[In-Time2]])*24</f>
        <v>0</v>
      </c>
      <c r="Q1580" s="205"/>
      <c r="R1580" s="214">
        <f>_xlfn.XLOOKUP(表格3_5[[#This Row],[Name]],Name_list[Full Name],Name_list[Hourr Rate])</f>
        <v>0</v>
      </c>
      <c r="S1580" s="210">
        <f>表格3_5[[#This Row],[Hours Worked]]*表格3_5[[#This Row],[Hourly Rate]]</f>
        <v>0</v>
      </c>
    </row>
    <row r="1581" spans="1:19">
      <c r="A1581" s="201">
        <v>1579</v>
      </c>
      <c r="B1581" s="210" t="str">
        <f>_xlfn.CONCAT(表格3_5[[#This Row],[Name]],表格3_5[[#This Row],[Location]])</f>
        <v/>
      </c>
      <c r="C1581" s="211" t="str">
        <f>表格3_5[[#This Row],[Location]] &amp; 表格3_5[[#This Row],[Date]] &amp;表格3_5[[#This Row],[Nick Name]]</f>
        <v>0</v>
      </c>
      <c r="D1581" s="202"/>
      <c r="E1581" s="211" t="str">
        <f>DAY(表格3_5[[#This Row],[Date]])&amp;""</f>
        <v>0</v>
      </c>
      <c r="F1581" s="203"/>
      <c r="G1581" s="216">
        <f>_xlfn.XLOOKUP(表格3_5[[#This Row],[Name]],Name_list[Full Name],Name_list[Nick Name])</f>
        <v>0</v>
      </c>
      <c r="H1581" s="207"/>
      <c r="I1581" s="228"/>
      <c r="J1581" s="218"/>
      <c r="K1581" s="205"/>
      <c r="L1581" s="210">
        <f>(表格3_5[[#This Row],[Out-Time]] - 表格3_5[[#This Row],[In-Time]])*24</f>
        <v>0</v>
      </c>
      <c r="M1581" s="210">
        <f>表格3_5[[#This Row],[ Hours]]-表格3_5[[#This Row],[Normal working
 hours]]</f>
        <v>0</v>
      </c>
      <c r="N1581" s="205"/>
      <c r="O1581" s="205"/>
      <c r="P1581" s="210">
        <f>(表格3_5[[#This Row],[Out-Time2]] - 表格3_5[[#This Row],[In-Time2]])*24</f>
        <v>0</v>
      </c>
      <c r="Q1581" s="205"/>
      <c r="R1581" s="214">
        <f>_xlfn.XLOOKUP(表格3_5[[#This Row],[Name]],Name_list[Full Name],Name_list[Hourr Rate])</f>
        <v>0</v>
      </c>
      <c r="S1581" s="210">
        <f>表格3_5[[#This Row],[Hours Worked]]*表格3_5[[#This Row],[Hourly Rate]]</f>
        <v>0</v>
      </c>
    </row>
    <row r="1582" spans="1:19">
      <c r="A1582" s="201">
        <v>1580</v>
      </c>
      <c r="B1582" s="210" t="str">
        <f>_xlfn.CONCAT(表格3_5[[#This Row],[Name]],表格3_5[[#This Row],[Location]])</f>
        <v/>
      </c>
      <c r="C1582" s="211" t="str">
        <f>表格3_5[[#This Row],[Location]] &amp; 表格3_5[[#This Row],[Date]] &amp;表格3_5[[#This Row],[Nick Name]]</f>
        <v>0</v>
      </c>
      <c r="D1582" s="202"/>
      <c r="E1582" s="211" t="str">
        <f>DAY(表格3_5[[#This Row],[Date]])&amp;""</f>
        <v>0</v>
      </c>
      <c r="F1582" s="203"/>
      <c r="G1582" s="216">
        <f>_xlfn.XLOOKUP(表格3_5[[#This Row],[Name]],Name_list[Full Name],Name_list[Nick Name])</f>
        <v>0</v>
      </c>
      <c r="H1582" s="207"/>
      <c r="I1582" s="228"/>
      <c r="J1582" s="218"/>
      <c r="K1582" s="205"/>
      <c r="L1582" s="210">
        <f>(表格3_5[[#This Row],[Out-Time]] - 表格3_5[[#This Row],[In-Time]])*24</f>
        <v>0</v>
      </c>
      <c r="M1582" s="210">
        <f>表格3_5[[#This Row],[ Hours]]-表格3_5[[#This Row],[Normal working
 hours]]</f>
        <v>0</v>
      </c>
      <c r="N1582" s="205"/>
      <c r="O1582" s="205"/>
      <c r="P1582" s="210">
        <f>(表格3_5[[#This Row],[Out-Time2]] - 表格3_5[[#This Row],[In-Time2]])*24</f>
        <v>0</v>
      </c>
      <c r="Q1582" s="205"/>
      <c r="R1582" s="214">
        <f>_xlfn.XLOOKUP(表格3_5[[#This Row],[Name]],Name_list[Full Name],Name_list[Hourr Rate])</f>
        <v>0</v>
      </c>
      <c r="S1582" s="210">
        <f>表格3_5[[#This Row],[Hours Worked]]*表格3_5[[#This Row],[Hourly Rate]]</f>
        <v>0</v>
      </c>
    </row>
    <row r="1583" spans="1:19">
      <c r="A1583" s="201">
        <v>1581</v>
      </c>
      <c r="B1583" s="210" t="str">
        <f>_xlfn.CONCAT(表格3_5[[#This Row],[Name]],表格3_5[[#This Row],[Location]])</f>
        <v/>
      </c>
      <c r="C1583" s="211" t="str">
        <f>表格3_5[[#This Row],[Location]] &amp; 表格3_5[[#This Row],[Date]] &amp;表格3_5[[#This Row],[Nick Name]]</f>
        <v>0</v>
      </c>
      <c r="D1583" s="202"/>
      <c r="E1583" s="211" t="str">
        <f>DAY(表格3_5[[#This Row],[Date]])&amp;""</f>
        <v>0</v>
      </c>
      <c r="F1583" s="203"/>
      <c r="G1583" s="216">
        <f>_xlfn.XLOOKUP(表格3_5[[#This Row],[Name]],Name_list[Full Name],Name_list[Nick Name])</f>
        <v>0</v>
      </c>
      <c r="H1583" s="207"/>
      <c r="I1583" s="228"/>
      <c r="J1583" s="218"/>
      <c r="K1583" s="205"/>
      <c r="L1583" s="210">
        <f>(表格3_5[[#This Row],[Out-Time]] - 表格3_5[[#This Row],[In-Time]])*24</f>
        <v>0</v>
      </c>
      <c r="M1583" s="210">
        <f>表格3_5[[#This Row],[ Hours]]-表格3_5[[#This Row],[Normal working
 hours]]</f>
        <v>0</v>
      </c>
      <c r="N1583" s="205"/>
      <c r="O1583" s="205"/>
      <c r="P1583" s="210">
        <f>(表格3_5[[#This Row],[Out-Time2]] - 表格3_5[[#This Row],[In-Time2]])*24</f>
        <v>0</v>
      </c>
      <c r="Q1583" s="205"/>
      <c r="R1583" s="214">
        <f>_xlfn.XLOOKUP(表格3_5[[#This Row],[Name]],Name_list[Full Name],Name_list[Hourr Rate])</f>
        <v>0</v>
      </c>
      <c r="S1583" s="210">
        <f>表格3_5[[#This Row],[Hours Worked]]*表格3_5[[#This Row],[Hourly Rate]]</f>
        <v>0</v>
      </c>
    </row>
    <row r="1584" spans="1:19">
      <c r="A1584" s="201">
        <v>1582</v>
      </c>
      <c r="B1584" s="210" t="str">
        <f>_xlfn.CONCAT(表格3_5[[#This Row],[Name]],表格3_5[[#This Row],[Location]])</f>
        <v/>
      </c>
      <c r="C1584" s="211" t="str">
        <f>表格3_5[[#This Row],[Location]] &amp; 表格3_5[[#This Row],[Date]] &amp;表格3_5[[#This Row],[Nick Name]]</f>
        <v>0</v>
      </c>
      <c r="D1584" s="202"/>
      <c r="E1584" s="211" t="str">
        <f>DAY(表格3_5[[#This Row],[Date]])&amp;""</f>
        <v>0</v>
      </c>
      <c r="F1584" s="203"/>
      <c r="G1584" s="216">
        <f>_xlfn.XLOOKUP(表格3_5[[#This Row],[Name]],Name_list[Full Name],Name_list[Nick Name])</f>
        <v>0</v>
      </c>
      <c r="H1584" s="207"/>
      <c r="I1584" s="228"/>
      <c r="J1584" s="218"/>
      <c r="K1584" s="205"/>
      <c r="L1584" s="210">
        <f>(表格3_5[[#This Row],[Out-Time]] - 表格3_5[[#This Row],[In-Time]])*24</f>
        <v>0</v>
      </c>
      <c r="M1584" s="210">
        <f>表格3_5[[#This Row],[ Hours]]-表格3_5[[#This Row],[Normal working
 hours]]</f>
        <v>0</v>
      </c>
      <c r="N1584" s="205"/>
      <c r="O1584" s="205"/>
      <c r="P1584" s="210">
        <f>(表格3_5[[#This Row],[Out-Time2]] - 表格3_5[[#This Row],[In-Time2]])*24</f>
        <v>0</v>
      </c>
      <c r="Q1584" s="205"/>
      <c r="R1584" s="214">
        <f>_xlfn.XLOOKUP(表格3_5[[#This Row],[Name]],Name_list[Full Name],Name_list[Hourr Rate])</f>
        <v>0</v>
      </c>
      <c r="S1584" s="210">
        <f>表格3_5[[#This Row],[Hours Worked]]*表格3_5[[#This Row],[Hourly Rate]]</f>
        <v>0</v>
      </c>
    </row>
    <row r="1585" spans="1:19">
      <c r="A1585" s="201">
        <v>1583</v>
      </c>
      <c r="B1585" s="210" t="str">
        <f>_xlfn.CONCAT(表格3_5[[#This Row],[Name]],表格3_5[[#This Row],[Location]])</f>
        <v/>
      </c>
      <c r="C1585" s="211" t="str">
        <f>表格3_5[[#This Row],[Location]] &amp; 表格3_5[[#This Row],[Date]] &amp;表格3_5[[#This Row],[Nick Name]]</f>
        <v>0</v>
      </c>
      <c r="D1585" s="202"/>
      <c r="E1585" s="211" t="str">
        <f>DAY(表格3_5[[#This Row],[Date]])&amp;""</f>
        <v>0</v>
      </c>
      <c r="F1585" s="203"/>
      <c r="G1585" s="216">
        <f>_xlfn.XLOOKUP(表格3_5[[#This Row],[Name]],Name_list[Full Name],Name_list[Nick Name])</f>
        <v>0</v>
      </c>
      <c r="H1585" s="207"/>
      <c r="I1585" s="228"/>
      <c r="J1585" s="218"/>
      <c r="K1585" s="205"/>
      <c r="L1585" s="210">
        <f>(表格3_5[[#This Row],[Out-Time]] - 表格3_5[[#This Row],[In-Time]])*24</f>
        <v>0</v>
      </c>
      <c r="M1585" s="210">
        <f>表格3_5[[#This Row],[ Hours]]-表格3_5[[#This Row],[Normal working
 hours]]</f>
        <v>0</v>
      </c>
      <c r="N1585" s="205"/>
      <c r="O1585" s="205"/>
      <c r="P1585" s="210">
        <f>(表格3_5[[#This Row],[Out-Time2]] - 表格3_5[[#This Row],[In-Time2]])*24</f>
        <v>0</v>
      </c>
      <c r="Q1585" s="205"/>
      <c r="R1585" s="214">
        <f>_xlfn.XLOOKUP(表格3_5[[#This Row],[Name]],Name_list[Full Name],Name_list[Hourr Rate])</f>
        <v>0</v>
      </c>
      <c r="S1585" s="210">
        <f>表格3_5[[#This Row],[Hours Worked]]*表格3_5[[#This Row],[Hourly Rate]]</f>
        <v>0</v>
      </c>
    </row>
    <row r="1586" spans="1:19">
      <c r="A1586" s="201">
        <v>1584</v>
      </c>
      <c r="B1586" s="210" t="str">
        <f>_xlfn.CONCAT(表格3_5[[#This Row],[Name]],表格3_5[[#This Row],[Location]])</f>
        <v/>
      </c>
      <c r="C1586" s="211" t="str">
        <f>表格3_5[[#This Row],[Location]] &amp; 表格3_5[[#This Row],[Date]] &amp;表格3_5[[#This Row],[Nick Name]]</f>
        <v>0</v>
      </c>
      <c r="D1586" s="202"/>
      <c r="E1586" s="211" t="str">
        <f>DAY(表格3_5[[#This Row],[Date]])&amp;""</f>
        <v>0</v>
      </c>
      <c r="F1586" s="203"/>
      <c r="G1586" s="216">
        <f>_xlfn.XLOOKUP(表格3_5[[#This Row],[Name]],Name_list[Full Name],Name_list[Nick Name])</f>
        <v>0</v>
      </c>
      <c r="H1586" s="207"/>
      <c r="I1586" s="228"/>
      <c r="J1586" s="218"/>
      <c r="K1586" s="205"/>
      <c r="L1586" s="210">
        <f>(表格3_5[[#This Row],[Out-Time]] - 表格3_5[[#This Row],[In-Time]])*24</f>
        <v>0</v>
      </c>
      <c r="M1586" s="210">
        <f>表格3_5[[#This Row],[ Hours]]-表格3_5[[#This Row],[Normal working
 hours]]</f>
        <v>0</v>
      </c>
      <c r="N1586" s="205"/>
      <c r="O1586" s="205"/>
      <c r="P1586" s="210">
        <f>(表格3_5[[#This Row],[Out-Time2]] - 表格3_5[[#This Row],[In-Time2]])*24</f>
        <v>0</v>
      </c>
      <c r="Q1586" s="205"/>
      <c r="R1586" s="214">
        <f>_xlfn.XLOOKUP(表格3_5[[#This Row],[Name]],Name_list[Full Name],Name_list[Hourr Rate])</f>
        <v>0</v>
      </c>
      <c r="S1586" s="210">
        <f>表格3_5[[#This Row],[Hours Worked]]*表格3_5[[#This Row],[Hourly Rate]]</f>
        <v>0</v>
      </c>
    </row>
    <row r="1587" spans="1:19">
      <c r="A1587" s="201">
        <v>1585</v>
      </c>
      <c r="B1587" s="210" t="str">
        <f>_xlfn.CONCAT(表格3_5[[#This Row],[Name]],表格3_5[[#This Row],[Location]])</f>
        <v/>
      </c>
      <c r="C1587" s="211" t="str">
        <f>表格3_5[[#This Row],[Location]] &amp; 表格3_5[[#This Row],[Date]] &amp;表格3_5[[#This Row],[Nick Name]]</f>
        <v>0</v>
      </c>
      <c r="D1587" s="202"/>
      <c r="E1587" s="211" t="str">
        <f>DAY(表格3_5[[#This Row],[Date]])&amp;""</f>
        <v>0</v>
      </c>
      <c r="F1587" s="203"/>
      <c r="G1587" s="216">
        <f>_xlfn.XLOOKUP(表格3_5[[#This Row],[Name]],Name_list[Full Name],Name_list[Nick Name])</f>
        <v>0</v>
      </c>
      <c r="H1587" s="207"/>
      <c r="I1587" s="228"/>
      <c r="J1587" s="218"/>
      <c r="K1587" s="205"/>
      <c r="L1587" s="210">
        <f>(表格3_5[[#This Row],[Out-Time]] - 表格3_5[[#This Row],[In-Time]])*24</f>
        <v>0</v>
      </c>
      <c r="M1587" s="210">
        <f>表格3_5[[#This Row],[ Hours]]-表格3_5[[#This Row],[Normal working
 hours]]</f>
        <v>0</v>
      </c>
      <c r="N1587" s="205"/>
      <c r="O1587" s="205"/>
      <c r="P1587" s="210">
        <f>(表格3_5[[#This Row],[Out-Time2]] - 表格3_5[[#This Row],[In-Time2]])*24</f>
        <v>0</v>
      </c>
      <c r="Q1587" s="205"/>
      <c r="R1587" s="214">
        <f>_xlfn.XLOOKUP(表格3_5[[#This Row],[Name]],Name_list[Full Name],Name_list[Hourr Rate])</f>
        <v>0</v>
      </c>
      <c r="S1587" s="210">
        <f>表格3_5[[#This Row],[Hours Worked]]*表格3_5[[#This Row],[Hourly Rate]]</f>
        <v>0</v>
      </c>
    </row>
    <row r="1588" spans="1:19">
      <c r="A1588" s="201">
        <v>1586</v>
      </c>
      <c r="B1588" s="210" t="str">
        <f>_xlfn.CONCAT(表格3_5[[#This Row],[Name]],表格3_5[[#This Row],[Location]])</f>
        <v/>
      </c>
      <c r="C1588" s="211" t="str">
        <f>表格3_5[[#This Row],[Location]] &amp; 表格3_5[[#This Row],[Date]] &amp;表格3_5[[#This Row],[Nick Name]]</f>
        <v>0</v>
      </c>
      <c r="D1588" s="202"/>
      <c r="E1588" s="211" t="str">
        <f>DAY(表格3_5[[#This Row],[Date]])&amp;""</f>
        <v>0</v>
      </c>
      <c r="F1588" s="203"/>
      <c r="G1588" s="216">
        <f>_xlfn.XLOOKUP(表格3_5[[#This Row],[Name]],Name_list[Full Name],Name_list[Nick Name])</f>
        <v>0</v>
      </c>
      <c r="H1588" s="207"/>
      <c r="I1588" s="228"/>
      <c r="J1588" s="218"/>
      <c r="K1588" s="205"/>
      <c r="L1588" s="210">
        <f>(表格3_5[[#This Row],[Out-Time]] - 表格3_5[[#This Row],[In-Time]])*24</f>
        <v>0</v>
      </c>
      <c r="M1588" s="210">
        <f>表格3_5[[#This Row],[ Hours]]-表格3_5[[#This Row],[Normal working
 hours]]</f>
        <v>0</v>
      </c>
      <c r="N1588" s="205"/>
      <c r="O1588" s="205"/>
      <c r="P1588" s="210">
        <f>(表格3_5[[#This Row],[Out-Time2]] - 表格3_5[[#This Row],[In-Time2]])*24</f>
        <v>0</v>
      </c>
      <c r="Q1588" s="205"/>
      <c r="R1588" s="214">
        <f>_xlfn.XLOOKUP(表格3_5[[#This Row],[Name]],Name_list[Full Name],Name_list[Hourr Rate])</f>
        <v>0</v>
      </c>
      <c r="S1588" s="210">
        <f>表格3_5[[#This Row],[Hours Worked]]*表格3_5[[#This Row],[Hourly Rate]]</f>
        <v>0</v>
      </c>
    </row>
    <row r="1589" spans="1:19">
      <c r="A1589" s="201">
        <v>1587</v>
      </c>
      <c r="B1589" s="210" t="str">
        <f>_xlfn.CONCAT(表格3_5[[#This Row],[Name]],表格3_5[[#This Row],[Location]])</f>
        <v/>
      </c>
      <c r="C1589" s="211" t="str">
        <f>表格3_5[[#This Row],[Location]] &amp; 表格3_5[[#This Row],[Date]] &amp;表格3_5[[#This Row],[Nick Name]]</f>
        <v>0</v>
      </c>
      <c r="D1589" s="202"/>
      <c r="E1589" s="211" t="str">
        <f>DAY(表格3_5[[#This Row],[Date]])&amp;""</f>
        <v>0</v>
      </c>
      <c r="F1589" s="203"/>
      <c r="G1589" s="216">
        <f>_xlfn.XLOOKUP(表格3_5[[#This Row],[Name]],Name_list[Full Name],Name_list[Nick Name])</f>
        <v>0</v>
      </c>
      <c r="H1589" s="207"/>
      <c r="I1589" s="228"/>
      <c r="J1589" s="218"/>
      <c r="K1589" s="205"/>
      <c r="L1589" s="210">
        <f>(表格3_5[[#This Row],[Out-Time]] - 表格3_5[[#This Row],[In-Time]])*24</f>
        <v>0</v>
      </c>
      <c r="M1589" s="210">
        <f>表格3_5[[#This Row],[ Hours]]-表格3_5[[#This Row],[Normal working
 hours]]</f>
        <v>0</v>
      </c>
      <c r="N1589" s="205"/>
      <c r="O1589" s="205"/>
      <c r="P1589" s="210">
        <f>(表格3_5[[#This Row],[Out-Time2]] - 表格3_5[[#This Row],[In-Time2]])*24</f>
        <v>0</v>
      </c>
      <c r="Q1589" s="205"/>
      <c r="R1589" s="214">
        <f>_xlfn.XLOOKUP(表格3_5[[#This Row],[Name]],Name_list[Full Name],Name_list[Hourr Rate])</f>
        <v>0</v>
      </c>
      <c r="S1589" s="210">
        <f>表格3_5[[#This Row],[Hours Worked]]*表格3_5[[#This Row],[Hourly Rate]]</f>
        <v>0</v>
      </c>
    </row>
    <row r="1590" spans="1:19">
      <c r="A1590" s="201">
        <v>1588</v>
      </c>
      <c r="B1590" s="210" t="str">
        <f>_xlfn.CONCAT(表格3_5[[#This Row],[Name]],表格3_5[[#This Row],[Location]])</f>
        <v/>
      </c>
      <c r="C1590" s="211" t="str">
        <f>表格3_5[[#This Row],[Location]] &amp; 表格3_5[[#This Row],[Date]] &amp;表格3_5[[#This Row],[Nick Name]]</f>
        <v>0</v>
      </c>
      <c r="D1590" s="202"/>
      <c r="E1590" s="211" t="str">
        <f>DAY(表格3_5[[#This Row],[Date]])&amp;""</f>
        <v>0</v>
      </c>
      <c r="F1590" s="203"/>
      <c r="G1590" s="216">
        <f>_xlfn.XLOOKUP(表格3_5[[#This Row],[Name]],Name_list[Full Name],Name_list[Nick Name])</f>
        <v>0</v>
      </c>
      <c r="H1590" s="207"/>
      <c r="I1590" s="228"/>
      <c r="J1590" s="218"/>
      <c r="K1590" s="205"/>
      <c r="L1590" s="210">
        <f>(表格3_5[[#This Row],[Out-Time]] - 表格3_5[[#This Row],[In-Time]])*24</f>
        <v>0</v>
      </c>
      <c r="M1590" s="210">
        <f>表格3_5[[#This Row],[ Hours]]-表格3_5[[#This Row],[Normal working
 hours]]</f>
        <v>0</v>
      </c>
      <c r="N1590" s="205"/>
      <c r="O1590" s="205"/>
      <c r="P1590" s="210">
        <f>(表格3_5[[#This Row],[Out-Time2]] - 表格3_5[[#This Row],[In-Time2]])*24</f>
        <v>0</v>
      </c>
      <c r="Q1590" s="205"/>
      <c r="R1590" s="214">
        <f>_xlfn.XLOOKUP(表格3_5[[#This Row],[Name]],Name_list[Full Name],Name_list[Hourr Rate])</f>
        <v>0</v>
      </c>
      <c r="S1590" s="210">
        <f>表格3_5[[#This Row],[Hours Worked]]*表格3_5[[#This Row],[Hourly Rate]]</f>
        <v>0</v>
      </c>
    </row>
    <row r="1591" spans="1:19">
      <c r="A1591" s="201">
        <v>1589</v>
      </c>
      <c r="B1591" s="210" t="str">
        <f>_xlfn.CONCAT(表格3_5[[#This Row],[Name]],表格3_5[[#This Row],[Location]])</f>
        <v/>
      </c>
      <c r="C1591" s="211" t="str">
        <f>表格3_5[[#This Row],[Location]] &amp; 表格3_5[[#This Row],[Date]] &amp;表格3_5[[#This Row],[Nick Name]]</f>
        <v>0</v>
      </c>
      <c r="D1591" s="202"/>
      <c r="E1591" s="211" t="str">
        <f>DAY(表格3_5[[#This Row],[Date]])&amp;""</f>
        <v>0</v>
      </c>
      <c r="F1591" s="203"/>
      <c r="G1591" s="216">
        <f>_xlfn.XLOOKUP(表格3_5[[#This Row],[Name]],Name_list[Full Name],Name_list[Nick Name])</f>
        <v>0</v>
      </c>
      <c r="H1591" s="207"/>
      <c r="I1591" s="228"/>
      <c r="J1591" s="218"/>
      <c r="K1591" s="205"/>
      <c r="L1591" s="210">
        <f>(表格3_5[[#This Row],[Out-Time]] - 表格3_5[[#This Row],[In-Time]])*24</f>
        <v>0</v>
      </c>
      <c r="M1591" s="210">
        <f>表格3_5[[#This Row],[ Hours]]-表格3_5[[#This Row],[Normal working
 hours]]</f>
        <v>0</v>
      </c>
      <c r="N1591" s="205"/>
      <c r="O1591" s="205"/>
      <c r="P1591" s="210">
        <f>(表格3_5[[#This Row],[Out-Time2]] - 表格3_5[[#This Row],[In-Time2]])*24</f>
        <v>0</v>
      </c>
      <c r="Q1591" s="205"/>
      <c r="R1591" s="214">
        <f>_xlfn.XLOOKUP(表格3_5[[#This Row],[Name]],Name_list[Full Name],Name_list[Hourr Rate])</f>
        <v>0</v>
      </c>
      <c r="S1591" s="210">
        <f>表格3_5[[#This Row],[Hours Worked]]*表格3_5[[#This Row],[Hourly Rate]]</f>
        <v>0</v>
      </c>
    </row>
    <row r="1592" spans="1:19">
      <c r="A1592" s="201">
        <v>1590</v>
      </c>
      <c r="B1592" s="210" t="str">
        <f>_xlfn.CONCAT(表格3_5[[#This Row],[Name]],表格3_5[[#This Row],[Location]])</f>
        <v/>
      </c>
      <c r="C1592" s="211" t="str">
        <f>表格3_5[[#This Row],[Location]] &amp; 表格3_5[[#This Row],[Date]] &amp;表格3_5[[#This Row],[Nick Name]]</f>
        <v>0</v>
      </c>
      <c r="D1592" s="202"/>
      <c r="E1592" s="211" t="str">
        <f>DAY(表格3_5[[#This Row],[Date]])&amp;""</f>
        <v>0</v>
      </c>
      <c r="F1592" s="203"/>
      <c r="G1592" s="216">
        <f>_xlfn.XLOOKUP(表格3_5[[#This Row],[Name]],Name_list[Full Name],Name_list[Nick Name])</f>
        <v>0</v>
      </c>
      <c r="H1592" s="207"/>
      <c r="I1592" s="228"/>
      <c r="J1592" s="218"/>
      <c r="K1592" s="205"/>
      <c r="L1592" s="210">
        <f>(表格3_5[[#This Row],[Out-Time]] - 表格3_5[[#This Row],[In-Time]])*24</f>
        <v>0</v>
      </c>
      <c r="M1592" s="210">
        <f>表格3_5[[#This Row],[ Hours]]-表格3_5[[#This Row],[Normal working
 hours]]</f>
        <v>0</v>
      </c>
      <c r="N1592" s="205"/>
      <c r="O1592" s="205"/>
      <c r="P1592" s="210">
        <f>(表格3_5[[#This Row],[Out-Time2]] - 表格3_5[[#This Row],[In-Time2]])*24</f>
        <v>0</v>
      </c>
      <c r="Q1592" s="205"/>
      <c r="R1592" s="214">
        <f>_xlfn.XLOOKUP(表格3_5[[#This Row],[Name]],Name_list[Full Name],Name_list[Hourr Rate])</f>
        <v>0</v>
      </c>
      <c r="S1592" s="210">
        <f>表格3_5[[#This Row],[Hours Worked]]*表格3_5[[#This Row],[Hourly Rate]]</f>
        <v>0</v>
      </c>
    </row>
    <row r="1593" spans="1:19">
      <c r="A1593" s="201">
        <v>1591</v>
      </c>
      <c r="B1593" s="210" t="str">
        <f>_xlfn.CONCAT(表格3_5[[#This Row],[Name]],表格3_5[[#This Row],[Location]])</f>
        <v/>
      </c>
      <c r="C1593" s="211" t="str">
        <f>表格3_5[[#This Row],[Location]] &amp; 表格3_5[[#This Row],[Date]] &amp;表格3_5[[#This Row],[Nick Name]]</f>
        <v>0</v>
      </c>
      <c r="D1593" s="202"/>
      <c r="E1593" s="211" t="str">
        <f>DAY(表格3_5[[#This Row],[Date]])&amp;""</f>
        <v>0</v>
      </c>
      <c r="F1593" s="203"/>
      <c r="G1593" s="216">
        <f>_xlfn.XLOOKUP(表格3_5[[#This Row],[Name]],Name_list[Full Name],Name_list[Nick Name])</f>
        <v>0</v>
      </c>
      <c r="H1593" s="207"/>
      <c r="I1593" s="228"/>
      <c r="J1593" s="218"/>
      <c r="K1593" s="205"/>
      <c r="L1593" s="210">
        <f>(表格3_5[[#This Row],[Out-Time]] - 表格3_5[[#This Row],[In-Time]])*24</f>
        <v>0</v>
      </c>
      <c r="M1593" s="210">
        <f>表格3_5[[#This Row],[ Hours]]-表格3_5[[#This Row],[Normal working
 hours]]</f>
        <v>0</v>
      </c>
      <c r="N1593" s="205"/>
      <c r="O1593" s="205"/>
      <c r="P1593" s="210">
        <f>(表格3_5[[#This Row],[Out-Time2]] - 表格3_5[[#This Row],[In-Time2]])*24</f>
        <v>0</v>
      </c>
      <c r="Q1593" s="205"/>
      <c r="R1593" s="214">
        <f>_xlfn.XLOOKUP(表格3_5[[#This Row],[Name]],Name_list[Full Name],Name_list[Hourr Rate])</f>
        <v>0</v>
      </c>
      <c r="S1593" s="210">
        <f>表格3_5[[#This Row],[Hours Worked]]*表格3_5[[#This Row],[Hourly Rate]]</f>
        <v>0</v>
      </c>
    </row>
    <row r="1594" spans="1:19">
      <c r="A1594" s="201">
        <v>1592</v>
      </c>
      <c r="B1594" s="210" t="str">
        <f>_xlfn.CONCAT(表格3_5[[#This Row],[Name]],表格3_5[[#This Row],[Location]])</f>
        <v/>
      </c>
      <c r="C1594" s="211" t="str">
        <f>表格3_5[[#This Row],[Location]] &amp; 表格3_5[[#This Row],[Date]] &amp;表格3_5[[#This Row],[Nick Name]]</f>
        <v>0</v>
      </c>
      <c r="D1594" s="202"/>
      <c r="E1594" s="211" t="str">
        <f>DAY(表格3_5[[#This Row],[Date]])&amp;""</f>
        <v>0</v>
      </c>
      <c r="F1594" s="203"/>
      <c r="G1594" s="216">
        <f>_xlfn.XLOOKUP(表格3_5[[#This Row],[Name]],Name_list[Full Name],Name_list[Nick Name])</f>
        <v>0</v>
      </c>
      <c r="H1594" s="207"/>
      <c r="I1594" s="228"/>
      <c r="J1594" s="218"/>
      <c r="K1594" s="205"/>
      <c r="L1594" s="210">
        <f>(表格3_5[[#This Row],[Out-Time]] - 表格3_5[[#This Row],[In-Time]])*24</f>
        <v>0</v>
      </c>
      <c r="M1594" s="210">
        <f>表格3_5[[#This Row],[ Hours]]-表格3_5[[#This Row],[Normal working
 hours]]</f>
        <v>0</v>
      </c>
      <c r="N1594" s="205"/>
      <c r="O1594" s="205"/>
      <c r="P1594" s="210">
        <f>(表格3_5[[#This Row],[Out-Time2]] - 表格3_5[[#This Row],[In-Time2]])*24</f>
        <v>0</v>
      </c>
      <c r="Q1594" s="205"/>
      <c r="R1594" s="214">
        <f>_xlfn.XLOOKUP(表格3_5[[#This Row],[Name]],Name_list[Full Name],Name_list[Hourr Rate])</f>
        <v>0</v>
      </c>
      <c r="S1594" s="210">
        <f>表格3_5[[#This Row],[Hours Worked]]*表格3_5[[#This Row],[Hourly Rate]]</f>
        <v>0</v>
      </c>
    </row>
    <row r="1595" spans="1:19">
      <c r="A1595" s="201">
        <v>1593</v>
      </c>
      <c r="B1595" s="210" t="str">
        <f>_xlfn.CONCAT(表格3_5[[#This Row],[Name]],表格3_5[[#This Row],[Location]])</f>
        <v/>
      </c>
      <c r="C1595" s="211" t="str">
        <f>表格3_5[[#This Row],[Location]] &amp; 表格3_5[[#This Row],[Date]] &amp;表格3_5[[#This Row],[Nick Name]]</f>
        <v>0</v>
      </c>
      <c r="D1595" s="202"/>
      <c r="E1595" s="211" t="str">
        <f>DAY(表格3_5[[#This Row],[Date]])&amp;""</f>
        <v>0</v>
      </c>
      <c r="F1595" s="203"/>
      <c r="G1595" s="216">
        <f>_xlfn.XLOOKUP(表格3_5[[#This Row],[Name]],Name_list[Full Name],Name_list[Nick Name])</f>
        <v>0</v>
      </c>
      <c r="H1595" s="207"/>
      <c r="I1595" s="228"/>
      <c r="J1595" s="218"/>
      <c r="K1595" s="205"/>
      <c r="L1595" s="210">
        <f>(表格3_5[[#This Row],[Out-Time]] - 表格3_5[[#This Row],[In-Time]])*24</f>
        <v>0</v>
      </c>
      <c r="M1595" s="210">
        <f>表格3_5[[#This Row],[ Hours]]-表格3_5[[#This Row],[Normal working
 hours]]</f>
        <v>0</v>
      </c>
      <c r="N1595" s="205"/>
      <c r="O1595" s="205"/>
      <c r="P1595" s="210">
        <f>(表格3_5[[#This Row],[Out-Time2]] - 表格3_5[[#This Row],[In-Time2]])*24</f>
        <v>0</v>
      </c>
      <c r="Q1595" s="205"/>
      <c r="R1595" s="214">
        <f>_xlfn.XLOOKUP(表格3_5[[#This Row],[Name]],Name_list[Full Name],Name_list[Hourr Rate])</f>
        <v>0</v>
      </c>
      <c r="S1595" s="210">
        <f>表格3_5[[#This Row],[Hours Worked]]*表格3_5[[#This Row],[Hourly Rate]]</f>
        <v>0</v>
      </c>
    </row>
    <row r="1596" spans="1:19">
      <c r="A1596" s="201">
        <v>1594</v>
      </c>
      <c r="B1596" s="210" t="str">
        <f>_xlfn.CONCAT(表格3_5[[#This Row],[Name]],表格3_5[[#This Row],[Location]])</f>
        <v/>
      </c>
      <c r="C1596" s="211" t="str">
        <f>表格3_5[[#This Row],[Location]] &amp; 表格3_5[[#This Row],[Date]] &amp;表格3_5[[#This Row],[Nick Name]]</f>
        <v>0</v>
      </c>
      <c r="D1596" s="202"/>
      <c r="E1596" s="211" t="str">
        <f>DAY(表格3_5[[#This Row],[Date]])&amp;""</f>
        <v>0</v>
      </c>
      <c r="F1596" s="203"/>
      <c r="G1596" s="216">
        <f>_xlfn.XLOOKUP(表格3_5[[#This Row],[Name]],Name_list[Full Name],Name_list[Nick Name])</f>
        <v>0</v>
      </c>
      <c r="H1596" s="207"/>
      <c r="I1596" s="228"/>
      <c r="J1596" s="218"/>
      <c r="K1596" s="205"/>
      <c r="L1596" s="210">
        <f>(表格3_5[[#This Row],[Out-Time]] - 表格3_5[[#This Row],[In-Time]])*24</f>
        <v>0</v>
      </c>
      <c r="M1596" s="210">
        <f>表格3_5[[#This Row],[ Hours]]-表格3_5[[#This Row],[Normal working
 hours]]</f>
        <v>0</v>
      </c>
      <c r="N1596" s="205"/>
      <c r="O1596" s="205"/>
      <c r="P1596" s="210">
        <f>(表格3_5[[#This Row],[Out-Time2]] - 表格3_5[[#This Row],[In-Time2]])*24</f>
        <v>0</v>
      </c>
      <c r="Q1596" s="205"/>
      <c r="R1596" s="214">
        <f>_xlfn.XLOOKUP(表格3_5[[#This Row],[Name]],Name_list[Full Name],Name_list[Hourr Rate])</f>
        <v>0</v>
      </c>
      <c r="S1596" s="210">
        <f>表格3_5[[#This Row],[Hours Worked]]*表格3_5[[#This Row],[Hourly Rate]]</f>
        <v>0</v>
      </c>
    </row>
    <row r="1597" spans="1:19">
      <c r="A1597" s="201">
        <v>1595</v>
      </c>
      <c r="B1597" s="210" t="str">
        <f>_xlfn.CONCAT(表格3_5[[#This Row],[Name]],表格3_5[[#This Row],[Location]])</f>
        <v/>
      </c>
      <c r="C1597" s="211" t="str">
        <f>表格3_5[[#This Row],[Location]] &amp; 表格3_5[[#This Row],[Date]] &amp;表格3_5[[#This Row],[Nick Name]]</f>
        <v>0</v>
      </c>
      <c r="D1597" s="202"/>
      <c r="E1597" s="211" t="str">
        <f>DAY(表格3_5[[#This Row],[Date]])&amp;""</f>
        <v>0</v>
      </c>
      <c r="F1597" s="203"/>
      <c r="G1597" s="216">
        <f>_xlfn.XLOOKUP(表格3_5[[#This Row],[Name]],Name_list[Full Name],Name_list[Nick Name])</f>
        <v>0</v>
      </c>
      <c r="H1597" s="207"/>
      <c r="I1597" s="228"/>
      <c r="J1597" s="218"/>
      <c r="K1597" s="205"/>
      <c r="L1597" s="210">
        <f>(表格3_5[[#This Row],[Out-Time]] - 表格3_5[[#This Row],[In-Time]])*24</f>
        <v>0</v>
      </c>
      <c r="M1597" s="210">
        <f>表格3_5[[#This Row],[ Hours]]-表格3_5[[#This Row],[Normal working
 hours]]</f>
        <v>0</v>
      </c>
      <c r="N1597" s="205"/>
      <c r="O1597" s="205"/>
      <c r="P1597" s="210">
        <f>(表格3_5[[#This Row],[Out-Time2]] - 表格3_5[[#This Row],[In-Time2]])*24</f>
        <v>0</v>
      </c>
      <c r="Q1597" s="205"/>
      <c r="R1597" s="214">
        <f>_xlfn.XLOOKUP(表格3_5[[#This Row],[Name]],Name_list[Full Name],Name_list[Hourr Rate])</f>
        <v>0</v>
      </c>
      <c r="S1597" s="210">
        <f>表格3_5[[#This Row],[Hours Worked]]*表格3_5[[#This Row],[Hourly Rate]]</f>
        <v>0</v>
      </c>
    </row>
    <row r="1598" spans="1:19">
      <c r="A1598" s="201">
        <v>1596</v>
      </c>
      <c r="B1598" s="210" t="str">
        <f>_xlfn.CONCAT(表格3_5[[#This Row],[Name]],表格3_5[[#This Row],[Location]])</f>
        <v/>
      </c>
      <c r="C1598" s="211" t="str">
        <f>表格3_5[[#This Row],[Location]] &amp; 表格3_5[[#This Row],[Date]] &amp;表格3_5[[#This Row],[Nick Name]]</f>
        <v>0</v>
      </c>
      <c r="D1598" s="202"/>
      <c r="E1598" s="211" t="str">
        <f>DAY(表格3_5[[#This Row],[Date]])&amp;""</f>
        <v>0</v>
      </c>
      <c r="F1598" s="203"/>
      <c r="G1598" s="216">
        <f>_xlfn.XLOOKUP(表格3_5[[#This Row],[Name]],Name_list[Full Name],Name_list[Nick Name])</f>
        <v>0</v>
      </c>
      <c r="H1598" s="207"/>
      <c r="I1598" s="228"/>
      <c r="J1598" s="218"/>
      <c r="K1598" s="205"/>
      <c r="L1598" s="210">
        <f>(表格3_5[[#This Row],[Out-Time]] - 表格3_5[[#This Row],[In-Time]])*24</f>
        <v>0</v>
      </c>
      <c r="M1598" s="210">
        <f>表格3_5[[#This Row],[ Hours]]-表格3_5[[#This Row],[Normal working
 hours]]</f>
        <v>0</v>
      </c>
      <c r="N1598" s="205"/>
      <c r="O1598" s="205"/>
      <c r="P1598" s="210">
        <f>(表格3_5[[#This Row],[Out-Time2]] - 表格3_5[[#This Row],[In-Time2]])*24</f>
        <v>0</v>
      </c>
      <c r="Q1598" s="205"/>
      <c r="R1598" s="214">
        <f>_xlfn.XLOOKUP(表格3_5[[#This Row],[Name]],Name_list[Full Name],Name_list[Hourr Rate])</f>
        <v>0</v>
      </c>
      <c r="S1598" s="210">
        <f>表格3_5[[#This Row],[Hours Worked]]*表格3_5[[#This Row],[Hourly Rate]]</f>
        <v>0</v>
      </c>
    </row>
    <row r="1599" spans="1:19">
      <c r="A1599" s="201">
        <v>1597</v>
      </c>
      <c r="B1599" s="210" t="str">
        <f>_xlfn.CONCAT(表格3_5[[#This Row],[Name]],表格3_5[[#This Row],[Location]])</f>
        <v/>
      </c>
      <c r="C1599" s="211" t="str">
        <f>表格3_5[[#This Row],[Location]] &amp; 表格3_5[[#This Row],[Date]] &amp;表格3_5[[#This Row],[Nick Name]]</f>
        <v>0</v>
      </c>
      <c r="D1599" s="202"/>
      <c r="E1599" s="211" t="str">
        <f>DAY(表格3_5[[#This Row],[Date]])&amp;""</f>
        <v>0</v>
      </c>
      <c r="F1599" s="203"/>
      <c r="G1599" s="216">
        <f>_xlfn.XLOOKUP(表格3_5[[#This Row],[Name]],Name_list[Full Name],Name_list[Nick Name])</f>
        <v>0</v>
      </c>
      <c r="H1599" s="207"/>
      <c r="I1599" s="228"/>
      <c r="J1599" s="218"/>
      <c r="K1599" s="205"/>
      <c r="L1599" s="210">
        <f>(表格3_5[[#This Row],[Out-Time]] - 表格3_5[[#This Row],[In-Time]])*24</f>
        <v>0</v>
      </c>
      <c r="M1599" s="210">
        <f>表格3_5[[#This Row],[ Hours]]-表格3_5[[#This Row],[Normal working
 hours]]</f>
        <v>0</v>
      </c>
      <c r="N1599" s="205"/>
      <c r="O1599" s="205"/>
      <c r="P1599" s="210">
        <f>(表格3_5[[#This Row],[Out-Time2]] - 表格3_5[[#This Row],[In-Time2]])*24</f>
        <v>0</v>
      </c>
      <c r="Q1599" s="205"/>
      <c r="R1599" s="214">
        <f>_xlfn.XLOOKUP(表格3_5[[#This Row],[Name]],Name_list[Full Name],Name_list[Hourr Rate])</f>
        <v>0</v>
      </c>
      <c r="S1599" s="210">
        <f>表格3_5[[#This Row],[Hours Worked]]*表格3_5[[#This Row],[Hourly Rate]]</f>
        <v>0</v>
      </c>
    </row>
    <row r="1600" spans="1:19">
      <c r="A1600" s="201">
        <v>1598</v>
      </c>
      <c r="B1600" s="210" t="str">
        <f>_xlfn.CONCAT(表格3_5[[#This Row],[Name]],表格3_5[[#This Row],[Location]])</f>
        <v/>
      </c>
      <c r="C1600" s="211" t="str">
        <f>表格3_5[[#This Row],[Location]] &amp; 表格3_5[[#This Row],[Date]] &amp;表格3_5[[#This Row],[Nick Name]]</f>
        <v>0</v>
      </c>
      <c r="D1600" s="202"/>
      <c r="E1600" s="211" t="str">
        <f>DAY(表格3_5[[#This Row],[Date]])&amp;""</f>
        <v>0</v>
      </c>
      <c r="F1600" s="203"/>
      <c r="G1600" s="216">
        <f>_xlfn.XLOOKUP(表格3_5[[#This Row],[Name]],Name_list[Full Name],Name_list[Nick Name])</f>
        <v>0</v>
      </c>
      <c r="H1600" s="207"/>
      <c r="I1600" s="228"/>
      <c r="J1600" s="218"/>
      <c r="K1600" s="205"/>
      <c r="L1600" s="210">
        <f>(表格3_5[[#This Row],[Out-Time]] - 表格3_5[[#This Row],[In-Time]])*24</f>
        <v>0</v>
      </c>
      <c r="M1600" s="210">
        <f>表格3_5[[#This Row],[ Hours]]-表格3_5[[#This Row],[Normal working
 hours]]</f>
        <v>0</v>
      </c>
      <c r="N1600" s="205"/>
      <c r="O1600" s="205"/>
      <c r="P1600" s="210">
        <f>(表格3_5[[#This Row],[Out-Time2]] - 表格3_5[[#This Row],[In-Time2]])*24</f>
        <v>0</v>
      </c>
      <c r="Q1600" s="205"/>
      <c r="R1600" s="214">
        <f>_xlfn.XLOOKUP(表格3_5[[#This Row],[Name]],Name_list[Full Name],Name_list[Hourr Rate])</f>
        <v>0</v>
      </c>
      <c r="S1600" s="210">
        <f>表格3_5[[#This Row],[Hours Worked]]*表格3_5[[#This Row],[Hourly Rate]]</f>
        <v>0</v>
      </c>
    </row>
    <row r="1601" spans="1:19">
      <c r="A1601" s="201">
        <v>1599</v>
      </c>
      <c r="B1601" s="210" t="str">
        <f>_xlfn.CONCAT(表格3_5[[#This Row],[Name]],表格3_5[[#This Row],[Location]])</f>
        <v/>
      </c>
      <c r="C1601" s="211" t="str">
        <f>表格3_5[[#This Row],[Location]] &amp; 表格3_5[[#This Row],[Date]] &amp;表格3_5[[#This Row],[Nick Name]]</f>
        <v>0</v>
      </c>
      <c r="D1601" s="202"/>
      <c r="E1601" s="211" t="str">
        <f>DAY(表格3_5[[#This Row],[Date]])&amp;""</f>
        <v>0</v>
      </c>
      <c r="F1601" s="203"/>
      <c r="G1601" s="216">
        <f>_xlfn.XLOOKUP(表格3_5[[#This Row],[Name]],Name_list[Full Name],Name_list[Nick Name])</f>
        <v>0</v>
      </c>
      <c r="H1601" s="207"/>
      <c r="I1601" s="228"/>
      <c r="J1601" s="218"/>
      <c r="K1601" s="205"/>
      <c r="L1601" s="210">
        <f>(表格3_5[[#This Row],[Out-Time]] - 表格3_5[[#This Row],[In-Time]])*24</f>
        <v>0</v>
      </c>
      <c r="M1601" s="210">
        <f>表格3_5[[#This Row],[ Hours]]-表格3_5[[#This Row],[Normal working
 hours]]</f>
        <v>0</v>
      </c>
      <c r="N1601" s="205"/>
      <c r="O1601" s="205"/>
      <c r="P1601" s="210">
        <f>(表格3_5[[#This Row],[Out-Time2]] - 表格3_5[[#This Row],[In-Time2]])*24</f>
        <v>0</v>
      </c>
      <c r="Q1601" s="205"/>
      <c r="R1601" s="214">
        <f>_xlfn.XLOOKUP(表格3_5[[#This Row],[Name]],Name_list[Full Name],Name_list[Hourr Rate])</f>
        <v>0</v>
      </c>
      <c r="S1601" s="210">
        <f>表格3_5[[#This Row],[Hours Worked]]*表格3_5[[#This Row],[Hourly Rate]]</f>
        <v>0</v>
      </c>
    </row>
    <row r="1602" spans="1:19">
      <c r="A1602" s="201">
        <v>1600</v>
      </c>
      <c r="B1602" s="210" t="str">
        <f>_xlfn.CONCAT(表格3_5[[#This Row],[Name]],表格3_5[[#This Row],[Location]])</f>
        <v/>
      </c>
      <c r="C1602" s="211" t="str">
        <f>表格3_5[[#This Row],[Location]] &amp; 表格3_5[[#This Row],[Date]] &amp;表格3_5[[#This Row],[Nick Name]]</f>
        <v>0</v>
      </c>
      <c r="D1602" s="202"/>
      <c r="E1602" s="211" t="str">
        <f>DAY(表格3_5[[#This Row],[Date]])&amp;""</f>
        <v>0</v>
      </c>
      <c r="F1602" s="203"/>
      <c r="G1602" s="216">
        <f>_xlfn.XLOOKUP(表格3_5[[#This Row],[Name]],Name_list[Full Name],Name_list[Nick Name])</f>
        <v>0</v>
      </c>
      <c r="H1602" s="207"/>
      <c r="I1602" s="228"/>
      <c r="J1602" s="218"/>
      <c r="K1602" s="205"/>
      <c r="L1602" s="210">
        <f>(表格3_5[[#This Row],[Out-Time]] - 表格3_5[[#This Row],[In-Time]])*24</f>
        <v>0</v>
      </c>
      <c r="M1602" s="210">
        <f>表格3_5[[#This Row],[ Hours]]-表格3_5[[#This Row],[Normal working
 hours]]</f>
        <v>0</v>
      </c>
      <c r="N1602" s="205"/>
      <c r="O1602" s="205"/>
      <c r="P1602" s="210">
        <f>(表格3_5[[#This Row],[Out-Time2]] - 表格3_5[[#This Row],[In-Time2]])*24</f>
        <v>0</v>
      </c>
      <c r="Q1602" s="205"/>
      <c r="R1602" s="214">
        <f>_xlfn.XLOOKUP(表格3_5[[#This Row],[Name]],Name_list[Full Name],Name_list[Hourr Rate])</f>
        <v>0</v>
      </c>
      <c r="S1602" s="210">
        <f>表格3_5[[#This Row],[Hours Worked]]*表格3_5[[#This Row],[Hourly Rate]]</f>
        <v>0</v>
      </c>
    </row>
    <row r="1603" spans="1:19">
      <c r="A1603" s="201">
        <v>1601</v>
      </c>
      <c r="B1603" s="210" t="str">
        <f>_xlfn.CONCAT(表格3_5[[#This Row],[Name]],表格3_5[[#This Row],[Location]])</f>
        <v/>
      </c>
      <c r="C1603" s="211" t="str">
        <f>表格3_5[[#This Row],[Location]] &amp; 表格3_5[[#This Row],[Date]] &amp;表格3_5[[#This Row],[Nick Name]]</f>
        <v>0</v>
      </c>
      <c r="D1603" s="202"/>
      <c r="E1603" s="211" t="str">
        <f>DAY(表格3_5[[#This Row],[Date]])&amp;""</f>
        <v>0</v>
      </c>
      <c r="F1603" s="203"/>
      <c r="G1603" s="216">
        <f>_xlfn.XLOOKUP(表格3_5[[#This Row],[Name]],Name_list[Full Name],Name_list[Nick Name])</f>
        <v>0</v>
      </c>
      <c r="H1603" s="207"/>
      <c r="I1603" s="228"/>
      <c r="J1603" s="218"/>
      <c r="K1603" s="205"/>
      <c r="L1603" s="210">
        <f>(表格3_5[[#This Row],[Out-Time]] - 表格3_5[[#This Row],[In-Time]])*24</f>
        <v>0</v>
      </c>
      <c r="M1603" s="210">
        <f>表格3_5[[#This Row],[ Hours]]-表格3_5[[#This Row],[Normal working
 hours]]</f>
        <v>0</v>
      </c>
      <c r="N1603" s="205"/>
      <c r="O1603" s="205"/>
      <c r="P1603" s="210">
        <f>(表格3_5[[#This Row],[Out-Time2]] - 表格3_5[[#This Row],[In-Time2]])*24</f>
        <v>0</v>
      </c>
      <c r="Q1603" s="205"/>
      <c r="R1603" s="214">
        <f>_xlfn.XLOOKUP(表格3_5[[#This Row],[Name]],Name_list[Full Name],Name_list[Hourr Rate])</f>
        <v>0</v>
      </c>
      <c r="S1603" s="210">
        <f>表格3_5[[#This Row],[Hours Worked]]*表格3_5[[#This Row],[Hourly Rate]]</f>
        <v>0</v>
      </c>
    </row>
    <row r="1604" spans="1:19">
      <c r="A1604" s="201">
        <v>1602</v>
      </c>
      <c r="B1604" s="210" t="str">
        <f>_xlfn.CONCAT(表格3_5[[#This Row],[Name]],表格3_5[[#This Row],[Location]])</f>
        <v/>
      </c>
      <c r="C1604" s="211" t="str">
        <f>表格3_5[[#This Row],[Location]] &amp; 表格3_5[[#This Row],[Date]] &amp;表格3_5[[#This Row],[Nick Name]]</f>
        <v>0</v>
      </c>
      <c r="D1604" s="202"/>
      <c r="E1604" s="211" t="str">
        <f>DAY(表格3_5[[#This Row],[Date]])&amp;""</f>
        <v>0</v>
      </c>
      <c r="F1604" s="203"/>
      <c r="G1604" s="216">
        <f>_xlfn.XLOOKUP(表格3_5[[#This Row],[Name]],Name_list[Full Name],Name_list[Nick Name])</f>
        <v>0</v>
      </c>
      <c r="H1604" s="207"/>
      <c r="I1604" s="228"/>
      <c r="J1604" s="218"/>
      <c r="K1604" s="205"/>
      <c r="L1604" s="210">
        <f>(表格3_5[[#This Row],[Out-Time]] - 表格3_5[[#This Row],[In-Time]])*24</f>
        <v>0</v>
      </c>
      <c r="M1604" s="210">
        <f>表格3_5[[#This Row],[ Hours]]-表格3_5[[#This Row],[Normal working
 hours]]</f>
        <v>0</v>
      </c>
      <c r="N1604" s="205"/>
      <c r="O1604" s="205"/>
      <c r="P1604" s="210">
        <f>(表格3_5[[#This Row],[Out-Time2]] - 表格3_5[[#This Row],[In-Time2]])*24</f>
        <v>0</v>
      </c>
      <c r="Q1604" s="205"/>
      <c r="R1604" s="214">
        <f>_xlfn.XLOOKUP(表格3_5[[#This Row],[Name]],Name_list[Full Name],Name_list[Hourr Rate])</f>
        <v>0</v>
      </c>
      <c r="S1604" s="210">
        <f>表格3_5[[#This Row],[Hours Worked]]*表格3_5[[#This Row],[Hourly Rate]]</f>
        <v>0</v>
      </c>
    </row>
    <row r="1605" spans="1:19">
      <c r="A1605" s="201">
        <v>1603</v>
      </c>
      <c r="B1605" s="210" t="str">
        <f>_xlfn.CONCAT(表格3_5[[#This Row],[Name]],表格3_5[[#This Row],[Location]])</f>
        <v/>
      </c>
      <c r="C1605" s="211" t="str">
        <f>表格3_5[[#This Row],[Location]] &amp; 表格3_5[[#This Row],[Date]] &amp;表格3_5[[#This Row],[Nick Name]]</f>
        <v>0</v>
      </c>
      <c r="D1605" s="202"/>
      <c r="E1605" s="211" t="str">
        <f>DAY(表格3_5[[#This Row],[Date]])&amp;""</f>
        <v>0</v>
      </c>
      <c r="F1605" s="203"/>
      <c r="G1605" s="216">
        <f>_xlfn.XLOOKUP(表格3_5[[#This Row],[Name]],Name_list[Full Name],Name_list[Nick Name])</f>
        <v>0</v>
      </c>
      <c r="H1605" s="207"/>
      <c r="I1605" s="228"/>
      <c r="J1605" s="218"/>
      <c r="K1605" s="205"/>
      <c r="L1605" s="210">
        <f>(表格3_5[[#This Row],[Out-Time]] - 表格3_5[[#This Row],[In-Time]])*24</f>
        <v>0</v>
      </c>
      <c r="M1605" s="210">
        <f>表格3_5[[#This Row],[ Hours]]-表格3_5[[#This Row],[Normal working
 hours]]</f>
        <v>0</v>
      </c>
      <c r="N1605" s="205"/>
      <c r="O1605" s="205"/>
      <c r="P1605" s="210">
        <f>(表格3_5[[#This Row],[Out-Time2]] - 表格3_5[[#This Row],[In-Time2]])*24</f>
        <v>0</v>
      </c>
      <c r="Q1605" s="205"/>
      <c r="R1605" s="214">
        <f>_xlfn.XLOOKUP(表格3_5[[#This Row],[Name]],Name_list[Full Name],Name_list[Hourr Rate])</f>
        <v>0</v>
      </c>
      <c r="S1605" s="210">
        <f>表格3_5[[#This Row],[Hours Worked]]*表格3_5[[#This Row],[Hourly Rate]]</f>
        <v>0</v>
      </c>
    </row>
    <row r="1606" spans="1:19">
      <c r="A1606" s="201">
        <v>1604</v>
      </c>
      <c r="B1606" s="210" t="str">
        <f>_xlfn.CONCAT(表格3_5[[#This Row],[Name]],表格3_5[[#This Row],[Location]])</f>
        <v/>
      </c>
      <c r="C1606" s="211" t="str">
        <f>表格3_5[[#This Row],[Location]] &amp; 表格3_5[[#This Row],[Date]] &amp;表格3_5[[#This Row],[Nick Name]]</f>
        <v>0</v>
      </c>
      <c r="D1606" s="202"/>
      <c r="E1606" s="211" t="str">
        <f>DAY(表格3_5[[#This Row],[Date]])&amp;""</f>
        <v>0</v>
      </c>
      <c r="F1606" s="203"/>
      <c r="G1606" s="216">
        <f>_xlfn.XLOOKUP(表格3_5[[#This Row],[Name]],Name_list[Full Name],Name_list[Nick Name])</f>
        <v>0</v>
      </c>
      <c r="H1606" s="207"/>
      <c r="I1606" s="228"/>
      <c r="J1606" s="218"/>
      <c r="K1606" s="205"/>
      <c r="L1606" s="210">
        <f>(表格3_5[[#This Row],[Out-Time]] - 表格3_5[[#This Row],[In-Time]])*24</f>
        <v>0</v>
      </c>
      <c r="M1606" s="210">
        <f>表格3_5[[#This Row],[ Hours]]-表格3_5[[#This Row],[Normal working
 hours]]</f>
        <v>0</v>
      </c>
      <c r="N1606" s="205"/>
      <c r="O1606" s="205"/>
      <c r="P1606" s="210">
        <f>(表格3_5[[#This Row],[Out-Time2]] - 表格3_5[[#This Row],[In-Time2]])*24</f>
        <v>0</v>
      </c>
      <c r="Q1606" s="205"/>
      <c r="R1606" s="214">
        <f>_xlfn.XLOOKUP(表格3_5[[#This Row],[Name]],Name_list[Full Name],Name_list[Hourr Rate])</f>
        <v>0</v>
      </c>
      <c r="S1606" s="210">
        <f>表格3_5[[#This Row],[Hours Worked]]*表格3_5[[#This Row],[Hourly Rate]]</f>
        <v>0</v>
      </c>
    </row>
    <row r="1607" spans="1:19">
      <c r="A1607" s="201">
        <v>1605</v>
      </c>
      <c r="B1607" s="210" t="str">
        <f>_xlfn.CONCAT(表格3_5[[#This Row],[Name]],表格3_5[[#This Row],[Location]])</f>
        <v/>
      </c>
      <c r="C1607" s="211" t="str">
        <f>表格3_5[[#This Row],[Location]] &amp; 表格3_5[[#This Row],[Date]] &amp;表格3_5[[#This Row],[Nick Name]]</f>
        <v>0</v>
      </c>
      <c r="D1607" s="202"/>
      <c r="E1607" s="211" t="str">
        <f>DAY(表格3_5[[#This Row],[Date]])&amp;""</f>
        <v>0</v>
      </c>
      <c r="F1607" s="203"/>
      <c r="G1607" s="216">
        <f>_xlfn.XLOOKUP(表格3_5[[#This Row],[Name]],Name_list[Full Name],Name_list[Nick Name])</f>
        <v>0</v>
      </c>
      <c r="H1607" s="207"/>
      <c r="I1607" s="228"/>
      <c r="J1607" s="218"/>
      <c r="K1607" s="205"/>
      <c r="L1607" s="210">
        <f>(表格3_5[[#This Row],[Out-Time]] - 表格3_5[[#This Row],[In-Time]])*24</f>
        <v>0</v>
      </c>
      <c r="M1607" s="210">
        <f>表格3_5[[#This Row],[ Hours]]-表格3_5[[#This Row],[Normal working
 hours]]</f>
        <v>0</v>
      </c>
      <c r="N1607" s="205"/>
      <c r="O1607" s="205"/>
      <c r="P1607" s="210">
        <f>(表格3_5[[#This Row],[Out-Time2]] - 表格3_5[[#This Row],[In-Time2]])*24</f>
        <v>0</v>
      </c>
      <c r="Q1607" s="205"/>
      <c r="R1607" s="214">
        <f>_xlfn.XLOOKUP(表格3_5[[#This Row],[Name]],Name_list[Full Name],Name_list[Hourr Rate])</f>
        <v>0</v>
      </c>
      <c r="S1607" s="210">
        <f>表格3_5[[#This Row],[Hours Worked]]*表格3_5[[#This Row],[Hourly Rate]]</f>
        <v>0</v>
      </c>
    </row>
    <row r="1608" spans="1:19">
      <c r="A1608" s="201">
        <v>1606</v>
      </c>
      <c r="B1608" s="210" t="str">
        <f>_xlfn.CONCAT(表格3_5[[#This Row],[Name]],表格3_5[[#This Row],[Location]])</f>
        <v/>
      </c>
      <c r="C1608" s="211" t="str">
        <f>表格3_5[[#This Row],[Location]] &amp; 表格3_5[[#This Row],[Date]] &amp;表格3_5[[#This Row],[Nick Name]]</f>
        <v>0</v>
      </c>
      <c r="D1608" s="202"/>
      <c r="E1608" s="211" t="str">
        <f>DAY(表格3_5[[#This Row],[Date]])&amp;""</f>
        <v>0</v>
      </c>
      <c r="F1608" s="203"/>
      <c r="G1608" s="216">
        <f>_xlfn.XLOOKUP(表格3_5[[#This Row],[Name]],Name_list[Full Name],Name_list[Nick Name])</f>
        <v>0</v>
      </c>
      <c r="H1608" s="207"/>
      <c r="I1608" s="228"/>
      <c r="J1608" s="218"/>
      <c r="K1608" s="205"/>
      <c r="L1608" s="210">
        <f>(表格3_5[[#This Row],[Out-Time]] - 表格3_5[[#This Row],[In-Time]])*24</f>
        <v>0</v>
      </c>
      <c r="M1608" s="210">
        <f>表格3_5[[#This Row],[ Hours]]-表格3_5[[#This Row],[Normal working
 hours]]</f>
        <v>0</v>
      </c>
      <c r="N1608" s="205"/>
      <c r="O1608" s="205"/>
      <c r="P1608" s="210">
        <f>(表格3_5[[#This Row],[Out-Time2]] - 表格3_5[[#This Row],[In-Time2]])*24</f>
        <v>0</v>
      </c>
      <c r="Q1608" s="205"/>
      <c r="R1608" s="214">
        <f>_xlfn.XLOOKUP(表格3_5[[#This Row],[Name]],Name_list[Full Name],Name_list[Hourr Rate])</f>
        <v>0</v>
      </c>
      <c r="S1608" s="210">
        <f>表格3_5[[#This Row],[Hours Worked]]*表格3_5[[#This Row],[Hourly Rate]]</f>
        <v>0</v>
      </c>
    </row>
    <row r="1609" spans="1:19">
      <c r="A1609" s="201">
        <v>1607</v>
      </c>
      <c r="B1609" s="210" t="str">
        <f>_xlfn.CONCAT(表格3_5[[#This Row],[Name]],表格3_5[[#This Row],[Location]])</f>
        <v/>
      </c>
      <c r="C1609" s="211" t="str">
        <f>表格3_5[[#This Row],[Location]] &amp; 表格3_5[[#This Row],[Date]] &amp;表格3_5[[#This Row],[Nick Name]]</f>
        <v>0</v>
      </c>
      <c r="D1609" s="202"/>
      <c r="E1609" s="211" t="str">
        <f>DAY(表格3_5[[#This Row],[Date]])&amp;""</f>
        <v>0</v>
      </c>
      <c r="F1609" s="203"/>
      <c r="G1609" s="216">
        <f>_xlfn.XLOOKUP(表格3_5[[#This Row],[Name]],Name_list[Full Name],Name_list[Nick Name])</f>
        <v>0</v>
      </c>
      <c r="H1609" s="207"/>
      <c r="I1609" s="228"/>
      <c r="J1609" s="218"/>
      <c r="K1609" s="205"/>
      <c r="L1609" s="210">
        <f>(表格3_5[[#This Row],[Out-Time]] - 表格3_5[[#This Row],[In-Time]])*24</f>
        <v>0</v>
      </c>
      <c r="M1609" s="210">
        <f>表格3_5[[#This Row],[ Hours]]-表格3_5[[#This Row],[Normal working
 hours]]</f>
        <v>0</v>
      </c>
      <c r="N1609" s="205"/>
      <c r="O1609" s="205"/>
      <c r="P1609" s="210">
        <f>(表格3_5[[#This Row],[Out-Time2]] - 表格3_5[[#This Row],[In-Time2]])*24</f>
        <v>0</v>
      </c>
      <c r="Q1609" s="205"/>
      <c r="R1609" s="214">
        <f>_xlfn.XLOOKUP(表格3_5[[#This Row],[Name]],Name_list[Full Name],Name_list[Hourr Rate])</f>
        <v>0</v>
      </c>
      <c r="S1609" s="210">
        <f>表格3_5[[#This Row],[Hours Worked]]*表格3_5[[#This Row],[Hourly Rate]]</f>
        <v>0</v>
      </c>
    </row>
    <row r="1610" spans="1:19">
      <c r="A1610" s="201">
        <v>1608</v>
      </c>
      <c r="B1610" s="210" t="str">
        <f>_xlfn.CONCAT(表格3_5[[#This Row],[Name]],表格3_5[[#This Row],[Location]])</f>
        <v/>
      </c>
      <c r="C1610" s="211" t="str">
        <f>表格3_5[[#This Row],[Location]] &amp; 表格3_5[[#This Row],[Date]] &amp;表格3_5[[#This Row],[Nick Name]]</f>
        <v>0</v>
      </c>
      <c r="D1610" s="202"/>
      <c r="E1610" s="211" t="str">
        <f>DAY(表格3_5[[#This Row],[Date]])&amp;""</f>
        <v>0</v>
      </c>
      <c r="F1610" s="203"/>
      <c r="G1610" s="216">
        <f>_xlfn.XLOOKUP(表格3_5[[#This Row],[Name]],Name_list[Full Name],Name_list[Nick Name])</f>
        <v>0</v>
      </c>
      <c r="H1610" s="207"/>
      <c r="I1610" s="228"/>
      <c r="J1610" s="218"/>
      <c r="K1610" s="205"/>
      <c r="L1610" s="210">
        <f>(表格3_5[[#This Row],[Out-Time]] - 表格3_5[[#This Row],[In-Time]])*24</f>
        <v>0</v>
      </c>
      <c r="M1610" s="210">
        <f>表格3_5[[#This Row],[ Hours]]-表格3_5[[#This Row],[Normal working
 hours]]</f>
        <v>0</v>
      </c>
      <c r="N1610" s="205"/>
      <c r="O1610" s="205"/>
      <c r="P1610" s="210">
        <f>(表格3_5[[#This Row],[Out-Time2]] - 表格3_5[[#This Row],[In-Time2]])*24</f>
        <v>0</v>
      </c>
      <c r="Q1610" s="205"/>
      <c r="R1610" s="214">
        <f>_xlfn.XLOOKUP(表格3_5[[#This Row],[Name]],Name_list[Full Name],Name_list[Hourr Rate])</f>
        <v>0</v>
      </c>
      <c r="S1610" s="210">
        <f>表格3_5[[#This Row],[Hours Worked]]*表格3_5[[#This Row],[Hourly Rate]]</f>
        <v>0</v>
      </c>
    </row>
    <row r="1611" spans="1:19">
      <c r="A1611" s="201">
        <v>1609</v>
      </c>
      <c r="B1611" s="210" t="str">
        <f>_xlfn.CONCAT(表格3_5[[#This Row],[Name]],表格3_5[[#This Row],[Location]])</f>
        <v/>
      </c>
      <c r="C1611" s="211" t="str">
        <f>表格3_5[[#This Row],[Location]] &amp; 表格3_5[[#This Row],[Date]] &amp;表格3_5[[#This Row],[Nick Name]]</f>
        <v>0</v>
      </c>
      <c r="D1611" s="202"/>
      <c r="E1611" s="211" t="str">
        <f>DAY(表格3_5[[#This Row],[Date]])&amp;""</f>
        <v>0</v>
      </c>
      <c r="F1611" s="203"/>
      <c r="G1611" s="216">
        <f>_xlfn.XLOOKUP(表格3_5[[#This Row],[Name]],Name_list[Full Name],Name_list[Nick Name])</f>
        <v>0</v>
      </c>
      <c r="H1611" s="207"/>
      <c r="I1611" s="228"/>
      <c r="J1611" s="218"/>
      <c r="K1611" s="205"/>
      <c r="L1611" s="210">
        <f>(表格3_5[[#This Row],[Out-Time]] - 表格3_5[[#This Row],[In-Time]])*24</f>
        <v>0</v>
      </c>
      <c r="M1611" s="210">
        <f>表格3_5[[#This Row],[ Hours]]-表格3_5[[#This Row],[Normal working
 hours]]</f>
        <v>0</v>
      </c>
      <c r="N1611" s="205"/>
      <c r="O1611" s="205"/>
      <c r="P1611" s="210">
        <f>(表格3_5[[#This Row],[Out-Time2]] - 表格3_5[[#This Row],[In-Time2]])*24</f>
        <v>0</v>
      </c>
      <c r="Q1611" s="205"/>
      <c r="R1611" s="214">
        <f>_xlfn.XLOOKUP(表格3_5[[#This Row],[Name]],Name_list[Full Name],Name_list[Hourr Rate])</f>
        <v>0</v>
      </c>
      <c r="S1611" s="210">
        <f>表格3_5[[#This Row],[Hours Worked]]*表格3_5[[#This Row],[Hourly Rate]]</f>
        <v>0</v>
      </c>
    </row>
    <row r="1612" spans="1:19">
      <c r="A1612" s="201">
        <v>1610</v>
      </c>
      <c r="B1612" s="210" t="str">
        <f>_xlfn.CONCAT(表格3_5[[#This Row],[Name]],表格3_5[[#This Row],[Location]])</f>
        <v/>
      </c>
      <c r="C1612" s="211" t="str">
        <f>表格3_5[[#This Row],[Location]] &amp; 表格3_5[[#This Row],[Date]] &amp;表格3_5[[#This Row],[Nick Name]]</f>
        <v>0</v>
      </c>
      <c r="D1612" s="202"/>
      <c r="E1612" s="211" t="str">
        <f>DAY(表格3_5[[#This Row],[Date]])&amp;""</f>
        <v>0</v>
      </c>
      <c r="F1612" s="203"/>
      <c r="G1612" s="216">
        <f>_xlfn.XLOOKUP(表格3_5[[#This Row],[Name]],Name_list[Full Name],Name_list[Nick Name])</f>
        <v>0</v>
      </c>
      <c r="H1612" s="207"/>
      <c r="I1612" s="228"/>
      <c r="J1612" s="218"/>
      <c r="K1612" s="205"/>
      <c r="L1612" s="210">
        <f>(表格3_5[[#This Row],[Out-Time]] - 表格3_5[[#This Row],[In-Time]])*24</f>
        <v>0</v>
      </c>
      <c r="M1612" s="210">
        <f>表格3_5[[#This Row],[ Hours]]-表格3_5[[#This Row],[Normal working
 hours]]</f>
        <v>0</v>
      </c>
      <c r="N1612" s="205"/>
      <c r="O1612" s="205"/>
      <c r="P1612" s="210">
        <f>(表格3_5[[#This Row],[Out-Time2]] - 表格3_5[[#This Row],[In-Time2]])*24</f>
        <v>0</v>
      </c>
      <c r="Q1612" s="205"/>
      <c r="R1612" s="214">
        <f>_xlfn.XLOOKUP(表格3_5[[#This Row],[Name]],Name_list[Full Name],Name_list[Hourr Rate])</f>
        <v>0</v>
      </c>
      <c r="S1612" s="210">
        <f>表格3_5[[#This Row],[Hours Worked]]*表格3_5[[#This Row],[Hourly Rate]]</f>
        <v>0</v>
      </c>
    </row>
    <row r="1613" spans="1:19">
      <c r="A1613" s="201">
        <v>1611</v>
      </c>
      <c r="B1613" s="210" t="str">
        <f>_xlfn.CONCAT(表格3_5[[#This Row],[Name]],表格3_5[[#This Row],[Location]])</f>
        <v/>
      </c>
      <c r="C1613" s="211" t="str">
        <f>表格3_5[[#This Row],[Location]] &amp; 表格3_5[[#This Row],[Date]] &amp;表格3_5[[#This Row],[Nick Name]]</f>
        <v>0</v>
      </c>
      <c r="D1613" s="202"/>
      <c r="E1613" s="211" t="str">
        <f>DAY(表格3_5[[#This Row],[Date]])&amp;""</f>
        <v>0</v>
      </c>
      <c r="F1613" s="203"/>
      <c r="G1613" s="216">
        <f>_xlfn.XLOOKUP(表格3_5[[#This Row],[Name]],Name_list[Full Name],Name_list[Nick Name])</f>
        <v>0</v>
      </c>
      <c r="H1613" s="207"/>
      <c r="I1613" s="228"/>
      <c r="J1613" s="218"/>
      <c r="K1613" s="205"/>
      <c r="L1613" s="210">
        <f>(表格3_5[[#This Row],[Out-Time]] - 表格3_5[[#This Row],[In-Time]])*24</f>
        <v>0</v>
      </c>
      <c r="M1613" s="210">
        <f>表格3_5[[#This Row],[ Hours]]-表格3_5[[#This Row],[Normal working
 hours]]</f>
        <v>0</v>
      </c>
      <c r="N1613" s="205"/>
      <c r="O1613" s="205"/>
      <c r="P1613" s="210">
        <f>(表格3_5[[#This Row],[Out-Time2]] - 表格3_5[[#This Row],[In-Time2]])*24</f>
        <v>0</v>
      </c>
      <c r="Q1613" s="205"/>
      <c r="R1613" s="214">
        <f>_xlfn.XLOOKUP(表格3_5[[#This Row],[Name]],Name_list[Full Name],Name_list[Hourr Rate])</f>
        <v>0</v>
      </c>
      <c r="S1613" s="210">
        <f>表格3_5[[#This Row],[Hours Worked]]*表格3_5[[#This Row],[Hourly Rate]]</f>
        <v>0</v>
      </c>
    </row>
    <row r="1614" spans="1:19">
      <c r="A1614" s="201">
        <v>1612</v>
      </c>
      <c r="B1614" s="210" t="str">
        <f>_xlfn.CONCAT(表格3_5[[#This Row],[Name]],表格3_5[[#This Row],[Location]])</f>
        <v/>
      </c>
      <c r="C1614" s="211" t="str">
        <f>表格3_5[[#This Row],[Location]] &amp; 表格3_5[[#This Row],[Date]] &amp;表格3_5[[#This Row],[Nick Name]]</f>
        <v>0</v>
      </c>
      <c r="D1614" s="202"/>
      <c r="E1614" s="211" t="str">
        <f>DAY(表格3_5[[#This Row],[Date]])&amp;""</f>
        <v>0</v>
      </c>
      <c r="F1614" s="203"/>
      <c r="G1614" s="216">
        <f>_xlfn.XLOOKUP(表格3_5[[#This Row],[Name]],Name_list[Full Name],Name_list[Nick Name])</f>
        <v>0</v>
      </c>
      <c r="H1614" s="207"/>
      <c r="I1614" s="228"/>
      <c r="J1614" s="218"/>
      <c r="K1614" s="205"/>
      <c r="L1614" s="210">
        <f>(表格3_5[[#This Row],[Out-Time]] - 表格3_5[[#This Row],[In-Time]])*24</f>
        <v>0</v>
      </c>
      <c r="M1614" s="210">
        <f>表格3_5[[#This Row],[ Hours]]-表格3_5[[#This Row],[Normal working
 hours]]</f>
        <v>0</v>
      </c>
      <c r="N1614" s="205"/>
      <c r="O1614" s="205"/>
      <c r="P1614" s="210">
        <f>(表格3_5[[#This Row],[Out-Time2]] - 表格3_5[[#This Row],[In-Time2]])*24</f>
        <v>0</v>
      </c>
      <c r="Q1614" s="205"/>
      <c r="R1614" s="214">
        <f>_xlfn.XLOOKUP(表格3_5[[#This Row],[Name]],Name_list[Full Name],Name_list[Hourr Rate])</f>
        <v>0</v>
      </c>
      <c r="S1614" s="210">
        <f>表格3_5[[#This Row],[Hours Worked]]*表格3_5[[#This Row],[Hourly Rate]]</f>
        <v>0</v>
      </c>
    </row>
    <row r="1615" spans="1:19">
      <c r="A1615" s="201">
        <v>1613</v>
      </c>
      <c r="B1615" s="210" t="str">
        <f>_xlfn.CONCAT(表格3_5[[#This Row],[Name]],表格3_5[[#This Row],[Location]])</f>
        <v/>
      </c>
      <c r="C1615" s="211" t="str">
        <f>表格3_5[[#This Row],[Location]] &amp; 表格3_5[[#This Row],[Date]] &amp;表格3_5[[#This Row],[Nick Name]]</f>
        <v>0</v>
      </c>
      <c r="D1615" s="202"/>
      <c r="E1615" s="211" t="str">
        <f>DAY(表格3_5[[#This Row],[Date]])&amp;""</f>
        <v>0</v>
      </c>
      <c r="F1615" s="203"/>
      <c r="G1615" s="216">
        <f>_xlfn.XLOOKUP(表格3_5[[#This Row],[Name]],Name_list[Full Name],Name_list[Nick Name])</f>
        <v>0</v>
      </c>
      <c r="H1615" s="207"/>
      <c r="I1615" s="228"/>
      <c r="J1615" s="218"/>
      <c r="K1615" s="205"/>
      <c r="L1615" s="210">
        <f>(表格3_5[[#This Row],[Out-Time]] - 表格3_5[[#This Row],[In-Time]])*24</f>
        <v>0</v>
      </c>
      <c r="M1615" s="210">
        <f>表格3_5[[#This Row],[ Hours]]-表格3_5[[#This Row],[Normal working
 hours]]</f>
        <v>0</v>
      </c>
      <c r="N1615" s="205"/>
      <c r="O1615" s="205"/>
      <c r="P1615" s="210">
        <f>(表格3_5[[#This Row],[Out-Time2]] - 表格3_5[[#This Row],[In-Time2]])*24</f>
        <v>0</v>
      </c>
      <c r="Q1615" s="205"/>
      <c r="R1615" s="214">
        <f>_xlfn.XLOOKUP(表格3_5[[#This Row],[Name]],Name_list[Full Name],Name_list[Hourr Rate])</f>
        <v>0</v>
      </c>
      <c r="S1615" s="210">
        <f>表格3_5[[#This Row],[Hours Worked]]*表格3_5[[#This Row],[Hourly Rate]]</f>
        <v>0</v>
      </c>
    </row>
    <row r="1616" spans="1:19">
      <c r="A1616" s="201">
        <v>1614</v>
      </c>
      <c r="B1616" s="210" t="str">
        <f>_xlfn.CONCAT(表格3_5[[#This Row],[Name]],表格3_5[[#This Row],[Location]])</f>
        <v/>
      </c>
      <c r="C1616" s="211" t="str">
        <f>表格3_5[[#This Row],[Location]] &amp; 表格3_5[[#This Row],[Date]] &amp;表格3_5[[#This Row],[Nick Name]]</f>
        <v>0</v>
      </c>
      <c r="D1616" s="202"/>
      <c r="E1616" s="211" t="str">
        <f>DAY(表格3_5[[#This Row],[Date]])&amp;""</f>
        <v>0</v>
      </c>
      <c r="F1616" s="203"/>
      <c r="G1616" s="216">
        <f>_xlfn.XLOOKUP(表格3_5[[#This Row],[Name]],Name_list[Full Name],Name_list[Nick Name])</f>
        <v>0</v>
      </c>
      <c r="H1616" s="207"/>
      <c r="I1616" s="228"/>
      <c r="J1616" s="218"/>
      <c r="K1616" s="205"/>
      <c r="L1616" s="210">
        <f>(表格3_5[[#This Row],[Out-Time]] - 表格3_5[[#This Row],[In-Time]])*24</f>
        <v>0</v>
      </c>
      <c r="M1616" s="210">
        <f>表格3_5[[#This Row],[ Hours]]-表格3_5[[#This Row],[Normal working
 hours]]</f>
        <v>0</v>
      </c>
      <c r="N1616" s="205"/>
      <c r="O1616" s="205"/>
      <c r="P1616" s="210">
        <f>(表格3_5[[#This Row],[Out-Time2]] - 表格3_5[[#This Row],[In-Time2]])*24</f>
        <v>0</v>
      </c>
      <c r="Q1616" s="205"/>
      <c r="R1616" s="214">
        <f>_xlfn.XLOOKUP(表格3_5[[#This Row],[Name]],Name_list[Full Name],Name_list[Hourr Rate])</f>
        <v>0</v>
      </c>
      <c r="S1616" s="210">
        <f>表格3_5[[#This Row],[Hours Worked]]*表格3_5[[#This Row],[Hourly Rate]]</f>
        <v>0</v>
      </c>
    </row>
    <row r="1617" spans="1:19">
      <c r="A1617" s="201">
        <v>1615</v>
      </c>
      <c r="B1617" s="210" t="str">
        <f>_xlfn.CONCAT(表格3_5[[#This Row],[Name]],表格3_5[[#This Row],[Location]])</f>
        <v/>
      </c>
      <c r="C1617" s="211" t="str">
        <f>表格3_5[[#This Row],[Location]] &amp; 表格3_5[[#This Row],[Date]] &amp;表格3_5[[#This Row],[Nick Name]]</f>
        <v>0</v>
      </c>
      <c r="D1617" s="202"/>
      <c r="E1617" s="211" t="str">
        <f>DAY(表格3_5[[#This Row],[Date]])&amp;""</f>
        <v>0</v>
      </c>
      <c r="F1617" s="203"/>
      <c r="G1617" s="216">
        <f>_xlfn.XLOOKUP(表格3_5[[#This Row],[Name]],Name_list[Full Name],Name_list[Nick Name])</f>
        <v>0</v>
      </c>
      <c r="H1617" s="207"/>
      <c r="I1617" s="228"/>
      <c r="J1617" s="218"/>
      <c r="K1617" s="205"/>
      <c r="L1617" s="210">
        <f>(表格3_5[[#This Row],[Out-Time]] - 表格3_5[[#This Row],[In-Time]])*24</f>
        <v>0</v>
      </c>
      <c r="M1617" s="210">
        <f>表格3_5[[#This Row],[ Hours]]-表格3_5[[#This Row],[Normal working
 hours]]</f>
        <v>0</v>
      </c>
      <c r="N1617" s="205"/>
      <c r="O1617" s="205"/>
      <c r="P1617" s="210">
        <f>(表格3_5[[#This Row],[Out-Time2]] - 表格3_5[[#This Row],[In-Time2]])*24</f>
        <v>0</v>
      </c>
      <c r="Q1617" s="205"/>
      <c r="R1617" s="214">
        <f>_xlfn.XLOOKUP(表格3_5[[#This Row],[Name]],Name_list[Full Name],Name_list[Hourr Rate])</f>
        <v>0</v>
      </c>
      <c r="S1617" s="210">
        <f>表格3_5[[#This Row],[Hours Worked]]*表格3_5[[#This Row],[Hourly Rate]]</f>
        <v>0</v>
      </c>
    </row>
    <row r="1618" spans="1:19">
      <c r="A1618" s="201">
        <v>1616</v>
      </c>
      <c r="B1618" s="210" t="str">
        <f>_xlfn.CONCAT(表格3_5[[#This Row],[Name]],表格3_5[[#This Row],[Location]])</f>
        <v/>
      </c>
      <c r="C1618" s="211" t="str">
        <f>表格3_5[[#This Row],[Location]] &amp; 表格3_5[[#This Row],[Date]] &amp;表格3_5[[#This Row],[Nick Name]]</f>
        <v>0</v>
      </c>
      <c r="D1618" s="202"/>
      <c r="E1618" s="211" t="str">
        <f>DAY(表格3_5[[#This Row],[Date]])&amp;""</f>
        <v>0</v>
      </c>
      <c r="F1618" s="203"/>
      <c r="G1618" s="216">
        <f>_xlfn.XLOOKUP(表格3_5[[#This Row],[Name]],Name_list[Full Name],Name_list[Nick Name])</f>
        <v>0</v>
      </c>
      <c r="H1618" s="207"/>
      <c r="I1618" s="228"/>
      <c r="J1618" s="218"/>
      <c r="K1618" s="205"/>
      <c r="L1618" s="210">
        <f>(表格3_5[[#This Row],[Out-Time]] - 表格3_5[[#This Row],[In-Time]])*24</f>
        <v>0</v>
      </c>
      <c r="M1618" s="210">
        <f>表格3_5[[#This Row],[ Hours]]-表格3_5[[#This Row],[Normal working
 hours]]</f>
        <v>0</v>
      </c>
      <c r="N1618" s="205"/>
      <c r="O1618" s="205"/>
      <c r="P1618" s="210">
        <f>(表格3_5[[#This Row],[Out-Time2]] - 表格3_5[[#This Row],[In-Time2]])*24</f>
        <v>0</v>
      </c>
      <c r="Q1618" s="205"/>
      <c r="R1618" s="214">
        <f>_xlfn.XLOOKUP(表格3_5[[#This Row],[Name]],Name_list[Full Name],Name_list[Hourr Rate])</f>
        <v>0</v>
      </c>
      <c r="S1618" s="210">
        <f>表格3_5[[#This Row],[Hours Worked]]*表格3_5[[#This Row],[Hourly Rate]]</f>
        <v>0</v>
      </c>
    </row>
    <row r="1619" spans="1:19">
      <c r="A1619" s="201">
        <v>1617</v>
      </c>
      <c r="B1619" s="210" t="str">
        <f>_xlfn.CONCAT(表格3_5[[#This Row],[Name]],表格3_5[[#This Row],[Location]])</f>
        <v/>
      </c>
      <c r="C1619" s="211" t="str">
        <f>表格3_5[[#This Row],[Location]] &amp; 表格3_5[[#This Row],[Date]] &amp;表格3_5[[#This Row],[Nick Name]]</f>
        <v>0</v>
      </c>
      <c r="D1619" s="202"/>
      <c r="E1619" s="211" t="str">
        <f>DAY(表格3_5[[#This Row],[Date]])&amp;""</f>
        <v>0</v>
      </c>
      <c r="F1619" s="203"/>
      <c r="G1619" s="216">
        <f>_xlfn.XLOOKUP(表格3_5[[#This Row],[Name]],Name_list[Full Name],Name_list[Nick Name])</f>
        <v>0</v>
      </c>
      <c r="H1619" s="207"/>
      <c r="I1619" s="228"/>
      <c r="J1619" s="218"/>
      <c r="K1619" s="205"/>
      <c r="L1619" s="210">
        <f>(表格3_5[[#This Row],[Out-Time]] - 表格3_5[[#This Row],[In-Time]])*24</f>
        <v>0</v>
      </c>
      <c r="M1619" s="210">
        <f>表格3_5[[#This Row],[ Hours]]-表格3_5[[#This Row],[Normal working
 hours]]</f>
        <v>0</v>
      </c>
      <c r="N1619" s="205"/>
      <c r="O1619" s="205"/>
      <c r="P1619" s="210">
        <f>(表格3_5[[#This Row],[Out-Time2]] - 表格3_5[[#This Row],[In-Time2]])*24</f>
        <v>0</v>
      </c>
      <c r="Q1619" s="205"/>
      <c r="R1619" s="214">
        <f>_xlfn.XLOOKUP(表格3_5[[#This Row],[Name]],Name_list[Full Name],Name_list[Hourr Rate])</f>
        <v>0</v>
      </c>
      <c r="S1619" s="210">
        <f>表格3_5[[#This Row],[Hours Worked]]*表格3_5[[#This Row],[Hourly Rate]]</f>
        <v>0</v>
      </c>
    </row>
    <row r="1620" spans="1:19">
      <c r="A1620" s="201">
        <v>1618</v>
      </c>
      <c r="B1620" s="210" t="str">
        <f>_xlfn.CONCAT(表格3_5[[#This Row],[Name]],表格3_5[[#This Row],[Location]])</f>
        <v/>
      </c>
      <c r="C1620" s="211" t="str">
        <f>表格3_5[[#This Row],[Location]] &amp; 表格3_5[[#This Row],[Date]] &amp;表格3_5[[#This Row],[Nick Name]]</f>
        <v>0</v>
      </c>
      <c r="D1620" s="202"/>
      <c r="E1620" s="211" t="str">
        <f>DAY(表格3_5[[#This Row],[Date]])&amp;""</f>
        <v>0</v>
      </c>
      <c r="F1620" s="203"/>
      <c r="G1620" s="216">
        <f>_xlfn.XLOOKUP(表格3_5[[#This Row],[Name]],Name_list[Full Name],Name_list[Nick Name])</f>
        <v>0</v>
      </c>
      <c r="H1620" s="207"/>
      <c r="I1620" s="228"/>
      <c r="J1620" s="218"/>
      <c r="K1620" s="205"/>
      <c r="L1620" s="210">
        <f>(表格3_5[[#This Row],[Out-Time]] - 表格3_5[[#This Row],[In-Time]])*24</f>
        <v>0</v>
      </c>
      <c r="M1620" s="210">
        <f>表格3_5[[#This Row],[ Hours]]-表格3_5[[#This Row],[Normal working
 hours]]</f>
        <v>0</v>
      </c>
      <c r="N1620" s="205"/>
      <c r="O1620" s="205"/>
      <c r="P1620" s="210">
        <f>(表格3_5[[#This Row],[Out-Time2]] - 表格3_5[[#This Row],[In-Time2]])*24</f>
        <v>0</v>
      </c>
      <c r="Q1620" s="205"/>
      <c r="R1620" s="214">
        <f>_xlfn.XLOOKUP(表格3_5[[#This Row],[Name]],Name_list[Full Name],Name_list[Hourr Rate])</f>
        <v>0</v>
      </c>
      <c r="S1620" s="210">
        <f>表格3_5[[#This Row],[Hours Worked]]*表格3_5[[#This Row],[Hourly Rate]]</f>
        <v>0</v>
      </c>
    </row>
    <row r="1621" spans="1:19">
      <c r="A1621" s="201">
        <v>1619</v>
      </c>
      <c r="B1621" s="210" t="str">
        <f>_xlfn.CONCAT(表格3_5[[#This Row],[Name]],表格3_5[[#This Row],[Location]])</f>
        <v/>
      </c>
      <c r="C1621" s="211" t="str">
        <f>表格3_5[[#This Row],[Location]] &amp; 表格3_5[[#This Row],[Date]] &amp;表格3_5[[#This Row],[Nick Name]]</f>
        <v>0</v>
      </c>
      <c r="D1621" s="202"/>
      <c r="E1621" s="211" t="str">
        <f>DAY(表格3_5[[#This Row],[Date]])&amp;""</f>
        <v>0</v>
      </c>
      <c r="F1621" s="203"/>
      <c r="G1621" s="216">
        <f>_xlfn.XLOOKUP(表格3_5[[#This Row],[Name]],Name_list[Full Name],Name_list[Nick Name])</f>
        <v>0</v>
      </c>
      <c r="H1621" s="207"/>
      <c r="I1621" s="228"/>
      <c r="J1621" s="218"/>
      <c r="K1621" s="205"/>
      <c r="L1621" s="210">
        <f>(表格3_5[[#This Row],[Out-Time]] - 表格3_5[[#This Row],[In-Time]])*24</f>
        <v>0</v>
      </c>
      <c r="M1621" s="210">
        <f>表格3_5[[#This Row],[ Hours]]-表格3_5[[#This Row],[Normal working
 hours]]</f>
        <v>0</v>
      </c>
      <c r="N1621" s="205"/>
      <c r="O1621" s="205"/>
      <c r="P1621" s="210">
        <f>(表格3_5[[#This Row],[Out-Time2]] - 表格3_5[[#This Row],[In-Time2]])*24</f>
        <v>0</v>
      </c>
      <c r="Q1621" s="205"/>
      <c r="R1621" s="214">
        <f>_xlfn.XLOOKUP(表格3_5[[#This Row],[Name]],Name_list[Full Name],Name_list[Hourr Rate])</f>
        <v>0</v>
      </c>
      <c r="S1621" s="210">
        <f>表格3_5[[#This Row],[Hours Worked]]*表格3_5[[#This Row],[Hourly Rate]]</f>
        <v>0</v>
      </c>
    </row>
    <row r="1622" spans="1:19">
      <c r="A1622" s="201">
        <v>1620</v>
      </c>
      <c r="B1622" s="210" t="str">
        <f>_xlfn.CONCAT(表格3_5[[#This Row],[Name]],表格3_5[[#This Row],[Location]])</f>
        <v/>
      </c>
      <c r="C1622" s="211" t="str">
        <f>表格3_5[[#This Row],[Location]] &amp; 表格3_5[[#This Row],[Date]] &amp;表格3_5[[#This Row],[Nick Name]]</f>
        <v>0</v>
      </c>
      <c r="D1622" s="202"/>
      <c r="E1622" s="211" t="str">
        <f>DAY(表格3_5[[#This Row],[Date]])&amp;""</f>
        <v>0</v>
      </c>
      <c r="F1622" s="203"/>
      <c r="G1622" s="216">
        <f>_xlfn.XLOOKUP(表格3_5[[#This Row],[Name]],Name_list[Full Name],Name_list[Nick Name])</f>
        <v>0</v>
      </c>
      <c r="H1622" s="207"/>
      <c r="I1622" s="228"/>
      <c r="J1622" s="218"/>
      <c r="K1622" s="205"/>
      <c r="L1622" s="210">
        <f>(表格3_5[[#This Row],[Out-Time]] - 表格3_5[[#This Row],[In-Time]])*24</f>
        <v>0</v>
      </c>
      <c r="M1622" s="210">
        <f>表格3_5[[#This Row],[ Hours]]-表格3_5[[#This Row],[Normal working
 hours]]</f>
        <v>0</v>
      </c>
      <c r="N1622" s="205"/>
      <c r="O1622" s="205"/>
      <c r="P1622" s="210">
        <f>(表格3_5[[#This Row],[Out-Time2]] - 表格3_5[[#This Row],[In-Time2]])*24</f>
        <v>0</v>
      </c>
      <c r="Q1622" s="205"/>
      <c r="R1622" s="214">
        <f>_xlfn.XLOOKUP(表格3_5[[#This Row],[Name]],Name_list[Full Name],Name_list[Hourr Rate])</f>
        <v>0</v>
      </c>
      <c r="S1622" s="210">
        <f>表格3_5[[#This Row],[Hours Worked]]*表格3_5[[#This Row],[Hourly Rate]]</f>
        <v>0</v>
      </c>
    </row>
    <row r="1623" spans="1:19">
      <c r="A1623" s="201">
        <v>1621</v>
      </c>
      <c r="B1623" s="210" t="str">
        <f>_xlfn.CONCAT(表格3_5[[#This Row],[Name]],表格3_5[[#This Row],[Location]])</f>
        <v/>
      </c>
      <c r="C1623" s="211" t="str">
        <f>表格3_5[[#This Row],[Location]] &amp; 表格3_5[[#This Row],[Date]] &amp;表格3_5[[#This Row],[Nick Name]]</f>
        <v>0</v>
      </c>
      <c r="D1623" s="202"/>
      <c r="E1623" s="211" t="str">
        <f>DAY(表格3_5[[#This Row],[Date]])&amp;""</f>
        <v>0</v>
      </c>
      <c r="F1623" s="203"/>
      <c r="G1623" s="216">
        <f>_xlfn.XLOOKUP(表格3_5[[#This Row],[Name]],Name_list[Full Name],Name_list[Nick Name])</f>
        <v>0</v>
      </c>
      <c r="H1623" s="207"/>
      <c r="I1623" s="228"/>
      <c r="J1623" s="218"/>
      <c r="K1623" s="205"/>
      <c r="L1623" s="210">
        <f>(表格3_5[[#This Row],[Out-Time]] - 表格3_5[[#This Row],[In-Time]])*24</f>
        <v>0</v>
      </c>
      <c r="M1623" s="210">
        <f>表格3_5[[#This Row],[ Hours]]-表格3_5[[#This Row],[Normal working
 hours]]</f>
        <v>0</v>
      </c>
      <c r="N1623" s="205"/>
      <c r="O1623" s="205"/>
      <c r="P1623" s="210">
        <f>(表格3_5[[#This Row],[Out-Time2]] - 表格3_5[[#This Row],[In-Time2]])*24</f>
        <v>0</v>
      </c>
      <c r="Q1623" s="205"/>
      <c r="R1623" s="214">
        <f>_xlfn.XLOOKUP(表格3_5[[#This Row],[Name]],Name_list[Full Name],Name_list[Hourr Rate])</f>
        <v>0</v>
      </c>
      <c r="S1623" s="210">
        <f>表格3_5[[#This Row],[Hours Worked]]*表格3_5[[#This Row],[Hourly Rate]]</f>
        <v>0</v>
      </c>
    </row>
    <row r="1624" spans="1:19">
      <c r="A1624" s="201">
        <v>1622</v>
      </c>
      <c r="B1624" s="210" t="str">
        <f>_xlfn.CONCAT(表格3_5[[#This Row],[Name]],表格3_5[[#This Row],[Location]])</f>
        <v/>
      </c>
      <c r="C1624" s="211" t="str">
        <f>表格3_5[[#This Row],[Location]] &amp; 表格3_5[[#This Row],[Date]] &amp;表格3_5[[#This Row],[Nick Name]]</f>
        <v>0</v>
      </c>
      <c r="D1624" s="202"/>
      <c r="E1624" s="211" t="str">
        <f>DAY(表格3_5[[#This Row],[Date]])&amp;""</f>
        <v>0</v>
      </c>
      <c r="F1624" s="203"/>
      <c r="G1624" s="216">
        <f>_xlfn.XLOOKUP(表格3_5[[#This Row],[Name]],Name_list[Full Name],Name_list[Nick Name])</f>
        <v>0</v>
      </c>
      <c r="H1624" s="207"/>
      <c r="I1624" s="228"/>
      <c r="J1624" s="218"/>
      <c r="K1624" s="205"/>
      <c r="L1624" s="210">
        <f>(表格3_5[[#This Row],[Out-Time]] - 表格3_5[[#This Row],[In-Time]])*24</f>
        <v>0</v>
      </c>
      <c r="M1624" s="210">
        <f>表格3_5[[#This Row],[ Hours]]-表格3_5[[#This Row],[Normal working
 hours]]</f>
        <v>0</v>
      </c>
      <c r="N1624" s="205"/>
      <c r="O1624" s="205"/>
      <c r="P1624" s="210">
        <f>(表格3_5[[#This Row],[Out-Time2]] - 表格3_5[[#This Row],[In-Time2]])*24</f>
        <v>0</v>
      </c>
      <c r="Q1624" s="205"/>
      <c r="R1624" s="214">
        <f>_xlfn.XLOOKUP(表格3_5[[#This Row],[Name]],Name_list[Full Name],Name_list[Hourr Rate])</f>
        <v>0</v>
      </c>
      <c r="S1624" s="210">
        <f>表格3_5[[#This Row],[Hours Worked]]*表格3_5[[#This Row],[Hourly Rate]]</f>
        <v>0</v>
      </c>
    </row>
    <row r="1625" spans="1:19">
      <c r="A1625" s="201">
        <v>1623</v>
      </c>
      <c r="B1625" s="210" t="str">
        <f>_xlfn.CONCAT(表格3_5[[#This Row],[Name]],表格3_5[[#This Row],[Location]])</f>
        <v/>
      </c>
      <c r="C1625" s="211" t="str">
        <f>表格3_5[[#This Row],[Location]] &amp; 表格3_5[[#This Row],[Date]] &amp;表格3_5[[#This Row],[Nick Name]]</f>
        <v>0</v>
      </c>
      <c r="D1625" s="202"/>
      <c r="E1625" s="211" t="str">
        <f>DAY(表格3_5[[#This Row],[Date]])&amp;""</f>
        <v>0</v>
      </c>
      <c r="F1625" s="203"/>
      <c r="G1625" s="216">
        <f>_xlfn.XLOOKUP(表格3_5[[#This Row],[Name]],Name_list[Full Name],Name_list[Nick Name])</f>
        <v>0</v>
      </c>
      <c r="H1625" s="207"/>
      <c r="I1625" s="228"/>
      <c r="J1625" s="218"/>
      <c r="K1625" s="205"/>
      <c r="L1625" s="210">
        <f>(表格3_5[[#This Row],[Out-Time]] - 表格3_5[[#This Row],[In-Time]])*24</f>
        <v>0</v>
      </c>
      <c r="M1625" s="210">
        <f>表格3_5[[#This Row],[ Hours]]-表格3_5[[#This Row],[Normal working
 hours]]</f>
        <v>0</v>
      </c>
      <c r="N1625" s="205"/>
      <c r="O1625" s="205"/>
      <c r="P1625" s="210">
        <f>(表格3_5[[#This Row],[Out-Time2]] - 表格3_5[[#This Row],[In-Time2]])*24</f>
        <v>0</v>
      </c>
      <c r="Q1625" s="205"/>
      <c r="R1625" s="214">
        <f>_xlfn.XLOOKUP(表格3_5[[#This Row],[Name]],Name_list[Full Name],Name_list[Hourr Rate])</f>
        <v>0</v>
      </c>
      <c r="S1625" s="210">
        <f>表格3_5[[#This Row],[Hours Worked]]*表格3_5[[#This Row],[Hourly Rate]]</f>
        <v>0</v>
      </c>
    </row>
    <row r="1626" spans="1:19">
      <c r="A1626" s="201">
        <v>1624</v>
      </c>
      <c r="B1626" s="210" t="str">
        <f>_xlfn.CONCAT(表格3_5[[#This Row],[Name]],表格3_5[[#This Row],[Location]])</f>
        <v/>
      </c>
      <c r="C1626" s="211" t="str">
        <f>表格3_5[[#This Row],[Location]] &amp; 表格3_5[[#This Row],[Date]] &amp;表格3_5[[#This Row],[Nick Name]]</f>
        <v>0</v>
      </c>
      <c r="D1626" s="202"/>
      <c r="E1626" s="211" t="str">
        <f>DAY(表格3_5[[#This Row],[Date]])&amp;""</f>
        <v>0</v>
      </c>
      <c r="F1626" s="203"/>
      <c r="G1626" s="216">
        <f>_xlfn.XLOOKUP(表格3_5[[#This Row],[Name]],Name_list[Full Name],Name_list[Nick Name])</f>
        <v>0</v>
      </c>
      <c r="H1626" s="207"/>
      <c r="I1626" s="228"/>
      <c r="J1626" s="218"/>
      <c r="K1626" s="205"/>
      <c r="L1626" s="210">
        <f>(表格3_5[[#This Row],[Out-Time]] - 表格3_5[[#This Row],[In-Time]])*24</f>
        <v>0</v>
      </c>
      <c r="M1626" s="210">
        <f>表格3_5[[#This Row],[ Hours]]-表格3_5[[#This Row],[Normal working
 hours]]</f>
        <v>0</v>
      </c>
      <c r="N1626" s="205"/>
      <c r="O1626" s="205"/>
      <c r="P1626" s="210">
        <f>(表格3_5[[#This Row],[Out-Time2]] - 表格3_5[[#This Row],[In-Time2]])*24</f>
        <v>0</v>
      </c>
      <c r="Q1626" s="205"/>
      <c r="R1626" s="214">
        <f>_xlfn.XLOOKUP(表格3_5[[#This Row],[Name]],Name_list[Full Name],Name_list[Hourr Rate])</f>
        <v>0</v>
      </c>
      <c r="S1626" s="210">
        <f>表格3_5[[#This Row],[Hours Worked]]*表格3_5[[#This Row],[Hourly Rate]]</f>
        <v>0</v>
      </c>
    </row>
    <row r="1627" spans="1:19">
      <c r="A1627" s="201">
        <v>1625</v>
      </c>
      <c r="B1627" s="210" t="str">
        <f>_xlfn.CONCAT(表格3_5[[#This Row],[Name]],表格3_5[[#This Row],[Location]])</f>
        <v/>
      </c>
      <c r="C1627" s="211" t="str">
        <f>表格3_5[[#This Row],[Location]] &amp; 表格3_5[[#This Row],[Date]] &amp;表格3_5[[#This Row],[Nick Name]]</f>
        <v>0</v>
      </c>
      <c r="D1627" s="202"/>
      <c r="E1627" s="211" t="str">
        <f>DAY(表格3_5[[#This Row],[Date]])&amp;""</f>
        <v>0</v>
      </c>
      <c r="F1627" s="203"/>
      <c r="G1627" s="216">
        <f>_xlfn.XLOOKUP(表格3_5[[#This Row],[Name]],Name_list[Full Name],Name_list[Nick Name])</f>
        <v>0</v>
      </c>
      <c r="H1627" s="207"/>
      <c r="I1627" s="228"/>
      <c r="J1627" s="218"/>
      <c r="K1627" s="205"/>
      <c r="L1627" s="210">
        <f>(表格3_5[[#This Row],[Out-Time]] - 表格3_5[[#This Row],[In-Time]])*24</f>
        <v>0</v>
      </c>
      <c r="M1627" s="210">
        <f>表格3_5[[#This Row],[ Hours]]-表格3_5[[#This Row],[Normal working
 hours]]</f>
        <v>0</v>
      </c>
      <c r="N1627" s="205"/>
      <c r="O1627" s="205"/>
      <c r="P1627" s="210">
        <f>(表格3_5[[#This Row],[Out-Time2]] - 表格3_5[[#This Row],[In-Time2]])*24</f>
        <v>0</v>
      </c>
      <c r="Q1627" s="205"/>
      <c r="R1627" s="214">
        <f>_xlfn.XLOOKUP(表格3_5[[#This Row],[Name]],Name_list[Full Name],Name_list[Hourr Rate])</f>
        <v>0</v>
      </c>
      <c r="S1627" s="210">
        <f>表格3_5[[#This Row],[Hours Worked]]*表格3_5[[#This Row],[Hourly Rate]]</f>
        <v>0</v>
      </c>
    </row>
    <row r="1628" spans="1:19">
      <c r="A1628" s="201">
        <v>1626</v>
      </c>
      <c r="B1628" s="210" t="str">
        <f>_xlfn.CONCAT(表格3_5[[#This Row],[Name]],表格3_5[[#This Row],[Location]])</f>
        <v/>
      </c>
      <c r="C1628" s="211" t="str">
        <f>表格3_5[[#This Row],[Location]] &amp; 表格3_5[[#This Row],[Date]] &amp;表格3_5[[#This Row],[Nick Name]]</f>
        <v>0</v>
      </c>
      <c r="D1628" s="202"/>
      <c r="E1628" s="211" t="str">
        <f>DAY(表格3_5[[#This Row],[Date]])&amp;""</f>
        <v>0</v>
      </c>
      <c r="F1628" s="203"/>
      <c r="G1628" s="216">
        <f>_xlfn.XLOOKUP(表格3_5[[#This Row],[Name]],Name_list[Full Name],Name_list[Nick Name])</f>
        <v>0</v>
      </c>
      <c r="H1628" s="207"/>
      <c r="I1628" s="228"/>
      <c r="J1628" s="218"/>
      <c r="K1628" s="205"/>
      <c r="L1628" s="210">
        <f>(表格3_5[[#This Row],[Out-Time]] - 表格3_5[[#This Row],[In-Time]])*24</f>
        <v>0</v>
      </c>
      <c r="M1628" s="210">
        <f>表格3_5[[#This Row],[ Hours]]-表格3_5[[#This Row],[Normal working
 hours]]</f>
        <v>0</v>
      </c>
      <c r="N1628" s="205"/>
      <c r="O1628" s="205"/>
      <c r="P1628" s="210">
        <f>(表格3_5[[#This Row],[Out-Time2]] - 表格3_5[[#This Row],[In-Time2]])*24</f>
        <v>0</v>
      </c>
      <c r="Q1628" s="205"/>
      <c r="R1628" s="214">
        <f>_xlfn.XLOOKUP(表格3_5[[#This Row],[Name]],Name_list[Full Name],Name_list[Hourr Rate])</f>
        <v>0</v>
      </c>
      <c r="S1628" s="210">
        <f>表格3_5[[#This Row],[Hours Worked]]*表格3_5[[#This Row],[Hourly Rate]]</f>
        <v>0</v>
      </c>
    </row>
    <row r="1629" spans="1:19">
      <c r="A1629" s="201">
        <v>1627</v>
      </c>
      <c r="B1629" s="210" t="str">
        <f>_xlfn.CONCAT(表格3_5[[#This Row],[Name]],表格3_5[[#This Row],[Location]])</f>
        <v/>
      </c>
      <c r="C1629" s="211" t="str">
        <f>表格3_5[[#This Row],[Location]] &amp; 表格3_5[[#This Row],[Date]] &amp;表格3_5[[#This Row],[Nick Name]]</f>
        <v>0</v>
      </c>
      <c r="D1629" s="202"/>
      <c r="E1629" s="211" t="str">
        <f>DAY(表格3_5[[#This Row],[Date]])&amp;""</f>
        <v>0</v>
      </c>
      <c r="F1629" s="203"/>
      <c r="G1629" s="216">
        <f>_xlfn.XLOOKUP(表格3_5[[#This Row],[Name]],Name_list[Full Name],Name_list[Nick Name])</f>
        <v>0</v>
      </c>
      <c r="H1629" s="207"/>
      <c r="I1629" s="228"/>
      <c r="J1629" s="218"/>
      <c r="K1629" s="205"/>
      <c r="L1629" s="210">
        <f>(表格3_5[[#This Row],[Out-Time]] - 表格3_5[[#This Row],[In-Time]])*24</f>
        <v>0</v>
      </c>
      <c r="M1629" s="210">
        <f>表格3_5[[#This Row],[ Hours]]-表格3_5[[#This Row],[Normal working
 hours]]</f>
        <v>0</v>
      </c>
      <c r="N1629" s="205"/>
      <c r="O1629" s="205"/>
      <c r="P1629" s="210">
        <f>(表格3_5[[#This Row],[Out-Time2]] - 表格3_5[[#This Row],[In-Time2]])*24</f>
        <v>0</v>
      </c>
      <c r="Q1629" s="205"/>
      <c r="R1629" s="214">
        <f>_xlfn.XLOOKUP(表格3_5[[#This Row],[Name]],Name_list[Full Name],Name_list[Hourr Rate])</f>
        <v>0</v>
      </c>
      <c r="S1629" s="210">
        <f>表格3_5[[#This Row],[Hours Worked]]*表格3_5[[#This Row],[Hourly Rate]]</f>
        <v>0</v>
      </c>
    </row>
    <row r="1630" spans="1:19">
      <c r="A1630" s="201">
        <v>1628</v>
      </c>
      <c r="B1630" s="210" t="str">
        <f>_xlfn.CONCAT(表格3_5[[#This Row],[Name]],表格3_5[[#This Row],[Location]])</f>
        <v/>
      </c>
      <c r="C1630" s="211" t="str">
        <f>表格3_5[[#This Row],[Location]] &amp; 表格3_5[[#This Row],[Date]] &amp;表格3_5[[#This Row],[Nick Name]]</f>
        <v>0</v>
      </c>
      <c r="D1630" s="202"/>
      <c r="E1630" s="211" t="str">
        <f>DAY(表格3_5[[#This Row],[Date]])&amp;""</f>
        <v>0</v>
      </c>
      <c r="F1630" s="203"/>
      <c r="G1630" s="216">
        <f>_xlfn.XLOOKUP(表格3_5[[#This Row],[Name]],Name_list[Full Name],Name_list[Nick Name])</f>
        <v>0</v>
      </c>
      <c r="H1630" s="207"/>
      <c r="I1630" s="228"/>
      <c r="J1630" s="218"/>
      <c r="K1630" s="205"/>
      <c r="L1630" s="210">
        <f>(表格3_5[[#This Row],[Out-Time]] - 表格3_5[[#This Row],[In-Time]])*24</f>
        <v>0</v>
      </c>
      <c r="M1630" s="210">
        <f>表格3_5[[#This Row],[ Hours]]-表格3_5[[#This Row],[Normal working
 hours]]</f>
        <v>0</v>
      </c>
      <c r="N1630" s="205"/>
      <c r="O1630" s="205"/>
      <c r="P1630" s="210">
        <f>(表格3_5[[#This Row],[Out-Time2]] - 表格3_5[[#This Row],[In-Time2]])*24</f>
        <v>0</v>
      </c>
      <c r="Q1630" s="205"/>
      <c r="R1630" s="214">
        <f>_xlfn.XLOOKUP(表格3_5[[#This Row],[Name]],Name_list[Full Name],Name_list[Hourr Rate])</f>
        <v>0</v>
      </c>
      <c r="S1630" s="210">
        <f>表格3_5[[#This Row],[Hours Worked]]*表格3_5[[#This Row],[Hourly Rate]]</f>
        <v>0</v>
      </c>
    </row>
    <row r="1631" spans="1:19">
      <c r="A1631" s="201">
        <v>1629</v>
      </c>
      <c r="B1631" s="210" t="str">
        <f>_xlfn.CONCAT(表格3_5[[#This Row],[Name]],表格3_5[[#This Row],[Location]])</f>
        <v/>
      </c>
      <c r="C1631" s="211" t="str">
        <f>表格3_5[[#This Row],[Location]] &amp; 表格3_5[[#This Row],[Date]] &amp;表格3_5[[#This Row],[Nick Name]]</f>
        <v>0</v>
      </c>
      <c r="D1631" s="202"/>
      <c r="E1631" s="211" t="str">
        <f>DAY(表格3_5[[#This Row],[Date]])&amp;""</f>
        <v>0</v>
      </c>
      <c r="F1631" s="203"/>
      <c r="G1631" s="216">
        <f>_xlfn.XLOOKUP(表格3_5[[#This Row],[Name]],Name_list[Full Name],Name_list[Nick Name])</f>
        <v>0</v>
      </c>
      <c r="H1631" s="207"/>
      <c r="I1631" s="228"/>
      <c r="J1631" s="218"/>
      <c r="K1631" s="205"/>
      <c r="L1631" s="210">
        <f>(表格3_5[[#This Row],[Out-Time]] - 表格3_5[[#This Row],[In-Time]])*24</f>
        <v>0</v>
      </c>
      <c r="M1631" s="210">
        <f>表格3_5[[#This Row],[ Hours]]-表格3_5[[#This Row],[Normal working
 hours]]</f>
        <v>0</v>
      </c>
      <c r="N1631" s="205"/>
      <c r="O1631" s="205"/>
      <c r="P1631" s="210">
        <f>(表格3_5[[#This Row],[Out-Time2]] - 表格3_5[[#This Row],[In-Time2]])*24</f>
        <v>0</v>
      </c>
      <c r="Q1631" s="205"/>
      <c r="R1631" s="214">
        <f>_xlfn.XLOOKUP(表格3_5[[#This Row],[Name]],Name_list[Full Name],Name_list[Hourr Rate])</f>
        <v>0</v>
      </c>
      <c r="S1631" s="210">
        <f>表格3_5[[#This Row],[Hours Worked]]*表格3_5[[#This Row],[Hourly Rate]]</f>
        <v>0</v>
      </c>
    </row>
    <row r="1632" spans="1:19">
      <c r="A1632" s="201">
        <v>1630</v>
      </c>
      <c r="B1632" s="210" t="str">
        <f>_xlfn.CONCAT(表格3_5[[#This Row],[Name]],表格3_5[[#This Row],[Location]])</f>
        <v/>
      </c>
      <c r="C1632" s="211" t="str">
        <f>表格3_5[[#This Row],[Location]] &amp; 表格3_5[[#This Row],[Date]] &amp;表格3_5[[#This Row],[Nick Name]]</f>
        <v>0</v>
      </c>
      <c r="D1632" s="202"/>
      <c r="E1632" s="211" t="str">
        <f>DAY(表格3_5[[#This Row],[Date]])&amp;""</f>
        <v>0</v>
      </c>
      <c r="F1632" s="203"/>
      <c r="G1632" s="216">
        <f>_xlfn.XLOOKUP(表格3_5[[#This Row],[Name]],Name_list[Full Name],Name_list[Nick Name])</f>
        <v>0</v>
      </c>
      <c r="H1632" s="207"/>
      <c r="I1632" s="228"/>
      <c r="J1632" s="218"/>
      <c r="K1632" s="205"/>
      <c r="L1632" s="210">
        <f>(表格3_5[[#This Row],[Out-Time]] - 表格3_5[[#This Row],[In-Time]])*24</f>
        <v>0</v>
      </c>
      <c r="M1632" s="210">
        <f>表格3_5[[#This Row],[ Hours]]-表格3_5[[#This Row],[Normal working
 hours]]</f>
        <v>0</v>
      </c>
      <c r="N1632" s="205"/>
      <c r="O1632" s="205"/>
      <c r="P1632" s="210">
        <f>(表格3_5[[#This Row],[Out-Time2]] - 表格3_5[[#This Row],[In-Time2]])*24</f>
        <v>0</v>
      </c>
      <c r="Q1632" s="205"/>
      <c r="R1632" s="214">
        <f>_xlfn.XLOOKUP(表格3_5[[#This Row],[Name]],Name_list[Full Name],Name_list[Hourr Rate])</f>
        <v>0</v>
      </c>
      <c r="S1632" s="210">
        <f>表格3_5[[#This Row],[Hours Worked]]*表格3_5[[#This Row],[Hourly Rate]]</f>
        <v>0</v>
      </c>
    </row>
    <row r="1633" spans="1:19">
      <c r="A1633" s="201">
        <v>1631</v>
      </c>
      <c r="B1633" s="210" t="str">
        <f>_xlfn.CONCAT(表格3_5[[#This Row],[Name]],表格3_5[[#This Row],[Location]])</f>
        <v/>
      </c>
      <c r="C1633" s="211" t="str">
        <f>表格3_5[[#This Row],[Location]] &amp; 表格3_5[[#This Row],[Date]] &amp;表格3_5[[#This Row],[Nick Name]]</f>
        <v>0</v>
      </c>
      <c r="D1633" s="202"/>
      <c r="E1633" s="211" t="str">
        <f>DAY(表格3_5[[#This Row],[Date]])&amp;""</f>
        <v>0</v>
      </c>
      <c r="F1633" s="203"/>
      <c r="G1633" s="216">
        <f>_xlfn.XLOOKUP(表格3_5[[#This Row],[Name]],Name_list[Full Name],Name_list[Nick Name])</f>
        <v>0</v>
      </c>
      <c r="H1633" s="207"/>
      <c r="I1633" s="228"/>
      <c r="J1633" s="218"/>
      <c r="K1633" s="205"/>
      <c r="L1633" s="210">
        <f>(表格3_5[[#This Row],[Out-Time]] - 表格3_5[[#This Row],[In-Time]])*24</f>
        <v>0</v>
      </c>
      <c r="M1633" s="210">
        <f>表格3_5[[#This Row],[ Hours]]-表格3_5[[#This Row],[Normal working
 hours]]</f>
        <v>0</v>
      </c>
      <c r="N1633" s="205"/>
      <c r="O1633" s="205"/>
      <c r="P1633" s="210">
        <f>(表格3_5[[#This Row],[Out-Time2]] - 表格3_5[[#This Row],[In-Time2]])*24</f>
        <v>0</v>
      </c>
      <c r="Q1633" s="205"/>
      <c r="R1633" s="214">
        <f>_xlfn.XLOOKUP(表格3_5[[#This Row],[Name]],Name_list[Full Name],Name_list[Hourr Rate])</f>
        <v>0</v>
      </c>
      <c r="S1633" s="210">
        <f>表格3_5[[#This Row],[Hours Worked]]*表格3_5[[#This Row],[Hourly Rate]]</f>
        <v>0</v>
      </c>
    </row>
    <row r="1634" spans="1:19">
      <c r="A1634" s="201">
        <v>1632</v>
      </c>
      <c r="B1634" s="210" t="str">
        <f>_xlfn.CONCAT(表格3_5[[#This Row],[Name]],表格3_5[[#This Row],[Location]])</f>
        <v/>
      </c>
      <c r="C1634" s="211" t="str">
        <f>表格3_5[[#This Row],[Location]] &amp; 表格3_5[[#This Row],[Date]] &amp;表格3_5[[#This Row],[Nick Name]]</f>
        <v>0</v>
      </c>
      <c r="D1634" s="202"/>
      <c r="E1634" s="211" t="str">
        <f>DAY(表格3_5[[#This Row],[Date]])&amp;""</f>
        <v>0</v>
      </c>
      <c r="F1634" s="203"/>
      <c r="G1634" s="216">
        <f>_xlfn.XLOOKUP(表格3_5[[#This Row],[Name]],Name_list[Full Name],Name_list[Nick Name])</f>
        <v>0</v>
      </c>
      <c r="H1634" s="207"/>
      <c r="I1634" s="228"/>
      <c r="J1634" s="218"/>
      <c r="K1634" s="205"/>
      <c r="L1634" s="210">
        <f>(表格3_5[[#This Row],[Out-Time]] - 表格3_5[[#This Row],[In-Time]])*24</f>
        <v>0</v>
      </c>
      <c r="M1634" s="210">
        <f>表格3_5[[#This Row],[ Hours]]-表格3_5[[#This Row],[Normal working
 hours]]</f>
        <v>0</v>
      </c>
      <c r="N1634" s="205"/>
      <c r="O1634" s="205"/>
      <c r="P1634" s="210">
        <f>(表格3_5[[#This Row],[Out-Time2]] - 表格3_5[[#This Row],[In-Time2]])*24</f>
        <v>0</v>
      </c>
      <c r="Q1634" s="205"/>
      <c r="R1634" s="214">
        <f>_xlfn.XLOOKUP(表格3_5[[#This Row],[Name]],Name_list[Full Name],Name_list[Hourr Rate])</f>
        <v>0</v>
      </c>
      <c r="S1634" s="210">
        <f>表格3_5[[#This Row],[Hours Worked]]*表格3_5[[#This Row],[Hourly Rate]]</f>
        <v>0</v>
      </c>
    </row>
    <row r="1635" spans="1:19">
      <c r="A1635" s="201">
        <v>1633</v>
      </c>
      <c r="B1635" s="210" t="str">
        <f>_xlfn.CONCAT(表格3_5[[#This Row],[Name]],表格3_5[[#This Row],[Location]])</f>
        <v/>
      </c>
      <c r="C1635" s="211" t="str">
        <f>表格3_5[[#This Row],[Location]] &amp; 表格3_5[[#This Row],[Date]] &amp;表格3_5[[#This Row],[Nick Name]]</f>
        <v>0</v>
      </c>
      <c r="D1635" s="202"/>
      <c r="E1635" s="211" t="str">
        <f>DAY(表格3_5[[#This Row],[Date]])&amp;""</f>
        <v>0</v>
      </c>
      <c r="F1635" s="203"/>
      <c r="G1635" s="216">
        <f>_xlfn.XLOOKUP(表格3_5[[#This Row],[Name]],Name_list[Full Name],Name_list[Nick Name])</f>
        <v>0</v>
      </c>
      <c r="H1635" s="207"/>
      <c r="I1635" s="228"/>
      <c r="J1635" s="218"/>
      <c r="K1635" s="205"/>
      <c r="L1635" s="210">
        <f>(表格3_5[[#This Row],[Out-Time]] - 表格3_5[[#This Row],[In-Time]])*24</f>
        <v>0</v>
      </c>
      <c r="M1635" s="210">
        <f>表格3_5[[#This Row],[ Hours]]-表格3_5[[#This Row],[Normal working
 hours]]</f>
        <v>0</v>
      </c>
      <c r="N1635" s="205"/>
      <c r="O1635" s="205"/>
      <c r="P1635" s="210">
        <f>(表格3_5[[#This Row],[Out-Time2]] - 表格3_5[[#This Row],[In-Time2]])*24</f>
        <v>0</v>
      </c>
      <c r="Q1635" s="205"/>
      <c r="R1635" s="214">
        <f>_xlfn.XLOOKUP(表格3_5[[#This Row],[Name]],Name_list[Full Name],Name_list[Hourr Rate])</f>
        <v>0</v>
      </c>
      <c r="S1635" s="210">
        <f>表格3_5[[#This Row],[Hours Worked]]*表格3_5[[#This Row],[Hourly Rate]]</f>
        <v>0</v>
      </c>
    </row>
    <row r="1636" spans="1:19">
      <c r="A1636" s="201">
        <v>1634</v>
      </c>
      <c r="B1636" s="210" t="str">
        <f>_xlfn.CONCAT(表格3_5[[#This Row],[Name]],表格3_5[[#This Row],[Location]])</f>
        <v/>
      </c>
      <c r="C1636" s="211" t="str">
        <f>表格3_5[[#This Row],[Location]] &amp; 表格3_5[[#This Row],[Date]] &amp;表格3_5[[#This Row],[Nick Name]]</f>
        <v>0</v>
      </c>
      <c r="D1636" s="202"/>
      <c r="E1636" s="211" t="str">
        <f>DAY(表格3_5[[#This Row],[Date]])&amp;""</f>
        <v>0</v>
      </c>
      <c r="F1636" s="203"/>
      <c r="G1636" s="216">
        <f>_xlfn.XLOOKUP(表格3_5[[#This Row],[Name]],Name_list[Full Name],Name_list[Nick Name])</f>
        <v>0</v>
      </c>
      <c r="H1636" s="207"/>
      <c r="I1636" s="228"/>
      <c r="J1636" s="218"/>
      <c r="K1636" s="205"/>
      <c r="L1636" s="210">
        <f>(表格3_5[[#This Row],[Out-Time]] - 表格3_5[[#This Row],[In-Time]])*24</f>
        <v>0</v>
      </c>
      <c r="M1636" s="210">
        <f>表格3_5[[#This Row],[ Hours]]-表格3_5[[#This Row],[Normal working
 hours]]</f>
        <v>0</v>
      </c>
      <c r="N1636" s="205"/>
      <c r="O1636" s="205"/>
      <c r="P1636" s="210">
        <f>(表格3_5[[#This Row],[Out-Time2]] - 表格3_5[[#This Row],[In-Time2]])*24</f>
        <v>0</v>
      </c>
      <c r="Q1636" s="205"/>
      <c r="R1636" s="214">
        <f>_xlfn.XLOOKUP(表格3_5[[#This Row],[Name]],Name_list[Full Name],Name_list[Hourr Rate])</f>
        <v>0</v>
      </c>
      <c r="S1636" s="210">
        <f>表格3_5[[#This Row],[Hours Worked]]*表格3_5[[#This Row],[Hourly Rate]]</f>
        <v>0</v>
      </c>
    </row>
    <row r="1637" spans="1:19">
      <c r="A1637" s="201">
        <v>1635</v>
      </c>
      <c r="B1637" s="210" t="str">
        <f>_xlfn.CONCAT(表格3_5[[#This Row],[Name]],表格3_5[[#This Row],[Location]])</f>
        <v/>
      </c>
      <c r="C1637" s="211" t="str">
        <f>表格3_5[[#This Row],[Location]] &amp; 表格3_5[[#This Row],[Date]] &amp;表格3_5[[#This Row],[Nick Name]]</f>
        <v>0</v>
      </c>
      <c r="D1637" s="202"/>
      <c r="E1637" s="211" t="str">
        <f>DAY(表格3_5[[#This Row],[Date]])&amp;""</f>
        <v>0</v>
      </c>
      <c r="F1637" s="203"/>
      <c r="G1637" s="216">
        <f>_xlfn.XLOOKUP(表格3_5[[#This Row],[Name]],Name_list[Full Name],Name_list[Nick Name])</f>
        <v>0</v>
      </c>
      <c r="H1637" s="207"/>
      <c r="I1637" s="228"/>
      <c r="J1637" s="218"/>
      <c r="K1637" s="205"/>
      <c r="L1637" s="210">
        <f>(表格3_5[[#This Row],[Out-Time]] - 表格3_5[[#This Row],[In-Time]])*24</f>
        <v>0</v>
      </c>
      <c r="M1637" s="210">
        <f>表格3_5[[#This Row],[ Hours]]-表格3_5[[#This Row],[Normal working
 hours]]</f>
        <v>0</v>
      </c>
      <c r="N1637" s="205"/>
      <c r="O1637" s="205"/>
      <c r="P1637" s="210">
        <f>(表格3_5[[#This Row],[Out-Time2]] - 表格3_5[[#This Row],[In-Time2]])*24</f>
        <v>0</v>
      </c>
      <c r="Q1637" s="205"/>
      <c r="R1637" s="214">
        <f>_xlfn.XLOOKUP(表格3_5[[#This Row],[Name]],Name_list[Full Name],Name_list[Hourr Rate])</f>
        <v>0</v>
      </c>
      <c r="S1637" s="210">
        <f>表格3_5[[#This Row],[Hours Worked]]*表格3_5[[#This Row],[Hourly Rate]]</f>
        <v>0</v>
      </c>
    </row>
    <row r="1638" spans="1:19">
      <c r="A1638" s="201">
        <v>1636</v>
      </c>
      <c r="B1638" s="210" t="str">
        <f>_xlfn.CONCAT(表格3_5[[#This Row],[Name]],表格3_5[[#This Row],[Location]])</f>
        <v/>
      </c>
      <c r="C1638" s="211" t="str">
        <f>表格3_5[[#This Row],[Location]] &amp; 表格3_5[[#This Row],[Date]] &amp;表格3_5[[#This Row],[Nick Name]]</f>
        <v>0</v>
      </c>
      <c r="D1638" s="202"/>
      <c r="E1638" s="211" t="str">
        <f>DAY(表格3_5[[#This Row],[Date]])&amp;""</f>
        <v>0</v>
      </c>
      <c r="F1638" s="203"/>
      <c r="G1638" s="216">
        <f>_xlfn.XLOOKUP(表格3_5[[#This Row],[Name]],Name_list[Full Name],Name_list[Nick Name])</f>
        <v>0</v>
      </c>
      <c r="H1638" s="207"/>
      <c r="I1638" s="228"/>
      <c r="J1638" s="218"/>
      <c r="K1638" s="205"/>
      <c r="L1638" s="210">
        <f>(表格3_5[[#This Row],[Out-Time]] - 表格3_5[[#This Row],[In-Time]])*24</f>
        <v>0</v>
      </c>
      <c r="M1638" s="210">
        <f>表格3_5[[#This Row],[ Hours]]-表格3_5[[#This Row],[Normal working
 hours]]</f>
        <v>0</v>
      </c>
      <c r="N1638" s="205"/>
      <c r="O1638" s="205"/>
      <c r="P1638" s="210">
        <f>(表格3_5[[#This Row],[Out-Time2]] - 表格3_5[[#This Row],[In-Time2]])*24</f>
        <v>0</v>
      </c>
      <c r="Q1638" s="205"/>
      <c r="R1638" s="214">
        <f>_xlfn.XLOOKUP(表格3_5[[#This Row],[Name]],Name_list[Full Name],Name_list[Hourr Rate])</f>
        <v>0</v>
      </c>
      <c r="S1638" s="210">
        <f>表格3_5[[#This Row],[Hours Worked]]*表格3_5[[#This Row],[Hourly Rate]]</f>
        <v>0</v>
      </c>
    </row>
    <row r="1639" spans="1:19">
      <c r="A1639" s="201">
        <v>1637</v>
      </c>
      <c r="B1639" s="210" t="str">
        <f>_xlfn.CONCAT(表格3_5[[#This Row],[Name]],表格3_5[[#This Row],[Location]])</f>
        <v/>
      </c>
      <c r="C1639" s="211" t="str">
        <f>表格3_5[[#This Row],[Location]] &amp; 表格3_5[[#This Row],[Date]] &amp;表格3_5[[#This Row],[Nick Name]]</f>
        <v>0</v>
      </c>
      <c r="D1639" s="202"/>
      <c r="E1639" s="211" t="str">
        <f>DAY(表格3_5[[#This Row],[Date]])&amp;""</f>
        <v>0</v>
      </c>
      <c r="F1639" s="203"/>
      <c r="G1639" s="216">
        <f>_xlfn.XLOOKUP(表格3_5[[#This Row],[Name]],Name_list[Full Name],Name_list[Nick Name])</f>
        <v>0</v>
      </c>
      <c r="H1639" s="207"/>
      <c r="I1639" s="228"/>
      <c r="J1639" s="218"/>
      <c r="K1639" s="205"/>
      <c r="L1639" s="210">
        <f>(表格3_5[[#This Row],[Out-Time]] - 表格3_5[[#This Row],[In-Time]])*24</f>
        <v>0</v>
      </c>
      <c r="M1639" s="210">
        <f>表格3_5[[#This Row],[ Hours]]-表格3_5[[#This Row],[Normal working
 hours]]</f>
        <v>0</v>
      </c>
      <c r="N1639" s="205"/>
      <c r="O1639" s="205"/>
      <c r="P1639" s="210">
        <f>(表格3_5[[#This Row],[Out-Time2]] - 表格3_5[[#This Row],[In-Time2]])*24</f>
        <v>0</v>
      </c>
      <c r="Q1639" s="205"/>
      <c r="R1639" s="214">
        <f>_xlfn.XLOOKUP(表格3_5[[#This Row],[Name]],Name_list[Full Name],Name_list[Hourr Rate])</f>
        <v>0</v>
      </c>
      <c r="S1639" s="210">
        <f>表格3_5[[#This Row],[Hours Worked]]*表格3_5[[#This Row],[Hourly Rate]]</f>
        <v>0</v>
      </c>
    </row>
    <row r="1640" spans="1:19">
      <c r="A1640" s="201">
        <v>1638</v>
      </c>
      <c r="B1640" s="210" t="str">
        <f>_xlfn.CONCAT(表格3_5[[#This Row],[Name]],表格3_5[[#This Row],[Location]])</f>
        <v/>
      </c>
      <c r="C1640" s="211" t="str">
        <f>表格3_5[[#This Row],[Location]] &amp; 表格3_5[[#This Row],[Date]] &amp;表格3_5[[#This Row],[Nick Name]]</f>
        <v>0</v>
      </c>
      <c r="D1640" s="202"/>
      <c r="E1640" s="211" t="str">
        <f>DAY(表格3_5[[#This Row],[Date]])&amp;""</f>
        <v>0</v>
      </c>
      <c r="F1640" s="203"/>
      <c r="G1640" s="216">
        <f>_xlfn.XLOOKUP(表格3_5[[#This Row],[Name]],Name_list[Full Name],Name_list[Nick Name])</f>
        <v>0</v>
      </c>
      <c r="H1640" s="207"/>
      <c r="I1640" s="228"/>
      <c r="J1640" s="218"/>
      <c r="K1640" s="205"/>
      <c r="L1640" s="210">
        <f>(表格3_5[[#This Row],[Out-Time]] - 表格3_5[[#This Row],[In-Time]])*24</f>
        <v>0</v>
      </c>
      <c r="M1640" s="210">
        <f>表格3_5[[#This Row],[ Hours]]-表格3_5[[#This Row],[Normal working
 hours]]</f>
        <v>0</v>
      </c>
      <c r="N1640" s="205"/>
      <c r="O1640" s="205"/>
      <c r="P1640" s="210">
        <f>(表格3_5[[#This Row],[Out-Time2]] - 表格3_5[[#This Row],[In-Time2]])*24</f>
        <v>0</v>
      </c>
      <c r="Q1640" s="205"/>
      <c r="R1640" s="214">
        <f>_xlfn.XLOOKUP(表格3_5[[#This Row],[Name]],Name_list[Full Name],Name_list[Hourr Rate])</f>
        <v>0</v>
      </c>
      <c r="S1640" s="210">
        <f>表格3_5[[#This Row],[Hours Worked]]*表格3_5[[#This Row],[Hourly Rate]]</f>
        <v>0</v>
      </c>
    </row>
    <row r="1641" spans="1:19">
      <c r="A1641" s="201">
        <v>1639</v>
      </c>
      <c r="B1641" s="210" t="str">
        <f>_xlfn.CONCAT(表格3_5[[#This Row],[Name]],表格3_5[[#This Row],[Location]])</f>
        <v/>
      </c>
      <c r="C1641" s="211" t="str">
        <f>表格3_5[[#This Row],[Location]] &amp; 表格3_5[[#This Row],[Date]] &amp;表格3_5[[#This Row],[Nick Name]]</f>
        <v>0</v>
      </c>
      <c r="D1641" s="202"/>
      <c r="E1641" s="211" t="str">
        <f>DAY(表格3_5[[#This Row],[Date]])&amp;""</f>
        <v>0</v>
      </c>
      <c r="F1641" s="203"/>
      <c r="G1641" s="216">
        <f>_xlfn.XLOOKUP(表格3_5[[#This Row],[Name]],Name_list[Full Name],Name_list[Nick Name])</f>
        <v>0</v>
      </c>
      <c r="H1641" s="207"/>
      <c r="I1641" s="228"/>
      <c r="J1641" s="218"/>
      <c r="K1641" s="205"/>
      <c r="L1641" s="210">
        <f>(表格3_5[[#This Row],[Out-Time]] - 表格3_5[[#This Row],[In-Time]])*24</f>
        <v>0</v>
      </c>
      <c r="M1641" s="210">
        <f>表格3_5[[#This Row],[ Hours]]-表格3_5[[#This Row],[Normal working
 hours]]</f>
        <v>0</v>
      </c>
      <c r="N1641" s="205"/>
      <c r="O1641" s="205"/>
      <c r="P1641" s="210">
        <f>(表格3_5[[#This Row],[Out-Time2]] - 表格3_5[[#This Row],[In-Time2]])*24</f>
        <v>0</v>
      </c>
      <c r="Q1641" s="205"/>
      <c r="R1641" s="214">
        <f>_xlfn.XLOOKUP(表格3_5[[#This Row],[Name]],Name_list[Full Name],Name_list[Hourr Rate])</f>
        <v>0</v>
      </c>
      <c r="S1641" s="210">
        <f>表格3_5[[#This Row],[Hours Worked]]*表格3_5[[#This Row],[Hourly Rate]]</f>
        <v>0</v>
      </c>
    </row>
    <row r="1642" spans="1:19">
      <c r="A1642" s="201">
        <v>1640</v>
      </c>
      <c r="B1642" s="210" t="str">
        <f>_xlfn.CONCAT(表格3_5[[#This Row],[Name]],表格3_5[[#This Row],[Location]])</f>
        <v/>
      </c>
      <c r="C1642" s="211" t="str">
        <f>表格3_5[[#This Row],[Location]] &amp; 表格3_5[[#This Row],[Date]] &amp;表格3_5[[#This Row],[Nick Name]]</f>
        <v>0</v>
      </c>
      <c r="D1642" s="202"/>
      <c r="E1642" s="211" t="str">
        <f>DAY(表格3_5[[#This Row],[Date]])&amp;""</f>
        <v>0</v>
      </c>
      <c r="F1642" s="203"/>
      <c r="G1642" s="216">
        <f>_xlfn.XLOOKUP(表格3_5[[#This Row],[Name]],Name_list[Full Name],Name_list[Nick Name])</f>
        <v>0</v>
      </c>
      <c r="H1642" s="207"/>
      <c r="I1642" s="228"/>
      <c r="J1642" s="218"/>
      <c r="K1642" s="205"/>
      <c r="L1642" s="210">
        <f>(表格3_5[[#This Row],[Out-Time]] - 表格3_5[[#This Row],[In-Time]])*24</f>
        <v>0</v>
      </c>
      <c r="M1642" s="210">
        <f>表格3_5[[#This Row],[ Hours]]-表格3_5[[#This Row],[Normal working
 hours]]</f>
        <v>0</v>
      </c>
      <c r="N1642" s="205"/>
      <c r="O1642" s="205"/>
      <c r="P1642" s="210">
        <f>(表格3_5[[#This Row],[Out-Time2]] - 表格3_5[[#This Row],[In-Time2]])*24</f>
        <v>0</v>
      </c>
      <c r="Q1642" s="205"/>
      <c r="R1642" s="214">
        <f>_xlfn.XLOOKUP(表格3_5[[#This Row],[Name]],Name_list[Full Name],Name_list[Hourr Rate])</f>
        <v>0</v>
      </c>
      <c r="S1642" s="210">
        <f>表格3_5[[#This Row],[Hours Worked]]*表格3_5[[#This Row],[Hourly Rate]]</f>
        <v>0</v>
      </c>
    </row>
    <row r="1643" spans="1:19">
      <c r="A1643" s="201">
        <v>1641</v>
      </c>
      <c r="B1643" s="210" t="str">
        <f>_xlfn.CONCAT(表格3_5[[#This Row],[Name]],表格3_5[[#This Row],[Location]])</f>
        <v/>
      </c>
      <c r="C1643" s="211" t="str">
        <f>表格3_5[[#This Row],[Location]] &amp; 表格3_5[[#This Row],[Date]] &amp;表格3_5[[#This Row],[Nick Name]]</f>
        <v>0</v>
      </c>
      <c r="D1643" s="202"/>
      <c r="E1643" s="211" t="str">
        <f>DAY(表格3_5[[#This Row],[Date]])&amp;""</f>
        <v>0</v>
      </c>
      <c r="F1643" s="203"/>
      <c r="G1643" s="216">
        <f>_xlfn.XLOOKUP(表格3_5[[#This Row],[Name]],Name_list[Full Name],Name_list[Nick Name])</f>
        <v>0</v>
      </c>
      <c r="H1643" s="207"/>
      <c r="I1643" s="228"/>
      <c r="J1643" s="218"/>
      <c r="K1643" s="205"/>
      <c r="L1643" s="210">
        <f>(表格3_5[[#This Row],[Out-Time]] - 表格3_5[[#This Row],[In-Time]])*24</f>
        <v>0</v>
      </c>
      <c r="M1643" s="210">
        <f>表格3_5[[#This Row],[ Hours]]-表格3_5[[#This Row],[Normal working
 hours]]</f>
        <v>0</v>
      </c>
      <c r="N1643" s="205"/>
      <c r="O1643" s="205"/>
      <c r="P1643" s="210">
        <f>(表格3_5[[#This Row],[Out-Time2]] - 表格3_5[[#This Row],[In-Time2]])*24</f>
        <v>0</v>
      </c>
      <c r="Q1643" s="205"/>
      <c r="R1643" s="214">
        <f>_xlfn.XLOOKUP(表格3_5[[#This Row],[Name]],Name_list[Full Name],Name_list[Hourr Rate])</f>
        <v>0</v>
      </c>
      <c r="S1643" s="210">
        <f>表格3_5[[#This Row],[Hours Worked]]*表格3_5[[#This Row],[Hourly Rate]]</f>
        <v>0</v>
      </c>
    </row>
    <row r="1644" spans="1:19">
      <c r="A1644" s="201">
        <v>1642</v>
      </c>
      <c r="B1644" s="210" t="str">
        <f>_xlfn.CONCAT(表格3_5[[#This Row],[Name]],表格3_5[[#This Row],[Location]])</f>
        <v/>
      </c>
      <c r="C1644" s="211" t="str">
        <f>表格3_5[[#This Row],[Location]] &amp; 表格3_5[[#This Row],[Date]] &amp;表格3_5[[#This Row],[Nick Name]]</f>
        <v>0</v>
      </c>
      <c r="D1644" s="202"/>
      <c r="E1644" s="211" t="str">
        <f>DAY(表格3_5[[#This Row],[Date]])&amp;""</f>
        <v>0</v>
      </c>
      <c r="F1644" s="203"/>
      <c r="G1644" s="216">
        <f>_xlfn.XLOOKUP(表格3_5[[#This Row],[Name]],Name_list[Full Name],Name_list[Nick Name])</f>
        <v>0</v>
      </c>
      <c r="H1644" s="207"/>
      <c r="I1644" s="228"/>
      <c r="J1644" s="218"/>
      <c r="K1644" s="205"/>
      <c r="L1644" s="210">
        <f>(表格3_5[[#This Row],[Out-Time]] - 表格3_5[[#This Row],[In-Time]])*24</f>
        <v>0</v>
      </c>
      <c r="M1644" s="210">
        <f>表格3_5[[#This Row],[ Hours]]-表格3_5[[#This Row],[Normal working
 hours]]</f>
        <v>0</v>
      </c>
      <c r="N1644" s="205"/>
      <c r="O1644" s="205"/>
      <c r="P1644" s="210">
        <f>(表格3_5[[#This Row],[Out-Time2]] - 表格3_5[[#This Row],[In-Time2]])*24</f>
        <v>0</v>
      </c>
      <c r="Q1644" s="205"/>
      <c r="R1644" s="214">
        <f>_xlfn.XLOOKUP(表格3_5[[#This Row],[Name]],Name_list[Full Name],Name_list[Hourr Rate])</f>
        <v>0</v>
      </c>
      <c r="S1644" s="210">
        <f>表格3_5[[#This Row],[Hours Worked]]*表格3_5[[#This Row],[Hourly Rate]]</f>
        <v>0</v>
      </c>
    </row>
    <row r="1645" spans="1:19">
      <c r="A1645" s="201">
        <v>1643</v>
      </c>
      <c r="B1645" s="210" t="str">
        <f>_xlfn.CONCAT(表格3_5[[#This Row],[Name]],表格3_5[[#This Row],[Location]])</f>
        <v/>
      </c>
      <c r="C1645" s="211" t="str">
        <f>表格3_5[[#This Row],[Location]] &amp; 表格3_5[[#This Row],[Date]] &amp;表格3_5[[#This Row],[Nick Name]]</f>
        <v>0</v>
      </c>
      <c r="D1645" s="202"/>
      <c r="E1645" s="211" t="str">
        <f>DAY(表格3_5[[#This Row],[Date]])&amp;""</f>
        <v>0</v>
      </c>
      <c r="F1645" s="203"/>
      <c r="G1645" s="216">
        <f>_xlfn.XLOOKUP(表格3_5[[#This Row],[Name]],Name_list[Full Name],Name_list[Nick Name])</f>
        <v>0</v>
      </c>
      <c r="H1645" s="207"/>
      <c r="I1645" s="228"/>
      <c r="J1645" s="218"/>
      <c r="K1645" s="205"/>
      <c r="L1645" s="210">
        <f>(表格3_5[[#This Row],[Out-Time]] - 表格3_5[[#This Row],[In-Time]])*24</f>
        <v>0</v>
      </c>
      <c r="M1645" s="210">
        <f>表格3_5[[#This Row],[ Hours]]-表格3_5[[#This Row],[Normal working
 hours]]</f>
        <v>0</v>
      </c>
      <c r="N1645" s="205"/>
      <c r="O1645" s="205"/>
      <c r="P1645" s="210">
        <f>(表格3_5[[#This Row],[Out-Time2]] - 表格3_5[[#This Row],[In-Time2]])*24</f>
        <v>0</v>
      </c>
      <c r="Q1645" s="205"/>
      <c r="R1645" s="214">
        <f>_xlfn.XLOOKUP(表格3_5[[#This Row],[Name]],Name_list[Full Name],Name_list[Hourr Rate])</f>
        <v>0</v>
      </c>
      <c r="S1645" s="210">
        <f>表格3_5[[#This Row],[Hours Worked]]*表格3_5[[#This Row],[Hourly Rate]]</f>
        <v>0</v>
      </c>
    </row>
    <row r="1646" spans="1:19">
      <c r="A1646" s="201">
        <v>1644</v>
      </c>
      <c r="B1646" s="210" t="str">
        <f>_xlfn.CONCAT(表格3_5[[#This Row],[Name]],表格3_5[[#This Row],[Location]])</f>
        <v/>
      </c>
      <c r="C1646" s="211" t="str">
        <f>表格3_5[[#This Row],[Location]] &amp; 表格3_5[[#This Row],[Date]] &amp;表格3_5[[#This Row],[Nick Name]]</f>
        <v>0</v>
      </c>
      <c r="D1646" s="202"/>
      <c r="E1646" s="211" t="str">
        <f>DAY(表格3_5[[#This Row],[Date]])&amp;""</f>
        <v>0</v>
      </c>
      <c r="F1646" s="203"/>
      <c r="G1646" s="216">
        <f>_xlfn.XLOOKUP(表格3_5[[#This Row],[Name]],Name_list[Full Name],Name_list[Nick Name])</f>
        <v>0</v>
      </c>
      <c r="H1646" s="207"/>
      <c r="I1646" s="228"/>
      <c r="J1646" s="218"/>
      <c r="K1646" s="205"/>
      <c r="L1646" s="210">
        <f>(表格3_5[[#This Row],[Out-Time]] - 表格3_5[[#This Row],[In-Time]])*24</f>
        <v>0</v>
      </c>
      <c r="M1646" s="210">
        <f>表格3_5[[#This Row],[ Hours]]-表格3_5[[#This Row],[Normal working
 hours]]</f>
        <v>0</v>
      </c>
      <c r="N1646" s="205"/>
      <c r="O1646" s="205"/>
      <c r="P1646" s="210">
        <f>(表格3_5[[#This Row],[Out-Time2]] - 表格3_5[[#This Row],[In-Time2]])*24</f>
        <v>0</v>
      </c>
      <c r="Q1646" s="205"/>
      <c r="R1646" s="214">
        <f>_xlfn.XLOOKUP(表格3_5[[#This Row],[Name]],Name_list[Full Name],Name_list[Hourr Rate])</f>
        <v>0</v>
      </c>
      <c r="S1646" s="210">
        <f>表格3_5[[#This Row],[Hours Worked]]*表格3_5[[#This Row],[Hourly Rate]]</f>
        <v>0</v>
      </c>
    </row>
    <row r="1647" spans="1:19">
      <c r="A1647" s="201">
        <v>1645</v>
      </c>
      <c r="B1647" s="210" t="str">
        <f>_xlfn.CONCAT(表格3_5[[#This Row],[Name]],表格3_5[[#This Row],[Location]])</f>
        <v/>
      </c>
      <c r="C1647" s="211" t="str">
        <f>表格3_5[[#This Row],[Location]] &amp; 表格3_5[[#This Row],[Date]] &amp;表格3_5[[#This Row],[Nick Name]]</f>
        <v>0</v>
      </c>
      <c r="D1647" s="202"/>
      <c r="E1647" s="211" t="str">
        <f>DAY(表格3_5[[#This Row],[Date]])&amp;""</f>
        <v>0</v>
      </c>
      <c r="F1647" s="203"/>
      <c r="G1647" s="216">
        <f>_xlfn.XLOOKUP(表格3_5[[#This Row],[Name]],Name_list[Full Name],Name_list[Nick Name])</f>
        <v>0</v>
      </c>
      <c r="H1647" s="207"/>
      <c r="I1647" s="228"/>
      <c r="J1647" s="218"/>
      <c r="K1647" s="205"/>
      <c r="L1647" s="210">
        <f>(表格3_5[[#This Row],[Out-Time]] - 表格3_5[[#This Row],[In-Time]])*24</f>
        <v>0</v>
      </c>
      <c r="M1647" s="210">
        <f>表格3_5[[#This Row],[ Hours]]-表格3_5[[#This Row],[Normal working
 hours]]</f>
        <v>0</v>
      </c>
      <c r="N1647" s="205"/>
      <c r="O1647" s="205"/>
      <c r="P1647" s="210">
        <f>(表格3_5[[#This Row],[Out-Time2]] - 表格3_5[[#This Row],[In-Time2]])*24</f>
        <v>0</v>
      </c>
      <c r="Q1647" s="205"/>
      <c r="R1647" s="214">
        <f>_xlfn.XLOOKUP(表格3_5[[#This Row],[Name]],Name_list[Full Name],Name_list[Hourr Rate])</f>
        <v>0</v>
      </c>
      <c r="S1647" s="210">
        <f>表格3_5[[#This Row],[Hours Worked]]*表格3_5[[#This Row],[Hourly Rate]]</f>
        <v>0</v>
      </c>
    </row>
    <row r="1648" spans="1:19">
      <c r="A1648" s="201">
        <v>1646</v>
      </c>
      <c r="B1648" s="210" t="str">
        <f>_xlfn.CONCAT(表格3_5[[#This Row],[Name]],表格3_5[[#This Row],[Location]])</f>
        <v/>
      </c>
      <c r="C1648" s="211" t="str">
        <f>表格3_5[[#This Row],[Location]] &amp; 表格3_5[[#This Row],[Date]] &amp;表格3_5[[#This Row],[Nick Name]]</f>
        <v>0</v>
      </c>
      <c r="D1648" s="202"/>
      <c r="E1648" s="211" t="str">
        <f>DAY(表格3_5[[#This Row],[Date]])&amp;""</f>
        <v>0</v>
      </c>
      <c r="F1648" s="203"/>
      <c r="G1648" s="216">
        <f>_xlfn.XLOOKUP(表格3_5[[#This Row],[Name]],Name_list[Full Name],Name_list[Nick Name])</f>
        <v>0</v>
      </c>
      <c r="H1648" s="207"/>
      <c r="I1648" s="228"/>
      <c r="J1648" s="218"/>
      <c r="K1648" s="205"/>
      <c r="L1648" s="210">
        <f>(表格3_5[[#This Row],[Out-Time]] - 表格3_5[[#This Row],[In-Time]])*24</f>
        <v>0</v>
      </c>
      <c r="M1648" s="210">
        <f>表格3_5[[#This Row],[ Hours]]-表格3_5[[#This Row],[Normal working
 hours]]</f>
        <v>0</v>
      </c>
      <c r="N1648" s="205"/>
      <c r="O1648" s="205"/>
      <c r="P1648" s="210">
        <f>(表格3_5[[#This Row],[Out-Time2]] - 表格3_5[[#This Row],[In-Time2]])*24</f>
        <v>0</v>
      </c>
      <c r="Q1648" s="205"/>
      <c r="R1648" s="214">
        <f>_xlfn.XLOOKUP(表格3_5[[#This Row],[Name]],Name_list[Full Name],Name_list[Hourr Rate])</f>
        <v>0</v>
      </c>
      <c r="S1648" s="210">
        <f>表格3_5[[#This Row],[Hours Worked]]*表格3_5[[#This Row],[Hourly Rate]]</f>
        <v>0</v>
      </c>
    </row>
    <row r="1649" spans="1:19">
      <c r="A1649" s="201">
        <v>1647</v>
      </c>
      <c r="B1649" s="210" t="str">
        <f>_xlfn.CONCAT(表格3_5[[#This Row],[Name]],表格3_5[[#This Row],[Location]])</f>
        <v/>
      </c>
      <c r="C1649" s="211" t="str">
        <f>表格3_5[[#This Row],[Location]] &amp; 表格3_5[[#This Row],[Date]] &amp;表格3_5[[#This Row],[Nick Name]]</f>
        <v>0</v>
      </c>
      <c r="D1649" s="202"/>
      <c r="E1649" s="211" t="str">
        <f>DAY(表格3_5[[#This Row],[Date]])&amp;""</f>
        <v>0</v>
      </c>
      <c r="F1649" s="203"/>
      <c r="G1649" s="216">
        <f>_xlfn.XLOOKUP(表格3_5[[#This Row],[Name]],Name_list[Full Name],Name_list[Nick Name])</f>
        <v>0</v>
      </c>
      <c r="H1649" s="207"/>
      <c r="I1649" s="228"/>
      <c r="J1649" s="218"/>
      <c r="K1649" s="205"/>
      <c r="L1649" s="210">
        <f>(表格3_5[[#This Row],[Out-Time]] - 表格3_5[[#This Row],[In-Time]])*24</f>
        <v>0</v>
      </c>
      <c r="M1649" s="210">
        <f>表格3_5[[#This Row],[ Hours]]-表格3_5[[#This Row],[Normal working
 hours]]</f>
        <v>0</v>
      </c>
      <c r="N1649" s="205"/>
      <c r="O1649" s="205"/>
      <c r="P1649" s="210">
        <f>(表格3_5[[#This Row],[Out-Time2]] - 表格3_5[[#This Row],[In-Time2]])*24</f>
        <v>0</v>
      </c>
      <c r="Q1649" s="205"/>
      <c r="R1649" s="214">
        <f>_xlfn.XLOOKUP(表格3_5[[#This Row],[Name]],Name_list[Full Name],Name_list[Hourr Rate])</f>
        <v>0</v>
      </c>
      <c r="S1649" s="210">
        <f>表格3_5[[#This Row],[Hours Worked]]*表格3_5[[#This Row],[Hourly Rate]]</f>
        <v>0</v>
      </c>
    </row>
    <row r="1650" spans="1:19">
      <c r="A1650" s="201">
        <v>1648</v>
      </c>
      <c r="B1650" s="210" t="str">
        <f>_xlfn.CONCAT(表格3_5[[#This Row],[Name]],表格3_5[[#This Row],[Location]])</f>
        <v/>
      </c>
      <c r="C1650" s="211" t="str">
        <f>表格3_5[[#This Row],[Location]] &amp; 表格3_5[[#This Row],[Date]] &amp;表格3_5[[#This Row],[Nick Name]]</f>
        <v>0</v>
      </c>
      <c r="D1650" s="202"/>
      <c r="E1650" s="211" t="str">
        <f>DAY(表格3_5[[#This Row],[Date]])&amp;""</f>
        <v>0</v>
      </c>
      <c r="F1650" s="203"/>
      <c r="G1650" s="216">
        <f>_xlfn.XLOOKUP(表格3_5[[#This Row],[Name]],Name_list[Full Name],Name_list[Nick Name])</f>
        <v>0</v>
      </c>
      <c r="H1650" s="207"/>
      <c r="I1650" s="228"/>
      <c r="J1650" s="218"/>
      <c r="K1650" s="205"/>
      <c r="L1650" s="210">
        <f>(表格3_5[[#This Row],[Out-Time]] - 表格3_5[[#This Row],[In-Time]])*24</f>
        <v>0</v>
      </c>
      <c r="M1650" s="210">
        <f>表格3_5[[#This Row],[ Hours]]-表格3_5[[#This Row],[Normal working
 hours]]</f>
        <v>0</v>
      </c>
      <c r="N1650" s="205"/>
      <c r="O1650" s="205"/>
      <c r="P1650" s="210">
        <f>(表格3_5[[#This Row],[Out-Time2]] - 表格3_5[[#This Row],[In-Time2]])*24</f>
        <v>0</v>
      </c>
      <c r="Q1650" s="205"/>
      <c r="R1650" s="214">
        <f>_xlfn.XLOOKUP(表格3_5[[#This Row],[Name]],Name_list[Full Name],Name_list[Hourr Rate])</f>
        <v>0</v>
      </c>
      <c r="S1650" s="210">
        <f>表格3_5[[#This Row],[Hours Worked]]*表格3_5[[#This Row],[Hourly Rate]]</f>
        <v>0</v>
      </c>
    </row>
    <row r="1651" spans="1:19">
      <c r="A1651" s="201">
        <v>1649</v>
      </c>
      <c r="B1651" s="210" t="str">
        <f>_xlfn.CONCAT(表格3_5[[#This Row],[Name]],表格3_5[[#This Row],[Location]])</f>
        <v/>
      </c>
      <c r="C1651" s="211" t="str">
        <f>表格3_5[[#This Row],[Location]] &amp; 表格3_5[[#This Row],[Date]] &amp;表格3_5[[#This Row],[Nick Name]]</f>
        <v>0</v>
      </c>
      <c r="D1651" s="202"/>
      <c r="E1651" s="211" t="str">
        <f>DAY(表格3_5[[#This Row],[Date]])&amp;""</f>
        <v>0</v>
      </c>
      <c r="F1651" s="203"/>
      <c r="G1651" s="216">
        <f>_xlfn.XLOOKUP(表格3_5[[#This Row],[Name]],Name_list[Full Name],Name_list[Nick Name])</f>
        <v>0</v>
      </c>
      <c r="H1651" s="207"/>
      <c r="I1651" s="228"/>
      <c r="J1651" s="218"/>
      <c r="K1651" s="205"/>
      <c r="L1651" s="210">
        <f>(表格3_5[[#This Row],[Out-Time]] - 表格3_5[[#This Row],[In-Time]])*24</f>
        <v>0</v>
      </c>
      <c r="M1651" s="210">
        <f>表格3_5[[#This Row],[ Hours]]-表格3_5[[#This Row],[Normal working
 hours]]</f>
        <v>0</v>
      </c>
      <c r="N1651" s="205"/>
      <c r="O1651" s="205"/>
      <c r="P1651" s="210">
        <f>(表格3_5[[#This Row],[Out-Time2]] - 表格3_5[[#This Row],[In-Time2]])*24</f>
        <v>0</v>
      </c>
      <c r="Q1651" s="205"/>
      <c r="R1651" s="214">
        <f>_xlfn.XLOOKUP(表格3_5[[#This Row],[Name]],Name_list[Full Name],Name_list[Hourr Rate])</f>
        <v>0</v>
      </c>
      <c r="S1651" s="210">
        <f>表格3_5[[#This Row],[Hours Worked]]*表格3_5[[#This Row],[Hourly Rate]]</f>
        <v>0</v>
      </c>
    </row>
    <row r="1652" spans="1:19">
      <c r="A1652" s="201">
        <v>1650</v>
      </c>
      <c r="B1652" s="210" t="str">
        <f>_xlfn.CONCAT(表格3_5[[#This Row],[Name]],表格3_5[[#This Row],[Location]])</f>
        <v/>
      </c>
      <c r="C1652" s="211" t="str">
        <f>表格3_5[[#This Row],[Location]] &amp; 表格3_5[[#This Row],[Date]] &amp;表格3_5[[#This Row],[Nick Name]]</f>
        <v>0</v>
      </c>
      <c r="D1652" s="202"/>
      <c r="E1652" s="211" t="str">
        <f>DAY(表格3_5[[#This Row],[Date]])&amp;""</f>
        <v>0</v>
      </c>
      <c r="F1652" s="203"/>
      <c r="G1652" s="216">
        <f>_xlfn.XLOOKUP(表格3_5[[#This Row],[Name]],Name_list[Full Name],Name_list[Nick Name])</f>
        <v>0</v>
      </c>
      <c r="H1652" s="207"/>
      <c r="I1652" s="228"/>
      <c r="J1652" s="218"/>
      <c r="K1652" s="205"/>
      <c r="L1652" s="210">
        <f>(表格3_5[[#This Row],[Out-Time]] - 表格3_5[[#This Row],[In-Time]])*24</f>
        <v>0</v>
      </c>
      <c r="M1652" s="210">
        <f>表格3_5[[#This Row],[ Hours]]-表格3_5[[#This Row],[Normal working
 hours]]</f>
        <v>0</v>
      </c>
      <c r="N1652" s="205"/>
      <c r="O1652" s="205"/>
      <c r="P1652" s="210">
        <f>(表格3_5[[#This Row],[Out-Time2]] - 表格3_5[[#This Row],[In-Time2]])*24</f>
        <v>0</v>
      </c>
      <c r="Q1652" s="205"/>
      <c r="R1652" s="214">
        <f>_xlfn.XLOOKUP(表格3_5[[#This Row],[Name]],Name_list[Full Name],Name_list[Hourr Rate])</f>
        <v>0</v>
      </c>
      <c r="S1652" s="210">
        <f>表格3_5[[#This Row],[Hours Worked]]*表格3_5[[#This Row],[Hourly Rate]]</f>
        <v>0</v>
      </c>
    </row>
    <row r="1653" spans="1:19">
      <c r="A1653" s="201">
        <v>1651</v>
      </c>
      <c r="B1653" s="210" t="str">
        <f>_xlfn.CONCAT(表格3_5[[#This Row],[Name]],表格3_5[[#This Row],[Location]])</f>
        <v/>
      </c>
      <c r="C1653" s="211" t="str">
        <f>表格3_5[[#This Row],[Location]] &amp; 表格3_5[[#This Row],[Date]] &amp;表格3_5[[#This Row],[Nick Name]]</f>
        <v>0</v>
      </c>
      <c r="D1653" s="202"/>
      <c r="E1653" s="211" t="str">
        <f>DAY(表格3_5[[#This Row],[Date]])&amp;""</f>
        <v>0</v>
      </c>
      <c r="F1653" s="203"/>
      <c r="G1653" s="216">
        <f>_xlfn.XLOOKUP(表格3_5[[#This Row],[Name]],Name_list[Full Name],Name_list[Nick Name])</f>
        <v>0</v>
      </c>
      <c r="H1653" s="207"/>
      <c r="I1653" s="228"/>
      <c r="J1653" s="218"/>
      <c r="K1653" s="205"/>
      <c r="L1653" s="210">
        <f>(表格3_5[[#This Row],[Out-Time]] - 表格3_5[[#This Row],[In-Time]])*24</f>
        <v>0</v>
      </c>
      <c r="M1653" s="210">
        <f>表格3_5[[#This Row],[ Hours]]-表格3_5[[#This Row],[Normal working
 hours]]</f>
        <v>0</v>
      </c>
      <c r="N1653" s="205"/>
      <c r="O1653" s="205"/>
      <c r="P1653" s="210">
        <f>(表格3_5[[#This Row],[Out-Time2]] - 表格3_5[[#This Row],[In-Time2]])*24</f>
        <v>0</v>
      </c>
      <c r="Q1653" s="205"/>
      <c r="R1653" s="214">
        <f>_xlfn.XLOOKUP(表格3_5[[#This Row],[Name]],Name_list[Full Name],Name_list[Hourr Rate])</f>
        <v>0</v>
      </c>
      <c r="S1653" s="210">
        <f>表格3_5[[#This Row],[Hours Worked]]*表格3_5[[#This Row],[Hourly Rate]]</f>
        <v>0</v>
      </c>
    </row>
    <row r="1654" spans="1:19">
      <c r="A1654" s="201">
        <v>1652</v>
      </c>
      <c r="B1654" s="210" t="str">
        <f>_xlfn.CONCAT(表格3_5[[#This Row],[Name]],表格3_5[[#This Row],[Location]])</f>
        <v/>
      </c>
      <c r="C1654" s="211" t="str">
        <f>表格3_5[[#This Row],[Location]] &amp; 表格3_5[[#This Row],[Date]] &amp;表格3_5[[#This Row],[Nick Name]]</f>
        <v>0</v>
      </c>
      <c r="D1654" s="202"/>
      <c r="E1654" s="211" t="str">
        <f>DAY(表格3_5[[#This Row],[Date]])&amp;""</f>
        <v>0</v>
      </c>
      <c r="F1654" s="203"/>
      <c r="G1654" s="216">
        <f>_xlfn.XLOOKUP(表格3_5[[#This Row],[Name]],Name_list[Full Name],Name_list[Nick Name])</f>
        <v>0</v>
      </c>
      <c r="H1654" s="207"/>
      <c r="I1654" s="228"/>
      <c r="J1654" s="218"/>
      <c r="K1654" s="205"/>
      <c r="L1654" s="210">
        <f>(表格3_5[[#This Row],[Out-Time]] - 表格3_5[[#This Row],[In-Time]])*24</f>
        <v>0</v>
      </c>
      <c r="M1654" s="210">
        <f>表格3_5[[#This Row],[ Hours]]-表格3_5[[#This Row],[Normal working
 hours]]</f>
        <v>0</v>
      </c>
      <c r="N1654" s="205"/>
      <c r="O1654" s="205"/>
      <c r="P1654" s="210">
        <f>(表格3_5[[#This Row],[Out-Time2]] - 表格3_5[[#This Row],[In-Time2]])*24</f>
        <v>0</v>
      </c>
      <c r="Q1654" s="205"/>
      <c r="R1654" s="214">
        <f>_xlfn.XLOOKUP(表格3_5[[#This Row],[Name]],Name_list[Full Name],Name_list[Hourr Rate])</f>
        <v>0</v>
      </c>
      <c r="S1654" s="210">
        <f>表格3_5[[#This Row],[Hours Worked]]*表格3_5[[#This Row],[Hourly Rate]]</f>
        <v>0</v>
      </c>
    </row>
    <row r="1655" spans="1:19">
      <c r="A1655" s="201">
        <v>1653</v>
      </c>
      <c r="B1655" s="210" t="str">
        <f>_xlfn.CONCAT(表格3_5[[#This Row],[Name]],表格3_5[[#This Row],[Location]])</f>
        <v/>
      </c>
      <c r="C1655" s="211" t="str">
        <f>表格3_5[[#This Row],[Location]] &amp; 表格3_5[[#This Row],[Date]] &amp;表格3_5[[#This Row],[Nick Name]]</f>
        <v>0</v>
      </c>
      <c r="D1655" s="202"/>
      <c r="E1655" s="211" t="str">
        <f>DAY(表格3_5[[#This Row],[Date]])&amp;""</f>
        <v>0</v>
      </c>
      <c r="F1655" s="203"/>
      <c r="G1655" s="216">
        <f>_xlfn.XLOOKUP(表格3_5[[#This Row],[Name]],Name_list[Full Name],Name_list[Nick Name])</f>
        <v>0</v>
      </c>
      <c r="H1655" s="207"/>
      <c r="I1655" s="228"/>
      <c r="J1655" s="218"/>
      <c r="K1655" s="205"/>
      <c r="L1655" s="210">
        <f>(表格3_5[[#This Row],[Out-Time]] - 表格3_5[[#This Row],[In-Time]])*24</f>
        <v>0</v>
      </c>
      <c r="M1655" s="210">
        <f>表格3_5[[#This Row],[ Hours]]-表格3_5[[#This Row],[Normal working
 hours]]</f>
        <v>0</v>
      </c>
      <c r="N1655" s="205"/>
      <c r="O1655" s="205"/>
      <c r="P1655" s="210">
        <f>(表格3_5[[#This Row],[Out-Time2]] - 表格3_5[[#This Row],[In-Time2]])*24</f>
        <v>0</v>
      </c>
      <c r="Q1655" s="205"/>
      <c r="R1655" s="214">
        <f>_xlfn.XLOOKUP(表格3_5[[#This Row],[Name]],Name_list[Full Name],Name_list[Hourr Rate])</f>
        <v>0</v>
      </c>
      <c r="S1655" s="210">
        <f>表格3_5[[#This Row],[Hours Worked]]*表格3_5[[#This Row],[Hourly Rate]]</f>
        <v>0</v>
      </c>
    </row>
    <row r="1656" spans="1:19">
      <c r="A1656" s="201">
        <v>1654</v>
      </c>
      <c r="B1656" s="210" t="str">
        <f>_xlfn.CONCAT(表格3_5[[#This Row],[Name]],表格3_5[[#This Row],[Location]])</f>
        <v/>
      </c>
      <c r="C1656" s="211" t="str">
        <f>表格3_5[[#This Row],[Location]] &amp; 表格3_5[[#This Row],[Date]] &amp;表格3_5[[#This Row],[Nick Name]]</f>
        <v>0</v>
      </c>
      <c r="D1656" s="202"/>
      <c r="E1656" s="211" t="str">
        <f>DAY(表格3_5[[#This Row],[Date]])&amp;""</f>
        <v>0</v>
      </c>
      <c r="F1656" s="203"/>
      <c r="G1656" s="216">
        <f>_xlfn.XLOOKUP(表格3_5[[#This Row],[Name]],Name_list[Full Name],Name_list[Nick Name])</f>
        <v>0</v>
      </c>
      <c r="H1656" s="207"/>
      <c r="I1656" s="228"/>
      <c r="J1656" s="218"/>
      <c r="K1656" s="205"/>
      <c r="L1656" s="210">
        <f>(表格3_5[[#This Row],[Out-Time]] - 表格3_5[[#This Row],[In-Time]])*24</f>
        <v>0</v>
      </c>
      <c r="M1656" s="210">
        <f>表格3_5[[#This Row],[ Hours]]-表格3_5[[#This Row],[Normal working
 hours]]</f>
        <v>0</v>
      </c>
      <c r="N1656" s="205"/>
      <c r="O1656" s="205"/>
      <c r="P1656" s="210">
        <f>(表格3_5[[#This Row],[Out-Time2]] - 表格3_5[[#This Row],[In-Time2]])*24</f>
        <v>0</v>
      </c>
      <c r="Q1656" s="205"/>
      <c r="R1656" s="214">
        <f>_xlfn.XLOOKUP(表格3_5[[#This Row],[Name]],Name_list[Full Name],Name_list[Hourr Rate])</f>
        <v>0</v>
      </c>
      <c r="S1656" s="210">
        <f>表格3_5[[#This Row],[Hours Worked]]*表格3_5[[#This Row],[Hourly Rate]]</f>
        <v>0</v>
      </c>
    </row>
    <row r="1657" spans="1:19">
      <c r="A1657" s="201">
        <v>1655</v>
      </c>
      <c r="B1657" s="210" t="str">
        <f>_xlfn.CONCAT(表格3_5[[#This Row],[Name]],表格3_5[[#This Row],[Location]])</f>
        <v/>
      </c>
      <c r="C1657" s="211" t="str">
        <f>表格3_5[[#This Row],[Location]] &amp; 表格3_5[[#This Row],[Date]] &amp;表格3_5[[#This Row],[Nick Name]]</f>
        <v>0</v>
      </c>
      <c r="D1657" s="202"/>
      <c r="E1657" s="211" t="str">
        <f>DAY(表格3_5[[#This Row],[Date]])&amp;""</f>
        <v>0</v>
      </c>
      <c r="F1657" s="203"/>
      <c r="G1657" s="216">
        <f>_xlfn.XLOOKUP(表格3_5[[#This Row],[Name]],Name_list[Full Name],Name_list[Nick Name])</f>
        <v>0</v>
      </c>
      <c r="H1657" s="207"/>
      <c r="I1657" s="228"/>
      <c r="J1657" s="218"/>
      <c r="K1657" s="205"/>
      <c r="L1657" s="210">
        <f>(表格3_5[[#This Row],[Out-Time]] - 表格3_5[[#This Row],[In-Time]])*24</f>
        <v>0</v>
      </c>
      <c r="M1657" s="210">
        <f>表格3_5[[#This Row],[ Hours]]-表格3_5[[#This Row],[Normal working
 hours]]</f>
        <v>0</v>
      </c>
      <c r="N1657" s="205"/>
      <c r="O1657" s="205"/>
      <c r="P1657" s="210">
        <f>(表格3_5[[#This Row],[Out-Time2]] - 表格3_5[[#This Row],[In-Time2]])*24</f>
        <v>0</v>
      </c>
      <c r="Q1657" s="205"/>
      <c r="R1657" s="214">
        <f>_xlfn.XLOOKUP(表格3_5[[#This Row],[Name]],Name_list[Full Name],Name_list[Hourr Rate])</f>
        <v>0</v>
      </c>
      <c r="S1657" s="210">
        <f>表格3_5[[#This Row],[Hours Worked]]*表格3_5[[#This Row],[Hourly Rate]]</f>
        <v>0</v>
      </c>
    </row>
    <row r="1658" spans="1:19">
      <c r="A1658" s="201">
        <v>1656</v>
      </c>
      <c r="B1658" s="210" t="str">
        <f>_xlfn.CONCAT(表格3_5[[#This Row],[Name]],表格3_5[[#This Row],[Location]])</f>
        <v/>
      </c>
      <c r="C1658" s="211" t="str">
        <f>表格3_5[[#This Row],[Location]] &amp; 表格3_5[[#This Row],[Date]] &amp;表格3_5[[#This Row],[Nick Name]]</f>
        <v>0</v>
      </c>
      <c r="D1658" s="202"/>
      <c r="E1658" s="211" t="str">
        <f>DAY(表格3_5[[#This Row],[Date]])&amp;""</f>
        <v>0</v>
      </c>
      <c r="F1658" s="203"/>
      <c r="G1658" s="216">
        <f>_xlfn.XLOOKUP(表格3_5[[#This Row],[Name]],Name_list[Full Name],Name_list[Nick Name])</f>
        <v>0</v>
      </c>
      <c r="H1658" s="207"/>
      <c r="I1658" s="228"/>
      <c r="J1658" s="218"/>
      <c r="K1658" s="205"/>
      <c r="L1658" s="210">
        <f>(表格3_5[[#This Row],[Out-Time]] - 表格3_5[[#This Row],[In-Time]])*24</f>
        <v>0</v>
      </c>
      <c r="M1658" s="210">
        <f>表格3_5[[#This Row],[ Hours]]-表格3_5[[#This Row],[Normal working
 hours]]</f>
        <v>0</v>
      </c>
      <c r="N1658" s="205"/>
      <c r="O1658" s="205"/>
      <c r="P1658" s="210">
        <f>(表格3_5[[#This Row],[Out-Time2]] - 表格3_5[[#This Row],[In-Time2]])*24</f>
        <v>0</v>
      </c>
      <c r="Q1658" s="205"/>
      <c r="R1658" s="214">
        <f>_xlfn.XLOOKUP(表格3_5[[#This Row],[Name]],Name_list[Full Name],Name_list[Hourr Rate])</f>
        <v>0</v>
      </c>
      <c r="S1658" s="210">
        <f>表格3_5[[#This Row],[Hours Worked]]*表格3_5[[#This Row],[Hourly Rate]]</f>
        <v>0</v>
      </c>
    </row>
    <row r="1659" spans="1:19">
      <c r="A1659" s="201">
        <v>1657</v>
      </c>
      <c r="B1659" s="210" t="str">
        <f>_xlfn.CONCAT(表格3_5[[#This Row],[Name]],表格3_5[[#This Row],[Location]])</f>
        <v/>
      </c>
      <c r="C1659" s="211" t="str">
        <f>表格3_5[[#This Row],[Location]] &amp; 表格3_5[[#This Row],[Date]] &amp;表格3_5[[#This Row],[Nick Name]]</f>
        <v>0</v>
      </c>
      <c r="D1659" s="202"/>
      <c r="E1659" s="211" t="str">
        <f>DAY(表格3_5[[#This Row],[Date]])&amp;""</f>
        <v>0</v>
      </c>
      <c r="F1659" s="203"/>
      <c r="G1659" s="216">
        <f>_xlfn.XLOOKUP(表格3_5[[#This Row],[Name]],Name_list[Full Name],Name_list[Nick Name])</f>
        <v>0</v>
      </c>
      <c r="H1659" s="207"/>
      <c r="I1659" s="228"/>
      <c r="J1659" s="218"/>
      <c r="K1659" s="205"/>
      <c r="L1659" s="210">
        <f>(表格3_5[[#This Row],[Out-Time]] - 表格3_5[[#This Row],[In-Time]])*24</f>
        <v>0</v>
      </c>
      <c r="M1659" s="210">
        <f>表格3_5[[#This Row],[ Hours]]-表格3_5[[#This Row],[Normal working
 hours]]</f>
        <v>0</v>
      </c>
      <c r="N1659" s="205"/>
      <c r="O1659" s="205"/>
      <c r="P1659" s="210">
        <f>(表格3_5[[#This Row],[Out-Time2]] - 表格3_5[[#This Row],[In-Time2]])*24</f>
        <v>0</v>
      </c>
      <c r="Q1659" s="205"/>
      <c r="R1659" s="214">
        <f>_xlfn.XLOOKUP(表格3_5[[#This Row],[Name]],Name_list[Full Name],Name_list[Hourr Rate])</f>
        <v>0</v>
      </c>
      <c r="S1659" s="210">
        <f>表格3_5[[#This Row],[Hours Worked]]*表格3_5[[#This Row],[Hourly Rate]]</f>
        <v>0</v>
      </c>
    </row>
    <row r="1660" spans="1:19">
      <c r="A1660" s="201">
        <v>1658</v>
      </c>
      <c r="B1660" s="210" t="str">
        <f>_xlfn.CONCAT(表格3_5[[#This Row],[Name]],表格3_5[[#This Row],[Location]])</f>
        <v/>
      </c>
      <c r="C1660" s="211" t="str">
        <f>表格3_5[[#This Row],[Location]] &amp; 表格3_5[[#This Row],[Date]] &amp;表格3_5[[#This Row],[Nick Name]]</f>
        <v>0</v>
      </c>
      <c r="D1660" s="202"/>
      <c r="E1660" s="211" t="str">
        <f>DAY(表格3_5[[#This Row],[Date]])&amp;""</f>
        <v>0</v>
      </c>
      <c r="F1660" s="203"/>
      <c r="G1660" s="216">
        <f>_xlfn.XLOOKUP(表格3_5[[#This Row],[Name]],Name_list[Full Name],Name_list[Nick Name])</f>
        <v>0</v>
      </c>
      <c r="H1660" s="207"/>
      <c r="I1660" s="228"/>
      <c r="J1660" s="218"/>
      <c r="K1660" s="205"/>
      <c r="L1660" s="210">
        <f>(表格3_5[[#This Row],[Out-Time]] - 表格3_5[[#This Row],[In-Time]])*24</f>
        <v>0</v>
      </c>
      <c r="M1660" s="210">
        <f>表格3_5[[#This Row],[ Hours]]-表格3_5[[#This Row],[Normal working
 hours]]</f>
        <v>0</v>
      </c>
      <c r="N1660" s="205"/>
      <c r="O1660" s="205"/>
      <c r="P1660" s="210">
        <f>(表格3_5[[#This Row],[Out-Time2]] - 表格3_5[[#This Row],[In-Time2]])*24</f>
        <v>0</v>
      </c>
      <c r="Q1660" s="205"/>
      <c r="R1660" s="214">
        <f>_xlfn.XLOOKUP(表格3_5[[#This Row],[Name]],Name_list[Full Name],Name_list[Hourr Rate])</f>
        <v>0</v>
      </c>
      <c r="S1660" s="210">
        <f>表格3_5[[#This Row],[Hours Worked]]*表格3_5[[#This Row],[Hourly Rate]]</f>
        <v>0</v>
      </c>
    </row>
    <row r="1661" spans="1:19">
      <c r="A1661" s="201">
        <v>1659</v>
      </c>
      <c r="B1661" s="210" t="str">
        <f>_xlfn.CONCAT(表格3_5[[#This Row],[Name]],表格3_5[[#This Row],[Location]])</f>
        <v/>
      </c>
      <c r="C1661" s="211" t="str">
        <f>表格3_5[[#This Row],[Location]] &amp; 表格3_5[[#This Row],[Date]] &amp;表格3_5[[#This Row],[Nick Name]]</f>
        <v>0</v>
      </c>
      <c r="D1661" s="202"/>
      <c r="E1661" s="211" t="str">
        <f>DAY(表格3_5[[#This Row],[Date]])&amp;""</f>
        <v>0</v>
      </c>
      <c r="F1661" s="203"/>
      <c r="G1661" s="216">
        <f>_xlfn.XLOOKUP(表格3_5[[#This Row],[Name]],Name_list[Full Name],Name_list[Nick Name])</f>
        <v>0</v>
      </c>
      <c r="H1661" s="207"/>
      <c r="I1661" s="228"/>
      <c r="J1661" s="218"/>
      <c r="K1661" s="205"/>
      <c r="L1661" s="210">
        <f>(表格3_5[[#This Row],[Out-Time]] - 表格3_5[[#This Row],[In-Time]])*24</f>
        <v>0</v>
      </c>
      <c r="M1661" s="210">
        <f>表格3_5[[#This Row],[ Hours]]-表格3_5[[#This Row],[Normal working
 hours]]</f>
        <v>0</v>
      </c>
      <c r="N1661" s="205"/>
      <c r="O1661" s="205"/>
      <c r="P1661" s="210">
        <f>(表格3_5[[#This Row],[Out-Time2]] - 表格3_5[[#This Row],[In-Time2]])*24</f>
        <v>0</v>
      </c>
      <c r="Q1661" s="205"/>
      <c r="R1661" s="214">
        <f>_xlfn.XLOOKUP(表格3_5[[#This Row],[Name]],Name_list[Full Name],Name_list[Hourr Rate])</f>
        <v>0</v>
      </c>
      <c r="S1661" s="210">
        <f>表格3_5[[#This Row],[Hours Worked]]*表格3_5[[#This Row],[Hourly Rate]]</f>
        <v>0</v>
      </c>
    </row>
    <row r="1662" spans="1:19">
      <c r="A1662" s="201">
        <v>1660</v>
      </c>
      <c r="B1662" s="210" t="str">
        <f>_xlfn.CONCAT(表格3_5[[#This Row],[Name]],表格3_5[[#This Row],[Location]])</f>
        <v/>
      </c>
      <c r="C1662" s="211" t="str">
        <f>表格3_5[[#This Row],[Location]] &amp; 表格3_5[[#This Row],[Date]] &amp;表格3_5[[#This Row],[Nick Name]]</f>
        <v>0</v>
      </c>
      <c r="D1662" s="202"/>
      <c r="E1662" s="211" t="str">
        <f>DAY(表格3_5[[#This Row],[Date]])&amp;""</f>
        <v>0</v>
      </c>
      <c r="F1662" s="203"/>
      <c r="G1662" s="216">
        <f>_xlfn.XLOOKUP(表格3_5[[#This Row],[Name]],Name_list[Full Name],Name_list[Nick Name])</f>
        <v>0</v>
      </c>
      <c r="H1662" s="207"/>
      <c r="I1662" s="228"/>
      <c r="J1662" s="218"/>
      <c r="K1662" s="205"/>
      <c r="L1662" s="210">
        <f>(表格3_5[[#This Row],[Out-Time]] - 表格3_5[[#This Row],[In-Time]])*24</f>
        <v>0</v>
      </c>
      <c r="M1662" s="210">
        <f>表格3_5[[#This Row],[ Hours]]-表格3_5[[#This Row],[Normal working
 hours]]</f>
        <v>0</v>
      </c>
      <c r="N1662" s="205"/>
      <c r="O1662" s="205"/>
      <c r="P1662" s="210">
        <f>(表格3_5[[#This Row],[Out-Time2]] - 表格3_5[[#This Row],[In-Time2]])*24</f>
        <v>0</v>
      </c>
      <c r="Q1662" s="205"/>
      <c r="R1662" s="214">
        <f>_xlfn.XLOOKUP(表格3_5[[#This Row],[Name]],Name_list[Full Name],Name_list[Hourr Rate])</f>
        <v>0</v>
      </c>
      <c r="S1662" s="210">
        <f>表格3_5[[#This Row],[Hours Worked]]*表格3_5[[#This Row],[Hourly Rate]]</f>
        <v>0</v>
      </c>
    </row>
    <row r="1663" spans="1:19">
      <c r="A1663" s="201">
        <v>1661</v>
      </c>
      <c r="B1663" s="210" t="str">
        <f>_xlfn.CONCAT(表格3_5[[#This Row],[Name]],表格3_5[[#This Row],[Location]])</f>
        <v/>
      </c>
      <c r="C1663" s="211" t="str">
        <f>表格3_5[[#This Row],[Location]] &amp; 表格3_5[[#This Row],[Date]] &amp;表格3_5[[#This Row],[Nick Name]]</f>
        <v>0</v>
      </c>
      <c r="D1663" s="202"/>
      <c r="E1663" s="211" t="str">
        <f>DAY(表格3_5[[#This Row],[Date]])&amp;""</f>
        <v>0</v>
      </c>
      <c r="F1663" s="203"/>
      <c r="G1663" s="216">
        <f>_xlfn.XLOOKUP(表格3_5[[#This Row],[Name]],Name_list[Full Name],Name_list[Nick Name])</f>
        <v>0</v>
      </c>
      <c r="H1663" s="207"/>
      <c r="I1663" s="228"/>
      <c r="J1663" s="218"/>
      <c r="K1663" s="205"/>
      <c r="L1663" s="210">
        <f>(表格3_5[[#This Row],[Out-Time]] - 表格3_5[[#This Row],[In-Time]])*24</f>
        <v>0</v>
      </c>
      <c r="M1663" s="210">
        <f>表格3_5[[#This Row],[ Hours]]-表格3_5[[#This Row],[Normal working
 hours]]</f>
        <v>0</v>
      </c>
      <c r="N1663" s="205"/>
      <c r="O1663" s="205"/>
      <c r="P1663" s="210">
        <f>(表格3_5[[#This Row],[Out-Time2]] - 表格3_5[[#This Row],[In-Time2]])*24</f>
        <v>0</v>
      </c>
      <c r="Q1663" s="205"/>
      <c r="R1663" s="214">
        <f>_xlfn.XLOOKUP(表格3_5[[#This Row],[Name]],Name_list[Full Name],Name_list[Hourr Rate])</f>
        <v>0</v>
      </c>
      <c r="S1663" s="210">
        <f>表格3_5[[#This Row],[Hours Worked]]*表格3_5[[#This Row],[Hourly Rate]]</f>
        <v>0</v>
      </c>
    </row>
    <row r="1664" spans="1:19">
      <c r="A1664" s="201">
        <v>1662</v>
      </c>
      <c r="B1664" s="210" t="str">
        <f>_xlfn.CONCAT(表格3_5[[#This Row],[Name]],表格3_5[[#This Row],[Location]])</f>
        <v/>
      </c>
      <c r="C1664" s="211" t="str">
        <f>表格3_5[[#This Row],[Location]] &amp; 表格3_5[[#This Row],[Date]] &amp;表格3_5[[#This Row],[Nick Name]]</f>
        <v>0</v>
      </c>
      <c r="D1664" s="202"/>
      <c r="E1664" s="211" t="str">
        <f>DAY(表格3_5[[#This Row],[Date]])&amp;""</f>
        <v>0</v>
      </c>
      <c r="F1664" s="203"/>
      <c r="G1664" s="216">
        <f>_xlfn.XLOOKUP(表格3_5[[#This Row],[Name]],Name_list[Full Name],Name_list[Nick Name])</f>
        <v>0</v>
      </c>
      <c r="H1664" s="207"/>
      <c r="I1664" s="228"/>
      <c r="J1664" s="218"/>
      <c r="K1664" s="205"/>
      <c r="L1664" s="210">
        <f>(表格3_5[[#This Row],[Out-Time]] - 表格3_5[[#This Row],[In-Time]])*24</f>
        <v>0</v>
      </c>
      <c r="M1664" s="210">
        <f>表格3_5[[#This Row],[ Hours]]-表格3_5[[#This Row],[Normal working
 hours]]</f>
        <v>0</v>
      </c>
      <c r="N1664" s="205"/>
      <c r="O1664" s="205"/>
      <c r="P1664" s="210">
        <f>(表格3_5[[#This Row],[Out-Time2]] - 表格3_5[[#This Row],[In-Time2]])*24</f>
        <v>0</v>
      </c>
      <c r="Q1664" s="205"/>
      <c r="R1664" s="214">
        <f>_xlfn.XLOOKUP(表格3_5[[#This Row],[Name]],Name_list[Full Name],Name_list[Hourr Rate])</f>
        <v>0</v>
      </c>
      <c r="S1664" s="210">
        <f>表格3_5[[#This Row],[Hours Worked]]*表格3_5[[#This Row],[Hourly Rate]]</f>
        <v>0</v>
      </c>
    </row>
    <row r="1665" spans="1:19">
      <c r="A1665" s="201">
        <v>1663</v>
      </c>
      <c r="B1665" s="210" t="str">
        <f>_xlfn.CONCAT(表格3_5[[#This Row],[Name]],表格3_5[[#This Row],[Location]])</f>
        <v/>
      </c>
      <c r="C1665" s="211" t="str">
        <f>表格3_5[[#This Row],[Location]] &amp; 表格3_5[[#This Row],[Date]] &amp;表格3_5[[#This Row],[Nick Name]]</f>
        <v>0</v>
      </c>
      <c r="D1665" s="202"/>
      <c r="E1665" s="211" t="str">
        <f>DAY(表格3_5[[#This Row],[Date]])&amp;""</f>
        <v>0</v>
      </c>
      <c r="F1665" s="203"/>
      <c r="G1665" s="216">
        <f>_xlfn.XLOOKUP(表格3_5[[#This Row],[Name]],Name_list[Full Name],Name_list[Nick Name])</f>
        <v>0</v>
      </c>
      <c r="H1665" s="207"/>
      <c r="I1665" s="228"/>
      <c r="J1665" s="218"/>
      <c r="K1665" s="205"/>
      <c r="L1665" s="210">
        <f>(表格3_5[[#This Row],[Out-Time]] - 表格3_5[[#This Row],[In-Time]])*24</f>
        <v>0</v>
      </c>
      <c r="M1665" s="210">
        <f>表格3_5[[#This Row],[ Hours]]-表格3_5[[#This Row],[Normal working
 hours]]</f>
        <v>0</v>
      </c>
      <c r="N1665" s="205"/>
      <c r="O1665" s="205"/>
      <c r="P1665" s="210">
        <f>(表格3_5[[#This Row],[Out-Time2]] - 表格3_5[[#This Row],[In-Time2]])*24</f>
        <v>0</v>
      </c>
      <c r="Q1665" s="205"/>
      <c r="R1665" s="214">
        <f>_xlfn.XLOOKUP(表格3_5[[#This Row],[Name]],Name_list[Full Name],Name_list[Hourr Rate])</f>
        <v>0</v>
      </c>
      <c r="S1665" s="210">
        <f>表格3_5[[#This Row],[Hours Worked]]*表格3_5[[#This Row],[Hourly Rate]]</f>
        <v>0</v>
      </c>
    </row>
    <row r="1666" spans="1:19">
      <c r="A1666" s="201">
        <v>1664</v>
      </c>
      <c r="B1666" s="210" t="str">
        <f>_xlfn.CONCAT(表格3_5[[#This Row],[Name]],表格3_5[[#This Row],[Location]])</f>
        <v/>
      </c>
      <c r="C1666" s="211" t="str">
        <f>表格3_5[[#This Row],[Location]] &amp; 表格3_5[[#This Row],[Date]] &amp;表格3_5[[#This Row],[Nick Name]]</f>
        <v>0</v>
      </c>
      <c r="D1666" s="202"/>
      <c r="E1666" s="211" t="str">
        <f>DAY(表格3_5[[#This Row],[Date]])&amp;""</f>
        <v>0</v>
      </c>
      <c r="F1666" s="203"/>
      <c r="G1666" s="216">
        <f>_xlfn.XLOOKUP(表格3_5[[#This Row],[Name]],Name_list[Full Name],Name_list[Nick Name])</f>
        <v>0</v>
      </c>
      <c r="H1666" s="207"/>
      <c r="I1666" s="228"/>
      <c r="J1666" s="218"/>
      <c r="K1666" s="205"/>
      <c r="L1666" s="210">
        <f>(表格3_5[[#This Row],[Out-Time]] - 表格3_5[[#This Row],[In-Time]])*24</f>
        <v>0</v>
      </c>
      <c r="M1666" s="210">
        <f>表格3_5[[#This Row],[ Hours]]-表格3_5[[#This Row],[Normal working
 hours]]</f>
        <v>0</v>
      </c>
      <c r="N1666" s="205"/>
      <c r="O1666" s="205"/>
      <c r="P1666" s="210">
        <f>(表格3_5[[#This Row],[Out-Time2]] - 表格3_5[[#This Row],[In-Time2]])*24</f>
        <v>0</v>
      </c>
      <c r="Q1666" s="205"/>
      <c r="R1666" s="214">
        <f>_xlfn.XLOOKUP(表格3_5[[#This Row],[Name]],Name_list[Full Name],Name_list[Hourr Rate])</f>
        <v>0</v>
      </c>
      <c r="S1666" s="210">
        <f>表格3_5[[#This Row],[Hours Worked]]*表格3_5[[#This Row],[Hourly Rate]]</f>
        <v>0</v>
      </c>
    </row>
    <row r="1667" spans="1:19">
      <c r="A1667" s="201">
        <v>1665</v>
      </c>
      <c r="B1667" s="210" t="str">
        <f>_xlfn.CONCAT(表格3_5[[#This Row],[Name]],表格3_5[[#This Row],[Location]])</f>
        <v/>
      </c>
      <c r="C1667" s="211" t="str">
        <f>表格3_5[[#This Row],[Location]] &amp; 表格3_5[[#This Row],[Date]] &amp;表格3_5[[#This Row],[Nick Name]]</f>
        <v>0</v>
      </c>
      <c r="D1667" s="202"/>
      <c r="E1667" s="211" t="str">
        <f>DAY(表格3_5[[#This Row],[Date]])&amp;""</f>
        <v>0</v>
      </c>
      <c r="F1667" s="203"/>
      <c r="G1667" s="216">
        <f>_xlfn.XLOOKUP(表格3_5[[#This Row],[Name]],Name_list[Full Name],Name_list[Nick Name])</f>
        <v>0</v>
      </c>
      <c r="H1667" s="207"/>
      <c r="I1667" s="228"/>
      <c r="J1667" s="218"/>
      <c r="K1667" s="205"/>
      <c r="L1667" s="210">
        <f>(表格3_5[[#This Row],[Out-Time]] - 表格3_5[[#This Row],[In-Time]])*24</f>
        <v>0</v>
      </c>
      <c r="M1667" s="210">
        <f>表格3_5[[#This Row],[ Hours]]-表格3_5[[#This Row],[Normal working
 hours]]</f>
        <v>0</v>
      </c>
      <c r="N1667" s="205"/>
      <c r="O1667" s="205"/>
      <c r="P1667" s="210">
        <f>(表格3_5[[#This Row],[Out-Time2]] - 表格3_5[[#This Row],[In-Time2]])*24</f>
        <v>0</v>
      </c>
      <c r="Q1667" s="205"/>
      <c r="R1667" s="214">
        <f>_xlfn.XLOOKUP(表格3_5[[#This Row],[Name]],Name_list[Full Name],Name_list[Hourr Rate])</f>
        <v>0</v>
      </c>
      <c r="S1667" s="210">
        <f>表格3_5[[#This Row],[Hours Worked]]*表格3_5[[#This Row],[Hourly Rate]]</f>
        <v>0</v>
      </c>
    </row>
    <row r="1668" spans="1:19">
      <c r="A1668" s="201">
        <v>1666</v>
      </c>
      <c r="B1668" s="210" t="str">
        <f>_xlfn.CONCAT(表格3_5[[#This Row],[Name]],表格3_5[[#This Row],[Location]])</f>
        <v/>
      </c>
      <c r="C1668" s="211" t="str">
        <f>表格3_5[[#This Row],[Location]] &amp; 表格3_5[[#This Row],[Date]] &amp;表格3_5[[#This Row],[Nick Name]]</f>
        <v>0</v>
      </c>
      <c r="D1668" s="202"/>
      <c r="E1668" s="211" t="str">
        <f>DAY(表格3_5[[#This Row],[Date]])&amp;""</f>
        <v>0</v>
      </c>
      <c r="F1668" s="203"/>
      <c r="G1668" s="216">
        <f>_xlfn.XLOOKUP(表格3_5[[#This Row],[Name]],Name_list[Full Name],Name_list[Nick Name])</f>
        <v>0</v>
      </c>
      <c r="H1668" s="207"/>
      <c r="I1668" s="228"/>
      <c r="J1668" s="218"/>
      <c r="K1668" s="205"/>
      <c r="L1668" s="210">
        <f>(表格3_5[[#This Row],[Out-Time]] - 表格3_5[[#This Row],[In-Time]])*24</f>
        <v>0</v>
      </c>
      <c r="M1668" s="210">
        <f>表格3_5[[#This Row],[ Hours]]-表格3_5[[#This Row],[Normal working
 hours]]</f>
        <v>0</v>
      </c>
      <c r="N1668" s="205"/>
      <c r="O1668" s="205"/>
      <c r="P1668" s="210">
        <f>(表格3_5[[#This Row],[Out-Time2]] - 表格3_5[[#This Row],[In-Time2]])*24</f>
        <v>0</v>
      </c>
      <c r="Q1668" s="205"/>
      <c r="R1668" s="214">
        <f>_xlfn.XLOOKUP(表格3_5[[#This Row],[Name]],Name_list[Full Name],Name_list[Hourr Rate])</f>
        <v>0</v>
      </c>
      <c r="S1668" s="210">
        <f>表格3_5[[#This Row],[Hours Worked]]*表格3_5[[#This Row],[Hourly Rate]]</f>
        <v>0</v>
      </c>
    </row>
    <row r="1669" spans="1:19">
      <c r="A1669" s="201">
        <v>1667</v>
      </c>
      <c r="B1669" s="210" t="str">
        <f>_xlfn.CONCAT(表格3_5[[#This Row],[Name]],表格3_5[[#This Row],[Location]])</f>
        <v/>
      </c>
      <c r="C1669" s="211" t="str">
        <f>表格3_5[[#This Row],[Location]] &amp; 表格3_5[[#This Row],[Date]] &amp;表格3_5[[#This Row],[Nick Name]]</f>
        <v>0</v>
      </c>
      <c r="D1669" s="202"/>
      <c r="E1669" s="211" t="str">
        <f>DAY(表格3_5[[#This Row],[Date]])&amp;""</f>
        <v>0</v>
      </c>
      <c r="F1669" s="203"/>
      <c r="G1669" s="216">
        <f>_xlfn.XLOOKUP(表格3_5[[#This Row],[Name]],Name_list[Full Name],Name_list[Nick Name])</f>
        <v>0</v>
      </c>
      <c r="H1669" s="207"/>
      <c r="I1669" s="228"/>
      <c r="J1669" s="218"/>
      <c r="K1669" s="205"/>
      <c r="L1669" s="210">
        <f>(表格3_5[[#This Row],[Out-Time]] - 表格3_5[[#This Row],[In-Time]])*24</f>
        <v>0</v>
      </c>
      <c r="M1669" s="210">
        <f>表格3_5[[#This Row],[ Hours]]-表格3_5[[#This Row],[Normal working
 hours]]</f>
        <v>0</v>
      </c>
      <c r="N1669" s="205"/>
      <c r="O1669" s="205"/>
      <c r="P1669" s="210">
        <f>(表格3_5[[#This Row],[Out-Time2]] - 表格3_5[[#This Row],[In-Time2]])*24</f>
        <v>0</v>
      </c>
      <c r="Q1669" s="205"/>
      <c r="R1669" s="214">
        <f>_xlfn.XLOOKUP(表格3_5[[#This Row],[Name]],Name_list[Full Name],Name_list[Hourr Rate])</f>
        <v>0</v>
      </c>
      <c r="S1669" s="210">
        <f>表格3_5[[#This Row],[Hours Worked]]*表格3_5[[#This Row],[Hourly Rate]]</f>
        <v>0</v>
      </c>
    </row>
    <row r="1670" spans="1:19">
      <c r="A1670" s="201">
        <v>1668</v>
      </c>
      <c r="B1670" s="210" t="str">
        <f>_xlfn.CONCAT(表格3_5[[#This Row],[Name]],表格3_5[[#This Row],[Location]])</f>
        <v/>
      </c>
      <c r="C1670" s="211" t="str">
        <f>表格3_5[[#This Row],[Location]] &amp; 表格3_5[[#This Row],[Date]] &amp;表格3_5[[#This Row],[Nick Name]]</f>
        <v>0</v>
      </c>
      <c r="D1670" s="202"/>
      <c r="E1670" s="211" t="str">
        <f>DAY(表格3_5[[#This Row],[Date]])&amp;""</f>
        <v>0</v>
      </c>
      <c r="F1670" s="203"/>
      <c r="G1670" s="216">
        <f>_xlfn.XLOOKUP(表格3_5[[#This Row],[Name]],Name_list[Full Name],Name_list[Nick Name])</f>
        <v>0</v>
      </c>
      <c r="H1670" s="207"/>
      <c r="I1670" s="228"/>
      <c r="J1670" s="218"/>
      <c r="K1670" s="205"/>
      <c r="L1670" s="210">
        <f>(表格3_5[[#This Row],[Out-Time]] - 表格3_5[[#This Row],[In-Time]])*24</f>
        <v>0</v>
      </c>
      <c r="M1670" s="210">
        <f>表格3_5[[#This Row],[ Hours]]-表格3_5[[#This Row],[Normal working
 hours]]</f>
        <v>0</v>
      </c>
      <c r="N1670" s="205"/>
      <c r="O1670" s="205"/>
      <c r="P1670" s="210">
        <f>(表格3_5[[#This Row],[Out-Time2]] - 表格3_5[[#This Row],[In-Time2]])*24</f>
        <v>0</v>
      </c>
      <c r="Q1670" s="205"/>
      <c r="R1670" s="214">
        <f>_xlfn.XLOOKUP(表格3_5[[#This Row],[Name]],Name_list[Full Name],Name_list[Hourr Rate])</f>
        <v>0</v>
      </c>
      <c r="S1670" s="210">
        <f>表格3_5[[#This Row],[Hours Worked]]*表格3_5[[#This Row],[Hourly Rate]]</f>
        <v>0</v>
      </c>
    </row>
    <row r="1671" spans="1:19">
      <c r="A1671" s="201">
        <v>1669</v>
      </c>
      <c r="B1671" s="210" t="str">
        <f>_xlfn.CONCAT(表格3_5[[#This Row],[Name]],表格3_5[[#This Row],[Location]])</f>
        <v/>
      </c>
      <c r="C1671" s="211" t="str">
        <f>表格3_5[[#This Row],[Location]] &amp; 表格3_5[[#This Row],[Date]] &amp;表格3_5[[#This Row],[Nick Name]]</f>
        <v>0</v>
      </c>
      <c r="D1671" s="202"/>
      <c r="E1671" s="211" t="str">
        <f>DAY(表格3_5[[#This Row],[Date]])&amp;""</f>
        <v>0</v>
      </c>
      <c r="F1671" s="203"/>
      <c r="G1671" s="216">
        <f>_xlfn.XLOOKUP(表格3_5[[#This Row],[Name]],Name_list[Full Name],Name_list[Nick Name])</f>
        <v>0</v>
      </c>
      <c r="H1671" s="207"/>
      <c r="I1671" s="228"/>
      <c r="J1671" s="218"/>
      <c r="K1671" s="205"/>
      <c r="L1671" s="210">
        <f>(表格3_5[[#This Row],[Out-Time]] - 表格3_5[[#This Row],[In-Time]])*24</f>
        <v>0</v>
      </c>
      <c r="M1671" s="210">
        <f>表格3_5[[#This Row],[ Hours]]-表格3_5[[#This Row],[Normal working
 hours]]</f>
        <v>0</v>
      </c>
      <c r="N1671" s="205"/>
      <c r="O1671" s="205"/>
      <c r="P1671" s="210">
        <f>(表格3_5[[#This Row],[Out-Time2]] - 表格3_5[[#This Row],[In-Time2]])*24</f>
        <v>0</v>
      </c>
      <c r="Q1671" s="205"/>
      <c r="R1671" s="214">
        <f>_xlfn.XLOOKUP(表格3_5[[#This Row],[Name]],Name_list[Full Name],Name_list[Hourr Rate])</f>
        <v>0</v>
      </c>
      <c r="S1671" s="210">
        <f>表格3_5[[#This Row],[Hours Worked]]*表格3_5[[#This Row],[Hourly Rate]]</f>
        <v>0</v>
      </c>
    </row>
    <row r="1672" spans="1:19">
      <c r="A1672" s="201">
        <v>1670</v>
      </c>
      <c r="B1672" s="210" t="str">
        <f>_xlfn.CONCAT(表格3_5[[#This Row],[Name]],表格3_5[[#This Row],[Location]])</f>
        <v/>
      </c>
      <c r="C1672" s="211" t="str">
        <f>表格3_5[[#This Row],[Location]] &amp; 表格3_5[[#This Row],[Date]] &amp;表格3_5[[#This Row],[Nick Name]]</f>
        <v>0</v>
      </c>
      <c r="D1672" s="202"/>
      <c r="E1672" s="211" t="str">
        <f>DAY(表格3_5[[#This Row],[Date]])&amp;""</f>
        <v>0</v>
      </c>
      <c r="F1672" s="203"/>
      <c r="G1672" s="216">
        <f>_xlfn.XLOOKUP(表格3_5[[#This Row],[Name]],Name_list[Full Name],Name_list[Nick Name])</f>
        <v>0</v>
      </c>
      <c r="H1672" s="207"/>
      <c r="I1672" s="228"/>
      <c r="J1672" s="218"/>
      <c r="K1672" s="205"/>
      <c r="L1672" s="210">
        <f>(表格3_5[[#This Row],[Out-Time]] - 表格3_5[[#This Row],[In-Time]])*24</f>
        <v>0</v>
      </c>
      <c r="M1672" s="210">
        <f>表格3_5[[#This Row],[ Hours]]-表格3_5[[#This Row],[Normal working
 hours]]</f>
        <v>0</v>
      </c>
      <c r="N1672" s="205"/>
      <c r="O1672" s="205"/>
      <c r="P1672" s="210">
        <f>(表格3_5[[#This Row],[Out-Time2]] - 表格3_5[[#This Row],[In-Time2]])*24</f>
        <v>0</v>
      </c>
      <c r="Q1672" s="205"/>
      <c r="R1672" s="214">
        <f>_xlfn.XLOOKUP(表格3_5[[#This Row],[Name]],Name_list[Full Name],Name_list[Hourr Rate])</f>
        <v>0</v>
      </c>
      <c r="S1672" s="210">
        <f>表格3_5[[#This Row],[Hours Worked]]*表格3_5[[#This Row],[Hourly Rate]]</f>
        <v>0</v>
      </c>
    </row>
    <row r="1673" spans="1:19">
      <c r="A1673" s="201">
        <v>1671</v>
      </c>
      <c r="B1673" s="210" t="str">
        <f>_xlfn.CONCAT(表格3_5[[#This Row],[Name]],表格3_5[[#This Row],[Location]])</f>
        <v/>
      </c>
      <c r="C1673" s="211" t="str">
        <f>表格3_5[[#This Row],[Location]] &amp; 表格3_5[[#This Row],[Date]] &amp;表格3_5[[#This Row],[Nick Name]]</f>
        <v>0</v>
      </c>
      <c r="D1673" s="202"/>
      <c r="E1673" s="211" t="str">
        <f>DAY(表格3_5[[#This Row],[Date]])&amp;""</f>
        <v>0</v>
      </c>
      <c r="F1673" s="203"/>
      <c r="G1673" s="216">
        <f>_xlfn.XLOOKUP(表格3_5[[#This Row],[Name]],Name_list[Full Name],Name_list[Nick Name])</f>
        <v>0</v>
      </c>
      <c r="H1673" s="207"/>
      <c r="I1673" s="228"/>
      <c r="J1673" s="218"/>
      <c r="K1673" s="205"/>
      <c r="L1673" s="210">
        <f>(表格3_5[[#This Row],[Out-Time]] - 表格3_5[[#This Row],[In-Time]])*24</f>
        <v>0</v>
      </c>
      <c r="M1673" s="210">
        <f>表格3_5[[#This Row],[ Hours]]-表格3_5[[#This Row],[Normal working
 hours]]</f>
        <v>0</v>
      </c>
      <c r="N1673" s="205"/>
      <c r="O1673" s="205"/>
      <c r="P1673" s="210">
        <f>(表格3_5[[#This Row],[Out-Time2]] - 表格3_5[[#This Row],[In-Time2]])*24</f>
        <v>0</v>
      </c>
      <c r="Q1673" s="205"/>
      <c r="R1673" s="214">
        <f>_xlfn.XLOOKUP(表格3_5[[#This Row],[Name]],Name_list[Full Name],Name_list[Hourr Rate])</f>
        <v>0</v>
      </c>
      <c r="S1673" s="210">
        <f>表格3_5[[#This Row],[Hours Worked]]*表格3_5[[#This Row],[Hourly Rate]]</f>
        <v>0</v>
      </c>
    </row>
    <row r="1674" spans="1:19">
      <c r="A1674" s="201">
        <v>1672</v>
      </c>
      <c r="B1674" s="210" t="str">
        <f>_xlfn.CONCAT(表格3_5[[#This Row],[Name]],表格3_5[[#This Row],[Location]])</f>
        <v/>
      </c>
      <c r="C1674" s="211" t="str">
        <f>表格3_5[[#This Row],[Location]] &amp; 表格3_5[[#This Row],[Date]] &amp;表格3_5[[#This Row],[Nick Name]]</f>
        <v>0</v>
      </c>
      <c r="D1674" s="202"/>
      <c r="E1674" s="211" t="str">
        <f>DAY(表格3_5[[#This Row],[Date]])&amp;""</f>
        <v>0</v>
      </c>
      <c r="F1674" s="203"/>
      <c r="G1674" s="216">
        <f>_xlfn.XLOOKUP(表格3_5[[#This Row],[Name]],Name_list[Full Name],Name_list[Nick Name])</f>
        <v>0</v>
      </c>
      <c r="H1674" s="207"/>
      <c r="I1674" s="228"/>
      <c r="J1674" s="218"/>
      <c r="K1674" s="205"/>
      <c r="L1674" s="210">
        <f>(表格3_5[[#This Row],[Out-Time]] - 表格3_5[[#This Row],[In-Time]])*24</f>
        <v>0</v>
      </c>
      <c r="M1674" s="210">
        <f>表格3_5[[#This Row],[ Hours]]-表格3_5[[#This Row],[Normal working
 hours]]</f>
        <v>0</v>
      </c>
      <c r="N1674" s="205"/>
      <c r="O1674" s="205"/>
      <c r="P1674" s="210">
        <f>(表格3_5[[#This Row],[Out-Time2]] - 表格3_5[[#This Row],[In-Time2]])*24</f>
        <v>0</v>
      </c>
      <c r="Q1674" s="205"/>
      <c r="R1674" s="214">
        <f>_xlfn.XLOOKUP(表格3_5[[#This Row],[Name]],Name_list[Full Name],Name_list[Hourr Rate])</f>
        <v>0</v>
      </c>
      <c r="S1674" s="210">
        <f>表格3_5[[#This Row],[Hours Worked]]*表格3_5[[#This Row],[Hourly Rate]]</f>
        <v>0</v>
      </c>
    </row>
    <row r="1675" spans="1:19">
      <c r="A1675" s="201">
        <v>1673</v>
      </c>
      <c r="B1675" s="210" t="str">
        <f>_xlfn.CONCAT(表格3_5[[#This Row],[Name]],表格3_5[[#This Row],[Location]])</f>
        <v/>
      </c>
      <c r="C1675" s="211" t="str">
        <f>表格3_5[[#This Row],[Location]] &amp; 表格3_5[[#This Row],[Date]] &amp;表格3_5[[#This Row],[Nick Name]]</f>
        <v>0</v>
      </c>
      <c r="D1675" s="202"/>
      <c r="E1675" s="211" t="str">
        <f>DAY(表格3_5[[#This Row],[Date]])&amp;""</f>
        <v>0</v>
      </c>
      <c r="F1675" s="203"/>
      <c r="G1675" s="216">
        <f>_xlfn.XLOOKUP(表格3_5[[#This Row],[Name]],Name_list[Full Name],Name_list[Nick Name])</f>
        <v>0</v>
      </c>
      <c r="H1675" s="207"/>
      <c r="I1675" s="228"/>
      <c r="J1675" s="218"/>
      <c r="K1675" s="205"/>
      <c r="L1675" s="210">
        <f>(表格3_5[[#This Row],[Out-Time]] - 表格3_5[[#This Row],[In-Time]])*24</f>
        <v>0</v>
      </c>
      <c r="M1675" s="210">
        <f>表格3_5[[#This Row],[ Hours]]-表格3_5[[#This Row],[Normal working
 hours]]</f>
        <v>0</v>
      </c>
      <c r="N1675" s="205"/>
      <c r="O1675" s="205"/>
      <c r="P1675" s="210">
        <f>(表格3_5[[#This Row],[Out-Time2]] - 表格3_5[[#This Row],[In-Time2]])*24</f>
        <v>0</v>
      </c>
      <c r="Q1675" s="205"/>
      <c r="R1675" s="214">
        <f>_xlfn.XLOOKUP(表格3_5[[#This Row],[Name]],Name_list[Full Name],Name_list[Hourr Rate])</f>
        <v>0</v>
      </c>
      <c r="S1675" s="210">
        <f>表格3_5[[#This Row],[Hours Worked]]*表格3_5[[#This Row],[Hourly Rate]]</f>
        <v>0</v>
      </c>
    </row>
    <row r="1676" spans="1:19">
      <c r="A1676" s="201">
        <v>1674</v>
      </c>
      <c r="B1676" s="210" t="str">
        <f>_xlfn.CONCAT(表格3_5[[#This Row],[Name]],表格3_5[[#This Row],[Location]])</f>
        <v/>
      </c>
      <c r="C1676" s="211" t="str">
        <f>表格3_5[[#This Row],[Location]] &amp; 表格3_5[[#This Row],[Date]] &amp;表格3_5[[#This Row],[Nick Name]]</f>
        <v>0</v>
      </c>
      <c r="D1676" s="202"/>
      <c r="E1676" s="211" t="str">
        <f>DAY(表格3_5[[#This Row],[Date]])&amp;""</f>
        <v>0</v>
      </c>
      <c r="F1676" s="203"/>
      <c r="G1676" s="216">
        <f>_xlfn.XLOOKUP(表格3_5[[#This Row],[Name]],Name_list[Full Name],Name_list[Nick Name])</f>
        <v>0</v>
      </c>
      <c r="H1676" s="207"/>
      <c r="I1676" s="228"/>
      <c r="J1676" s="218"/>
      <c r="K1676" s="205"/>
      <c r="L1676" s="210">
        <f>(表格3_5[[#This Row],[Out-Time]] - 表格3_5[[#This Row],[In-Time]])*24</f>
        <v>0</v>
      </c>
      <c r="M1676" s="210">
        <f>表格3_5[[#This Row],[ Hours]]-表格3_5[[#This Row],[Normal working
 hours]]</f>
        <v>0</v>
      </c>
      <c r="N1676" s="205"/>
      <c r="O1676" s="205"/>
      <c r="P1676" s="210">
        <f>(表格3_5[[#This Row],[Out-Time2]] - 表格3_5[[#This Row],[In-Time2]])*24</f>
        <v>0</v>
      </c>
      <c r="Q1676" s="205"/>
      <c r="R1676" s="214">
        <f>_xlfn.XLOOKUP(表格3_5[[#This Row],[Name]],Name_list[Full Name],Name_list[Hourr Rate])</f>
        <v>0</v>
      </c>
      <c r="S1676" s="210">
        <f>表格3_5[[#This Row],[Hours Worked]]*表格3_5[[#This Row],[Hourly Rate]]</f>
        <v>0</v>
      </c>
    </row>
    <row r="1677" spans="1:19">
      <c r="A1677" s="201">
        <v>1675</v>
      </c>
      <c r="B1677" s="210" t="str">
        <f>_xlfn.CONCAT(表格3_5[[#This Row],[Name]],表格3_5[[#This Row],[Location]])</f>
        <v/>
      </c>
      <c r="C1677" s="211" t="str">
        <f>表格3_5[[#This Row],[Location]] &amp; 表格3_5[[#This Row],[Date]] &amp;表格3_5[[#This Row],[Nick Name]]</f>
        <v>0</v>
      </c>
      <c r="D1677" s="202"/>
      <c r="E1677" s="211" t="str">
        <f>DAY(表格3_5[[#This Row],[Date]])&amp;""</f>
        <v>0</v>
      </c>
      <c r="F1677" s="203"/>
      <c r="G1677" s="216">
        <f>_xlfn.XLOOKUP(表格3_5[[#This Row],[Name]],Name_list[Full Name],Name_list[Nick Name])</f>
        <v>0</v>
      </c>
      <c r="H1677" s="207"/>
      <c r="I1677" s="228"/>
      <c r="J1677" s="218"/>
      <c r="K1677" s="205"/>
      <c r="L1677" s="210">
        <f>(表格3_5[[#This Row],[Out-Time]] - 表格3_5[[#This Row],[In-Time]])*24</f>
        <v>0</v>
      </c>
      <c r="M1677" s="210">
        <f>表格3_5[[#This Row],[ Hours]]-表格3_5[[#This Row],[Normal working
 hours]]</f>
        <v>0</v>
      </c>
      <c r="N1677" s="205"/>
      <c r="O1677" s="205"/>
      <c r="P1677" s="210">
        <f>(表格3_5[[#This Row],[Out-Time2]] - 表格3_5[[#This Row],[In-Time2]])*24</f>
        <v>0</v>
      </c>
      <c r="Q1677" s="205"/>
      <c r="R1677" s="214">
        <f>_xlfn.XLOOKUP(表格3_5[[#This Row],[Name]],Name_list[Full Name],Name_list[Hourr Rate])</f>
        <v>0</v>
      </c>
      <c r="S1677" s="210">
        <f>表格3_5[[#This Row],[Hours Worked]]*表格3_5[[#This Row],[Hourly Rate]]</f>
        <v>0</v>
      </c>
    </row>
    <row r="1678" spans="1:19">
      <c r="A1678" s="201">
        <v>1676</v>
      </c>
      <c r="B1678" s="210" t="str">
        <f>_xlfn.CONCAT(表格3_5[[#This Row],[Name]],表格3_5[[#This Row],[Location]])</f>
        <v/>
      </c>
      <c r="C1678" s="211" t="str">
        <f>表格3_5[[#This Row],[Location]] &amp; 表格3_5[[#This Row],[Date]] &amp;表格3_5[[#This Row],[Nick Name]]</f>
        <v>0</v>
      </c>
      <c r="D1678" s="202"/>
      <c r="E1678" s="211" t="str">
        <f>DAY(表格3_5[[#This Row],[Date]])&amp;""</f>
        <v>0</v>
      </c>
      <c r="F1678" s="203"/>
      <c r="G1678" s="216">
        <f>_xlfn.XLOOKUP(表格3_5[[#This Row],[Name]],Name_list[Full Name],Name_list[Nick Name])</f>
        <v>0</v>
      </c>
      <c r="H1678" s="207"/>
      <c r="I1678" s="228"/>
      <c r="J1678" s="218"/>
      <c r="K1678" s="205"/>
      <c r="L1678" s="210">
        <f>(表格3_5[[#This Row],[Out-Time]] - 表格3_5[[#This Row],[In-Time]])*24</f>
        <v>0</v>
      </c>
      <c r="M1678" s="210">
        <f>表格3_5[[#This Row],[ Hours]]-表格3_5[[#This Row],[Normal working
 hours]]</f>
        <v>0</v>
      </c>
      <c r="N1678" s="205"/>
      <c r="O1678" s="205"/>
      <c r="P1678" s="210">
        <f>(表格3_5[[#This Row],[Out-Time2]] - 表格3_5[[#This Row],[In-Time2]])*24</f>
        <v>0</v>
      </c>
      <c r="Q1678" s="205"/>
      <c r="R1678" s="214">
        <f>_xlfn.XLOOKUP(表格3_5[[#This Row],[Name]],Name_list[Full Name],Name_list[Hourr Rate])</f>
        <v>0</v>
      </c>
      <c r="S1678" s="210">
        <f>表格3_5[[#This Row],[Hours Worked]]*表格3_5[[#This Row],[Hourly Rate]]</f>
        <v>0</v>
      </c>
    </row>
    <row r="1679" spans="1:19">
      <c r="A1679" s="201">
        <v>1677</v>
      </c>
      <c r="B1679" s="210" t="str">
        <f>_xlfn.CONCAT(表格3_5[[#This Row],[Name]],表格3_5[[#This Row],[Location]])</f>
        <v/>
      </c>
      <c r="C1679" s="211" t="str">
        <f>表格3_5[[#This Row],[Location]] &amp; 表格3_5[[#This Row],[Date]] &amp;表格3_5[[#This Row],[Nick Name]]</f>
        <v>0</v>
      </c>
      <c r="D1679" s="202"/>
      <c r="E1679" s="211" t="str">
        <f>DAY(表格3_5[[#This Row],[Date]])&amp;""</f>
        <v>0</v>
      </c>
      <c r="F1679" s="203"/>
      <c r="G1679" s="216">
        <f>_xlfn.XLOOKUP(表格3_5[[#This Row],[Name]],Name_list[Full Name],Name_list[Nick Name])</f>
        <v>0</v>
      </c>
      <c r="H1679" s="207"/>
      <c r="I1679" s="228"/>
      <c r="J1679" s="218"/>
      <c r="K1679" s="205"/>
      <c r="L1679" s="210">
        <f>(表格3_5[[#This Row],[Out-Time]] - 表格3_5[[#This Row],[In-Time]])*24</f>
        <v>0</v>
      </c>
      <c r="M1679" s="210">
        <f>表格3_5[[#This Row],[ Hours]]-表格3_5[[#This Row],[Normal working
 hours]]</f>
        <v>0</v>
      </c>
      <c r="N1679" s="205"/>
      <c r="O1679" s="205"/>
      <c r="P1679" s="210">
        <f>(表格3_5[[#This Row],[Out-Time2]] - 表格3_5[[#This Row],[In-Time2]])*24</f>
        <v>0</v>
      </c>
      <c r="Q1679" s="205"/>
      <c r="R1679" s="214">
        <f>_xlfn.XLOOKUP(表格3_5[[#This Row],[Name]],Name_list[Full Name],Name_list[Hourr Rate])</f>
        <v>0</v>
      </c>
      <c r="S1679" s="210">
        <f>表格3_5[[#This Row],[Hours Worked]]*表格3_5[[#This Row],[Hourly Rate]]</f>
        <v>0</v>
      </c>
    </row>
    <row r="1680" spans="1:19">
      <c r="A1680" s="201">
        <v>1678</v>
      </c>
      <c r="B1680" s="210" t="str">
        <f>_xlfn.CONCAT(表格3_5[[#This Row],[Name]],表格3_5[[#This Row],[Location]])</f>
        <v/>
      </c>
      <c r="C1680" s="211" t="str">
        <f>表格3_5[[#This Row],[Location]] &amp; 表格3_5[[#This Row],[Date]] &amp;表格3_5[[#This Row],[Nick Name]]</f>
        <v>0</v>
      </c>
      <c r="D1680" s="202"/>
      <c r="E1680" s="211" t="str">
        <f>DAY(表格3_5[[#This Row],[Date]])&amp;""</f>
        <v>0</v>
      </c>
      <c r="F1680" s="203"/>
      <c r="G1680" s="216">
        <f>_xlfn.XLOOKUP(表格3_5[[#This Row],[Name]],Name_list[Full Name],Name_list[Nick Name])</f>
        <v>0</v>
      </c>
      <c r="H1680" s="207"/>
      <c r="I1680" s="228"/>
      <c r="J1680" s="218"/>
      <c r="K1680" s="205"/>
      <c r="L1680" s="210">
        <f>(表格3_5[[#This Row],[Out-Time]] - 表格3_5[[#This Row],[In-Time]])*24</f>
        <v>0</v>
      </c>
      <c r="M1680" s="210">
        <f>表格3_5[[#This Row],[ Hours]]-表格3_5[[#This Row],[Normal working
 hours]]</f>
        <v>0</v>
      </c>
      <c r="N1680" s="205"/>
      <c r="O1680" s="205"/>
      <c r="P1680" s="210">
        <f>(表格3_5[[#This Row],[Out-Time2]] - 表格3_5[[#This Row],[In-Time2]])*24</f>
        <v>0</v>
      </c>
      <c r="Q1680" s="205"/>
      <c r="R1680" s="214">
        <f>_xlfn.XLOOKUP(表格3_5[[#This Row],[Name]],Name_list[Full Name],Name_list[Hourr Rate])</f>
        <v>0</v>
      </c>
      <c r="S1680" s="210">
        <f>表格3_5[[#This Row],[Hours Worked]]*表格3_5[[#This Row],[Hourly Rate]]</f>
        <v>0</v>
      </c>
    </row>
    <row r="1681" spans="1:19">
      <c r="A1681" s="201">
        <v>1679</v>
      </c>
      <c r="B1681" s="210" t="str">
        <f>_xlfn.CONCAT(表格3_5[[#This Row],[Name]],表格3_5[[#This Row],[Location]])</f>
        <v/>
      </c>
      <c r="C1681" s="211" t="str">
        <f>表格3_5[[#This Row],[Location]] &amp; 表格3_5[[#This Row],[Date]] &amp;表格3_5[[#This Row],[Nick Name]]</f>
        <v>0</v>
      </c>
      <c r="D1681" s="202"/>
      <c r="E1681" s="211" t="str">
        <f>DAY(表格3_5[[#This Row],[Date]])&amp;""</f>
        <v>0</v>
      </c>
      <c r="F1681" s="203"/>
      <c r="G1681" s="216">
        <f>_xlfn.XLOOKUP(表格3_5[[#This Row],[Name]],Name_list[Full Name],Name_list[Nick Name])</f>
        <v>0</v>
      </c>
      <c r="H1681" s="207"/>
      <c r="I1681" s="228"/>
      <c r="J1681" s="218"/>
      <c r="K1681" s="205"/>
      <c r="L1681" s="210">
        <f>(表格3_5[[#This Row],[Out-Time]] - 表格3_5[[#This Row],[In-Time]])*24</f>
        <v>0</v>
      </c>
      <c r="M1681" s="210">
        <f>表格3_5[[#This Row],[ Hours]]-表格3_5[[#This Row],[Normal working
 hours]]</f>
        <v>0</v>
      </c>
      <c r="N1681" s="205"/>
      <c r="O1681" s="205"/>
      <c r="P1681" s="210">
        <f>(表格3_5[[#This Row],[Out-Time2]] - 表格3_5[[#This Row],[In-Time2]])*24</f>
        <v>0</v>
      </c>
      <c r="Q1681" s="205"/>
      <c r="R1681" s="214">
        <f>_xlfn.XLOOKUP(表格3_5[[#This Row],[Name]],Name_list[Full Name],Name_list[Hourr Rate])</f>
        <v>0</v>
      </c>
      <c r="S1681" s="210">
        <f>表格3_5[[#This Row],[Hours Worked]]*表格3_5[[#This Row],[Hourly Rate]]</f>
        <v>0</v>
      </c>
    </row>
    <row r="1682" spans="1:19">
      <c r="A1682" s="201">
        <v>1680</v>
      </c>
      <c r="B1682" s="210" t="str">
        <f>_xlfn.CONCAT(表格3_5[[#This Row],[Name]],表格3_5[[#This Row],[Location]])</f>
        <v/>
      </c>
      <c r="C1682" s="211" t="str">
        <f>表格3_5[[#This Row],[Location]] &amp; 表格3_5[[#This Row],[Date]] &amp;表格3_5[[#This Row],[Nick Name]]</f>
        <v>0</v>
      </c>
      <c r="D1682" s="202"/>
      <c r="E1682" s="211" t="str">
        <f>DAY(表格3_5[[#This Row],[Date]])&amp;""</f>
        <v>0</v>
      </c>
      <c r="F1682" s="203"/>
      <c r="G1682" s="216">
        <f>_xlfn.XLOOKUP(表格3_5[[#This Row],[Name]],Name_list[Full Name],Name_list[Nick Name])</f>
        <v>0</v>
      </c>
      <c r="H1682" s="207"/>
      <c r="I1682" s="228"/>
      <c r="J1682" s="218"/>
      <c r="K1682" s="205"/>
      <c r="L1682" s="210">
        <f>(表格3_5[[#This Row],[Out-Time]] - 表格3_5[[#This Row],[In-Time]])*24</f>
        <v>0</v>
      </c>
      <c r="M1682" s="210">
        <f>表格3_5[[#This Row],[ Hours]]-表格3_5[[#This Row],[Normal working
 hours]]</f>
        <v>0</v>
      </c>
      <c r="N1682" s="205"/>
      <c r="O1682" s="205"/>
      <c r="P1682" s="210">
        <f>(表格3_5[[#This Row],[Out-Time2]] - 表格3_5[[#This Row],[In-Time2]])*24</f>
        <v>0</v>
      </c>
      <c r="Q1682" s="205"/>
      <c r="R1682" s="214">
        <f>_xlfn.XLOOKUP(表格3_5[[#This Row],[Name]],Name_list[Full Name],Name_list[Hourr Rate])</f>
        <v>0</v>
      </c>
      <c r="S1682" s="210">
        <f>表格3_5[[#This Row],[Hours Worked]]*表格3_5[[#This Row],[Hourly Rate]]</f>
        <v>0</v>
      </c>
    </row>
    <row r="1683" spans="1:19">
      <c r="A1683" s="201">
        <v>1681</v>
      </c>
      <c r="B1683" s="210" t="str">
        <f>_xlfn.CONCAT(表格3_5[[#This Row],[Name]],表格3_5[[#This Row],[Location]])</f>
        <v/>
      </c>
      <c r="C1683" s="211" t="str">
        <f>表格3_5[[#This Row],[Location]] &amp; 表格3_5[[#This Row],[Date]] &amp;表格3_5[[#This Row],[Nick Name]]</f>
        <v>0</v>
      </c>
      <c r="D1683" s="202"/>
      <c r="E1683" s="211" t="str">
        <f>DAY(表格3_5[[#This Row],[Date]])&amp;""</f>
        <v>0</v>
      </c>
      <c r="F1683" s="203"/>
      <c r="G1683" s="216">
        <f>_xlfn.XLOOKUP(表格3_5[[#This Row],[Name]],Name_list[Full Name],Name_list[Nick Name])</f>
        <v>0</v>
      </c>
      <c r="H1683" s="207"/>
      <c r="I1683" s="228"/>
      <c r="J1683" s="218"/>
      <c r="K1683" s="205"/>
      <c r="L1683" s="210">
        <f>(表格3_5[[#This Row],[Out-Time]] - 表格3_5[[#This Row],[In-Time]])*24</f>
        <v>0</v>
      </c>
      <c r="M1683" s="210">
        <f>表格3_5[[#This Row],[ Hours]]-表格3_5[[#This Row],[Normal working
 hours]]</f>
        <v>0</v>
      </c>
      <c r="N1683" s="205"/>
      <c r="O1683" s="205"/>
      <c r="P1683" s="210">
        <f>(表格3_5[[#This Row],[Out-Time2]] - 表格3_5[[#This Row],[In-Time2]])*24</f>
        <v>0</v>
      </c>
      <c r="Q1683" s="205"/>
      <c r="R1683" s="214">
        <f>_xlfn.XLOOKUP(表格3_5[[#This Row],[Name]],Name_list[Full Name],Name_list[Hourr Rate])</f>
        <v>0</v>
      </c>
      <c r="S1683" s="210">
        <f>表格3_5[[#This Row],[Hours Worked]]*表格3_5[[#This Row],[Hourly Rate]]</f>
        <v>0</v>
      </c>
    </row>
    <row r="1684" spans="1:19">
      <c r="A1684" s="201">
        <v>1682</v>
      </c>
      <c r="B1684" s="210" t="str">
        <f>_xlfn.CONCAT(表格3_5[[#This Row],[Name]],表格3_5[[#This Row],[Location]])</f>
        <v/>
      </c>
      <c r="C1684" s="211" t="str">
        <f>表格3_5[[#This Row],[Location]] &amp; 表格3_5[[#This Row],[Date]] &amp;表格3_5[[#This Row],[Nick Name]]</f>
        <v>0</v>
      </c>
      <c r="D1684" s="202"/>
      <c r="E1684" s="211" t="str">
        <f>DAY(表格3_5[[#This Row],[Date]])&amp;""</f>
        <v>0</v>
      </c>
      <c r="F1684" s="203"/>
      <c r="G1684" s="216">
        <f>_xlfn.XLOOKUP(表格3_5[[#This Row],[Name]],Name_list[Full Name],Name_list[Nick Name])</f>
        <v>0</v>
      </c>
      <c r="H1684" s="207"/>
      <c r="I1684" s="228"/>
      <c r="J1684" s="218"/>
      <c r="K1684" s="205"/>
      <c r="L1684" s="210">
        <f>(表格3_5[[#This Row],[Out-Time]] - 表格3_5[[#This Row],[In-Time]])*24</f>
        <v>0</v>
      </c>
      <c r="M1684" s="210">
        <f>表格3_5[[#This Row],[ Hours]]-表格3_5[[#This Row],[Normal working
 hours]]</f>
        <v>0</v>
      </c>
      <c r="N1684" s="205"/>
      <c r="O1684" s="205"/>
      <c r="P1684" s="210">
        <f>(表格3_5[[#This Row],[Out-Time2]] - 表格3_5[[#This Row],[In-Time2]])*24</f>
        <v>0</v>
      </c>
      <c r="Q1684" s="205"/>
      <c r="R1684" s="214">
        <f>_xlfn.XLOOKUP(表格3_5[[#This Row],[Name]],Name_list[Full Name],Name_list[Hourr Rate])</f>
        <v>0</v>
      </c>
      <c r="S1684" s="210">
        <f>表格3_5[[#This Row],[Hours Worked]]*表格3_5[[#This Row],[Hourly Rate]]</f>
        <v>0</v>
      </c>
    </row>
    <row r="1685" spans="1:19">
      <c r="A1685" s="201">
        <v>1683</v>
      </c>
      <c r="B1685" s="210" t="str">
        <f>_xlfn.CONCAT(表格3_5[[#This Row],[Name]],表格3_5[[#This Row],[Location]])</f>
        <v/>
      </c>
      <c r="C1685" s="211" t="str">
        <f>表格3_5[[#This Row],[Location]] &amp; 表格3_5[[#This Row],[Date]] &amp;表格3_5[[#This Row],[Nick Name]]</f>
        <v>0</v>
      </c>
      <c r="D1685" s="202"/>
      <c r="E1685" s="211" t="str">
        <f>DAY(表格3_5[[#This Row],[Date]])&amp;""</f>
        <v>0</v>
      </c>
      <c r="F1685" s="203"/>
      <c r="G1685" s="216">
        <f>_xlfn.XLOOKUP(表格3_5[[#This Row],[Name]],Name_list[Full Name],Name_list[Nick Name])</f>
        <v>0</v>
      </c>
      <c r="H1685" s="207"/>
      <c r="I1685" s="228"/>
      <c r="J1685" s="218"/>
      <c r="K1685" s="205"/>
      <c r="L1685" s="210">
        <f>(表格3_5[[#This Row],[Out-Time]] - 表格3_5[[#This Row],[In-Time]])*24</f>
        <v>0</v>
      </c>
      <c r="M1685" s="210">
        <f>表格3_5[[#This Row],[ Hours]]-表格3_5[[#This Row],[Normal working
 hours]]</f>
        <v>0</v>
      </c>
      <c r="N1685" s="205"/>
      <c r="O1685" s="205"/>
      <c r="P1685" s="210">
        <f>(表格3_5[[#This Row],[Out-Time2]] - 表格3_5[[#This Row],[In-Time2]])*24</f>
        <v>0</v>
      </c>
      <c r="Q1685" s="205"/>
      <c r="R1685" s="214">
        <f>_xlfn.XLOOKUP(表格3_5[[#This Row],[Name]],Name_list[Full Name],Name_list[Hourr Rate])</f>
        <v>0</v>
      </c>
      <c r="S1685" s="210">
        <f>表格3_5[[#This Row],[Hours Worked]]*表格3_5[[#This Row],[Hourly Rate]]</f>
        <v>0</v>
      </c>
    </row>
    <row r="1686" spans="1:19">
      <c r="A1686" s="201">
        <v>1684</v>
      </c>
      <c r="B1686" s="210" t="str">
        <f>_xlfn.CONCAT(表格3_5[[#This Row],[Name]],表格3_5[[#This Row],[Location]])</f>
        <v/>
      </c>
      <c r="C1686" s="211" t="str">
        <f>表格3_5[[#This Row],[Location]] &amp; 表格3_5[[#This Row],[Date]] &amp;表格3_5[[#This Row],[Nick Name]]</f>
        <v>0</v>
      </c>
      <c r="D1686" s="202"/>
      <c r="E1686" s="211" t="str">
        <f>DAY(表格3_5[[#This Row],[Date]])&amp;""</f>
        <v>0</v>
      </c>
      <c r="F1686" s="203"/>
      <c r="G1686" s="216">
        <f>_xlfn.XLOOKUP(表格3_5[[#This Row],[Name]],Name_list[Full Name],Name_list[Nick Name])</f>
        <v>0</v>
      </c>
      <c r="H1686" s="207"/>
      <c r="I1686" s="228"/>
      <c r="J1686" s="218"/>
      <c r="K1686" s="205"/>
      <c r="L1686" s="210">
        <f>(表格3_5[[#This Row],[Out-Time]] - 表格3_5[[#This Row],[In-Time]])*24</f>
        <v>0</v>
      </c>
      <c r="M1686" s="210">
        <f>表格3_5[[#This Row],[ Hours]]-表格3_5[[#This Row],[Normal working
 hours]]</f>
        <v>0</v>
      </c>
      <c r="N1686" s="205"/>
      <c r="O1686" s="205"/>
      <c r="P1686" s="210">
        <f>(表格3_5[[#This Row],[Out-Time2]] - 表格3_5[[#This Row],[In-Time2]])*24</f>
        <v>0</v>
      </c>
      <c r="Q1686" s="205"/>
      <c r="R1686" s="214">
        <f>_xlfn.XLOOKUP(表格3_5[[#This Row],[Name]],Name_list[Full Name],Name_list[Hourr Rate])</f>
        <v>0</v>
      </c>
      <c r="S1686" s="210">
        <f>表格3_5[[#This Row],[Hours Worked]]*表格3_5[[#This Row],[Hourly Rate]]</f>
        <v>0</v>
      </c>
    </row>
    <row r="1687" spans="1:19">
      <c r="A1687" s="201">
        <v>1685</v>
      </c>
      <c r="B1687" s="210" t="str">
        <f>_xlfn.CONCAT(表格3_5[[#This Row],[Name]],表格3_5[[#This Row],[Location]])</f>
        <v/>
      </c>
      <c r="C1687" s="211" t="str">
        <f>表格3_5[[#This Row],[Location]] &amp; 表格3_5[[#This Row],[Date]] &amp;表格3_5[[#This Row],[Nick Name]]</f>
        <v>0</v>
      </c>
      <c r="D1687" s="202"/>
      <c r="E1687" s="211" t="str">
        <f>DAY(表格3_5[[#This Row],[Date]])&amp;""</f>
        <v>0</v>
      </c>
      <c r="F1687" s="203"/>
      <c r="G1687" s="216">
        <f>_xlfn.XLOOKUP(表格3_5[[#This Row],[Name]],Name_list[Full Name],Name_list[Nick Name])</f>
        <v>0</v>
      </c>
      <c r="H1687" s="207"/>
      <c r="I1687" s="228"/>
      <c r="J1687" s="218"/>
      <c r="K1687" s="205"/>
      <c r="L1687" s="210">
        <f>(表格3_5[[#This Row],[Out-Time]] - 表格3_5[[#This Row],[In-Time]])*24</f>
        <v>0</v>
      </c>
      <c r="M1687" s="210">
        <f>表格3_5[[#This Row],[ Hours]]-表格3_5[[#This Row],[Normal working
 hours]]</f>
        <v>0</v>
      </c>
      <c r="N1687" s="205"/>
      <c r="O1687" s="205"/>
      <c r="P1687" s="210">
        <f>(表格3_5[[#This Row],[Out-Time2]] - 表格3_5[[#This Row],[In-Time2]])*24</f>
        <v>0</v>
      </c>
      <c r="Q1687" s="205"/>
      <c r="R1687" s="214">
        <f>_xlfn.XLOOKUP(表格3_5[[#This Row],[Name]],Name_list[Full Name],Name_list[Hourr Rate])</f>
        <v>0</v>
      </c>
      <c r="S1687" s="210">
        <f>表格3_5[[#This Row],[Hours Worked]]*表格3_5[[#This Row],[Hourly Rate]]</f>
        <v>0</v>
      </c>
    </row>
    <row r="1688" spans="1:19">
      <c r="A1688" s="201">
        <v>1686</v>
      </c>
      <c r="B1688" s="210" t="str">
        <f>_xlfn.CONCAT(表格3_5[[#This Row],[Name]],表格3_5[[#This Row],[Location]])</f>
        <v/>
      </c>
      <c r="C1688" s="211" t="str">
        <f>表格3_5[[#This Row],[Location]] &amp; 表格3_5[[#This Row],[Date]] &amp;表格3_5[[#This Row],[Nick Name]]</f>
        <v>0</v>
      </c>
      <c r="D1688" s="202"/>
      <c r="E1688" s="211" t="str">
        <f>DAY(表格3_5[[#This Row],[Date]])&amp;""</f>
        <v>0</v>
      </c>
      <c r="F1688" s="203"/>
      <c r="G1688" s="216">
        <f>_xlfn.XLOOKUP(表格3_5[[#This Row],[Name]],Name_list[Full Name],Name_list[Nick Name])</f>
        <v>0</v>
      </c>
      <c r="H1688" s="207"/>
      <c r="I1688" s="228"/>
      <c r="J1688" s="218"/>
      <c r="K1688" s="205"/>
      <c r="L1688" s="210">
        <f>(表格3_5[[#This Row],[Out-Time]] - 表格3_5[[#This Row],[In-Time]])*24</f>
        <v>0</v>
      </c>
      <c r="M1688" s="210">
        <f>表格3_5[[#This Row],[ Hours]]-表格3_5[[#This Row],[Normal working
 hours]]</f>
        <v>0</v>
      </c>
      <c r="N1688" s="205"/>
      <c r="O1688" s="205"/>
      <c r="P1688" s="210">
        <f>(表格3_5[[#This Row],[Out-Time2]] - 表格3_5[[#This Row],[In-Time2]])*24</f>
        <v>0</v>
      </c>
      <c r="Q1688" s="205"/>
      <c r="R1688" s="214">
        <f>_xlfn.XLOOKUP(表格3_5[[#This Row],[Name]],Name_list[Full Name],Name_list[Hourr Rate])</f>
        <v>0</v>
      </c>
      <c r="S1688" s="210">
        <f>表格3_5[[#This Row],[Hours Worked]]*表格3_5[[#This Row],[Hourly Rate]]</f>
        <v>0</v>
      </c>
    </row>
    <row r="1689" spans="1:19">
      <c r="A1689" s="201">
        <v>1687</v>
      </c>
      <c r="B1689" s="210" t="str">
        <f>_xlfn.CONCAT(表格3_5[[#This Row],[Name]],表格3_5[[#This Row],[Location]])</f>
        <v/>
      </c>
      <c r="C1689" s="211" t="str">
        <f>表格3_5[[#This Row],[Location]] &amp; 表格3_5[[#This Row],[Date]] &amp;表格3_5[[#This Row],[Nick Name]]</f>
        <v>0</v>
      </c>
      <c r="D1689" s="202"/>
      <c r="E1689" s="211" t="str">
        <f>DAY(表格3_5[[#This Row],[Date]])&amp;""</f>
        <v>0</v>
      </c>
      <c r="F1689" s="203"/>
      <c r="G1689" s="216">
        <f>_xlfn.XLOOKUP(表格3_5[[#This Row],[Name]],Name_list[Full Name],Name_list[Nick Name])</f>
        <v>0</v>
      </c>
      <c r="H1689" s="207"/>
      <c r="I1689" s="228"/>
      <c r="J1689" s="218"/>
      <c r="K1689" s="205"/>
      <c r="L1689" s="210">
        <f>(表格3_5[[#This Row],[Out-Time]] - 表格3_5[[#This Row],[In-Time]])*24</f>
        <v>0</v>
      </c>
      <c r="M1689" s="210">
        <f>表格3_5[[#This Row],[ Hours]]-表格3_5[[#This Row],[Normal working
 hours]]</f>
        <v>0</v>
      </c>
      <c r="N1689" s="205"/>
      <c r="O1689" s="205"/>
      <c r="P1689" s="210">
        <f>(表格3_5[[#This Row],[Out-Time2]] - 表格3_5[[#This Row],[In-Time2]])*24</f>
        <v>0</v>
      </c>
      <c r="Q1689" s="205"/>
      <c r="R1689" s="214">
        <f>_xlfn.XLOOKUP(表格3_5[[#This Row],[Name]],Name_list[Full Name],Name_list[Hourr Rate])</f>
        <v>0</v>
      </c>
      <c r="S1689" s="210">
        <f>表格3_5[[#This Row],[Hours Worked]]*表格3_5[[#This Row],[Hourly Rate]]</f>
        <v>0</v>
      </c>
    </row>
    <row r="1690" spans="1:19">
      <c r="A1690" s="201">
        <v>1688</v>
      </c>
      <c r="B1690" s="210" t="str">
        <f>_xlfn.CONCAT(表格3_5[[#This Row],[Name]],表格3_5[[#This Row],[Location]])</f>
        <v/>
      </c>
      <c r="C1690" s="211" t="str">
        <f>表格3_5[[#This Row],[Location]] &amp; 表格3_5[[#This Row],[Date]] &amp;表格3_5[[#This Row],[Nick Name]]</f>
        <v>0</v>
      </c>
      <c r="D1690" s="202"/>
      <c r="E1690" s="211" t="str">
        <f>DAY(表格3_5[[#This Row],[Date]])&amp;""</f>
        <v>0</v>
      </c>
      <c r="F1690" s="203"/>
      <c r="G1690" s="216">
        <f>_xlfn.XLOOKUP(表格3_5[[#This Row],[Name]],Name_list[Full Name],Name_list[Nick Name])</f>
        <v>0</v>
      </c>
      <c r="H1690" s="207"/>
      <c r="I1690" s="228"/>
      <c r="J1690" s="218"/>
      <c r="K1690" s="205"/>
      <c r="L1690" s="210">
        <f>(表格3_5[[#This Row],[Out-Time]] - 表格3_5[[#This Row],[In-Time]])*24</f>
        <v>0</v>
      </c>
      <c r="M1690" s="210">
        <f>表格3_5[[#This Row],[ Hours]]-表格3_5[[#This Row],[Normal working
 hours]]</f>
        <v>0</v>
      </c>
      <c r="N1690" s="205"/>
      <c r="O1690" s="205"/>
      <c r="P1690" s="210">
        <f>(表格3_5[[#This Row],[Out-Time2]] - 表格3_5[[#This Row],[In-Time2]])*24</f>
        <v>0</v>
      </c>
      <c r="Q1690" s="205"/>
      <c r="R1690" s="214">
        <f>_xlfn.XLOOKUP(表格3_5[[#This Row],[Name]],Name_list[Full Name],Name_list[Hourr Rate])</f>
        <v>0</v>
      </c>
      <c r="S1690" s="210">
        <f>表格3_5[[#This Row],[Hours Worked]]*表格3_5[[#This Row],[Hourly Rate]]</f>
        <v>0</v>
      </c>
    </row>
    <row r="1691" spans="1:19">
      <c r="A1691" s="201">
        <v>1689</v>
      </c>
      <c r="B1691" s="210" t="str">
        <f>_xlfn.CONCAT(表格3_5[[#This Row],[Name]],表格3_5[[#This Row],[Location]])</f>
        <v/>
      </c>
      <c r="C1691" s="211" t="str">
        <f>表格3_5[[#This Row],[Location]] &amp; 表格3_5[[#This Row],[Date]] &amp;表格3_5[[#This Row],[Nick Name]]</f>
        <v>0</v>
      </c>
      <c r="D1691" s="202"/>
      <c r="E1691" s="211" t="str">
        <f>DAY(表格3_5[[#This Row],[Date]])&amp;""</f>
        <v>0</v>
      </c>
      <c r="F1691" s="203"/>
      <c r="G1691" s="216">
        <f>_xlfn.XLOOKUP(表格3_5[[#This Row],[Name]],Name_list[Full Name],Name_list[Nick Name])</f>
        <v>0</v>
      </c>
      <c r="H1691" s="207"/>
      <c r="I1691" s="228"/>
      <c r="J1691" s="218"/>
      <c r="K1691" s="205"/>
      <c r="L1691" s="210">
        <f>(表格3_5[[#This Row],[Out-Time]] - 表格3_5[[#This Row],[In-Time]])*24</f>
        <v>0</v>
      </c>
      <c r="M1691" s="210">
        <f>表格3_5[[#This Row],[ Hours]]-表格3_5[[#This Row],[Normal working
 hours]]</f>
        <v>0</v>
      </c>
      <c r="N1691" s="205"/>
      <c r="O1691" s="205"/>
      <c r="P1691" s="210">
        <f>(表格3_5[[#This Row],[Out-Time2]] - 表格3_5[[#This Row],[In-Time2]])*24</f>
        <v>0</v>
      </c>
      <c r="Q1691" s="205"/>
      <c r="R1691" s="214">
        <f>_xlfn.XLOOKUP(表格3_5[[#This Row],[Name]],Name_list[Full Name],Name_list[Hourr Rate])</f>
        <v>0</v>
      </c>
      <c r="S1691" s="210">
        <f>表格3_5[[#This Row],[Hours Worked]]*表格3_5[[#This Row],[Hourly Rate]]</f>
        <v>0</v>
      </c>
    </row>
    <row r="1692" spans="1:19">
      <c r="A1692" s="201">
        <v>1690</v>
      </c>
      <c r="B1692" s="210" t="str">
        <f>_xlfn.CONCAT(表格3_5[[#This Row],[Name]],表格3_5[[#This Row],[Location]])</f>
        <v/>
      </c>
      <c r="C1692" s="211" t="str">
        <f>表格3_5[[#This Row],[Location]] &amp; 表格3_5[[#This Row],[Date]] &amp;表格3_5[[#This Row],[Nick Name]]</f>
        <v>0</v>
      </c>
      <c r="D1692" s="202"/>
      <c r="E1692" s="211" t="str">
        <f>DAY(表格3_5[[#This Row],[Date]])&amp;""</f>
        <v>0</v>
      </c>
      <c r="F1692" s="203"/>
      <c r="G1692" s="216">
        <f>_xlfn.XLOOKUP(表格3_5[[#This Row],[Name]],Name_list[Full Name],Name_list[Nick Name])</f>
        <v>0</v>
      </c>
      <c r="H1692" s="207"/>
      <c r="I1692" s="228"/>
      <c r="J1692" s="218"/>
      <c r="K1692" s="205"/>
      <c r="L1692" s="210">
        <f>(表格3_5[[#This Row],[Out-Time]] - 表格3_5[[#This Row],[In-Time]])*24</f>
        <v>0</v>
      </c>
      <c r="M1692" s="210">
        <f>表格3_5[[#This Row],[ Hours]]-表格3_5[[#This Row],[Normal working
 hours]]</f>
        <v>0</v>
      </c>
      <c r="N1692" s="205"/>
      <c r="O1692" s="205"/>
      <c r="P1692" s="210">
        <f>(表格3_5[[#This Row],[Out-Time2]] - 表格3_5[[#This Row],[In-Time2]])*24</f>
        <v>0</v>
      </c>
      <c r="Q1692" s="205"/>
      <c r="R1692" s="214">
        <f>_xlfn.XLOOKUP(表格3_5[[#This Row],[Name]],Name_list[Full Name],Name_list[Hourr Rate])</f>
        <v>0</v>
      </c>
      <c r="S1692" s="210">
        <f>表格3_5[[#This Row],[Hours Worked]]*表格3_5[[#This Row],[Hourly Rate]]</f>
        <v>0</v>
      </c>
    </row>
    <row r="1693" spans="1:19">
      <c r="A1693" s="201">
        <v>1691</v>
      </c>
      <c r="B1693" s="210" t="str">
        <f>_xlfn.CONCAT(表格3_5[[#This Row],[Name]],表格3_5[[#This Row],[Location]])</f>
        <v/>
      </c>
      <c r="C1693" s="211" t="str">
        <f>表格3_5[[#This Row],[Location]] &amp; 表格3_5[[#This Row],[Date]] &amp;表格3_5[[#This Row],[Nick Name]]</f>
        <v>0</v>
      </c>
      <c r="D1693" s="202"/>
      <c r="E1693" s="211" t="str">
        <f>DAY(表格3_5[[#This Row],[Date]])&amp;""</f>
        <v>0</v>
      </c>
      <c r="F1693" s="203"/>
      <c r="G1693" s="216">
        <f>_xlfn.XLOOKUP(表格3_5[[#This Row],[Name]],Name_list[Full Name],Name_list[Nick Name])</f>
        <v>0</v>
      </c>
      <c r="H1693" s="207"/>
      <c r="I1693" s="228"/>
      <c r="J1693" s="218"/>
      <c r="K1693" s="205"/>
      <c r="L1693" s="210">
        <f>(表格3_5[[#This Row],[Out-Time]] - 表格3_5[[#This Row],[In-Time]])*24</f>
        <v>0</v>
      </c>
      <c r="M1693" s="210">
        <f>表格3_5[[#This Row],[ Hours]]-表格3_5[[#This Row],[Normal working
 hours]]</f>
        <v>0</v>
      </c>
      <c r="N1693" s="205"/>
      <c r="O1693" s="205"/>
      <c r="P1693" s="210">
        <f>(表格3_5[[#This Row],[Out-Time2]] - 表格3_5[[#This Row],[In-Time2]])*24</f>
        <v>0</v>
      </c>
      <c r="Q1693" s="205"/>
      <c r="R1693" s="214">
        <f>_xlfn.XLOOKUP(表格3_5[[#This Row],[Name]],Name_list[Full Name],Name_list[Hourr Rate])</f>
        <v>0</v>
      </c>
      <c r="S1693" s="210">
        <f>表格3_5[[#This Row],[Hours Worked]]*表格3_5[[#This Row],[Hourly Rate]]</f>
        <v>0</v>
      </c>
    </row>
    <row r="1694" spans="1:19">
      <c r="A1694" s="201">
        <v>1692</v>
      </c>
      <c r="B1694" s="210" t="str">
        <f>_xlfn.CONCAT(表格3_5[[#This Row],[Name]],表格3_5[[#This Row],[Location]])</f>
        <v/>
      </c>
      <c r="C1694" s="211" t="str">
        <f>表格3_5[[#This Row],[Location]] &amp; 表格3_5[[#This Row],[Date]] &amp;表格3_5[[#This Row],[Nick Name]]</f>
        <v>0</v>
      </c>
      <c r="D1694" s="202"/>
      <c r="E1694" s="211" t="str">
        <f>DAY(表格3_5[[#This Row],[Date]])&amp;""</f>
        <v>0</v>
      </c>
      <c r="F1694" s="203"/>
      <c r="G1694" s="216">
        <f>_xlfn.XLOOKUP(表格3_5[[#This Row],[Name]],Name_list[Full Name],Name_list[Nick Name])</f>
        <v>0</v>
      </c>
      <c r="H1694" s="207"/>
      <c r="I1694" s="228"/>
      <c r="J1694" s="218"/>
      <c r="K1694" s="205"/>
      <c r="L1694" s="210">
        <f>(表格3_5[[#This Row],[Out-Time]] - 表格3_5[[#This Row],[In-Time]])*24</f>
        <v>0</v>
      </c>
      <c r="M1694" s="210">
        <f>表格3_5[[#This Row],[ Hours]]-表格3_5[[#This Row],[Normal working
 hours]]</f>
        <v>0</v>
      </c>
      <c r="N1694" s="205"/>
      <c r="O1694" s="205"/>
      <c r="P1694" s="210">
        <f>(表格3_5[[#This Row],[Out-Time2]] - 表格3_5[[#This Row],[In-Time2]])*24</f>
        <v>0</v>
      </c>
      <c r="Q1694" s="205"/>
      <c r="R1694" s="214">
        <f>_xlfn.XLOOKUP(表格3_5[[#This Row],[Name]],Name_list[Full Name],Name_list[Hourr Rate])</f>
        <v>0</v>
      </c>
      <c r="S1694" s="210">
        <f>表格3_5[[#This Row],[Hours Worked]]*表格3_5[[#This Row],[Hourly Rate]]</f>
        <v>0</v>
      </c>
    </row>
    <row r="1695" spans="1:19">
      <c r="A1695" s="201">
        <v>1693</v>
      </c>
      <c r="B1695" s="210" t="str">
        <f>_xlfn.CONCAT(表格3_5[[#This Row],[Name]],表格3_5[[#This Row],[Location]])</f>
        <v/>
      </c>
      <c r="C1695" s="211" t="str">
        <f>表格3_5[[#This Row],[Location]] &amp; 表格3_5[[#This Row],[Date]] &amp;表格3_5[[#This Row],[Nick Name]]</f>
        <v>0</v>
      </c>
      <c r="D1695" s="202"/>
      <c r="E1695" s="211" t="str">
        <f>DAY(表格3_5[[#This Row],[Date]])&amp;""</f>
        <v>0</v>
      </c>
      <c r="F1695" s="203"/>
      <c r="G1695" s="216">
        <f>_xlfn.XLOOKUP(表格3_5[[#This Row],[Name]],Name_list[Full Name],Name_list[Nick Name])</f>
        <v>0</v>
      </c>
      <c r="H1695" s="207"/>
      <c r="I1695" s="228"/>
      <c r="J1695" s="218"/>
      <c r="K1695" s="205"/>
      <c r="L1695" s="210">
        <f>(表格3_5[[#This Row],[Out-Time]] - 表格3_5[[#This Row],[In-Time]])*24</f>
        <v>0</v>
      </c>
      <c r="M1695" s="210">
        <f>表格3_5[[#This Row],[ Hours]]-表格3_5[[#This Row],[Normal working
 hours]]</f>
        <v>0</v>
      </c>
      <c r="N1695" s="205"/>
      <c r="O1695" s="205"/>
      <c r="P1695" s="210">
        <f>(表格3_5[[#This Row],[Out-Time2]] - 表格3_5[[#This Row],[In-Time2]])*24</f>
        <v>0</v>
      </c>
      <c r="Q1695" s="205"/>
      <c r="R1695" s="214">
        <f>_xlfn.XLOOKUP(表格3_5[[#This Row],[Name]],Name_list[Full Name],Name_list[Hourr Rate])</f>
        <v>0</v>
      </c>
      <c r="S1695" s="210">
        <f>表格3_5[[#This Row],[Hours Worked]]*表格3_5[[#This Row],[Hourly Rate]]</f>
        <v>0</v>
      </c>
    </row>
    <row r="1696" spans="1:19">
      <c r="A1696" s="201">
        <v>1694</v>
      </c>
      <c r="B1696" s="210" t="str">
        <f>_xlfn.CONCAT(表格3_5[[#This Row],[Name]],表格3_5[[#This Row],[Location]])</f>
        <v/>
      </c>
      <c r="C1696" s="211" t="str">
        <f>表格3_5[[#This Row],[Location]] &amp; 表格3_5[[#This Row],[Date]] &amp;表格3_5[[#This Row],[Nick Name]]</f>
        <v>0</v>
      </c>
      <c r="D1696" s="202"/>
      <c r="E1696" s="211" t="str">
        <f>DAY(表格3_5[[#This Row],[Date]])&amp;""</f>
        <v>0</v>
      </c>
      <c r="F1696" s="203"/>
      <c r="G1696" s="216">
        <f>_xlfn.XLOOKUP(表格3_5[[#This Row],[Name]],Name_list[Full Name],Name_list[Nick Name])</f>
        <v>0</v>
      </c>
      <c r="H1696" s="207"/>
      <c r="I1696" s="228"/>
      <c r="J1696" s="218"/>
      <c r="K1696" s="205"/>
      <c r="L1696" s="210">
        <f>(表格3_5[[#This Row],[Out-Time]] - 表格3_5[[#This Row],[In-Time]])*24</f>
        <v>0</v>
      </c>
      <c r="M1696" s="210">
        <f>表格3_5[[#This Row],[ Hours]]-表格3_5[[#This Row],[Normal working
 hours]]</f>
        <v>0</v>
      </c>
      <c r="N1696" s="205"/>
      <c r="O1696" s="205"/>
      <c r="P1696" s="210">
        <f>(表格3_5[[#This Row],[Out-Time2]] - 表格3_5[[#This Row],[In-Time2]])*24</f>
        <v>0</v>
      </c>
      <c r="Q1696" s="205"/>
      <c r="R1696" s="214">
        <f>_xlfn.XLOOKUP(表格3_5[[#This Row],[Name]],Name_list[Full Name],Name_list[Hourr Rate])</f>
        <v>0</v>
      </c>
      <c r="S1696" s="210">
        <f>表格3_5[[#This Row],[Hours Worked]]*表格3_5[[#This Row],[Hourly Rate]]</f>
        <v>0</v>
      </c>
    </row>
    <row r="1697" spans="1:19">
      <c r="A1697" s="201">
        <v>1695</v>
      </c>
      <c r="B1697" s="210" t="str">
        <f>_xlfn.CONCAT(表格3_5[[#This Row],[Name]],表格3_5[[#This Row],[Location]])</f>
        <v/>
      </c>
      <c r="C1697" s="211" t="str">
        <f>表格3_5[[#This Row],[Location]] &amp; 表格3_5[[#This Row],[Date]] &amp;表格3_5[[#This Row],[Nick Name]]</f>
        <v>0</v>
      </c>
      <c r="D1697" s="202"/>
      <c r="E1697" s="211" t="str">
        <f>DAY(表格3_5[[#This Row],[Date]])&amp;""</f>
        <v>0</v>
      </c>
      <c r="F1697" s="203"/>
      <c r="G1697" s="216">
        <f>_xlfn.XLOOKUP(表格3_5[[#This Row],[Name]],Name_list[Full Name],Name_list[Nick Name])</f>
        <v>0</v>
      </c>
      <c r="H1697" s="207"/>
      <c r="I1697" s="228"/>
      <c r="J1697" s="218"/>
      <c r="K1697" s="205"/>
      <c r="L1697" s="210">
        <f>(表格3_5[[#This Row],[Out-Time]] - 表格3_5[[#This Row],[In-Time]])*24</f>
        <v>0</v>
      </c>
      <c r="M1697" s="210">
        <f>表格3_5[[#This Row],[ Hours]]-表格3_5[[#This Row],[Normal working
 hours]]</f>
        <v>0</v>
      </c>
      <c r="N1697" s="205"/>
      <c r="O1697" s="205"/>
      <c r="P1697" s="210">
        <f>(表格3_5[[#This Row],[Out-Time2]] - 表格3_5[[#This Row],[In-Time2]])*24</f>
        <v>0</v>
      </c>
      <c r="Q1697" s="205"/>
      <c r="R1697" s="214">
        <f>_xlfn.XLOOKUP(表格3_5[[#This Row],[Name]],Name_list[Full Name],Name_list[Hourr Rate])</f>
        <v>0</v>
      </c>
      <c r="S1697" s="210">
        <f>表格3_5[[#This Row],[Hours Worked]]*表格3_5[[#This Row],[Hourly Rate]]</f>
        <v>0</v>
      </c>
    </row>
    <row r="1698" spans="1:19">
      <c r="A1698" s="201">
        <v>1696</v>
      </c>
      <c r="B1698" s="210" t="str">
        <f>_xlfn.CONCAT(表格3_5[[#This Row],[Name]],表格3_5[[#This Row],[Location]])</f>
        <v/>
      </c>
      <c r="C1698" s="211" t="str">
        <f>表格3_5[[#This Row],[Location]] &amp; 表格3_5[[#This Row],[Date]] &amp;表格3_5[[#This Row],[Nick Name]]</f>
        <v>0</v>
      </c>
      <c r="D1698" s="202"/>
      <c r="E1698" s="211" t="str">
        <f>DAY(表格3_5[[#This Row],[Date]])&amp;""</f>
        <v>0</v>
      </c>
      <c r="F1698" s="203"/>
      <c r="G1698" s="216">
        <f>_xlfn.XLOOKUP(表格3_5[[#This Row],[Name]],Name_list[Full Name],Name_list[Nick Name])</f>
        <v>0</v>
      </c>
      <c r="H1698" s="207"/>
      <c r="I1698" s="228"/>
      <c r="J1698" s="218"/>
      <c r="K1698" s="205"/>
      <c r="L1698" s="210">
        <f>(表格3_5[[#This Row],[Out-Time]] - 表格3_5[[#This Row],[In-Time]])*24</f>
        <v>0</v>
      </c>
      <c r="M1698" s="210">
        <f>表格3_5[[#This Row],[ Hours]]-表格3_5[[#This Row],[Normal working
 hours]]</f>
        <v>0</v>
      </c>
      <c r="N1698" s="205"/>
      <c r="O1698" s="205"/>
      <c r="P1698" s="210">
        <f>(表格3_5[[#This Row],[Out-Time2]] - 表格3_5[[#This Row],[In-Time2]])*24</f>
        <v>0</v>
      </c>
      <c r="Q1698" s="205"/>
      <c r="R1698" s="214">
        <f>_xlfn.XLOOKUP(表格3_5[[#This Row],[Name]],Name_list[Full Name],Name_list[Hourr Rate])</f>
        <v>0</v>
      </c>
      <c r="S1698" s="210">
        <f>表格3_5[[#This Row],[Hours Worked]]*表格3_5[[#This Row],[Hourly Rate]]</f>
        <v>0</v>
      </c>
    </row>
    <row r="1699" spans="1:19">
      <c r="A1699" s="201">
        <v>1697</v>
      </c>
      <c r="B1699" s="210" t="str">
        <f>_xlfn.CONCAT(表格3_5[[#This Row],[Name]],表格3_5[[#This Row],[Location]])</f>
        <v/>
      </c>
      <c r="C1699" s="211" t="str">
        <f>表格3_5[[#This Row],[Location]] &amp; 表格3_5[[#This Row],[Date]] &amp;表格3_5[[#This Row],[Nick Name]]</f>
        <v>0</v>
      </c>
      <c r="D1699" s="202"/>
      <c r="E1699" s="211" t="str">
        <f>DAY(表格3_5[[#This Row],[Date]])&amp;""</f>
        <v>0</v>
      </c>
      <c r="F1699" s="203"/>
      <c r="G1699" s="216">
        <f>_xlfn.XLOOKUP(表格3_5[[#This Row],[Name]],Name_list[Full Name],Name_list[Nick Name])</f>
        <v>0</v>
      </c>
      <c r="H1699" s="207"/>
      <c r="I1699" s="228"/>
      <c r="J1699" s="218"/>
      <c r="K1699" s="205"/>
      <c r="L1699" s="210">
        <f>(表格3_5[[#This Row],[Out-Time]] - 表格3_5[[#This Row],[In-Time]])*24</f>
        <v>0</v>
      </c>
      <c r="M1699" s="210">
        <f>表格3_5[[#This Row],[ Hours]]-表格3_5[[#This Row],[Normal working
 hours]]</f>
        <v>0</v>
      </c>
      <c r="N1699" s="205"/>
      <c r="O1699" s="205"/>
      <c r="P1699" s="210">
        <f>(表格3_5[[#This Row],[Out-Time2]] - 表格3_5[[#This Row],[In-Time2]])*24</f>
        <v>0</v>
      </c>
      <c r="Q1699" s="205"/>
      <c r="R1699" s="214">
        <f>_xlfn.XLOOKUP(表格3_5[[#This Row],[Name]],Name_list[Full Name],Name_list[Hourr Rate])</f>
        <v>0</v>
      </c>
      <c r="S1699" s="210">
        <f>表格3_5[[#This Row],[Hours Worked]]*表格3_5[[#This Row],[Hourly Rate]]</f>
        <v>0</v>
      </c>
    </row>
    <row r="1700" spans="1:19">
      <c r="A1700" s="201">
        <v>1698</v>
      </c>
      <c r="B1700" s="210" t="str">
        <f>_xlfn.CONCAT(表格3_5[[#This Row],[Name]],表格3_5[[#This Row],[Location]])</f>
        <v/>
      </c>
      <c r="C1700" s="211" t="str">
        <f>表格3_5[[#This Row],[Location]] &amp; 表格3_5[[#This Row],[Date]] &amp;表格3_5[[#This Row],[Nick Name]]</f>
        <v>0</v>
      </c>
      <c r="D1700" s="202"/>
      <c r="E1700" s="211" t="str">
        <f>DAY(表格3_5[[#This Row],[Date]])&amp;""</f>
        <v>0</v>
      </c>
      <c r="F1700" s="203"/>
      <c r="G1700" s="216">
        <f>_xlfn.XLOOKUP(表格3_5[[#This Row],[Name]],Name_list[Full Name],Name_list[Nick Name])</f>
        <v>0</v>
      </c>
      <c r="H1700" s="207"/>
      <c r="I1700" s="228"/>
      <c r="J1700" s="218"/>
      <c r="K1700" s="205"/>
      <c r="L1700" s="210">
        <f>(表格3_5[[#This Row],[Out-Time]] - 表格3_5[[#This Row],[In-Time]])*24</f>
        <v>0</v>
      </c>
      <c r="M1700" s="210">
        <f>表格3_5[[#This Row],[ Hours]]-表格3_5[[#This Row],[Normal working
 hours]]</f>
        <v>0</v>
      </c>
      <c r="N1700" s="205"/>
      <c r="O1700" s="205"/>
      <c r="P1700" s="210">
        <f>(表格3_5[[#This Row],[Out-Time2]] - 表格3_5[[#This Row],[In-Time2]])*24</f>
        <v>0</v>
      </c>
      <c r="Q1700" s="205"/>
      <c r="R1700" s="214">
        <f>_xlfn.XLOOKUP(表格3_5[[#This Row],[Name]],Name_list[Full Name],Name_list[Hourr Rate])</f>
        <v>0</v>
      </c>
      <c r="S1700" s="210">
        <f>表格3_5[[#This Row],[Hours Worked]]*表格3_5[[#This Row],[Hourly Rate]]</f>
        <v>0</v>
      </c>
    </row>
    <row r="1701" spans="1:19">
      <c r="A1701" s="201">
        <v>1699</v>
      </c>
      <c r="B1701" s="210" t="str">
        <f>_xlfn.CONCAT(表格3_5[[#This Row],[Name]],表格3_5[[#This Row],[Location]])</f>
        <v/>
      </c>
      <c r="C1701" s="211" t="str">
        <f>表格3_5[[#This Row],[Location]] &amp; 表格3_5[[#This Row],[Date]] &amp;表格3_5[[#This Row],[Nick Name]]</f>
        <v>0</v>
      </c>
      <c r="D1701" s="202"/>
      <c r="E1701" s="211" t="str">
        <f>DAY(表格3_5[[#This Row],[Date]])&amp;""</f>
        <v>0</v>
      </c>
      <c r="F1701" s="203"/>
      <c r="G1701" s="216">
        <f>_xlfn.XLOOKUP(表格3_5[[#This Row],[Name]],Name_list[Full Name],Name_list[Nick Name])</f>
        <v>0</v>
      </c>
      <c r="H1701" s="207"/>
      <c r="I1701" s="228"/>
      <c r="J1701" s="218"/>
      <c r="K1701" s="205"/>
      <c r="L1701" s="210">
        <f>(表格3_5[[#This Row],[Out-Time]] - 表格3_5[[#This Row],[In-Time]])*24</f>
        <v>0</v>
      </c>
      <c r="M1701" s="210">
        <f>表格3_5[[#This Row],[ Hours]]-表格3_5[[#This Row],[Normal working
 hours]]</f>
        <v>0</v>
      </c>
      <c r="N1701" s="205"/>
      <c r="O1701" s="205"/>
      <c r="P1701" s="210">
        <f>(表格3_5[[#This Row],[Out-Time2]] - 表格3_5[[#This Row],[In-Time2]])*24</f>
        <v>0</v>
      </c>
      <c r="Q1701" s="205"/>
      <c r="R1701" s="214">
        <f>_xlfn.XLOOKUP(表格3_5[[#This Row],[Name]],Name_list[Full Name],Name_list[Hourr Rate])</f>
        <v>0</v>
      </c>
      <c r="S1701" s="210">
        <f>表格3_5[[#This Row],[Hours Worked]]*表格3_5[[#This Row],[Hourly Rate]]</f>
        <v>0</v>
      </c>
    </row>
    <row r="1702" spans="1:19">
      <c r="A1702" s="201">
        <v>1700</v>
      </c>
      <c r="B1702" s="210" t="str">
        <f>_xlfn.CONCAT(表格3_5[[#This Row],[Name]],表格3_5[[#This Row],[Location]])</f>
        <v/>
      </c>
      <c r="C1702" s="211" t="str">
        <f>表格3_5[[#This Row],[Location]] &amp; 表格3_5[[#This Row],[Date]] &amp;表格3_5[[#This Row],[Nick Name]]</f>
        <v>0</v>
      </c>
      <c r="D1702" s="202"/>
      <c r="E1702" s="211" t="str">
        <f>DAY(表格3_5[[#This Row],[Date]])&amp;""</f>
        <v>0</v>
      </c>
      <c r="F1702" s="203"/>
      <c r="G1702" s="216">
        <f>_xlfn.XLOOKUP(表格3_5[[#This Row],[Name]],Name_list[Full Name],Name_list[Nick Name])</f>
        <v>0</v>
      </c>
      <c r="H1702" s="207"/>
      <c r="I1702" s="228"/>
      <c r="J1702" s="218"/>
      <c r="K1702" s="205"/>
      <c r="L1702" s="210">
        <f>(表格3_5[[#This Row],[Out-Time]] - 表格3_5[[#This Row],[In-Time]])*24</f>
        <v>0</v>
      </c>
      <c r="M1702" s="210">
        <f>表格3_5[[#This Row],[ Hours]]-表格3_5[[#This Row],[Normal working
 hours]]</f>
        <v>0</v>
      </c>
      <c r="N1702" s="205"/>
      <c r="O1702" s="205"/>
      <c r="P1702" s="210">
        <f>(表格3_5[[#This Row],[Out-Time2]] - 表格3_5[[#This Row],[In-Time2]])*24</f>
        <v>0</v>
      </c>
      <c r="Q1702" s="205"/>
      <c r="R1702" s="214">
        <f>_xlfn.XLOOKUP(表格3_5[[#This Row],[Name]],Name_list[Full Name],Name_list[Hourr Rate])</f>
        <v>0</v>
      </c>
      <c r="S1702" s="210">
        <f>表格3_5[[#This Row],[Hours Worked]]*表格3_5[[#This Row],[Hourly Rate]]</f>
        <v>0</v>
      </c>
    </row>
    <row r="1703" spans="1:19">
      <c r="A1703" s="201">
        <v>1701</v>
      </c>
      <c r="B1703" s="210" t="str">
        <f>_xlfn.CONCAT(表格3_5[[#This Row],[Name]],表格3_5[[#This Row],[Location]])</f>
        <v/>
      </c>
      <c r="C1703" s="211" t="str">
        <f>表格3_5[[#This Row],[Location]] &amp; 表格3_5[[#This Row],[Date]] &amp;表格3_5[[#This Row],[Nick Name]]</f>
        <v>0</v>
      </c>
      <c r="D1703" s="202"/>
      <c r="E1703" s="211" t="str">
        <f>DAY(表格3_5[[#This Row],[Date]])&amp;""</f>
        <v>0</v>
      </c>
      <c r="F1703" s="203"/>
      <c r="G1703" s="216">
        <f>_xlfn.XLOOKUP(表格3_5[[#This Row],[Name]],Name_list[Full Name],Name_list[Nick Name])</f>
        <v>0</v>
      </c>
      <c r="H1703" s="207"/>
      <c r="I1703" s="228"/>
      <c r="J1703" s="218"/>
      <c r="K1703" s="205"/>
      <c r="L1703" s="210">
        <f>(表格3_5[[#This Row],[Out-Time]] - 表格3_5[[#This Row],[In-Time]])*24</f>
        <v>0</v>
      </c>
      <c r="M1703" s="210">
        <f>表格3_5[[#This Row],[ Hours]]-表格3_5[[#This Row],[Normal working
 hours]]</f>
        <v>0</v>
      </c>
      <c r="N1703" s="205"/>
      <c r="O1703" s="205"/>
      <c r="P1703" s="210">
        <f>(表格3_5[[#This Row],[Out-Time2]] - 表格3_5[[#This Row],[In-Time2]])*24</f>
        <v>0</v>
      </c>
      <c r="Q1703" s="205"/>
      <c r="R1703" s="214">
        <f>_xlfn.XLOOKUP(表格3_5[[#This Row],[Name]],Name_list[Full Name],Name_list[Hourr Rate])</f>
        <v>0</v>
      </c>
      <c r="S1703" s="210">
        <f>表格3_5[[#This Row],[Hours Worked]]*表格3_5[[#This Row],[Hourly Rate]]</f>
        <v>0</v>
      </c>
    </row>
    <row r="1704" spans="1:19">
      <c r="A1704" s="201">
        <v>1702</v>
      </c>
      <c r="B1704" s="210" t="str">
        <f>_xlfn.CONCAT(表格3_5[[#This Row],[Name]],表格3_5[[#This Row],[Location]])</f>
        <v/>
      </c>
      <c r="C1704" s="211" t="str">
        <f>表格3_5[[#This Row],[Location]] &amp; 表格3_5[[#This Row],[Date]] &amp;表格3_5[[#This Row],[Nick Name]]</f>
        <v>0</v>
      </c>
      <c r="D1704" s="202"/>
      <c r="E1704" s="211" t="str">
        <f>DAY(表格3_5[[#This Row],[Date]])&amp;""</f>
        <v>0</v>
      </c>
      <c r="F1704" s="203"/>
      <c r="G1704" s="216">
        <f>_xlfn.XLOOKUP(表格3_5[[#This Row],[Name]],Name_list[Full Name],Name_list[Nick Name])</f>
        <v>0</v>
      </c>
      <c r="H1704" s="207"/>
      <c r="I1704" s="228"/>
      <c r="J1704" s="218"/>
      <c r="K1704" s="205"/>
      <c r="L1704" s="210">
        <f>(表格3_5[[#This Row],[Out-Time]] - 表格3_5[[#This Row],[In-Time]])*24</f>
        <v>0</v>
      </c>
      <c r="M1704" s="210">
        <f>表格3_5[[#This Row],[ Hours]]-表格3_5[[#This Row],[Normal working
 hours]]</f>
        <v>0</v>
      </c>
      <c r="N1704" s="205"/>
      <c r="O1704" s="205"/>
      <c r="P1704" s="210">
        <f>(表格3_5[[#This Row],[Out-Time2]] - 表格3_5[[#This Row],[In-Time2]])*24</f>
        <v>0</v>
      </c>
      <c r="Q1704" s="205"/>
      <c r="R1704" s="214">
        <f>_xlfn.XLOOKUP(表格3_5[[#This Row],[Name]],Name_list[Full Name],Name_list[Hourr Rate])</f>
        <v>0</v>
      </c>
      <c r="S1704" s="210">
        <f>表格3_5[[#This Row],[Hours Worked]]*表格3_5[[#This Row],[Hourly Rate]]</f>
        <v>0</v>
      </c>
    </row>
    <row r="1705" spans="1:19">
      <c r="A1705" s="201">
        <v>1703</v>
      </c>
      <c r="B1705" s="210" t="str">
        <f>_xlfn.CONCAT(表格3_5[[#This Row],[Name]],表格3_5[[#This Row],[Location]])</f>
        <v/>
      </c>
      <c r="C1705" s="211" t="str">
        <f>表格3_5[[#This Row],[Location]] &amp; 表格3_5[[#This Row],[Date]] &amp;表格3_5[[#This Row],[Nick Name]]</f>
        <v>0</v>
      </c>
      <c r="D1705" s="202"/>
      <c r="E1705" s="211" t="str">
        <f>DAY(表格3_5[[#This Row],[Date]])&amp;""</f>
        <v>0</v>
      </c>
      <c r="F1705" s="203"/>
      <c r="G1705" s="216">
        <f>_xlfn.XLOOKUP(表格3_5[[#This Row],[Name]],Name_list[Full Name],Name_list[Nick Name])</f>
        <v>0</v>
      </c>
      <c r="H1705" s="207"/>
      <c r="I1705" s="228"/>
      <c r="J1705" s="218"/>
      <c r="K1705" s="205"/>
      <c r="L1705" s="210">
        <f>(表格3_5[[#This Row],[Out-Time]] - 表格3_5[[#This Row],[In-Time]])*24</f>
        <v>0</v>
      </c>
      <c r="M1705" s="210">
        <f>表格3_5[[#This Row],[ Hours]]-表格3_5[[#This Row],[Normal working
 hours]]</f>
        <v>0</v>
      </c>
      <c r="N1705" s="205"/>
      <c r="O1705" s="205"/>
      <c r="P1705" s="210">
        <f>(表格3_5[[#This Row],[Out-Time2]] - 表格3_5[[#This Row],[In-Time2]])*24</f>
        <v>0</v>
      </c>
      <c r="Q1705" s="205"/>
      <c r="R1705" s="214">
        <f>_xlfn.XLOOKUP(表格3_5[[#This Row],[Name]],Name_list[Full Name],Name_list[Hourr Rate])</f>
        <v>0</v>
      </c>
      <c r="S1705" s="210">
        <f>表格3_5[[#This Row],[Hours Worked]]*表格3_5[[#This Row],[Hourly Rate]]</f>
        <v>0</v>
      </c>
    </row>
    <row r="1706" spans="1:19">
      <c r="A1706" s="201">
        <v>1704</v>
      </c>
      <c r="B1706" s="210" t="str">
        <f>_xlfn.CONCAT(表格3_5[[#This Row],[Name]],表格3_5[[#This Row],[Location]])</f>
        <v/>
      </c>
      <c r="C1706" s="211" t="str">
        <f>表格3_5[[#This Row],[Location]] &amp; 表格3_5[[#This Row],[Date]] &amp;表格3_5[[#This Row],[Nick Name]]</f>
        <v>0</v>
      </c>
      <c r="D1706" s="202"/>
      <c r="E1706" s="211" t="str">
        <f>DAY(表格3_5[[#This Row],[Date]])&amp;""</f>
        <v>0</v>
      </c>
      <c r="F1706" s="203"/>
      <c r="G1706" s="216">
        <f>_xlfn.XLOOKUP(表格3_5[[#This Row],[Name]],Name_list[Full Name],Name_list[Nick Name])</f>
        <v>0</v>
      </c>
      <c r="H1706" s="207"/>
      <c r="I1706" s="228"/>
      <c r="J1706" s="218"/>
      <c r="K1706" s="205"/>
      <c r="L1706" s="210">
        <f>(表格3_5[[#This Row],[Out-Time]] - 表格3_5[[#This Row],[In-Time]])*24</f>
        <v>0</v>
      </c>
      <c r="M1706" s="210">
        <f>表格3_5[[#This Row],[ Hours]]-表格3_5[[#This Row],[Normal working
 hours]]</f>
        <v>0</v>
      </c>
      <c r="N1706" s="205"/>
      <c r="O1706" s="205"/>
      <c r="P1706" s="210">
        <f>(表格3_5[[#This Row],[Out-Time2]] - 表格3_5[[#This Row],[In-Time2]])*24</f>
        <v>0</v>
      </c>
      <c r="Q1706" s="205"/>
      <c r="R1706" s="214">
        <f>_xlfn.XLOOKUP(表格3_5[[#This Row],[Name]],Name_list[Full Name],Name_list[Hourr Rate])</f>
        <v>0</v>
      </c>
      <c r="S1706" s="210">
        <f>表格3_5[[#This Row],[Hours Worked]]*表格3_5[[#This Row],[Hourly Rate]]</f>
        <v>0</v>
      </c>
    </row>
    <row r="1707" spans="1:19">
      <c r="A1707" s="201">
        <v>1705</v>
      </c>
      <c r="B1707" s="210" t="str">
        <f>_xlfn.CONCAT(表格3_5[[#This Row],[Name]],表格3_5[[#This Row],[Location]])</f>
        <v/>
      </c>
      <c r="C1707" s="211" t="str">
        <f>表格3_5[[#This Row],[Location]] &amp; 表格3_5[[#This Row],[Date]] &amp;表格3_5[[#This Row],[Nick Name]]</f>
        <v>0</v>
      </c>
      <c r="D1707" s="202"/>
      <c r="E1707" s="211" t="str">
        <f>DAY(表格3_5[[#This Row],[Date]])&amp;""</f>
        <v>0</v>
      </c>
      <c r="F1707" s="203"/>
      <c r="G1707" s="216">
        <f>_xlfn.XLOOKUP(表格3_5[[#This Row],[Name]],Name_list[Full Name],Name_list[Nick Name])</f>
        <v>0</v>
      </c>
      <c r="H1707" s="207"/>
      <c r="I1707" s="228"/>
      <c r="J1707" s="218"/>
      <c r="K1707" s="205"/>
      <c r="L1707" s="210">
        <f>(表格3_5[[#This Row],[Out-Time]] - 表格3_5[[#This Row],[In-Time]])*24</f>
        <v>0</v>
      </c>
      <c r="M1707" s="210">
        <f>表格3_5[[#This Row],[ Hours]]-表格3_5[[#This Row],[Normal working
 hours]]</f>
        <v>0</v>
      </c>
      <c r="N1707" s="205"/>
      <c r="O1707" s="205"/>
      <c r="P1707" s="210">
        <f>(表格3_5[[#This Row],[Out-Time2]] - 表格3_5[[#This Row],[In-Time2]])*24</f>
        <v>0</v>
      </c>
      <c r="Q1707" s="205"/>
      <c r="R1707" s="214">
        <f>_xlfn.XLOOKUP(表格3_5[[#This Row],[Name]],Name_list[Full Name],Name_list[Hourr Rate])</f>
        <v>0</v>
      </c>
      <c r="S1707" s="210">
        <f>表格3_5[[#This Row],[Hours Worked]]*表格3_5[[#This Row],[Hourly Rate]]</f>
        <v>0</v>
      </c>
    </row>
    <row r="1708" spans="1:19">
      <c r="A1708" s="201">
        <v>1706</v>
      </c>
      <c r="B1708" s="210" t="str">
        <f>_xlfn.CONCAT(表格3_5[[#This Row],[Name]],表格3_5[[#This Row],[Location]])</f>
        <v/>
      </c>
      <c r="C1708" s="211" t="str">
        <f>表格3_5[[#This Row],[Location]] &amp; 表格3_5[[#This Row],[Date]] &amp;表格3_5[[#This Row],[Nick Name]]</f>
        <v>0</v>
      </c>
      <c r="D1708" s="202"/>
      <c r="E1708" s="211" t="str">
        <f>DAY(表格3_5[[#This Row],[Date]])&amp;""</f>
        <v>0</v>
      </c>
      <c r="F1708" s="203"/>
      <c r="G1708" s="216">
        <f>_xlfn.XLOOKUP(表格3_5[[#This Row],[Name]],Name_list[Full Name],Name_list[Nick Name])</f>
        <v>0</v>
      </c>
      <c r="H1708" s="207"/>
      <c r="I1708" s="228"/>
      <c r="J1708" s="218"/>
      <c r="K1708" s="205"/>
      <c r="L1708" s="210">
        <f>(表格3_5[[#This Row],[Out-Time]] - 表格3_5[[#This Row],[In-Time]])*24</f>
        <v>0</v>
      </c>
      <c r="M1708" s="210">
        <f>表格3_5[[#This Row],[ Hours]]-表格3_5[[#This Row],[Normal working
 hours]]</f>
        <v>0</v>
      </c>
      <c r="N1708" s="205"/>
      <c r="O1708" s="205"/>
      <c r="P1708" s="210">
        <f>(表格3_5[[#This Row],[Out-Time2]] - 表格3_5[[#This Row],[In-Time2]])*24</f>
        <v>0</v>
      </c>
      <c r="Q1708" s="205"/>
      <c r="R1708" s="214">
        <f>_xlfn.XLOOKUP(表格3_5[[#This Row],[Name]],Name_list[Full Name],Name_list[Hourr Rate])</f>
        <v>0</v>
      </c>
      <c r="S1708" s="210">
        <f>表格3_5[[#This Row],[Hours Worked]]*表格3_5[[#This Row],[Hourly Rate]]</f>
        <v>0</v>
      </c>
    </row>
    <row r="1709" spans="1:19">
      <c r="A1709" s="201">
        <v>1707</v>
      </c>
      <c r="B1709" s="210" t="str">
        <f>_xlfn.CONCAT(表格3_5[[#This Row],[Name]],表格3_5[[#This Row],[Location]])</f>
        <v/>
      </c>
      <c r="C1709" s="211" t="str">
        <f>表格3_5[[#This Row],[Location]] &amp; 表格3_5[[#This Row],[Date]] &amp;表格3_5[[#This Row],[Nick Name]]</f>
        <v>0</v>
      </c>
      <c r="D1709" s="202"/>
      <c r="E1709" s="211" t="str">
        <f>DAY(表格3_5[[#This Row],[Date]])&amp;""</f>
        <v>0</v>
      </c>
      <c r="F1709" s="203"/>
      <c r="G1709" s="216">
        <f>_xlfn.XLOOKUP(表格3_5[[#This Row],[Name]],Name_list[Full Name],Name_list[Nick Name])</f>
        <v>0</v>
      </c>
      <c r="H1709" s="207"/>
      <c r="I1709" s="228"/>
      <c r="J1709" s="218"/>
      <c r="K1709" s="205"/>
      <c r="L1709" s="210">
        <f>(表格3_5[[#This Row],[Out-Time]] - 表格3_5[[#This Row],[In-Time]])*24</f>
        <v>0</v>
      </c>
      <c r="M1709" s="210">
        <f>表格3_5[[#This Row],[ Hours]]-表格3_5[[#This Row],[Normal working
 hours]]</f>
        <v>0</v>
      </c>
      <c r="N1709" s="205"/>
      <c r="O1709" s="205"/>
      <c r="P1709" s="210">
        <f>(表格3_5[[#This Row],[Out-Time2]] - 表格3_5[[#This Row],[In-Time2]])*24</f>
        <v>0</v>
      </c>
      <c r="Q1709" s="205"/>
      <c r="R1709" s="214">
        <f>_xlfn.XLOOKUP(表格3_5[[#This Row],[Name]],Name_list[Full Name],Name_list[Hourr Rate])</f>
        <v>0</v>
      </c>
      <c r="S1709" s="210">
        <f>表格3_5[[#This Row],[Hours Worked]]*表格3_5[[#This Row],[Hourly Rate]]</f>
        <v>0</v>
      </c>
    </row>
    <row r="1710" spans="1:19">
      <c r="A1710" s="201">
        <v>1708</v>
      </c>
      <c r="B1710" s="210" t="str">
        <f>_xlfn.CONCAT(表格3_5[[#This Row],[Name]],表格3_5[[#This Row],[Location]])</f>
        <v/>
      </c>
      <c r="C1710" s="211" t="str">
        <f>表格3_5[[#This Row],[Location]] &amp; 表格3_5[[#This Row],[Date]] &amp;表格3_5[[#This Row],[Nick Name]]</f>
        <v>0</v>
      </c>
      <c r="D1710" s="202"/>
      <c r="E1710" s="211" t="str">
        <f>DAY(表格3_5[[#This Row],[Date]])&amp;""</f>
        <v>0</v>
      </c>
      <c r="F1710" s="203"/>
      <c r="G1710" s="216">
        <f>_xlfn.XLOOKUP(表格3_5[[#This Row],[Name]],Name_list[Full Name],Name_list[Nick Name])</f>
        <v>0</v>
      </c>
      <c r="H1710" s="207"/>
      <c r="I1710" s="228"/>
      <c r="J1710" s="218"/>
      <c r="K1710" s="205"/>
      <c r="L1710" s="210">
        <f>(表格3_5[[#This Row],[Out-Time]] - 表格3_5[[#This Row],[In-Time]])*24</f>
        <v>0</v>
      </c>
      <c r="M1710" s="210">
        <f>表格3_5[[#This Row],[ Hours]]-表格3_5[[#This Row],[Normal working
 hours]]</f>
        <v>0</v>
      </c>
      <c r="N1710" s="205"/>
      <c r="O1710" s="205"/>
      <c r="P1710" s="210">
        <f>(表格3_5[[#This Row],[Out-Time2]] - 表格3_5[[#This Row],[In-Time2]])*24</f>
        <v>0</v>
      </c>
      <c r="Q1710" s="205"/>
      <c r="R1710" s="214">
        <f>_xlfn.XLOOKUP(表格3_5[[#This Row],[Name]],Name_list[Full Name],Name_list[Hourr Rate])</f>
        <v>0</v>
      </c>
      <c r="S1710" s="210">
        <f>表格3_5[[#This Row],[Hours Worked]]*表格3_5[[#This Row],[Hourly Rate]]</f>
        <v>0</v>
      </c>
    </row>
    <row r="1711" spans="1:19">
      <c r="A1711" s="201">
        <v>1709</v>
      </c>
      <c r="B1711" s="210" t="str">
        <f>_xlfn.CONCAT(表格3_5[[#This Row],[Name]],表格3_5[[#This Row],[Location]])</f>
        <v/>
      </c>
      <c r="C1711" s="211" t="str">
        <f>表格3_5[[#This Row],[Location]] &amp; 表格3_5[[#This Row],[Date]] &amp;表格3_5[[#This Row],[Nick Name]]</f>
        <v>0</v>
      </c>
      <c r="D1711" s="202"/>
      <c r="E1711" s="211" t="str">
        <f>DAY(表格3_5[[#This Row],[Date]])&amp;""</f>
        <v>0</v>
      </c>
      <c r="F1711" s="203"/>
      <c r="G1711" s="216">
        <f>_xlfn.XLOOKUP(表格3_5[[#This Row],[Name]],Name_list[Full Name],Name_list[Nick Name])</f>
        <v>0</v>
      </c>
      <c r="H1711" s="207"/>
      <c r="I1711" s="228"/>
      <c r="J1711" s="218"/>
      <c r="K1711" s="205"/>
      <c r="L1711" s="210">
        <f>(表格3_5[[#This Row],[Out-Time]] - 表格3_5[[#This Row],[In-Time]])*24</f>
        <v>0</v>
      </c>
      <c r="M1711" s="210">
        <f>表格3_5[[#This Row],[ Hours]]-表格3_5[[#This Row],[Normal working
 hours]]</f>
        <v>0</v>
      </c>
      <c r="N1711" s="205"/>
      <c r="O1711" s="205"/>
      <c r="P1711" s="210">
        <f>(表格3_5[[#This Row],[Out-Time2]] - 表格3_5[[#This Row],[In-Time2]])*24</f>
        <v>0</v>
      </c>
      <c r="Q1711" s="205"/>
      <c r="R1711" s="214">
        <f>_xlfn.XLOOKUP(表格3_5[[#This Row],[Name]],Name_list[Full Name],Name_list[Hourr Rate])</f>
        <v>0</v>
      </c>
      <c r="S1711" s="210">
        <f>表格3_5[[#This Row],[Hours Worked]]*表格3_5[[#This Row],[Hourly Rate]]</f>
        <v>0</v>
      </c>
    </row>
    <row r="1712" spans="1:19">
      <c r="A1712" s="201">
        <v>1710</v>
      </c>
      <c r="B1712" s="210" t="str">
        <f>_xlfn.CONCAT(表格3_5[[#This Row],[Name]],表格3_5[[#This Row],[Location]])</f>
        <v/>
      </c>
      <c r="C1712" s="211" t="str">
        <f>表格3_5[[#This Row],[Location]] &amp; 表格3_5[[#This Row],[Date]] &amp;表格3_5[[#This Row],[Nick Name]]</f>
        <v>0</v>
      </c>
      <c r="D1712" s="202"/>
      <c r="E1712" s="211" t="str">
        <f>DAY(表格3_5[[#This Row],[Date]])&amp;""</f>
        <v>0</v>
      </c>
      <c r="F1712" s="203"/>
      <c r="G1712" s="216">
        <f>_xlfn.XLOOKUP(表格3_5[[#This Row],[Name]],Name_list[Full Name],Name_list[Nick Name])</f>
        <v>0</v>
      </c>
      <c r="H1712" s="207"/>
      <c r="I1712" s="228"/>
      <c r="J1712" s="218"/>
      <c r="K1712" s="205"/>
      <c r="L1712" s="210">
        <f>(表格3_5[[#This Row],[Out-Time]] - 表格3_5[[#This Row],[In-Time]])*24</f>
        <v>0</v>
      </c>
      <c r="M1712" s="210">
        <f>表格3_5[[#This Row],[ Hours]]-表格3_5[[#This Row],[Normal working
 hours]]</f>
        <v>0</v>
      </c>
      <c r="N1712" s="205"/>
      <c r="O1712" s="205"/>
      <c r="P1712" s="210">
        <f>(表格3_5[[#This Row],[Out-Time2]] - 表格3_5[[#This Row],[In-Time2]])*24</f>
        <v>0</v>
      </c>
      <c r="Q1712" s="205"/>
      <c r="R1712" s="214">
        <f>_xlfn.XLOOKUP(表格3_5[[#This Row],[Name]],Name_list[Full Name],Name_list[Hourr Rate])</f>
        <v>0</v>
      </c>
      <c r="S1712" s="210">
        <f>表格3_5[[#This Row],[Hours Worked]]*表格3_5[[#This Row],[Hourly Rate]]</f>
        <v>0</v>
      </c>
    </row>
    <row r="1713" spans="1:19">
      <c r="A1713" s="201">
        <v>1711</v>
      </c>
      <c r="B1713" s="210" t="str">
        <f>_xlfn.CONCAT(表格3_5[[#This Row],[Name]],表格3_5[[#This Row],[Location]])</f>
        <v/>
      </c>
      <c r="C1713" s="211" t="str">
        <f>表格3_5[[#This Row],[Location]] &amp; 表格3_5[[#This Row],[Date]] &amp;表格3_5[[#This Row],[Nick Name]]</f>
        <v>0</v>
      </c>
      <c r="D1713" s="202"/>
      <c r="E1713" s="211" t="str">
        <f>DAY(表格3_5[[#This Row],[Date]])&amp;""</f>
        <v>0</v>
      </c>
      <c r="F1713" s="203"/>
      <c r="G1713" s="216">
        <f>_xlfn.XLOOKUP(表格3_5[[#This Row],[Name]],Name_list[Full Name],Name_list[Nick Name])</f>
        <v>0</v>
      </c>
      <c r="H1713" s="207"/>
      <c r="I1713" s="228"/>
      <c r="J1713" s="218"/>
      <c r="K1713" s="205"/>
      <c r="L1713" s="210">
        <f>(表格3_5[[#This Row],[Out-Time]] - 表格3_5[[#This Row],[In-Time]])*24</f>
        <v>0</v>
      </c>
      <c r="M1713" s="210">
        <f>表格3_5[[#This Row],[ Hours]]-表格3_5[[#This Row],[Normal working
 hours]]</f>
        <v>0</v>
      </c>
      <c r="N1713" s="205"/>
      <c r="O1713" s="205"/>
      <c r="P1713" s="210">
        <f>(表格3_5[[#This Row],[Out-Time2]] - 表格3_5[[#This Row],[In-Time2]])*24</f>
        <v>0</v>
      </c>
      <c r="Q1713" s="205"/>
      <c r="R1713" s="214">
        <f>_xlfn.XLOOKUP(表格3_5[[#This Row],[Name]],Name_list[Full Name],Name_list[Hourr Rate])</f>
        <v>0</v>
      </c>
      <c r="S1713" s="210">
        <f>表格3_5[[#This Row],[Hours Worked]]*表格3_5[[#This Row],[Hourly Rate]]</f>
        <v>0</v>
      </c>
    </row>
    <row r="1714" spans="1:19">
      <c r="A1714" s="201">
        <v>1712</v>
      </c>
      <c r="B1714" s="210" t="str">
        <f>_xlfn.CONCAT(表格3_5[[#This Row],[Name]],表格3_5[[#This Row],[Location]])</f>
        <v/>
      </c>
      <c r="C1714" s="211" t="str">
        <f>表格3_5[[#This Row],[Location]] &amp; 表格3_5[[#This Row],[Date]] &amp;表格3_5[[#This Row],[Nick Name]]</f>
        <v>0</v>
      </c>
      <c r="D1714" s="202"/>
      <c r="E1714" s="211" t="str">
        <f>DAY(表格3_5[[#This Row],[Date]])&amp;""</f>
        <v>0</v>
      </c>
      <c r="F1714" s="203"/>
      <c r="G1714" s="216">
        <f>_xlfn.XLOOKUP(表格3_5[[#This Row],[Name]],Name_list[Full Name],Name_list[Nick Name])</f>
        <v>0</v>
      </c>
      <c r="H1714" s="207"/>
      <c r="I1714" s="228"/>
      <c r="J1714" s="218"/>
      <c r="K1714" s="205"/>
      <c r="L1714" s="210">
        <f>(表格3_5[[#This Row],[Out-Time]] - 表格3_5[[#This Row],[In-Time]])*24</f>
        <v>0</v>
      </c>
      <c r="M1714" s="210">
        <f>表格3_5[[#This Row],[ Hours]]-表格3_5[[#This Row],[Normal working
 hours]]</f>
        <v>0</v>
      </c>
      <c r="N1714" s="205"/>
      <c r="O1714" s="205"/>
      <c r="P1714" s="210">
        <f>(表格3_5[[#This Row],[Out-Time2]] - 表格3_5[[#This Row],[In-Time2]])*24</f>
        <v>0</v>
      </c>
      <c r="Q1714" s="205"/>
      <c r="R1714" s="214">
        <f>_xlfn.XLOOKUP(表格3_5[[#This Row],[Name]],Name_list[Full Name],Name_list[Hourr Rate])</f>
        <v>0</v>
      </c>
      <c r="S1714" s="210">
        <f>表格3_5[[#This Row],[Hours Worked]]*表格3_5[[#This Row],[Hourly Rate]]</f>
        <v>0</v>
      </c>
    </row>
    <row r="1715" spans="1:19">
      <c r="A1715" s="201">
        <v>1713</v>
      </c>
      <c r="B1715" s="210" t="str">
        <f>_xlfn.CONCAT(表格3_5[[#This Row],[Name]],表格3_5[[#This Row],[Location]])</f>
        <v/>
      </c>
      <c r="C1715" s="211" t="str">
        <f>表格3_5[[#This Row],[Location]] &amp; 表格3_5[[#This Row],[Date]] &amp;表格3_5[[#This Row],[Nick Name]]</f>
        <v>0</v>
      </c>
      <c r="D1715" s="202"/>
      <c r="E1715" s="211" t="str">
        <f>DAY(表格3_5[[#This Row],[Date]])&amp;""</f>
        <v>0</v>
      </c>
      <c r="F1715" s="203"/>
      <c r="G1715" s="216">
        <f>_xlfn.XLOOKUP(表格3_5[[#This Row],[Name]],Name_list[Full Name],Name_list[Nick Name])</f>
        <v>0</v>
      </c>
      <c r="H1715" s="207"/>
      <c r="I1715" s="228"/>
      <c r="J1715" s="218"/>
      <c r="K1715" s="205"/>
      <c r="L1715" s="210">
        <f>(表格3_5[[#This Row],[Out-Time]] - 表格3_5[[#This Row],[In-Time]])*24</f>
        <v>0</v>
      </c>
      <c r="M1715" s="210">
        <f>表格3_5[[#This Row],[ Hours]]-表格3_5[[#This Row],[Normal working
 hours]]</f>
        <v>0</v>
      </c>
      <c r="N1715" s="205"/>
      <c r="O1715" s="205"/>
      <c r="P1715" s="210">
        <f>(表格3_5[[#This Row],[Out-Time2]] - 表格3_5[[#This Row],[In-Time2]])*24</f>
        <v>0</v>
      </c>
      <c r="Q1715" s="205"/>
      <c r="R1715" s="214">
        <f>_xlfn.XLOOKUP(表格3_5[[#This Row],[Name]],Name_list[Full Name],Name_list[Hourr Rate])</f>
        <v>0</v>
      </c>
      <c r="S1715" s="210">
        <f>表格3_5[[#This Row],[Hours Worked]]*表格3_5[[#This Row],[Hourly Rate]]</f>
        <v>0</v>
      </c>
    </row>
    <row r="1716" spans="1:19">
      <c r="A1716" s="201">
        <v>1714</v>
      </c>
      <c r="B1716" s="210" t="str">
        <f>_xlfn.CONCAT(表格3_5[[#This Row],[Name]],表格3_5[[#This Row],[Location]])</f>
        <v/>
      </c>
      <c r="C1716" s="211" t="str">
        <f>表格3_5[[#This Row],[Location]] &amp; 表格3_5[[#This Row],[Date]] &amp;表格3_5[[#This Row],[Nick Name]]</f>
        <v>0</v>
      </c>
      <c r="D1716" s="202"/>
      <c r="E1716" s="211" t="str">
        <f>DAY(表格3_5[[#This Row],[Date]])&amp;""</f>
        <v>0</v>
      </c>
      <c r="F1716" s="203"/>
      <c r="G1716" s="216">
        <f>_xlfn.XLOOKUP(表格3_5[[#This Row],[Name]],Name_list[Full Name],Name_list[Nick Name])</f>
        <v>0</v>
      </c>
      <c r="H1716" s="207"/>
      <c r="I1716" s="228"/>
      <c r="J1716" s="218"/>
      <c r="K1716" s="205"/>
      <c r="L1716" s="210">
        <f>(表格3_5[[#This Row],[Out-Time]] - 表格3_5[[#This Row],[In-Time]])*24</f>
        <v>0</v>
      </c>
      <c r="M1716" s="210">
        <f>表格3_5[[#This Row],[ Hours]]-表格3_5[[#This Row],[Normal working
 hours]]</f>
        <v>0</v>
      </c>
      <c r="N1716" s="205"/>
      <c r="O1716" s="205"/>
      <c r="P1716" s="210">
        <f>(表格3_5[[#This Row],[Out-Time2]] - 表格3_5[[#This Row],[In-Time2]])*24</f>
        <v>0</v>
      </c>
      <c r="Q1716" s="205"/>
      <c r="R1716" s="214">
        <f>_xlfn.XLOOKUP(表格3_5[[#This Row],[Name]],Name_list[Full Name],Name_list[Hourr Rate])</f>
        <v>0</v>
      </c>
      <c r="S1716" s="210">
        <f>表格3_5[[#This Row],[Hours Worked]]*表格3_5[[#This Row],[Hourly Rate]]</f>
        <v>0</v>
      </c>
    </row>
    <row r="1717" spans="1:19">
      <c r="A1717" s="201">
        <v>1715</v>
      </c>
      <c r="B1717" s="210" t="str">
        <f>_xlfn.CONCAT(表格3_5[[#This Row],[Name]],表格3_5[[#This Row],[Location]])</f>
        <v/>
      </c>
      <c r="C1717" s="211" t="str">
        <f>表格3_5[[#This Row],[Location]] &amp; 表格3_5[[#This Row],[Date]] &amp;表格3_5[[#This Row],[Nick Name]]</f>
        <v>0</v>
      </c>
      <c r="D1717" s="202"/>
      <c r="E1717" s="211" t="str">
        <f>DAY(表格3_5[[#This Row],[Date]])&amp;""</f>
        <v>0</v>
      </c>
      <c r="F1717" s="203"/>
      <c r="G1717" s="216">
        <f>_xlfn.XLOOKUP(表格3_5[[#This Row],[Name]],Name_list[Full Name],Name_list[Nick Name])</f>
        <v>0</v>
      </c>
      <c r="H1717" s="207"/>
      <c r="I1717" s="228"/>
      <c r="J1717" s="218"/>
      <c r="K1717" s="205"/>
      <c r="L1717" s="210">
        <f>(表格3_5[[#This Row],[Out-Time]] - 表格3_5[[#This Row],[In-Time]])*24</f>
        <v>0</v>
      </c>
      <c r="M1717" s="210">
        <f>表格3_5[[#This Row],[ Hours]]-表格3_5[[#This Row],[Normal working
 hours]]</f>
        <v>0</v>
      </c>
      <c r="N1717" s="205"/>
      <c r="O1717" s="205"/>
      <c r="P1717" s="210">
        <f>(表格3_5[[#This Row],[Out-Time2]] - 表格3_5[[#This Row],[In-Time2]])*24</f>
        <v>0</v>
      </c>
      <c r="Q1717" s="205"/>
      <c r="R1717" s="214">
        <f>_xlfn.XLOOKUP(表格3_5[[#This Row],[Name]],Name_list[Full Name],Name_list[Hourr Rate])</f>
        <v>0</v>
      </c>
      <c r="S1717" s="210">
        <f>表格3_5[[#This Row],[Hours Worked]]*表格3_5[[#This Row],[Hourly Rate]]</f>
        <v>0</v>
      </c>
    </row>
    <row r="1718" spans="1:19">
      <c r="A1718" s="201">
        <v>1716</v>
      </c>
      <c r="B1718" s="210" t="str">
        <f>_xlfn.CONCAT(表格3_5[[#This Row],[Name]],表格3_5[[#This Row],[Location]])</f>
        <v/>
      </c>
      <c r="C1718" s="211" t="str">
        <f>表格3_5[[#This Row],[Location]] &amp; 表格3_5[[#This Row],[Date]] &amp;表格3_5[[#This Row],[Nick Name]]</f>
        <v>0</v>
      </c>
      <c r="D1718" s="202"/>
      <c r="E1718" s="211" t="str">
        <f>DAY(表格3_5[[#This Row],[Date]])&amp;""</f>
        <v>0</v>
      </c>
      <c r="F1718" s="203"/>
      <c r="G1718" s="216">
        <f>_xlfn.XLOOKUP(表格3_5[[#This Row],[Name]],Name_list[Full Name],Name_list[Nick Name])</f>
        <v>0</v>
      </c>
      <c r="H1718" s="207"/>
      <c r="I1718" s="228"/>
      <c r="J1718" s="218"/>
      <c r="K1718" s="205"/>
      <c r="L1718" s="210">
        <f>(表格3_5[[#This Row],[Out-Time]] - 表格3_5[[#This Row],[In-Time]])*24</f>
        <v>0</v>
      </c>
      <c r="M1718" s="210">
        <f>表格3_5[[#This Row],[ Hours]]-表格3_5[[#This Row],[Normal working
 hours]]</f>
        <v>0</v>
      </c>
      <c r="N1718" s="205"/>
      <c r="O1718" s="205"/>
      <c r="P1718" s="210">
        <f>(表格3_5[[#This Row],[Out-Time2]] - 表格3_5[[#This Row],[In-Time2]])*24</f>
        <v>0</v>
      </c>
      <c r="Q1718" s="205"/>
      <c r="R1718" s="214">
        <f>_xlfn.XLOOKUP(表格3_5[[#This Row],[Name]],Name_list[Full Name],Name_list[Hourr Rate])</f>
        <v>0</v>
      </c>
      <c r="S1718" s="210">
        <f>表格3_5[[#This Row],[Hours Worked]]*表格3_5[[#This Row],[Hourly Rate]]</f>
        <v>0</v>
      </c>
    </row>
    <row r="1719" spans="1:19">
      <c r="A1719" s="201">
        <v>1717</v>
      </c>
      <c r="B1719" s="210" t="str">
        <f>_xlfn.CONCAT(表格3_5[[#This Row],[Name]],表格3_5[[#This Row],[Location]])</f>
        <v/>
      </c>
      <c r="C1719" s="211" t="str">
        <f>表格3_5[[#This Row],[Location]] &amp; 表格3_5[[#This Row],[Date]] &amp;表格3_5[[#This Row],[Nick Name]]</f>
        <v>0</v>
      </c>
      <c r="D1719" s="202"/>
      <c r="E1719" s="211" t="str">
        <f>DAY(表格3_5[[#This Row],[Date]])&amp;""</f>
        <v>0</v>
      </c>
      <c r="F1719" s="203"/>
      <c r="G1719" s="216">
        <f>_xlfn.XLOOKUP(表格3_5[[#This Row],[Name]],Name_list[Full Name],Name_list[Nick Name])</f>
        <v>0</v>
      </c>
      <c r="H1719" s="207"/>
      <c r="I1719" s="228"/>
      <c r="J1719" s="218"/>
      <c r="K1719" s="205"/>
      <c r="L1719" s="210">
        <f>(表格3_5[[#This Row],[Out-Time]] - 表格3_5[[#This Row],[In-Time]])*24</f>
        <v>0</v>
      </c>
      <c r="M1719" s="210">
        <f>表格3_5[[#This Row],[ Hours]]-表格3_5[[#This Row],[Normal working
 hours]]</f>
        <v>0</v>
      </c>
      <c r="N1719" s="205"/>
      <c r="O1719" s="205"/>
      <c r="P1719" s="210">
        <f>(表格3_5[[#This Row],[Out-Time2]] - 表格3_5[[#This Row],[In-Time2]])*24</f>
        <v>0</v>
      </c>
      <c r="Q1719" s="205"/>
      <c r="R1719" s="214">
        <f>_xlfn.XLOOKUP(表格3_5[[#This Row],[Name]],Name_list[Full Name],Name_list[Hourr Rate])</f>
        <v>0</v>
      </c>
      <c r="S1719" s="210">
        <f>表格3_5[[#This Row],[Hours Worked]]*表格3_5[[#This Row],[Hourly Rate]]</f>
        <v>0</v>
      </c>
    </row>
    <row r="1720" spans="1:19">
      <c r="A1720" s="201">
        <v>1718</v>
      </c>
      <c r="B1720" s="210" t="str">
        <f>_xlfn.CONCAT(表格3_5[[#This Row],[Name]],表格3_5[[#This Row],[Location]])</f>
        <v/>
      </c>
      <c r="C1720" s="211" t="str">
        <f>表格3_5[[#This Row],[Location]] &amp; 表格3_5[[#This Row],[Date]] &amp;表格3_5[[#This Row],[Nick Name]]</f>
        <v>0</v>
      </c>
      <c r="D1720" s="202"/>
      <c r="E1720" s="211" t="str">
        <f>DAY(表格3_5[[#This Row],[Date]])&amp;""</f>
        <v>0</v>
      </c>
      <c r="F1720" s="203"/>
      <c r="G1720" s="216">
        <f>_xlfn.XLOOKUP(表格3_5[[#This Row],[Name]],Name_list[Full Name],Name_list[Nick Name])</f>
        <v>0</v>
      </c>
      <c r="H1720" s="207"/>
      <c r="I1720" s="228"/>
      <c r="J1720" s="218"/>
      <c r="K1720" s="205"/>
      <c r="L1720" s="210">
        <f>(表格3_5[[#This Row],[Out-Time]] - 表格3_5[[#This Row],[In-Time]])*24</f>
        <v>0</v>
      </c>
      <c r="M1720" s="210">
        <f>表格3_5[[#This Row],[ Hours]]-表格3_5[[#This Row],[Normal working
 hours]]</f>
        <v>0</v>
      </c>
      <c r="N1720" s="205"/>
      <c r="O1720" s="205"/>
      <c r="P1720" s="210">
        <f>(表格3_5[[#This Row],[Out-Time2]] - 表格3_5[[#This Row],[In-Time2]])*24</f>
        <v>0</v>
      </c>
      <c r="Q1720" s="205"/>
      <c r="R1720" s="214">
        <f>_xlfn.XLOOKUP(表格3_5[[#This Row],[Name]],Name_list[Full Name],Name_list[Hourr Rate])</f>
        <v>0</v>
      </c>
      <c r="S1720" s="210">
        <f>表格3_5[[#This Row],[Hours Worked]]*表格3_5[[#This Row],[Hourly Rate]]</f>
        <v>0</v>
      </c>
    </row>
    <row r="1721" spans="1:19">
      <c r="A1721" s="201">
        <v>1719</v>
      </c>
      <c r="B1721" s="210" t="str">
        <f>_xlfn.CONCAT(表格3_5[[#This Row],[Name]],表格3_5[[#This Row],[Location]])</f>
        <v/>
      </c>
      <c r="C1721" s="211" t="str">
        <f>表格3_5[[#This Row],[Location]] &amp; 表格3_5[[#This Row],[Date]] &amp;表格3_5[[#This Row],[Nick Name]]</f>
        <v>0</v>
      </c>
      <c r="D1721" s="202"/>
      <c r="E1721" s="211" t="str">
        <f>DAY(表格3_5[[#This Row],[Date]])&amp;""</f>
        <v>0</v>
      </c>
      <c r="F1721" s="203"/>
      <c r="G1721" s="216">
        <f>_xlfn.XLOOKUP(表格3_5[[#This Row],[Name]],Name_list[Full Name],Name_list[Nick Name])</f>
        <v>0</v>
      </c>
      <c r="H1721" s="207"/>
      <c r="I1721" s="228"/>
      <c r="J1721" s="218"/>
      <c r="K1721" s="205"/>
      <c r="L1721" s="210">
        <f>(表格3_5[[#This Row],[Out-Time]] - 表格3_5[[#This Row],[In-Time]])*24</f>
        <v>0</v>
      </c>
      <c r="M1721" s="210">
        <f>表格3_5[[#This Row],[ Hours]]-表格3_5[[#This Row],[Normal working
 hours]]</f>
        <v>0</v>
      </c>
      <c r="N1721" s="205"/>
      <c r="O1721" s="205"/>
      <c r="P1721" s="210">
        <f>(表格3_5[[#This Row],[Out-Time2]] - 表格3_5[[#This Row],[In-Time2]])*24</f>
        <v>0</v>
      </c>
      <c r="Q1721" s="205"/>
      <c r="R1721" s="214">
        <f>_xlfn.XLOOKUP(表格3_5[[#This Row],[Name]],Name_list[Full Name],Name_list[Hourr Rate])</f>
        <v>0</v>
      </c>
      <c r="S1721" s="210">
        <f>表格3_5[[#This Row],[Hours Worked]]*表格3_5[[#This Row],[Hourly Rate]]</f>
        <v>0</v>
      </c>
    </row>
    <row r="1722" spans="1:19">
      <c r="A1722" s="201">
        <v>1720</v>
      </c>
      <c r="B1722" s="210" t="str">
        <f>_xlfn.CONCAT(表格3_5[[#This Row],[Name]],表格3_5[[#This Row],[Location]])</f>
        <v/>
      </c>
      <c r="C1722" s="211" t="str">
        <f>表格3_5[[#This Row],[Location]] &amp; 表格3_5[[#This Row],[Date]] &amp;表格3_5[[#This Row],[Nick Name]]</f>
        <v>0</v>
      </c>
      <c r="D1722" s="202"/>
      <c r="E1722" s="211" t="str">
        <f>DAY(表格3_5[[#This Row],[Date]])&amp;""</f>
        <v>0</v>
      </c>
      <c r="F1722" s="203"/>
      <c r="G1722" s="216">
        <f>_xlfn.XLOOKUP(表格3_5[[#This Row],[Name]],Name_list[Full Name],Name_list[Nick Name])</f>
        <v>0</v>
      </c>
      <c r="H1722" s="207"/>
      <c r="I1722" s="228"/>
      <c r="J1722" s="218"/>
      <c r="K1722" s="205"/>
      <c r="L1722" s="210">
        <f>(表格3_5[[#This Row],[Out-Time]] - 表格3_5[[#This Row],[In-Time]])*24</f>
        <v>0</v>
      </c>
      <c r="M1722" s="210">
        <f>表格3_5[[#This Row],[ Hours]]-表格3_5[[#This Row],[Normal working
 hours]]</f>
        <v>0</v>
      </c>
      <c r="N1722" s="205"/>
      <c r="O1722" s="205"/>
      <c r="P1722" s="210">
        <f>(表格3_5[[#This Row],[Out-Time2]] - 表格3_5[[#This Row],[In-Time2]])*24</f>
        <v>0</v>
      </c>
      <c r="Q1722" s="205"/>
      <c r="R1722" s="214">
        <f>_xlfn.XLOOKUP(表格3_5[[#This Row],[Name]],Name_list[Full Name],Name_list[Hourr Rate])</f>
        <v>0</v>
      </c>
      <c r="S1722" s="210">
        <f>表格3_5[[#This Row],[Hours Worked]]*表格3_5[[#This Row],[Hourly Rate]]</f>
        <v>0</v>
      </c>
    </row>
    <row r="1723" spans="1:19">
      <c r="A1723" s="201">
        <v>1721</v>
      </c>
      <c r="B1723" s="210" t="str">
        <f>_xlfn.CONCAT(表格3_5[[#This Row],[Name]],表格3_5[[#This Row],[Location]])</f>
        <v/>
      </c>
      <c r="C1723" s="211" t="str">
        <f>表格3_5[[#This Row],[Location]] &amp; 表格3_5[[#This Row],[Date]] &amp;表格3_5[[#This Row],[Nick Name]]</f>
        <v>0</v>
      </c>
      <c r="D1723" s="202"/>
      <c r="E1723" s="211" t="str">
        <f>DAY(表格3_5[[#This Row],[Date]])&amp;""</f>
        <v>0</v>
      </c>
      <c r="F1723" s="203"/>
      <c r="G1723" s="216">
        <f>_xlfn.XLOOKUP(表格3_5[[#This Row],[Name]],Name_list[Full Name],Name_list[Nick Name])</f>
        <v>0</v>
      </c>
      <c r="H1723" s="207"/>
      <c r="I1723" s="228"/>
      <c r="J1723" s="218"/>
      <c r="K1723" s="205"/>
      <c r="L1723" s="210">
        <f>(表格3_5[[#This Row],[Out-Time]] - 表格3_5[[#This Row],[In-Time]])*24</f>
        <v>0</v>
      </c>
      <c r="M1723" s="210">
        <f>表格3_5[[#This Row],[ Hours]]-表格3_5[[#This Row],[Normal working
 hours]]</f>
        <v>0</v>
      </c>
      <c r="N1723" s="205"/>
      <c r="O1723" s="205"/>
      <c r="P1723" s="210">
        <f>(表格3_5[[#This Row],[Out-Time2]] - 表格3_5[[#This Row],[In-Time2]])*24</f>
        <v>0</v>
      </c>
      <c r="Q1723" s="205"/>
      <c r="R1723" s="214">
        <f>_xlfn.XLOOKUP(表格3_5[[#This Row],[Name]],Name_list[Full Name],Name_list[Hourr Rate])</f>
        <v>0</v>
      </c>
      <c r="S1723" s="210">
        <f>表格3_5[[#This Row],[Hours Worked]]*表格3_5[[#This Row],[Hourly Rate]]</f>
        <v>0</v>
      </c>
    </row>
    <row r="1724" spans="1:19">
      <c r="A1724" s="201">
        <v>1722</v>
      </c>
      <c r="B1724" s="210" t="str">
        <f>_xlfn.CONCAT(表格3_5[[#This Row],[Name]],表格3_5[[#This Row],[Location]])</f>
        <v/>
      </c>
      <c r="C1724" s="211" t="str">
        <f>表格3_5[[#This Row],[Location]] &amp; 表格3_5[[#This Row],[Date]] &amp;表格3_5[[#This Row],[Nick Name]]</f>
        <v>0</v>
      </c>
      <c r="D1724" s="202"/>
      <c r="E1724" s="211" t="str">
        <f>DAY(表格3_5[[#This Row],[Date]])&amp;""</f>
        <v>0</v>
      </c>
      <c r="F1724" s="203"/>
      <c r="G1724" s="216">
        <f>_xlfn.XLOOKUP(表格3_5[[#This Row],[Name]],Name_list[Full Name],Name_list[Nick Name])</f>
        <v>0</v>
      </c>
      <c r="H1724" s="207"/>
      <c r="I1724" s="228"/>
      <c r="J1724" s="218"/>
      <c r="K1724" s="205"/>
      <c r="L1724" s="210">
        <f>(表格3_5[[#This Row],[Out-Time]] - 表格3_5[[#This Row],[In-Time]])*24</f>
        <v>0</v>
      </c>
      <c r="M1724" s="210">
        <f>表格3_5[[#This Row],[ Hours]]-表格3_5[[#This Row],[Normal working
 hours]]</f>
        <v>0</v>
      </c>
      <c r="N1724" s="205"/>
      <c r="O1724" s="205"/>
      <c r="P1724" s="210">
        <f>(表格3_5[[#This Row],[Out-Time2]] - 表格3_5[[#This Row],[In-Time2]])*24</f>
        <v>0</v>
      </c>
      <c r="Q1724" s="205"/>
      <c r="R1724" s="214">
        <f>_xlfn.XLOOKUP(表格3_5[[#This Row],[Name]],Name_list[Full Name],Name_list[Hourr Rate])</f>
        <v>0</v>
      </c>
      <c r="S1724" s="210">
        <f>表格3_5[[#This Row],[Hours Worked]]*表格3_5[[#This Row],[Hourly Rate]]</f>
        <v>0</v>
      </c>
    </row>
    <row r="1725" spans="1:19">
      <c r="A1725" s="201">
        <v>1723</v>
      </c>
      <c r="B1725" s="210" t="str">
        <f>_xlfn.CONCAT(表格3_5[[#This Row],[Name]],表格3_5[[#This Row],[Location]])</f>
        <v/>
      </c>
      <c r="C1725" s="211" t="str">
        <f>表格3_5[[#This Row],[Location]] &amp; 表格3_5[[#This Row],[Date]] &amp;表格3_5[[#This Row],[Nick Name]]</f>
        <v>0</v>
      </c>
      <c r="D1725" s="202"/>
      <c r="E1725" s="211" t="str">
        <f>DAY(表格3_5[[#This Row],[Date]])&amp;""</f>
        <v>0</v>
      </c>
      <c r="F1725" s="203"/>
      <c r="G1725" s="216">
        <f>_xlfn.XLOOKUP(表格3_5[[#This Row],[Name]],Name_list[Full Name],Name_list[Nick Name])</f>
        <v>0</v>
      </c>
      <c r="H1725" s="207"/>
      <c r="I1725" s="228"/>
      <c r="J1725" s="218"/>
      <c r="K1725" s="205"/>
      <c r="L1725" s="210">
        <f>(表格3_5[[#This Row],[Out-Time]] - 表格3_5[[#This Row],[In-Time]])*24</f>
        <v>0</v>
      </c>
      <c r="M1725" s="210">
        <f>表格3_5[[#This Row],[ Hours]]-表格3_5[[#This Row],[Normal working
 hours]]</f>
        <v>0</v>
      </c>
      <c r="N1725" s="205"/>
      <c r="O1725" s="205"/>
      <c r="P1725" s="210">
        <f>(表格3_5[[#This Row],[Out-Time2]] - 表格3_5[[#This Row],[In-Time2]])*24</f>
        <v>0</v>
      </c>
      <c r="Q1725" s="205"/>
      <c r="R1725" s="214">
        <f>_xlfn.XLOOKUP(表格3_5[[#This Row],[Name]],Name_list[Full Name],Name_list[Hourr Rate])</f>
        <v>0</v>
      </c>
      <c r="S1725" s="210">
        <f>表格3_5[[#This Row],[Hours Worked]]*表格3_5[[#This Row],[Hourly Rate]]</f>
        <v>0</v>
      </c>
    </row>
    <row r="1726" spans="1:19">
      <c r="A1726" s="201">
        <v>1724</v>
      </c>
      <c r="B1726" s="210" t="str">
        <f>_xlfn.CONCAT(表格3_5[[#This Row],[Name]],表格3_5[[#This Row],[Location]])</f>
        <v/>
      </c>
      <c r="C1726" s="211" t="str">
        <f>表格3_5[[#This Row],[Location]] &amp; 表格3_5[[#This Row],[Date]] &amp;表格3_5[[#This Row],[Nick Name]]</f>
        <v>0</v>
      </c>
      <c r="D1726" s="202"/>
      <c r="E1726" s="211" t="str">
        <f>DAY(表格3_5[[#This Row],[Date]])&amp;""</f>
        <v>0</v>
      </c>
      <c r="F1726" s="203"/>
      <c r="G1726" s="216">
        <f>_xlfn.XLOOKUP(表格3_5[[#This Row],[Name]],Name_list[Full Name],Name_list[Nick Name])</f>
        <v>0</v>
      </c>
      <c r="H1726" s="207"/>
      <c r="I1726" s="228"/>
      <c r="J1726" s="218"/>
      <c r="K1726" s="205"/>
      <c r="L1726" s="210">
        <f>(表格3_5[[#This Row],[Out-Time]] - 表格3_5[[#This Row],[In-Time]])*24</f>
        <v>0</v>
      </c>
      <c r="M1726" s="210">
        <f>表格3_5[[#This Row],[ Hours]]-表格3_5[[#This Row],[Normal working
 hours]]</f>
        <v>0</v>
      </c>
      <c r="N1726" s="205"/>
      <c r="O1726" s="205"/>
      <c r="P1726" s="210">
        <f>(表格3_5[[#This Row],[Out-Time2]] - 表格3_5[[#This Row],[In-Time2]])*24</f>
        <v>0</v>
      </c>
      <c r="Q1726" s="205"/>
      <c r="R1726" s="214">
        <f>_xlfn.XLOOKUP(表格3_5[[#This Row],[Name]],Name_list[Full Name],Name_list[Hourr Rate])</f>
        <v>0</v>
      </c>
      <c r="S1726" s="210">
        <f>表格3_5[[#This Row],[Hours Worked]]*表格3_5[[#This Row],[Hourly Rate]]</f>
        <v>0</v>
      </c>
    </row>
    <row r="1727" spans="1:19">
      <c r="A1727" s="201">
        <v>1725</v>
      </c>
      <c r="B1727" s="210" t="str">
        <f>_xlfn.CONCAT(表格3_5[[#This Row],[Name]],表格3_5[[#This Row],[Location]])</f>
        <v/>
      </c>
      <c r="C1727" s="211" t="str">
        <f>表格3_5[[#This Row],[Location]] &amp; 表格3_5[[#This Row],[Date]] &amp;表格3_5[[#This Row],[Nick Name]]</f>
        <v>0</v>
      </c>
      <c r="D1727" s="202"/>
      <c r="E1727" s="211" t="str">
        <f>DAY(表格3_5[[#This Row],[Date]])&amp;""</f>
        <v>0</v>
      </c>
      <c r="F1727" s="203"/>
      <c r="G1727" s="216">
        <f>_xlfn.XLOOKUP(表格3_5[[#This Row],[Name]],Name_list[Full Name],Name_list[Nick Name])</f>
        <v>0</v>
      </c>
      <c r="H1727" s="207"/>
      <c r="I1727" s="228"/>
      <c r="J1727" s="218"/>
      <c r="K1727" s="205"/>
      <c r="L1727" s="210">
        <f>(表格3_5[[#This Row],[Out-Time]] - 表格3_5[[#This Row],[In-Time]])*24</f>
        <v>0</v>
      </c>
      <c r="M1727" s="210">
        <f>表格3_5[[#This Row],[ Hours]]-表格3_5[[#This Row],[Normal working
 hours]]</f>
        <v>0</v>
      </c>
      <c r="N1727" s="205"/>
      <c r="O1727" s="205"/>
      <c r="P1727" s="210">
        <f>(表格3_5[[#This Row],[Out-Time2]] - 表格3_5[[#This Row],[In-Time2]])*24</f>
        <v>0</v>
      </c>
      <c r="Q1727" s="205"/>
      <c r="R1727" s="214">
        <f>_xlfn.XLOOKUP(表格3_5[[#This Row],[Name]],Name_list[Full Name],Name_list[Hourr Rate])</f>
        <v>0</v>
      </c>
      <c r="S1727" s="210">
        <f>表格3_5[[#This Row],[Hours Worked]]*表格3_5[[#This Row],[Hourly Rate]]</f>
        <v>0</v>
      </c>
    </row>
    <row r="1728" spans="1:19">
      <c r="A1728" s="201">
        <v>1726</v>
      </c>
      <c r="B1728" s="210" t="str">
        <f>_xlfn.CONCAT(表格3_5[[#This Row],[Name]],表格3_5[[#This Row],[Location]])</f>
        <v/>
      </c>
      <c r="C1728" s="211" t="str">
        <f>表格3_5[[#This Row],[Location]] &amp; 表格3_5[[#This Row],[Date]] &amp;表格3_5[[#This Row],[Nick Name]]</f>
        <v>0</v>
      </c>
      <c r="D1728" s="202"/>
      <c r="E1728" s="211" t="str">
        <f>DAY(表格3_5[[#This Row],[Date]])&amp;""</f>
        <v>0</v>
      </c>
      <c r="F1728" s="203"/>
      <c r="G1728" s="216">
        <f>_xlfn.XLOOKUP(表格3_5[[#This Row],[Name]],Name_list[Full Name],Name_list[Nick Name])</f>
        <v>0</v>
      </c>
      <c r="H1728" s="207"/>
      <c r="I1728" s="228"/>
      <c r="J1728" s="218"/>
      <c r="K1728" s="205"/>
      <c r="L1728" s="210">
        <f>(表格3_5[[#This Row],[Out-Time]] - 表格3_5[[#This Row],[In-Time]])*24</f>
        <v>0</v>
      </c>
      <c r="M1728" s="210">
        <f>表格3_5[[#This Row],[ Hours]]-表格3_5[[#This Row],[Normal working
 hours]]</f>
        <v>0</v>
      </c>
      <c r="N1728" s="205"/>
      <c r="O1728" s="205"/>
      <c r="P1728" s="210">
        <f>(表格3_5[[#This Row],[Out-Time2]] - 表格3_5[[#This Row],[In-Time2]])*24</f>
        <v>0</v>
      </c>
      <c r="Q1728" s="205"/>
      <c r="R1728" s="214">
        <f>_xlfn.XLOOKUP(表格3_5[[#This Row],[Name]],Name_list[Full Name],Name_list[Hourr Rate])</f>
        <v>0</v>
      </c>
      <c r="S1728" s="210">
        <f>表格3_5[[#This Row],[Hours Worked]]*表格3_5[[#This Row],[Hourly Rate]]</f>
        <v>0</v>
      </c>
    </row>
    <row r="1729" spans="1:19">
      <c r="A1729" s="201">
        <v>1727</v>
      </c>
      <c r="B1729" s="210" t="str">
        <f>_xlfn.CONCAT(表格3_5[[#This Row],[Name]],表格3_5[[#This Row],[Location]])</f>
        <v/>
      </c>
      <c r="C1729" s="211" t="str">
        <f>表格3_5[[#This Row],[Location]] &amp; 表格3_5[[#This Row],[Date]] &amp;表格3_5[[#This Row],[Nick Name]]</f>
        <v>0</v>
      </c>
      <c r="D1729" s="202"/>
      <c r="E1729" s="211" t="str">
        <f>DAY(表格3_5[[#This Row],[Date]])&amp;""</f>
        <v>0</v>
      </c>
      <c r="F1729" s="203"/>
      <c r="G1729" s="216">
        <f>_xlfn.XLOOKUP(表格3_5[[#This Row],[Name]],Name_list[Full Name],Name_list[Nick Name])</f>
        <v>0</v>
      </c>
      <c r="H1729" s="207"/>
      <c r="I1729" s="228"/>
      <c r="J1729" s="218"/>
      <c r="K1729" s="205"/>
      <c r="L1729" s="210">
        <f>(表格3_5[[#This Row],[Out-Time]] - 表格3_5[[#This Row],[In-Time]])*24</f>
        <v>0</v>
      </c>
      <c r="M1729" s="210">
        <f>表格3_5[[#This Row],[ Hours]]-表格3_5[[#This Row],[Normal working
 hours]]</f>
        <v>0</v>
      </c>
      <c r="N1729" s="205"/>
      <c r="O1729" s="205"/>
      <c r="P1729" s="210">
        <f>(表格3_5[[#This Row],[Out-Time2]] - 表格3_5[[#This Row],[In-Time2]])*24</f>
        <v>0</v>
      </c>
      <c r="Q1729" s="205"/>
      <c r="R1729" s="214">
        <f>_xlfn.XLOOKUP(表格3_5[[#This Row],[Name]],Name_list[Full Name],Name_list[Hourr Rate])</f>
        <v>0</v>
      </c>
      <c r="S1729" s="210">
        <f>表格3_5[[#This Row],[Hours Worked]]*表格3_5[[#This Row],[Hourly Rate]]</f>
        <v>0</v>
      </c>
    </row>
    <row r="1730" spans="1:19">
      <c r="A1730" s="201">
        <v>1728</v>
      </c>
      <c r="B1730" s="210" t="str">
        <f>_xlfn.CONCAT(表格3_5[[#This Row],[Name]],表格3_5[[#This Row],[Location]])</f>
        <v/>
      </c>
      <c r="C1730" s="211" t="str">
        <f>表格3_5[[#This Row],[Location]] &amp; 表格3_5[[#This Row],[Date]] &amp;表格3_5[[#This Row],[Nick Name]]</f>
        <v>0</v>
      </c>
      <c r="D1730" s="202"/>
      <c r="E1730" s="211" t="str">
        <f>DAY(表格3_5[[#This Row],[Date]])&amp;""</f>
        <v>0</v>
      </c>
      <c r="F1730" s="203"/>
      <c r="G1730" s="216">
        <f>_xlfn.XLOOKUP(表格3_5[[#This Row],[Name]],Name_list[Full Name],Name_list[Nick Name])</f>
        <v>0</v>
      </c>
      <c r="H1730" s="207"/>
      <c r="I1730" s="228"/>
      <c r="J1730" s="218"/>
      <c r="K1730" s="205"/>
      <c r="L1730" s="210">
        <f>(表格3_5[[#This Row],[Out-Time]] - 表格3_5[[#This Row],[In-Time]])*24</f>
        <v>0</v>
      </c>
      <c r="M1730" s="210">
        <f>表格3_5[[#This Row],[ Hours]]-表格3_5[[#This Row],[Normal working
 hours]]</f>
        <v>0</v>
      </c>
      <c r="N1730" s="205"/>
      <c r="O1730" s="205"/>
      <c r="P1730" s="210">
        <f>(表格3_5[[#This Row],[Out-Time2]] - 表格3_5[[#This Row],[In-Time2]])*24</f>
        <v>0</v>
      </c>
      <c r="Q1730" s="205"/>
      <c r="R1730" s="214">
        <f>_xlfn.XLOOKUP(表格3_5[[#This Row],[Name]],Name_list[Full Name],Name_list[Hourr Rate])</f>
        <v>0</v>
      </c>
      <c r="S1730" s="210">
        <f>表格3_5[[#This Row],[Hours Worked]]*表格3_5[[#This Row],[Hourly Rate]]</f>
        <v>0</v>
      </c>
    </row>
    <row r="1731" spans="1:19">
      <c r="A1731" s="201">
        <v>1729</v>
      </c>
      <c r="B1731" s="210" t="str">
        <f>_xlfn.CONCAT(表格3_5[[#This Row],[Name]],表格3_5[[#This Row],[Location]])</f>
        <v/>
      </c>
      <c r="C1731" s="211" t="str">
        <f>表格3_5[[#This Row],[Location]] &amp; 表格3_5[[#This Row],[Date]] &amp;表格3_5[[#This Row],[Nick Name]]</f>
        <v>0</v>
      </c>
      <c r="D1731" s="202"/>
      <c r="E1731" s="211" t="str">
        <f>DAY(表格3_5[[#This Row],[Date]])&amp;""</f>
        <v>0</v>
      </c>
      <c r="F1731" s="203"/>
      <c r="G1731" s="216">
        <f>_xlfn.XLOOKUP(表格3_5[[#This Row],[Name]],Name_list[Full Name],Name_list[Nick Name])</f>
        <v>0</v>
      </c>
      <c r="H1731" s="207"/>
      <c r="I1731" s="228"/>
      <c r="J1731" s="218"/>
      <c r="K1731" s="205"/>
      <c r="L1731" s="210">
        <f>(表格3_5[[#This Row],[Out-Time]] - 表格3_5[[#This Row],[In-Time]])*24</f>
        <v>0</v>
      </c>
      <c r="M1731" s="210">
        <f>表格3_5[[#This Row],[ Hours]]-表格3_5[[#This Row],[Normal working
 hours]]</f>
        <v>0</v>
      </c>
      <c r="N1731" s="205"/>
      <c r="O1731" s="205"/>
      <c r="P1731" s="210">
        <f>(表格3_5[[#This Row],[Out-Time2]] - 表格3_5[[#This Row],[In-Time2]])*24</f>
        <v>0</v>
      </c>
      <c r="Q1731" s="205"/>
      <c r="R1731" s="214">
        <f>_xlfn.XLOOKUP(表格3_5[[#This Row],[Name]],Name_list[Full Name],Name_list[Hourr Rate])</f>
        <v>0</v>
      </c>
      <c r="S1731" s="210">
        <f>表格3_5[[#This Row],[Hours Worked]]*表格3_5[[#This Row],[Hourly Rate]]</f>
        <v>0</v>
      </c>
    </row>
    <row r="1732" spans="1:19">
      <c r="A1732" s="201">
        <v>1730</v>
      </c>
      <c r="B1732" s="210" t="str">
        <f>_xlfn.CONCAT(表格3_5[[#This Row],[Name]],表格3_5[[#This Row],[Location]])</f>
        <v/>
      </c>
      <c r="C1732" s="211" t="str">
        <f>表格3_5[[#This Row],[Location]] &amp; 表格3_5[[#This Row],[Date]] &amp;表格3_5[[#This Row],[Nick Name]]</f>
        <v>0</v>
      </c>
      <c r="D1732" s="202"/>
      <c r="E1732" s="211" t="str">
        <f>DAY(表格3_5[[#This Row],[Date]])&amp;""</f>
        <v>0</v>
      </c>
      <c r="F1732" s="203"/>
      <c r="G1732" s="216">
        <f>_xlfn.XLOOKUP(表格3_5[[#This Row],[Name]],Name_list[Full Name],Name_list[Nick Name])</f>
        <v>0</v>
      </c>
      <c r="H1732" s="207"/>
      <c r="I1732" s="228"/>
      <c r="J1732" s="218"/>
      <c r="K1732" s="205"/>
      <c r="L1732" s="210">
        <f>(表格3_5[[#This Row],[Out-Time]] - 表格3_5[[#This Row],[In-Time]])*24</f>
        <v>0</v>
      </c>
      <c r="M1732" s="210">
        <f>表格3_5[[#This Row],[ Hours]]-表格3_5[[#This Row],[Normal working
 hours]]</f>
        <v>0</v>
      </c>
      <c r="N1732" s="205"/>
      <c r="O1732" s="205"/>
      <c r="P1732" s="210">
        <f>(表格3_5[[#This Row],[Out-Time2]] - 表格3_5[[#This Row],[In-Time2]])*24</f>
        <v>0</v>
      </c>
      <c r="Q1732" s="205"/>
      <c r="R1732" s="214">
        <f>_xlfn.XLOOKUP(表格3_5[[#This Row],[Name]],Name_list[Full Name],Name_list[Hourr Rate])</f>
        <v>0</v>
      </c>
      <c r="S1732" s="210">
        <f>表格3_5[[#This Row],[Hours Worked]]*表格3_5[[#This Row],[Hourly Rate]]</f>
        <v>0</v>
      </c>
    </row>
    <row r="1733" spans="1:19">
      <c r="A1733" s="201">
        <v>1731</v>
      </c>
      <c r="B1733" s="210" t="str">
        <f>_xlfn.CONCAT(表格3_5[[#This Row],[Name]],表格3_5[[#This Row],[Location]])</f>
        <v/>
      </c>
      <c r="C1733" s="211" t="str">
        <f>表格3_5[[#This Row],[Location]] &amp; 表格3_5[[#This Row],[Date]] &amp;表格3_5[[#This Row],[Nick Name]]</f>
        <v>0</v>
      </c>
      <c r="D1733" s="202"/>
      <c r="E1733" s="211" t="str">
        <f>DAY(表格3_5[[#This Row],[Date]])&amp;""</f>
        <v>0</v>
      </c>
      <c r="F1733" s="203"/>
      <c r="G1733" s="216">
        <f>_xlfn.XLOOKUP(表格3_5[[#This Row],[Name]],Name_list[Full Name],Name_list[Nick Name])</f>
        <v>0</v>
      </c>
      <c r="H1733" s="207"/>
      <c r="I1733" s="228"/>
      <c r="J1733" s="218"/>
      <c r="K1733" s="205"/>
      <c r="L1733" s="210">
        <f>(表格3_5[[#This Row],[Out-Time]] - 表格3_5[[#This Row],[In-Time]])*24</f>
        <v>0</v>
      </c>
      <c r="M1733" s="210">
        <f>表格3_5[[#This Row],[ Hours]]-表格3_5[[#This Row],[Normal working
 hours]]</f>
        <v>0</v>
      </c>
      <c r="N1733" s="205"/>
      <c r="O1733" s="205"/>
      <c r="P1733" s="210">
        <f>(表格3_5[[#This Row],[Out-Time2]] - 表格3_5[[#This Row],[In-Time2]])*24</f>
        <v>0</v>
      </c>
      <c r="Q1733" s="205"/>
      <c r="R1733" s="214">
        <f>_xlfn.XLOOKUP(表格3_5[[#This Row],[Name]],Name_list[Full Name],Name_list[Hourr Rate])</f>
        <v>0</v>
      </c>
      <c r="S1733" s="210">
        <f>表格3_5[[#This Row],[Hours Worked]]*表格3_5[[#This Row],[Hourly Rate]]</f>
        <v>0</v>
      </c>
    </row>
    <row r="1734" spans="1:19">
      <c r="A1734" s="201">
        <v>1732</v>
      </c>
      <c r="B1734" s="210" t="str">
        <f>_xlfn.CONCAT(表格3_5[[#This Row],[Name]],表格3_5[[#This Row],[Location]])</f>
        <v/>
      </c>
      <c r="C1734" s="211" t="str">
        <f>表格3_5[[#This Row],[Location]] &amp; 表格3_5[[#This Row],[Date]] &amp;表格3_5[[#This Row],[Nick Name]]</f>
        <v>0</v>
      </c>
      <c r="D1734" s="202"/>
      <c r="E1734" s="211" t="str">
        <f>DAY(表格3_5[[#This Row],[Date]])&amp;""</f>
        <v>0</v>
      </c>
      <c r="F1734" s="203"/>
      <c r="G1734" s="216">
        <f>_xlfn.XLOOKUP(表格3_5[[#This Row],[Name]],Name_list[Full Name],Name_list[Nick Name])</f>
        <v>0</v>
      </c>
      <c r="H1734" s="207"/>
      <c r="I1734" s="228"/>
      <c r="J1734" s="218"/>
      <c r="K1734" s="205"/>
      <c r="L1734" s="210">
        <f>(表格3_5[[#This Row],[Out-Time]] - 表格3_5[[#This Row],[In-Time]])*24</f>
        <v>0</v>
      </c>
      <c r="M1734" s="210">
        <f>表格3_5[[#This Row],[ Hours]]-表格3_5[[#This Row],[Normal working
 hours]]</f>
        <v>0</v>
      </c>
      <c r="N1734" s="205"/>
      <c r="O1734" s="205"/>
      <c r="P1734" s="210">
        <f>(表格3_5[[#This Row],[Out-Time2]] - 表格3_5[[#This Row],[In-Time2]])*24</f>
        <v>0</v>
      </c>
      <c r="Q1734" s="205"/>
      <c r="R1734" s="214">
        <f>_xlfn.XLOOKUP(表格3_5[[#This Row],[Name]],Name_list[Full Name],Name_list[Hourr Rate])</f>
        <v>0</v>
      </c>
      <c r="S1734" s="210">
        <f>表格3_5[[#This Row],[Hours Worked]]*表格3_5[[#This Row],[Hourly Rate]]</f>
        <v>0</v>
      </c>
    </row>
    <row r="1735" spans="1:19">
      <c r="A1735" s="201">
        <v>1733</v>
      </c>
      <c r="B1735" s="210" t="str">
        <f>_xlfn.CONCAT(表格3_5[[#This Row],[Name]],表格3_5[[#This Row],[Location]])</f>
        <v/>
      </c>
      <c r="C1735" s="211" t="str">
        <f>表格3_5[[#This Row],[Location]] &amp; 表格3_5[[#This Row],[Date]] &amp;表格3_5[[#This Row],[Nick Name]]</f>
        <v>0</v>
      </c>
      <c r="D1735" s="202"/>
      <c r="E1735" s="211" t="str">
        <f>DAY(表格3_5[[#This Row],[Date]])&amp;""</f>
        <v>0</v>
      </c>
      <c r="F1735" s="203"/>
      <c r="G1735" s="216">
        <f>_xlfn.XLOOKUP(表格3_5[[#This Row],[Name]],Name_list[Full Name],Name_list[Nick Name])</f>
        <v>0</v>
      </c>
      <c r="H1735" s="207"/>
      <c r="I1735" s="228"/>
      <c r="J1735" s="218"/>
      <c r="K1735" s="205"/>
      <c r="L1735" s="210">
        <f>(表格3_5[[#This Row],[Out-Time]] - 表格3_5[[#This Row],[In-Time]])*24</f>
        <v>0</v>
      </c>
      <c r="M1735" s="210">
        <f>表格3_5[[#This Row],[ Hours]]-表格3_5[[#This Row],[Normal working
 hours]]</f>
        <v>0</v>
      </c>
      <c r="N1735" s="205"/>
      <c r="O1735" s="205"/>
      <c r="P1735" s="210">
        <f>(表格3_5[[#This Row],[Out-Time2]] - 表格3_5[[#This Row],[In-Time2]])*24</f>
        <v>0</v>
      </c>
      <c r="Q1735" s="205"/>
      <c r="R1735" s="214">
        <f>_xlfn.XLOOKUP(表格3_5[[#This Row],[Name]],Name_list[Full Name],Name_list[Hourr Rate])</f>
        <v>0</v>
      </c>
      <c r="S1735" s="210">
        <f>表格3_5[[#This Row],[Hours Worked]]*表格3_5[[#This Row],[Hourly Rate]]</f>
        <v>0</v>
      </c>
    </row>
    <row r="1736" spans="1:19">
      <c r="A1736" s="201">
        <v>1734</v>
      </c>
      <c r="B1736" s="210" t="str">
        <f>_xlfn.CONCAT(表格3_5[[#This Row],[Name]],表格3_5[[#This Row],[Location]])</f>
        <v/>
      </c>
      <c r="C1736" s="211" t="str">
        <f>表格3_5[[#This Row],[Location]] &amp; 表格3_5[[#This Row],[Date]] &amp;表格3_5[[#This Row],[Nick Name]]</f>
        <v>0</v>
      </c>
      <c r="D1736" s="202"/>
      <c r="E1736" s="211" t="str">
        <f>DAY(表格3_5[[#This Row],[Date]])&amp;""</f>
        <v>0</v>
      </c>
      <c r="F1736" s="203"/>
      <c r="G1736" s="216">
        <f>_xlfn.XLOOKUP(表格3_5[[#This Row],[Name]],Name_list[Full Name],Name_list[Nick Name])</f>
        <v>0</v>
      </c>
      <c r="H1736" s="207"/>
      <c r="I1736" s="228"/>
      <c r="J1736" s="218"/>
      <c r="K1736" s="205"/>
      <c r="L1736" s="210">
        <f>(表格3_5[[#This Row],[Out-Time]] - 表格3_5[[#This Row],[In-Time]])*24</f>
        <v>0</v>
      </c>
      <c r="M1736" s="210">
        <f>表格3_5[[#This Row],[ Hours]]-表格3_5[[#This Row],[Normal working
 hours]]</f>
        <v>0</v>
      </c>
      <c r="N1736" s="205"/>
      <c r="O1736" s="205"/>
      <c r="P1736" s="210">
        <f>(表格3_5[[#This Row],[Out-Time2]] - 表格3_5[[#This Row],[In-Time2]])*24</f>
        <v>0</v>
      </c>
      <c r="Q1736" s="205"/>
      <c r="R1736" s="214">
        <f>_xlfn.XLOOKUP(表格3_5[[#This Row],[Name]],Name_list[Full Name],Name_list[Hourr Rate])</f>
        <v>0</v>
      </c>
      <c r="S1736" s="210">
        <f>表格3_5[[#This Row],[Hours Worked]]*表格3_5[[#This Row],[Hourly Rate]]</f>
        <v>0</v>
      </c>
    </row>
    <row r="1737" spans="1:19">
      <c r="A1737" s="201">
        <v>1735</v>
      </c>
      <c r="B1737" s="210" t="str">
        <f>_xlfn.CONCAT(表格3_5[[#This Row],[Name]],表格3_5[[#This Row],[Location]])</f>
        <v/>
      </c>
      <c r="C1737" s="211" t="str">
        <f>表格3_5[[#This Row],[Location]] &amp; 表格3_5[[#This Row],[Date]] &amp;表格3_5[[#This Row],[Nick Name]]</f>
        <v>0</v>
      </c>
      <c r="D1737" s="202"/>
      <c r="E1737" s="211" t="str">
        <f>DAY(表格3_5[[#This Row],[Date]])&amp;""</f>
        <v>0</v>
      </c>
      <c r="F1737" s="203"/>
      <c r="G1737" s="216">
        <f>_xlfn.XLOOKUP(表格3_5[[#This Row],[Name]],Name_list[Full Name],Name_list[Nick Name])</f>
        <v>0</v>
      </c>
      <c r="H1737" s="207"/>
      <c r="I1737" s="228"/>
      <c r="J1737" s="218"/>
      <c r="K1737" s="205"/>
      <c r="L1737" s="210">
        <f>(表格3_5[[#This Row],[Out-Time]] - 表格3_5[[#This Row],[In-Time]])*24</f>
        <v>0</v>
      </c>
      <c r="M1737" s="210">
        <f>表格3_5[[#This Row],[ Hours]]-表格3_5[[#This Row],[Normal working
 hours]]</f>
        <v>0</v>
      </c>
      <c r="N1737" s="205"/>
      <c r="O1737" s="205"/>
      <c r="P1737" s="210">
        <f>(表格3_5[[#This Row],[Out-Time2]] - 表格3_5[[#This Row],[In-Time2]])*24</f>
        <v>0</v>
      </c>
      <c r="Q1737" s="205"/>
      <c r="R1737" s="214">
        <f>_xlfn.XLOOKUP(表格3_5[[#This Row],[Name]],Name_list[Full Name],Name_list[Hourr Rate])</f>
        <v>0</v>
      </c>
      <c r="S1737" s="210">
        <f>表格3_5[[#This Row],[Hours Worked]]*表格3_5[[#This Row],[Hourly Rate]]</f>
        <v>0</v>
      </c>
    </row>
    <row r="1738" spans="1:19">
      <c r="A1738" s="201">
        <v>1736</v>
      </c>
      <c r="B1738" s="210" t="str">
        <f>_xlfn.CONCAT(表格3_5[[#This Row],[Name]],表格3_5[[#This Row],[Location]])</f>
        <v/>
      </c>
      <c r="C1738" s="211" t="str">
        <f>表格3_5[[#This Row],[Location]] &amp; 表格3_5[[#This Row],[Date]] &amp;表格3_5[[#This Row],[Nick Name]]</f>
        <v>0</v>
      </c>
      <c r="D1738" s="202"/>
      <c r="E1738" s="211" t="str">
        <f>DAY(表格3_5[[#This Row],[Date]])&amp;""</f>
        <v>0</v>
      </c>
      <c r="F1738" s="203"/>
      <c r="G1738" s="216">
        <f>_xlfn.XLOOKUP(表格3_5[[#This Row],[Name]],Name_list[Full Name],Name_list[Nick Name])</f>
        <v>0</v>
      </c>
      <c r="H1738" s="207"/>
      <c r="I1738" s="228"/>
      <c r="J1738" s="218"/>
      <c r="K1738" s="205"/>
      <c r="L1738" s="210">
        <f>(表格3_5[[#This Row],[Out-Time]] - 表格3_5[[#This Row],[In-Time]])*24</f>
        <v>0</v>
      </c>
      <c r="M1738" s="210">
        <f>表格3_5[[#This Row],[ Hours]]-表格3_5[[#This Row],[Normal working
 hours]]</f>
        <v>0</v>
      </c>
      <c r="N1738" s="205"/>
      <c r="O1738" s="205"/>
      <c r="P1738" s="210">
        <f>(表格3_5[[#This Row],[Out-Time2]] - 表格3_5[[#This Row],[In-Time2]])*24</f>
        <v>0</v>
      </c>
      <c r="Q1738" s="205"/>
      <c r="R1738" s="214">
        <f>_xlfn.XLOOKUP(表格3_5[[#This Row],[Name]],Name_list[Full Name],Name_list[Hourr Rate])</f>
        <v>0</v>
      </c>
      <c r="S1738" s="210">
        <f>表格3_5[[#This Row],[Hours Worked]]*表格3_5[[#This Row],[Hourly Rate]]</f>
        <v>0</v>
      </c>
    </row>
    <row r="1739" spans="1:19">
      <c r="A1739" s="201">
        <v>1737</v>
      </c>
      <c r="B1739" s="210" t="str">
        <f>_xlfn.CONCAT(表格3_5[[#This Row],[Name]],表格3_5[[#This Row],[Location]])</f>
        <v/>
      </c>
      <c r="C1739" s="211" t="str">
        <f>表格3_5[[#This Row],[Location]] &amp; 表格3_5[[#This Row],[Date]] &amp;表格3_5[[#This Row],[Nick Name]]</f>
        <v>0</v>
      </c>
      <c r="D1739" s="202"/>
      <c r="E1739" s="211" t="str">
        <f>DAY(表格3_5[[#This Row],[Date]])&amp;""</f>
        <v>0</v>
      </c>
      <c r="F1739" s="203"/>
      <c r="G1739" s="216">
        <f>_xlfn.XLOOKUP(表格3_5[[#This Row],[Name]],Name_list[Full Name],Name_list[Nick Name])</f>
        <v>0</v>
      </c>
      <c r="H1739" s="207"/>
      <c r="I1739" s="228"/>
      <c r="J1739" s="218"/>
      <c r="K1739" s="205"/>
      <c r="L1739" s="210">
        <f>(表格3_5[[#This Row],[Out-Time]] - 表格3_5[[#This Row],[In-Time]])*24</f>
        <v>0</v>
      </c>
      <c r="M1739" s="210">
        <f>表格3_5[[#This Row],[ Hours]]-表格3_5[[#This Row],[Normal working
 hours]]</f>
        <v>0</v>
      </c>
      <c r="N1739" s="205"/>
      <c r="O1739" s="205"/>
      <c r="P1739" s="210">
        <f>(表格3_5[[#This Row],[Out-Time2]] - 表格3_5[[#This Row],[In-Time2]])*24</f>
        <v>0</v>
      </c>
      <c r="Q1739" s="205"/>
      <c r="R1739" s="214">
        <f>_xlfn.XLOOKUP(表格3_5[[#This Row],[Name]],Name_list[Full Name],Name_list[Hourr Rate])</f>
        <v>0</v>
      </c>
      <c r="S1739" s="210">
        <f>表格3_5[[#This Row],[Hours Worked]]*表格3_5[[#This Row],[Hourly Rate]]</f>
        <v>0</v>
      </c>
    </row>
    <row r="1740" spans="1:19">
      <c r="A1740" s="201">
        <v>1738</v>
      </c>
      <c r="B1740" s="210" t="str">
        <f>_xlfn.CONCAT(表格3_5[[#This Row],[Name]],表格3_5[[#This Row],[Location]])</f>
        <v/>
      </c>
      <c r="C1740" s="211" t="str">
        <f>表格3_5[[#This Row],[Location]] &amp; 表格3_5[[#This Row],[Date]] &amp;表格3_5[[#This Row],[Nick Name]]</f>
        <v>0</v>
      </c>
      <c r="D1740" s="202"/>
      <c r="E1740" s="211" t="str">
        <f>DAY(表格3_5[[#This Row],[Date]])&amp;""</f>
        <v>0</v>
      </c>
      <c r="F1740" s="203"/>
      <c r="G1740" s="216">
        <f>_xlfn.XLOOKUP(表格3_5[[#This Row],[Name]],Name_list[Full Name],Name_list[Nick Name])</f>
        <v>0</v>
      </c>
      <c r="H1740" s="207"/>
      <c r="I1740" s="228"/>
      <c r="J1740" s="218"/>
      <c r="K1740" s="205"/>
      <c r="L1740" s="210">
        <f>(表格3_5[[#This Row],[Out-Time]] - 表格3_5[[#This Row],[In-Time]])*24</f>
        <v>0</v>
      </c>
      <c r="M1740" s="210">
        <f>表格3_5[[#This Row],[ Hours]]-表格3_5[[#This Row],[Normal working
 hours]]</f>
        <v>0</v>
      </c>
      <c r="N1740" s="205"/>
      <c r="O1740" s="205"/>
      <c r="P1740" s="210">
        <f>(表格3_5[[#This Row],[Out-Time2]] - 表格3_5[[#This Row],[In-Time2]])*24</f>
        <v>0</v>
      </c>
      <c r="Q1740" s="205"/>
      <c r="R1740" s="214">
        <f>_xlfn.XLOOKUP(表格3_5[[#This Row],[Name]],Name_list[Full Name],Name_list[Hourr Rate])</f>
        <v>0</v>
      </c>
      <c r="S1740" s="210">
        <f>表格3_5[[#This Row],[Hours Worked]]*表格3_5[[#This Row],[Hourly Rate]]</f>
        <v>0</v>
      </c>
    </row>
    <row r="1741" spans="1:19">
      <c r="A1741" s="201">
        <v>1739</v>
      </c>
      <c r="B1741" s="210" t="str">
        <f>_xlfn.CONCAT(表格3_5[[#This Row],[Name]],表格3_5[[#This Row],[Location]])</f>
        <v/>
      </c>
      <c r="C1741" s="211" t="str">
        <f>表格3_5[[#This Row],[Location]] &amp; 表格3_5[[#This Row],[Date]] &amp;表格3_5[[#This Row],[Nick Name]]</f>
        <v>0</v>
      </c>
      <c r="D1741" s="202"/>
      <c r="E1741" s="211" t="str">
        <f>DAY(表格3_5[[#This Row],[Date]])&amp;""</f>
        <v>0</v>
      </c>
      <c r="F1741" s="203"/>
      <c r="G1741" s="216">
        <f>_xlfn.XLOOKUP(表格3_5[[#This Row],[Name]],Name_list[Full Name],Name_list[Nick Name])</f>
        <v>0</v>
      </c>
      <c r="H1741" s="207"/>
      <c r="I1741" s="228"/>
      <c r="J1741" s="218"/>
      <c r="K1741" s="205"/>
      <c r="L1741" s="210">
        <f>(表格3_5[[#This Row],[Out-Time]] - 表格3_5[[#This Row],[In-Time]])*24</f>
        <v>0</v>
      </c>
      <c r="M1741" s="210">
        <f>表格3_5[[#This Row],[ Hours]]-表格3_5[[#This Row],[Normal working
 hours]]</f>
        <v>0</v>
      </c>
      <c r="N1741" s="205"/>
      <c r="O1741" s="205"/>
      <c r="P1741" s="210">
        <f>(表格3_5[[#This Row],[Out-Time2]] - 表格3_5[[#This Row],[In-Time2]])*24</f>
        <v>0</v>
      </c>
      <c r="Q1741" s="205"/>
      <c r="R1741" s="214">
        <f>_xlfn.XLOOKUP(表格3_5[[#This Row],[Name]],Name_list[Full Name],Name_list[Hourr Rate])</f>
        <v>0</v>
      </c>
      <c r="S1741" s="210">
        <f>表格3_5[[#This Row],[Hours Worked]]*表格3_5[[#This Row],[Hourly Rate]]</f>
        <v>0</v>
      </c>
    </row>
    <row r="1742" spans="1:19">
      <c r="A1742" s="201">
        <v>1740</v>
      </c>
      <c r="B1742" s="210" t="str">
        <f>_xlfn.CONCAT(表格3_5[[#This Row],[Name]],表格3_5[[#This Row],[Location]])</f>
        <v/>
      </c>
      <c r="C1742" s="211" t="str">
        <f>表格3_5[[#This Row],[Location]] &amp; 表格3_5[[#This Row],[Date]] &amp;表格3_5[[#This Row],[Nick Name]]</f>
        <v>0</v>
      </c>
      <c r="D1742" s="202"/>
      <c r="E1742" s="211" t="str">
        <f>DAY(表格3_5[[#This Row],[Date]])&amp;""</f>
        <v>0</v>
      </c>
      <c r="F1742" s="203"/>
      <c r="G1742" s="216">
        <f>_xlfn.XLOOKUP(表格3_5[[#This Row],[Name]],Name_list[Full Name],Name_list[Nick Name])</f>
        <v>0</v>
      </c>
      <c r="H1742" s="207"/>
      <c r="I1742" s="228"/>
      <c r="J1742" s="218"/>
      <c r="K1742" s="205"/>
      <c r="L1742" s="210">
        <f>(表格3_5[[#This Row],[Out-Time]] - 表格3_5[[#This Row],[In-Time]])*24</f>
        <v>0</v>
      </c>
      <c r="M1742" s="210">
        <f>表格3_5[[#This Row],[ Hours]]-表格3_5[[#This Row],[Normal working
 hours]]</f>
        <v>0</v>
      </c>
      <c r="N1742" s="205"/>
      <c r="O1742" s="205"/>
      <c r="P1742" s="210">
        <f>(表格3_5[[#This Row],[Out-Time2]] - 表格3_5[[#This Row],[In-Time2]])*24</f>
        <v>0</v>
      </c>
      <c r="Q1742" s="205"/>
      <c r="R1742" s="214">
        <f>_xlfn.XLOOKUP(表格3_5[[#This Row],[Name]],Name_list[Full Name],Name_list[Hourr Rate])</f>
        <v>0</v>
      </c>
      <c r="S1742" s="210">
        <f>表格3_5[[#This Row],[Hours Worked]]*表格3_5[[#This Row],[Hourly Rate]]</f>
        <v>0</v>
      </c>
    </row>
    <row r="1743" spans="1:19">
      <c r="A1743" s="201">
        <v>1741</v>
      </c>
      <c r="B1743" s="210" t="str">
        <f>_xlfn.CONCAT(表格3_5[[#This Row],[Name]],表格3_5[[#This Row],[Location]])</f>
        <v/>
      </c>
      <c r="C1743" s="211" t="str">
        <f>表格3_5[[#This Row],[Location]] &amp; 表格3_5[[#This Row],[Date]] &amp;表格3_5[[#This Row],[Nick Name]]</f>
        <v>0</v>
      </c>
      <c r="D1743" s="202"/>
      <c r="E1743" s="211" t="str">
        <f>DAY(表格3_5[[#This Row],[Date]])&amp;""</f>
        <v>0</v>
      </c>
      <c r="F1743" s="203"/>
      <c r="G1743" s="216">
        <f>_xlfn.XLOOKUP(表格3_5[[#This Row],[Name]],Name_list[Full Name],Name_list[Nick Name])</f>
        <v>0</v>
      </c>
      <c r="H1743" s="207"/>
      <c r="I1743" s="228"/>
      <c r="J1743" s="218"/>
      <c r="K1743" s="205"/>
      <c r="L1743" s="210">
        <f>(表格3_5[[#This Row],[Out-Time]] - 表格3_5[[#This Row],[In-Time]])*24</f>
        <v>0</v>
      </c>
      <c r="M1743" s="210">
        <f>表格3_5[[#This Row],[ Hours]]-表格3_5[[#This Row],[Normal working
 hours]]</f>
        <v>0</v>
      </c>
      <c r="N1743" s="205"/>
      <c r="O1743" s="205"/>
      <c r="P1743" s="210">
        <f>(表格3_5[[#This Row],[Out-Time2]] - 表格3_5[[#This Row],[In-Time2]])*24</f>
        <v>0</v>
      </c>
      <c r="Q1743" s="205"/>
      <c r="R1743" s="214">
        <f>_xlfn.XLOOKUP(表格3_5[[#This Row],[Name]],Name_list[Full Name],Name_list[Hourr Rate])</f>
        <v>0</v>
      </c>
      <c r="S1743" s="210">
        <f>表格3_5[[#This Row],[Hours Worked]]*表格3_5[[#This Row],[Hourly Rate]]</f>
        <v>0</v>
      </c>
    </row>
    <row r="1744" spans="1:19">
      <c r="A1744" s="201">
        <v>1742</v>
      </c>
      <c r="B1744" s="210" t="str">
        <f>_xlfn.CONCAT(表格3_5[[#This Row],[Name]],表格3_5[[#This Row],[Location]])</f>
        <v/>
      </c>
      <c r="C1744" s="211" t="str">
        <f>表格3_5[[#This Row],[Location]] &amp; 表格3_5[[#This Row],[Date]] &amp;表格3_5[[#This Row],[Nick Name]]</f>
        <v>0</v>
      </c>
      <c r="D1744" s="202"/>
      <c r="E1744" s="211" t="str">
        <f>DAY(表格3_5[[#This Row],[Date]])&amp;""</f>
        <v>0</v>
      </c>
      <c r="F1744" s="203"/>
      <c r="G1744" s="216">
        <f>_xlfn.XLOOKUP(表格3_5[[#This Row],[Name]],Name_list[Full Name],Name_list[Nick Name])</f>
        <v>0</v>
      </c>
      <c r="H1744" s="207"/>
      <c r="I1744" s="228"/>
      <c r="J1744" s="218"/>
      <c r="K1744" s="205"/>
      <c r="L1744" s="210">
        <f>(表格3_5[[#This Row],[Out-Time]] - 表格3_5[[#This Row],[In-Time]])*24</f>
        <v>0</v>
      </c>
      <c r="M1744" s="210">
        <f>表格3_5[[#This Row],[ Hours]]-表格3_5[[#This Row],[Normal working
 hours]]</f>
        <v>0</v>
      </c>
      <c r="N1744" s="205"/>
      <c r="O1744" s="205"/>
      <c r="P1744" s="210">
        <f>(表格3_5[[#This Row],[Out-Time2]] - 表格3_5[[#This Row],[In-Time2]])*24</f>
        <v>0</v>
      </c>
      <c r="Q1744" s="205"/>
      <c r="R1744" s="214">
        <f>_xlfn.XLOOKUP(表格3_5[[#This Row],[Name]],Name_list[Full Name],Name_list[Hourr Rate])</f>
        <v>0</v>
      </c>
      <c r="S1744" s="210">
        <f>表格3_5[[#This Row],[Hours Worked]]*表格3_5[[#This Row],[Hourly Rate]]</f>
        <v>0</v>
      </c>
    </row>
    <row r="1745" spans="1:19">
      <c r="A1745" s="201">
        <v>1743</v>
      </c>
      <c r="B1745" s="210" t="str">
        <f>_xlfn.CONCAT(表格3_5[[#This Row],[Name]],表格3_5[[#This Row],[Location]])</f>
        <v/>
      </c>
      <c r="C1745" s="211" t="str">
        <f>表格3_5[[#This Row],[Location]] &amp; 表格3_5[[#This Row],[Date]] &amp;表格3_5[[#This Row],[Nick Name]]</f>
        <v>0</v>
      </c>
      <c r="D1745" s="202"/>
      <c r="E1745" s="211" t="str">
        <f>DAY(表格3_5[[#This Row],[Date]])&amp;""</f>
        <v>0</v>
      </c>
      <c r="F1745" s="203"/>
      <c r="G1745" s="216">
        <f>_xlfn.XLOOKUP(表格3_5[[#This Row],[Name]],Name_list[Full Name],Name_list[Nick Name])</f>
        <v>0</v>
      </c>
      <c r="H1745" s="207"/>
      <c r="I1745" s="228"/>
      <c r="J1745" s="218"/>
      <c r="K1745" s="205"/>
      <c r="L1745" s="210">
        <f>(表格3_5[[#This Row],[Out-Time]] - 表格3_5[[#This Row],[In-Time]])*24</f>
        <v>0</v>
      </c>
      <c r="M1745" s="210">
        <f>表格3_5[[#This Row],[ Hours]]-表格3_5[[#This Row],[Normal working
 hours]]</f>
        <v>0</v>
      </c>
      <c r="N1745" s="205"/>
      <c r="O1745" s="205"/>
      <c r="P1745" s="210">
        <f>(表格3_5[[#This Row],[Out-Time2]] - 表格3_5[[#This Row],[In-Time2]])*24</f>
        <v>0</v>
      </c>
      <c r="Q1745" s="205"/>
      <c r="R1745" s="214">
        <f>_xlfn.XLOOKUP(表格3_5[[#This Row],[Name]],Name_list[Full Name],Name_list[Hourr Rate])</f>
        <v>0</v>
      </c>
      <c r="S1745" s="210">
        <f>表格3_5[[#This Row],[Hours Worked]]*表格3_5[[#This Row],[Hourly Rate]]</f>
        <v>0</v>
      </c>
    </row>
    <row r="1746" spans="1:19">
      <c r="A1746" s="201">
        <v>1744</v>
      </c>
      <c r="B1746" s="210" t="str">
        <f>_xlfn.CONCAT(表格3_5[[#This Row],[Name]],表格3_5[[#This Row],[Location]])</f>
        <v/>
      </c>
      <c r="C1746" s="211" t="str">
        <f>表格3_5[[#This Row],[Location]] &amp; 表格3_5[[#This Row],[Date]] &amp;表格3_5[[#This Row],[Nick Name]]</f>
        <v>0</v>
      </c>
      <c r="D1746" s="202"/>
      <c r="E1746" s="211" t="str">
        <f>DAY(表格3_5[[#This Row],[Date]])&amp;""</f>
        <v>0</v>
      </c>
      <c r="F1746" s="203"/>
      <c r="G1746" s="216">
        <f>_xlfn.XLOOKUP(表格3_5[[#This Row],[Name]],Name_list[Full Name],Name_list[Nick Name])</f>
        <v>0</v>
      </c>
      <c r="H1746" s="207"/>
      <c r="I1746" s="228"/>
      <c r="J1746" s="218"/>
      <c r="K1746" s="205"/>
      <c r="L1746" s="210">
        <f>(表格3_5[[#This Row],[Out-Time]] - 表格3_5[[#This Row],[In-Time]])*24</f>
        <v>0</v>
      </c>
      <c r="M1746" s="210">
        <f>表格3_5[[#This Row],[ Hours]]-表格3_5[[#This Row],[Normal working
 hours]]</f>
        <v>0</v>
      </c>
      <c r="N1746" s="205"/>
      <c r="O1746" s="205"/>
      <c r="P1746" s="210">
        <f>(表格3_5[[#This Row],[Out-Time2]] - 表格3_5[[#This Row],[In-Time2]])*24</f>
        <v>0</v>
      </c>
      <c r="Q1746" s="205"/>
      <c r="R1746" s="214">
        <f>_xlfn.XLOOKUP(表格3_5[[#This Row],[Name]],Name_list[Full Name],Name_list[Hourr Rate])</f>
        <v>0</v>
      </c>
      <c r="S1746" s="210">
        <f>表格3_5[[#This Row],[Hours Worked]]*表格3_5[[#This Row],[Hourly Rate]]</f>
        <v>0</v>
      </c>
    </row>
    <row r="1747" spans="1:19">
      <c r="A1747" s="201">
        <v>1745</v>
      </c>
      <c r="B1747" s="210" t="str">
        <f>_xlfn.CONCAT(表格3_5[[#This Row],[Name]],表格3_5[[#This Row],[Location]])</f>
        <v/>
      </c>
      <c r="C1747" s="211" t="str">
        <f>表格3_5[[#This Row],[Location]] &amp; 表格3_5[[#This Row],[Date]] &amp;表格3_5[[#This Row],[Nick Name]]</f>
        <v>0</v>
      </c>
      <c r="D1747" s="202"/>
      <c r="E1747" s="211" t="str">
        <f>DAY(表格3_5[[#This Row],[Date]])&amp;""</f>
        <v>0</v>
      </c>
      <c r="F1747" s="203"/>
      <c r="G1747" s="216">
        <f>_xlfn.XLOOKUP(表格3_5[[#This Row],[Name]],Name_list[Full Name],Name_list[Nick Name])</f>
        <v>0</v>
      </c>
      <c r="H1747" s="207"/>
      <c r="I1747" s="228"/>
      <c r="J1747" s="218"/>
      <c r="K1747" s="205"/>
      <c r="L1747" s="210">
        <f>(表格3_5[[#This Row],[Out-Time]] - 表格3_5[[#This Row],[In-Time]])*24</f>
        <v>0</v>
      </c>
      <c r="M1747" s="210">
        <f>表格3_5[[#This Row],[ Hours]]-表格3_5[[#This Row],[Normal working
 hours]]</f>
        <v>0</v>
      </c>
      <c r="N1747" s="205"/>
      <c r="O1747" s="205"/>
      <c r="P1747" s="210">
        <f>(表格3_5[[#This Row],[Out-Time2]] - 表格3_5[[#This Row],[In-Time2]])*24</f>
        <v>0</v>
      </c>
      <c r="Q1747" s="205"/>
      <c r="R1747" s="214">
        <f>_xlfn.XLOOKUP(表格3_5[[#This Row],[Name]],Name_list[Full Name],Name_list[Hourr Rate])</f>
        <v>0</v>
      </c>
      <c r="S1747" s="210">
        <f>表格3_5[[#This Row],[Hours Worked]]*表格3_5[[#This Row],[Hourly Rate]]</f>
        <v>0</v>
      </c>
    </row>
    <row r="1748" spans="1:19">
      <c r="A1748" s="201">
        <v>1746</v>
      </c>
      <c r="B1748" s="210" t="str">
        <f>_xlfn.CONCAT(表格3_5[[#This Row],[Name]],表格3_5[[#This Row],[Location]])</f>
        <v/>
      </c>
      <c r="C1748" s="211" t="str">
        <f>表格3_5[[#This Row],[Location]] &amp; 表格3_5[[#This Row],[Date]] &amp;表格3_5[[#This Row],[Nick Name]]</f>
        <v>0</v>
      </c>
      <c r="D1748" s="202"/>
      <c r="E1748" s="211" t="str">
        <f>DAY(表格3_5[[#This Row],[Date]])&amp;""</f>
        <v>0</v>
      </c>
      <c r="F1748" s="203"/>
      <c r="G1748" s="216">
        <f>_xlfn.XLOOKUP(表格3_5[[#This Row],[Name]],Name_list[Full Name],Name_list[Nick Name])</f>
        <v>0</v>
      </c>
      <c r="H1748" s="207"/>
      <c r="I1748" s="228"/>
      <c r="J1748" s="218"/>
      <c r="K1748" s="205"/>
      <c r="L1748" s="210">
        <f>(表格3_5[[#This Row],[Out-Time]] - 表格3_5[[#This Row],[In-Time]])*24</f>
        <v>0</v>
      </c>
      <c r="M1748" s="210">
        <f>表格3_5[[#This Row],[ Hours]]-表格3_5[[#This Row],[Normal working
 hours]]</f>
        <v>0</v>
      </c>
      <c r="N1748" s="205"/>
      <c r="O1748" s="205"/>
      <c r="P1748" s="210">
        <f>(表格3_5[[#This Row],[Out-Time2]] - 表格3_5[[#This Row],[In-Time2]])*24</f>
        <v>0</v>
      </c>
      <c r="Q1748" s="205"/>
      <c r="R1748" s="214">
        <f>_xlfn.XLOOKUP(表格3_5[[#This Row],[Name]],Name_list[Full Name],Name_list[Hourr Rate])</f>
        <v>0</v>
      </c>
      <c r="S1748" s="210">
        <f>表格3_5[[#This Row],[Hours Worked]]*表格3_5[[#This Row],[Hourly Rate]]</f>
        <v>0</v>
      </c>
    </row>
    <row r="1749" spans="1:19">
      <c r="A1749" s="201">
        <v>1747</v>
      </c>
      <c r="B1749" s="210" t="str">
        <f>_xlfn.CONCAT(表格3_5[[#This Row],[Name]],表格3_5[[#This Row],[Location]])</f>
        <v/>
      </c>
      <c r="C1749" s="211" t="str">
        <f>表格3_5[[#This Row],[Location]] &amp; 表格3_5[[#This Row],[Date]] &amp;表格3_5[[#This Row],[Nick Name]]</f>
        <v>0</v>
      </c>
      <c r="D1749" s="202"/>
      <c r="E1749" s="211" t="str">
        <f>DAY(表格3_5[[#This Row],[Date]])&amp;""</f>
        <v>0</v>
      </c>
      <c r="F1749" s="203"/>
      <c r="G1749" s="216">
        <f>_xlfn.XLOOKUP(表格3_5[[#This Row],[Name]],Name_list[Full Name],Name_list[Nick Name])</f>
        <v>0</v>
      </c>
      <c r="H1749" s="207"/>
      <c r="I1749" s="228"/>
      <c r="J1749" s="218"/>
      <c r="K1749" s="205"/>
      <c r="L1749" s="210">
        <f>(表格3_5[[#This Row],[Out-Time]] - 表格3_5[[#This Row],[In-Time]])*24</f>
        <v>0</v>
      </c>
      <c r="M1749" s="210">
        <f>表格3_5[[#This Row],[ Hours]]-表格3_5[[#This Row],[Normal working
 hours]]</f>
        <v>0</v>
      </c>
      <c r="N1749" s="205"/>
      <c r="O1749" s="205"/>
      <c r="P1749" s="210">
        <f>(表格3_5[[#This Row],[Out-Time2]] - 表格3_5[[#This Row],[In-Time2]])*24</f>
        <v>0</v>
      </c>
      <c r="Q1749" s="205"/>
      <c r="R1749" s="214">
        <f>_xlfn.XLOOKUP(表格3_5[[#This Row],[Name]],Name_list[Full Name],Name_list[Hourr Rate])</f>
        <v>0</v>
      </c>
      <c r="S1749" s="210">
        <f>表格3_5[[#This Row],[Hours Worked]]*表格3_5[[#This Row],[Hourly Rate]]</f>
        <v>0</v>
      </c>
    </row>
    <row r="1750" spans="1:19">
      <c r="A1750" s="201">
        <v>1748</v>
      </c>
      <c r="B1750" s="210" t="str">
        <f>_xlfn.CONCAT(表格3_5[[#This Row],[Name]],表格3_5[[#This Row],[Location]])</f>
        <v/>
      </c>
      <c r="C1750" s="211" t="str">
        <f>表格3_5[[#This Row],[Location]] &amp; 表格3_5[[#This Row],[Date]] &amp;表格3_5[[#This Row],[Nick Name]]</f>
        <v>0</v>
      </c>
      <c r="D1750" s="202"/>
      <c r="E1750" s="211" t="str">
        <f>DAY(表格3_5[[#This Row],[Date]])&amp;""</f>
        <v>0</v>
      </c>
      <c r="F1750" s="203"/>
      <c r="G1750" s="216">
        <f>_xlfn.XLOOKUP(表格3_5[[#This Row],[Name]],Name_list[Full Name],Name_list[Nick Name])</f>
        <v>0</v>
      </c>
      <c r="H1750" s="207"/>
      <c r="I1750" s="228"/>
      <c r="J1750" s="218"/>
      <c r="K1750" s="205"/>
      <c r="L1750" s="210">
        <f>(表格3_5[[#This Row],[Out-Time]] - 表格3_5[[#This Row],[In-Time]])*24</f>
        <v>0</v>
      </c>
      <c r="M1750" s="210">
        <f>表格3_5[[#This Row],[ Hours]]-表格3_5[[#This Row],[Normal working
 hours]]</f>
        <v>0</v>
      </c>
      <c r="N1750" s="205"/>
      <c r="O1750" s="205"/>
      <c r="P1750" s="210">
        <f>(表格3_5[[#This Row],[Out-Time2]] - 表格3_5[[#This Row],[In-Time2]])*24</f>
        <v>0</v>
      </c>
      <c r="Q1750" s="205"/>
      <c r="R1750" s="214">
        <f>_xlfn.XLOOKUP(表格3_5[[#This Row],[Name]],Name_list[Full Name],Name_list[Hourr Rate])</f>
        <v>0</v>
      </c>
      <c r="S1750" s="210">
        <f>表格3_5[[#This Row],[Hours Worked]]*表格3_5[[#This Row],[Hourly Rate]]</f>
        <v>0</v>
      </c>
    </row>
    <row r="1751" spans="1:19">
      <c r="A1751" s="201">
        <v>1749</v>
      </c>
      <c r="B1751" s="210" t="str">
        <f>_xlfn.CONCAT(表格3_5[[#This Row],[Name]],表格3_5[[#This Row],[Location]])</f>
        <v/>
      </c>
      <c r="C1751" s="211" t="str">
        <f>表格3_5[[#This Row],[Location]] &amp; 表格3_5[[#This Row],[Date]] &amp;表格3_5[[#This Row],[Nick Name]]</f>
        <v>0</v>
      </c>
      <c r="D1751" s="202"/>
      <c r="E1751" s="211" t="str">
        <f>DAY(表格3_5[[#This Row],[Date]])&amp;""</f>
        <v>0</v>
      </c>
      <c r="F1751" s="203"/>
      <c r="G1751" s="216">
        <f>_xlfn.XLOOKUP(表格3_5[[#This Row],[Name]],Name_list[Full Name],Name_list[Nick Name])</f>
        <v>0</v>
      </c>
      <c r="H1751" s="207"/>
      <c r="I1751" s="228"/>
      <c r="J1751" s="218"/>
      <c r="K1751" s="205"/>
      <c r="L1751" s="210">
        <f>(表格3_5[[#This Row],[Out-Time]] - 表格3_5[[#This Row],[In-Time]])*24</f>
        <v>0</v>
      </c>
      <c r="M1751" s="210">
        <f>表格3_5[[#This Row],[ Hours]]-表格3_5[[#This Row],[Normal working
 hours]]</f>
        <v>0</v>
      </c>
      <c r="N1751" s="205"/>
      <c r="O1751" s="205"/>
      <c r="P1751" s="210">
        <f>(表格3_5[[#This Row],[Out-Time2]] - 表格3_5[[#This Row],[In-Time2]])*24</f>
        <v>0</v>
      </c>
      <c r="Q1751" s="205"/>
      <c r="R1751" s="214">
        <f>_xlfn.XLOOKUP(表格3_5[[#This Row],[Name]],Name_list[Full Name],Name_list[Hourr Rate])</f>
        <v>0</v>
      </c>
      <c r="S1751" s="210">
        <f>表格3_5[[#This Row],[Hours Worked]]*表格3_5[[#This Row],[Hourly Rate]]</f>
        <v>0</v>
      </c>
    </row>
    <row r="1752" spans="1:19">
      <c r="A1752" s="201">
        <v>1750</v>
      </c>
      <c r="B1752" s="210" t="str">
        <f>_xlfn.CONCAT(表格3_5[[#This Row],[Name]],表格3_5[[#This Row],[Location]])</f>
        <v/>
      </c>
      <c r="C1752" s="211" t="str">
        <f>表格3_5[[#This Row],[Location]] &amp; 表格3_5[[#This Row],[Date]] &amp;表格3_5[[#This Row],[Nick Name]]</f>
        <v>0</v>
      </c>
      <c r="D1752" s="202"/>
      <c r="E1752" s="211" t="str">
        <f>DAY(表格3_5[[#This Row],[Date]])&amp;""</f>
        <v>0</v>
      </c>
      <c r="F1752" s="203"/>
      <c r="G1752" s="216">
        <f>_xlfn.XLOOKUP(表格3_5[[#This Row],[Name]],Name_list[Full Name],Name_list[Nick Name])</f>
        <v>0</v>
      </c>
      <c r="H1752" s="207"/>
      <c r="I1752" s="228"/>
      <c r="J1752" s="218"/>
      <c r="K1752" s="205"/>
      <c r="L1752" s="210">
        <f>(表格3_5[[#This Row],[Out-Time]] - 表格3_5[[#This Row],[In-Time]])*24</f>
        <v>0</v>
      </c>
      <c r="M1752" s="210">
        <f>表格3_5[[#This Row],[ Hours]]-表格3_5[[#This Row],[Normal working
 hours]]</f>
        <v>0</v>
      </c>
      <c r="N1752" s="205"/>
      <c r="O1752" s="205"/>
      <c r="P1752" s="210">
        <f>(表格3_5[[#This Row],[Out-Time2]] - 表格3_5[[#This Row],[In-Time2]])*24</f>
        <v>0</v>
      </c>
      <c r="Q1752" s="205"/>
      <c r="R1752" s="214">
        <f>_xlfn.XLOOKUP(表格3_5[[#This Row],[Name]],Name_list[Full Name],Name_list[Hourr Rate])</f>
        <v>0</v>
      </c>
      <c r="S1752" s="210">
        <f>表格3_5[[#This Row],[Hours Worked]]*表格3_5[[#This Row],[Hourly Rate]]</f>
        <v>0</v>
      </c>
    </row>
    <row r="1753" spans="1:19">
      <c r="A1753" s="201">
        <v>1751</v>
      </c>
      <c r="B1753" s="210" t="str">
        <f>_xlfn.CONCAT(表格3_5[[#This Row],[Name]],表格3_5[[#This Row],[Location]])</f>
        <v/>
      </c>
      <c r="C1753" s="211" t="str">
        <f>表格3_5[[#This Row],[Location]] &amp; 表格3_5[[#This Row],[Date]] &amp;表格3_5[[#This Row],[Nick Name]]</f>
        <v>0</v>
      </c>
      <c r="D1753" s="202"/>
      <c r="E1753" s="211" t="str">
        <f>DAY(表格3_5[[#This Row],[Date]])&amp;""</f>
        <v>0</v>
      </c>
      <c r="F1753" s="203"/>
      <c r="G1753" s="216">
        <f>_xlfn.XLOOKUP(表格3_5[[#This Row],[Name]],Name_list[Full Name],Name_list[Nick Name])</f>
        <v>0</v>
      </c>
      <c r="H1753" s="207"/>
      <c r="I1753" s="228"/>
      <c r="J1753" s="218"/>
      <c r="K1753" s="205"/>
      <c r="L1753" s="210">
        <f>(表格3_5[[#This Row],[Out-Time]] - 表格3_5[[#This Row],[In-Time]])*24</f>
        <v>0</v>
      </c>
      <c r="M1753" s="210">
        <f>表格3_5[[#This Row],[ Hours]]-表格3_5[[#This Row],[Normal working
 hours]]</f>
        <v>0</v>
      </c>
      <c r="N1753" s="205"/>
      <c r="O1753" s="205"/>
      <c r="P1753" s="210">
        <f>(表格3_5[[#This Row],[Out-Time2]] - 表格3_5[[#This Row],[In-Time2]])*24</f>
        <v>0</v>
      </c>
      <c r="Q1753" s="205"/>
      <c r="R1753" s="214">
        <f>_xlfn.XLOOKUP(表格3_5[[#This Row],[Name]],Name_list[Full Name],Name_list[Hourr Rate])</f>
        <v>0</v>
      </c>
      <c r="S1753" s="210">
        <f>表格3_5[[#This Row],[Hours Worked]]*表格3_5[[#This Row],[Hourly Rate]]</f>
        <v>0</v>
      </c>
    </row>
    <row r="1754" spans="1:19">
      <c r="A1754" s="201">
        <v>1752</v>
      </c>
      <c r="B1754" s="210" t="str">
        <f>_xlfn.CONCAT(表格3_5[[#This Row],[Name]],表格3_5[[#This Row],[Location]])</f>
        <v/>
      </c>
      <c r="C1754" s="211" t="str">
        <f>表格3_5[[#This Row],[Location]] &amp; 表格3_5[[#This Row],[Date]] &amp;表格3_5[[#This Row],[Nick Name]]</f>
        <v>0</v>
      </c>
      <c r="D1754" s="202"/>
      <c r="E1754" s="211" t="str">
        <f>DAY(表格3_5[[#This Row],[Date]])&amp;""</f>
        <v>0</v>
      </c>
      <c r="F1754" s="203"/>
      <c r="G1754" s="216">
        <f>_xlfn.XLOOKUP(表格3_5[[#This Row],[Name]],Name_list[Full Name],Name_list[Nick Name])</f>
        <v>0</v>
      </c>
      <c r="H1754" s="207"/>
      <c r="I1754" s="228"/>
      <c r="J1754" s="218"/>
      <c r="K1754" s="205"/>
      <c r="L1754" s="210">
        <f>(表格3_5[[#This Row],[Out-Time]] - 表格3_5[[#This Row],[In-Time]])*24</f>
        <v>0</v>
      </c>
      <c r="M1754" s="210">
        <f>表格3_5[[#This Row],[ Hours]]-表格3_5[[#This Row],[Normal working
 hours]]</f>
        <v>0</v>
      </c>
      <c r="N1754" s="205"/>
      <c r="O1754" s="205"/>
      <c r="P1754" s="210">
        <f>(表格3_5[[#This Row],[Out-Time2]] - 表格3_5[[#This Row],[In-Time2]])*24</f>
        <v>0</v>
      </c>
      <c r="Q1754" s="205"/>
      <c r="R1754" s="214">
        <f>_xlfn.XLOOKUP(表格3_5[[#This Row],[Name]],Name_list[Full Name],Name_list[Hourr Rate])</f>
        <v>0</v>
      </c>
      <c r="S1754" s="210">
        <f>表格3_5[[#This Row],[Hours Worked]]*表格3_5[[#This Row],[Hourly Rate]]</f>
        <v>0</v>
      </c>
    </row>
    <row r="1755" spans="1:19">
      <c r="A1755" s="201">
        <v>1753</v>
      </c>
      <c r="B1755" s="210" t="str">
        <f>_xlfn.CONCAT(表格3_5[[#This Row],[Name]],表格3_5[[#This Row],[Location]])</f>
        <v/>
      </c>
      <c r="C1755" s="211" t="str">
        <f>表格3_5[[#This Row],[Location]] &amp; 表格3_5[[#This Row],[Date]] &amp;表格3_5[[#This Row],[Nick Name]]</f>
        <v>0</v>
      </c>
      <c r="D1755" s="202"/>
      <c r="E1755" s="211" t="str">
        <f>DAY(表格3_5[[#This Row],[Date]])&amp;""</f>
        <v>0</v>
      </c>
      <c r="F1755" s="203"/>
      <c r="G1755" s="216">
        <f>_xlfn.XLOOKUP(表格3_5[[#This Row],[Name]],Name_list[Full Name],Name_list[Nick Name])</f>
        <v>0</v>
      </c>
      <c r="H1755" s="207"/>
      <c r="I1755" s="228"/>
      <c r="J1755" s="218"/>
      <c r="K1755" s="205"/>
      <c r="L1755" s="210">
        <f>(表格3_5[[#This Row],[Out-Time]] - 表格3_5[[#This Row],[In-Time]])*24</f>
        <v>0</v>
      </c>
      <c r="M1755" s="210">
        <f>表格3_5[[#This Row],[ Hours]]-表格3_5[[#This Row],[Normal working
 hours]]</f>
        <v>0</v>
      </c>
      <c r="N1755" s="205"/>
      <c r="O1755" s="205"/>
      <c r="P1755" s="210">
        <f>(表格3_5[[#This Row],[Out-Time2]] - 表格3_5[[#This Row],[In-Time2]])*24</f>
        <v>0</v>
      </c>
      <c r="Q1755" s="205"/>
      <c r="R1755" s="214">
        <f>_xlfn.XLOOKUP(表格3_5[[#This Row],[Name]],Name_list[Full Name],Name_list[Hourr Rate])</f>
        <v>0</v>
      </c>
      <c r="S1755" s="210">
        <f>表格3_5[[#This Row],[Hours Worked]]*表格3_5[[#This Row],[Hourly Rate]]</f>
        <v>0</v>
      </c>
    </row>
    <row r="1756" spans="1:19">
      <c r="A1756" s="201">
        <v>1754</v>
      </c>
      <c r="B1756" s="210" t="str">
        <f>_xlfn.CONCAT(表格3_5[[#This Row],[Name]],表格3_5[[#This Row],[Location]])</f>
        <v/>
      </c>
      <c r="C1756" s="211" t="str">
        <f>表格3_5[[#This Row],[Location]] &amp; 表格3_5[[#This Row],[Date]] &amp;表格3_5[[#This Row],[Nick Name]]</f>
        <v>0</v>
      </c>
      <c r="D1756" s="202"/>
      <c r="E1756" s="211" t="str">
        <f>DAY(表格3_5[[#This Row],[Date]])&amp;""</f>
        <v>0</v>
      </c>
      <c r="F1756" s="203"/>
      <c r="G1756" s="216">
        <f>_xlfn.XLOOKUP(表格3_5[[#This Row],[Name]],Name_list[Full Name],Name_list[Nick Name])</f>
        <v>0</v>
      </c>
      <c r="H1756" s="207"/>
      <c r="I1756" s="228"/>
      <c r="J1756" s="218"/>
      <c r="K1756" s="205"/>
      <c r="L1756" s="210">
        <f>(表格3_5[[#This Row],[Out-Time]] - 表格3_5[[#This Row],[In-Time]])*24</f>
        <v>0</v>
      </c>
      <c r="M1756" s="210">
        <f>表格3_5[[#This Row],[ Hours]]-表格3_5[[#This Row],[Normal working
 hours]]</f>
        <v>0</v>
      </c>
      <c r="N1756" s="205"/>
      <c r="O1756" s="205"/>
      <c r="P1756" s="210">
        <f>(表格3_5[[#This Row],[Out-Time2]] - 表格3_5[[#This Row],[In-Time2]])*24</f>
        <v>0</v>
      </c>
      <c r="Q1756" s="205"/>
      <c r="R1756" s="214">
        <f>_xlfn.XLOOKUP(表格3_5[[#This Row],[Name]],Name_list[Full Name],Name_list[Hourr Rate])</f>
        <v>0</v>
      </c>
      <c r="S1756" s="210">
        <f>表格3_5[[#This Row],[Hours Worked]]*表格3_5[[#This Row],[Hourly Rate]]</f>
        <v>0</v>
      </c>
    </row>
    <row r="1757" spans="1:19">
      <c r="A1757" s="201">
        <v>1755</v>
      </c>
      <c r="B1757" s="210" t="str">
        <f>_xlfn.CONCAT(表格3_5[[#This Row],[Name]],表格3_5[[#This Row],[Location]])</f>
        <v/>
      </c>
      <c r="C1757" s="211" t="str">
        <f>表格3_5[[#This Row],[Location]] &amp; 表格3_5[[#This Row],[Date]] &amp;表格3_5[[#This Row],[Nick Name]]</f>
        <v>0</v>
      </c>
      <c r="D1757" s="202"/>
      <c r="E1757" s="211" t="str">
        <f>DAY(表格3_5[[#This Row],[Date]])&amp;""</f>
        <v>0</v>
      </c>
      <c r="F1757" s="203"/>
      <c r="G1757" s="216">
        <f>_xlfn.XLOOKUP(表格3_5[[#This Row],[Name]],Name_list[Full Name],Name_list[Nick Name])</f>
        <v>0</v>
      </c>
      <c r="H1757" s="207"/>
      <c r="I1757" s="228"/>
      <c r="J1757" s="218"/>
      <c r="K1757" s="205"/>
      <c r="L1757" s="210">
        <f>(表格3_5[[#This Row],[Out-Time]] - 表格3_5[[#This Row],[In-Time]])*24</f>
        <v>0</v>
      </c>
      <c r="M1757" s="210">
        <f>表格3_5[[#This Row],[ Hours]]-表格3_5[[#This Row],[Normal working
 hours]]</f>
        <v>0</v>
      </c>
      <c r="N1757" s="205"/>
      <c r="O1757" s="205"/>
      <c r="P1757" s="210">
        <f>(表格3_5[[#This Row],[Out-Time2]] - 表格3_5[[#This Row],[In-Time2]])*24</f>
        <v>0</v>
      </c>
      <c r="Q1757" s="205"/>
      <c r="R1757" s="214">
        <f>_xlfn.XLOOKUP(表格3_5[[#This Row],[Name]],Name_list[Full Name],Name_list[Hourr Rate])</f>
        <v>0</v>
      </c>
      <c r="S1757" s="210">
        <f>表格3_5[[#This Row],[Hours Worked]]*表格3_5[[#This Row],[Hourly Rate]]</f>
        <v>0</v>
      </c>
    </row>
    <row r="1758" spans="1:19">
      <c r="A1758" s="201">
        <v>1756</v>
      </c>
      <c r="B1758" s="210" t="str">
        <f>_xlfn.CONCAT(表格3_5[[#This Row],[Name]],表格3_5[[#This Row],[Location]])</f>
        <v/>
      </c>
      <c r="C1758" s="211" t="str">
        <f>表格3_5[[#This Row],[Location]] &amp; 表格3_5[[#This Row],[Date]] &amp;表格3_5[[#This Row],[Nick Name]]</f>
        <v>0</v>
      </c>
      <c r="D1758" s="202"/>
      <c r="E1758" s="211" t="str">
        <f>DAY(表格3_5[[#This Row],[Date]])&amp;""</f>
        <v>0</v>
      </c>
      <c r="F1758" s="203"/>
      <c r="G1758" s="216">
        <f>_xlfn.XLOOKUP(表格3_5[[#This Row],[Name]],Name_list[Full Name],Name_list[Nick Name])</f>
        <v>0</v>
      </c>
      <c r="H1758" s="207"/>
      <c r="I1758" s="228"/>
      <c r="J1758" s="218"/>
      <c r="K1758" s="205"/>
      <c r="L1758" s="210">
        <f>(表格3_5[[#This Row],[Out-Time]] - 表格3_5[[#This Row],[In-Time]])*24</f>
        <v>0</v>
      </c>
      <c r="M1758" s="210">
        <f>表格3_5[[#This Row],[ Hours]]-表格3_5[[#This Row],[Normal working
 hours]]</f>
        <v>0</v>
      </c>
      <c r="N1758" s="205"/>
      <c r="O1758" s="205"/>
      <c r="P1758" s="210">
        <f>(表格3_5[[#This Row],[Out-Time2]] - 表格3_5[[#This Row],[In-Time2]])*24</f>
        <v>0</v>
      </c>
      <c r="Q1758" s="205"/>
      <c r="R1758" s="214">
        <f>_xlfn.XLOOKUP(表格3_5[[#This Row],[Name]],Name_list[Full Name],Name_list[Hourr Rate])</f>
        <v>0</v>
      </c>
      <c r="S1758" s="210">
        <f>表格3_5[[#This Row],[Hours Worked]]*表格3_5[[#This Row],[Hourly Rate]]</f>
        <v>0</v>
      </c>
    </row>
    <row r="1759" spans="1:19">
      <c r="A1759" s="201">
        <v>1757</v>
      </c>
      <c r="B1759" s="210" t="str">
        <f>_xlfn.CONCAT(表格3_5[[#This Row],[Name]],表格3_5[[#This Row],[Location]])</f>
        <v/>
      </c>
      <c r="C1759" s="211" t="str">
        <f>表格3_5[[#This Row],[Location]] &amp; 表格3_5[[#This Row],[Date]] &amp;表格3_5[[#This Row],[Nick Name]]</f>
        <v>0</v>
      </c>
      <c r="D1759" s="202"/>
      <c r="E1759" s="211" t="str">
        <f>DAY(表格3_5[[#This Row],[Date]])&amp;""</f>
        <v>0</v>
      </c>
      <c r="F1759" s="203"/>
      <c r="G1759" s="216">
        <f>_xlfn.XLOOKUP(表格3_5[[#This Row],[Name]],Name_list[Full Name],Name_list[Nick Name])</f>
        <v>0</v>
      </c>
      <c r="H1759" s="207"/>
      <c r="I1759" s="228"/>
      <c r="J1759" s="218"/>
      <c r="K1759" s="205"/>
      <c r="L1759" s="210">
        <f>(表格3_5[[#This Row],[Out-Time]] - 表格3_5[[#This Row],[In-Time]])*24</f>
        <v>0</v>
      </c>
      <c r="M1759" s="210">
        <f>表格3_5[[#This Row],[ Hours]]-表格3_5[[#This Row],[Normal working
 hours]]</f>
        <v>0</v>
      </c>
      <c r="N1759" s="205"/>
      <c r="O1759" s="205"/>
      <c r="P1759" s="210">
        <f>(表格3_5[[#This Row],[Out-Time2]] - 表格3_5[[#This Row],[In-Time2]])*24</f>
        <v>0</v>
      </c>
      <c r="Q1759" s="205"/>
      <c r="R1759" s="214">
        <f>_xlfn.XLOOKUP(表格3_5[[#This Row],[Name]],Name_list[Full Name],Name_list[Hourr Rate])</f>
        <v>0</v>
      </c>
      <c r="S1759" s="210">
        <f>表格3_5[[#This Row],[Hours Worked]]*表格3_5[[#This Row],[Hourly Rate]]</f>
        <v>0</v>
      </c>
    </row>
    <row r="1760" spans="1:19">
      <c r="A1760" s="201">
        <v>1758</v>
      </c>
      <c r="B1760" s="210" t="str">
        <f>_xlfn.CONCAT(表格3_5[[#This Row],[Name]],表格3_5[[#This Row],[Location]])</f>
        <v/>
      </c>
      <c r="C1760" s="211" t="str">
        <f>表格3_5[[#This Row],[Location]] &amp; 表格3_5[[#This Row],[Date]] &amp;表格3_5[[#This Row],[Nick Name]]</f>
        <v>0</v>
      </c>
      <c r="D1760" s="202"/>
      <c r="E1760" s="211" t="str">
        <f>DAY(表格3_5[[#This Row],[Date]])&amp;""</f>
        <v>0</v>
      </c>
      <c r="F1760" s="203"/>
      <c r="G1760" s="216">
        <f>_xlfn.XLOOKUP(表格3_5[[#This Row],[Name]],Name_list[Full Name],Name_list[Nick Name])</f>
        <v>0</v>
      </c>
      <c r="H1760" s="207"/>
      <c r="I1760" s="228"/>
      <c r="J1760" s="218"/>
      <c r="K1760" s="205"/>
      <c r="L1760" s="210">
        <f>(表格3_5[[#This Row],[Out-Time]] - 表格3_5[[#This Row],[In-Time]])*24</f>
        <v>0</v>
      </c>
      <c r="M1760" s="210">
        <f>表格3_5[[#This Row],[ Hours]]-表格3_5[[#This Row],[Normal working
 hours]]</f>
        <v>0</v>
      </c>
      <c r="N1760" s="205"/>
      <c r="O1760" s="205"/>
      <c r="P1760" s="210">
        <f>(表格3_5[[#This Row],[Out-Time2]] - 表格3_5[[#This Row],[In-Time2]])*24</f>
        <v>0</v>
      </c>
      <c r="Q1760" s="205"/>
      <c r="R1760" s="214">
        <f>_xlfn.XLOOKUP(表格3_5[[#This Row],[Name]],Name_list[Full Name],Name_list[Hourr Rate])</f>
        <v>0</v>
      </c>
      <c r="S1760" s="210">
        <f>表格3_5[[#This Row],[Hours Worked]]*表格3_5[[#This Row],[Hourly Rate]]</f>
        <v>0</v>
      </c>
    </row>
    <row r="1761" spans="1:19">
      <c r="A1761" s="201">
        <v>1759</v>
      </c>
      <c r="B1761" s="210" t="str">
        <f>_xlfn.CONCAT(表格3_5[[#This Row],[Name]],表格3_5[[#This Row],[Location]])</f>
        <v/>
      </c>
      <c r="C1761" s="211" t="str">
        <f>表格3_5[[#This Row],[Location]] &amp; 表格3_5[[#This Row],[Date]] &amp;表格3_5[[#This Row],[Nick Name]]</f>
        <v>0</v>
      </c>
      <c r="D1761" s="202"/>
      <c r="E1761" s="211" t="str">
        <f>DAY(表格3_5[[#This Row],[Date]])&amp;""</f>
        <v>0</v>
      </c>
      <c r="F1761" s="203"/>
      <c r="G1761" s="216">
        <f>_xlfn.XLOOKUP(表格3_5[[#This Row],[Name]],Name_list[Full Name],Name_list[Nick Name])</f>
        <v>0</v>
      </c>
      <c r="H1761" s="207"/>
      <c r="I1761" s="228"/>
      <c r="J1761" s="218"/>
      <c r="K1761" s="205"/>
      <c r="L1761" s="210">
        <f>(表格3_5[[#This Row],[Out-Time]] - 表格3_5[[#This Row],[In-Time]])*24</f>
        <v>0</v>
      </c>
      <c r="M1761" s="210">
        <f>表格3_5[[#This Row],[ Hours]]-表格3_5[[#This Row],[Normal working
 hours]]</f>
        <v>0</v>
      </c>
      <c r="N1761" s="205"/>
      <c r="O1761" s="205"/>
      <c r="P1761" s="210">
        <f>(表格3_5[[#This Row],[Out-Time2]] - 表格3_5[[#This Row],[In-Time2]])*24</f>
        <v>0</v>
      </c>
      <c r="Q1761" s="205"/>
      <c r="R1761" s="214">
        <f>_xlfn.XLOOKUP(表格3_5[[#This Row],[Name]],Name_list[Full Name],Name_list[Hourr Rate])</f>
        <v>0</v>
      </c>
      <c r="S1761" s="210">
        <f>表格3_5[[#This Row],[Hours Worked]]*表格3_5[[#This Row],[Hourly Rate]]</f>
        <v>0</v>
      </c>
    </row>
    <row r="1762" spans="1:19">
      <c r="A1762" s="201">
        <v>1760</v>
      </c>
      <c r="B1762" s="210" t="str">
        <f>_xlfn.CONCAT(表格3_5[[#This Row],[Name]],表格3_5[[#This Row],[Location]])</f>
        <v/>
      </c>
      <c r="C1762" s="211" t="str">
        <f>表格3_5[[#This Row],[Location]] &amp; 表格3_5[[#This Row],[Date]] &amp;表格3_5[[#This Row],[Nick Name]]</f>
        <v>0</v>
      </c>
      <c r="D1762" s="202"/>
      <c r="E1762" s="211" t="str">
        <f>DAY(表格3_5[[#This Row],[Date]])&amp;""</f>
        <v>0</v>
      </c>
      <c r="F1762" s="203"/>
      <c r="G1762" s="216">
        <f>_xlfn.XLOOKUP(表格3_5[[#This Row],[Name]],Name_list[Full Name],Name_list[Nick Name])</f>
        <v>0</v>
      </c>
      <c r="H1762" s="207"/>
      <c r="I1762" s="228"/>
      <c r="J1762" s="218"/>
      <c r="K1762" s="205"/>
      <c r="L1762" s="210">
        <f>(表格3_5[[#This Row],[Out-Time]] - 表格3_5[[#This Row],[In-Time]])*24</f>
        <v>0</v>
      </c>
      <c r="M1762" s="210">
        <f>表格3_5[[#This Row],[ Hours]]-表格3_5[[#This Row],[Normal working
 hours]]</f>
        <v>0</v>
      </c>
      <c r="N1762" s="205"/>
      <c r="O1762" s="205"/>
      <c r="P1762" s="210">
        <f>(表格3_5[[#This Row],[Out-Time2]] - 表格3_5[[#This Row],[In-Time2]])*24</f>
        <v>0</v>
      </c>
      <c r="Q1762" s="205"/>
      <c r="R1762" s="214">
        <f>_xlfn.XLOOKUP(表格3_5[[#This Row],[Name]],Name_list[Full Name],Name_list[Hourr Rate])</f>
        <v>0</v>
      </c>
      <c r="S1762" s="210">
        <f>表格3_5[[#This Row],[Hours Worked]]*表格3_5[[#This Row],[Hourly Rate]]</f>
        <v>0</v>
      </c>
    </row>
    <row r="1763" spans="1:19">
      <c r="A1763" s="201">
        <v>1761</v>
      </c>
      <c r="B1763" s="210" t="str">
        <f>_xlfn.CONCAT(表格3_5[[#This Row],[Name]],表格3_5[[#This Row],[Location]])</f>
        <v/>
      </c>
      <c r="C1763" s="211" t="str">
        <f>表格3_5[[#This Row],[Location]] &amp; 表格3_5[[#This Row],[Date]] &amp;表格3_5[[#This Row],[Nick Name]]</f>
        <v>0</v>
      </c>
      <c r="D1763" s="202"/>
      <c r="E1763" s="211" t="str">
        <f>DAY(表格3_5[[#This Row],[Date]])&amp;""</f>
        <v>0</v>
      </c>
      <c r="F1763" s="203"/>
      <c r="G1763" s="216">
        <f>_xlfn.XLOOKUP(表格3_5[[#This Row],[Name]],Name_list[Full Name],Name_list[Nick Name])</f>
        <v>0</v>
      </c>
      <c r="H1763" s="207"/>
      <c r="I1763" s="228"/>
      <c r="J1763" s="218"/>
      <c r="K1763" s="205"/>
      <c r="L1763" s="210">
        <f>(表格3_5[[#This Row],[Out-Time]] - 表格3_5[[#This Row],[In-Time]])*24</f>
        <v>0</v>
      </c>
      <c r="M1763" s="210">
        <f>表格3_5[[#This Row],[ Hours]]-表格3_5[[#This Row],[Normal working
 hours]]</f>
        <v>0</v>
      </c>
      <c r="N1763" s="205"/>
      <c r="O1763" s="205"/>
      <c r="P1763" s="210">
        <f>(表格3_5[[#This Row],[Out-Time2]] - 表格3_5[[#This Row],[In-Time2]])*24</f>
        <v>0</v>
      </c>
      <c r="Q1763" s="205"/>
      <c r="R1763" s="214">
        <f>_xlfn.XLOOKUP(表格3_5[[#This Row],[Name]],Name_list[Full Name],Name_list[Hourr Rate])</f>
        <v>0</v>
      </c>
      <c r="S1763" s="210">
        <f>表格3_5[[#This Row],[Hours Worked]]*表格3_5[[#This Row],[Hourly Rate]]</f>
        <v>0</v>
      </c>
    </row>
    <row r="1764" spans="1:19">
      <c r="A1764" s="201">
        <v>1762</v>
      </c>
      <c r="B1764" s="210" t="str">
        <f>_xlfn.CONCAT(表格3_5[[#This Row],[Name]],表格3_5[[#This Row],[Location]])</f>
        <v/>
      </c>
      <c r="C1764" s="211" t="str">
        <f>表格3_5[[#This Row],[Location]] &amp; 表格3_5[[#This Row],[Date]] &amp;表格3_5[[#This Row],[Nick Name]]</f>
        <v>0</v>
      </c>
      <c r="D1764" s="202"/>
      <c r="E1764" s="211" t="str">
        <f>DAY(表格3_5[[#This Row],[Date]])&amp;""</f>
        <v>0</v>
      </c>
      <c r="F1764" s="203"/>
      <c r="G1764" s="216">
        <f>_xlfn.XLOOKUP(表格3_5[[#This Row],[Name]],Name_list[Full Name],Name_list[Nick Name])</f>
        <v>0</v>
      </c>
      <c r="H1764" s="207"/>
      <c r="I1764" s="228"/>
      <c r="J1764" s="218"/>
      <c r="K1764" s="205"/>
      <c r="L1764" s="210">
        <f>(表格3_5[[#This Row],[Out-Time]] - 表格3_5[[#This Row],[In-Time]])*24</f>
        <v>0</v>
      </c>
      <c r="M1764" s="210">
        <f>表格3_5[[#This Row],[ Hours]]-表格3_5[[#This Row],[Normal working
 hours]]</f>
        <v>0</v>
      </c>
      <c r="N1764" s="205"/>
      <c r="O1764" s="205"/>
      <c r="P1764" s="210">
        <f>(表格3_5[[#This Row],[Out-Time2]] - 表格3_5[[#This Row],[In-Time2]])*24</f>
        <v>0</v>
      </c>
      <c r="Q1764" s="205"/>
      <c r="R1764" s="214">
        <f>_xlfn.XLOOKUP(表格3_5[[#This Row],[Name]],Name_list[Full Name],Name_list[Hourr Rate])</f>
        <v>0</v>
      </c>
      <c r="S1764" s="210">
        <f>表格3_5[[#This Row],[Hours Worked]]*表格3_5[[#This Row],[Hourly Rate]]</f>
        <v>0</v>
      </c>
    </row>
    <row r="1765" spans="1:19">
      <c r="A1765" s="201">
        <v>1763</v>
      </c>
      <c r="B1765" s="210" t="str">
        <f>_xlfn.CONCAT(表格3_5[[#This Row],[Name]],表格3_5[[#This Row],[Location]])</f>
        <v/>
      </c>
      <c r="C1765" s="211" t="str">
        <f>表格3_5[[#This Row],[Location]] &amp; 表格3_5[[#This Row],[Date]] &amp;表格3_5[[#This Row],[Nick Name]]</f>
        <v>0</v>
      </c>
      <c r="D1765" s="202"/>
      <c r="E1765" s="211" t="str">
        <f>DAY(表格3_5[[#This Row],[Date]])&amp;""</f>
        <v>0</v>
      </c>
      <c r="F1765" s="203"/>
      <c r="G1765" s="216">
        <f>_xlfn.XLOOKUP(表格3_5[[#This Row],[Name]],Name_list[Full Name],Name_list[Nick Name])</f>
        <v>0</v>
      </c>
      <c r="H1765" s="207"/>
      <c r="I1765" s="228"/>
      <c r="J1765" s="218"/>
      <c r="K1765" s="205"/>
      <c r="L1765" s="210">
        <f>(表格3_5[[#This Row],[Out-Time]] - 表格3_5[[#This Row],[In-Time]])*24</f>
        <v>0</v>
      </c>
      <c r="M1765" s="210">
        <f>表格3_5[[#This Row],[ Hours]]-表格3_5[[#This Row],[Normal working
 hours]]</f>
        <v>0</v>
      </c>
      <c r="N1765" s="205"/>
      <c r="O1765" s="205"/>
      <c r="P1765" s="210">
        <f>(表格3_5[[#This Row],[Out-Time2]] - 表格3_5[[#This Row],[In-Time2]])*24</f>
        <v>0</v>
      </c>
      <c r="Q1765" s="205"/>
      <c r="R1765" s="214">
        <f>_xlfn.XLOOKUP(表格3_5[[#This Row],[Name]],Name_list[Full Name],Name_list[Hourr Rate])</f>
        <v>0</v>
      </c>
      <c r="S1765" s="210">
        <f>表格3_5[[#This Row],[Hours Worked]]*表格3_5[[#This Row],[Hourly Rate]]</f>
        <v>0</v>
      </c>
    </row>
    <row r="1766" spans="1:19">
      <c r="A1766" s="201">
        <v>1764</v>
      </c>
      <c r="B1766" s="210" t="str">
        <f>_xlfn.CONCAT(表格3_5[[#This Row],[Name]],表格3_5[[#This Row],[Location]])</f>
        <v/>
      </c>
      <c r="C1766" s="211" t="str">
        <f>表格3_5[[#This Row],[Location]] &amp; 表格3_5[[#This Row],[Date]] &amp;表格3_5[[#This Row],[Nick Name]]</f>
        <v>0</v>
      </c>
      <c r="D1766" s="202"/>
      <c r="E1766" s="211" t="str">
        <f>DAY(表格3_5[[#This Row],[Date]])&amp;""</f>
        <v>0</v>
      </c>
      <c r="F1766" s="203"/>
      <c r="G1766" s="216">
        <f>_xlfn.XLOOKUP(表格3_5[[#This Row],[Name]],Name_list[Full Name],Name_list[Nick Name])</f>
        <v>0</v>
      </c>
      <c r="H1766" s="207"/>
      <c r="I1766" s="228"/>
      <c r="J1766" s="218"/>
      <c r="K1766" s="205"/>
      <c r="L1766" s="210">
        <f>(表格3_5[[#This Row],[Out-Time]] - 表格3_5[[#This Row],[In-Time]])*24</f>
        <v>0</v>
      </c>
      <c r="M1766" s="210">
        <f>表格3_5[[#This Row],[ Hours]]-表格3_5[[#This Row],[Normal working
 hours]]</f>
        <v>0</v>
      </c>
      <c r="N1766" s="205"/>
      <c r="O1766" s="205"/>
      <c r="P1766" s="210">
        <f>(表格3_5[[#This Row],[Out-Time2]] - 表格3_5[[#This Row],[In-Time2]])*24</f>
        <v>0</v>
      </c>
      <c r="Q1766" s="205"/>
      <c r="R1766" s="214">
        <f>_xlfn.XLOOKUP(表格3_5[[#This Row],[Name]],Name_list[Full Name],Name_list[Hourr Rate])</f>
        <v>0</v>
      </c>
      <c r="S1766" s="210">
        <f>表格3_5[[#This Row],[Hours Worked]]*表格3_5[[#This Row],[Hourly Rate]]</f>
        <v>0</v>
      </c>
    </row>
    <row r="1767" spans="1:19">
      <c r="A1767" s="201">
        <v>1765</v>
      </c>
      <c r="B1767" s="210" t="str">
        <f>_xlfn.CONCAT(表格3_5[[#This Row],[Name]],表格3_5[[#This Row],[Location]])</f>
        <v/>
      </c>
      <c r="C1767" s="211" t="str">
        <f>表格3_5[[#This Row],[Location]] &amp; 表格3_5[[#This Row],[Date]] &amp;表格3_5[[#This Row],[Nick Name]]</f>
        <v>0</v>
      </c>
      <c r="D1767" s="202"/>
      <c r="E1767" s="211" t="str">
        <f>DAY(表格3_5[[#This Row],[Date]])&amp;""</f>
        <v>0</v>
      </c>
      <c r="F1767" s="203"/>
      <c r="G1767" s="216">
        <f>_xlfn.XLOOKUP(表格3_5[[#This Row],[Name]],Name_list[Full Name],Name_list[Nick Name])</f>
        <v>0</v>
      </c>
      <c r="H1767" s="207"/>
      <c r="I1767" s="228"/>
      <c r="J1767" s="218"/>
      <c r="K1767" s="205"/>
      <c r="L1767" s="210">
        <f>(表格3_5[[#This Row],[Out-Time]] - 表格3_5[[#This Row],[In-Time]])*24</f>
        <v>0</v>
      </c>
      <c r="M1767" s="210">
        <f>表格3_5[[#This Row],[ Hours]]-表格3_5[[#This Row],[Normal working
 hours]]</f>
        <v>0</v>
      </c>
      <c r="N1767" s="205"/>
      <c r="O1767" s="205"/>
      <c r="P1767" s="210">
        <f>(表格3_5[[#This Row],[Out-Time2]] - 表格3_5[[#This Row],[In-Time2]])*24</f>
        <v>0</v>
      </c>
      <c r="Q1767" s="205"/>
      <c r="R1767" s="214">
        <f>_xlfn.XLOOKUP(表格3_5[[#This Row],[Name]],Name_list[Full Name],Name_list[Hourr Rate])</f>
        <v>0</v>
      </c>
      <c r="S1767" s="210">
        <f>表格3_5[[#This Row],[Hours Worked]]*表格3_5[[#This Row],[Hourly Rate]]</f>
        <v>0</v>
      </c>
    </row>
    <row r="1768" spans="1:19">
      <c r="A1768" s="201">
        <v>1766</v>
      </c>
      <c r="B1768" s="210" t="str">
        <f>_xlfn.CONCAT(表格3_5[[#This Row],[Name]],表格3_5[[#This Row],[Location]])</f>
        <v/>
      </c>
      <c r="C1768" s="211" t="str">
        <f>表格3_5[[#This Row],[Location]] &amp; 表格3_5[[#This Row],[Date]] &amp;表格3_5[[#This Row],[Nick Name]]</f>
        <v>0</v>
      </c>
      <c r="D1768" s="202"/>
      <c r="E1768" s="211" t="str">
        <f>DAY(表格3_5[[#This Row],[Date]])&amp;""</f>
        <v>0</v>
      </c>
      <c r="F1768" s="203"/>
      <c r="G1768" s="216">
        <f>_xlfn.XLOOKUP(表格3_5[[#This Row],[Name]],Name_list[Full Name],Name_list[Nick Name])</f>
        <v>0</v>
      </c>
      <c r="H1768" s="207"/>
      <c r="I1768" s="228"/>
      <c r="J1768" s="218"/>
      <c r="K1768" s="205"/>
      <c r="L1768" s="210">
        <f>(表格3_5[[#This Row],[Out-Time]] - 表格3_5[[#This Row],[In-Time]])*24</f>
        <v>0</v>
      </c>
      <c r="M1768" s="210">
        <f>表格3_5[[#This Row],[ Hours]]-表格3_5[[#This Row],[Normal working
 hours]]</f>
        <v>0</v>
      </c>
      <c r="N1768" s="205"/>
      <c r="O1768" s="205"/>
      <c r="P1768" s="210">
        <f>(表格3_5[[#This Row],[Out-Time2]] - 表格3_5[[#This Row],[In-Time2]])*24</f>
        <v>0</v>
      </c>
      <c r="Q1768" s="205"/>
      <c r="R1768" s="214">
        <f>_xlfn.XLOOKUP(表格3_5[[#This Row],[Name]],Name_list[Full Name],Name_list[Hourr Rate])</f>
        <v>0</v>
      </c>
      <c r="S1768" s="210">
        <f>表格3_5[[#This Row],[Hours Worked]]*表格3_5[[#This Row],[Hourly Rate]]</f>
        <v>0</v>
      </c>
    </row>
    <row r="1769" spans="1:19">
      <c r="A1769" s="201">
        <v>1767</v>
      </c>
      <c r="B1769" s="210" t="str">
        <f>_xlfn.CONCAT(表格3_5[[#This Row],[Name]],表格3_5[[#This Row],[Location]])</f>
        <v/>
      </c>
      <c r="C1769" s="211" t="str">
        <f>表格3_5[[#This Row],[Location]] &amp; 表格3_5[[#This Row],[Date]] &amp;表格3_5[[#This Row],[Nick Name]]</f>
        <v>0</v>
      </c>
      <c r="D1769" s="202"/>
      <c r="E1769" s="211" t="str">
        <f>DAY(表格3_5[[#This Row],[Date]])&amp;""</f>
        <v>0</v>
      </c>
      <c r="F1769" s="203"/>
      <c r="G1769" s="216">
        <f>_xlfn.XLOOKUP(表格3_5[[#This Row],[Name]],Name_list[Full Name],Name_list[Nick Name])</f>
        <v>0</v>
      </c>
      <c r="H1769" s="207"/>
      <c r="I1769" s="228"/>
      <c r="J1769" s="218"/>
      <c r="K1769" s="205"/>
      <c r="L1769" s="210">
        <f>(表格3_5[[#This Row],[Out-Time]] - 表格3_5[[#This Row],[In-Time]])*24</f>
        <v>0</v>
      </c>
      <c r="M1769" s="210">
        <f>表格3_5[[#This Row],[ Hours]]-表格3_5[[#This Row],[Normal working
 hours]]</f>
        <v>0</v>
      </c>
      <c r="N1769" s="205"/>
      <c r="O1769" s="205"/>
      <c r="P1769" s="210">
        <f>(表格3_5[[#This Row],[Out-Time2]] - 表格3_5[[#This Row],[In-Time2]])*24</f>
        <v>0</v>
      </c>
      <c r="Q1769" s="205"/>
      <c r="R1769" s="214">
        <f>_xlfn.XLOOKUP(表格3_5[[#This Row],[Name]],Name_list[Full Name],Name_list[Hourr Rate])</f>
        <v>0</v>
      </c>
      <c r="S1769" s="210">
        <f>表格3_5[[#This Row],[Hours Worked]]*表格3_5[[#This Row],[Hourly Rate]]</f>
        <v>0</v>
      </c>
    </row>
    <row r="1770" spans="1:19">
      <c r="A1770" s="201">
        <v>1768</v>
      </c>
      <c r="B1770" s="210" t="str">
        <f>_xlfn.CONCAT(表格3_5[[#This Row],[Name]],表格3_5[[#This Row],[Location]])</f>
        <v/>
      </c>
      <c r="C1770" s="211" t="str">
        <f>表格3_5[[#This Row],[Location]] &amp; 表格3_5[[#This Row],[Date]] &amp;表格3_5[[#This Row],[Nick Name]]</f>
        <v>0</v>
      </c>
      <c r="D1770" s="202"/>
      <c r="E1770" s="211" t="str">
        <f>DAY(表格3_5[[#This Row],[Date]])&amp;""</f>
        <v>0</v>
      </c>
      <c r="F1770" s="203"/>
      <c r="G1770" s="216">
        <f>_xlfn.XLOOKUP(表格3_5[[#This Row],[Name]],Name_list[Full Name],Name_list[Nick Name])</f>
        <v>0</v>
      </c>
      <c r="H1770" s="207"/>
      <c r="I1770" s="228"/>
      <c r="J1770" s="218"/>
      <c r="K1770" s="205"/>
      <c r="L1770" s="210">
        <f>(表格3_5[[#This Row],[Out-Time]] - 表格3_5[[#This Row],[In-Time]])*24</f>
        <v>0</v>
      </c>
      <c r="M1770" s="210">
        <f>表格3_5[[#This Row],[ Hours]]-表格3_5[[#This Row],[Normal working
 hours]]</f>
        <v>0</v>
      </c>
      <c r="N1770" s="205"/>
      <c r="O1770" s="205"/>
      <c r="P1770" s="210">
        <f>(表格3_5[[#This Row],[Out-Time2]] - 表格3_5[[#This Row],[In-Time2]])*24</f>
        <v>0</v>
      </c>
      <c r="Q1770" s="205"/>
      <c r="R1770" s="214">
        <f>_xlfn.XLOOKUP(表格3_5[[#This Row],[Name]],Name_list[Full Name],Name_list[Hourr Rate])</f>
        <v>0</v>
      </c>
      <c r="S1770" s="210">
        <f>表格3_5[[#This Row],[Hours Worked]]*表格3_5[[#This Row],[Hourly Rate]]</f>
        <v>0</v>
      </c>
    </row>
    <row r="1771" spans="1:19">
      <c r="A1771" s="201">
        <v>1769</v>
      </c>
      <c r="B1771" s="210" t="str">
        <f>_xlfn.CONCAT(表格3_5[[#This Row],[Name]],表格3_5[[#This Row],[Location]])</f>
        <v/>
      </c>
      <c r="C1771" s="211" t="str">
        <f>表格3_5[[#This Row],[Location]] &amp; 表格3_5[[#This Row],[Date]] &amp;表格3_5[[#This Row],[Nick Name]]</f>
        <v>0</v>
      </c>
      <c r="D1771" s="202"/>
      <c r="E1771" s="211" t="str">
        <f>DAY(表格3_5[[#This Row],[Date]])&amp;""</f>
        <v>0</v>
      </c>
      <c r="F1771" s="203"/>
      <c r="G1771" s="216">
        <f>_xlfn.XLOOKUP(表格3_5[[#This Row],[Name]],Name_list[Full Name],Name_list[Nick Name])</f>
        <v>0</v>
      </c>
      <c r="H1771" s="207"/>
      <c r="I1771" s="228"/>
      <c r="J1771" s="218"/>
      <c r="K1771" s="205"/>
      <c r="L1771" s="210">
        <f>(表格3_5[[#This Row],[Out-Time]] - 表格3_5[[#This Row],[In-Time]])*24</f>
        <v>0</v>
      </c>
      <c r="M1771" s="210">
        <f>表格3_5[[#This Row],[ Hours]]-表格3_5[[#This Row],[Normal working
 hours]]</f>
        <v>0</v>
      </c>
      <c r="N1771" s="205"/>
      <c r="O1771" s="205"/>
      <c r="P1771" s="210">
        <f>(表格3_5[[#This Row],[Out-Time2]] - 表格3_5[[#This Row],[In-Time2]])*24</f>
        <v>0</v>
      </c>
      <c r="Q1771" s="205"/>
      <c r="R1771" s="214">
        <f>_xlfn.XLOOKUP(表格3_5[[#This Row],[Name]],Name_list[Full Name],Name_list[Hourr Rate])</f>
        <v>0</v>
      </c>
      <c r="S1771" s="210">
        <f>表格3_5[[#This Row],[Hours Worked]]*表格3_5[[#This Row],[Hourly Rate]]</f>
        <v>0</v>
      </c>
    </row>
    <row r="1772" spans="1:19">
      <c r="A1772" s="201">
        <v>1770</v>
      </c>
      <c r="B1772" s="210" t="str">
        <f>_xlfn.CONCAT(表格3_5[[#This Row],[Name]],表格3_5[[#This Row],[Location]])</f>
        <v/>
      </c>
      <c r="C1772" s="211" t="str">
        <f>表格3_5[[#This Row],[Location]] &amp; 表格3_5[[#This Row],[Date]] &amp;表格3_5[[#This Row],[Nick Name]]</f>
        <v>0</v>
      </c>
      <c r="D1772" s="202"/>
      <c r="E1772" s="211" t="str">
        <f>DAY(表格3_5[[#This Row],[Date]])&amp;""</f>
        <v>0</v>
      </c>
      <c r="F1772" s="203"/>
      <c r="G1772" s="216">
        <f>_xlfn.XLOOKUP(表格3_5[[#This Row],[Name]],Name_list[Full Name],Name_list[Nick Name])</f>
        <v>0</v>
      </c>
      <c r="H1772" s="207"/>
      <c r="I1772" s="228"/>
      <c r="J1772" s="218"/>
      <c r="K1772" s="205"/>
      <c r="L1772" s="210">
        <f>(表格3_5[[#This Row],[Out-Time]] - 表格3_5[[#This Row],[In-Time]])*24</f>
        <v>0</v>
      </c>
      <c r="M1772" s="210">
        <f>表格3_5[[#This Row],[ Hours]]-表格3_5[[#This Row],[Normal working
 hours]]</f>
        <v>0</v>
      </c>
      <c r="N1772" s="205"/>
      <c r="O1772" s="205"/>
      <c r="P1772" s="210">
        <f>(表格3_5[[#This Row],[Out-Time2]] - 表格3_5[[#This Row],[In-Time2]])*24</f>
        <v>0</v>
      </c>
      <c r="Q1772" s="205"/>
      <c r="R1772" s="214">
        <f>_xlfn.XLOOKUP(表格3_5[[#This Row],[Name]],Name_list[Full Name],Name_list[Hourr Rate])</f>
        <v>0</v>
      </c>
      <c r="S1772" s="210">
        <f>表格3_5[[#This Row],[Hours Worked]]*表格3_5[[#This Row],[Hourly Rate]]</f>
        <v>0</v>
      </c>
    </row>
    <row r="1773" spans="1:19">
      <c r="A1773" s="201">
        <v>1771</v>
      </c>
      <c r="B1773" s="210" t="str">
        <f>_xlfn.CONCAT(表格3_5[[#This Row],[Name]],表格3_5[[#This Row],[Location]])</f>
        <v/>
      </c>
      <c r="C1773" s="211" t="str">
        <f>表格3_5[[#This Row],[Location]] &amp; 表格3_5[[#This Row],[Date]] &amp;表格3_5[[#This Row],[Nick Name]]</f>
        <v>0</v>
      </c>
      <c r="D1773" s="202"/>
      <c r="E1773" s="211" t="str">
        <f>DAY(表格3_5[[#This Row],[Date]])&amp;""</f>
        <v>0</v>
      </c>
      <c r="F1773" s="203"/>
      <c r="G1773" s="216">
        <f>_xlfn.XLOOKUP(表格3_5[[#This Row],[Name]],Name_list[Full Name],Name_list[Nick Name])</f>
        <v>0</v>
      </c>
      <c r="H1773" s="207"/>
      <c r="I1773" s="228"/>
      <c r="J1773" s="218"/>
      <c r="K1773" s="205"/>
      <c r="L1773" s="210">
        <f>(表格3_5[[#This Row],[Out-Time]] - 表格3_5[[#This Row],[In-Time]])*24</f>
        <v>0</v>
      </c>
      <c r="M1773" s="210">
        <f>表格3_5[[#This Row],[ Hours]]-表格3_5[[#This Row],[Normal working
 hours]]</f>
        <v>0</v>
      </c>
      <c r="N1773" s="205"/>
      <c r="O1773" s="205"/>
      <c r="P1773" s="210">
        <f>(表格3_5[[#This Row],[Out-Time2]] - 表格3_5[[#This Row],[In-Time2]])*24</f>
        <v>0</v>
      </c>
      <c r="Q1773" s="205"/>
      <c r="R1773" s="214">
        <f>_xlfn.XLOOKUP(表格3_5[[#This Row],[Name]],Name_list[Full Name],Name_list[Hourr Rate])</f>
        <v>0</v>
      </c>
      <c r="S1773" s="210">
        <f>表格3_5[[#This Row],[Hours Worked]]*表格3_5[[#This Row],[Hourly Rate]]</f>
        <v>0</v>
      </c>
    </row>
    <row r="1774" spans="1:19">
      <c r="A1774" s="201">
        <v>1772</v>
      </c>
      <c r="B1774" s="210" t="str">
        <f>_xlfn.CONCAT(表格3_5[[#This Row],[Name]],表格3_5[[#This Row],[Location]])</f>
        <v/>
      </c>
      <c r="C1774" s="211" t="str">
        <f>表格3_5[[#This Row],[Location]] &amp; 表格3_5[[#This Row],[Date]] &amp;表格3_5[[#This Row],[Nick Name]]</f>
        <v>0</v>
      </c>
      <c r="D1774" s="202"/>
      <c r="E1774" s="211" t="str">
        <f>DAY(表格3_5[[#This Row],[Date]])&amp;""</f>
        <v>0</v>
      </c>
      <c r="F1774" s="203"/>
      <c r="G1774" s="216">
        <f>_xlfn.XLOOKUP(表格3_5[[#This Row],[Name]],Name_list[Full Name],Name_list[Nick Name])</f>
        <v>0</v>
      </c>
      <c r="H1774" s="207"/>
      <c r="I1774" s="228"/>
      <c r="J1774" s="218"/>
      <c r="K1774" s="205"/>
      <c r="L1774" s="210">
        <f>(表格3_5[[#This Row],[Out-Time]] - 表格3_5[[#This Row],[In-Time]])*24</f>
        <v>0</v>
      </c>
      <c r="M1774" s="210">
        <f>表格3_5[[#This Row],[ Hours]]-表格3_5[[#This Row],[Normal working
 hours]]</f>
        <v>0</v>
      </c>
      <c r="N1774" s="205"/>
      <c r="O1774" s="205"/>
      <c r="P1774" s="210">
        <f>(表格3_5[[#This Row],[Out-Time2]] - 表格3_5[[#This Row],[In-Time2]])*24</f>
        <v>0</v>
      </c>
      <c r="Q1774" s="205"/>
      <c r="R1774" s="214">
        <f>_xlfn.XLOOKUP(表格3_5[[#This Row],[Name]],Name_list[Full Name],Name_list[Hourr Rate])</f>
        <v>0</v>
      </c>
      <c r="S1774" s="210">
        <f>表格3_5[[#This Row],[Hours Worked]]*表格3_5[[#This Row],[Hourly Rate]]</f>
        <v>0</v>
      </c>
    </row>
    <row r="1775" spans="1:19">
      <c r="A1775" s="201">
        <v>1773</v>
      </c>
      <c r="B1775" s="210" t="str">
        <f>_xlfn.CONCAT(表格3_5[[#This Row],[Name]],表格3_5[[#This Row],[Location]])</f>
        <v/>
      </c>
      <c r="C1775" s="211" t="str">
        <f>表格3_5[[#This Row],[Location]] &amp; 表格3_5[[#This Row],[Date]] &amp;表格3_5[[#This Row],[Nick Name]]</f>
        <v>0</v>
      </c>
      <c r="D1775" s="202"/>
      <c r="E1775" s="211" t="str">
        <f>DAY(表格3_5[[#This Row],[Date]])&amp;""</f>
        <v>0</v>
      </c>
      <c r="F1775" s="203"/>
      <c r="G1775" s="216">
        <f>_xlfn.XLOOKUP(表格3_5[[#This Row],[Name]],Name_list[Full Name],Name_list[Nick Name])</f>
        <v>0</v>
      </c>
      <c r="H1775" s="207"/>
      <c r="I1775" s="228"/>
      <c r="J1775" s="218"/>
      <c r="K1775" s="205"/>
      <c r="L1775" s="210">
        <f>(表格3_5[[#This Row],[Out-Time]] - 表格3_5[[#This Row],[In-Time]])*24</f>
        <v>0</v>
      </c>
      <c r="M1775" s="210">
        <f>表格3_5[[#This Row],[ Hours]]-表格3_5[[#This Row],[Normal working
 hours]]</f>
        <v>0</v>
      </c>
      <c r="N1775" s="205"/>
      <c r="O1775" s="205"/>
      <c r="P1775" s="210">
        <f>(表格3_5[[#This Row],[Out-Time2]] - 表格3_5[[#This Row],[In-Time2]])*24</f>
        <v>0</v>
      </c>
      <c r="Q1775" s="205"/>
      <c r="R1775" s="214">
        <f>_xlfn.XLOOKUP(表格3_5[[#This Row],[Name]],Name_list[Full Name],Name_list[Hourr Rate])</f>
        <v>0</v>
      </c>
      <c r="S1775" s="210">
        <f>表格3_5[[#This Row],[Hours Worked]]*表格3_5[[#This Row],[Hourly Rate]]</f>
        <v>0</v>
      </c>
    </row>
    <row r="1776" spans="1:19">
      <c r="A1776" s="201">
        <v>1774</v>
      </c>
      <c r="B1776" s="210" t="str">
        <f>_xlfn.CONCAT(表格3_5[[#This Row],[Name]],表格3_5[[#This Row],[Location]])</f>
        <v/>
      </c>
      <c r="C1776" s="211" t="str">
        <f>表格3_5[[#This Row],[Location]] &amp; 表格3_5[[#This Row],[Date]] &amp;表格3_5[[#This Row],[Nick Name]]</f>
        <v>0</v>
      </c>
      <c r="D1776" s="202"/>
      <c r="E1776" s="211" t="str">
        <f>DAY(表格3_5[[#This Row],[Date]])&amp;""</f>
        <v>0</v>
      </c>
      <c r="F1776" s="203"/>
      <c r="G1776" s="216">
        <f>_xlfn.XLOOKUP(表格3_5[[#This Row],[Name]],Name_list[Full Name],Name_list[Nick Name])</f>
        <v>0</v>
      </c>
      <c r="H1776" s="207"/>
      <c r="I1776" s="228"/>
      <c r="J1776" s="218"/>
      <c r="K1776" s="205"/>
      <c r="L1776" s="210">
        <f>(表格3_5[[#This Row],[Out-Time]] - 表格3_5[[#This Row],[In-Time]])*24</f>
        <v>0</v>
      </c>
      <c r="M1776" s="210">
        <f>表格3_5[[#This Row],[ Hours]]-表格3_5[[#This Row],[Normal working
 hours]]</f>
        <v>0</v>
      </c>
      <c r="N1776" s="205"/>
      <c r="O1776" s="205"/>
      <c r="P1776" s="210">
        <f>(表格3_5[[#This Row],[Out-Time2]] - 表格3_5[[#This Row],[In-Time2]])*24</f>
        <v>0</v>
      </c>
      <c r="Q1776" s="205"/>
      <c r="R1776" s="214">
        <f>_xlfn.XLOOKUP(表格3_5[[#This Row],[Name]],Name_list[Full Name],Name_list[Hourr Rate])</f>
        <v>0</v>
      </c>
      <c r="S1776" s="210">
        <f>表格3_5[[#This Row],[Hours Worked]]*表格3_5[[#This Row],[Hourly Rate]]</f>
        <v>0</v>
      </c>
    </row>
    <row r="1777" spans="1:19">
      <c r="A1777" s="201">
        <v>1775</v>
      </c>
      <c r="B1777" s="210" t="str">
        <f>_xlfn.CONCAT(表格3_5[[#This Row],[Name]],表格3_5[[#This Row],[Location]])</f>
        <v/>
      </c>
      <c r="C1777" s="211" t="str">
        <f>表格3_5[[#This Row],[Location]] &amp; 表格3_5[[#This Row],[Date]] &amp;表格3_5[[#This Row],[Nick Name]]</f>
        <v>0</v>
      </c>
      <c r="D1777" s="202"/>
      <c r="E1777" s="211" t="str">
        <f>DAY(表格3_5[[#This Row],[Date]])&amp;""</f>
        <v>0</v>
      </c>
      <c r="F1777" s="203"/>
      <c r="G1777" s="216">
        <f>_xlfn.XLOOKUP(表格3_5[[#This Row],[Name]],Name_list[Full Name],Name_list[Nick Name])</f>
        <v>0</v>
      </c>
      <c r="H1777" s="207"/>
      <c r="I1777" s="228"/>
      <c r="J1777" s="218"/>
      <c r="K1777" s="205"/>
      <c r="L1777" s="210">
        <f>(表格3_5[[#This Row],[Out-Time]] - 表格3_5[[#This Row],[In-Time]])*24</f>
        <v>0</v>
      </c>
      <c r="M1777" s="210">
        <f>表格3_5[[#This Row],[ Hours]]-表格3_5[[#This Row],[Normal working
 hours]]</f>
        <v>0</v>
      </c>
      <c r="N1777" s="205"/>
      <c r="O1777" s="205"/>
      <c r="P1777" s="210">
        <f>(表格3_5[[#This Row],[Out-Time2]] - 表格3_5[[#This Row],[In-Time2]])*24</f>
        <v>0</v>
      </c>
      <c r="Q1777" s="205"/>
      <c r="R1777" s="214">
        <f>_xlfn.XLOOKUP(表格3_5[[#This Row],[Name]],Name_list[Full Name],Name_list[Hourr Rate])</f>
        <v>0</v>
      </c>
      <c r="S1777" s="210">
        <f>表格3_5[[#This Row],[Hours Worked]]*表格3_5[[#This Row],[Hourly Rate]]</f>
        <v>0</v>
      </c>
    </row>
    <row r="1778" spans="1:19">
      <c r="A1778" s="201">
        <v>1776</v>
      </c>
      <c r="B1778" s="210" t="str">
        <f>_xlfn.CONCAT(表格3_5[[#This Row],[Name]],表格3_5[[#This Row],[Location]])</f>
        <v/>
      </c>
      <c r="C1778" s="211" t="str">
        <f>表格3_5[[#This Row],[Location]] &amp; 表格3_5[[#This Row],[Date]] &amp;表格3_5[[#This Row],[Nick Name]]</f>
        <v>0</v>
      </c>
      <c r="D1778" s="202"/>
      <c r="E1778" s="211" t="str">
        <f>DAY(表格3_5[[#This Row],[Date]])&amp;""</f>
        <v>0</v>
      </c>
      <c r="F1778" s="203"/>
      <c r="G1778" s="216">
        <f>_xlfn.XLOOKUP(表格3_5[[#This Row],[Name]],Name_list[Full Name],Name_list[Nick Name])</f>
        <v>0</v>
      </c>
      <c r="H1778" s="207"/>
      <c r="I1778" s="228"/>
      <c r="J1778" s="218"/>
      <c r="K1778" s="205"/>
      <c r="L1778" s="210">
        <f>(表格3_5[[#This Row],[Out-Time]] - 表格3_5[[#This Row],[In-Time]])*24</f>
        <v>0</v>
      </c>
      <c r="M1778" s="210">
        <f>表格3_5[[#This Row],[ Hours]]-表格3_5[[#This Row],[Normal working
 hours]]</f>
        <v>0</v>
      </c>
      <c r="N1778" s="205"/>
      <c r="O1778" s="205"/>
      <c r="P1778" s="210">
        <f>(表格3_5[[#This Row],[Out-Time2]] - 表格3_5[[#This Row],[In-Time2]])*24</f>
        <v>0</v>
      </c>
      <c r="Q1778" s="205"/>
      <c r="R1778" s="214">
        <f>_xlfn.XLOOKUP(表格3_5[[#This Row],[Name]],Name_list[Full Name],Name_list[Hourr Rate])</f>
        <v>0</v>
      </c>
      <c r="S1778" s="210">
        <f>表格3_5[[#This Row],[Hours Worked]]*表格3_5[[#This Row],[Hourly Rate]]</f>
        <v>0</v>
      </c>
    </row>
    <row r="1779" spans="1:19">
      <c r="A1779" s="201">
        <v>1777</v>
      </c>
      <c r="B1779" s="210" t="str">
        <f>_xlfn.CONCAT(表格3_5[[#This Row],[Name]],表格3_5[[#This Row],[Location]])</f>
        <v/>
      </c>
      <c r="C1779" s="211" t="str">
        <f>表格3_5[[#This Row],[Location]] &amp; 表格3_5[[#This Row],[Date]] &amp;表格3_5[[#This Row],[Nick Name]]</f>
        <v>0</v>
      </c>
      <c r="D1779" s="202"/>
      <c r="E1779" s="211" t="str">
        <f>DAY(表格3_5[[#This Row],[Date]])&amp;""</f>
        <v>0</v>
      </c>
      <c r="F1779" s="203"/>
      <c r="G1779" s="216">
        <f>_xlfn.XLOOKUP(表格3_5[[#This Row],[Name]],Name_list[Full Name],Name_list[Nick Name])</f>
        <v>0</v>
      </c>
      <c r="H1779" s="207"/>
      <c r="I1779" s="228"/>
      <c r="J1779" s="218"/>
      <c r="K1779" s="205"/>
      <c r="L1779" s="210">
        <f>(表格3_5[[#This Row],[Out-Time]] - 表格3_5[[#This Row],[In-Time]])*24</f>
        <v>0</v>
      </c>
      <c r="M1779" s="210">
        <f>表格3_5[[#This Row],[ Hours]]-表格3_5[[#This Row],[Normal working
 hours]]</f>
        <v>0</v>
      </c>
      <c r="N1779" s="205"/>
      <c r="O1779" s="205"/>
      <c r="P1779" s="210">
        <f>(表格3_5[[#This Row],[Out-Time2]] - 表格3_5[[#This Row],[In-Time2]])*24</f>
        <v>0</v>
      </c>
      <c r="Q1779" s="205"/>
      <c r="R1779" s="214">
        <f>_xlfn.XLOOKUP(表格3_5[[#This Row],[Name]],Name_list[Full Name],Name_list[Hourr Rate])</f>
        <v>0</v>
      </c>
      <c r="S1779" s="210">
        <f>表格3_5[[#This Row],[Hours Worked]]*表格3_5[[#This Row],[Hourly Rate]]</f>
        <v>0</v>
      </c>
    </row>
    <row r="1780" spans="1:19">
      <c r="A1780" s="201">
        <v>1778</v>
      </c>
      <c r="B1780" s="210" t="str">
        <f>_xlfn.CONCAT(表格3_5[[#This Row],[Name]],表格3_5[[#This Row],[Location]])</f>
        <v/>
      </c>
      <c r="C1780" s="211" t="str">
        <f>表格3_5[[#This Row],[Location]] &amp; 表格3_5[[#This Row],[Date]] &amp;表格3_5[[#This Row],[Nick Name]]</f>
        <v>0</v>
      </c>
      <c r="D1780" s="202"/>
      <c r="E1780" s="211" t="str">
        <f>DAY(表格3_5[[#This Row],[Date]])&amp;""</f>
        <v>0</v>
      </c>
      <c r="F1780" s="203"/>
      <c r="G1780" s="216">
        <f>_xlfn.XLOOKUP(表格3_5[[#This Row],[Name]],Name_list[Full Name],Name_list[Nick Name])</f>
        <v>0</v>
      </c>
      <c r="H1780" s="207"/>
      <c r="I1780" s="228"/>
      <c r="J1780" s="218"/>
      <c r="K1780" s="205"/>
      <c r="L1780" s="210">
        <f>(表格3_5[[#This Row],[Out-Time]] - 表格3_5[[#This Row],[In-Time]])*24</f>
        <v>0</v>
      </c>
      <c r="M1780" s="210">
        <f>表格3_5[[#This Row],[ Hours]]-表格3_5[[#This Row],[Normal working
 hours]]</f>
        <v>0</v>
      </c>
      <c r="N1780" s="205"/>
      <c r="O1780" s="205"/>
      <c r="P1780" s="210">
        <f>(表格3_5[[#This Row],[Out-Time2]] - 表格3_5[[#This Row],[In-Time2]])*24</f>
        <v>0</v>
      </c>
      <c r="Q1780" s="205"/>
      <c r="R1780" s="214">
        <f>_xlfn.XLOOKUP(表格3_5[[#This Row],[Name]],Name_list[Full Name],Name_list[Hourr Rate])</f>
        <v>0</v>
      </c>
      <c r="S1780" s="210">
        <f>表格3_5[[#This Row],[Hours Worked]]*表格3_5[[#This Row],[Hourly Rate]]</f>
        <v>0</v>
      </c>
    </row>
    <row r="1781" spans="1:19">
      <c r="A1781" s="201">
        <v>1779</v>
      </c>
      <c r="B1781" s="210" t="str">
        <f>_xlfn.CONCAT(表格3_5[[#This Row],[Name]],表格3_5[[#This Row],[Location]])</f>
        <v/>
      </c>
      <c r="C1781" s="211" t="str">
        <f>表格3_5[[#This Row],[Location]] &amp; 表格3_5[[#This Row],[Date]] &amp;表格3_5[[#This Row],[Nick Name]]</f>
        <v>0</v>
      </c>
      <c r="D1781" s="202"/>
      <c r="E1781" s="211" t="str">
        <f>DAY(表格3_5[[#This Row],[Date]])&amp;""</f>
        <v>0</v>
      </c>
      <c r="F1781" s="203"/>
      <c r="G1781" s="216">
        <f>_xlfn.XLOOKUP(表格3_5[[#This Row],[Name]],Name_list[Full Name],Name_list[Nick Name])</f>
        <v>0</v>
      </c>
      <c r="H1781" s="207"/>
      <c r="I1781" s="228"/>
      <c r="J1781" s="218"/>
      <c r="K1781" s="205"/>
      <c r="L1781" s="210">
        <f>(表格3_5[[#This Row],[Out-Time]] - 表格3_5[[#This Row],[In-Time]])*24</f>
        <v>0</v>
      </c>
      <c r="M1781" s="210">
        <f>表格3_5[[#This Row],[ Hours]]-表格3_5[[#This Row],[Normal working
 hours]]</f>
        <v>0</v>
      </c>
      <c r="N1781" s="205"/>
      <c r="O1781" s="205"/>
      <c r="P1781" s="210">
        <f>(表格3_5[[#This Row],[Out-Time2]] - 表格3_5[[#This Row],[In-Time2]])*24</f>
        <v>0</v>
      </c>
      <c r="Q1781" s="205"/>
      <c r="R1781" s="214">
        <f>_xlfn.XLOOKUP(表格3_5[[#This Row],[Name]],Name_list[Full Name],Name_list[Hourr Rate])</f>
        <v>0</v>
      </c>
      <c r="S1781" s="210">
        <f>表格3_5[[#This Row],[Hours Worked]]*表格3_5[[#This Row],[Hourly Rate]]</f>
        <v>0</v>
      </c>
    </row>
    <row r="1782" spans="1:19">
      <c r="A1782" s="201">
        <v>1780</v>
      </c>
      <c r="B1782" s="210" t="str">
        <f>_xlfn.CONCAT(表格3_5[[#This Row],[Name]],表格3_5[[#This Row],[Location]])</f>
        <v/>
      </c>
      <c r="C1782" s="211" t="str">
        <f>表格3_5[[#This Row],[Location]] &amp; 表格3_5[[#This Row],[Date]] &amp;表格3_5[[#This Row],[Nick Name]]</f>
        <v>0</v>
      </c>
      <c r="D1782" s="202"/>
      <c r="E1782" s="211" t="str">
        <f>DAY(表格3_5[[#This Row],[Date]])&amp;""</f>
        <v>0</v>
      </c>
      <c r="F1782" s="203"/>
      <c r="G1782" s="216">
        <f>_xlfn.XLOOKUP(表格3_5[[#This Row],[Name]],Name_list[Full Name],Name_list[Nick Name])</f>
        <v>0</v>
      </c>
      <c r="H1782" s="207"/>
      <c r="I1782" s="228"/>
      <c r="J1782" s="218"/>
      <c r="K1782" s="205"/>
      <c r="L1782" s="210">
        <f>(表格3_5[[#This Row],[Out-Time]] - 表格3_5[[#This Row],[In-Time]])*24</f>
        <v>0</v>
      </c>
      <c r="M1782" s="210">
        <f>表格3_5[[#This Row],[ Hours]]-表格3_5[[#This Row],[Normal working
 hours]]</f>
        <v>0</v>
      </c>
      <c r="N1782" s="205"/>
      <c r="O1782" s="205"/>
      <c r="P1782" s="210">
        <f>(表格3_5[[#This Row],[Out-Time2]] - 表格3_5[[#This Row],[In-Time2]])*24</f>
        <v>0</v>
      </c>
      <c r="Q1782" s="205"/>
      <c r="R1782" s="214">
        <f>_xlfn.XLOOKUP(表格3_5[[#This Row],[Name]],Name_list[Full Name],Name_list[Hourr Rate])</f>
        <v>0</v>
      </c>
      <c r="S1782" s="210">
        <f>表格3_5[[#This Row],[Hours Worked]]*表格3_5[[#This Row],[Hourly Rate]]</f>
        <v>0</v>
      </c>
    </row>
    <row r="1783" spans="1:19">
      <c r="A1783" s="201">
        <v>1781</v>
      </c>
      <c r="B1783" s="210" t="str">
        <f>_xlfn.CONCAT(表格3_5[[#This Row],[Name]],表格3_5[[#This Row],[Location]])</f>
        <v/>
      </c>
      <c r="C1783" s="211" t="str">
        <f>表格3_5[[#This Row],[Location]] &amp; 表格3_5[[#This Row],[Date]] &amp;表格3_5[[#This Row],[Nick Name]]</f>
        <v>0</v>
      </c>
      <c r="D1783" s="202"/>
      <c r="E1783" s="211" t="str">
        <f>DAY(表格3_5[[#This Row],[Date]])&amp;""</f>
        <v>0</v>
      </c>
      <c r="F1783" s="203"/>
      <c r="G1783" s="216">
        <f>_xlfn.XLOOKUP(表格3_5[[#This Row],[Name]],Name_list[Full Name],Name_list[Nick Name])</f>
        <v>0</v>
      </c>
      <c r="H1783" s="207"/>
      <c r="I1783" s="228"/>
      <c r="J1783" s="218"/>
      <c r="K1783" s="205"/>
      <c r="L1783" s="210">
        <f>(表格3_5[[#This Row],[Out-Time]] - 表格3_5[[#This Row],[In-Time]])*24</f>
        <v>0</v>
      </c>
      <c r="M1783" s="210">
        <f>表格3_5[[#This Row],[ Hours]]-表格3_5[[#This Row],[Normal working
 hours]]</f>
        <v>0</v>
      </c>
      <c r="N1783" s="205"/>
      <c r="O1783" s="205"/>
      <c r="P1783" s="210">
        <f>(表格3_5[[#This Row],[Out-Time2]] - 表格3_5[[#This Row],[In-Time2]])*24</f>
        <v>0</v>
      </c>
      <c r="Q1783" s="205"/>
      <c r="R1783" s="214">
        <f>_xlfn.XLOOKUP(表格3_5[[#This Row],[Name]],Name_list[Full Name],Name_list[Hourr Rate])</f>
        <v>0</v>
      </c>
      <c r="S1783" s="210">
        <f>表格3_5[[#This Row],[Hours Worked]]*表格3_5[[#This Row],[Hourly Rate]]</f>
        <v>0</v>
      </c>
    </row>
    <row r="1784" spans="1:19">
      <c r="A1784" s="201">
        <v>1782</v>
      </c>
      <c r="B1784" s="210" t="str">
        <f>_xlfn.CONCAT(表格3_5[[#This Row],[Name]],表格3_5[[#This Row],[Location]])</f>
        <v/>
      </c>
      <c r="C1784" s="211" t="str">
        <f>表格3_5[[#This Row],[Location]] &amp; 表格3_5[[#This Row],[Date]] &amp;表格3_5[[#This Row],[Nick Name]]</f>
        <v>0</v>
      </c>
      <c r="D1784" s="202"/>
      <c r="E1784" s="211" t="str">
        <f>DAY(表格3_5[[#This Row],[Date]])&amp;""</f>
        <v>0</v>
      </c>
      <c r="F1784" s="203"/>
      <c r="G1784" s="216">
        <f>_xlfn.XLOOKUP(表格3_5[[#This Row],[Name]],Name_list[Full Name],Name_list[Nick Name])</f>
        <v>0</v>
      </c>
      <c r="H1784" s="207"/>
      <c r="I1784" s="228"/>
      <c r="J1784" s="218"/>
      <c r="K1784" s="205"/>
      <c r="L1784" s="210">
        <f>(表格3_5[[#This Row],[Out-Time]] - 表格3_5[[#This Row],[In-Time]])*24</f>
        <v>0</v>
      </c>
      <c r="M1784" s="210">
        <f>表格3_5[[#This Row],[ Hours]]-表格3_5[[#This Row],[Normal working
 hours]]</f>
        <v>0</v>
      </c>
      <c r="N1784" s="205"/>
      <c r="O1784" s="205"/>
      <c r="P1784" s="210">
        <f>(表格3_5[[#This Row],[Out-Time2]] - 表格3_5[[#This Row],[In-Time2]])*24</f>
        <v>0</v>
      </c>
      <c r="Q1784" s="205"/>
      <c r="R1784" s="214">
        <f>_xlfn.XLOOKUP(表格3_5[[#This Row],[Name]],Name_list[Full Name],Name_list[Hourr Rate])</f>
        <v>0</v>
      </c>
      <c r="S1784" s="210">
        <f>表格3_5[[#This Row],[Hours Worked]]*表格3_5[[#This Row],[Hourly Rate]]</f>
        <v>0</v>
      </c>
    </row>
    <row r="1785" spans="1:19">
      <c r="A1785" s="201">
        <v>1783</v>
      </c>
      <c r="B1785" s="210" t="str">
        <f>_xlfn.CONCAT(表格3_5[[#This Row],[Name]],表格3_5[[#This Row],[Location]])</f>
        <v/>
      </c>
      <c r="C1785" s="211" t="str">
        <f>表格3_5[[#This Row],[Location]] &amp; 表格3_5[[#This Row],[Date]] &amp;表格3_5[[#This Row],[Nick Name]]</f>
        <v>0</v>
      </c>
      <c r="D1785" s="202"/>
      <c r="E1785" s="211" t="str">
        <f>DAY(表格3_5[[#This Row],[Date]])&amp;""</f>
        <v>0</v>
      </c>
      <c r="F1785" s="203"/>
      <c r="G1785" s="216">
        <f>_xlfn.XLOOKUP(表格3_5[[#This Row],[Name]],Name_list[Full Name],Name_list[Nick Name])</f>
        <v>0</v>
      </c>
      <c r="H1785" s="207"/>
      <c r="I1785" s="228"/>
      <c r="J1785" s="218"/>
      <c r="K1785" s="205"/>
      <c r="L1785" s="210">
        <f>(表格3_5[[#This Row],[Out-Time]] - 表格3_5[[#This Row],[In-Time]])*24</f>
        <v>0</v>
      </c>
      <c r="M1785" s="210">
        <f>表格3_5[[#This Row],[ Hours]]-表格3_5[[#This Row],[Normal working
 hours]]</f>
        <v>0</v>
      </c>
      <c r="N1785" s="205"/>
      <c r="O1785" s="205"/>
      <c r="P1785" s="210">
        <f>(表格3_5[[#This Row],[Out-Time2]] - 表格3_5[[#This Row],[In-Time2]])*24</f>
        <v>0</v>
      </c>
      <c r="Q1785" s="205"/>
      <c r="R1785" s="214">
        <f>_xlfn.XLOOKUP(表格3_5[[#This Row],[Name]],Name_list[Full Name],Name_list[Hourr Rate])</f>
        <v>0</v>
      </c>
      <c r="S1785" s="210">
        <f>表格3_5[[#This Row],[Hours Worked]]*表格3_5[[#This Row],[Hourly Rate]]</f>
        <v>0</v>
      </c>
    </row>
    <row r="1786" spans="1:19">
      <c r="A1786" s="201">
        <v>1784</v>
      </c>
      <c r="B1786" s="210" t="str">
        <f>_xlfn.CONCAT(表格3_5[[#This Row],[Name]],表格3_5[[#This Row],[Location]])</f>
        <v/>
      </c>
      <c r="C1786" s="211" t="str">
        <f>表格3_5[[#This Row],[Location]] &amp; 表格3_5[[#This Row],[Date]] &amp;表格3_5[[#This Row],[Nick Name]]</f>
        <v>0</v>
      </c>
      <c r="D1786" s="202"/>
      <c r="E1786" s="211" t="str">
        <f>DAY(表格3_5[[#This Row],[Date]])&amp;""</f>
        <v>0</v>
      </c>
      <c r="F1786" s="203"/>
      <c r="G1786" s="216">
        <f>_xlfn.XLOOKUP(表格3_5[[#This Row],[Name]],Name_list[Full Name],Name_list[Nick Name])</f>
        <v>0</v>
      </c>
      <c r="H1786" s="207"/>
      <c r="I1786" s="228"/>
      <c r="J1786" s="218"/>
      <c r="K1786" s="205"/>
      <c r="L1786" s="210">
        <f>(表格3_5[[#This Row],[Out-Time]] - 表格3_5[[#This Row],[In-Time]])*24</f>
        <v>0</v>
      </c>
      <c r="M1786" s="210">
        <f>表格3_5[[#This Row],[ Hours]]-表格3_5[[#This Row],[Normal working
 hours]]</f>
        <v>0</v>
      </c>
      <c r="N1786" s="205"/>
      <c r="O1786" s="205"/>
      <c r="P1786" s="210">
        <f>(表格3_5[[#This Row],[Out-Time2]] - 表格3_5[[#This Row],[In-Time2]])*24</f>
        <v>0</v>
      </c>
      <c r="Q1786" s="205"/>
      <c r="R1786" s="214">
        <f>_xlfn.XLOOKUP(表格3_5[[#This Row],[Name]],Name_list[Full Name],Name_list[Hourr Rate])</f>
        <v>0</v>
      </c>
      <c r="S1786" s="210">
        <f>表格3_5[[#This Row],[Hours Worked]]*表格3_5[[#This Row],[Hourly Rate]]</f>
        <v>0</v>
      </c>
    </row>
    <row r="1787" spans="1:19">
      <c r="A1787" s="201">
        <v>1785</v>
      </c>
      <c r="B1787" s="210" t="str">
        <f>_xlfn.CONCAT(表格3_5[[#This Row],[Name]],表格3_5[[#This Row],[Location]])</f>
        <v/>
      </c>
      <c r="C1787" s="211" t="str">
        <f>表格3_5[[#This Row],[Location]] &amp; 表格3_5[[#This Row],[Date]] &amp;表格3_5[[#This Row],[Nick Name]]</f>
        <v>0</v>
      </c>
      <c r="D1787" s="202"/>
      <c r="E1787" s="211" t="str">
        <f>DAY(表格3_5[[#This Row],[Date]])&amp;""</f>
        <v>0</v>
      </c>
      <c r="F1787" s="203"/>
      <c r="G1787" s="216">
        <f>_xlfn.XLOOKUP(表格3_5[[#This Row],[Name]],Name_list[Full Name],Name_list[Nick Name])</f>
        <v>0</v>
      </c>
      <c r="H1787" s="207"/>
      <c r="I1787" s="228"/>
      <c r="J1787" s="218"/>
      <c r="K1787" s="205"/>
      <c r="L1787" s="210">
        <f>(表格3_5[[#This Row],[Out-Time]] - 表格3_5[[#This Row],[In-Time]])*24</f>
        <v>0</v>
      </c>
      <c r="M1787" s="210">
        <f>表格3_5[[#This Row],[ Hours]]-表格3_5[[#This Row],[Normal working
 hours]]</f>
        <v>0</v>
      </c>
      <c r="N1787" s="205"/>
      <c r="O1787" s="205"/>
      <c r="P1787" s="210">
        <f>(表格3_5[[#This Row],[Out-Time2]] - 表格3_5[[#This Row],[In-Time2]])*24</f>
        <v>0</v>
      </c>
      <c r="Q1787" s="205"/>
      <c r="R1787" s="214">
        <f>_xlfn.XLOOKUP(表格3_5[[#This Row],[Name]],Name_list[Full Name],Name_list[Hourr Rate])</f>
        <v>0</v>
      </c>
      <c r="S1787" s="210">
        <f>表格3_5[[#This Row],[Hours Worked]]*表格3_5[[#This Row],[Hourly Rate]]</f>
        <v>0</v>
      </c>
    </row>
    <row r="1788" spans="1:19">
      <c r="A1788" s="201">
        <v>1786</v>
      </c>
      <c r="B1788" s="210" t="str">
        <f>_xlfn.CONCAT(表格3_5[[#This Row],[Name]],表格3_5[[#This Row],[Location]])</f>
        <v/>
      </c>
      <c r="C1788" s="211" t="str">
        <f>表格3_5[[#This Row],[Location]] &amp; 表格3_5[[#This Row],[Date]] &amp;表格3_5[[#This Row],[Nick Name]]</f>
        <v>0</v>
      </c>
      <c r="D1788" s="202"/>
      <c r="E1788" s="211" t="str">
        <f>DAY(表格3_5[[#This Row],[Date]])&amp;""</f>
        <v>0</v>
      </c>
      <c r="F1788" s="203"/>
      <c r="G1788" s="216">
        <f>_xlfn.XLOOKUP(表格3_5[[#This Row],[Name]],Name_list[Full Name],Name_list[Nick Name])</f>
        <v>0</v>
      </c>
      <c r="H1788" s="207"/>
      <c r="I1788" s="228"/>
      <c r="J1788" s="218"/>
      <c r="K1788" s="205"/>
      <c r="L1788" s="210">
        <f>(表格3_5[[#This Row],[Out-Time]] - 表格3_5[[#This Row],[In-Time]])*24</f>
        <v>0</v>
      </c>
      <c r="M1788" s="210">
        <f>表格3_5[[#This Row],[ Hours]]-表格3_5[[#This Row],[Normal working
 hours]]</f>
        <v>0</v>
      </c>
      <c r="N1788" s="205"/>
      <c r="O1788" s="205"/>
      <c r="P1788" s="210">
        <f>(表格3_5[[#This Row],[Out-Time2]] - 表格3_5[[#This Row],[In-Time2]])*24</f>
        <v>0</v>
      </c>
      <c r="Q1788" s="205"/>
      <c r="R1788" s="214">
        <f>_xlfn.XLOOKUP(表格3_5[[#This Row],[Name]],Name_list[Full Name],Name_list[Hourr Rate])</f>
        <v>0</v>
      </c>
      <c r="S1788" s="210">
        <f>表格3_5[[#This Row],[Hours Worked]]*表格3_5[[#This Row],[Hourly Rate]]</f>
        <v>0</v>
      </c>
    </row>
    <row r="1789" spans="1:19">
      <c r="A1789" s="201">
        <v>1787</v>
      </c>
      <c r="B1789" s="210" t="str">
        <f>_xlfn.CONCAT(表格3_5[[#This Row],[Name]],表格3_5[[#This Row],[Location]])</f>
        <v/>
      </c>
      <c r="C1789" s="211" t="str">
        <f>表格3_5[[#This Row],[Location]] &amp; 表格3_5[[#This Row],[Date]] &amp;表格3_5[[#This Row],[Nick Name]]</f>
        <v>0</v>
      </c>
      <c r="D1789" s="202"/>
      <c r="E1789" s="211" t="str">
        <f>DAY(表格3_5[[#This Row],[Date]])&amp;""</f>
        <v>0</v>
      </c>
      <c r="F1789" s="203"/>
      <c r="G1789" s="216">
        <f>_xlfn.XLOOKUP(表格3_5[[#This Row],[Name]],Name_list[Full Name],Name_list[Nick Name])</f>
        <v>0</v>
      </c>
      <c r="H1789" s="207"/>
      <c r="I1789" s="228"/>
      <c r="J1789" s="218"/>
      <c r="K1789" s="205"/>
      <c r="L1789" s="210">
        <f>(表格3_5[[#This Row],[Out-Time]] - 表格3_5[[#This Row],[In-Time]])*24</f>
        <v>0</v>
      </c>
      <c r="M1789" s="210">
        <f>表格3_5[[#This Row],[ Hours]]-表格3_5[[#This Row],[Normal working
 hours]]</f>
        <v>0</v>
      </c>
      <c r="N1789" s="205"/>
      <c r="O1789" s="205"/>
      <c r="P1789" s="210">
        <f>(表格3_5[[#This Row],[Out-Time2]] - 表格3_5[[#This Row],[In-Time2]])*24</f>
        <v>0</v>
      </c>
      <c r="Q1789" s="205"/>
      <c r="R1789" s="214">
        <f>_xlfn.XLOOKUP(表格3_5[[#This Row],[Name]],Name_list[Full Name],Name_list[Hourr Rate])</f>
        <v>0</v>
      </c>
      <c r="S1789" s="210">
        <f>表格3_5[[#This Row],[Hours Worked]]*表格3_5[[#This Row],[Hourly Rate]]</f>
        <v>0</v>
      </c>
    </row>
    <row r="1790" spans="1:19">
      <c r="A1790" s="201">
        <v>1788</v>
      </c>
      <c r="B1790" s="210" t="str">
        <f>_xlfn.CONCAT(表格3_5[[#This Row],[Name]],表格3_5[[#This Row],[Location]])</f>
        <v/>
      </c>
      <c r="C1790" s="211" t="str">
        <f>表格3_5[[#This Row],[Location]] &amp; 表格3_5[[#This Row],[Date]] &amp;表格3_5[[#This Row],[Nick Name]]</f>
        <v>0</v>
      </c>
      <c r="D1790" s="202"/>
      <c r="E1790" s="211" t="str">
        <f>DAY(表格3_5[[#This Row],[Date]])&amp;""</f>
        <v>0</v>
      </c>
      <c r="F1790" s="203"/>
      <c r="G1790" s="216">
        <f>_xlfn.XLOOKUP(表格3_5[[#This Row],[Name]],Name_list[Full Name],Name_list[Nick Name])</f>
        <v>0</v>
      </c>
      <c r="H1790" s="207"/>
      <c r="I1790" s="228"/>
      <c r="J1790" s="218"/>
      <c r="K1790" s="205"/>
      <c r="L1790" s="210">
        <f>(表格3_5[[#This Row],[Out-Time]] - 表格3_5[[#This Row],[In-Time]])*24</f>
        <v>0</v>
      </c>
      <c r="M1790" s="210">
        <f>表格3_5[[#This Row],[ Hours]]-表格3_5[[#This Row],[Normal working
 hours]]</f>
        <v>0</v>
      </c>
      <c r="N1790" s="205"/>
      <c r="O1790" s="205"/>
      <c r="P1790" s="210">
        <f>(表格3_5[[#This Row],[Out-Time2]] - 表格3_5[[#This Row],[In-Time2]])*24</f>
        <v>0</v>
      </c>
      <c r="Q1790" s="205"/>
      <c r="R1790" s="214">
        <f>_xlfn.XLOOKUP(表格3_5[[#This Row],[Name]],Name_list[Full Name],Name_list[Hourr Rate])</f>
        <v>0</v>
      </c>
      <c r="S1790" s="210">
        <f>表格3_5[[#This Row],[Hours Worked]]*表格3_5[[#This Row],[Hourly Rate]]</f>
        <v>0</v>
      </c>
    </row>
    <row r="1791" spans="1:19">
      <c r="A1791" s="201">
        <v>1789</v>
      </c>
      <c r="B1791" s="210" t="str">
        <f>_xlfn.CONCAT(表格3_5[[#This Row],[Name]],表格3_5[[#This Row],[Location]])</f>
        <v/>
      </c>
      <c r="C1791" s="211" t="str">
        <f>表格3_5[[#This Row],[Location]] &amp; 表格3_5[[#This Row],[Date]] &amp;表格3_5[[#This Row],[Nick Name]]</f>
        <v>0</v>
      </c>
      <c r="D1791" s="202"/>
      <c r="E1791" s="211" t="str">
        <f>DAY(表格3_5[[#This Row],[Date]])&amp;""</f>
        <v>0</v>
      </c>
      <c r="F1791" s="203"/>
      <c r="G1791" s="216">
        <f>_xlfn.XLOOKUP(表格3_5[[#This Row],[Name]],Name_list[Full Name],Name_list[Nick Name])</f>
        <v>0</v>
      </c>
      <c r="H1791" s="207"/>
      <c r="I1791" s="228"/>
      <c r="J1791" s="218"/>
      <c r="K1791" s="205"/>
      <c r="L1791" s="210">
        <f>(表格3_5[[#This Row],[Out-Time]] - 表格3_5[[#This Row],[In-Time]])*24</f>
        <v>0</v>
      </c>
      <c r="M1791" s="210">
        <f>表格3_5[[#This Row],[ Hours]]-表格3_5[[#This Row],[Normal working
 hours]]</f>
        <v>0</v>
      </c>
      <c r="N1791" s="205"/>
      <c r="O1791" s="205"/>
      <c r="P1791" s="210">
        <f>(表格3_5[[#This Row],[Out-Time2]] - 表格3_5[[#This Row],[In-Time2]])*24</f>
        <v>0</v>
      </c>
      <c r="Q1791" s="205"/>
      <c r="R1791" s="214">
        <f>_xlfn.XLOOKUP(表格3_5[[#This Row],[Name]],Name_list[Full Name],Name_list[Hourr Rate])</f>
        <v>0</v>
      </c>
      <c r="S1791" s="210">
        <f>表格3_5[[#This Row],[Hours Worked]]*表格3_5[[#This Row],[Hourly Rate]]</f>
        <v>0</v>
      </c>
    </row>
    <row r="1792" spans="1:19">
      <c r="A1792" s="201">
        <v>1790</v>
      </c>
      <c r="B1792" s="210" t="str">
        <f>_xlfn.CONCAT(表格3_5[[#This Row],[Name]],表格3_5[[#This Row],[Location]])</f>
        <v/>
      </c>
      <c r="C1792" s="211" t="str">
        <f>表格3_5[[#This Row],[Location]] &amp; 表格3_5[[#This Row],[Date]] &amp;表格3_5[[#This Row],[Nick Name]]</f>
        <v>0</v>
      </c>
      <c r="D1792" s="202"/>
      <c r="E1792" s="211" t="str">
        <f>DAY(表格3_5[[#This Row],[Date]])&amp;""</f>
        <v>0</v>
      </c>
      <c r="F1792" s="203"/>
      <c r="G1792" s="216">
        <f>_xlfn.XLOOKUP(表格3_5[[#This Row],[Name]],Name_list[Full Name],Name_list[Nick Name])</f>
        <v>0</v>
      </c>
      <c r="H1792" s="207"/>
      <c r="I1792" s="228"/>
      <c r="J1792" s="218"/>
      <c r="K1792" s="205"/>
      <c r="L1792" s="210">
        <f>(表格3_5[[#This Row],[Out-Time]] - 表格3_5[[#This Row],[In-Time]])*24</f>
        <v>0</v>
      </c>
      <c r="M1792" s="210">
        <f>表格3_5[[#This Row],[ Hours]]-表格3_5[[#This Row],[Normal working
 hours]]</f>
        <v>0</v>
      </c>
      <c r="N1792" s="205"/>
      <c r="O1792" s="205"/>
      <c r="P1792" s="210">
        <f>(表格3_5[[#This Row],[Out-Time2]] - 表格3_5[[#This Row],[In-Time2]])*24</f>
        <v>0</v>
      </c>
      <c r="Q1792" s="205"/>
      <c r="R1792" s="214">
        <f>_xlfn.XLOOKUP(表格3_5[[#This Row],[Name]],Name_list[Full Name],Name_list[Hourr Rate])</f>
        <v>0</v>
      </c>
      <c r="S1792" s="210">
        <f>表格3_5[[#This Row],[Hours Worked]]*表格3_5[[#This Row],[Hourly Rate]]</f>
        <v>0</v>
      </c>
    </row>
    <row r="1793" spans="1:19">
      <c r="A1793" s="201">
        <v>1791</v>
      </c>
      <c r="B1793" s="210" t="str">
        <f>_xlfn.CONCAT(表格3_5[[#This Row],[Name]],表格3_5[[#This Row],[Location]])</f>
        <v/>
      </c>
      <c r="C1793" s="211" t="str">
        <f>表格3_5[[#This Row],[Location]] &amp; 表格3_5[[#This Row],[Date]] &amp;表格3_5[[#This Row],[Nick Name]]</f>
        <v>0</v>
      </c>
      <c r="D1793" s="202"/>
      <c r="E1793" s="211" t="str">
        <f>DAY(表格3_5[[#This Row],[Date]])&amp;""</f>
        <v>0</v>
      </c>
      <c r="F1793" s="203"/>
      <c r="G1793" s="216">
        <f>_xlfn.XLOOKUP(表格3_5[[#This Row],[Name]],Name_list[Full Name],Name_list[Nick Name])</f>
        <v>0</v>
      </c>
      <c r="H1793" s="207"/>
      <c r="I1793" s="228"/>
      <c r="J1793" s="218"/>
      <c r="K1793" s="205"/>
      <c r="L1793" s="210">
        <f>(表格3_5[[#This Row],[Out-Time]] - 表格3_5[[#This Row],[In-Time]])*24</f>
        <v>0</v>
      </c>
      <c r="M1793" s="210">
        <f>表格3_5[[#This Row],[ Hours]]-表格3_5[[#This Row],[Normal working
 hours]]</f>
        <v>0</v>
      </c>
      <c r="N1793" s="205"/>
      <c r="O1793" s="205"/>
      <c r="P1793" s="210">
        <f>(表格3_5[[#This Row],[Out-Time2]] - 表格3_5[[#This Row],[In-Time2]])*24</f>
        <v>0</v>
      </c>
      <c r="Q1793" s="205"/>
      <c r="R1793" s="214">
        <f>_xlfn.XLOOKUP(表格3_5[[#This Row],[Name]],Name_list[Full Name],Name_list[Hourr Rate])</f>
        <v>0</v>
      </c>
      <c r="S1793" s="210">
        <f>表格3_5[[#This Row],[Hours Worked]]*表格3_5[[#This Row],[Hourly Rate]]</f>
        <v>0</v>
      </c>
    </row>
    <row r="1794" spans="1:19">
      <c r="A1794" s="201">
        <v>1792</v>
      </c>
      <c r="B1794" s="210" t="str">
        <f>_xlfn.CONCAT(表格3_5[[#This Row],[Name]],表格3_5[[#This Row],[Location]])</f>
        <v/>
      </c>
      <c r="C1794" s="211" t="str">
        <f>表格3_5[[#This Row],[Location]] &amp; 表格3_5[[#This Row],[Date]] &amp;表格3_5[[#This Row],[Nick Name]]</f>
        <v>0</v>
      </c>
      <c r="D1794" s="202"/>
      <c r="E1794" s="211" t="str">
        <f>DAY(表格3_5[[#This Row],[Date]])&amp;""</f>
        <v>0</v>
      </c>
      <c r="F1794" s="203"/>
      <c r="G1794" s="216">
        <f>_xlfn.XLOOKUP(表格3_5[[#This Row],[Name]],Name_list[Full Name],Name_list[Nick Name])</f>
        <v>0</v>
      </c>
      <c r="H1794" s="207"/>
      <c r="I1794" s="228"/>
      <c r="J1794" s="218"/>
      <c r="K1794" s="205"/>
      <c r="L1794" s="210">
        <f>(表格3_5[[#This Row],[Out-Time]] - 表格3_5[[#This Row],[In-Time]])*24</f>
        <v>0</v>
      </c>
      <c r="M1794" s="210">
        <f>表格3_5[[#This Row],[ Hours]]-表格3_5[[#This Row],[Normal working
 hours]]</f>
        <v>0</v>
      </c>
      <c r="N1794" s="205"/>
      <c r="O1794" s="205"/>
      <c r="P1794" s="210">
        <f>(表格3_5[[#This Row],[Out-Time2]] - 表格3_5[[#This Row],[In-Time2]])*24</f>
        <v>0</v>
      </c>
      <c r="Q1794" s="205"/>
      <c r="R1794" s="214">
        <f>_xlfn.XLOOKUP(表格3_5[[#This Row],[Name]],Name_list[Full Name],Name_list[Hourr Rate])</f>
        <v>0</v>
      </c>
      <c r="S1794" s="210">
        <f>表格3_5[[#This Row],[Hours Worked]]*表格3_5[[#This Row],[Hourly Rate]]</f>
        <v>0</v>
      </c>
    </row>
    <row r="1795" spans="1:19">
      <c r="A1795" s="201">
        <v>1793</v>
      </c>
      <c r="B1795" s="210" t="str">
        <f>_xlfn.CONCAT(表格3_5[[#This Row],[Name]],表格3_5[[#This Row],[Location]])</f>
        <v/>
      </c>
      <c r="C1795" s="211" t="str">
        <f>表格3_5[[#This Row],[Location]] &amp; 表格3_5[[#This Row],[Date]] &amp;表格3_5[[#This Row],[Nick Name]]</f>
        <v>0</v>
      </c>
      <c r="D1795" s="202"/>
      <c r="E1795" s="211" t="str">
        <f>DAY(表格3_5[[#This Row],[Date]])&amp;""</f>
        <v>0</v>
      </c>
      <c r="F1795" s="203"/>
      <c r="G1795" s="216">
        <f>_xlfn.XLOOKUP(表格3_5[[#This Row],[Name]],Name_list[Full Name],Name_list[Nick Name])</f>
        <v>0</v>
      </c>
      <c r="H1795" s="207"/>
      <c r="I1795" s="228"/>
      <c r="J1795" s="218"/>
      <c r="K1795" s="205"/>
      <c r="L1795" s="210">
        <f>(表格3_5[[#This Row],[Out-Time]] - 表格3_5[[#This Row],[In-Time]])*24</f>
        <v>0</v>
      </c>
      <c r="M1795" s="210">
        <f>表格3_5[[#This Row],[ Hours]]-表格3_5[[#This Row],[Normal working
 hours]]</f>
        <v>0</v>
      </c>
      <c r="N1795" s="205"/>
      <c r="O1795" s="205"/>
      <c r="P1795" s="210">
        <f>(表格3_5[[#This Row],[Out-Time2]] - 表格3_5[[#This Row],[In-Time2]])*24</f>
        <v>0</v>
      </c>
      <c r="Q1795" s="205"/>
      <c r="R1795" s="214">
        <f>_xlfn.XLOOKUP(表格3_5[[#This Row],[Name]],Name_list[Full Name],Name_list[Hourr Rate])</f>
        <v>0</v>
      </c>
      <c r="S1795" s="210">
        <f>表格3_5[[#This Row],[Hours Worked]]*表格3_5[[#This Row],[Hourly Rate]]</f>
        <v>0</v>
      </c>
    </row>
    <row r="1796" spans="1:19">
      <c r="A1796" s="201">
        <v>1794</v>
      </c>
      <c r="B1796" s="210" t="str">
        <f>_xlfn.CONCAT(表格3_5[[#This Row],[Name]],表格3_5[[#This Row],[Location]])</f>
        <v/>
      </c>
      <c r="C1796" s="211" t="str">
        <f>表格3_5[[#This Row],[Location]] &amp; 表格3_5[[#This Row],[Date]] &amp;表格3_5[[#This Row],[Nick Name]]</f>
        <v>0</v>
      </c>
      <c r="D1796" s="202"/>
      <c r="E1796" s="211" t="str">
        <f>DAY(表格3_5[[#This Row],[Date]])&amp;""</f>
        <v>0</v>
      </c>
      <c r="F1796" s="203"/>
      <c r="G1796" s="216">
        <f>_xlfn.XLOOKUP(表格3_5[[#This Row],[Name]],Name_list[Full Name],Name_list[Nick Name])</f>
        <v>0</v>
      </c>
      <c r="H1796" s="207"/>
      <c r="I1796" s="228"/>
      <c r="J1796" s="218"/>
      <c r="K1796" s="205"/>
      <c r="L1796" s="210">
        <f>(表格3_5[[#This Row],[Out-Time]] - 表格3_5[[#This Row],[In-Time]])*24</f>
        <v>0</v>
      </c>
      <c r="M1796" s="210">
        <f>表格3_5[[#This Row],[ Hours]]-表格3_5[[#This Row],[Normal working
 hours]]</f>
        <v>0</v>
      </c>
      <c r="N1796" s="205"/>
      <c r="O1796" s="205"/>
      <c r="P1796" s="210">
        <f>(表格3_5[[#This Row],[Out-Time2]] - 表格3_5[[#This Row],[In-Time2]])*24</f>
        <v>0</v>
      </c>
      <c r="Q1796" s="205"/>
      <c r="R1796" s="214">
        <f>_xlfn.XLOOKUP(表格3_5[[#This Row],[Name]],Name_list[Full Name],Name_list[Hourr Rate])</f>
        <v>0</v>
      </c>
      <c r="S1796" s="210">
        <f>表格3_5[[#This Row],[Hours Worked]]*表格3_5[[#This Row],[Hourly Rate]]</f>
        <v>0</v>
      </c>
    </row>
    <row r="1797" spans="1:19">
      <c r="A1797" s="201">
        <v>1795</v>
      </c>
      <c r="B1797" s="210" t="str">
        <f>_xlfn.CONCAT(表格3_5[[#This Row],[Name]],表格3_5[[#This Row],[Location]])</f>
        <v/>
      </c>
      <c r="C1797" s="211" t="str">
        <f>表格3_5[[#This Row],[Location]] &amp; 表格3_5[[#This Row],[Date]] &amp;表格3_5[[#This Row],[Nick Name]]</f>
        <v>0</v>
      </c>
      <c r="D1797" s="202"/>
      <c r="E1797" s="211" t="str">
        <f>DAY(表格3_5[[#This Row],[Date]])&amp;""</f>
        <v>0</v>
      </c>
      <c r="F1797" s="203"/>
      <c r="G1797" s="216">
        <f>_xlfn.XLOOKUP(表格3_5[[#This Row],[Name]],Name_list[Full Name],Name_list[Nick Name])</f>
        <v>0</v>
      </c>
      <c r="H1797" s="207"/>
      <c r="I1797" s="228"/>
      <c r="J1797" s="218"/>
      <c r="K1797" s="205"/>
      <c r="L1797" s="210">
        <f>(表格3_5[[#This Row],[Out-Time]] - 表格3_5[[#This Row],[In-Time]])*24</f>
        <v>0</v>
      </c>
      <c r="M1797" s="210">
        <f>表格3_5[[#This Row],[ Hours]]-表格3_5[[#This Row],[Normal working
 hours]]</f>
        <v>0</v>
      </c>
      <c r="N1797" s="205"/>
      <c r="O1797" s="205"/>
      <c r="P1797" s="210">
        <f>(表格3_5[[#This Row],[Out-Time2]] - 表格3_5[[#This Row],[In-Time2]])*24</f>
        <v>0</v>
      </c>
      <c r="Q1797" s="205"/>
      <c r="R1797" s="214">
        <f>_xlfn.XLOOKUP(表格3_5[[#This Row],[Name]],Name_list[Full Name],Name_list[Hourr Rate])</f>
        <v>0</v>
      </c>
      <c r="S1797" s="210">
        <f>表格3_5[[#This Row],[Hours Worked]]*表格3_5[[#This Row],[Hourly Rate]]</f>
        <v>0</v>
      </c>
    </row>
    <row r="1798" spans="1:19">
      <c r="A1798" s="201">
        <v>1796</v>
      </c>
      <c r="B1798" s="210" t="str">
        <f>_xlfn.CONCAT(表格3_5[[#This Row],[Name]],表格3_5[[#This Row],[Location]])</f>
        <v/>
      </c>
      <c r="C1798" s="211" t="str">
        <f>表格3_5[[#This Row],[Location]] &amp; 表格3_5[[#This Row],[Date]] &amp;表格3_5[[#This Row],[Nick Name]]</f>
        <v>0</v>
      </c>
      <c r="D1798" s="202"/>
      <c r="E1798" s="211" t="str">
        <f>DAY(表格3_5[[#This Row],[Date]])&amp;""</f>
        <v>0</v>
      </c>
      <c r="F1798" s="203"/>
      <c r="G1798" s="216">
        <f>_xlfn.XLOOKUP(表格3_5[[#This Row],[Name]],Name_list[Full Name],Name_list[Nick Name])</f>
        <v>0</v>
      </c>
      <c r="H1798" s="207"/>
      <c r="I1798" s="228"/>
      <c r="J1798" s="218"/>
      <c r="K1798" s="205"/>
      <c r="L1798" s="210">
        <f>(表格3_5[[#This Row],[Out-Time]] - 表格3_5[[#This Row],[In-Time]])*24</f>
        <v>0</v>
      </c>
      <c r="M1798" s="210">
        <f>表格3_5[[#This Row],[ Hours]]-表格3_5[[#This Row],[Normal working
 hours]]</f>
        <v>0</v>
      </c>
      <c r="N1798" s="205"/>
      <c r="O1798" s="205"/>
      <c r="P1798" s="210">
        <f>(表格3_5[[#This Row],[Out-Time2]] - 表格3_5[[#This Row],[In-Time2]])*24</f>
        <v>0</v>
      </c>
      <c r="Q1798" s="205"/>
      <c r="R1798" s="214">
        <f>_xlfn.XLOOKUP(表格3_5[[#This Row],[Name]],Name_list[Full Name],Name_list[Hourr Rate])</f>
        <v>0</v>
      </c>
      <c r="S1798" s="210">
        <f>表格3_5[[#This Row],[Hours Worked]]*表格3_5[[#This Row],[Hourly Rate]]</f>
        <v>0</v>
      </c>
    </row>
    <row r="1799" spans="1:19">
      <c r="A1799" s="201">
        <v>1797</v>
      </c>
      <c r="B1799" s="210" t="str">
        <f>_xlfn.CONCAT(表格3_5[[#This Row],[Name]],表格3_5[[#This Row],[Location]])</f>
        <v/>
      </c>
      <c r="C1799" s="211" t="str">
        <f>表格3_5[[#This Row],[Location]] &amp; 表格3_5[[#This Row],[Date]] &amp;表格3_5[[#This Row],[Nick Name]]</f>
        <v>0</v>
      </c>
      <c r="D1799" s="202"/>
      <c r="E1799" s="211" t="str">
        <f>DAY(表格3_5[[#This Row],[Date]])&amp;""</f>
        <v>0</v>
      </c>
      <c r="F1799" s="203"/>
      <c r="G1799" s="216">
        <f>_xlfn.XLOOKUP(表格3_5[[#This Row],[Name]],Name_list[Full Name],Name_list[Nick Name])</f>
        <v>0</v>
      </c>
      <c r="H1799" s="207"/>
      <c r="I1799" s="228"/>
      <c r="J1799" s="218"/>
      <c r="K1799" s="205"/>
      <c r="L1799" s="210">
        <f>(表格3_5[[#This Row],[Out-Time]] - 表格3_5[[#This Row],[In-Time]])*24</f>
        <v>0</v>
      </c>
      <c r="M1799" s="210">
        <f>表格3_5[[#This Row],[ Hours]]-表格3_5[[#This Row],[Normal working
 hours]]</f>
        <v>0</v>
      </c>
      <c r="N1799" s="205"/>
      <c r="O1799" s="205"/>
      <c r="P1799" s="210">
        <f>(表格3_5[[#This Row],[Out-Time2]] - 表格3_5[[#This Row],[In-Time2]])*24</f>
        <v>0</v>
      </c>
      <c r="Q1799" s="205"/>
      <c r="R1799" s="214">
        <f>_xlfn.XLOOKUP(表格3_5[[#This Row],[Name]],Name_list[Full Name],Name_list[Hourr Rate])</f>
        <v>0</v>
      </c>
      <c r="S1799" s="210">
        <f>表格3_5[[#This Row],[Hours Worked]]*表格3_5[[#This Row],[Hourly Rate]]</f>
        <v>0</v>
      </c>
    </row>
    <row r="1800" spans="1:19">
      <c r="A1800" s="201">
        <v>1798</v>
      </c>
      <c r="B1800" s="210" t="str">
        <f>_xlfn.CONCAT(表格3_5[[#This Row],[Name]],表格3_5[[#This Row],[Location]])</f>
        <v/>
      </c>
      <c r="C1800" s="211" t="str">
        <f>表格3_5[[#This Row],[Location]] &amp; 表格3_5[[#This Row],[Date]] &amp;表格3_5[[#This Row],[Nick Name]]</f>
        <v>0</v>
      </c>
      <c r="D1800" s="202"/>
      <c r="E1800" s="211" t="str">
        <f>DAY(表格3_5[[#This Row],[Date]])&amp;""</f>
        <v>0</v>
      </c>
      <c r="F1800" s="203"/>
      <c r="G1800" s="216">
        <f>_xlfn.XLOOKUP(表格3_5[[#This Row],[Name]],Name_list[Full Name],Name_list[Nick Name])</f>
        <v>0</v>
      </c>
      <c r="H1800" s="207"/>
      <c r="I1800" s="228"/>
      <c r="J1800" s="218"/>
      <c r="K1800" s="205"/>
      <c r="L1800" s="210">
        <f>(表格3_5[[#This Row],[Out-Time]] - 表格3_5[[#This Row],[In-Time]])*24</f>
        <v>0</v>
      </c>
      <c r="M1800" s="210">
        <f>表格3_5[[#This Row],[ Hours]]-表格3_5[[#This Row],[Normal working
 hours]]</f>
        <v>0</v>
      </c>
      <c r="N1800" s="205"/>
      <c r="O1800" s="205"/>
      <c r="P1800" s="210">
        <f>(表格3_5[[#This Row],[Out-Time2]] - 表格3_5[[#This Row],[In-Time2]])*24</f>
        <v>0</v>
      </c>
      <c r="Q1800" s="205"/>
      <c r="R1800" s="214">
        <f>_xlfn.XLOOKUP(表格3_5[[#This Row],[Name]],Name_list[Full Name],Name_list[Hourr Rate])</f>
        <v>0</v>
      </c>
      <c r="S1800" s="210">
        <f>表格3_5[[#This Row],[Hours Worked]]*表格3_5[[#This Row],[Hourly Rate]]</f>
        <v>0</v>
      </c>
    </row>
    <row r="1801" spans="1:19">
      <c r="A1801" s="201">
        <v>1799</v>
      </c>
      <c r="B1801" s="210" t="str">
        <f>_xlfn.CONCAT(表格3_5[[#This Row],[Name]],表格3_5[[#This Row],[Location]])</f>
        <v/>
      </c>
      <c r="C1801" s="211" t="str">
        <f>表格3_5[[#This Row],[Location]] &amp; 表格3_5[[#This Row],[Date]] &amp;表格3_5[[#This Row],[Nick Name]]</f>
        <v>0</v>
      </c>
      <c r="D1801" s="202"/>
      <c r="E1801" s="211" t="str">
        <f>DAY(表格3_5[[#This Row],[Date]])&amp;""</f>
        <v>0</v>
      </c>
      <c r="F1801" s="203"/>
      <c r="G1801" s="216">
        <f>_xlfn.XLOOKUP(表格3_5[[#This Row],[Name]],Name_list[Full Name],Name_list[Nick Name])</f>
        <v>0</v>
      </c>
      <c r="H1801" s="207"/>
      <c r="I1801" s="228"/>
      <c r="J1801" s="218"/>
      <c r="K1801" s="205"/>
      <c r="L1801" s="210">
        <f>(表格3_5[[#This Row],[Out-Time]] - 表格3_5[[#This Row],[In-Time]])*24</f>
        <v>0</v>
      </c>
      <c r="M1801" s="210">
        <f>表格3_5[[#This Row],[ Hours]]-表格3_5[[#This Row],[Normal working
 hours]]</f>
        <v>0</v>
      </c>
      <c r="N1801" s="205"/>
      <c r="O1801" s="205"/>
      <c r="P1801" s="210">
        <f>(表格3_5[[#This Row],[Out-Time2]] - 表格3_5[[#This Row],[In-Time2]])*24</f>
        <v>0</v>
      </c>
      <c r="Q1801" s="205"/>
      <c r="R1801" s="214">
        <f>_xlfn.XLOOKUP(表格3_5[[#This Row],[Name]],Name_list[Full Name],Name_list[Hourr Rate])</f>
        <v>0</v>
      </c>
      <c r="S1801" s="210">
        <f>表格3_5[[#This Row],[Hours Worked]]*表格3_5[[#This Row],[Hourly Rate]]</f>
        <v>0</v>
      </c>
    </row>
    <row r="1802" spans="1:19">
      <c r="A1802" s="201">
        <v>1800</v>
      </c>
      <c r="B1802" s="210" t="str">
        <f>_xlfn.CONCAT(表格3_5[[#This Row],[Name]],表格3_5[[#This Row],[Location]])</f>
        <v/>
      </c>
      <c r="C1802" s="211" t="str">
        <f>表格3_5[[#This Row],[Location]] &amp; 表格3_5[[#This Row],[Date]] &amp;表格3_5[[#This Row],[Nick Name]]</f>
        <v>0</v>
      </c>
      <c r="D1802" s="202"/>
      <c r="E1802" s="211" t="str">
        <f>DAY(表格3_5[[#This Row],[Date]])&amp;""</f>
        <v>0</v>
      </c>
      <c r="F1802" s="203"/>
      <c r="G1802" s="216">
        <f>_xlfn.XLOOKUP(表格3_5[[#This Row],[Name]],Name_list[Full Name],Name_list[Nick Name])</f>
        <v>0</v>
      </c>
      <c r="H1802" s="207"/>
      <c r="I1802" s="228"/>
      <c r="J1802" s="218"/>
      <c r="K1802" s="205"/>
      <c r="L1802" s="210">
        <f>(表格3_5[[#This Row],[Out-Time]] - 表格3_5[[#This Row],[In-Time]])*24</f>
        <v>0</v>
      </c>
      <c r="M1802" s="210">
        <f>表格3_5[[#This Row],[ Hours]]-表格3_5[[#This Row],[Normal working
 hours]]</f>
        <v>0</v>
      </c>
      <c r="N1802" s="205"/>
      <c r="O1802" s="205"/>
      <c r="P1802" s="210">
        <f>(表格3_5[[#This Row],[Out-Time2]] - 表格3_5[[#This Row],[In-Time2]])*24</f>
        <v>0</v>
      </c>
      <c r="Q1802" s="205"/>
      <c r="R1802" s="214">
        <f>_xlfn.XLOOKUP(表格3_5[[#This Row],[Name]],Name_list[Full Name],Name_list[Hourr Rate])</f>
        <v>0</v>
      </c>
      <c r="S1802" s="210">
        <f>表格3_5[[#This Row],[Hours Worked]]*表格3_5[[#This Row],[Hourly Rate]]</f>
        <v>0</v>
      </c>
    </row>
    <row r="1803" spans="1:19">
      <c r="A1803" s="201">
        <v>1801</v>
      </c>
      <c r="B1803" s="210" t="str">
        <f>_xlfn.CONCAT(表格3_5[[#This Row],[Name]],表格3_5[[#This Row],[Location]])</f>
        <v/>
      </c>
      <c r="C1803" s="211" t="str">
        <f>表格3_5[[#This Row],[Location]] &amp; 表格3_5[[#This Row],[Date]] &amp;表格3_5[[#This Row],[Nick Name]]</f>
        <v>0</v>
      </c>
      <c r="D1803" s="202"/>
      <c r="E1803" s="211" t="str">
        <f>DAY(表格3_5[[#This Row],[Date]])&amp;""</f>
        <v>0</v>
      </c>
      <c r="F1803" s="203"/>
      <c r="G1803" s="216">
        <f>_xlfn.XLOOKUP(表格3_5[[#This Row],[Name]],Name_list[Full Name],Name_list[Nick Name])</f>
        <v>0</v>
      </c>
      <c r="H1803" s="207"/>
      <c r="I1803" s="228"/>
      <c r="J1803" s="218"/>
      <c r="K1803" s="205"/>
      <c r="L1803" s="210">
        <f>(表格3_5[[#This Row],[Out-Time]] - 表格3_5[[#This Row],[In-Time]])*24</f>
        <v>0</v>
      </c>
      <c r="M1803" s="210">
        <f>表格3_5[[#This Row],[ Hours]]-表格3_5[[#This Row],[Normal working
 hours]]</f>
        <v>0</v>
      </c>
      <c r="N1803" s="205"/>
      <c r="O1803" s="205"/>
      <c r="P1803" s="210">
        <f>(表格3_5[[#This Row],[Out-Time2]] - 表格3_5[[#This Row],[In-Time2]])*24</f>
        <v>0</v>
      </c>
      <c r="Q1803" s="205"/>
      <c r="R1803" s="214">
        <f>_xlfn.XLOOKUP(表格3_5[[#This Row],[Name]],Name_list[Full Name],Name_list[Hourr Rate])</f>
        <v>0</v>
      </c>
      <c r="S1803" s="210">
        <f>表格3_5[[#This Row],[Hours Worked]]*表格3_5[[#This Row],[Hourly Rate]]</f>
        <v>0</v>
      </c>
    </row>
    <row r="1804" spans="1:19">
      <c r="A1804" s="201">
        <v>1802</v>
      </c>
      <c r="B1804" s="210" t="str">
        <f>_xlfn.CONCAT(表格3_5[[#This Row],[Name]],表格3_5[[#This Row],[Location]])</f>
        <v/>
      </c>
      <c r="C1804" s="211" t="str">
        <f>表格3_5[[#This Row],[Location]] &amp; 表格3_5[[#This Row],[Date]] &amp;表格3_5[[#This Row],[Nick Name]]</f>
        <v>0</v>
      </c>
      <c r="D1804" s="202"/>
      <c r="E1804" s="211" t="str">
        <f>DAY(表格3_5[[#This Row],[Date]])&amp;""</f>
        <v>0</v>
      </c>
      <c r="F1804" s="203"/>
      <c r="G1804" s="216">
        <f>_xlfn.XLOOKUP(表格3_5[[#This Row],[Name]],Name_list[Full Name],Name_list[Nick Name])</f>
        <v>0</v>
      </c>
      <c r="H1804" s="207"/>
      <c r="I1804" s="228"/>
      <c r="J1804" s="218"/>
      <c r="K1804" s="205"/>
      <c r="L1804" s="210">
        <f>(表格3_5[[#This Row],[Out-Time]] - 表格3_5[[#This Row],[In-Time]])*24</f>
        <v>0</v>
      </c>
      <c r="M1804" s="210">
        <f>表格3_5[[#This Row],[ Hours]]-表格3_5[[#This Row],[Normal working
 hours]]</f>
        <v>0</v>
      </c>
      <c r="N1804" s="205"/>
      <c r="O1804" s="205"/>
      <c r="P1804" s="210">
        <f>(表格3_5[[#This Row],[Out-Time2]] - 表格3_5[[#This Row],[In-Time2]])*24</f>
        <v>0</v>
      </c>
      <c r="Q1804" s="205"/>
      <c r="R1804" s="214">
        <f>_xlfn.XLOOKUP(表格3_5[[#This Row],[Name]],Name_list[Full Name],Name_list[Hourr Rate])</f>
        <v>0</v>
      </c>
      <c r="S1804" s="210">
        <f>表格3_5[[#This Row],[Hours Worked]]*表格3_5[[#This Row],[Hourly Rate]]</f>
        <v>0</v>
      </c>
    </row>
    <row r="1805" spans="1:19">
      <c r="A1805" s="201">
        <v>1803</v>
      </c>
      <c r="B1805" s="210" t="str">
        <f>_xlfn.CONCAT(表格3_5[[#This Row],[Name]],表格3_5[[#This Row],[Location]])</f>
        <v/>
      </c>
      <c r="C1805" s="211" t="str">
        <f>表格3_5[[#This Row],[Location]] &amp; 表格3_5[[#This Row],[Date]] &amp;表格3_5[[#This Row],[Nick Name]]</f>
        <v>0</v>
      </c>
      <c r="D1805" s="202"/>
      <c r="E1805" s="211" t="str">
        <f>DAY(表格3_5[[#This Row],[Date]])&amp;""</f>
        <v>0</v>
      </c>
      <c r="F1805" s="203"/>
      <c r="G1805" s="216">
        <f>_xlfn.XLOOKUP(表格3_5[[#This Row],[Name]],Name_list[Full Name],Name_list[Nick Name])</f>
        <v>0</v>
      </c>
      <c r="H1805" s="207"/>
      <c r="I1805" s="228"/>
      <c r="J1805" s="218"/>
      <c r="K1805" s="205"/>
      <c r="L1805" s="210">
        <f>(表格3_5[[#This Row],[Out-Time]] - 表格3_5[[#This Row],[In-Time]])*24</f>
        <v>0</v>
      </c>
      <c r="M1805" s="210">
        <f>表格3_5[[#This Row],[ Hours]]-表格3_5[[#This Row],[Normal working
 hours]]</f>
        <v>0</v>
      </c>
      <c r="N1805" s="205"/>
      <c r="O1805" s="205"/>
      <c r="P1805" s="210">
        <f>(表格3_5[[#This Row],[Out-Time2]] - 表格3_5[[#This Row],[In-Time2]])*24</f>
        <v>0</v>
      </c>
      <c r="Q1805" s="205"/>
      <c r="R1805" s="214">
        <f>_xlfn.XLOOKUP(表格3_5[[#This Row],[Name]],Name_list[Full Name],Name_list[Hourr Rate])</f>
        <v>0</v>
      </c>
      <c r="S1805" s="210">
        <f>表格3_5[[#This Row],[Hours Worked]]*表格3_5[[#This Row],[Hourly Rate]]</f>
        <v>0</v>
      </c>
    </row>
    <row r="1806" spans="1:19">
      <c r="A1806" s="201">
        <v>1804</v>
      </c>
      <c r="B1806" s="210" t="str">
        <f>_xlfn.CONCAT(表格3_5[[#This Row],[Name]],表格3_5[[#This Row],[Location]])</f>
        <v/>
      </c>
      <c r="C1806" s="211" t="str">
        <f>表格3_5[[#This Row],[Location]] &amp; 表格3_5[[#This Row],[Date]] &amp;表格3_5[[#This Row],[Nick Name]]</f>
        <v>0</v>
      </c>
      <c r="D1806" s="202"/>
      <c r="E1806" s="211" t="str">
        <f>DAY(表格3_5[[#This Row],[Date]])&amp;""</f>
        <v>0</v>
      </c>
      <c r="F1806" s="203"/>
      <c r="G1806" s="216">
        <f>_xlfn.XLOOKUP(表格3_5[[#This Row],[Name]],Name_list[Full Name],Name_list[Nick Name])</f>
        <v>0</v>
      </c>
      <c r="H1806" s="207"/>
      <c r="I1806" s="228"/>
      <c r="J1806" s="218"/>
      <c r="K1806" s="205"/>
      <c r="L1806" s="210">
        <f>(表格3_5[[#This Row],[Out-Time]] - 表格3_5[[#This Row],[In-Time]])*24</f>
        <v>0</v>
      </c>
      <c r="M1806" s="210">
        <f>表格3_5[[#This Row],[ Hours]]-表格3_5[[#This Row],[Normal working
 hours]]</f>
        <v>0</v>
      </c>
      <c r="N1806" s="205"/>
      <c r="O1806" s="205"/>
      <c r="P1806" s="210">
        <f>(表格3_5[[#This Row],[Out-Time2]] - 表格3_5[[#This Row],[In-Time2]])*24</f>
        <v>0</v>
      </c>
      <c r="Q1806" s="205"/>
      <c r="R1806" s="214">
        <f>_xlfn.XLOOKUP(表格3_5[[#This Row],[Name]],Name_list[Full Name],Name_list[Hourr Rate])</f>
        <v>0</v>
      </c>
      <c r="S1806" s="210">
        <f>表格3_5[[#This Row],[Hours Worked]]*表格3_5[[#This Row],[Hourly Rate]]</f>
        <v>0</v>
      </c>
    </row>
    <row r="1807" spans="1:19">
      <c r="A1807" s="201">
        <v>1805</v>
      </c>
      <c r="B1807" s="210" t="str">
        <f>_xlfn.CONCAT(表格3_5[[#This Row],[Name]],表格3_5[[#This Row],[Location]])</f>
        <v/>
      </c>
      <c r="C1807" s="211" t="str">
        <f>表格3_5[[#This Row],[Location]] &amp; 表格3_5[[#This Row],[Date]] &amp;表格3_5[[#This Row],[Nick Name]]</f>
        <v>0</v>
      </c>
      <c r="D1807" s="202"/>
      <c r="E1807" s="211" t="str">
        <f>DAY(表格3_5[[#This Row],[Date]])&amp;""</f>
        <v>0</v>
      </c>
      <c r="F1807" s="203"/>
      <c r="G1807" s="216">
        <f>_xlfn.XLOOKUP(表格3_5[[#This Row],[Name]],Name_list[Full Name],Name_list[Nick Name])</f>
        <v>0</v>
      </c>
      <c r="H1807" s="207"/>
      <c r="I1807" s="228"/>
      <c r="J1807" s="218"/>
      <c r="K1807" s="205"/>
      <c r="L1807" s="210">
        <f>(表格3_5[[#This Row],[Out-Time]] - 表格3_5[[#This Row],[In-Time]])*24</f>
        <v>0</v>
      </c>
      <c r="M1807" s="210">
        <f>表格3_5[[#This Row],[ Hours]]-表格3_5[[#This Row],[Normal working
 hours]]</f>
        <v>0</v>
      </c>
      <c r="N1807" s="205"/>
      <c r="O1807" s="205"/>
      <c r="P1807" s="210">
        <f>(表格3_5[[#This Row],[Out-Time2]] - 表格3_5[[#This Row],[In-Time2]])*24</f>
        <v>0</v>
      </c>
      <c r="Q1807" s="205"/>
      <c r="R1807" s="214">
        <f>_xlfn.XLOOKUP(表格3_5[[#This Row],[Name]],Name_list[Full Name],Name_list[Hourr Rate])</f>
        <v>0</v>
      </c>
      <c r="S1807" s="210">
        <f>表格3_5[[#This Row],[Hours Worked]]*表格3_5[[#This Row],[Hourly Rate]]</f>
        <v>0</v>
      </c>
    </row>
    <row r="1808" spans="1:19">
      <c r="A1808" s="201">
        <v>1806</v>
      </c>
      <c r="B1808" s="210" t="str">
        <f>_xlfn.CONCAT(表格3_5[[#This Row],[Name]],表格3_5[[#This Row],[Location]])</f>
        <v/>
      </c>
      <c r="C1808" s="211" t="str">
        <f>表格3_5[[#This Row],[Location]] &amp; 表格3_5[[#This Row],[Date]] &amp;表格3_5[[#This Row],[Nick Name]]</f>
        <v>0</v>
      </c>
      <c r="D1808" s="202"/>
      <c r="E1808" s="211" t="str">
        <f>DAY(表格3_5[[#This Row],[Date]])&amp;""</f>
        <v>0</v>
      </c>
      <c r="F1808" s="203"/>
      <c r="G1808" s="216">
        <f>_xlfn.XLOOKUP(表格3_5[[#This Row],[Name]],Name_list[Full Name],Name_list[Nick Name])</f>
        <v>0</v>
      </c>
      <c r="H1808" s="207"/>
      <c r="I1808" s="228"/>
      <c r="J1808" s="218"/>
      <c r="K1808" s="205"/>
      <c r="L1808" s="210">
        <f>(表格3_5[[#This Row],[Out-Time]] - 表格3_5[[#This Row],[In-Time]])*24</f>
        <v>0</v>
      </c>
      <c r="M1808" s="210">
        <f>表格3_5[[#This Row],[ Hours]]-表格3_5[[#This Row],[Normal working
 hours]]</f>
        <v>0</v>
      </c>
      <c r="N1808" s="205"/>
      <c r="O1808" s="205"/>
      <c r="P1808" s="210">
        <f>(表格3_5[[#This Row],[Out-Time2]] - 表格3_5[[#This Row],[In-Time2]])*24</f>
        <v>0</v>
      </c>
      <c r="Q1808" s="205"/>
      <c r="R1808" s="214">
        <f>_xlfn.XLOOKUP(表格3_5[[#This Row],[Name]],Name_list[Full Name],Name_list[Hourr Rate])</f>
        <v>0</v>
      </c>
      <c r="S1808" s="210">
        <f>表格3_5[[#This Row],[Hours Worked]]*表格3_5[[#This Row],[Hourly Rate]]</f>
        <v>0</v>
      </c>
    </row>
    <row r="1809" spans="1:19">
      <c r="A1809" s="201">
        <v>1807</v>
      </c>
      <c r="B1809" s="210" t="str">
        <f>_xlfn.CONCAT(表格3_5[[#This Row],[Name]],表格3_5[[#This Row],[Location]])</f>
        <v/>
      </c>
      <c r="C1809" s="211" t="str">
        <f>表格3_5[[#This Row],[Location]] &amp; 表格3_5[[#This Row],[Date]] &amp;表格3_5[[#This Row],[Nick Name]]</f>
        <v>0</v>
      </c>
      <c r="D1809" s="202"/>
      <c r="E1809" s="211" t="str">
        <f>DAY(表格3_5[[#This Row],[Date]])&amp;""</f>
        <v>0</v>
      </c>
      <c r="F1809" s="203"/>
      <c r="G1809" s="216">
        <f>_xlfn.XLOOKUP(表格3_5[[#This Row],[Name]],Name_list[Full Name],Name_list[Nick Name])</f>
        <v>0</v>
      </c>
      <c r="H1809" s="207"/>
      <c r="I1809" s="228"/>
      <c r="J1809" s="218"/>
      <c r="K1809" s="205"/>
      <c r="L1809" s="210">
        <f>(表格3_5[[#This Row],[Out-Time]] - 表格3_5[[#This Row],[In-Time]])*24</f>
        <v>0</v>
      </c>
      <c r="M1809" s="210">
        <f>表格3_5[[#This Row],[ Hours]]-表格3_5[[#This Row],[Normal working
 hours]]</f>
        <v>0</v>
      </c>
      <c r="N1809" s="205"/>
      <c r="O1809" s="205"/>
      <c r="P1809" s="210">
        <f>(表格3_5[[#This Row],[Out-Time2]] - 表格3_5[[#This Row],[In-Time2]])*24</f>
        <v>0</v>
      </c>
      <c r="Q1809" s="205"/>
      <c r="R1809" s="214">
        <f>_xlfn.XLOOKUP(表格3_5[[#This Row],[Name]],Name_list[Full Name],Name_list[Hourr Rate])</f>
        <v>0</v>
      </c>
      <c r="S1809" s="210">
        <f>表格3_5[[#This Row],[Hours Worked]]*表格3_5[[#This Row],[Hourly Rate]]</f>
        <v>0</v>
      </c>
    </row>
    <row r="1810" spans="1:19">
      <c r="A1810" s="201">
        <v>1808</v>
      </c>
      <c r="B1810" s="210" t="str">
        <f>_xlfn.CONCAT(表格3_5[[#This Row],[Name]],表格3_5[[#This Row],[Location]])</f>
        <v/>
      </c>
      <c r="C1810" s="211" t="str">
        <f>表格3_5[[#This Row],[Location]] &amp; 表格3_5[[#This Row],[Date]] &amp;表格3_5[[#This Row],[Nick Name]]</f>
        <v>0</v>
      </c>
      <c r="D1810" s="202"/>
      <c r="E1810" s="211" t="str">
        <f>DAY(表格3_5[[#This Row],[Date]])&amp;""</f>
        <v>0</v>
      </c>
      <c r="F1810" s="203"/>
      <c r="G1810" s="216">
        <f>_xlfn.XLOOKUP(表格3_5[[#This Row],[Name]],Name_list[Full Name],Name_list[Nick Name])</f>
        <v>0</v>
      </c>
      <c r="H1810" s="207"/>
      <c r="I1810" s="228"/>
      <c r="J1810" s="218"/>
      <c r="K1810" s="205"/>
      <c r="L1810" s="210">
        <f>(表格3_5[[#This Row],[Out-Time]] - 表格3_5[[#This Row],[In-Time]])*24</f>
        <v>0</v>
      </c>
      <c r="M1810" s="210">
        <f>表格3_5[[#This Row],[ Hours]]-表格3_5[[#This Row],[Normal working
 hours]]</f>
        <v>0</v>
      </c>
      <c r="N1810" s="205"/>
      <c r="O1810" s="205"/>
      <c r="P1810" s="210">
        <f>(表格3_5[[#This Row],[Out-Time2]] - 表格3_5[[#This Row],[In-Time2]])*24</f>
        <v>0</v>
      </c>
      <c r="Q1810" s="205"/>
      <c r="R1810" s="214">
        <f>_xlfn.XLOOKUP(表格3_5[[#This Row],[Name]],Name_list[Full Name],Name_list[Hourr Rate])</f>
        <v>0</v>
      </c>
      <c r="S1810" s="210">
        <f>表格3_5[[#This Row],[Hours Worked]]*表格3_5[[#This Row],[Hourly Rate]]</f>
        <v>0</v>
      </c>
    </row>
    <row r="1811" spans="1:19">
      <c r="A1811" s="201">
        <v>1809</v>
      </c>
      <c r="B1811" s="210" t="str">
        <f>_xlfn.CONCAT(表格3_5[[#This Row],[Name]],表格3_5[[#This Row],[Location]])</f>
        <v/>
      </c>
      <c r="C1811" s="211" t="str">
        <f>表格3_5[[#This Row],[Location]] &amp; 表格3_5[[#This Row],[Date]] &amp;表格3_5[[#This Row],[Nick Name]]</f>
        <v>0</v>
      </c>
      <c r="D1811" s="202"/>
      <c r="E1811" s="211" t="str">
        <f>DAY(表格3_5[[#This Row],[Date]])&amp;""</f>
        <v>0</v>
      </c>
      <c r="F1811" s="203"/>
      <c r="G1811" s="216">
        <f>_xlfn.XLOOKUP(表格3_5[[#This Row],[Name]],Name_list[Full Name],Name_list[Nick Name])</f>
        <v>0</v>
      </c>
      <c r="H1811" s="207"/>
      <c r="I1811" s="228"/>
      <c r="J1811" s="218"/>
      <c r="K1811" s="205"/>
      <c r="L1811" s="210">
        <f>(表格3_5[[#This Row],[Out-Time]] - 表格3_5[[#This Row],[In-Time]])*24</f>
        <v>0</v>
      </c>
      <c r="M1811" s="210">
        <f>表格3_5[[#This Row],[ Hours]]-表格3_5[[#This Row],[Normal working
 hours]]</f>
        <v>0</v>
      </c>
      <c r="N1811" s="205"/>
      <c r="O1811" s="205"/>
      <c r="P1811" s="210">
        <f>(表格3_5[[#This Row],[Out-Time2]] - 表格3_5[[#This Row],[In-Time2]])*24</f>
        <v>0</v>
      </c>
      <c r="Q1811" s="205"/>
      <c r="R1811" s="214">
        <f>_xlfn.XLOOKUP(表格3_5[[#This Row],[Name]],Name_list[Full Name],Name_list[Hourr Rate])</f>
        <v>0</v>
      </c>
      <c r="S1811" s="210">
        <f>表格3_5[[#This Row],[Hours Worked]]*表格3_5[[#This Row],[Hourly Rate]]</f>
        <v>0</v>
      </c>
    </row>
    <row r="1812" spans="1:19">
      <c r="A1812" s="201">
        <v>1810</v>
      </c>
      <c r="B1812" s="210" t="str">
        <f>_xlfn.CONCAT(表格3_5[[#This Row],[Name]],表格3_5[[#This Row],[Location]])</f>
        <v/>
      </c>
      <c r="C1812" s="211" t="str">
        <f>表格3_5[[#This Row],[Location]] &amp; 表格3_5[[#This Row],[Date]] &amp;表格3_5[[#This Row],[Nick Name]]</f>
        <v>0</v>
      </c>
      <c r="D1812" s="202"/>
      <c r="E1812" s="211" t="str">
        <f>DAY(表格3_5[[#This Row],[Date]])&amp;""</f>
        <v>0</v>
      </c>
      <c r="F1812" s="203"/>
      <c r="G1812" s="216">
        <f>_xlfn.XLOOKUP(表格3_5[[#This Row],[Name]],Name_list[Full Name],Name_list[Nick Name])</f>
        <v>0</v>
      </c>
      <c r="H1812" s="207"/>
      <c r="I1812" s="228"/>
      <c r="J1812" s="218"/>
      <c r="K1812" s="205"/>
      <c r="L1812" s="210">
        <f>(表格3_5[[#This Row],[Out-Time]] - 表格3_5[[#This Row],[In-Time]])*24</f>
        <v>0</v>
      </c>
      <c r="M1812" s="210">
        <f>表格3_5[[#This Row],[ Hours]]-表格3_5[[#This Row],[Normal working
 hours]]</f>
        <v>0</v>
      </c>
      <c r="N1812" s="205"/>
      <c r="O1812" s="205"/>
      <c r="P1812" s="210">
        <f>(表格3_5[[#This Row],[Out-Time2]] - 表格3_5[[#This Row],[In-Time2]])*24</f>
        <v>0</v>
      </c>
      <c r="Q1812" s="205"/>
      <c r="R1812" s="214">
        <f>_xlfn.XLOOKUP(表格3_5[[#This Row],[Name]],Name_list[Full Name],Name_list[Hourr Rate])</f>
        <v>0</v>
      </c>
      <c r="S1812" s="210">
        <f>表格3_5[[#This Row],[Hours Worked]]*表格3_5[[#This Row],[Hourly Rate]]</f>
        <v>0</v>
      </c>
    </row>
    <row r="1813" spans="1:19">
      <c r="A1813" s="201">
        <v>1811</v>
      </c>
      <c r="B1813" s="210" t="str">
        <f>_xlfn.CONCAT(表格3_5[[#This Row],[Name]],表格3_5[[#This Row],[Location]])</f>
        <v/>
      </c>
      <c r="C1813" s="211" t="str">
        <f>表格3_5[[#This Row],[Location]] &amp; 表格3_5[[#This Row],[Date]] &amp;表格3_5[[#This Row],[Nick Name]]</f>
        <v>0</v>
      </c>
      <c r="D1813" s="202"/>
      <c r="E1813" s="211" t="str">
        <f>DAY(表格3_5[[#This Row],[Date]])&amp;""</f>
        <v>0</v>
      </c>
      <c r="F1813" s="203"/>
      <c r="G1813" s="216">
        <f>_xlfn.XLOOKUP(表格3_5[[#This Row],[Name]],Name_list[Full Name],Name_list[Nick Name])</f>
        <v>0</v>
      </c>
      <c r="H1813" s="207"/>
      <c r="I1813" s="228"/>
      <c r="J1813" s="218"/>
      <c r="K1813" s="205"/>
      <c r="L1813" s="210">
        <f>(表格3_5[[#This Row],[Out-Time]] - 表格3_5[[#This Row],[In-Time]])*24</f>
        <v>0</v>
      </c>
      <c r="M1813" s="210">
        <f>表格3_5[[#This Row],[ Hours]]-表格3_5[[#This Row],[Normal working
 hours]]</f>
        <v>0</v>
      </c>
      <c r="N1813" s="205"/>
      <c r="O1813" s="205"/>
      <c r="P1813" s="210">
        <f>(表格3_5[[#This Row],[Out-Time2]] - 表格3_5[[#This Row],[In-Time2]])*24</f>
        <v>0</v>
      </c>
      <c r="Q1813" s="205"/>
      <c r="R1813" s="214">
        <f>_xlfn.XLOOKUP(表格3_5[[#This Row],[Name]],Name_list[Full Name],Name_list[Hourr Rate])</f>
        <v>0</v>
      </c>
      <c r="S1813" s="210">
        <f>表格3_5[[#This Row],[Hours Worked]]*表格3_5[[#This Row],[Hourly Rate]]</f>
        <v>0</v>
      </c>
    </row>
    <row r="1814" spans="1:19">
      <c r="A1814" s="201">
        <v>1812</v>
      </c>
      <c r="B1814" s="210" t="str">
        <f>_xlfn.CONCAT(表格3_5[[#This Row],[Name]],表格3_5[[#This Row],[Location]])</f>
        <v/>
      </c>
      <c r="C1814" s="211" t="str">
        <f>表格3_5[[#This Row],[Location]] &amp; 表格3_5[[#This Row],[Date]] &amp;表格3_5[[#This Row],[Nick Name]]</f>
        <v>0</v>
      </c>
      <c r="D1814" s="202"/>
      <c r="E1814" s="211" t="str">
        <f>DAY(表格3_5[[#This Row],[Date]])&amp;""</f>
        <v>0</v>
      </c>
      <c r="F1814" s="203"/>
      <c r="G1814" s="216">
        <f>_xlfn.XLOOKUP(表格3_5[[#This Row],[Name]],Name_list[Full Name],Name_list[Nick Name])</f>
        <v>0</v>
      </c>
      <c r="H1814" s="207"/>
      <c r="I1814" s="228"/>
      <c r="J1814" s="218"/>
      <c r="K1814" s="205"/>
      <c r="L1814" s="210">
        <f>(表格3_5[[#This Row],[Out-Time]] - 表格3_5[[#This Row],[In-Time]])*24</f>
        <v>0</v>
      </c>
      <c r="M1814" s="210">
        <f>表格3_5[[#This Row],[ Hours]]-表格3_5[[#This Row],[Normal working
 hours]]</f>
        <v>0</v>
      </c>
      <c r="N1814" s="205"/>
      <c r="O1814" s="205"/>
      <c r="P1814" s="210">
        <f>(表格3_5[[#This Row],[Out-Time2]] - 表格3_5[[#This Row],[In-Time2]])*24</f>
        <v>0</v>
      </c>
      <c r="Q1814" s="205"/>
      <c r="R1814" s="214">
        <f>_xlfn.XLOOKUP(表格3_5[[#This Row],[Name]],Name_list[Full Name],Name_list[Hourr Rate])</f>
        <v>0</v>
      </c>
      <c r="S1814" s="210">
        <f>表格3_5[[#This Row],[Hours Worked]]*表格3_5[[#This Row],[Hourly Rate]]</f>
        <v>0</v>
      </c>
    </row>
    <row r="1815" spans="1:19">
      <c r="A1815" s="201">
        <v>1813</v>
      </c>
      <c r="B1815" s="210" t="str">
        <f>_xlfn.CONCAT(表格3_5[[#This Row],[Name]],表格3_5[[#This Row],[Location]])</f>
        <v/>
      </c>
      <c r="C1815" s="211" t="str">
        <f>表格3_5[[#This Row],[Location]] &amp; 表格3_5[[#This Row],[Date]] &amp;表格3_5[[#This Row],[Nick Name]]</f>
        <v>0</v>
      </c>
      <c r="D1815" s="202"/>
      <c r="E1815" s="211" t="str">
        <f>DAY(表格3_5[[#This Row],[Date]])&amp;""</f>
        <v>0</v>
      </c>
      <c r="F1815" s="203"/>
      <c r="G1815" s="216">
        <f>_xlfn.XLOOKUP(表格3_5[[#This Row],[Name]],Name_list[Full Name],Name_list[Nick Name])</f>
        <v>0</v>
      </c>
      <c r="H1815" s="207"/>
      <c r="I1815" s="228"/>
      <c r="J1815" s="218"/>
      <c r="K1815" s="205"/>
      <c r="L1815" s="210">
        <f>(表格3_5[[#This Row],[Out-Time]] - 表格3_5[[#This Row],[In-Time]])*24</f>
        <v>0</v>
      </c>
      <c r="M1815" s="210">
        <f>表格3_5[[#This Row],[ Hours]]-表格3_5[[#This Row],[Normal working
 hours]]</f>
        <v>0</v>
      </c>
      <c r="N1815" s="205"/>
      <c r="O1815" s="205"/>
      <c r="P1815" s="210">
        <f>(表格3_5[[#This Row],[Out-Time2]] - 表格3_5[[#This Row],[In-Time2]])*24</f>
        <v>0</v>
      </c>
      <c r="Q1815" s="205"/>
      <c r="R1815" s="214">
        <f>_xlfn.XLOOKUP(表格3_5[[#This Row],[Name]],Name_list[Full Name],Name_list[Hourr Rate])</f>
        <v>0</v>
      </c>
      <c r="S1815" s="210">
        <f>表格3_5[[#This Row],[Hours Worked]]*表格3_5[[#This Row],[Hourly Rate]]</f>
        <v>0</v>
      </c>
    </row>
    <row r="1816" spans="1:19">
      <c r="A1816" s="201">
        <v>1814</v>
      </c>
      <c r="B1816" s="210" t="str">
        <f>_xlfn.CONCAT(表格3_5[[#This Row],[Name]],表格3_5[[#This Row],[Location]])</f>
        <v/>
      </c>
      <c r="C1816" s="211" t="str">
        <f>表格3_5[[#This Row],[Location]] &amp; 表格3_5[[#This Row],[Date]] &amp;表格3_5[[#This Row],[Nick Name]]</f>
        <v>0</v>
      </c>
      <c r="D1816" s="202"/>
      <c r="E1816" s="211" t="str">
        <f>DAY(表格3_5[[#This Row],[Date]])&amp;""</f>
        <v>0</v>
      </c>
      <c r="F1816" s="203"/>
      <c r="G1816" s="216">
        <f>_xlfn.XLOOKUP(表格3_5[[#This Row],[Name]],Name_list[Full Name],Name_list[Nick Name])</f>
        <v>0</v>
      </c>
      <c r="H1816" s="207"/>
      <c r="I1816" s="228"/>
      <c r="J1816" s="218"/>
      <c r="K1816" s="205"/>
      <c r="L1816" s="210">
        <f>(表格3_5[[#This Row],[Out-Time]] - 表格3_5[[#This Row],[In-Time]])*24</f>
        <v>0</v>
      </c>
      <c r="M1816" s="210">
        <f>表格3_5[[#This Row],[ Hours]]-表格3_5[[#This Row],[Normal working
 hours]]</f>
        <v>0</v>
      </c>
      <c r="N1816" s="205"/>
      <c r="O1816" s="205"/>
      <c r="P1816" s="210">
        <f>(表格3_5[[#This Row],[Out-Time2]] - 表格3_5[[#This Row],[In-Time2]])*24</f>
        <v>0</v>
      </c>
      <c r="Q1816" s="205"/>
      <c r="R1816" s="214">
        <f>_xlfn.XLOOKUP(表格3_5[[#This Row],[Name]],Name_list[Full Name],Name_list[Hourr Rate])</f>
        <v>0</v>
      </c>
      <c r="S1816" s="210">
        <f>表格3_5[[#This Row],[Hours Worked]]*表格3_5[[#This Row],[Hourly Rate]]</f>
        <v>0</v>
      </c>
    </row>
    <row r="1817" spans="1:19">
      <c r="A1817" s="201">
        <v>1815</v>
      </c>
      <c r="B1817" s="210" t="str">
        <f>_xlfn.CONCAT(表格3_5[[#This Row],[Name]],表格3_5[[#This Row],[Location]])</f>
        <v/>
      </c>
      <c r="C1817" s="211" t="str">
        <f>表格3_5[[#This Row],[Location]] &amp; 表格3_5[[#This Row],[Date]] &amp;表格3_5[[#This Row],[Nick Name]]</f>
        <v>0</v>
      </c>
      <c r="D1817" s="202"/>
      <c r="E1817" s="211" t="str">
        <f>DAY(表格3_5[[#This Row],[Date]])&amp;""</f>
        <v>0</v>
      </c>
      <c r="F1817" s="203"/>
      <c r="G1817" s="216">
        <f>_xlfn.XLOOKUP(表格3_5[[#This Row],[Name]],Name_list[Full Name],Name_list[Nick Name])</f>
        <v>0</v>
      </c>
      <c r="H1817" s="207"/>
      <c r="I1817" s="228"/>
      <c r="J1817" s="218"/>
      <c r="K1817" s="205"/>
      <c r="L1817" s="210">
        <f>(表格3_5[[#This Row],[Out-Time]] - 表格3_5[[#This Row],[In-Time]])*24</f>
        <v>0</v>
      </c>
      <c r="M1817" s="210">
        <f>表格3_5[[#This Row],[ Hours]]-表格3_5[[#This Row],[Normal working
 hours]]</f>
        <v>0</v>
      </c>
      <c r="N1817" s="205"/>
      <c r="O1817" s="205"/>
      <c r="P1817" s="210">
        <f>(表格3_5[[#This Row],[Out-Time2]] - 表格3_5[[#This Row],[In-Time2]])*24</f>
        <v>0</v>
      </c>
      <c r="Q1817" s="205"/>
      <c r="R1817" s="214">
        <f>_xlfn.XLOOKUP(表格3_5[[#This Row],[Name]],Name_list[Full Name],Name_list[Hourr Rate])</f>
        <v>0</v>
      </c>
      <c r="S1817" s="210">
        <f>表格3_5[[#This Row],[Hours Worked]]*表格3_5[[#This Row],[Hourly Rate]]</f>
        <v>0</v>
      </c>
    </row>
    <row r="1818" spans="1:19">
      <c r="A1818" s="201">
        <v>1816</v>
      </c>
      <c r="B1818" s="210" t="str">
        <f>_xlfn.CONCAT(表格3_5[[#This Row],[Name]],表格3_5[[#This Row],[Location]])</f>
        <v/>
      </c>
      <c r="C1818" s="211" t="str">
        <f>表格3_5[[#This Row],[Location]] &amp; 表格3_5[[#This Row],[Date]] &amp;表格3_5[[#This Row],[Nick Name]]</f>
        <v>0</v>
      </c>
      <c r="D1818" s="202"/>
      <c r="E1818" s="211" t="str">
        <f>DAY(表格3_5[[#This Row],[Date]])&amp;""</f>
        <v>0</v>
      </c>
      <c r="F1818" s="203"/>
      <c r="G1818" s="216">
        <f>_xlfn.XLOOKUP(表格3_5[[#This Row],[Name]],Name_list[Full Name],Name_list[Nick Name])</f>
        <v>0</v>
      </c>
      <c r="H1818" s="207"/>
      <c r="I1818" s="228"/>
      <c r="J1818" s="218"/>
      <c r="K1818" s="205"/>
      <c r="L1818" s="210">
        <f>(表格3_5[[#This Row],[Out-Time]] - 表格3_5[[#This Row],[In-Time]])*24</f>
        <v>0</v>
      </c>
      <c r="M1818" s="210">
        <f>表格3_5[[#This Row],[ Hours]]-表格3_5[[#This Row],[Normal working
 hours]]</f>
        <v>0</v>
      </c>
      <c r="N1818" s="205"/>
      <c r="O1818" s="205"/>
      <c r="P1818" s="210">
        <f>(表格3_5[[#This Row],[Out-Time2]] - 表格3_5[[#This Row],[In-Time2]])*24</f>
        <v>0</v>
      </c>
      <c r="Q1818" s="205"/>
      <c r="R1818" s="214">
        <f>_xlfn.XLOOKUP(表格3_5[[#This Row],[Name]],Name_list[Full Name],Name_list[Hourr Rate])</f>
        <v>0</v>
      </c>
      <c r="S1818" s="210">
        <f>表格3_5[[#This Row],[Hours Worked]]*表格3_5[[#This Row],[Hourly Rate]]</f>
        <v>0</v>
      </c>
    </row>
    <row r="1819" spans="1:19">
      <c r="A1819" s="201">
        <v>1817</v>
      </c>
      <c r="B1819" s="210" t="str">
        <f>_xlfn.CONCAT(表格3_5[[#This Row],[Name]],表格3_5[[#This Row],[Location]])</f>
        <v/>
      </c>
      <c r="C1819" s="211" t="str">
        <f>表格3_5[[#This Row],[Location]] &amp; 表格3_5[[#This Row],[Date]] &amp;表格3_5[[#This Row],[Nick Name]]</f>
        <v>0</v>
      </c>
      <c r="D1819" s="202"/>
      <c r="E1819" s="211" t="str">
        <f>DAY(表格3_5[[#This Row],[Date]])&amp;""</f>
        <v>0</v>
      </c>
      <c r="F1819" s="203"/>
      <c r="G1819" s="216">
        <f>_xlfn.XLOOKUP(表格3_5[[#This Row],[Name]],Name_list[Full Name],Name_list[Nick Name])</f>
        <v>0</v>
      </c>
      <c r="H1819" s="207"/>
      <c r="I1819" s="228"/>
      <c r="J1819" s="218"/>
      <c r="K1819" s="205"/>
      <c r="L1819" s="210">
        <f>(表格3_5[[#This Row],[Out-Time]] - 表格3_5[[#This Row],[In-Time]])*24</f>
        <v>0</v>
      </c>
      <c r="M1819" s="210">
        <f>表格3_5[[#This Row],[ Hours]]-表格3_5[[#This Row],[Normal working
 hours]]</f>
        <v>0</v>
      </c>
      <c r="N1819" s="205"/>
      <c r="O1819" s="205"/>
      <c r="P1819" s="210">
        <f>(表格3_5[[#This Row],[Out-Time2]] - 表格3_5[[#This Row],[In-Time2]])*24</f>
        <v>0</v>
      </c>
      <c r="Q1819" s="205"/>
      <c r="R1819" s="214">
        <f>_xlfn.XLOOKUP(表格3_5[[#This Row],[Name]],Name_list[Full Name],Name_list[Hourr Rate])</f>
        <v>0</v>
      </c>
      <c r="S1819" s="210">
        <f>表格3_5[[#This Row],[Hours Worked]]*表格3_5[[#This Row],[Hourly Rate]]</f>
        <v>0</v>
      </c>
    </row>
    <row r="1820" spans="1:19">
      <c r="A1820" s="201">
        <v>1818</v>
      </c>
      <c r="B1820" s="210" t="str">
        <f>_xlfn.CONCAT(表格3_5[[#This Row],[Name]],表格3_5[[#This Row],[Location]])</f>
        <v/>
      </c>
      <c r="C1820" s="211" t="str">
        <f>表格3_5[[#This Row],[Location]] &amp; 表格3_5[[#This Row],[Date]] &amp;表格3_5[[#This Row],[Nick Name]]</f>
        <v>0</v>
      </c>
      <c r="D1820" s="202"/>
      <c r="E1820" s="211" t="str">
        <f>DAY(表格3_5[[#This Row],[Date]])&amp;""</f>
        <v>0</v>
      </c>
      <c r="F1820" s="203"/>
      <c r="G1820" s="216">
        <f>_xlfn.XLOOKUP(表格3_5[[#This Row],[Name]],Name_list[Full Name],Name_list[Nick Name])</f>
        <v>0</v>
      </c>
      <c r="H1820" s="207"/>
      <c r="I1820" s="228"/>
      <c r="J1820" s="218"/>
      <c r="K1820" s="205"/>
      <c r="L1820" s="210">
        <f>(表格3_5[[#This Row],[Out-Time]] - 表格3_5[[#This Row],[In-Time]])*24</f>
        <v>0</v>
      </c>
      <c r="M1820" s="210">
        <f>表格3_5[[#This Row],[ Hours]]-表格3_5[[#This Row],[Normal working
 hours]]</f>
        <v>0</v>
      </c>
      <c r="N1820" s="205"/>
      <c r="O1820" s="205"/>
      <c r="P1820" s="210">
        <f>(表格3_5[[#This Row],[Out-Time2]] - 表格3_5[[#This Row],[In-Time2]])*24</f>
        <v>0</v>
      </c>
      <c r="Q1820" s="205"/>
      <c r="R1820" s="214">
        <f>_xlfn.XLOOKUP(表格3_5[[#This Row],[Name]],Name_list[Full Name],Name_list[Hourr Rate])</f>
        <v>0</v>
      </c>
      <c r="S1820" s="210">
        <f>表格3_5[[#This Row],[Hours Worked]]*表格3_5[[#This Row],[Hourly Rate]]</f>
        <v>0</v>
      </c>
    </row>
    <row r="1821" spans="1:19">
      <c r="A1821" s="201">
        <v>1819</v>
      </c>
      <c r="B1821" s="210" t="str">
        <f>_xlfn.CONCAT(表格3_5[[#This Row],[Name]],表格3_5[[#This Row],[Location]])</f>
        <v/>
      </c>
      <c r="C1821" s="211" t="str">
        <f>表格3_5[[#This Row],[Location]] &amp; 表格3_5[[#This Row],[Date]] &amp;表格3_5[[#This Row],[Nick Name]]</f>
        <v>0</v>
      </c>
      <c r="D1821" s="202"/>
      <c r="E1821" s="211" t="str">
        <f>DAY(表格3_5[[#This Row],[Date]])&amp;""</f>
        <v>0</v>
      </c>
      <c r="F1821" s="203"/>
      <c r="G1821" s="216">
        <f>_xlfn.XLOOKUP(表格3_5[[#This Row],[Name]],Name_list[Full Name],Name_list[Nick Name])</f>
        <v>0</v>
      </c>
      <c r="H1821" s="207"/>
      <c r="I1821" s="228"/>
      <c r="J1821" s="218"/>
      <c r="K1821" s="205"/>
      <c r="L1821" s="210">
        <f>(表格3_5[[#This Row],[Out-Time]] - 表格3_5[[#This Row],[In-Time]])*24</f>
        <v>0</v>
      </c>
      <c r="M1821" s="210">
        <f>表格3_5[[#This Row],[ Hours]]-表格3_5[[#This Row],[Normal working
 hours]]</f>
        <v>0</v>
      </c>
      <c r="N1821" s="205"/>
      <c r="O1821" s="205"/>
      <c r="P1821" s="210">
        <f>(表格3_5[[#This Row],[Out-Time2]] - 表格3_5[[#This Row],[In-Time2]])*24</f>
        <v>0</v>
      </c>
      <c r="Q1821" s="205"/>
      <c r="R1821" s="214">
        <f>_xlfn.XLOOKUP(表格3_5[[#This Row],[Name]],Name_list[Full Name],Name_list[Hourr Rate])</f>
        <v>0</v>
      </c>
      <c r="S1821" s="210">
        <f>表格3_5[[#This Row],[Hours Worked]]*表格3_5[[#This Row],[Hourly Rate]]</f>
        <v>0</v>
      </c>
    </row>
    <row r="1822" spans="1:19">
      <c r="A1822" s="201">
        <v>1820</v>
      </c>
      <c r="B1822" s="210" t="str">
        <f>_xlfn.CONCAT(表格3_5[[#This Row],[Name]],表格3_5[[#This Row],[Location]])</f>
        <v/>
      </c>
      <c r="C1822" s="211" t="str">
        <f>表格3_5[[#This Row],[Location]] &amp; 表格3_5[[#This Row],[Date]] &amp;表格3_5[[#This Row],[Nick Name]]</f>
        <v>0</v>
      </c>
      <c r="D1822" s="202"/>
      <c r="E1822" s="211" t="str">
        <f>DAY(表格3_5[[#This Row],[Date]])&amp;""</f>
        <v>0</v>
      </c>
      <c r="F1822" s="203"/>
      <c r="G1822" s="216">
        <f>_xlfn.XLOOKUP(表格3_5[[#This Row],[Name]],Name_list[Full Name],Name_list[Nick Name])</f>
        <v>0</v>
      </c>
      <c r="H1822" s="207"/>
      <c r="I1822" s="228"/>
      <c r="J1822" s="218"/>
      <c r="K1822" s="205"/>
      <c r="L1822" s="210">
        <f>(表格3_5[[#This Row],[Out-Time]] - 表格3_5[[#This Row],[In-Time]])*24</f>
        <v>0</v>
      </c>
      <c r="M1822" s="210">
        <f>表格3_5[[#This Row],[ Hours]]-表格3_5[[#This Row],[Normal working
 hours]]</f>
        <v>0</v>
      </c>
      <c r="N1822" s="205"/>
      <c r="O1822" s="205"/>
      <c r="P1822" s="210">
        <f>(表格3_5[[#This Row],[Out-Time2]] - 表格3_5[[#This Row],[In-Time2]])*24</f>
        <v>0</v>
      </c>
      <c r="Q1822" s="205"/>
      <c r="R1822" s="214">
        <f>_xlfn.XLOOKUP(表格3_5[[#This Row],[Name]],Name_list[Full Name],Name_list[Hourr Rate])</f>
        <v>0</v>
      </c>
      <c r="S1822" s="210">
        <f>表格3_5[[#This Row],[Hours Worked]]*表格3_5[[#This Row],[Hourly Rate]]</f>
        <v>0</v>
      </c>
    </row>
    <row r="1823" spans="1:19">
      <c r="A1823" s="201">
        <v>1821</v>
      </c>
      <c r="B1823" s="210" t="str">
        <f>_xlfn.CONCAT(表格3_5[[#This Row],[Name]],表格3_5[[#This Row],[Location]])</f>
        <v/>
      </c>
      <c r="C1823" s="211" t="str">
        <f>表格3_5[[#This Row],[Location]] &amp; 表格3_5[[#This Row],[Date]] &amp;表格3_5[[#This Row],[Nick Name]]</f>
        <v>0</v>
      </c>
      <c r="D1823" s="202"/>
      <c r="E1823" s="211" t="str">
        <f>DAY(表格3_5[[#This Row],[Date]])&amp;""</f>
        <v>0</v>
      </c>
      <c r="F1823" s="203"/>
      <c r="G1823" s="216">
        <f>_xlfn.XLOOKUP(表格3_5[[#This Row],[Name]],Name_list[Full Name],Name_list[Nick Name])</f>
        <v>0</v>
      </c>
      <c r="H1823" s="207"/>
      <c r="I1823" s="228"/>
      <c r="J1823" s="218"/>
      <c r="K1823" s="205"/>
      <c r="L1823" s="210">
        <f>(表格3_5[[#This Row],[Out-Time]] - 表格3_5[[#This Row],[In-Time]])*24</f>
        <v>0</v>
      </c>
      <c r="M1823" s="210">
        <f>表格3_5[[#This Row],[ Hours]]-表格3_5[[#This Row],[Normal working
 hours]]</f>
        <v>0</v>
      </c>
      <c r="N1823" s="205"/>
      <c r="O1823" s="205"/>
      <c r="P1823" s="210">
        <f>(表格3_5[[#This Row],[Out-Time2]] - 表格3_5[[#This Row],[In-Time2]])*24</f>
        <v>0</v>
      </c>
      <c r="Q1823" s="205"/>
      <c r="R1823" s="214">
        <f>_xlfn.XLOOKUP(表格3_5[[#This Row],[Name]],Name_list[Full Name],Name_list[Hourr Rate])</f>
        <v>0</v>
      </c>
      <c r="S1823" s="210">
        <f>表格3_5[[#This Row],[Hours Worked]]*表格3_5[[#This Row],[Hourly Rate]]</f>
        <v>0</v>
      </c>
    </row>
    <row r="1824" spans="1:19">
      <c r="A1824" s="201">
        <v>1822</v>
      </c>
      <c r="B1824" s="210" t="str">
        <f>_xlfn.CONCAT(表格3_5[[#This Row],[Name]],表格3_5[[#This Row],[Location]])</f>
        <v/>
      </c>
      <c r="C1824" s="211" t="str">
        <f>表格3_5[[#This Row],[Location]] &amp; 表格3_5[[#This Row],[Date]] &amp;表格3_5[[#This Row],[Nick Name]]</f>
        <v>0</v>
      </c>
      <c r="D1824" s="202"/>
      <c r="E1824" s="211" t="str">
        <f>DAY(表格3_5[[#This Row],[Date]])&amp;""</f>
        <v>0</v>
      </c>
      <c r="F1824" s="203"/>
      <c r="G1824" s="216">
        <f>_xlfn.XLOOKUP(表格3_5[[#This Row],[Name]],Name_list[Full Name],Name_list[Nick Name])</f>
        <v>0</v>
      </c>
      <c r="H1824" s="207"/>
      <c r="I1824" s="228"/>
      <c r="J1824" s="218"/>
      <c r="K1824" s="205"/>
      <c r="L1824" s="210">
        <f>(表格3_5[[#This Row],[Out-Time]] - 表格3_5[[#This Row],[In-Time]])*24</f>
        <v>0</v>
      </c>
      <c r="M1824" s="210">
        <f>表格3_5[[#This Row],[ Hours]]-表格3_5[[#This Row],[Normal working
 hours]]</f>
        <v>0</v>
      </c>
      <c r="N1824" s="205"/>
      <c r="O1824" s="205"/>
      <c r="P1824" s="210">
        <f>(表格3_5[[#This Row],[Out-Time2]] - 表格3_5[[#This Row],[In-Time2]])*24</f>
        <v>0</v>
      </c>
      <c r="Q1824" s="205"/>
      <c r="R1824" s="214">
        <f>_xlfn.XLOOKUP(表格3_5[[#This Row],[Name]],Name_list[Full Name],Name_list[Hourr Rate])</f>
        <v>0</v>
      </c>
      <c r="S1824" s="210">
        <f>表格3_5[[#This Row],[Hours Worked]]*表格3_5[[#This Row],[Hourly Rate]]</f>
        <v>0</v>
      </c>
    </row>
    <row r="1825" spans="1:19">
      <c r="A1825" s="201">
        <v>1823</v>
      </c>
      <c r="B1825" s="210" t="str">
        <f>_xlfn.CONCAT(表格3_5[[#This Row],[Name]],表格3_5[[#This Row],[Location]])</f>
        <v/>
      </c>
      <c r="C1825" s="211" t="str">
        <f>表格3_5[[#This Row],[Location]] &amp; 表格3_5[[#This Row],[Date]] &amp;表格3_5[[#This Row],[Nick Name]]</f>
        <v>0</v>
      </c>
      <c r="D1825" s="202"/>
      <c r="E1825" s="211" t="str">
        <f>DAY(表格3_5[[#This Row],[Date]])&amp;""</f>
        <v>0</v>
      </c>
      <c r="F1825" s="203"/>
      <c r="G1825" s="216">
        <f>_xlfn.XLOOKUP(表格3_5[[#This Row],[Name]],Name_list[Full Name],Name_list[Nick Name])</f>
        <v>0</v>
      </c>
      <c r="H1825" s="207"/>
      <c r="I1825" s="228"/>
      <c r="J1825" s="218"/>
      <c r="K1825" s="205"/>
      <c r="L1825" s="210">
        <f>(表格3_5[[#This Row],[Out-Time]] - 表格3_5[[#This Row],[In-Time]])*24</f>
        <v>0</v>
      </c>
      <c r="M1825" s="210">
        <f>表格3_5[[#This Row],[ Hours]]-表格3_5[[#This Row],[Normal working
 hours]]</f>
        <v>0</v>
      </c>
      <c r="N1825" s="205"/>
      <c r="O1825" s="205"/>
      <c r="P1825" s="210">
        <f>(表格3_5[[#This Row],[Out-Time2]] - 表格3_5[[#This Row],[In-Time2]])*24</f>
        <v>0</v>
      </c>
      <c r="Q1825" s="205"/>
      <c r="R1825" s="214">
        <f>_xlfn.XLOOKUP(表格3_5[[#This Row],[Name]],Name_list[Full Name],Name_list[Hourr Rate])</f>
        <v>0</v>
      </c>
      <c r="S1825" s="210">
        <f>表格3_5[[#This Row],[Hours Worked]]*表格3_5[[#This Row],[Hourly Rate]]</f>
        <v>0</v>
      </c>
    </row>
    <row r="1826" spans="1:19">
      <c r="A1826" s="201">
        <v>1824</v>
      </c>
      <c r="B1826" s="210" t="str">
        <f>_xlfn.CONCAT(表格3_5[[#This Row],[Name]],表格3_5[[#This Row],[Location]])</f>
        <v/>
      </c>
      <c r="C1826" s="211" t="str">
        <f>表格3_5[[#This Row],[Location]] &amp; 表格3_5[[#This Row],[Date]] &amp;表格3_5[[#This Row],[Nick Name]]</f>
        <v>0</v>
      </c>
      <c r="D1826" s="202"/>
      <c r="E1826" s="211" t="str">
        <f>DAY(表格3_5[[#This Row],[Date]])&amp;""</f>
        <v>0</v>
      </c>
      <c r="F1826" s="203"/>
      <c r="G1826" s="216">
        <f>_xlfn.XLOOKUP(表格3_5[[#This Row],[Name]],Name_list[Full Name],Name_list[Nick Name])</f>
        <v>0</v>
      </c>
      <c r="H1826" s="207"/>
      <c r="I1826" s="228"/>
      <c r="J1826" s="218"/>
      <c r="K1826" s="205"/>
      <c r="L1826" s="210">
        <f>(表格3_5[[#This Row],[Out-Time]] - 表格3_5[[#This Row],[In-Time]])*24</f>
        <v>0</v>
      </c>
      <c r="M1826" s="210">
        <f>表格3_5[[#This Row],[ Hours]]-表格3_5[[#This Row],[Normal working
 hours]]</f>
        <v>0</v>
      </c>
      <c r="N1826" s="205"/>
      <c r="O1826" s="205"/>
      <c r="P1826" s="210">
        <f>(表格3_5[[#This Row],[Out-Time2]] - 表格3_5[[#This Row],[In-Time2]])*24</f>
        <v>0</v>
      </c>
      <c r="Q1826" s="205"/>
      <c r="R1826" s="214">
        <f>_xlfn.XLOOKUP(表格3_5[[#This Row],[Name]],Name_list[Full Name],Name_list[Hourr Rate])</f>
        <v>0</v>
      </c>
      <c r="S1826" s="210">
        <f>表格3_5[[#This Row],[Hours Worked]]*表格3_5[[#This Row],[Hourly Rate]]</f>
        <v>0</v>
      </c>
    </row>
    <row r="1827" spans="1:19">
      <c r="A1827" s="201">
        <v>1825</v>
      </c>
      <c r="B1827" s="210" t="str">
        <f>_xlfn.CONCAT(表格3_5[[#This Row],[Name]],表格3_5[[#This Row],[Location]])</f>
        <v/>
      </c>
      <c r="C1827" s="211" t="str">
        <f>表格3_5[[#This Row],[Location]] &amp; 表格3_5[[#This Row],[Date]] &amp;表格3_5[[#This Row],[Nick Name]]</f>
        <v>0</v>
      </c>
      <c r="D1827" s="202"/>
      <c r="E1827" s="211" t="str">
        <f>DAY(表格3_5[[#This Row],[Date]])&amp;""</f>
        <v>0</v>
      </c>
      <c r="F1827" s="203"/>
      <c r="G1827" s="216">
        <f>_xlfn.XLOOKUP(表格3_5[[#This Row],[Name]],Name_list[Full Name],Name_list[Nick Name])</f>
        <v>0</v>
      </c>
      <c r="H1827" s="207"/>
      <c r="I1827" s="228"/>
      <c r="J1827" s="218"/>
      <c r="K1827" s="205"/>
      <c r="L1827" s="210">
        <f>(表格3_5[[#This Row],[Out-Time]] - 表格3_5[[#This Row],[In-Time]])*24</f>
        <v>0</v>
      </c>
      <c r="M1827" s="210">
        <f>表格3_5[[#This Row],[ Hours]]-表格3_5[[#This Row],[Normal working
 hours]]</f>
        <v>0</v>
      </c>
      <c r="N1827" s="205"/>
      <c r="O1827" s="205"/>
      <c r="P1827" s="210">
        <f>(表格3_5[[#This Row],[Out-Time2]] - 表格3_5[[#This Row],[In-Time2]])*24</f>
        <v>0</v>
      </c>
      <c r="Q1827" s="205"/>
      <c r="R1827" s="214">
        <f>_xlfn.XLOOKUP(表格3_5[[#This Row],[Name]],Name_list[Full Name],Name_list[Hourr Rate])</f>
        <v>0</v>
      </c>
      <c r="S1827" s="210">
        <f>表格3_5[[#This Row],[Hours Worked]]*表格3_5[[#This Row],[Hourly Rate]]</f>
        <v>0</v>
      </c>
    </row>
    <row r="1828" spans="1:19">
      <c r="A1828" s="201">
        <v>1826</v>
      </c>
      <c r="B1828" s="210" t="str">
        <f>_xlfn.CONCAT(表格3_5[[#This Row],[Name]],表格3_5[[#This Row],[Location]])</f>
        <v/>
      </c>
      <c r="C1828" s="211" t="str">
        <f>表格3_5[[#This Row],[Location]] &amp; 表格3_5[[#This Row],[Date]] &amp;表格3_5[[#This Row],[Nick Name]]</f>
        <v>0</v>
      </c>
      <c r="D1828" s="202"/>
      <c r="E1828" s="211" t="str">
        <f>DAY(表格3_5[[#This Row],[Date]])&amp;""</f>
        <v>0</v>
      </c>
      <c r="F1828" s="203"/>
      <c r="G1828" s="216">
        <f>_xlfn.XLOOKUP(表格3_5[[#This Row],[Name]],Name_list[Full Name],Name_list[Nick Name])</f>
        <v>0</v>
      </c>
      <c r="H1828" s="207"/>
      <c r="I1828" s="228"/>
      <c r="J1828" s="218"/>
      <c r="K1828" s="205"/>
      <c r="L1828" s="210">
        <f>(表格3_5[[#This Row],[Out-Time]] - 表格3_5[[#This Row],[In-Time]])*24</f>
        <v>0</v>
      </c>
      <c r="M1828" s="210">
        <f>表格3_5[[#This Row],[ Hours]]-表格3_5[[#This Row],[Normal working
 hours]]</f>
        <v>0</v>
      </c>
      <c r="N1828" s="205"/>
      <c r="O1828" s="205"/>
      <c r="P1828" s="210">
        <f>(表格3_5[[#This Row],[Out-Time2]] - 表格3_5[[#This Row],[In-Time2]])*24</f>
        <v>0</v>
      </c>
      <c r="Q1828" s="205"/>
      <c r="R1828" s="214">
        <f>_xlfn.XLOOKUP(表格3_5[[#This Row],[Name]],Name_list[Full Name],Name_list[Hourr Rate])</f>
        <v>0</v>
      </c>
      <c r="S1828" s="210">
        <f>表格3_5[[#This Row],[Hours Worked]]*表格3_5[[#This Row],[Hourly Rate]]</f>
        <v>0</v>
      </c>
    </row>
    <row r="1829" spans="1:19">
      <c r="A1829" s="201">
        <v>1827</v>
      </c>
      <c r="B1829" s="210" t="str">
        <f>_xlfn.CONCAT(表格3_5[[#This Row],[Name]],表格3_5[[#This Row],[Location]])</f>
        <v/>
      </c>
      <c r="C1829" s="211" t="str">
        <f>表格3_5[[#This Row],[Location]] &amp; 表格3_5[[#This Row],[Date]] &amp;表格3_5[[#This Row],[Nick Name]]</f>
        <v>0</v>
      </c>
      <c r="D1829" s="202"/>
      <c r="E1829" s="211" t="str">
        <f>DAY(表格3_5[[#This Row],[Date]])&amp;""</f>
        <v>0</v>
      </c>
      <c r="F1829" s="203"/>
      <c r="G1829" s="216">
        <f>_xlfn.XLOOKUP(表格3_5[[#This Row],[Name]],Name_list[Full Name],Name_list[Nick Name])</f>
        <v>0</v>
      </c>
      <c r="H1829" s="207"/>
      <c r="I1829" s="228"/>
      <c r="J1829" s="218"/>
      <c r="K1829" s="205"/>
      <c r="L1829" s="210">
        <f>(表格3_5[[#This Row],[Out-Time]] - 表格3_5[[#This Row],[In-Time]])*24</f>
        <v>0</v>
      </c>
      <c r="M1829" s="210">
        <f>表格3_5[[#This Row],[ Hours]]-表格3_5[[#This Row],[Normal working
 hours]]</f>
        <v>0</v>
      </c>
      <c r="N1829" s="205"/>
      <c r="O1829" s="205"/>
      <c r="P1829" s="210">
        <f>(表格3_5[[#This Row],[Out-Time2]] - 表格3_5[[#This Row],[In-Time2]])*24</f>
        <v>0</v>
      </c>
      <c r="Q1829" s="205"/>
      <c r="R1829" s="214">
        <f>_xlfn.XLOOKUP(表格3_5[[#This Row],[Name]],Name_list[Full Name],Name_list[Hourr Rate])</f>
        <v>0</v>
      </c>
      <c r="S1829" s="210">
        <f>表格3_5[[#This Row],[Hours Worked]]*表格3_5[[#This Row],[Hourly Rate]]</f>
        <v>0</v>
      </c>
    </row>
    <row r="1830" spans="1:19">
      <c r="A1830" s="201">
        <v>1828</v>
      </c>
      <c r="B1830" s="210" t="str">
        <f>_xlfn.CONCAT(表格3_5[[#This Row],[Name]],表格3_5[[#This Row],[Location]])</f>
        <v/>
      </c>
      <c r="C1830" s="211" t="str">
        <f>表格3_5[[#This Row],[Location]] &amp; 表格3_5[[#This Row],[Date]] &amp;表格3_5[[#This Row],[Nick Name]]</f>
        <v>0</v>
      </c>
      <c r="D1830" s="202"/>
      <c r="E1830" s="211" t="str">
        <f>DAY(表格3_5[[#This Row],[Date]])&amp;""</f>
        <v>0</v>
      </c>
      <c r="F1830" s="203"/>
      <c r="G1830" s="216">
        <f>_xlfn.XLOOKUP(表格3_5[[#This Row],[Name]],Name_list[Full Name],Name_list[Nick Name])</f>
        <v>0</v>
      </c>
      <c r="H1830" s="207"/>
      <c r="I1830" s="228"/>
      <c r="J1830" s="218"/>
      <c r="K1830" s="205"/>
      <c r="L1830" s="210">
        <f>(表格3_5[[#This Row],[Out-Time]] - 表格3_5[[#This Row],[In-Time]])*24</f>
        <v>0</v>
      </c>
      <c r="M1830" s="210">
        <f>表格3_5[[#This Row],[ Hours]]-表格3_5[[#This Row],[Normal working
 hours]]</f>
        <v>0</v>
      </c>
      <c r="N1830" s="205"/>
      <c r="O1830" s="205"/>
      <c r="P1830" s="210">
        <f>(表格3_5[[#This Row],[Out-Time2]] - 表格3_5[[#This Row],[In-Time2]])*24</f>
        <v>0</v>
      </c>
      <c r="Q1830" s="205"/>
      <c r="R1830" s="214">
        <f>_xlfn.XLOOKUP(表格3_5[[#This Row],[Name]],Name_list[Full Name],Name_list[Hourr Rate])</f>
        <v>0</v>
      </c>
      <c r="S1830" s="210">
        <f>表格3_5[[#This Row],[Hours Worked]]*表格3_5[[#This Row],[Hourly Rate]]</f>
        <v>0</v>
      </c>
    </row>
    <row r="1831" spans="1:19">
      <c r="A1831" s="201">
        <v>1829</v>
      </c>
      <c r="B1831" s="210" t="str">
        <f>_xlfn.CONCAT(表格3_5[[#This Row],[Name]],表格3_5[[#This Row],[Location]])</f>
        <v/>
      </c>
      <c r="C1831" s="211" t="str">
        <f>表格3_5[[#This Row],[Location]] &amp; 表格3_5[[#This Row],[Date]] &amp;表格3_5[[#This Row],[Nick Name]]</f>
        <v>0</v>
      </c>
      <c r="D1831" s="202"/>
      <c r="E1831" s="211" t="str">
        <f>DAY(表格3_5[[#This Row],[Date]])&amp;""</f>
        <v>0</v>
      </c>
      <c r="F1831" s="203"/>
      <c r="G1831" s="216">
        <f>_xlfn.XLOOKUP(表格3_5[[#This Row],[Name]],Name_list[Full Name],Name_list[Nick Name])</f>
        <v>0</v>
      </c>
      <c r="H1831" s="207"/>
      <c r="I1831" s="228"/>
      <c r="J1831" s="218"/>
      <c r="K1831" s="205"/>
      <c r="L1831" s="210">
        <f>(表格3_5[[#This Row],[Out-Time]] - 表格3_5[[#This Row],[In-Time]])*24</f>
        <v>0</v>
      </c>
      <c r="M1831" s="210">
        <f>表格3_5[[#This Row],[ Hours]]-表格3_5[[#This Row],[Normal working
 hours]]</f>
        <v>0</v>
      </c>
      <c r="N1831" s="205"/>
      <c r="O1831" s="205"/>
      <c r="P1831" s="210">
        <f>(表格3_5[[#This Row],[Out-Time2]] - 表格3_5[[#This Row],[In-Time2]])*24</f>
        <v>0</v>
      </c>
      <c r="Q1831" s="205"/>
      <c r="R1831" s="214">
        <f>_xlfn.XLOOKUP(表格3_5[[#This Row],[Name]],Name_list[Full Name],Name_list[Hourr Rate])</f>
        <v>0</v>
      </c>
      <c r="S1831" s="210">
        <f>表格3_5[[#This Row],[Hours Worked]]*表格3_5[[#This Row],[Hourly Rate]]</f>
        <v>0</v>
      </c>
    </row>
    <row r="1832" spans="1:19">
      <c r="A1832" s="201">
        <v>1830</v>
      </c>
      <c r="B1832" s="210" t="str">
        <f>_xlfn.CONCAT(表格3_5[[#This Row],[Name]],表格3_5[[#This Row],[Location]])</f>
        <v/>
      </c>
      <c r="C1832" s="211" t="str">
        <f>表格3_5[[#This Row],[Location]] &amp; 表格3_5[[#This Row],[Date]] &amp;表格3_5[[#This Row],[Nick Name]]</f>
        <v>0</v>
      </c>
      <c r="D1832" s="202"/>
      <c r="E1832" s="211" t="str">
        <f>DAY(表格3_5[[#This Row],[Date]])&amp;""</f>
        <v>0</v>
      </c>
      <c r="F1832" s="203"/>
      <c r="G1832" s="216">
        <f>_xlfn.XLOOKUP(表格3_5[[#This Row],[Name]],Name_list[Full Name],Name_list[Nick Name])</f>
        <v>0</v>
      </c>
      <c r="H1832" s="207"/>
      <c r="I1832" s="228"/>
      <c r="J1832" s="218"/>
      <c r="K1832" s="205"/>
      <c r="L1832" s="210">
        <f>(表格3_5[[#This Row],[Out-Time]] - 表格3_5[[#This Row],[In-Time]])*24</f>
        <v>0</v>
      </c>
      <c r="M1832" s="210">
        <f>表格3_5[[#This Row],[ Hours]]-表格3_5[[#This Row],[Normal working
 hours]]</f>
        <v>0</v>
      </c>
      <c r="N1832" s="205"/>
      <c r="O1832" s="205"/>
      <c r="P1832" s="210">
        <f>(表格3_5[[#This Row],[Out-Time2]] - 表格3_5[[#This Row],[In-Time2]])*24</f>
        <v>0</v>
      </c>
      <c r="Q1832" s="205"/>
      <c r="R1832" s="214">
        <f>_xlfn.XLOOKUP(表格3_5[[#This Row],[Name]],Name_list[Full Name],Name_list[Hourr Rate])</f>
        <v>0</v>
      </c>
      <c r="S1832" s="210">
        <f>表格3_5[[#This Row],[Hours Worked]]*表格3_5[[#This Row],[Hourly Rate]]</f>
        <v>0</v>
      </c>
    </row>
    <row r="1833" spans="1:19">
      <c r="A1833" s="201">
        <v>1831</v>
      </c>
      <c r="B1833" s="210" t="str">
        <f>_xlfn.CONCAT(表格3_5[[#This Row],[Name]],表格3_5[[#This Row],[Location]])</f>
        <v/>
      </c>
      <c r="C1833" s="211" t="str">
        <f>表格3_5[[#This Row],[Location]] &amp; 表格3_5[[#This Row],[Date]] &amp;表格3_5[[#This Row],[Nick Name]]</f>
        <v>0</v>
      </c>
      <c r="D1833" s="202"/>
      <c r="E1833" s="211" t="str">
        <f>DAY(表格3_5[[#This Row],[Date]])&amp;""</f>
        <v>0</v>
      </c>
      <c r="F1833" s="203"/>
      <c r="G1833" s="216">
        <f>_xlfn.XLOOKUP(表格3_5[[#This Row],[Name]],Name_list[Full Name],Name_list[Nick Name])</f>
        <v>0</v>
      </c>
      <c r="H1833" s="207"/>
      <c r="I1833" s="228"/>
      <c r="J1833" s="218"/>
      <c r="K1833" s="205"/>
      <c r="L1833" s="210">
        <f>(表格3_5[[#This Row],[Out-Time]] - 表格3_5[[#This Row],[In-Time]])*24</f>
        <v>0</v>
      </c>
      <c r="M1833" s="210">
        <f>表格3_5[[#This Row],[ Hours]]-表格3_5[[#This Row],[Normal working
 hours]]</f>
        <v>0</v>
      </c>
      <c r="N1833" s="205"/>
      <c r="O1833" s="205"/>
      <c r="P1833" s="210">
        <f>(表格3_5[[#This Row],[Out-Time2]] - 表格3_5[[#This Row],[In-Time2]])*24</f>
        <v>0</v>
      </c>
      <c r="Q1833" s="205"/>
      <c r="R1833" s="214">
        <f>_xlfn.XLOOKUP(表格3_5[[#This Row],[Name]],Name_list[Full Name],Name_list[Hourr Rate])</f>
        <v>0</v>
      </c>
      <c r="S1833" s="210">
        <f>表格3_5[[#This Row],[Hours Worked]]*表格3_5[[#This Row],[Hourly Rate]]</f>
        <v>0</v>
      </c>
    </row>
    <row r="1834" spans="1:19">
      <c r="A1834" s="201">
        <v>1832</v>
      </c>
      <c r="B1834" s="210" t="str">
        <f>_xlfn.CONCAT(表格3_5[[#This Row],[Name]],表格3_5[[#This Row],[Location]])</f>
        <v/>
      </c>
      <c r="C1834" s="211" t="str">
        <f>表格3_5[[#This Row],[Location]] &amp; 表格3_5[[#This Row],[Date]] &amp;表格3_5[[#This Row],[Nick Name]]</f>
        <v>0</v>
      </c>
      <c r="D1834" s="202"/>
      <c r="E1834" s="211" t="str">
        <f>DAY(表格3_5[[#This Row],[Date]])&amp;""</f>
        <v>0</v>
      </c>
      <c r="F1834" s="203"/>
      <c r="G1834" s="216">
        <f>_xlfn.XLOOKUP(表格3_5[[#This Row],[Name]],Name_list[Full Name],Name_list[Nick Name])</f>
        <v>0</v>
      </c>
      <c r="H1834" s="207"/>
      <c r="I1834" s="228"/>
      <c r="J1834" s="218"/>
      <c r="K1834" s="205"/>
      <c r="L1834" s="210">
        <f>(表格3_5[[#This Row],[Out-Time]] - 表格3_5[[#This Row],[In-Time]])*24</f>
        <v>0</v>
      </c>
      <c r="M1834" s="210">
        <f>表格3_5[[#This Row],[ Hours]]-表格3_5[[#This Row],[Normal working
 hours]]</f>
        <v>0</v>
      </c>
      <c r="N1834" s="205"/>
      <c r="O1834" s="205"/>
      <c r="P1834" s="210">
        <f>(表格3_5[[#This Row],[Out-Time2]] - 表格3_5[[#This Row],[In-Time2]])*24</f>
        <v>0</v>
      </c>
      <c r="Q1834" s="205"/>
      <c r="R1834" s="214">
        <f>_xlfn.XLOOKUP(表格3_5[[#This Row],[Name]],Name_list[Full Name],Name_list[Hourr Rate])</f>
        <v>0</v>
      </c>
      <c r="S1834" s="210">
        <f>表格3_5[[#This Row],[Hours Worked]]*表格3_5[[#This Row],[Hourly Rate]]</f>
        <v>0</v>
      </c>
    </row>
    <row r="1835" spans="1:19">
      <c r="A1835" s="201">
        <v>1833</v>
      </c>
      <c r="B1835" s="210" t="str">
        <f>_xlfn.CONCAT(表格3_5[[#This Row],[Name]],表格3_5[[#This Row],[Location]])</f>
        <v/>
      </c>
      <c r="C1835" s="211" t="str">
        <f>表格3_5[[#This Row],[Location]] &amp; 表格3_5[[#This Row],[Date]] &amp;表格3_5[[#This Row],[Nick Name]]</f>
        <v>0</v>
      </c>
      <c r="D1835" s="202"/>
      <c r="E1835" s="211" t="str">
        <f>DAY(表格3_5[[#This Row],[Date]])&amp;""</f>
        <v>0</v>
      </c>
      <c r="F1835" s="203"/>
      <c r="G1835" s="216">
        <f>_xlfn.XLOOKUP(表格3_5[[#This Row],[Name]],Name_list[Full Name],Name_list[Nick Name])</f>
        <v>0</v>
      </c>
      <c r="H1835" s="207"/>
      <c r="I1835" s="228"/>
      <c r="J1835" s="218"/>
      <c r="K1835" s="205"/>
      <c r="L1835" s="210">
        <f>(表格3_5[[#This Row],[Out-Time]] - 表格3_5[[#This Row],[In-Time]])*24</f>
        <v>0</v>
      </c>
      <c r="M1835" s="210">
        <f>表格3_5[[#This Row],[ Hours]]-表格3_5[[#This Row],[Normal working
 hours]]</f>
        <v>0</v>
      </c>
      <c r="N1835" s="205"/>
      <c r="O1835" s="205"/>
      <c r="P1835" s="210">
        <f>(表格3_5[[#This Row],[Out-Time2]] - 表格3_5[[#This Row],[In-Time2]])*24</f>
        <v>0</v>
      </c>
      <c r="Q1835" s="205"/>
      <c r="R1835" s="214">
        <f>_xlfn.XLOOKUP(表格3_5[[#This Row],[Name]],Name_list[Full Name],Name_list[Hourr Rate])</f>
        <v>0</v>
      </c>
      <c r="S1835" s="210">
        <f>表格3_5[[#This Row],[Hours Worked]]*表格3_5[[#This Row],[Hourly Rate]]</f>
        <v>0</v>
      </c>
    </row>
    <row r="1836" spans="1:19">
      <c r="A1836" s="201">
        <v>1834</v>
      </c>
      <c r="B1836" s="210" t="str">
        <f>_xlfn.CONCAT(表格3_5[[#This Row],[Name]],表格3_5[[#This Row],[Location]])</f>
        <v/>
      </c>
      <c r="C1836" s="211" t="str">
        <f>表格3_5[[#This Row],[Location]] &amp; 表格3_5[[#This Row],[Date]] &amp;表格3_5[[#This Row],[Nick Name]]</f>
        <v>0</v>
      </c>
      <c r="D1836" s="202"/>
      <c r="E1836" s="211" t="str">
        <f>DAY(表格3_5[[#This Row],[Date]])&amp;""</f>
        <v>0</v>
      </c>
      <c r="F1836" s="203"/>
      <c r="G1836" s="216">
        <f>_xlfn.XLOOKUP(表格3_5[[#This Row],[Name]],Name_list[Full Name],Name_list[Nick Name])</f>
        <v>0</v>
      </c>
      <c r="H1836" s="207"/>
      <c r="I1836" s="228"/>
      <c r="J1836" s="218"/>
      <c r="K1836" s="205"/>
      <c r="L1836" s="210">
        <f>(表格3_5[[#This Row],[Out-Time]] - 表格3_5[[#This Row],[In-Time]])*24</f>
        <v>0</v>
      </c>
      <c r="M1836" s="210">
        <f>表格3_5[[#This Row],[ Hours]]-表格3_5[[#This Row],[Normal working
 hours]]</f>
        <v>0</v>
      </c>
      <c r="N1836" s="205"/>
      <c r="O1836" s="205"/>
      <c r="P1836" s="210">
        <f>(表格3_5[[#This Row],[Out-Time2]] - 表格3_5[[#This Row],[In-Time2]])*24</f>
        <v>0</v>
      </c>
      <c r="Q1836" s="205"/>
      <c r="R1836" s="214">
        <f>_xlfn.XLOOKUP(表格3_5[[#This Row],[Name]],Name_list[Full Name],Name_list[Hourr Rate])</f>
        <v>0</v>
      </c>
      <c r="S1836" s="210">
        <f>表格3_5[[#This Row],[Hours Worked]]*表格3_5[[#This Row],[Hourly Rate]]</f>
        <v>0</v>
      </c>
    </row>
    <row r="1837" spans="1:19">
      <c r="A1837" s="201">
        <v>1835</v>
      </c>
      <c r="B1837" s="210" t="str">
        <f>_xlfn.CONCAT(表格3_5[[#This Row],[Name]],表格3_5[[#This Row],[Location]])</f>
        <v/>
      </c>
      <c r="C1837" s="211" t="str">
        <f>表格3_5[[#This Row],[Location]] &amp; 表格3_5[[#This Row],[Date]] &amp;表格3_5[[#This Row],[Nick Name]]</f>
        <v>0</v>
      </c>
      <c r="D1837" s="202"/>
      <c r="E1837" s="211" t="str">
        <f>DAY(表格3_5[[#This Row],[Date]])&amp;""</f>
        <v>0</v>
      </c>
      <c r="F1837" s="203"/>
      <c r="G1837" s="216">
        <f>_xlfn.XLOOKUP(表格3_5[[#This Row],[Name]],Name_list[Full Name],Name_list[Nick Name])</f>
        <v>0</v>
      </c>
      <c r="H1837" s="207"/>
      <c r="I1837" s="228"/>
      <c r="J1837" s="218"/>
      <c r="K1837" s="205"/>
      <c r="L1837" s="210">
        <f>(表格3_5[[#This Row],[Out-Time]] - 表格3_5[[#This Row],[In-Time]])*24</f>
        <v>0</v>
      </c>
      <c r="M1837" s="210">
        <f>表格3_5[[#This Row],[ Hours]]-表格3_5[[#This Row],[Normal working
 hours]]</f>
        <v>0</v>
      </c>
      <c r="N1837" s="205"/>
      <c r="O1837" s="205"/>
      <c r="P1837" s="210">
        <f>(表格3_5[[#This Row],[Out-Time2]] - 表格3_5[[#This Row],[In-Time2]])*24</f>
        <v>0</v>
      </c>
      <c r="Q1837" s="205"/>
      <c r="R1837" s="214">
        <f>_xlfn.XLOOKUP(表格3_5[[#This Row],[Name]],Name_list[Full Name],Name_list[Hourr Rate])</f>
        <v>0</v>
      </c>
      <c r="S1837" s="210">
        <f>表格3_5[[#This Row],[Hours Worked]]*表格3_5[[#This Row],[Hourly Rate]]</f>
        <v>0</v>
      </c>
    </row>
    <row r="1838" spans="1:19">
      <c r="A1838" s="201">
        <v>1836</v>
      </c>
      <c r="B1838" s="210" t="str">
        <f>_xlfn.CONCAT(表格3_5[[#This Row],[Name]],表格3_5[[#This Row],[Location]])</f>
        <v/>
      </c>
      <c r="C1838" s="211" t="str">
        <f>表格3_5[[#This Row],[Location]] &amp; 表格3_5[[#This Row],[Date]] &amp;表格3_5[[#This Row],[Nick Name]]</f>
        <v>0</v>
      </c>
      <c r="D1838" s="202"/>
      <c r="E1838" s="211" t="str">
        <f>DAY(表格3_5[[#This Row],[Date]])&amp;""</f>
        <v>0</v>
      </c>
      <c r="F1838" s="203"/>
      <c r="G1838" s="216">
        <f>_xlfn.XLOOKUP(表格3_5[[#This Row],[Name]],Name_list[Full Name],Name_list[Nick Name])</f>
        <v>0</v>
      </c>
      <c r="H1838" s="207"/>
      <c r="I1838" s="228"/>
      <c r="J1838" s="218"/>
      <c r="K1838" s="205"/>
      <c r="L1838" s="210">
        <f>(表格3_5[[#This Row],[Out-Time]] - 表格3_5[[#This Row],[In-Time]])*24</f>
        <v>0</v>
      </c>
      <c r="M1838" s="210">
        <f>表格3_5[[#This Row],[ Hours]]-表格3_5[[#This Row],[Normal working
 hours]]</f>
        <v>0</v>
      </c>
      <c r="N1838" s="205"/>
      <c r="O1838" s="205"/>
      <c r="P1838" s="210">
        <f>(表格3_5[[#This Row],[Out-Time2]] - 表格3_5[[#This Row],[In-Time2]])*24</f>
        <v>0</v>
      </c>
      <c r="Q1838" s="205"/>
      <c r="R1838" s="214">
        <f>_xlfn.XLOOKUP(表格3_5[[#This Row],[Name]],Name_list[Full Name],Name_list[Hourr Rate])</f>
        <v>0</v>
      </c>
      <c r="S1838" s="210">
        <f>表格3_5[[#This Row],[Hours Worked]]*表格3_5[[#This Row],[Hourly Rate]]</f>
        <v>0</v>
      </c>
    </row>
    <row r="1839" spans="1:19">
      <c r="A1839" s="201">
        <v>1837</v>
      </c>
      <c r="B1839" s="210" t="str">
        <f>_xlfn.CONCAT(表格3_5[[#This Row],[Name]],表格3_5[[#This Row],[Location]])</f>
        <v/>
      </c>
      <c r="C1839" s="211" t="str">
        <f>表格3_5[[#This Row],[Location]] &amp; 表格3_5[[#This Row],[Date]] &amp;表格3_5[[#This Row],[Nick Name]]</f>
        <v>0</v>
      </c>
      <c r="D1839" s="202"/>
      <c r="E1839" s="211" t="str">
        <f>DAY(表格3_5[[#This Row],[Date]])&amp;""</f>
        <v>0</v>
      </c>
      <c r="F1839" s="203"/>
      <c r="G1839" s="216">
        <f>_xlfn.XLOOKUP(表格3_5[[#This Row],[Name]],Name_list[Full Name],Name_list[Nick Name])</f>
        <v>0</v>
      </c>
      <c r="H1839" s="207"/>
      <c r="I1839" s="228"/>
      <c r="J1839" s="218"/>
      <c r="K1839" s="205"/>
      <c r="L1839" s="210">
        <f>(表格3_5[[#This Row],[Out-Time]] - 表格3_5[[#This Row],[In-Time]])*24</f>
        <v>0</v>
      </c>
      <c r="M1839" s="210">
        <f>表格3_5[[#This Row],[ Hours]]-表格3_5[[#This Row],[Normal working
 hours]]</f>
        <v>0</v>
      </c>
      <c r="N1839" s="205"/>
      <c r="O1839" s="205"/>
      <c r="P1839" s="210">
        <f>(表格3_5[[#This Row],[Out-Time2]] - 表格3_5[[#This Row],[In-Time2]])*24</f>
        <v>0</v>
      </c>
      <c r="Q1839" s="205"/>
      <c r="R1839" s="214">
        <f>_xlfn.XLOOKUP(表格3_5[[#This Row],[Name]],Name_list[Full Name],Name_list[Hourr Rate])</f>
        <v>0</v>
      </c>
      <c r="S1839" s="210">
        <f>表格3_5[[#This Row],[Hours Worked]]*表格3_5[[#This Row],[Hourly Rate]]</f>
        <v>0</v>
      </c>
    </row>
    <row r="1840" spans="1:19">
      <c r="A1840" s="201">
        <v>1838</v>
      </c>
      <c r="B1840" s="210" t="str">
        <f>_xlfn.CONCAT(表格3_5[[#This Row],[Name]],表格3_5[[#This Row],[Location]])</f>
        <v/>
      </c>
      <c r="C1840" s="211" t="str">
        <f>表格3_5[[#This Row],[Location]] &amp; 表格3_5[[#This Row],[Date]] &amp;表格3_5[[#This Row],[Nick Name]]</f>
        <v>0</v>
      </c>
      <c r="D1840" s="202"/>
      <c r="E1840" s="211" t="str">
        <f>DAY(表格3_5[[#This Row],[Date]])&amp;""</f>
        <v>0</v>
      </c>
      <c r="F1840" s="203"/>
      <c r="G1840" s="216">
        <f>_xlfn.XLOOKUP(表格3_5[[#This Row],[Name]],Name_list[Full Name],Name_list[Nick Name])</f>
        <v>0</v>
      </c>
      <c r="H1840" s="207"/>
      <c r="I1840" s="228"/>
      <c r="J1840" s="218"/>
      <c r="K1840" s="205"/>
      <c r="L1840" s="210">
        <f>(表格3_5[[#This Row],[Out-Time]] - 表格3_5[[#This Row],[In-Time]])*24</f>
        <v>0</v>
      </c>
      <c r="M1840" s="210">
        <f>表格3_5[[#This Row],[ Hours]]-表格3_5[[#This Row],[Normal working
 hours]]</f>
        <v>0</v>
      </c>
      <c r="N1840" s="205"/>
      <c r="O1840" s="205"/>
      <c r="P1840" s="210">
        <f>(表格3_5[[#This Row],[Out-Time2]] - 表格3_5[[#This Row],[In-Time2]])*24</f>
        <v>0</v>
      </c>
      <c r="Q1840" s="205"/>
      <c r="R1840" s="214">
        <f>_xlfn.XLOOKUP(表格3_5[[#This Row],[Name]],Name_list[Full Name],Name_list[Hourr Rate])</f>
        <v>0</v>
      </c>
      <c r="S1840" s="210">
        <f>表格3_5[[#This Row],[Hours Worked]]*表格3_5[[#This Row],[Hourly Rate]]</f>
        <v>0</v>
      </c>
    </row>
    <row r="1841" spans="1:19">
      <c r="A1841" s="201">
        <v>1839</v>
      </c>
      <c r="B1841" s="210" t="str">
        <f>_xlfn.CONCAT(表格3_5[[#This Row],[Name]],表格3_5[[#This Row],[Location]])</f>
        <v/>
      </c>
      <c r="C1841" s="211" t="str">
        <f>表格3_5[[#This Row],[Location]] &amp; 表格3_5[[#This Row],[Date]] &amp;表格3_5[[#This Row],[Nick Name]]</f>
        <v>0</v>
      </c>
      <c r="D1841" s="202"/>
      <c r="E1841" s="211" t="str">
        <f>DAY(表格3_5[[#This Row],[Date]])&amp;""</f>
        <v>0</v>
      </c>
      <c r="F1841" s="203"/>
      <c r="G1841" s="216">
        <f>_xlfn.XLOOKUP(表格3_5[[#This Row],[Name]],Name_list[Full Name],Name_list[Nick Name])</f>
        <v>0</v>
      </c>
      <c r="H1841" s="207"/>
      <c r="I1841" s="228"/>
      <c r="J1841" s="218"/>
      <c r="K1841" s="205"/>
      <c r="L1841" s="210">
        <f>(表格3_5[[#This Row],[Out-Time]] - 表格3_5[[#This Row],[In-Time]])*24</f>
        <v>0</v>
      </c>
      <c r="M1841" s="210">
        <f>表格3_5[[#This Row],[ Hours]]-表格3_5[[#This Row],[Normal working
 hours]]</f>
        <v>0</v>
      </c>
      <c r="N1841" s="205"/>
      <c r="O1841" s="205"/>
      <c r="P1841" s="210">
        <f>(表格3_5[[#This Row],[Out-Time2]] - 表格3_5[[#This Row],[In-Time2]])*24</f>
        <v>0</v>
      </c>
      <c r="Q1841" s="205"/>
      <c r="R1841" s="214">
        <f>_xlfn.XLOOKUP(表格3_5[[#This Row],[Name]],Name_list[Full Name],Name_list[Hourr Rate])</f>
        <v>0</v>
      </c>
      <c r="S1841" s="210">
        <f>表格3_5[[#This Row],[Hours Worked]]*表格3_5[[#This Row],[Hourly Rate]]</f>
        <v>0</v>
      </c>
    </row>
    <row r="1842" spans="1:19">
      <c r="A1842" s="201">
        <v>1840</v>
      </c>
      <c r="B1842" s="210" t="str">
        <f>_xlfn.CONCAT(表格3_5[[#This Row],[Name]],表格3_5[[#This Row],[Location]])</f>
        <v/>
      </c>
      <c r="C1842" s="211" t="str">
        <f>表格3_5[[#This Row],[Location]] &amp; 表格3_5[[#This Row],[Date]] &amp;表格3_5[[#This Row],[Nick Name]]</f>
        <v>0</v>
      </c>
      <c r="D1842" s="202"/>
      <c r="E1842" s="211" t="str">
        <f>DAY(表格3_5[[#This Row],[Date]])&amp;""</f>
        <v>0</v>
      </c>
      <c r="F1842" s="203"/>
      <c r="G1842" s="216">
        <f>_xlfn.XLOOKUP(表格3_5[[#This Row],[Name]],Name_list[Full Name],Name_list[Nick Name])</f>
        <v>0</v>
      </c>
      <c r="H1842" s="207"/>
      <c r="I1842" s="228"/>
      <c r="J1842" s="218"/>
      <c r="K1842" s="205"/>
      <c r="L1842" s="210">
        <f>(表格3_5[[#This Row],[Out-Time]] - 表格3_5[[#This Row],[In-Time]])*24</f>
        <v>0</v>
      </c>
      <c r="M1842" s="210">
        <f>表格3_5[[#This Row],[ Hours]]-表格3_5[[#This Row],[Normal working
 hours]]</f>
        <v>0</v>
      </c>
      <c r="N1842" s="205"/>
      <c r="O1842" s="205"/>
      <c r="P1842" s="210">
        <f>(表格3_5[[#This Row],[Out-Time2]] - 表格3_5[[#This Row],[In-Time2]])*24</f>
        <v>0</v>
      </c>
      <c r="Q1842" s="205"/>
      <c r="R1842" s="214">
        <f>_xlfn.XLOOKUP(表格3_5[[#This Row],[Name]],Name_list[Full Name],Name_list[Hourr Rate])</f>
        <v>0</v>
      </c>
      <c r="S1842" s="210">
        <f>表格3_5[[#This Row],[Hours Worked]]*表格3_5[[#This Row],[Hourly Rate]]</f>
        <v>0</v>
      </c>
    </row>
    <row r="1843" spans="1:19">
      <c r="A1843" s="201">
        <v>1841</v>
      </c>
      <c r="B1843" s="210" t="str">
        <f>_xlfn.CONCAT(表格3_5[[#This Row],[Name]],表格3_5[[#This Row],[Location]])</f>
        <v/>
      </c>
      <c r="C1843" s="211" t="str">
        <f>表格3_5[[#This Row],[Location]] &amp; 表格3_5[[#This Row],[Date]] &amp;表格3_5[[#This Row],[Nick Name]]</f>
        <v>0</v>
      </c>
      <c r="D1843" s="202"/>
      <c r="E1843" s="211" t="str">
        <f>DAY(表格3_5[[#This Row],[Date]])&amp;""</f>
        <v>0</v>
      </c>
      <c r="F1843" s="203"/>
      <c r="G1843" s="216">
        <f>_xlfn.XLOOKUP(表格3_5[[#This Row],[Name]],Name_list[Full Name],Name_list[Nick Name])</f>
        <v>0</v>
      </c>
      <c r="H1843" s="207"/>
      <c r="I1843" s="228"/>
      <c r="J1843" s="218"/>
      <c r="K1843" s="205"/>
      <c r="L1843" s="210">
        <f>(表格3_5[[#This Row],[Out-Time]] - 表格3_5[[#This Row],[In-Time]])*24</f>
        <v>0</v>
      </c>
      <c r="M1843" s="210">
        <f>表格3_5[[#This Row],[ Hours]]-表格3_5[[#This Row],[Normal working
 hours]]</f>
        <v>0</v>
      </c>
      <c r="N1843" s="205"/>
      <c r="O1843" s="205"/>
      <c r="P1843" s="210">
        <f>(表格3_5[[#This Row],[Out-Time2]] - 表格3_5[[#This Row],[In-Time2]])*24</f>
        <v>0</v>
      </c>
      <c r="Q1843" s="205"/>
      <c r="R1843" s="214">
        <f>_xlfn.XLOOKUP(表格3_5[[#This Row],[Name]],Name_list[Full Name],Name_list[Hourr Rate])</f>
        <v>0</v>
      </c>
      <c r="S1843" s="210">
        <f>表格3_5[[#This Row],[Hours Worked]]*表格3_5[[#This Row],[Hourly Rate]]</f>
        <v>0</v>
      </c>
    </row>
    <row r="1844" spans="1:19">
      <c r="A1844" s="201">
        <v>1842</v>
      </c>
      <c r="B1844" s="210" t="str">
        <f>_xlfn.CONCAT(表格3_5[[#This Row],[Name]],表格3_5[[#This Row],[Location]])</f>
        <v/>
      </c>
      <c r="C1844" s="211" t="str">
        <f>表格3_5[[#This Row],[Location]] &amp; 表格3_5[[#This Row],[Date]] &amp;表格3_5[[#This Row],[Nick Name]]</f>
        <v>0</v>
      </c>
      <c r="D1844" s="202"/>
      <c r="E1844" s="211" t="str">
        <f>DAY(表格3_5[[#This Row],[Date]])&amp;""</f>
        <v>0</v>
      </c>
      <c r="F1844" s="203"/>
      <c r="G1844" s="216">
        <f>_xlfn.XLOOKUP(表格3_5[[#This Row],[Name]],Name_list[Full Name],Name_list[Nick Name])</f>
        <v>0</v>
      </c>
      <c r="H1844" s="207"/>
      <c r="I1844" s="228"/>
      <c r="J1844" s="218"/>
      <c r="K1844" s="205"/>
      <c r="L1844" s="210">
        <f>(表格3_5[[#This Row],[Out-Time]] - 表格3_5[[#This Row],[In-Time]])*24</f>
        <v>0</v>
      </c>
      <c r="M1844" s="210">
        <f>表格3_5[[#This Row],[ Hours]]-表格3_5[[#This Row],[Normal working
 hours]]</f>
        <v>0</v>
      </c>
      <c r="N1844" s="205"/>
      <c r="O1844" s="205"/>
      <c r="P1844" s="210">
        <f>(表格3_5[[#This Row],[Out-Time2]] - 表格3_5[[#This Row],[In-Time2]])*24</f>
        <v>0</v>
      </c>
      <c r="Q1844" s="205"/>
      <c r="R1844" s="214">
        <f>_xlfn.XLOOKUP(表格3_5[[#This Row],[Name]],Name_list[Full Name],Name_list[Hourr Rate])</f>
        <v>0</v>
      </c>
      <c r="S1844" s="210">
        <f>表格3_5[[#This Row],[Hours Worked]]*表格3_5[[#This Row],[Hourly Rate]]</f>
        <v>0</v>
      </c>
    </row>
    <row r="1845" spans="1:19">
      <c r="A1845" s="201">
        <v>1843</v>
      </c>
      <c r="B1845" s="210" t="str">
        <f>_xlfn.CONCAT(表格3_5[[#This Row],[Name]],表格3_5[[#This Row],[Location]])</f>
        <v/>
      </c>
      <c r="C1845" s="211" t="str">
        <f>表格3_5[[#This Row],[Location]] &amp; 表格3_5[[#This Row],[Date]] &amp;表格3_5[[#This Row],[Nick Name]]</f>
        <v>0</v>
      </c>
      <c r="D1845" s="202"/>
      <c r="E1845" s="211" t="str">
        <f>DAY(表格3_5[[#This Row],[Date]])&amp;""</f>
        <v>0</v>
      </c>
      <c r="F1845" s="203"/>
      <c r="G1845" s="216">
        <f>_xlfn.XLOOKUP(表格3_5[[#This Row],[Name]],Name_list[Full Name],Name_list[Nick Name])</f>
        <v>0</v>
      </c>
      <c r="H1845" s="207"/>
      <c r="I1845" s="228"/>
      <c r="J1845" s="218"/>
      <c r="K1845" s="205"/>
      <c r="L1845" s="210">
        <f>(表格3_5[[#This Row],[Out-Time]] - 表格3_5[[#This Row],[In-Time]])*24</f>
        <v>0</v>
      </c>
      <c r="M1845" s="210">
        <f>表格3_5[[#This Row],[ Hours]]-表格3_5[[#This Row],[Normal working
 hours]]</f>
        <v>0</v>
      </c>
      <c r="N1845" s="205"/>
      <c r="O1845" s="205"/>
      <c r="P1845" s="210">
        <f>(表格3_5[[#This Row],[Out-Time2]] - 表格3_5[[#This Row],[In-Time2]])*24</f>
        <v>0</v>
      </c>
      <c r="Q1845" s="205"/>
      <c r="R1845" s="214">
        <f>_xlfn.XLOOKUP(表格3_5[[#This Row],[Name]],Name_list[Full Name],Name_list[Hourr Rate])</f>
        <v>0</v>
      </c>
      <c r="S1845" s="210">
        <f>表格3_5[[#This Row],[Hours Worked]]*表格3_5[[#This Row],[Hourly Rate]]</f>
        <v>0</v>
      </c>
    </row>
    <row r="1846" spans="1:19">
      <c r="A1846" s="201">
        <v>1844</v>
      </c>
      <c r="B1846" s="210" t="str">
        <f>_xlfn.CONCAT(表格3_5[[#This Row],[Name]],表格3_5[[#This Row],[Location]])</f>
        <v/>
      </c>
      <c r="C1846" s="211" t="str">
        <f>表格3_5[[#This Row],[Location]] &amp; 表格3_5[[#This Row],[Date]] &amp;表格3_5[[#This Row],[Nick Name]]</f>
        <v>0</v>
      </c>
      <c r="D1846" s="202"/>
      <c r="E1846" s="211" t="str">
        <f>DAY(表格3_5[[#This Row],[Date]])&amp;""</f>
        <v>0</v>
      </c>
      <c r="F1846" s="203"/>
      <c r="G1846" s="216">
        <f>_xlfn.XLOOKUP(表格3_5[[#This Row],[Name]],Name_list[Full Name],Name_list[Nick Name])</f>
        <v>0</v>
      </c>
      <c r="H1846" s="207"/>
      <c r="I1846" s="228"/>
      <c r="J1846" s="218"/>
      <c r="K1846" s="205"/>
      <c r="L1846" s="210">
        <f>(表格3_5[[#This Row],[Out-Time]] - 表格3_5[[#This Row],[In-Time]])*24</f>
        <v>0</v>
      </c>
      <c r="M1846" s="210">
        <f>表格3_5[[#This Row],[ Hours]]-表格3_5[[#This Row],[Normal working
 hours]]</f>
        <v>0</v>
      </c>
      <c r="N1846" s="205"/>
      <c r="O1846" s="205"/>
      <c r="P1846" s="210">
        <f>(表格3_5[[#This Row],[Out-Time2]] - 表格3_5[[#This Row],[In-Time2]])*24</f>
        <v>0</v>
      </c>
      <c r="Q1846" s="205"/>
      <c r="R1846" s="214">
        <f>_xlfn.XLOOKUP(表格3_5[[#This Row],[Name]],Name_list[Full Name],Name_list[Hourr Rate])</f>
        <v>0</v>
      </c>
      <c r="S1846" s="210">
        <f>表格3_5[[#This Row],[Hours Worked]]*表格3_5[[#This Row],[Hourly Rate]]</f>
        <v>0</v>
      </c>
    </row>
    <row r="1847" spans="1:19">
      <c r="A1847" s="201">
        <v>1845</v>
      </c>
      <c r="B1847" s="210" t="str">
        <f>_xlfn.CONCAT(表格3_5[[#This Row],[Name]],表格3_5[[#This Row],[Location]])</f>
        <v/>
      </c>
      <c r="C1847" s="211" t="str">
        <f>表格3_5[[#This Row],[Location]] &amp; 表格3_5[[#This Row],[Date]] &amp;表格3_5[[#This Row],[Nick Name]]</f>
        <v>0</v>
      </c>
      <c r="D1847" s="202"/>
      <c r="E1847" s="211" t="str">
        <f>DAY(表格3_5[[#This Row],[Date]])&amp;""</f>
        <v>0</v>
      </c>
      <c r="F1847" s="203"/>
      <c r="G1847" s="216">
        <f>_xlfn.XLOOKUP(表格3_5[[#This Row],[Name]],Name_list[Full Name],Name_list[Nick Name])</f>
        <v>0</v>
      </c>
      <c r="H1847" s="207"/>
      <c r="I1847" s="228"/>
      <c r="J1847" s="218"/>
      <c r="K1847" s="205"/>
      <c r="L1847" s="210">
        <f>(表格3_5[[#This Row],[Out-Time]] - 表格3_5[[#This Row],[In-Time]])*24</f>
        <v>0</v>
      </c>
      <c r="M1847" s="210">
        <f>表格3_5[[#This Row],[ Hours]]-表格3_5[[#This Row],[Normal working
 hours]]</f>
        <v>0</v>
      </c>
      <c r="N1847" s="205"/>
      <c r="O1847" s="205"/>
      <c r="P1847" s="210">
        <f>(表格3_5[[#This Row],[Out-Time2]] - 表格3_5[[#This Row],[In-Time2]])*24</f>
        <v>0</v>
      </c>
      <c r="Q1847" s="205"/>
      <c r="R1847" s="214">
        <f>_xlfn.XLOOKUP(表格3_5[[#This Row],[Name]],Name_list[Full Name],Name_list[Hourr Rate])</f>
        <v>0</v>
      </c>
      <c r="S1847" s="210">
        <f>表格3_5[[#This Row],[Hours Worked]]*表格3_5[[#This Row],[Hourly Rate]]</f>
        <v>0</v>
      </c>
    </row>
    <row r="1848" spans="1:19">
      <c r="A1848" s="201">
        <v>1846</v>
      </c>
      <c r="B1848" s="210" t="str">
        <f>_xlfn.CONCAT(表格3_5[[#This Row],[Name]],表格3_5[[#This Row],[Location]])</f>
        <v/>
      </c>
      <c r="C1848" s="211" t="str">
        <f>表格3_5[[#This Row],[Location]] &amp; 表格3_5[[#This Row],[Date]] &amp;表格3_5[[#This Row],[Nick Name]]</f>
        <v>0</v>
      </c>
      <c r="D1848" s="202"/>
      <c r="E1848" s="211" t="str">
        <f>DAY(表格3_5[[#This Row],[Date]])&amp;""</f>
        <v>0</v>
      </c>
      <c r="F1848" s="203"/>
      <c r="G1848" s="216">
        <f>_xlfn.XLOOKUP(表格3_5[[#This Row],[Name]],Name_list[Full Name],Name_list[Nick Name])</f>
        <v>0</v>
      </c>
      <c r="H1848" s="207"/>
      <c r="I1848" s="228"/>
      <c r="J1848" s="218"/>
      <c r="K1848" s="205"/>
      <c r="L1848" s="210">
        <f>(表格3_5[[#This Row],[Out-Time]] - 表格3_5[[#This Row],[In-Time]])*24</f>
        <v>0</v>
      </c>
      <c r="M1848" s="210">
        <f>表格3_5[[#This Row],[ Hours]]-表格3_5[[#This Row],[Normal working
 hours]]</f>
        <v>0</v>
      </c>
      <c r="N1848" s="205"/>
      <c r="O1848" s="205"/>
      <c r="P1848" s="210">
        <f>(表格3_5[[#This Row],[Out-Time2]] - 表格3_5[[#This Row],[In-Time2]])*24</f>
        <v>0</v>
      </c>
      <c r="Q1848" s="205"/>
      <c r="R1848" s="214">
        <f>_xlfn.XLOOKUP(表格3_5[[#This Row],[Name]],Name_list[Full Name],Name_list[Hourr Rate])</f>
        <v>0</v>
      </c>
      <c r="S1848" s="210">
        <f>表格3_5[[#This Row],[Hours Worked]]*表格3_5[[#This Row],[Hourly Rate]]</f>
        <v>0</v>
      </c>
    </row>
    <row r="1849" spans="1:19">
      <c r="A1849" s="201">
        <v>1847</v>
      </c>
      <c r="B1849" s="210" t="str">
        <f>_xlfn.CONCAT(表格3_5[[#This Row],[Name]],表格3_5[[#This Row],[Location]])</f>
        <v/>
      </c>
      <c r="C1849" s="211" t="str">
        <f>表格3_5[[#This Row],[Location]] &amp; 表格3_5[[#This Row],[Date]] &amp;表格3_5[[#This Row],[Nick Name]]</f>
        <v>0</v>
      </c>
      <c r="D1849" s="202"/>
      <c r="E1849" s="211" t="str">
        <f>DAY(表格3_5[[#This Row],[Date]])&amp;""</f>
        <v>0</v>
      </c>
      <c r="F1849" s="203"/>
      <c r="G1849" s="216">
        <f>_xlfn.XLOOKUP(表格3_5[[#This Row],[Name]],Name_list[Full Name],Name_list[Nick Name])</f>
        <v>0</v>
      </c>
      <c r="H1849" s="207"/>
      <c r="I1849" s="228"/>
      <c r="J1849" s="218"/>
      <c r="K1849" s="205"/>
      <c r="L1849" s="210">
        <f>(表格3_5[[#This Row],[Out-Time]] - 表格3_5[[#This Row],[In-Time]])*24</f>
        <v>0</v>
      </c>
      <c r="M1849" s="210">
        <f>表格3_5[[#This Row],[ Hours]]-表格3_5[[#This Row],[Normal working
 hours]]</f>
        <v>0</v>
      </c>
      <c r="N1849" s="205"/>
      <c r="O1849" s="205"/>
      <c r="P1849" s="210">
        <f>(表格3_5[[#This Row],[Out-Time2]] - 表格3_5[[#This Row],[In-Time2]])*24</f>
        <v>0</v>
      </c>
      <c r="Q1849" s="205"/>
      <c r="R1849" s="214">
        <f>_xlfn.XLOOKUP(表格3_5[[#This Row],[Name]],Name_list[Full Name],Name_list[Hourr Rate])</f>
        <v>0</v>
      </c>
      <c r="S1849" s="210">
        <f>表格3_5[[#This Row],[Hours Worked]]*表格3_5[[#This Row],[Hourly Rate]]</f>
        <v>0</v>
      </c>
    </row>
    <row r="1850" spans="1:19">
      <c r="A1850" s="201">
        <v>1848</v>
      </c>
      <c r="B1850" s="210" t="str">
        <f>_xlfn.CONCAT(表格3_5[[#This Row],[Name]],表格3_5[[#This Row],[Location]])</f>
        <v/>
      </c>
      <c r="C1850" s="211" t="str">
        <f>表格3_5[[#This Row],[Location]] &amp; 表格3_5[[#This Row],[Date]] &amp;表格3_5[[#This Row],[Nick Name]]</f>
        <v>0</v>
      </c>
      <c r="D1850" s="202"/>
      <c r="E1850" s="211" t="str">
        <f>DAY(表格3_5[[#This Row],[Date]])&amp;""</f>
        <v>0</v>
      </c>
      <c r="F1850" s="203"/>
      <c r="G1850" s="216">
        <f>_xlfn.XLOOKUP(表格3_5[[#This Row],[Name]],Name_list[Full Name],Name_list[Nick Name])</f>
        <v>0</v>
      </c>
      <c r="H1850" s="207"/>
      <c r="I1850" s="228"/>
      <c r="J1850" s="218"/>
      <c r="K1850" s="205"/>
      <c r="L1850" s="210">
        <f>(表格3_5[[#This Row],[Out-Time]] - 表格3_5[[#This Row],[In-Time]])*24</f>
        <v>0</v>
      </c>
      <c r="M1850" s="210">
        <f>表格3_5[[#This Row],[ Hours]]-表格3_5[[#This Row],[Normal working
 hours]]</f>
        <v>0</v>
      </c>
      <c r="N1850" s="205"/>
      <c r="O1850" s="205"/>
      <c r="P1850" s="210">
        <f>(表格3_5[[#This Row],[Out-Time2]] - 表格3_5[[#This Row],[In-Time2]])*24</f>
        <v>0</v>
      </c>
      <c r="Q1850" s="205"/>
      <c r="R1850" s="214">
        <f>_xlfn.XLOOKUP(表格3_5[[#This Row],[Name]],Name_list[Full Name],Name_list[Hourr Rate])</f>
        <v>0</v>
      </c>
      <c r="S1850" s="210">
        <f>表格3_5[[#This Row],[Hours Worked]]*表格3_5[[#This Row],[Hourly Rate]]</f>
        <v>0</v>
      </c>
    </row>
    <row r="1851" spans="1:19">
      <c r="A1851" s="201">
        <v>1849</v>
      </c>
      <c r="B1851" s="210" t="str">
        <f>_xlfn.CONCAT(表格3_5[[#This Row],[Name]],表格3_5[[#This Row],[Location]])</f>
        <v/>
      </c>
      <c r="C1851" s="211" t="str">
        <f>表格3_5[[#This Row],[Location]] &amp; 表格3_5[[#This Row],[Date]] &amp;表格3_5[[#This Row],[Nick Name]]</f>
        <v>0</v>
      </c>
      <c r="D1851" s="202"/>
      <c r="E1851" s="211" t="str">
        <f>DAY(表格3_5[[#This Row],[Date]])&amp;""</f>
        <v>0</v>
      </c>
      <c r="F1851" s="203"/>
      <c r="G1851" s="216">
        <f>_xlfn.XLOOKUP(表格3_5[[#This Row],[Name]],Name_list[Full Name],Name_list[Nick Name])</f>
        <v>0</v>
      </c>
      <c r="H1851" s="207"/>
      <c r="I1851" s="228"/>
      <c r="J1851" s="218"/>
      <c r="K1851" s="205"/>
      <c r="L1851" s="210">
        <f>(表格3_5[[#This Row],[Out-Time]] - 表格3_5[[#This Row],[In-Time]])*24</f>
        <v>0</v>
      </c>
      <c r="M1851" s="210">
        <f>表格3_5[[#This Row],[ Hours]]-表格3_5[[#This Row],[Normal working
 hours]]</f>
        <v>0</v>
      </c>
      <c r="N1851" s="205"/>
      <c r="O1851" s="205"/>
      <c r="P1851" s="210">
        <f>(表格3_5[[#This Row],[Out-Time2]] - 表格3_5[[#This Row],[In-Time2]])*24</f>
        <v>0</v>
      </c>
      <c r="Q1851" s="205"/>
      <c r="R1851" s="214">
        <f>_xlfn.XLOOKUP(表格3_5[[#This Row],[Name]],Name_list[Full Name],Name_list[Hourr Rate])</f>
        <v>0</v>
      </c>
      <c r="S1851" s="210">
        <f>表格3_5[[#This Row],[Hours Worked]]*表格3_5[[#This Row],[Hourly Rate]]</f>
        <v>0</v>
      </c>
    </row>
    <row r="1852" spans="1:19">
      <c r="A1852" s="201">
        <v>1850</v>
      </c>
      <c r="B1852" s="210" t="str">
        <f>_xlfn.CONCAT(表格3_5[[#This Row],[Name]],表格3_5[[#This Row],[Location]])</f>
        <v/>
      </c>
      <c r="C1852" s="211" t="str">
        <f>表格3_5[[#This Row],[Location]] &amp; 表格3_5[[#This Row],[Date]] &amp;表格3_5[[#This Row],[Nick Name]]</f>
        <v>0</v>
      </c>
      <c r="D1852" s="202"/>
      <c r="E1852" s="211" t="str">
        <f>DAY(表格3_5[[#This Row],[Date]])&amp;""</f>
        <v>0</v>
      </c>
      <c r="F1852" s="203"/>
      <c r="G1852" s="216">
        <f>_xlfn.XLOOKUP(表格3_5[[#This Row],[Name]],Name_list[Full Name],Name_list[Nick Name])</f>
        <v>0</v>
      </c>
      <c r="H1852" s="207"/>
      <c r="I1852" s="228"/>
      <c r="J1852" s="218"/>
      <c r="K1852" s="205"/>
      <c r="L1852" s="210">
        <f>(表格3_5[[#This Row],[Out-Time]] - 表格3_5[[#This Row],[In-Time]])*24</f>
        <v>0</v>
      </c>
      <c r="M1852" s="210">
        <f>表格3_5[[#This Row],[ Hours]]-表格3_5[[#This Row],[Normal working
 hours]]</f>
        <v>0</v>
      </c>
      <c r="N1852" s="205"/>
      <c r="O1852" s="205"/>
      <c r="P1852" s="210">
        <f>(表格3_5[[#This Row],[Out-Time2]] - 表格3_5[[#This Row],[In-Time2]])*24</f>
        <v>0</v>
      </c>
      <c r="Q1852" s="205"/>
      <c r="R1852" s="214">
        <f>_xlfn.XLOOKUP(表格3_5[[#This Row],[Name]],Name_list[Full Name],Name_list[Hourr Rate])</f>
        <v>0</v>
      </c>
      <c r="S1852" s="210">
        <f>表格3_5[[#This Row],[Hours Worked]]*表格3_5[[#This Row],[Hourly Rate]]</f>
        <v>0</v>
      </c>
    </row>
    <row r="1853" spans="1:19">
      <c r="A1853" s="201">
        <v>1851</v>
      </c>
      <c r="B1853" s="210" t="str">
        <f>_xlfn.CONCAT(表格3_5[[#This Row],[Name]],表格3_5[[#This Row],[Location]])</f>
        <v/>
      </c>
      <c r="C1853" s="211" t="str">
        <f>表格3_5[[#This Row],[Location]] &amp; 表格3_5[[#This Row],[Date]] &amp;表格3_5[[#This Row],[Nick Name]]</f>
        <v>0</v>
      </c>
      <c r="D1853" s="202"/>
      <c r="E1853" s="211" t="str">
        <f>DAY(表格3_5[[#This Row],[Date]])&amp;""</f>
        <v>0</v>
      </c>
      <c r="F1853" s="203"/>
      <c r="G1853" s="216">
        <f>_xlfn.XLOOKUP(表格3_5[[#This Row],[Name]],Name_list[Full Name],Name_list[Nick Name])</f>
        <v>0</v>
      </c>
      <c r="H1853" s="207"/>
      <c r="I1853" s="228"/>
      <c r="J1853" s="218"/>
      <c r="K1853" s="205"/>
      <c r="L1853" s="210">
        <f>(表格3_5[[#This Row],[Out-Time]] - 表格3_5[[#This Row],[In-Time]])*24</f>
        <v>0</v>
      </c>
      <c r="M1853" s="210">
        <f>表格3_5[[#This Row],[ Hours]]-表格3_5[[#This Row],[Normal working
 hours]]</f>
        <v>0</v>
      </c>
      <c r="N1853" s="205"/>
      <c r="O1853" s="205"/>
      <c r="P1853" s="210">
        <f>(表格3_5[[#This Row],[Out-Time2]] - 表格3_5[[#This Row],[In-Time2]])*24</f>
        <v>0</v>
      </c>
      <c r="Q1853" s="205"/>
      <c r="R1853" s="214">
        <f>_xlfn.XLOOKUP(表格3_5[[#This Row],[Name]],Name_list[Full Name],Name_list[Hourr Rate])</f>
        <v>0</v>
      </c>
      <c r="S1853" s="210">
        <f>表格3_5[[#This Row],[Hours Worked]]*表格3_5[[#This Row],[Hourly Rate]]</f>
        <v>0</v>
      </c>
    </row>
    <row r="1854" spans="1:19">
      <c r="A1854" s="201">
        <v>1852</v>
      </c>
      <c r="B1854" s="210" t="str">
        <f>_xlfn.CONCAT(表格3_5[[#This Row],[Name]],表格3_5[[#This Row],[Location]])</f>
        <v/>
      </c>
      <c r="C1854" s="211" t="str">
        <f>表格3_5[[#This Row],[Location]] &amp; 表格3_5[[#This Row],[Date]] &amp;表格3_5[[#This Row],[Nick Name]]</f>
        <v>0</v>
      </c>
      <c r="D1854" s="202"/>
      <c r="E1854" s="211" t="str">
        <f>DAY(表格3_5[[#This Row],[Date]])&amp;""</f>
        <v>0</v>
      </c>
      <c r="F1854" s="203"/>
      <c r="G1854" s="216">
        <f>_xlfn.XLOOKUP(表格3_5[[#This Row],[Name]],Name_list[Full Name],Name_list[Nick Name])</f>
        <v>0</v>
      </c>
      <c r="H1854" s="207"/>
      <c r="I1854" s="228"/>
      <c r="J1854" s="218"/>
      <c r="K1854" s="205"/>
      <c r="L1854" s="210">
        <f>(表格3_5[[#This Row],[Out-Time]] - 表格3_5[[#This Row],[In-Time]])*24</f>
        <v>0</v>
      </c>
      <c r="M1854" s="210">
        <f>表格3_5[[#This Row],[ Hours]]-表格3_5[[#This Row],[Normal working
 hours]]</f>
        <v>0</v>
      </c>
      <c r="N1854" s="205"/>
      <c r="O1854" s="205"/>
      <c r="P1854" s="210">
        <f>(表格3_5[[#This Row],[Out-Time2]] - 表格3_5[[#This Row],[In-Time2]])*24</f>
        <v>0</v>
      </c>
      <c r="Q1854" s="205"/>
      <c r="R1854" s="214">
        <f>_xlfn.XLOOKUP(表格3_5[[#This Row],[Name]],Name_list[Full Name],Name_list[Hourr Rate])</f>
        <v>0</v>
      </c>
      <c r="S1854" s="210">
        <f>表格3_5[[#This Row],[Hours Worked]]*表格3_5[[#This Row],[Hourly Rate]]</f>
        <v>0</v>
      </c>
    </row>
    <row r="1855" spans="1:19">
      <c r="A1855" s="201">
        <v>1853</v>
      </c>
      <c r="B1855" s="210" t="str">
        <f>_xlfn.CONCAT(表格3_5[[#This Row],[Name]],表格3_5[[#This Row],[Location]])</f>
        <v/>
      </c>
      <c r="C1855" s="211" t="str">
        <f>表格3_5[[#This Row],[Location]] &amp; 表格3_5[[#This Row],[Date]] &amp;表格3_5[[#This Row],[Nick Name]]</f>
        <v>0</v>
      </c>
      <c r="D1855" s="202"/>
      <c r="E1855" s="211" t="str">
        <f>DAY(表格3_5[[#This Row],[Date]])&amp;""</f>
        <v>0</v>
      </c>
      <c r="F1855" s="203"/>
      <c r="G1855" s="216">
        <f>_xlfn.XLOOKUP(表格3_5[[#This Row],[Name]],Name_list[Full Name],Name_list[Nick Name])</f>
        <v>0</v>
      </c>
      <c r="H1855" s="207"/>
      <c r="I1855" s="228"/>
      <c r="J1855" s="218"/>
      <c r="K1855" s="205"/>
      <c r="L1855" s="210">
        <f>(表格3_5[[#This Row],[Out-Time]] - 表格3_5[[#This Row],[In-Time]])*24</f>
        <v>0</v>
      </c>
      <c r="M1855" s="210">
        <f>表格3_5[[#This Row],[ Hours]]-表格3_5[[#This Row],[Normal working
 hours]]</f>
        <v>0</v>
      </c>
      <c r="N1855" s="205"/>
      <c r="O1855" s="205"/>
      <c r="P1855" s="210">
        <f>(表格3_5[[#This Row],[Out-Time2]] - 表格3_5[[#This Row],[In-Time2]])*24</f>
        <v>0</v>
      </c>
      <c r="Q1855" s="205"/>
      <c r="R1855" s="214">
        <f>_xlfn.XLOOKUP(表格3_5[[#This Row],[Name]],Name_list[Full Name],Name_list[Hourr Rate])</f>
        <v>0</v>
      </c>
      <c r="S1855" s="210">
        <f>表格3_5[[#This Row],[Hours Worked]]*表格3_5[[#This Row],[Hourly Rate]]</f>
        <v>0</v>
      </c>
    </row>
    <row r="1856" spans="1:19">
      <c r="A1856" s="201">
        <v>1854</v>
      </c>
      <c r="B1856" s="210" t="str">
        <f>_xlfn.CONCAT(表格3_5[[#This Row],[Name]],表格3_5[[#This Row],[Location]])</f>
        <v/>
      </c>
      <c r="C1856" s="211" t="str">
        <f>表格3_5[[#This Row],[Location]] &amp; 表格3_5[[#This Row],[Date]] &amp;表格3_5[[#This Row],[Nick Name]]</f>
        <v>0</v>
      </c>
      <c r="D1856" s="202"/>
      <c r="E1856" s="211" t="str">
        <f>DAY(表格3_5[[#This Row],[Date]])&amp;""</f>
        <v>0</v>
      </c>
      <c r="F1856" s="203"/>
      <c r="G1856" s="216">
        <f>_xlfn.XLOOKUP(表格3_5[[#This Row],[Name]],Name_list[Full Name],Name_list[Nick Name])</f>
        <v>0</v>
      </c>
      <c r="H1856" s="207"/>
      <c r="I1856" s="228"/>
      <c r="J1856" s="218"/>
      <c r="K1856" s="205"/>
      <c r="L1856" s="210">
        <f>(表格3_5[[#This Row],[Out-Time]] - 表格3_5[[#This Row],[In-Time]])*24</f>
        <v>0</v>
      </c>
      <c r="M1856" s="210">
        <f>表格3_5[[#This Row],[ Hours]]-表格3_5[[#This Row],[Normal working
 hours]]</f>
        <v>0</v>
      </c>
      <c r="N1856" s="205"/>
      <c r="O1856" s="205"/>
      <c r="P1856" s="210">
        <f>(表格3_5[[#This Row],[Out-Time2]] - 表格3_5[[#This Row],[In-Time2]])*24</f>
        <v>0</v>
      </c>
      <c r="Q1856" s="205"/>
      <c r="R1856" s="214">
        <f>_xlfn.XLOOKUP(表格3_5[[#This Row],[Name]],Name_list[Full Name],Name_list[Hourr Rate])</f>
        <v>0</v>
      </c>
      <c r="S1856" s="210">
        <f>表格3_5[[#This Row],[Hours Worked]]*表格3_5[[#This Row],[Hourly Rate]]</f>
        <v>0</v>
      </c>
    </row>
    <row r="1857" spans="1:19">
      <c r="A1857" s="201">
        <v>1855</v>
      </c>
      <c r="B1857" s="210" t="str">
        <f>_xlfn.CONCAT(表格3_5[[#This Row],[Name]],表格3_5[[#This Row],[Location]])</f>
        <v/>
      </c>
      <c r="C1857" s="211" t="str">
        <f>表格3_5[[#This Row],[Location]] &amp; 表格3_5[[#This Row],[Date]] &amp;表格3_5[[#This Row],[Nick Name]]</f>
        <v>0</v>
      </c>
      <c r="D1857" s="202"/>
      <c r="E1857" s="211" t="str">
        <f>DAY(表格3_5[[#This Row],[Date]])&amp;""</f>
        <v>0</v>
      </c>
      <c r="F1857" s="203"/>
      <c r="G1857" s="216">
        <f>_xlfn.XLOOKUP(表格3_5[[#This Row],[Name]],Name_list[Full Name],Name_list[Nick Name])</f>
        <v>0</v>
      </c>
      <c r="H1857" s="207"/>
      <c r="I1857" s="228"/>
      <c r="J1857" s="218"/>
      <c r="K1857" s="205"/>
      <c r="L1857" s="210">
        <f>(表格3_5[[#This Row],[Out-Time]] - 表格3_5[[#This Row],[In-Time]])*24</f>
        <v>0</v>
      </c>
      <c r="M1857" s="210">
        <f>表格3_5[[#This Row],[ Hours]]-表格3_5[[#This Row],[Normal working
 hours]]</f>
        <v>0</v>
      </c>
      <c r="N1857" s="205"/>
      <c r="O1857" s="205"/>
      <c r="P1857" s="210">
        <f>(表格3_5[[#This Row],[Out-Time2]] - 表格3_5[[#This Row],[In-Time2]])*24</f>
        <v>0</v>
      </c>
      <c r="Q1857" s="205"/>
      <c r="R1857" s="214">
        <f>_xlfn.XLOOKUP(表格3_5[[#This Row],[Name]],Name_list[Full Name],Name_list[Hourr Rate])</f>
        <v>0</v>
      </c>
      <c r="S1857" s="210">
        <f>表格3_5[[#This Row],[Hours Worked]]*表格3_5[[#This Row],[Hourly Rate]]</f>
        <v>0</v>
      </c>
    </row>
    <row r="1858" spans="1:19">
      <c r="A1858" s="201">
        <v>1856</v>
      </c>
      <c r="B1858" s="210" t="str">
        <f>_xlfn.CONCAT(表格3_5[[#This Row],[Name]],表格3_5[[#This Row],[Location]])</f>
        <v/>
      </c>
      <c r="C1858" s="211" t="str">
        <f>表格3_5[[#This Row],[Location]] &amp; 表格3_5[[#This Row],[Date]] &amp;表格3_5[[#This Row],[Nick Name]]</f>
        <v>0</v>
      </c>
      <c r="D1858" s="202"/>
      <c r="E1858" s="211" t="str">
        <f>DAY(表格3_5[[#This Row],[Date]])&amp;""</f>
        <v>0</v>
      </c>
      <c r="F1858" s="203"/>
      <c r="G1858" s="216">
        <f>_xlfn.XLOOKUP(表格3_5[[#This Row],[Name]],Name_list[Full Name],Name_list[Nick Name])</f>
        <v>0</v>
      </c>
      <c r="H1858" s="207"/>
      <c r="I1858" s="228"/>
      <c r="J1858" s="218"/>
      <c r="K1858" s="205"/>
      <c r="L1858" s="210">
        <f>(表格3_5[[#This Row],[Out-Time]] - 表格3_5[[#This Row],[In-Time]])*24</f>
        <v>0</v>
      </c>
      <c r="M1858" s="210">
        <f>表格3_5[[#This Row],[ Hours]]-表格3_5[[#This Row],[Normal working
 hours]]</f>
        <v>0</v>
      </c>
      <c r="N1858" s="205"/>
      <c r="O1858" s="205"/>
      <c r="P1858" s="210">
        <f>(表格3_5[[#This Row],[Out-Time2]] - 表格3_5[[#This Row],[In-Time2]])*24</f>
        <v>0</v>
      </c>
      <c r="Q1858" s="205"/>
      <c r="R1858" s="214">
        <f>_xlfn.XLOOKUP(表格3_5[[#This Row],[Name]],Name_list[Full Name],Name_list[Hourr Rate])</f>
        <v>0</v>
      </c>
      <c r="S1858" s="210">
        <f>表格3_5[[#This Row],[Hours Worked]]*表格3_5[[#This Row],[Hourly Rate]]</f>
        <v>0</v>
      </c>
    </row>
    <row r="1859" spans="1:19">
      <c r="A1859" s="201">
        <v>1857</v>
      </c>
      <c r="B1859" s="210" t="str">
        <f>_xlfn.CONCAT(表格3_5[[#This Row],[Name]],表格3_5[[#This Row],[Location]])</f>
        <v/>
      </c>
      <c r="C1859" s="211" t="str">
        <f>表格3_5[[#This Row],[Location]] &amp; 表格3_5[[#This Row],[Date]] &amp;表格3_5[[#This Row],[Nick Name]]</f>
        <v>0</v>
      </c>
      <c r="D1859" s="202"/>
      <c r="E1859" s="211" t="str">
        <f>DAY(表格3_5[[#This Row],[Date]])&amp;""</f>
        <v>0</v>
      </c>
      <c r="F1859" s="203"/>
      <c r="G1859" s="216">
        <f>_xlfn.XLOOKUP(表格3_5[[#This Row],[Name]],Name_list[Full Name],Name_list[Nick Name])</f>
        <v>0</v>
      </c>
      <c r="H1859" s="207"/>
      <c r="I1859" s="228"/>
      <c r="J1859" s="218"/>
      <c r="K1859" s="205"/>
      <c r="L1859" s="210">
        <f>(表格3_5[[#This Row],[Out-Time]] - 表格3_5[[#This Row],[In-Time]])*24</f>
        <v>0</v>
      </c>
      <c r="M1859" s="210">
        <f>表格3_5[[#This Row],[ Hours]]-表格3_5[[#This Row],[Normal working
 hours]]</f>
        <v>0</v>
      </c>
      <c r="N1859" s="205"/>
      <c r="O1859" s="205"/>
      <c r="P1859" s="210">
        <f>(表格3_5[[#This Row],[Out-Time2]] - 表格3_5[[#This Row],[In-Time2]])*24</f>
        <v>0</v>
      </c>
      <c r="Q1859" s="205"/>
      <c r="R1859" s="214">
        <f>_xlfn.XLOOKUP(表格3_5[[#This Row],[Name]],Name_list[Full Name],Name_list[Hourr Rate])</f>
        <v>0</v>
      </c>
      <c r="S1859" s="210">
        <f>表格3_5[[#This Row],[Hours Worked]]*表格3_5[[#This Row],[Hourly Rate]]</f>
        <v>0</v>
      </c>
    </row>
    <row r="1860" spans="1:19">
      <c r="A1860" s="201">
        <v>1858</v>
      </c>
      <c r="B1860" s="210" t="str">
        <f>_xlfn.CONCAT(表格3_5[[#This Row],[Name]],表格3_5[[#This Row],[Location]])</f>
        <v/>
      </c>
      <c r="C1860" s="211" t="str">
        <f>表格3_5[[#This Row],[Location]] &amp; 表格3_5[[#This Row],[Date]] &amp;表格3_5[[#This Row],[Nick Name]]</f>
        <v>0</v>
      </c>
      <c r="D1860" s="202"/>
      <c r="E1860" s="211" t="str">
        <f>DAY(表格3_5[[#This Row],[Date]])&amp;""</f>
        <v>0</v>
      </c>
      <c r="F1860" s="203"/>
      <c r="G1860" s="216">
        <f>_xlfn.XLOOKUP(表格3_5[[#This Row],[Name]],Name_list[Full Name],Name_list[Nick Name])</f>
        <v>0</v>
      </c>
      <c r="H1860" s="207"/>
      <c r="I1860" s="228"/>
      <c r="J1860" s="218"/>
      <c r="K1860" s="205"/>
      <c r="L1860" s="210">
        <f>(表格3_5[[#This Row],[Out-Time]] - 表格3_5[[#This Row],[In-Time]])*24</f>
        <v>0</v>
      </c>
      <c r="M1860" s="210">
        <f>表格3_5[[#This Row],[ Hours]]-表格3_5[[#This Row],[Normal working
 hours]]</f>
        <v>0</v>
      </c>
      <c r="N1860" s="205"/>
      <c r="O1860" s="205"/>
      <c r="P1860" s="210">
        <f>(表格3_5[[#This Row],[Out-Time2]] - 表格3_5[[#This Row],[In-Time2]])*24</f>
        <v>0</v>
      </c>
      <c r="Q1860" s="205"/>
      <c r="R1860" s="214">
        <f>_xlfn.XLOOKUP(表格3_5[[#This Row],[Name]],Name_list[Full Name],Name_list[Hourr Rate])</f>
        <v>0</v>
      </c>
      <c r="S1860" s="210">
        <f>表格3_5[[#This Row],[Hours Worked]]*表格3_5[[#This Row],[Hourly Rate]]</f>
        <v>0</v>
      </c>
    </row>
    <row r="1861" spans="1:19">
      <c r="A1861" s="201">
        <v>1859</v>
      </c>
      <c r="B1861" s="210" t="str">
        <f>_xlfn.CONCAT(表格3_5[[#This Row],[Name]],表格3_5[[#This Row],[Location]])</f>
        <v/>
      </c>
      <c r="C1861" s="211" t="str">
        <f>表格3_5[[#This Row],[Location]] &amp; 表格3_5[[#This Row],[Date]] &amp;表格3_5[[#This Row],[Nick Name]]</f>
        <v>0</v>
      </c>
      <c r="D1861" s="202"/>
      <c r="E1861" s="211" t="str">
        <f>DAY(表格3_5[[#This Row],[Date]])&amp;""</f>
        <v>0</v>
      </c>
      <c r="F1861" s="203"/>
      <c r="G1861" s="216">
        <f>_xlfn.XLOOKUP(表格3_5[[#This Row],[Name]],Name_list[Full Name],Name_list[Nick Name])</f>
        <v>0</v>
      </c>
      <c r="H1861" s="207"/>
      <c r="I1861" s="228"/>
      <c r="J1861" s="218"/>
      <c r="K1861" s="205"/>
      <c r="L1861" s="210">
        <f>(表格3_5[[#This Row],[Out-Time]] - 表格3_5[[#This Row],[In-Time]])*24</f>
        <v>0</v>
      </c>
      <c r="M1861" s="210">
        <f>表格3_5[[#This Row],[ Hours]]-表格3_5[[#This Row],[Normal working
 hours]]</f>
        <v>0</v>
      </c>
      <c r="N1861" s="205"/>
      <c r="O1861" s="205"/>
      <c r="P1861" s="210">
        <f>(表格3_5[[#This Row],[Out-Time2]] - 表格3_5[[#This Row],[In-Time2]])*24</f>
        <v>0</v>
      </c>
      <c r="Q1861" s="205"/>
      <c r="R1861" s="214">
        <f>_xlfn.XLOOKUP(表格3_5[[#This Row],[Name]],Name_list[Full Name],Name_list[Hourr Rate])</f>
        <v>0</v>
      </c>
      <c r="S1861" s="210">
        <f>表格3_5[[#This Row],[Hours Worked]]*表格3_5[[#This Row],[Hourly Rate]]</f>
        <v>0</v>
      </c>
    </row>
    <row r="1862" spans="1:19">
      <c r="A1862" s="201">
        <v>1860</v>
      </c>
      <c r="B1862" s="210" t="str">
        <f>_xlfn.CONCAT(表格3_5[[#This Row],[Name]],表格3_5[[#This Row],[Location]])</f>
        <v/>
      </c>
      <c r="C1862" s="211" t="str">
        <f>表格3_5[[#This Row],[Location]] &amp; 表格3_5[[#This Row],[Date]] &amp;表格3_5[[#This Row],[Nick Name]]</f>
        <v>0</v>
      </c>
      <c r="D1862" s="202"/>
      <c r="E1862" s="211" t="str">
        <f>DAY(表格3_5[[#This Row],[Date]])&amp;""</f>
        <v>0</v>
      </c>
      <c r="F1862" s="203"/>
      <c r="G1862" s="216">
        <f>_xlfn.XLOOKUP(表格3_5[[#This Row],[Name]],Name_list[Full Name],Name_list[Nick Name])</f>
        <v>0</v>
      </c>
      <c r="H1862" s="207"/>
      <c r="I1862" s="228"/>
      <c r="J1862" s="218"/>
      <c r="K1862" s="205"/>
      <c r="L1862" s="210">
        <f>(表格3_5[[#This Row],[Out-Time]] - 表格3_5[[#This Row],[In-Time]])*24</f>
        <v>0</v>
      </c>
      <c r="M1862" s="210">
        <f>表格3_5[[#This Row],[ Hours]]-表格3_5[[#This Row],[Normal working
 hours]]</f>
        <v>0</v>
      </c>
      <c r="N1862" s="205"/>
      <c r="O1862" s="205"/>
      <c r="P1862" s="210">
        <f>(表格3_5[[#This Row],[Out-Time2]] - 表格3_5[[#This Row],[In-Time2]])*24</f>
        <v>0</v>
      </c>
      <c r="Q1862" s="205"/>
      <c r="R1862" s="214">
        <f>_xlfn.XLOOKUP(表格3_5[[#This Row],[Name]],Name_list[Full Name],Name_list[Hourr Rate])</f>
        <v>0</v>
      </c>
      <c r="S1862" s="210">
        <f>表格3_5[[#This Row],[Hours Worked]]*表格3_5[[#This Row],[Hourly Rate]]</f>
        <v>0</v>
      </c>
    </row>
    <row r="1863" spans="1:19">
      <c r="A1863" s="201">
        <v>1861</v>
      </c>
      <c r="B1863" s="210" t="str">
        <f>_xlfn.CONCAT(表格3_5[[#This Row],[Name]],表格3_5[[#This Row],[Location]])</f>
        <v/>
      </c>
      <c r="C1863" s="211" t="str">
        <f>表格3_5[[#This Row],[Location]] &amp; 表格3_5[[#This Row],[Date]] &amp;表格3_5[[#This Row],[Nick Name]]</f>
        <v>0</v>
      </c>
      <c r="D1863" s="202"/>
      <c r="E1863" s="211" t="str">
        <f>DAY(表格3_5[[#This Row],[Date]])&amp;""</f>
        <v>0</v>
      </c>
      <c r="F1863" s="203"/>
      <c r="G1863" s="216">
        <f>_xlfn.XLOOKUP(表格3_5[[#This Row],[Name]],Name_list[Full Name],Name_list[Nick Name])</f>
        <v>0</v>
      </c>
      <c r="H1863" s="207"/>
      <c r="I1863" s="228"/>
      <c r="J1863" s="218"/>
      <c r="K1863" s="205"/>
      <c r="L1863" s="210">
        <f>(表格3_5[[#This Row],[Out-Time]] - 表格3_5[[#This Row],[In-Time]])*24</f>
        <v>0</v>
      </c>
      <c r="M1863" s="210">
        <f>表格3_5[[#This Row],[ Hours]]-表格3_5[[#This Row],[Normal working
 hours]]</f>
        <v>0</v>
      </c>
      <c r="N1863" s="205"/>
      <c r="O1863" s="205"/>
      <c r="P1863" s="210">
        <f>(表格3_5[[#This Row],[Out-Time2]] - 表格3_5[[#This Row],[In-Time2]])*24</f>
        <v>0</v>
      </c>
      <c r="Q1863" s="205"/>
      <c r="R1863" s="214">
        <f>_xlfn.XLOOKUP(表格3_5[[#This Row],[Name]],Name_list[Full Name],Name_list[Hourr Rate])</f>
        <v>0</v>
      </c>
      <c r="S1863" s="210">
        <f>表格3_5[[#This Row],[Hours Worked]]*表格3_5[[#This Row],[Hourly Rate]]</f>
        <v>0</v>
      </c>
    </row>
    <row r="1864" spans="1:19">
      <c r="A1864" s="201">
        <v>1862</v>
      </c>
      <c r="B1864" s="210" t="str">
        <f>_xlfn.CONCAT(表格3_5[[#This Row],[Name]],表格3_5[[#This Row],[Location]])</f>
        <v/>
      </c>
      <c r="C1864" s="211" t="str">
        <f>表格3_5[[#This Row],[Location]] &amp; 表格3_5[[#This Row],[Date]] &amp;表格3_5[[#This Row],[Nick Name]]</f>
        <v>0</v>
      </c>
      <c r="D1864" s="202"/>
      <c r="E1864" s="211" t="str">
        <f>DAY(表格3_5[[#This Row],[Date]])&amp;""</f>
        <v>0</v>
      </c>
      <c r="F1864" s="203"/>
      <c r="G1864" s="216">
        <f>_xlfn.XLOOKUP(表格3_5[[#This Row],[Name]],Name_list[Full Name],Name_list[Nick Name])</f>
        <v>0</v>
      </c>
      <c r="H1864" s="207"/>
      <c r="I1864" s="228"/>
      <c r="J1864" s="218"/>
      <c r="K1864" s="205"/>
      <c r="L1864" s="210">
        <f>(表格3_5[[#This Row],[Out-Time]] - 表格3_5[[#This Row],[In-Time]])*24</f>
        <v>0</v>
      </c>
      <c r="M1864" s="210">
        <f>表格3_5[[#This Row],[ Hours]]-表格3_5[[#This Row],[Normal working
 hours]]</f>
        <v>0</v>
      </c>
      <c r="N1864" s="205"/>
      <c r="O1864" s="205"/>
      <c r="P1864" s="210">
        <f>(表格3_5[[#This Row],[Out-Time2]] - 表格3_5[[#This Row],[In-Time2]])*24</f>
        <v>0</v>
      </c>
      <c r="Q1864" s="205"/>
      <c r="R1864" s="214">
        <f>_xlfn.XLOOKUP(表格3_5[[#This Row],[Name]],Name_list[Full Name],Name_list[Hourr Rate])</f>
        <v>0</v>
      </c>
      <c r="S1864" s="210">
        <f>表格3_5[[#This Row],[Hours Worked]]*表格3_5[[#This Row],[Hourly Rate]]</f>
        <v>0</v>
      </c>
    </row>
    <row r="1865" spans="1:19">
      <c r="A1865" s="201">
        <v>1863</v>
      </c>
      <c r="B1865" s="210" t="str">
        <f>_xlfn.CONCAT(表格3_5[[#This Row],[Name]],表格3_5[[#This Row],[Location]])</f>
        <v/>
      </c>
      <c r="C1865" s="211" t="str">
        <f>表格3_5[[#This Row],[Location]] &amp; 表格3_5[[#This Row],[Date]] &amp;表格3_5[[#This Row],[Nick Name]]</f>
        <v>0</v>
      </c>
      <c r="D1865" s="202"/>
      <c r="E1865" s="211" t="str">
        <f>DAY(表格3_5[[#This Row],[Date]])&amp;""</f>
        <v>0</v>
      </c>
      <c r="F1865" s="203"/>
      <c r="G1865" s="216">
        <f>_xlfn.XLOOKUP(表格3_5[[#This Row],[Name]],Name_list[Full Name],Name_list[Nick Name])</f>
        <v>0</v>
      </c>
      <c r="H1865" s="207"/>
      <c r="I1865" s="228"/>
      <c r="J1865" s="218"/>
      <c r="K1865" s="205"/>
      <c r="L1865" s="210">
        <f>(表格3_5[[#This Row],[Out-Time]] - 表格3_5[[#This Row],[In-Time]])*24</f>
        <v>0</v>
      </c>
      <c r="M1865" s="210">
        <f>表格3_5[[#This Row],[ Hours]]-表格3_5[[#This Row],[Normal working
 hours]]</f>
        <v>0</v>
      </c>
      <c r="N1865" s="205"/>
      <c r="O1865" s="205"/>
      <c r="P1865" s="210">
        <f>(表格3_5[[#This Row],[Out-Time2]] - 表格3_5[[#This Row],[In-Time2]])*24</f>
        <v>0</v>
      </c>
      <c r="Q1865" s="205"/>
      <c r="R1865" s="214">
        <f>_xlfn.XLOOKUP(表格3_5[[#This Row],[Name]],Name_list[Full Name],Name_list[Hourr Rate])</f>
        <v>0</v>
      </c>
      <c r="S1865" s="210">
        <f>表格3_5[[#This Row],[Hours Worked]]*表格3_5[[#This Row],[Hourly Rate]]</f>
        <v>0</v>
      </c>
    </row>
    <row r="1866" spans="1:19">
      <c r="A1866" s="201">
        <v>1864</v>
      </c>
      <c r="B1866" s="210" t="str">
        <f>_xlfn.CONCAT(表格3_5[[#This Row],[Name]],表格3_5[[#This Row],[Location]])</f>
        <v/>
      </c>
      <c r="C1866" s="211" t="str">
        <f>表格3_5[[#This Row],[Location]] &amp; 表格3_5[[#This Row],[Date]] &amp;表格3_5[[#This Row],[Nick Name]]</f>
        <v>0</v>
      </c>
      <c r="D1866" s="202"/>
      <c r="E1866" s="211" t="str">
        <f>DAY(表格3_5[[#This Row],[Date]])&amp;""</f>
        <v>0</v>
      </c>
      <c r="F1866" s="203"/>
      <c r="G1866" s="216">
        <f>_xlfn.XLOOKUP(表格3_5[[#This Row],[Name]],Name_list[Full Name],Name_list[Nick Name])</f>
        <v>0</v>
      </c>
      <c r="H1866" s="207"/>
      <c r="I1866" s="228"/>
      <c r="J1866" s="218"/>
      <c r="K1866" s="205"/>
      <c r="L1866" s="210">
        <f>(表格3_5[[#This Row],[Out-Time]] - 表格3_5[[#This Row],[In-Time]])*24</f>
        <v>0</v>
      </c>
      <c r="M1866" s="210">
        <f>表格3_5[[#This Row],[ Hours]]-表格3_5[[#This Row],[Normal working
 hours]]</f>
        <v>0</v>
      </c>
      <c r="N1866" s="205"/>
      <c r="O1866" s="205"/>
      <c r="P1866" s="210">
        <f>(表格3_5[[#This Row],[Out-Time2]] - 表格3_5[[#This Row],[In-Time2]])*24</f>
        <v>0</v>
      </c>
      <c r="Q1866" s="205"/>
      <c r="R1866" s="214">
        <f>_xlfn.XLOOKUP(表格3_5[[#This Row],[Name]],Name_list[Full Name],Name_list[Hourr Rate])</f>
        <v>0</v>
      </c>
      <c r="S1866" s="210">
        <f>表格3_5[[#This Row],[Hours Worked]]*表格3_5[[#This Row],[Hourly Rate]]</f>
        <v>0</v>
      </c>
    </row>
    <row r="1867" spans="1:19">
      <c r="A1867" s="201">
        <v>1865</v>
      </c>
      <c r="B1867" s="210" t="str">
        <f>_xlfn.CONCAT(表格3_5[[#This Row],[Name]],表格3_5[[#This Row],[Location]])</f>
        <v/>
      </c>
      <c r="C1867" s="211" t="str">
        <f>表格3_5[[#This Row],[Location]] &amp; 表格3_5[[#This Row],[Date]] &amp;表格3_5[[#This Row],[Nick Name]]</f>
        <v>0</v>
      </c>
      <c r="D1867" s="202"/>
      <c r="E1867" s="211" t="str">
        <f>DAY(表格3_5[[#This Row],[Date]])&amp;""</f>
        <v>0</v>
      </c>
      <c r="F1867" s="203"/>
      <c r="G1867" s="216">
        <f>_xlfn.XLOOKUP(表格3_5[[#This Row],[Name]],Name_list[Full Name],Name_list[Nick Name])</f>
        <v>0</v>
      </c>
      <c r="H1867" s="207"/>
      <c r="I1867" s="228"/>
      <c r="J1867" s="218"/>
      <c r="K1867" s="205"/>
      <c r="L1867" s="210">
        <f>(表格3_5[[#This Row],[Out-Time]] - 表格3_5[[#This Row],[In-Time]])*24</f>
        <v>0</v>
      </c>
      <c r="M1867" s="210">
        <f>表格3_5[[#This Row],[ Hours]]-表格3_5[[#This Row],[Normal working
 hours]]</f>
        <v>0</v>
      </c>
      <c r="N1867" s="205"/>
      <c r="O1867" s="205"/>
      <c r="P1867" s="210">
        <f>(表格3_5[[#This Row],[Out-Time2]] - 表格3_5[[#This Row],[In-Time2]])*24</f>
        <v>0</v>
      </c>
      <c r="Q1867" s="205"/>
      <c r="R1867" s="214">
        <f>_xlfn.XLOOKUP(表格3_5[[#This Row],[Name]],Name_list[Full Name],Name_list[Hourr Rate])</f>
        <v>0</v>
      </c>
      <c r="S1867" s="210">
        <f>表格3_5[[#This Row],[Hours Worked]]*表格3_5[[#This Row],[Hourly Rate]]</f>
        <v>0</v>
      </c>
    </row>
    <row r="1868" spans="1:19">
      <c r="A1868" s="201">
        <v>1866</v>
      </c>
      <c r="B1868" s="210" t="str">
        <f>_xlfn.CONCAT(表格3_5[[#This Row],[Name]],表格3_5[[#This Row],[Location]])</f>
        <v/>
      </c>
      <c r="C1868" s="211" t="str">
        <f>表格3_5[[#This Row],[Location]] &amp; 表格3_5[[#This Row],[Date]] &amp;表格3_5[[#This Row],[Nick Name]]</f>
        <v>0</v>
      </c>
      <c r="D1868" s="202"/>
      <c r="E1868" s="211" t="str">
        <f>DAY(表格3_5[[#This Row],[Date]])&amp;""</f>
        <v>0</v>
      </c>
      <c r="F1868" s="203"/>
      <c r="G1868" s="216">
        <f>_xlfn.XLOOKUP(表格3_5[[#This Row],[Name]],Name_list[Full Name],Name_list[Nick Name])</f>
        <v>0</v>
      </c>
      <c r="H1868" s="207"/>
      <c r="I1868" s="228"/>
      <c r="J1868" s="218"/>
      <c r="K1868" s="205"/>
      <c r="L1868" s="210">
        <f>(表格3_5[[#This Row],[Out-Time]] - 表格3_5[[#This Row],[In-Time]])*24</f>
        <v>0</v>
      </c>
      <c r="M1868" s="210">
        <f>表格3_5[[#This Row],[ Hours]]-表格3_5[[#This Row],[Normal working
 hours]]</f>
        <v>0</v>
      </c>
      <c r="N1868" s="205"/>
      <c r="O1868" s="205"/>
      <c r="P1868" s="210">
        <f>(表格3_5[[#This Row],[Out-Time2]] - 表格3_5[[#This Row],[In-Time2]])*24</f>
        <v>0</v>
      </c>
      <c r="Q1868" s="205"/>
      <c r="R1868" s="214">
        <f>_xlfn.XLOOKUP(表格3_5[[#This Row],[Name]],Name_list[Full Name],Name_list[Hourr Rate])</f>
        <v>0</v>
      </c>
      <c r="S1868" s="210">
        <f>表格3_5[[#This Row],[Hours Worked]]*表格3_5[[#This Row],[Hourly Rate]]</f>
        <v>0</v>
      </c>
    </row>
    <row r="1869" spans="1:19">
      <c r="A1869" s="201">
        <v>1867</v>
      </c>
      <c r="B1869" s="210" t="str">
        <f>_xlfn.CONCAT(表格3_5[[#This Row],[Name]],表格3_5[[#This Row],[Location]])</f>
        <v/>
      </c>
      <c r="C1869" s="211" t="str">
        <f>表格3_5[[#This Row],[Location]] &amp; 表格3_5[[#This Row],[Date]] &amp;表格3_5[[#This Row],[Nick Name]]</f>
        <v>0</v>
      </c>
      <c r="D1869" s="202"/>
      <c r="E1869" s="211" t="str">
        <f>DAY(表格3_5[[#This Row],[Date]])&amp;""</f>
        <v>0</v>
      </c>
      <c r="F1869" s="203"/>
      <c r="G1869" s="216">
        <f>_xlfn.XLOOKUP(表格3_5[[#This Row],[Name]],Name_list[Full Name],Name_list[Nick Name])</f>
        <v>0</v>
      </c>
      <c r="H1869" s="207"/>
      <c r="I1869" s="228"/>
      <c r="J1869" s="218"/>
      <c r="K1869" s="205"/>
      <c r="L1869" s="210">
        <f>(表格3_5[[#This Row],[Out-Time]] - 表格3_5[[#This Row],[In-Time]])*24</f>
        <v>0</v>
      </c>
      <c r="M1869" s="210">
        <f>表格3_5[[#This Row],[ Hours]]-表格3_5[[#This Row],[Normal working
 hours]]</f>
        <v>0</v>
      </c>
      <c r="N1869" s="205"/>
      <c r="O1869" s="205"/>
      <c r="P1869" s="210">
        <f>(表格3_5[[#This Row],[Out-Time2]] - 表格3_5[[#This Row],[In-Time2]])*24</f>
        <v>0</v>
      </c>
      <c r="Q1869" s="205"/>
      <c r="R1869" s="214">
        <f>_xlfn.XLOOKUP(表格3_5[[#This Row],[Name]],Name_list[Full Name],Name_list[Hourr Rate])</f>
        <v>0</v>
      </c>
      <c r="S1869" s="210">
        <f>表格3_5[[#This Row],[Hours Worked]]*表格3_5[[#This Row],[Hourly Rate]]</f>
        <v>0</v>
      </c>
    </row>
    <row r="1870" spans="1:19">
      <c r="A1870" s="201">
        <v>1868</v>
      </c>
      <c r="B1870" s="210" t="str">
        <f>_xlfn.CONCAT(表格3_5[[#This Row],[Name]],表格3_5[[#This Row],[Location]])</f>
        <v/>
      </c>
      <c r="C1870" s="211" t="str">
        <f>表格3_5[[#This Row],[Location]] &amp; 表格3_5[[#This Row],[Date]] &amp;表格3_5[[#This Row],[Nick Name]]</f>
        <v>0</v>
      </c>
      <c r="D1870" s="202"/>
      <c r="E1870" s="211" t="str">
        <f>DAY(表格3_5[[#This Row],[Date]])&amp;""</f>
        <v>0</v>
      </c>
      <c r="F1870" s="203"/>
      <c r="G1870" s="216">
        <f>_xlfn.XLOOKUP(表格3_5[[#This Row],[Name]],Name_list[Full Name],Name_list[Nick Name])</f>
        <v>0</v>
      </c>
      <c r="H1870" s="207"/>
      <c r="I1870" s="228"/>
      <c r="J1870" s="218"/>
      <c r="K1870" s="205"/>
      <c r="L1870" s="210">
        <f>(表格3_5[[#This Row],[Out-Time]] - 表格3_5[[#This Row],[In-Time]])*24</f>
        <v>0</v>
      </c>
      <c r="M1870" s="210">
        <f>表格3_5[[#This Row],[ Hours]]-表格3_5[[#This Row],[Normal working
 hours]]</f>
        <v>0</v>
      </c>
      <c r="N1870" s="205"/>
      <c r="O1870" s="205"/>
      <c r="P1870" s="210">
        <f>(表格3_5[[#This Row],[Out-Time2]] - 表格3_5[[#This Row],[In-Time2]])*24</f>
        <v>0</v>
      </c>
      <c r="Q1870" s="205"/>
      <c r="R1870" s="214">
        <f>_xlfn.XLOOKUP(表格3_5[[#This Row],[Name]],Name_list[Full Name],Name_list[Hourr Rate])</f>
        <v>0</v>
      </c>
      <c r="S1870" s="210">
        <f>表格3_5[[#This Row],[Hours Worked]]*表格3_5[[#This Row],[Hourly Rate]]</f>
        <v>0</v>
      </c>
    </row>
    <row r="1871" spans="1:19">
      <c r="A1871" s="201">
        <v>1869</v>
      </c>
      <c r="B1871" s="210" t="str">
        <f>_xlfn.CONCAT(表格3_5[[#This Row],[Name]],表格3_5[[#This Row],[Location]])</f>
        <v/>
      </c>
      <c r="C1871" s="211" t="str">
        <f>表格3_5[[#This Row],[Location]] &amp; 表格3_5[[#This Row],[Date]] &amp;表格3_5[[#This Row],[Nick Name]]</f>
        <v>0</v>
      </c>
      <c r="D1871" s="202"/>
      <c r="E1871" s="211" t="str">
        <f>DAY(表格3_5[[#This Row],[Date]])&amp;""</f>
        <v>0</v>
      </c>
      <c r="F1871" s="203"/>
      <c r="G1871" s="216">
        <f>_xlfn.XLOOKUP(表格3_5[[#This Row],[Name]],Name_list[Full Name],Name_list[Nick Name])</f>
        <v>0</v>
      </c>
      <c r="H1871" s="207"/>
      <c r="I1871" s="228"/>
      <c r="J1871" s="218"/>
      <c r="K1871" s="205"/>
      <c r="L1871" s="210">
        <f>(表格3_5[[#This Row],[Out-Time]] - 表格3_5[[#This Row],[In-Time]])*24</f>
        <v>0</v>
      </c>
      <c r="M1871" s="210">
        <f>表格3_5[[#This Row],[ Hours]]-表格3_5[[#This Row],[Normal working
 hours]]</f>
        <v>0</v>
      </c>
      <c r="N1871" s="205"/>
      <c r="O1871" s="205"/>
      <c r="P1871" s="210">
        <f>(表格3_5[[#This Row],[Out-Time2]] - 表格3_5[[#This Row],[In-Time2]])*24</f>
        <v>0</v>
      </c>
      <c r="Q1871" s="205"/>
      <c r="R1871" s="214">
        <f>_xlfn.XLOOKUP(表格3_5[[#This Row],[Name]],Name_list[Full Name],Name_list[Hourr Rate])</f>
        <v>0</v>
      </c>
      <c r="S1871" s="210">
        <f>表格3_5[[#This Row],[Hours Worked]]*表格3_5[[#This Row],[Hourly Rate]]</f>
        <v>0</v>
      </c>
    </row>
    <row r="1872" spans="1:19">
      <c r="A1872" s="201">
        <v>1870</v>
      </c>
      <c r="B1872" s="210" t="str">
        <f>_xlfn.CONCAT(表格3_5[[#This Row],[Name]],表格3_5[[#This Row],[Location]])</f>
        <v/>
      </c>
      <c r="C1872" s="211" t="str">
        <f>表格3_5[[#This Row],[Location]] &amp; 表格3_5[[#This Row],[Date]] &amp;表格3_5[[#This Row],[Nick Name]]</f>
        <v>0</v>
      </c>
      <c r="D1872" s="202"/>
      <c r="E1872" s="211" t="str">
        <f>DAY(表格3_5[[#This Row],[Date]])&amp;""</f>
        <v>0</v>
      </c>
      <c r="F1872" s="203"/>
      <c r="G1872" s="216">
        <f>_xlfn.XLOOKUP(表格3_5[[#This Row],[Name]],Name_list[Full Name],Name_list[Nick Name])</f>
        <v>0</v>
      </c>
      <c r="H1872" s="207"/>
      <c r="I1872" s="228"/>
      <c r="J1872" s="218"/>
      <c r="K1872" s="205"/>
      <c r="L1872" s="210">
        <f>(表格3_5[[#This Row],[Out-Time]] - 表格3_5[[#This Row],[In-Time]])*24</f>
        <v>0</v>
      </c>
      <c r="M1872" s="210">
        <f>表格3_5[[#This Row],[ Hours]]-表格3_5[[#This Row],[Normal working
 hours]]</f>
        <v>0</v>
      </c>
      <c r="N1872" s="205"/>
      <c r="O1872" s="205"/>
      <c r="P1872" s="210">
        <f>(表格3_5[[#This Row],[Out-Time2]] - 表格3_5[[#This Row],[In-Time2]])*24</f>
        <v>0</v>
      </c>
      <c r="Q1872" s="205"/>
      <c r="R1872" s="214">
        <f>_xlfn.XLOOKUP(表格3_5[[#This Row],[Name]],Name_list[Full Name],Name_list[Hourr Rate])</f>
        <v>0</v>
      </c>
      <c r="S1872" s="210">
        <f>表格3_5[[#This Row],[Hours Worked]]*表格3_5[[#This Row],[Hourly Rate]]</f>
        <v>0</v>
      </c>
    </row>
    <row r="1873" spans="1:19">
      <c r="A1873" s="201">
        <v>1871</v>
      </c>
      <c r="B1873" s="210" t="str">
        <f>_xlfn.CONCAT(表格3_5[[#This Row],[Name]],表格3_5[[#This Row],[Location]])</f>
        <v/>
      </c>
      <c r="C1873" s="211" t="str">
        <f>表格3_5[[#This Row],[Location]] &amp; 表格3_5[[#This Row],[Date]] &amp;表格3_5[[#This Row],[Nick Name]]</f>
        <v>0</v>
      </c>
      <c r="D1873" s="202"/>
      <c r="E1873" s="211" t="str">
        <f>DAY(表格3_5[[#This Row],[Date]])&amp;""</f>
        <v>0</v>
      </c>
      <c r="F1873" s="203"/>
      <c r="G1873" s="216">
        <f>_xlfn.XLOOKUP(表格3_5[[#This Row],[Name]],Name_list[Full Name],Name_list[Nick Name])</f>
        <v>0</v>
      </c>
      <c r="H1873" s="207"/>
      <c r="I1873" s="228"/>
      <c r="J1873" s="218"/>
      <c r="K1873" s="205"/>
      <c r="L1873" s="210">
        <f>(表格3_5[[#This Row],[Out-Time]] - 表格3_5[[#This Row],[In-Time]])*24</f>
        <v>0</v>
      </c>
      <c r="M1873" s="210">
        <f>表格3_5[[#This Row],[ Hours]]-表格3_5[[#This Row],[Normal working
 hours]]</f>
        <v>0</v>
      </c>
      <c r="N1873" s="205"/>
      <c r="O1873" s="205"/>
      <c r="P1873" s="210">
        <f>(表格3_5[[#This Row],[Out-Time2]] - 表格3_5[[#This Row],[In-Time2]])*24</f>
        <v>0</v>
      </c>
      <c r="Q1873" s="205"/>
      <c r="R1873" s="214">
        <f>_xlfn.XLOOKUP(表格3_5[[#This Row],[Name]],Name_list[Full Name],Name_list[Hourr Rate])</f>
        <v>0</v>
      </c>
      <c r="S1873" s="210">
        <f>表格3_5[[#This Row],[Hours Worked]]*表格3_5[[#This Row],[Hourly Rate]]</f>
        <v>0</v>
      </c>
    </row>
    <row r="1874" spans="1:19">
      <c r="A1874" s="201">
        <v>1872</v>
      </c>
      <c r="B1874" s="210" t="str">
        <f>_xlfn.CONCAT(表格3_5[[#This Row],[Name]],表格3_5[[#This Row],[Location]])</f>
        <v/>
      </c>
      <c r="C1874" s="211" t="str">
        <f>表格3_5[[#This Row],[Location]] &amp; 表格3_5[[#This Row],[Date]] &amp;表格3_5[[#This Row],[Nick Name]]</f>
        <v>0</v>
      </c>
      <c r="D1874" s="202"/>
      <c r="E1874" s="211" t="str">
        <f>DAY(表格3_5[[#This Row],[Date]])&amp;""</f>
        <v>0</v>
      </c>
      <c r="F1874" s="203"/>
      <c r="G1874" s="216">
        <f>_xlfn.XLOOKUP(表格3_5[[#This Row],[Name]],Name_list[Full Name],Name_list[Nick Name])</f>
        <v>0</v>
      </c>
      <c r="H1874" s="207"/>
      <c r="I1874" s="228"/>
      <c r="J1874" s="218"/>
      <c r="K1874" s="205"/>
      <c r="L1874" s="210">
        <f>(表格3_5[[#This Row],[Out-Time]] - 表格3_5[[#This Row],[In-Time]])*24</f>
        <v>0</v>
      </c>
      <c r="M1874" s="210">
        <f>表格3_5[[#This Row],[ Hours]]-表格3_5[[#This Row],[Normal working
 hours]]</f>
        <v>0</v>
      </c>
      <c r="N1874" s="205"/>
      <c r="O1874" s="205"/>
      <c r="P1874" s="210">
        <f>(表格3_5[[#This Row],[Out-Time2]] - 表格3_5[[#This Row],[In-Time2]])*24</f>
        <v>0</v>
      </c>
      <c r="Q1874" s="205"/>
      <c r="R1874" s="214">
        <f>_xlfn.XLOOKUP(表格3_5[[#This Row],[Name]],Name_list[Full Name],Name_list[Hourr Rate])</f>
        <v>0</v>
      </c>
      <c r="S1874" s="210">
        <f>表格3_5[[#This Row],[Hours Worked]]*表格3_5[[#This Row],[Hourly Rate]]</f>
        <v>0</v>
      </c>
    </row>
    <row r="1875" spans="1:19">
      <c r="A1875" s="201">
        <v>1873</v>
      </c>
      <c r="B1875" s="210" t="str">
        <f>_xlfn.CONCAT(表格3_5[[#This Row],[Name]],表格3_5[[#This Row],[Location]])</f>
        <v/>
      </c>
      <c r="C1875" s="211" t="str">
        <f>表格3_5[[#This Row],[Location]] &amp; 表格3_5[[#This Row],[Date]] &amp;表格3_5[[#This Row],[Nick Name]]</f>
        <v>0</v>
      </c>
      <c r="D1875" s="202"/>
      <c r="E1875" s="211" t="str">
        <f>DAY(表格3_5[[#This Row],[Date]])&amp;""</f>
        <v>0</v>
      </c>
      <c r="F1875" s="203"/>
      <c r="G1875" s="216">
        <f>_xlfn.XLOOKUP(表格3_5[[#This Row],[Name]],Name_list[Full Name],Name_list[Nick Name])</f>
        <v>0</v>
      </c>
      <c r="H1875" s="207"/>
      <c r="I1875" s="228"/>
      <c r="J1875" s="218"/>
      <c r="K1875" s="205"/>
      <c r="L1875" s="210">
        <f>(表格3_5[[#This Row],[Out-Time]] - 表格3_5[[#This Row],[In-Time]])*24</f>
        <v>0</v>
      </c>
      <c r="M1875" s="210">
        <f>表格3_5[[#This Row],[ Hours]]-表格3_5[[#This Row],[Normal working
 hours]]</f>
        <v>0</v>
      </c>
      <c r="N1875" s="205"/>
      <c r="O1875" s="205"/>
      <c r="P1875" s="210">
        <f>(表格3_5[[#This Row],[Out-Time2]] - 表格3_5[[#This Row],[In-Time2]])*24</f>
        <v>0</v>
      </c>
      <c r="Q1875" s="205"/>
      <c r="R1875" s="214">
        <f>_xlfn.XLOOKUP(表格3_5[[#This Row],[Name]],Name_list[Full Name],Name_list[Hourr Rate])</f>
        <v>0</v>
      </c>
      <c r="S1875" s="210">
        <f>表格3_5[[#This Row],[Hours Worked]]*表格3_5[[#This Row],[Hourly Rate]]</f>
        <v>0</v>
      </c>
    </row>
    <row r="1876" spans="1:19">
      <c r="A1876" s="201">
        <v>1874</v>
      </c>
      <c r="B1876" s="210" t="str">
        <f>_xlfn.CONCAT(表格3_5[[#This Row],[Name]],表格3_5[[#This Row],[Location]])</f>
        <v/>
      </c>
      <c r="C1876" s="211" t="str">
        <f>表格3_5[[#This Row],[Location]] &amp; 表格3_5[[#This Row],[Date]] &amp;表格3_5[[#This Row],[Nick Name]]</f>
        <v>0</v>
      </c>
      <c r="D1876" s="202"/>
      <c r="E1876" s="211" t="str">
        <f>DAY(表格3_5[[#This Row],[Date]])&amp;""</f>
        <v>0</v>
      </c>
      <c r="F1876" s="203"/>
      <c r="G1876" s="216">
        <f>_xlfn.XLOOKUP(表格3_5[[#This Row],[Name]],Name_list[Full Name],Name_list[Nick Name])</f>
        <v>0</v>
      </c>
      <c r="H1876" s="207"/>
      <c r="I1876" s="228"/>
      <c r="J1876" s="218"/>
      <c r="K1876" s="205"/>
      <c r="L1876" s="210">
        <f>(表格3_5[[#This Row],[Out-Time]] - 表格3_5[[#This Row],[In-Time]])*24</f>
        <v>0</v>
      </c>
      <c r="M1876" s="210">
        <f>表格3_5[[#This Row],[ Hours]]-表格3_5[[#This Row],[Normal working
 hours]]</f>
        <v>0</v>
      </c>
      <c r="N1876" s="205"/>
      <c r="O1876" s="205"/>
      <c r="P1876" s="210">
        <f>(表格3_5[[#This Row],[Out-Time2]] - 表格3_5[[#This Row],[In-Time2]])*24</f>
        <v>0</v>
      </c>
      <c r="Q1876" s="205"/>
      <c r="R1876" s="214">
        <f>_xlfn.XLOOKUP(表格3_5[[#This Row],[Name]],Name_list[Full Name],Name_list[Hourr Rate])</f>
        <v>0</v>
      </c>
      <c r="S1876" s="210">
        <f>表格3_5[[#This Row],[Hours Worked]]*表格3_5[[#This Row],[Hourly Rate]]</f>
        <v>0</v>
      </c>
    </row>
    <row r="1877" spans="1:19">
      <c r="A1877" s="201">
        <v>1875</v>
      </c>
      <c r="B1877" s="210" t="str">
        <f>_xlfn.CONCAT(表格3_5[[#This Row],[Name]],表格3_5[[#This Row],[Location]])</f>
        <v/>
      </c>
      <c r="C1877" s="211" t="str">
        <f>表格3_5[[#This Row],[Location]] &amp; 表格3_5[[#This Row],[Date]] &amp;表格3_5[[#This Row],[Nick Name]]</f>
        <v>0</v>
      </c>
      <c r="D1877" s="202"/>
      <c r="E1877" s="211" t="str">
        <f>DAY(表格3_5[[#This Row],[Date]])&amp;""</f>
        <v>0</v>
      </c>
      <c r="F1877" s="203"/>
      <c r="G1877" s="216">
        <f>_xlfn.XLOOKUP(表格3_5[[#This Row],[Name]],Name_list[Full Name],Name_list[Nick Name])</f>
        <v>0</v>
      </c>
      <c r="H1877" s="207"/>
      <c r="I1877" s="228"/>
      <c r="J1877" s="218"/>
      <c r="K1877" s="205"/>
      <c r="L1877" s="210">
        <f>(表格3_5[[#This Row],[Out-Time]] - 表格3_5[[#This Row],[In-Time]])*24</f>
        <v>0</v>
      </c>
      <c r="M1877" s="210">
        <f>表格3_5[[#This Row],[ Hours]]-表格3_5[[#This Row],[Normal working
 hours]]</f>
        <v>0</v>
      </c>
      <c r="N1877" s="205"/>
      <c r="O1877" s="205"/>
      <c r="P1877" s="210">
        <f>(表格3_5[[#This Row],[Out-Time2]] - 表格3_5[[#This Row],[In-Time2]])*24</f>
        <v>0</v>
      </c>
      <c r="Q1877" s="205"/>
      <c r="R1877" s="214">
        <f>_xlfn.XLOOKUP(表格3_5[[#This Row],[Name]],Name_list[Full Name],Name_list[Hourr Rate])</f>
        <v>0</v>
      </c>
      <c r="S1877" s="210">
        <f>表格3_5[[#This Row],[Hours Worked]]*表格3_5[[#This Row],[Hourly Rate]]</f>
        <v>0</v>
      </c>
    </row>
    <row r="1878" spans="1:19">
      <c r="A1878" s="201">
        <v>1876</v>
      </c>
      <c r="B1878" s="210" t="str">
        <f>_xlfn.CONCAT(表格3_5[[#This Row],[Name]],表格3_5[[#This Row],[Location]])</f>
        <v/>
      </c>
      <c r="C1878" s="211" t="str">
        <f>表格3_5[[#This Row],[Location]] &amp; 表格3_5[[#This Row],[Date]] &amp;表格3_5[[#This Row],[Nick Name]]</f>
        <v>0</v>
      </c>
      <c r="D1878" s="202"/>
      <c r="E1878" s="211" t="str">
        <f>DAY(表格3_5[[#This Row],[Date]])&amp;""</f>
        <v>0</v>
      </c>
      <c r="F1878" s="203"/>
      <c r="G1878" s="216">
        <f>_xlfn.XLOOKUP(表格3_5[[#This Row],[Name]],Name_list[Full Name],Name_list[Nick Name])</f>
        <v>0</v>
      </c>
      <c r="H1878" s="207"/>
      <c r="I1878" s="228"/>
      <c r="J1878" s="218"/>
      <c r="K1878" s="205"/>
      <c r="L1878" s="210">
        <f>(表格3_5[[#This Row],[Out-Time]] - 表格3_5[[#This Row],[In-Time]])*24</f>
        <v>0</v>
      </c>
      <c r="M1878" s="210">
        <f>表格3_5[[#This Row],[ Hours]]-表格3_5[[#This Row],[Normal working
 hours]]</f>
        <v>0</v>
      </c>
      <c r="N1878" s="205"/>
      <c r="O1878" s="205"/>
      <c r="P1878" s="210">
        <f>(表格3_5[[#This Row],[Out-Time2]] - 表格3_5[[#This Row],[In-Time2]])*24</f>
        <v>0</v>
      </c>
      <c r="Q1878" s="205"/>
      <c r="R1878" s="214">
        <f>_xlfn.XLOOKUP(表格3_5[[#This Row],[Name]],Name_list[Full Name],Name_list[Hourr Rate])</f>
        <v>0</v>
      </c>
      <c r="S1878" s="210">
        <f>表格3_5[[#This Row],[Hours Worked]]*表格3_5[[#This Row],[Hourly Rate]]</f>
        <v>0</v>
      </c>
    </row>
    <row r="1879" spans="1:19">
      <c r="A1879" s="201">
        <v>1877</v>
      </c>
      <c r="B1879" s="210" t="str">
        <f>_xlfn.CONCAT(表格3_5[[#This Row],[Name]],表格3_5[[#This Row],[Location]])</f>
        <v/>
      </c>
      <c r="C1879" s="211" t="str">
        <f>表格3_5[[#This Row],[Location]] &amp; 表格3_5[[#This Row],[Date]] &amp;表格3_5[[#This Row],[Nick Name]]</f>
        <v>0</v>
      </c>
      <c r="D1879" s="202"/>
      <c r="E1879" s="211" t="str">
        <f>DAY(表格3_5[[#This Row],[Date]])&amp;""</f>
        <v>0</v>
      </c>
      <c r="F1879" s="203"/>
      <c r="G1879" s="216">
        <f>_xlfn.XLOOKUP(表格3_5[[#This Row],[Name]],Name_list[Full Name],Name_list[Nick Name])</f>
        <v>0</v>
      </c>
      <c r="H1879" s="207"/>
      <c r="I1879" s="228"/>
      <c r="J1879" s="218"/>
      <c r="K1879" s="205"/>
      <c r="L1879" s="210">
        <f>(表格3_5[[#This Row],[Out-Time]] - 表格3_5[[#This Row],[In-Time]])*24</f>
        <v>0</v>
      </c>
      <c r="M1879" s="210">
        <f>表格3_5[[#This Row],[ Hours]]-表格3_5[[#This Row],[Normal working
 hours]]</f>
        <v>0</v>
      </c>
      <c r="N1879" s="205"/>
      <c r="O1879" s="205"/>
      <c r="P1879" s="210">
        <f>(表格3_5[[#This Row],[Out-Time2]] - 表格3_5[[#This Row],[In-Time2]])*24</f>
        <v>0</v>
      </c>
      <c r="Q1879" s="205"/>
      <c r="R1879" s="214">
        <f>_xlfn.XLOOKUP(表格3_5[[#This Row],[Name]],Name_list[Full Name],Name_list[Hourr Rate])</f>
        <v>0</v>
      </c>
      <c r="S1879" s="210">
        <f>表格3_5[[#This Row],[Hours Worked]]*表格3_5[[#This Row],[Hourly Rate]]</f>
        <v>0</v>
      </c>
    </row>
    <row r="1880" spans="1:19">
      <c r="A1880" s="201">
        <v>1878</v>
      </c>
      <c r="B1880" s="210" t="str">
        <f>_xlfn.CONCAT(表格3_5[[#This Row],[Name]],表格3_5[[#This Row],[Location]])</f>
        <v/>
      </c>
      <c r="C1880" s="211" t="str">
        <f>表格3_5[[#This Row],[Location]] &amp; 表格3_5[[#This Row],[Date]] &amp;表格3_5[[#This Row],[Nick Name]]</f>
        <v>0</v>
      </c>
      <c r="D1880" s="202"/>
      <c r="E1880" s="211" t="str">
        <f>DAY(表格3_5[[#This Row],[Date]])&amp;""</f>
        <v>0</v>
      </c>
      <c r="F1880" s="203"/>
      <c r="G1880" s="216">
        <f>_xlfn.XLOOKUP(表格3_5[[#This Row],[Name]],Name_list[Full Name],Name_list[Nick Name])</f>
        <v>0</v>
      </c>
      <c r="H1880" s="207"/>
      <c r="I1880" s="228"/>
      <c r="J1880" s="218"/>
      <c r="K1880" s="205"/>
      <c r="L1880" s="210">
        <f>(表格3_5[[#This Row],[Out-Time]] - 表格3_5[[#This Row],[In-Time]])*24</f>
        <v>0</v>
      </c>
      <c r="M1880" s="210">
        <f>表格3_5[[#This Row],[ Hours]]-表格3_5[[#This Row],[Normal working
 hours]]</f>
        <v>0</v>
      </c>
      <c r="N1880" s="205"/>
      <c r="O1880" s="205"/>
      <c r="P1880" s="210">
        <f>(表格3_5[[#This Row],[Out-Time2]] - 表格3_5[[#This Row],[In-Time2]])*24</f>
        <v>0</v>
      </c>
      <c r="Q1880" s="205"/>
      <c r="R1880" s="214">
        <f>_xlfn.XLOOKUP(表格3_5[[#This Row],[Name]],Name_list[Full Name],Name_list[Hourr Rate])</f>
        <v>0</v>
      </c>
      <c r="S1880" s="210">
        <f>表格3_5[[#This Row],[Hours Worked]]*表格3_5[[#This Row],[Hourly Rate]]</f>
        <v>0</v>
      </c>
    </row>
    <row r="1881" spans="1:19">
      <c r="A1881" s="201">
        <v>1879</v>
      </c>
      <c r="B1881" s="210" t="str">
        <f>_xlfn.CONCAT(表格3_5[[#This Row],[Name]],表格3_5[[#This Row],[Location]])</f>
        <v/>
      </c>
      <c r="C1881" s="211" t="str">
        <f>表格3_5[[#This Row],[Location]] &amp; 表格3_5[[#This Row],[Date]] &amp;表格3_5[[#This Row],[Nick Name]]</f>
        <v>0</v>
      </c>
      <c r="D1881" s="202"/>
      <c r="E1881" s="211" t="str">
        <f>DAY(表格3_5[[#This Row],[Date]])&amp;""</f>
        <v>0</v>
      </c>
      <c r="F1881" s="203"/>
      <c r="G1881" s="216">
        <f>_xlfn.XLOOKUP(表格3_5[[#This Row],[Name]],Name_list[Full Name],Name_list[Nick Name])</f>
        <v>0</v>
      </c>
      <c r="H1881" s="207"/>
      <c r="I1881" s="228"/>
      <c r="J1881" s="218"/>
      <c r="K1881" s="205"/>
      <c r="L1881" s="210">
        <f>(表格3_5[[#This Row],[Out-Time]] - 表格3_5[[#This Row],[In-Time]])*24</f>
        <v>0</v>
      </c>
      <c r="M1881" s="210">
        <f>表格3_5[[#This Row],[ Hours]]-表格3_5[[#This Row],[Normal working
 hours]]</f>
        <v>0</v>
      </c>
      <c r="N1881" s="205"/>
      <c r="O1881" s="205"/>
      <c r="P1881" s="210">
        <f>(表格3_5[[#This Row],[Out-Time2]] - 表格3_5[[#This Row],[In-Time2]])*24</f>
        <v>0</v>
      </c>
      <c r="Q1881" s="205"/>
      <c r="R1881" s="214">
        <f>_xlfn.XLOOKUP(表格3_5[[#This Row],[Name]],Name_list[Full Name],Name_list[Hourr Rate])</f>
        <v>0</v>
      </c>
      <c r="S1881" s="210">
        <f>表格3_5[[#This Row],[Hours Worked]]*表格3_5[[#This Row],[Hourly Rate]]</f>
        <v>0</v>
      </c>
    </row>
    <row r="1882" spans="1:19">
      <c r="A1882" s="201">
        <v>1880</v>
      </c>
      <c r="B1882" s="210" t="str">
        <f>_xlfn.CONCAT(表格3_5[[#This Row],[Name]],表格3_5[[#This Row],[Location]])</f>
        <v/>
      </c>
      <c r="C1882" s="211" t="str">
        <f>表格3_5[[#This Row],[Location]] &amp; 表格3_5[[#This Row],[Date]] &amp;表格3_5[[#This Row],[Nick Name]]</f>
        <v>0</v>
      </c>
      <c r="D1882" s="202"/>
      <c r="E1882" s="211" t="str">
        <f>DAY(表格3_5[[#This Row],[Date]])&amp;""</f>
        <v>0</v>
      </c>
      <c r="F1882" s="203"/>
      <c r="G1882" s="216">
        <f>_xlfn.XLOOKUP(表格3_5[[#This Row],[Name]],Name_list[Full Name],Name_list[Nick Name])</f>
        <v>0</v>
      </c>
      <c r="H1882" s="207"/>
      <c r="I1882" s="228"/>
      <c r="J1882" s="218"/>
      <c r="K1882" s="205"/>
      <c r="L1882" s="210">
        <f>(表格3_5[[#This Row],[Out-Time]] - 表格3_5[[#This Row],[In-Time]])*24</f>
        <v>0</v>
      </c>
      <c r="M1882" s="210">
        <f>表格3_5[[#This Row],[ Hours]]-表格3_5[[#This Row],[Normal working
 hours]]</f>
        <v>0</v>
      </c>
      <c r="N1882" s="205"/>
      <c r="O1882" s="205"/>
      <c r="P1882" s="210">
        <f>(表格3_5[[#This Row],[Out-Time2]] - 表格3_5[[#This Row],[In-Time2]])*24</f>
        <v>0</v>
      </c>
      <c r="Q1882" s="205"/>
      <c r="R1882" s="214">
        <f>_xlfn.XLOOKUP(表格3_5[[#This Row],[Name]],Name_list[Full Name],Name_list[Hourr Rate])</f>
        <v>0</v>
      </c>
      <c r="S1882" s="210">
        <f>表格3_5[[#This Row],[Hours Worked]]*表格3_5[[#This Row],[Hourly Rate]]</f>
        <v>0</v>
      </c>
    </row>
    <row r="1883" spans="1:19">
      <c r="A1883" s="201">
        <v>1881</v>
      </c>
      <c r="B1883" s="210" t="str">
        <f>_xlfn.CONCAT(表格3_5[[#This Row],[Name]],表格3_5[[#This Row],[Location]])</f>
        <v/>
      </c>
      <c r="C1883" s="211" t="str">
        <f>表格3_5[[#This Row],[Location]] &amp; 表格3_5[[#This Row],[Date]] &amp;表格3_5[[#This Row],[Nick Name]]</f>
        <v>0</v>
      </c>
      <c r="D1883" s="202"/>
      <c r="E1883" s="211" t="str">
        <f>DAY(表格3_5[[#This Row],[Date]])&amp;""</f>
        <v>0</v>
      </c>
      <c r="F1883" s="203"/>
      <c r="G1883" s="216">
        <f>_xlfn.XLOOKUP(表格3_5[[#This Row],[Name]],Name_list[Full Name],Name_list[Nick Name])</f>
        <v>0</v>
      </c>
      <c r="H1883" s="207"/>
      <c r="I1883" s="228"/>
      <c r="J1883" s="218"/>
      <c r="K1883" s="205"/>
      <c r="L1883" s="210">
        <f>(表格3_5[[#This Row],[Out-Time]] - 表格3_5[[#This Row],[In-Time]])*24</f>
        <v>0</v>
      </c>
      <c r="M1883" s="210">
        <f>表格3_5[[#This Row],[ Hours]]-表格3_5[[#This Row],[Normal working
 hours]]</f>
        <v>0</v>
      </c>
      <c r="N1883" s="205"/>
      <c r="O1883" s="205"/>
      <c r="P1883" s="210">
        <f>(表格3_5[[#This Row],[Out-Time2]] - 表格3_5[[#This Row],[In-Time2]])*24</f>
        <v>0</v>
      </c>
      <c r="Q1883" s="205"/>
      <c r="R1883" s="214">
        <f>_xlfn.XLOOKUP(表格3_5[[#This Row],[Name]],Name_list[Full Name],Name_list[Hourr Rate])</f>
        <v>0</v>
      </c>
      <c r="S1883" s="210">
        <f>表格3_5[[#This Row],[Hours Worked]]*表格3_5[[#This Row],[Hourly Rate]]</f>
        <v>0</v>
      </c>
    </row>
    <row r="1884" spans="1:19">
      <c r="A1884" s="201">
        <v>1882</v>
      </c>
      <c r="B1884" s="210" t="str">
        <f>_xlfn.CONCAT(表格3_5[[#This Row],[Name]],表格3_5[[#This Row],[Location]])</f>
        <v/>
      </c>
      <c r="C1884" s="211" t="str">
        <f>表格3_5[[#This Row],[Location]] &amp; 表格3_5[[#This Row],[Date]] &amp;表格3_5[[#This Row],[Nick Name]]</f>
        <v>0</v>
      </c>
      <c r="D1884" s="202"/>
      <c r="E1884" s="211" t="str">
        <f>DAY(表格3_5[[#This Row],[Date]])&amp;""</f>
        <v>0</v>
      </c>
      <c r="F1884" s="203"/>
      <c r="G1884" s="216">
        <f>_xlfn.XLOOKUP(表格3_5[[#This Row],[Name]],Name_list[Full Name],Name_list[Nick Name])</f>
        <v>0</v>
      </c>
      <c r="H1884" s="207"/>
      <c r="I1884" s="228"/>
      <c r="J1884" s="218"/>
      <c r="K1884" s="205"/>
      <c r="L1884" s="210">
        <f>(表格3_5[[#This Row],[Out-Time]] - 表格3_5[[#This Row],[In-Time]])*24</f>
        <v>0</v>
      </c>
      <c r="M1884" s="210">
        <f>表格3_5[[#This Row],[ Hours]]-表格3_5[[#This Row],[Normal working
 hours]]</f>
        <v>0</v>
      </c>
      <c r="N1884" s="205"/>
      <c r="O1884" s="205"/>
      <c r="P1884" s="210">
        <f>(表格3_5[[#This Row],[Out-Time2]] - 表格3_5[[#This Row],[In-Time2]])*24</f>
        <v>0</v>
      </c>
      <c r="Q1884" s="205"/>
      <c r="R1884" s="214">
        <f>_xlfn.XLOOKUP(表格3_5[[#This Row],[Name]],Name_list[Full Name],Name_list[Hourr Rate])</f>
        <v>0</v>
      </c>
      <c r="S1884" s="210">
        <f>表格3_5[[#This Row],[Hours Worked]]*表格3_5[[#This Row],[Hourly Rate]]</f>
        <v>0</v>
      </c>
    </row>
    <row r="1885" spans="1:19">
      <c r="A1885" s="201">
        <v>1883</v>
      </c>
      <c r="B1885" s="210" t="str">
        <f>_xlfn.CONCAT(表格3_5[[#This Row],[Name]],表格3_5[[#This Row],[Location]])</f>
        <v/>
      </c>
      <c r="C1885" s="211" t="str">
        <f>表格3_5[[#This Row],[Location]] &amp; 表格3_5[[#This Row],[Date]] &amp;表格3_5[[#This Row],[Nick Name]]</f>
        <v>0</v>
      </c>
      <c r="D1885" s="202"/>
      <c r="E1885" s="211" t="str">
        <f>DAY(表格3_5[[#This Row],[Date]])&amp;""</f>
        <v>0</v>
      </c>
      <c r="F1885" s="203"/>
      <c r="G1885" s="216">
        <f>_xlfn.XLOOKUP(表格3_5[[#This Row],[Name]],Name_list[Full Name],Name_list[Nick Name])</f>
        <v>0</v>
      </c>
      <c r="H1885" s="207"/>
      <c r="I1885" s="228"/>
      <c r="J1885" s="218"/>
      <c r="K1885" s="205"/>
      <c r="L1885" s="210">
        <f>(表格3_5[[#This Row],[Out-Time]] - 表格3_5[[#This Row],[In-Time]])*24</f>
        <v>0</v>
      </c>
      <c r="M1885" s="210">
        <f>表格3_5[[#This Row],[ Hours]]-表格3_5[[#This Row],[Normal working
 hours]]</f>
        <v>0</v>
      </c>
      <c r="N1885" s="205"/>
      <c r="O1885" s="205"/>
      <c r="P1885" s="210">
        <f>(表格3_5[[#This Row],[Out-Time2]] - 表格3_5[[#This Row],[In-Time2]])*24</f>
        <v>0</v>
      </c>
      <c r="Q1885" s="205"/>
      <c r="R1885" s="214">
        <f>_xlfn.XLOOKUP(表格3_5[[#This Row],[Name]],Name_list[Full Name],Name_list[Hourr Rate])</f>
        <v>0</v>
      </c>
      <c r="S1885" s="210">
        <f>表格3_5[[#This Row],[Hours Worked]]*表格3_5[[#This Row],[Hourly Rate]]</f>
        <v>0</v>
      </c>
    </row>
    <row r="1886" spans="1:19">
      <c r="A1886" s="201">
        <v>1884</v>
      </c>
      <c r="B1886" s="210" t="str">
        <f>_xlfn.CONCAT(表格3_5[[#This Row],[Name]],表格3_5[[#This Row],[Location]])</f>
        <v/>
      </c>
      <c r="C1886" s="211" t="str">
        <f>表格3_5[[#This Row],[Location]] &amp; 表格3_5[[#This Row],[Date]] &amp;表格3_5[[#This Row],[Nick Name]]</f>
        <v>0</v>
      </c>
      <c r="D1886" s="202"/>
      <c r="E1886" s="211" t="str">
        <f>DAY(表格3_5[[#This Row],[Date]])&amp;""</f>
        <v>0</v>
      </c>
      <c r="F1886" s="203"/>
      <c r="G1886" s="216">
        <f>_xlfn.XLOOKUP(表格3_5[[#This Row],[Name]],Name_list[Full Name],Name_list[Nick Name])</f>
        <v>0</v>
      </c>
      <c r="H1886" s="207"/>
      <c r="I1886" s="228"/>
      <c r="J1886" s="218"/>
      <c r="K1886" s="205"/>
      <c r="L1886" s="210">
        <f>(表格3_5[[#This Row],[Out-Time]] - 表格3_5[[#This Row],[In-Time]])*24</f>
        <v>0</v>
      </c>
      <c r="M1886" s="210">
        <f>表格3_5[[#This Row],[ Hours]]-表格3_5[[#This Row],[Normal working
 hours]]</f>
        <v>0</v>
      </c>
      <c r="N1886" s="205"/>
      <c r="O1886" s="205"/>
      <c r="P1886" s="210">
        <f>(表格3_5[[#This Row],[Out-Time2]] - 表格3_5[[#This Row],[In-Time2]])*24</f>
        <v>0</v>
      </c>
      <c r="Q1886" s="205"/>
      <c r="R1886" s="214">
        <f>_xlfn.XLOOKUP(表格3_5[[#This Row],[Name]],Name_list[Full Name],Name_list[Hourr Rate])</f>
        <v>0</v>
      </c>
      <c r="S1886" s="210">
        <f>表格3_5[[#This Row],[Hours Worked]]*表格3_5[[#This Row],[Hourly Rate]]</f>
        <v>0</v>
      </c>
    </row>
    <row r="1887" spans="1:19">
      <c r="A1887" s="201">
        <v>1885</v>
      </c>
      <c r="B1887" s="210" t="str">
        <f>_xlfn.CONCAT(表格3_5[[#This Row],[Name]],表格3_5[[#This Row],[Location]])</f>
        <v/>
      </c>
      <c r="C1887" s="211" t="str">
        <f>表格3_5[[#This Row],[Location]] &amp; 表格3_5[[#This Row],[Date]] &amp;表格3_5[[#This Row],[Nick Name]]</f>
        <v>0</v>
      </c>
      <c r="D1887" s="202"/>
      <c r="E1887" s="211" t="str">
        <f>DAY(表格3_5[[#This Row],[Date]])&amp;""</f>
        <v>0</v>
      </c>
      <c r="F1887" s="203"/>
      <c r="G1887" s="216">
        <f>_xlfn.XLOOKUP(表格3_5[[#This Row],[Name]],Name_list[Full Name],Name_list[Nick Name])</f>
        <v>0</v>
      </c>
      <c r="H1887" s="207"/>
      <c r="I1887" s="228"/>
      <c r="J1887" s="218"/>
      <c r="K1887" s="205"/>
      <c r="L1887" s="210">
        <f>(表格3_5[[#This Row],[Out-Time]] - 表格3_5[[#This Row],[In-Time]])*24</f>
        <v>0</v>
      </c>
      <c r="M1887" s="210">
        <f>表格3_5[[#This Row],[ Hours]]-表格3_5[[#This Row],[Normal working
 hours]]</f>
        <v>0</v>
      </c>
      <c r="N1887" s="205"/>
      <c r="O1887" s="205"/>
      <c r="P1887" s="210">
        <f>(表格3_5[[#This Row],[Out-Time2]] - 表格3_5[[#This Row],[In-Time2]])*24</f>
        <v>0</v>
      </c>
      <c r="Q1887" s="205"/>
      <c r="R1887" s="214">
        <f>_xlfn.XLOOKUP(表格3_5[[#This Row],[Name]],Name_list[Full Name],Name_list[Hourr Rate])</f>
        <v>0</v>
      </c>
      <c r="S1887" s="210">
        <f>表格3_5[[#This Row],[Hours Worked]]*表格3_5[[#This Row],[Hourly Rate]]</f>
        <v>0</v>
      </c>
    </row>
    <row r="1888" spans="1:19">
      <c r="A1888" s="201">
        <v>1886</v>
      </c>
      <c r="B1888" s="210" t="str">
        <f>_xlfn.CONCAT(表格3_5[[#This Row],[Name]],表格3_5[[#This Row],[Location]])</f>
        <v/>
      </c>
      <c r="C1888" s="211" t="str">
        <f>表格3_5[[#This Row],[Location]] &amp; 表格3_5[[#This Row],[Date]] &amp;表格3_5[[#This Row],[Nick Name]]</f>
        <v>0</v>
      </c>
      <c r="D1888" s="202"/>
      <c r="E1888" s="211" t="str">
        <f>DAY(表格3_5[[#This Row],[Date]])&amp;""</f>
        <v>0</v>
      </c>
      <c r="F1888" s="203"/>
      <c r="G1888" s="216">
        <f>_xlfn.XLOOKUP(表格3_5[[#This Row],[Name]],Name_list[Full Name],Name_list[Nick Name])</f>
        <v>0</v>
      </c>
      <c r="H1888" s="207"/>
      <c r="I1888" s="228"/>
      <c r="J1888" s="218"/>
      <c r="K1888" s="205"/>
      <c r="L1888" s="210">
        <f>(表格3_5[[#This Row],[Out-Time]] - 表格3_5[[#This Row],[In-Time]])*24</f>
        <v>0</v>
      </c>
      <c r="M1888" s="210">
        <f>表格3_5[[#This Row],[ Hours]]-表格3_5[[#This Row],[Normal working
 hours]]</f>
        <v>0</v>
      </c>
      <c r="N1888" s="205"/>
      <c r="O1888" s="205"/>
      <c r="P1888" s="210">
        <f>(表格3_5[[#This Row],[Out-Time2]] - 表格3_5[[#This Row],[In-Time2]])*24</f>
        <v>0</v>
      </c>
      <c r="Q1888" s="205"/>
      <c r="R1888" s="214">
        <f>_xlfn.XLOOKUP(表格3_5[[#This Row],[Name]],Name_list[Full Name],Name_list[Hourr Rate])</f>
        <v>0</v>
      </c>
      <c r="S1888" s="210">
        <f>表格3_5[[#This Row],[Hours Worked]]*表格3_5[[#This Row],[Hourly Rate]]</f>
        <v>0</v>
      </c>
    </row>
    <row r="1889" spans="1:19">
      <c r="A1889" s="201">
        <v>1887</v>
      </c>
      <c r="B1889" s="210" t="str">
        <f>_xlfn.CONCAT(表格3_5[[#This Row],[Name]],表格3_5[[#This Row],[Location]])</f>
        <v/>
      </c>
      <c r="C1889" s="211" t="str">
        <f>表格3_5[[#This Row],[Location]] &amp; 表格3_5[[#This Row],[Date]] &amp;表格3_5[[#This Row],[Nick Name]]</f>
        <v>0</v>
      </c>
      <c r="D1889" s="202"/>
      <c r="E1889" s="211" t="str">
        <f>DAY(表格3_5[[#This Row],[Date]])&amp;""</f>
        <v>0</v>
      </c>
      <c r="F1889" s="203"/>
      <c r="G1889" s="216">
        <f>_xlfn.XLOOKUP(表格3_5[[#This Row],[Name]],Name_list[Full Name],Name_list[Nick Name])</f>
        <v>0</v>
      </c>
      <c r="H1889" s="207"/>
      <c r="I1889" s="228"/>
      <c r="J1889" s="218"/>
      <c r="K1889" s="205"/>
      <c r="L1889" s="210">
        <f>(表格3_5[[#This Row],[Out-Time]] - 表格3_5[[#This Row],[In-Time]])*24</f>
        <v>0</v>
      </c>
      <c r="M1889" s="210">
        <f>表格3_5[[#This Row],[ Hours]]-表格3_5[[#This Row],[Normal working
 hours]]</f>
        <v>0</v>
      </c>
      <c r="N1889" s="205"/>
      <c r="O1889" s="205"/>
      <c r="P1889" s="210">
        <f>(表格3_5[[#This Row],[Out-Time2]] - 表格3_5[[#This Row],[In-Time2]])*24</f>
        <v>0</v>
      </c>
      <c r="Q1889" s="205"/>
      <c r="R1889" s="214">
        <f>_xlfn.XLOOKUP(表格3_5[[#This Row],[Name]],Name_list[Full Name],Name_list[Hourr Rate])</f>
        <v>0</v>
      </c>
      <c r="S1889" s="210">
        <f>表格3_5[[#This Row],[Hours Worked]]*表格3_5[[#This Row],[Hourly Rate]]</f>
        <v>0</v>
      </c>
    </row>
    <row r="1890" spans="1:19">
      <c r="A1890" s="201">
        <v>1888</v>
      </c>
      <c r="B1890" s="210" t="str">
        <f>_xlfn.CONCAT(表格3_5[[#This Row],[Name]],表格3_5[[#This Row],[Location]])</f>
        <v/>
      </c>
      <c r="C1890" s="211" t="str">
        <f>表格3_5[[#This Row],[Location]] &amp; 表格3_5[[#This Row],[Date]] &amp;表格3_5[[#This Row],[Nick Name]]</f>
        <v>0</v>
      </c>
      <c r="D1890" s="202"/>
      <c r="E1890" s="211" t="str">
        <f>DAY(表格3_5[[#This Row],[Date]])&amp;""</f>
        <v>0</v>
      </c>
      <c r="F1890" s="203"/>
      <c r="G1890" s="216">
        <f>_xlfn.XLOOKUP(表格3_5[[#This Row],[Name]],Name_list[Full Name],Name_list[Nick Name])</f>
        <v>0</v>
      </c>
      <c r="H1890" s="207"/>
      <c r="I1890" s="228"/>
      <c r="J1890" s="218"/>
      <c r="K1890" s="205"/>
      <c r="L1890" s="210">
        <f>(表格3_5[[#This Row],[Out-Time]] - 表格3_5[[#This Row],[In-Time]])*24</f>
        <v>0</v>
      </c>
      <c r="M1890" s="210">
        <f>表格3_5[[#This Row],[ Hours]]-表格3_5[[#This Row],[Normal working
 hours]]</f>
        <v>0</v>
      </c>
      <c r="N1890" s="205"/>
      <c r="O1890" s="205"/>
      <c r="P1890" s="210">
        <f>(表格3_5[[#This Row],[Out-Time2]] - 表格3_5[[#This Row],[In-Time2]])*24</f>
        <v>0</v>
      </c>
      <c r="Q1890" s="205"/>
      <c r="R1890" s="214">
        <f>_xlfn.XLOOKUP(表格3_5[[#This Row],[Name]],Name_list[Full Name],Name_list[Hourr Rate])</f>
        <v>0</v>
      </c>
      <c r="S1890" s="210">
        <f>表格3_5[[#This Row],[Hours Worked]]*表格3_5[[#This Row],[Hourly Rate]]</f>
        <v>0</v>
      </c>
    </row>
    <row r="1891" spans="1:19">
      <c r="A1891" s="201">
        <v>1889</v>
      </c>
      <c r="B1891" s="210" t="str">
        <f>_xlfn.CONCAT(表格3_5[[#This Row],[Name]],表格3_5[[#This Row],[Location]])</f>
        <v/>
      </c>
      <c r="C1891" s="211" t="str">
        <f>表格3_5[[#This Row],[Location]] &amp; 表格3_5[[#This Row],[Date]] &amp;表格3_5[[#This Row],[Nick Name]]</f>
        <v>0</v>
      </c>
      <c r="D1891" s="202"/>
      <c r="E1891" s="211" t="str">
        <f>DAY(表格3_5[[#This Row],[Date]])&amp;""</f>
        <v>0</v>
      </c>
      <c r="F1891" s="203"/>
      <c r="G1891" s="216">
        <f>_xlfn.XLOOKUP(表格3_5[[#This Row],[Name]],Name_list[Full Name],Name_list[Nick Name])</f>
        <v>0</v>
      </c>
      <c r="H1891" s="207"/>
      <c r="I1891" s="228"/>
      <c r="J1891" s="218"/>
      <c r="K1891" s="205"/>
      <c r="L1891" s="210">
        <f>(表格3_5[[#This Row],[Out-Time]] - 表格3_5[[#This Row],[In-Time]])*24</f>
        <v>0</v>
      </c>
      <c r="M1891" s="210">
        <f>表格3_5[[#This Row],[ Hours]]-表格3_5[[#This Row],[Normal working
 hours]]</f>
        <v>0</v>
      </c>
      <c r="N1891" s="205"/>
      <c r="O1891" s="205"/>
      <c r="P1891" s="210">
        <f>(表格3_5[[#This Row],[Out-Time2]] - 表格3_5[[#This Row],[In-Time2]])*24</f>
        <v>0</v>
      </c>
      <c r="Q1891" s="205"/>
      <c r="R1891" s="214">
        <f>_xlfn.XLOOKUP(表格3_5[[#This Row],[Name]],Name_list[Full Name],Name_list[Hourr Rate])</f>
        <v>0</v>
      </c>
      <c r="S1891" s="210">
        <f>表格3_5[[#This Row],[Hours Worked]]*表格3_5[[#This Row],[Hourly Rate]]</f>
        <v>0</v>
      </c>
    </row>
    <row r="1892" spans="1:19">
      <c r="A1892" s="201">
        <v>1890</v>
      </c>
      <c r="B1892" s="210" t="str">
        <f>_xlfn.CONCAT(表格3_5[[#This Row],[Name]],表格3_5[[#This Row],[Location]])</f>
        <v/>
      </c>
      <c r="C1892" s="211" t="str">
        <f>表格3_5[[#This Row],[Location]] &amp; 表格3_5[[#This Row],[Date]] &amp;表格3_5[[#This Row],[Nick Name]]</f>
        <v>0</v>
      </c>
      <c r="D1892" s="202"/>
      <c r="E1892" s="211" t="str">
        <f>DAY(表格3_5[[#This Row],[Date]])&amp;""</f>
        <v>0</v>
      </c>
      <c r="F1892" s="203"/>
      <c r="G1892" s="216">
        <f>_xlfn.XLOOKUP(表格3_5[[#This Row],[Name]],Name_list[Full Name],Name_list[Nick Name])</f>
        <v>0</v>
      </c>
      <c r="H1892" s="207"/>
      <c r="I1892" s="228"/>
      <c r="J1892" s="218"/>
      <c r="K1892" s="205"/>
      <c r="L1892" s="210">
        <f>(表格3_5[[#This Row],[Out-Time]] - 表格3_5[[#This Row],[In-Time]])*24</f>
        <v>0</v>
      </c>
      <c r="M1892" s="210">
        <f>表格3_5[[#This Row],[ Hours]]-表格3_5[[#This Row],[Normal working
 hours]]</f>
        <v>0</v>
      </c>
      <c r="N1892" s="205"/>
      <c r="O1892" s="205"/>
      <c r="P1892" s="210">
        <f>(表格3_5[[#This Row],[Out-Time2]] - 表格3_5[[#This Row],[In-Time2]])*24</f>
        <v>0</v>
      </c>
      <c r="Q1892" s="205"/>
      <c r="R1892" s="214">
        <f>_xlfn.XLOOKUP(表格3_5[[#This Row],[Name]],Name_list[Full Name],Name_list[Hourr Rate])</f>
        <v>0</v>
      </c>
      <c r="S1892" s="210">
        <f>表格3_5[[#This Row],[Hours Worked]]*表格3_5[[#This Row],[Hourly Rate]]</f>
        <v>0</v>
      </c>
    </row>
    <row r="1893" spans="1:19">
      <c r="A1893" s="201">
        <v>1891</v>
      </c>
      <c r="B1893" s="210" t="str">
        <f>_xlfn.CONCAT(表格3_5[[#This Row],[Name]],表格3_5[[#This Row],[Location]])</f>
        <v/>
      </c>
      <c r="C1893" s="211" t="str">
        <f>表格3_5[[#This Row],[Location]] &amp; 表格3_5[[#This Row],[Date]] &amp;表格3_5[[#This Row],[Nick Name]]</f>
        <v>0</v>
      </c>
      <c r="D1893" s="202"/>
      <c r="E1893" s="211" t="str">
        <f>DAY(表格3_5[[#This Row],[Date]])&amp;""</f>
        <v>0</v>
      </c>
      <c r="F1893" s="203"/>
      <c r="G1893" s="216">
        <f>_xlfn.XLOOKUP(表格3_5[[#This Row],[Name]],Name_list[Full Name],Name_list[Nick Name])</f>
        <v>0</v>
      </c>
      <c r="H1893" s="207"/>
      <c r="I1893" s="228"/>
      <c r="J1893" s="218"/>
      <c r="K1893" s="205"/>
      <c r="L1893" s="210">
        <f>(表格3_5[[#This Row],[Out-Time]] - 表格3_5[[#This Row],[In-Time]])*24</f>
        <v>0</v>
      </c>
      <c r="M1893" s="210">
        <f>表格3_5[[#This Row],[ Hours]]-表格3_5[[#This Row],[Normal working
 hours]]</f>
        <v>0</v>
      </c>
      <c r="N1893" s="205"/>
      <c r="O1893" s="205"/>
      <c r="P1893" s="210">
        <f>(表格3_5[[#This Row],[Out-Time2]] - 表格3_5[[#This Row],[In-Time2]])*24</f>
        <v>0</v>
      </c>
      <c r="Q1893" s="205"/>
      <c r="R1893" s="214">
        <f>_xlfn.XLOOKUP(表格3_5[[#This Row],[Name]],Name_list[Full Name],Name_list[Hourr Rate])</f>
        <v>0</v>
      </c>
      <c r="S1893" s="210">
        <f>表格3_5[[#This Row],[Hours Worked]]*表格3_5[[#This Row],[Hourly Rate]]</f>
        <v>0</v>
      </c>
    </row>
    <row r="1894" spans="1:19">
      <c r="A1894" s="201">
        <v>1892</v>
      </c>
      <c r="B1894" s="210" t="str">
        <f>_xlfn.CONCAT(表格3_5[[#This Row],[Name]],表格3_5[[#This Row],[Location]])</f>
        <v/>
      </c>
      <c r="C1894" s="211" t="str">
        <f>表格3_5[[#This Row],[Location]] &amp; 表格3_5[[#This Row],[Date]] &amp;表格3_5[[#This Row],[Nick Name]]</f>
        <v>0</v>
      </c>
      <c r="D1894" s="202"/>
      <c r="E1894" s="211" t="str">
        <f>DAY(表格3_5[[#This Row],[Date]])&amp;""</f>
        <v>0</v>
      </c>
      <c r="F1894" s="203"/>
      <c r="G1894" s="216">
        <f>_xlfn.XLOOKUP(表格3_5[[#This Row],[Name]],Name_list[Full Name],Name_list[Nick Name])</f>
        <v>0</v>
      </c>
      <c r="H1894" s="207"/>
      <c r="I1894" s="228"/>
      <c r="J1894" s="218"/>
      <c r="K1894" s="205"/>
      <c r="L1894" s="210">
        <f>(表格3_5[[#This Row],[Out-Time]] - 表格3_5[[#This Row],[In-Time]])*24</f>
        <v>0</v>
      </c>
      <c r="M1894" s="210">
        <f>表格3_5[[#This Row],[ Hours]]-表格3_5[[#This Row],[Normal working
 hours]]</f>
        <v>0</v>
      </c>
      <c r="N1894" s="205"/>
      <c r="O1894" s="205"/>
      <c r="P1894" s="210">
        <f>(表格3_5[[#This Row],[Out-Time2]] - 表格3_5[[#This Row],[In-Time2]])*24</f>
        <v>0</v>
      </c>
      <c r="Q1894" s="205"/>
      <c r="R1894" s="214">
        <f>_xlfn.XLOOKUP(表格3_5[[#This Row],[Name]],Name_list[Full Name],Name_list[Hourr Rate])</f>
        <v>0</v>
      </c>
      <c r="S1894" s="210">
        <f>表格3_5[[#This Row],[Hours Worked]]*表格3_5[[#This Row],[Hourly Rate]]</f>
        <v>0</v>
      </c>
    </row>
    <row r="1895" spans="1:19">
      <c r="A1895" s="201">
        <v>1893</v>
      </c>
      <c r="B1895" s="210" t="str">
        <f>_xlfn.CONCAT(表格3_5[[#This Row],[Name]],表格3_5[[#This Row],[Location]])</f>
        <v/>
      </c>
      <c r="C1895" s="211" t="str">
        <f>表格3_5[[#This Row],[Location]] &amp; 表格3_5[[#This Row],[Date]] &amp;表格3_5[[#This Row],[Nick Name]]</f>
        <v>0</v>
      </c>
      <c r="D1895" s="202"/>
      <c r="E1895" s="211" t="str">
        <f>DAY(表格3_5[[#This Row],[Date]])&amp;""</f>
        <v>0</v>
      </c>
      <c r="F1895" s="203"/>
      <c r="G1895" s="216">
        <f>_xlfn.XLOOKUP(表格3_5[[#This Row],[Name]],Name_list[Full Name],Name_list[Nick Name])</f>
        <v>0</v>
      </c>
      <c r="H1895" s="207"/>
      <c r="I1895" s="228"/>
      <c r="J1895" s="218"/>
      <c r="K1895" s="205"/>
      <c r="L1895" s="210">
        <f>(表格3_5[[#This Row],[Out-Time]] - 表格3_5[[#This Row],[In-Time]])*24</f>
        <v>0</v>
      </c>
      <c r="M1895" s="210">
        <f>表格3_5[[#This Row],[ Hours]]-表格3_5[[#This Row],[Normal working
 hours]]</f>
        <v>0</v>
      </c>
      <c r="N1895" s="205"/>
      <c r="O1895" s="205"/>
      <c r="P1895" s="210">
        <f>(表格3_5[[#This Row],[Out-Time2]] - 表格3_5[[#This Row],[In-Time2]])*24</f>
        <v>0</v>
      </c>
      <c r="Q1895" s="205"/>
      <c r="R1895" s="214">
        <f>_xlfn.XLOOKUP(表格3_5[[#This Row],[Name]],Name_list[Full Name],Name_list[Hourr Rate])</f>
        <v>0</v>
      </c>
      <c r="S1895" s="210">
        <f>表格3_5[[#This Row],[Hours Worked]]*表格3_5[[#This Row],[Hourly Rate]]</f>
        <v>0</v>
      </c>
    </row>
    <row r="1896" spans="1:19">
      <c r="A1896" s="201">
        <v>1894</v>
      </c>
      <c r="B1896" s="210" t="str">
        <f>_xlfn.CONCAT(表格3_5[[#This Row],[Name]],表格3_5[[#This Row],[Location]])</f>
        <v/>
      </c>
      <c r="C1896" s="211" t="str">
        <f>表格3_5[[#This Row],[Location]] &amp; 表格3_5[[#This Row],[Date]] &amp;表格3_5[[#This Row],[Nick Name]]</f>
        <v>0</v>
      </c>
      <c r="D1896" s="202"/>
      <c r="E1896" s="211" t="str">
        <f>DAY(表格3_5[[#This Row],[Date]])&amp;""</f>
        <v>0</v>
      </c>
      <c r="F1896" s="203"/>
      <c r="G1896" s="216">
        <f>_xlfn.XLOOKUP(表格3_5[[#This Row],[Name]],Name_list[Full Name],Name_list[Nick Name])</f>
        <v>0</v>
      </c>
      <c r="H1896" s="207"/>
      <c r="I1896" s="228"/>
      <c r="J1896" s="218"/>
      <c r="K1896" s="205"/>
      <c r="L1896" s="210">
        <f>(表格3_5[[#This Row],[Out-Time]] - 表格3_5[[#This Row],[In-Time]])*24</f>
        <v>0</v>
      </c>
      <c r="M1896" s="210">
        <f>表格3_5[[#This Row],[ Hours]]-表格3_5[[#This Row],[Normal working
 hours]]</f>
        <v>0</v>
      </c>
      <c r="N1896" s="205"/>
      <c r="O1896" s="205"/>
      <c r="P1896" s="210">
        <f>(表格3_5[[#This Row],[Out-Time2]] - 表格3_5[[#This Row],[In-Time2]])*24</f>
        <v>0</v>
      </c>
      <c r="Q1896" s="205"/>
      <c r="R1896" s="214">
        <f>_xlfn.XLOOKUP(表格3_5[[#This Row],[Name]],Name_list[Full Name],Name_list[Hourr Rate])</f>
        <v>0</v>
      </c>
      <c r="S1896" s="210">
        <f>表格3_5[[#This Row],[Hours Worked]]*表格3_5[[#This Row],[Hourly Rate]]</f>
        <v>0</v>
      </c>
    </row>
    <row r="1897" spans="1:19">
      <c r="A1897" s="201">
        <v>1895</v>
      </c>
      <c r="B1897" s="210" t="str">
        <f>_xlfn.CONCAT(表格3_5[[#This Row],[Name]],表格3_5[[#This Row],[Location]])</f>
        <v/>
      </c>
      <c r="C1897" s="211" t="str">
        <f>表格3_5[[#This Row],[Location]] &amp; 表格3_5[[#This Row],[Date]] &amp;表格3_5[[#This Row],[Nick Name]]</f>
        <v>0</v>
      </c>
      <c r="D1897" s="202"/>
      <c r="E1897" s="211" t="str">
        <f>DAY(表格3_5[[#This Row],[Date]])&amp;""</f>
        <v>0</v>
      </c>
      <c r="F1897" s="203"/>
      <c r="G1897" s="216">
        <f>_xlfn.XLOOKUP(表格3_5[[#This Row],[Name]],Name_list[Full Name],Name_list[Nick Name])</f>
        <v>0</v>
      </c>
      <c r="H1897" s="207"/>
      <c r="I1897" s="228"/>
      <c r="J1897" s="218"/>
      <c r="K1897" s="205"/>
      <c r="L1897" s="210">
        <f>(表格3_5[[#This Row],[Out-Time]] - 表格3_5[[#This Row],[In-Time]])*24</f>
        <v>0</v>
      </c>
      <c r="M1897" s="210">
        <f>表格3_5[[#This Row],[ Hours]]-表格3_5[[#This Row],[Normal working
 hours]]</f>
        <v>0</v>
      </c>
      <c r="N1897" s="205"/>
      <c r="O1897" s="205"/>
      <c r="P1897" s="210">
        <f>(表格3_5[[#This Row],[Out-Time2]] - 表格3_5[[#This Row],[In-Time2]])*24</f>
        <v>0</v>
      </c>
      <c r="Q1897" s="205"/>
      <c r="R1897" s="214">
        <f>_xlfn.XLOOKUP(表格3_5[[#This Row],[Name]],Name_list[Full Name],Name_list[Hourr Rate])</f>
        <v>0</v>
      </c>
      <c r="S1897" s="210">
        <f>表格3_5[[#This Row],[Hours Worked]]*表格3_5[[#This Row],[Hourly Rate]]</f>
        <v>0</v>
      </c>
    </row>
    <row r="1898" spans="1:19">
      <c r="A1898" s="201">
        <v>1896</v>
      </c>
      <c r="B1898" s="210" t="str">
        <f>_xlfn.CONCAT(表格3_5[[#This Row],[Name]],表格3_5[[#This Row],[Location]])</f>
        <v/>
      </c>
      <c r="C1898" s="211" t="str">
        <f>表格3_5[[#This Row],[Location]] &amp; 表格3_5[[#This Row],[Date]] &amp;表格3_5[[#This Row],[Nick Name]]</f>
        <v>0</v>
      </c>
      <c r="D1898" s="202"/>
      <c r="E1898" s="211" t="str">
        <f>DAY(表格3_5[[#This Row],[Date]])&amp;""</f>
        <v>0</v>
      </c>
      <c r="F1898" s="203"/>
      <c r="G1898" s="216">
        <f>_xlfn.XLOOKUP(表格3_5[[#This Row],[Name]],Name_list[Full Name],Name_list[Nick Name])</f>
        <v>0</v>
      </c>
      <c r="H1898" s="207"/>
      <c r="I1898" s="228"/>
      <c r="J1898" s="218"/>
      <c r="K1898" s="205"/>
      <c r="L1898" s="210">
        <f>(表格3_5[[#This Row],[Out-Time]] - 表格3_5[[#This Row],[In-Time]])*24</f>
        <v>0</v>
      </c>
      <c r="M1898" s="210">
        <f>表格3_5[[#This Row],[ Hours]]-表格3_5[[#This Row],[Normal working
 hours]]</f>
        <v>0</v>
      </c>
      <c r="N1898" s="205"/>
      <c r="O1898" s="205"/>
      <c r="P1898" s="210">
        <f>(表格3_5[[#This Row],[Out-Time2]] - 表格3_5[[#This Row],[In-Time2]])*24</f>
        <v>0</v>
      </c>
      <c r="Q1898" s="205"/>
      <c r="R1898" s="214">
        <f>_xlfn.XLOOKUP(表格3_5[[#This Row],[Name]],Name_list[Full Name],Name_list[Hourr Rate])</f>
        <v>0</v>
      </c>
      <c r="S1898" s="210">
        <f>表格3_5[[#This Row],[Hours Worked]]*表格3_5[[#This Row],[Hourly Rate]]</f>
        <v>0</v>
      </c>
    </row>
    <row r="1899" spans="1:19">
      <c r="A1899" s="201">
        <v>1897</v>
      </c>
      <c r="B1899" s="210" t="str">
        <f>_xlfn.CONCAT(表格3_5[[#This Row],[Name]],表格3_5[[#This Row],[Location]])</f>
        <v/>
      </c>
      <c r="C1899" s="211" t="str">
        <f>表格3_5[[#This Row],[Location]] &amp; 表格3_5[[#This Row],[Date]] &amp;表格3_5[[#This Row],[Nick Name]]</f>
        <v>0</v>
      </c>
      <c r="D1899" s="202"/>
      <c r="E1899" s="211" t="str">
        <f>DAY(表格3_5[[#This Row],[Date]])&amp;""</f>
        <v>0</v>
      </c>
      <c r="F1899" s="203"/>
      <c r="G1899" s="216">
        <f>_xlfn.XLOOKUP(表格3_5[[#This Row],[Name]],Name_list[Full Name],Name_list[Nick Name])</f>
        <v>0</v>
      </c>
      <c r="H1899" s="207"/>
      <c r="I1899" s="228"/>
      <c r="J1899" s="218"/>
      <c r="K1899" s="205"/>
      <c r="L1899" s="210">
        <f>(表格3_5[[#This Row],[Out-Time]] - 表格3_5[[#This Row],[In-Time]])*24</f>
        <v>0</v>
      </c>
      <c r="M1899" s="210">
        <f>表格3_5[[#This Row],[ Hours]]-表格3_5[[#This Row],[Normal working
 hours]]</f>
        <v>0</v>
      </c>
      <c r="N1899" s="205"/>
      <c r="O1899" s="205"/>
      <c r="P1899" s="210">
        <f>(表格3_5[[#This Row],[Out-Time2]] - 表格3_5[[#This Row],[In-Time2]])*24</f>
        <v>0</v>
      </c>
      <c r="Q1899" s="205"/>
      <c r="R1899" s="214">
        <f>_xlfn.XLOOKUP(表格3_5[[#This Row],[Name]],Name_list[Full Name],Name_list[Hourr Rate])</f>
        <v>0</v>
      </c>
      <c r="S1899" s="210">
        <f>表格3_5[[#This Row],[Hours Worked]]*表格3_5[[#This Row],[Hourly Rate]]</f>
        <v>0</v>
      </c>
    </row>
    <row r="1900" spans="1:19">
      <c r="A1900" s="201">
        <v>1898</v>
      </c>
      <c r="B1900" s="210" t="str">
        <f>_xlfn.CONCAT(表格3_5[[#This Row],[Name]],表格3_5[[#This Row],[Location]])</f>
        <v/>
      </c>
      <c r="C1900" s="211" t="str">
        <f>表格3_5[[#This Row],[Location]] &amp; 表格3_5[[#This Row],[Date]] &amp;表格3_5[[#This Row],[Nick Name]]</f>
        <v>0</v>
      </c>
      <c r="D1900" s="202"/>
      <c r="E1900" s="211" t="str">
        <f>DAY(表格3_5[[#This Row],[Date]])&amp;""</f>
        <v>0</v>
      </c>
      <c r="F1900" s="203"/>
      <c r="G1900" s="216">
        <f>_xlfn.XLOOKUP(表格3_5[[#This Row],[Name]],Name_list[Full Name],Name_list[Nick Name])</f>
        <v>0</v>
      </c>
      <c r="H1900" s="207"/>
      <c r="I1900" s="228"/>
      <c r="J1900" s="218"/>
      <c r="K1900" s="205"/>
      <c r="L1900" s="210">
        <f>(表格3_5[[#This Row],[Out-Time]] - 表格3_5[[#This Row],[In-Time]])*24</f>
        <v>0</v>
      </c>
      <c r="M1900" s="210">
        <f>表格3_5[[#This Row],[ Hours]]-表格3_5[[#This Row],[Normal working
 hours]]</f>
        <v>0</v>
      </c>
      <c r="N1900" s="205"/>
      <c r="O1900" s="205"/>
      <c r="P1900" s="210">
        <f>(表格3_5[[#This Row],[Out-Time2]] - 表格3_5[[#This Row],[In-Time2]])*24</f>
        <v>0</v>
      </c>
      <c r="Q1900" s="205"/>
      <c r="R1900" s="214">
        <f>_xlfn.XLOOKUP(表格3_5[[#This Row],[Name]],Name_list[Full Name],Name_list[Hourr Rate])</f>
        <v>0</v>
      </c>
      <c r="S1900" s="210">
        <f>表格3_5[[#This Row],[Hours Worked]]*表格3_5[[#This Row],[Hourly Rate]]</f>
        <v>0</v>
      </c>
    </row>
    <row r="1901" spans="1:19">
      <c r="A1901" s="201">
        <v>1899</v>
      </c>
      <c r="B1901" s="210" t="str">
        <f>_xlfn.CONCAT(表格3_5[[#This Row],[Name]],表格3_5[[#This Row],[Location]])</f>
        <v/>
      </c>
      <c r="C1901" s="211" t="str">
        <f>表格3_5[[#This Row],[Location]] &amp; 表格3_5[[#This Row],[Date]] &amp;表格3_5[[#This Row],[Nick Name]]</f>
        <v>0</v>
      </c>
      <c r="D1901" s="202"/>
      <c r="E1901" s="211" t="str">
        <f>DAY(表格3_5[[#This Row],[Date]])&amp;""</f>
        <v>0</v>
      </c>
      <c r="F1901" s="203"/>
      <c r="G1901" s="216">
        <f>_xlfn.XLOOKUP(表格3_5[[#This Row],[Name]],Name_list[Full Name],Name_list[Nick Name])</f>
        <v>0</v>
      </c>
      <c r="H1901" s="207"/>
      <c r="I1901" s="228"/>
      <c r="J1901" s="218"/>
      <c r="K1901" s="205"/>
      <c r="L1901" s="210">
        <f>(表格3_5[[#This Row],[Out-Time]] - 表格3_5[[#This Row],[In-Time]])*24</f>
        <v>0</v>
      </c>
      <c r="M1901" s="210">
        <f>表格3_5[[#This Row],[ Hours]]-表格3_5[[#This Row],[Normal working
 hours]]</f>
        <v>0</v>
      </c>
      <c r="N1901" s="205"/>
      <c r="O1901" s="205"/>
      <c r="P1901" s="210">
        <f>(表格3_5[[#This Row],[Out-Time2]] - 表格3_5[[#This Row],[In-Time2]])*24</f>
        <v>0</v>
      </c>
      <c r="Q1901" s="205"/>
      <c r="R1901" s="214">
        <f>_xlfn.XLOOKUP(表格3_5[[#This Row],[Name]],Name_list[Full Name],Name_list[Hourr Rate])</f>
        <v>0</v>
      </c>
      <c r="S1901" s="210">
        <f>表格3_5[[#This Row],[Hours Worked]]*表格3_5[[#This Row],[Hourly Rate]]</f>
        <v>0</v>
      </c>
    </row>
    <row r="1902" spans="1:19">
      <c r="A1902" s="201">
        <v>1900</v>
      </c>
      <c r="B1902" s="210" t="str">
        <f>_xlfn.CONCAT(表格3_5[[#This Row],[Name]],表格3_5[[#This Row],[Location]])</f>
        <v/>
      </c>
      <c r="C1902" s="211" t="str">
        <f>表格3_5[[#This Row],[Location]] &amp; 表格3_5[[#This Row],[Date]] &amp;表格3_5[[#This Row],[Nick Name]]</f>
        <v>0</v>
      </c>
      <c r="D1902" s="202"/>
      <c r="E1902" s="211" t="str">
        <f>DAY(表格3_5[[#This Row],[Date]])&amp;""</f>
        <v>0</v>
      </c>
      <c r="F1902" s="203"/>
      <c r="G1902" s="216">
        <f>_xlfn.XLOOKUP(表格3_5[[#This Row],[Name]],Name_list[Full Name],Name_list[Nick Name])</f>
        <v>0</v>
      </c>
      <c r="H1902" s="207"/>
      <c r="I1902" s="228"/>
      <c r="J1902" s="218"/>
      <c r="K1902" s="205"/>
      <c r="L1902" s="210">
        <f>(表格3_5[[#This Row],[Out-Time]] - 表格3_5[[#This Row],[In-Time]])*24</f>
        <v>0</v>
      </c>
      <c r="M1902" s="210">
        <f>表格3_5[[#This Row],[ Hours]]-表格3_5[[#This Row],[Normal working
 hours]]</f>
        <v>0</v>
      </c>
      <c r="N1902" s="205"/>
      <c r="O1902" s="205"/>
      <c r="P1902" s="210">
        <f>(表格3_5[[#This Row],[Out-Time2]] - 表格3_5[[#This Row],[In-Time2]])*24</f>
        <v>0</v>
      </c>
      <c r="Q1902" s="205"/>
      <c r="R1902" s="214">
        <f>_xlfn.XLOOKUP(表格3_5[[#This Row],[Name]],Name_list[Full Name],Name_list[Hourr Rate])</f>
        <v>0</v>
      </c>
      <c r="S1902" s="210">
        <f>表格3_5[[#This Row],[Hours Worked]]*表格3_5[[#This Row],[Hourly Rate]]</f>
        <v>0</v>
      </c>
    </row>
    <row r="1903" spans="1:19">
      <c r="A1903" s="201">
        <v>1901</v>
      </c>
      <c r="B1903" s="210" t="str">
        <f>_xlfn.CONCAT(表格3_5[[#This Row],[Name]],表格3_5[[#This Row],[Location]])</f>
        <v/>
      </c>
      <c r="C1903" s="211" t="str">
        <f>表格3_5[[#This Row],[Location]] &amp; 表格3_5[[#This Row],[Date]] &amp;表格3_5[[#This Row],[Nick Name]]</f>
        <v>0</v>
      </c>
      <c r="D1903" s="202"/>
      <c r="E1903" s="211" t="str">
        <f>DAY(表格3_5[[#This Row],[Date]])&amp;""</f>
        <v>0</v>
      </c>
      <c r="F1903" s="203"/>
      <c r="G1903" s="216">
        <f>_xlfn.XLOOKUP(表格3_5[[#This Row],[Name]],Name_list[Full Name],Name_list[Nick Name])</f>
        <v>0</v>
      </c>
      <c r="H1903" s="207"/>
      <c r="I1903" s="228"/>
      <c r="J1903" s="218"/>
      <c r="K1903" s="205"/>
      <c r="L1903" s="210">
        <f>(表格3_5[[#This Row],[Out-Time]] - 表格3_5[[#This Row],[In-Time]])*24</f>
        <v>0</v>
      </c>
      <c r="M1903" s="210">
        <f>表格3_5[[#This Row],[ Hours]]-表格3_5[[#This Row],[Normal working
 hours]]</f>
        <v>0</v>
      </c>
      <c r="N1903" s="205"/>
      <c r="O1903" s="205"/>
      <c r="P1903" s="210">
        <f>(表格3_5[[#This Row],[Out-Time2]] - 表格3_5[[#This Row],[In-Time2]])*24</f>
        <v>0</v>
      </c>
      <c r="Q1903" s="205"/>
      <c r="R1903" s="214">
        <f>_xlfn.XLOOKUP(表格3_5[[#This Row],[Name]],Name_list[Full Name],Name_list[Hourr Rate])</f>
        <v>0</v>
      </c>
      <c r="S1903" s="210">
        <f>表格3_5[[#This Row],[Hours Worked]]*表格3_5[[#This Row],[Hourly Rate]]</f>
        <v>0</v>
      </c>
    </row>
    <row r="1904" spans="1:19">
      <c r="A1904" s="201">
        <v>1902</v>
      </c>
      <c r="B1904" s="210" t="str">
        <f>_xlfn.CONCAT(表格3_5[[#This Row],[Name]],表格3_5[[#This Row],[Location]])</f>
        <v/>
      </c>
      <c r="C1904" s="211" t="str">
        <f>表格3_5[[#This Row],[Location]] &amp; 表格3_5[[#This Row],[Date]] &amp;表格3_5[[#This Row],[Nick Name]]</f>
        <v>0</v>
      </c>
      <c r="D1904" s="202"/>
      <c r="E1904" s="211" t="str">
        <f>DAY(表格3_5[[#This Row],[Date]])&amp;""</f>
        <v>0</v>
      </c>
      <c r="F1904" s="203"/>
      <c r="G1904" s="216">
        <f>_xlfn.XLOOKUP(表格3_5[[#This Row],[Name]],Name_list[Full Name],Name_list[Nick Name])</f>
        <v>0</v>
      </c>
      <c r="H1904" s="207"/>
      <c r="I1904" s="228"/>
      <c r="J1904" s="218"/>
      <c r="K1904" s="205"/>
      <c r="L1904" s="210">
        <f>(表格3_5[[#This Row],[Out-Time]] - 表格3_5[[#This Row],[In-Time]])*24</f>
        <v>0</v>
      </c>
      <c r="M1904" s="210">
        <f>表格3_5[[#This Row],[ Hours]]-表格3_5[[#This Row],[Normal working
 hours]]</f>
        <v>0</v>
      </c>
      <c r="N1904" s="205"/>
      <c r="O1904" s="205"/>
      <c r="P1904" s="210">
        <f>(表格3_5[[#This Row],[Out-Time2]] - 表格3_5[[#This Row],[In-Time2]])*24</f>
        <v>0</v>
      </c>
      <c r="Q1904" s="205"/>
      <c r="R1904" s="214">
        <f>_xlfn.XLOOKUP(表格3_5[[#This Row],[Name]],Name_list[Full Name],Name_list[Hourr Rate])</f>
        <v>0</v>
      </c>
      <c r="S1904" s="210">
        <f>表格3_5[[#This Row],[Hours Worked]]*表格3_5[[#This Row],[Hourly Rate]]</f>
        <v>0</v>
      </c>
    </row>
    <row r="1905" spans="1:19">
      <c r="A1905" s="201">
        <v>1903</v>
      </c>
      <c r="B1905" s="210" t="str">
        <f>_xlfn.CONCAT(表格3_5[[#This Row],[Name]],表格3_5[[#This Row],[Location]])</f>
        <v/>
      </c>
      <c r="C1905" s="211" t="str">
        <f>表格3_5[[#This Row],[Location]] &amp; 表格3_5[[#This Row],[Date]] &amp;表格3_5[[#This Row],[Nick Name]]</f>
        <v>0</v>
      </c>
      <c r="D1905" s="202"/>
      <c r="E1905" s="211" t="str">
        <f>DAY(表格3_5[[#This Row],[Date]])&amp;""</f>
        <v>0</v>
      </c>
      <c r="F1905" s="203"/>
      <c r="G1905" s="216">
        <f>_xlfn.XLOOKUP(表格3_5[[#This Row],[Name]],Name_list[Full Name],Name_list[Nick Name])</f>
        <v>0</v>
      </c>
      <c r="H1905" s="207"/>
      <c r="I1905" s="228"/>
      <c r="J1905" s="218"/>
      <c r="K1905" s="205"/>
      <c r="L1905" s="210">
        <f>(表格3_5[[#This Row],[Out-Time]] - 表格3_5[[#This Row],[In-Time]])*24</f>
        <v>0</v>
      </c>
      <c r="M1905" s="210">
        <f>表格3_5[[#This Row],[ Hours]]-表格3_5[[#This Row],[Normal working
 hours]]</f>
        <v>0</v>
      </c>
      <c r="N1905" s="205"/>
      <c r="O1905" s="205"/>
      <c r="P1905" s="210">
        <f>(表格3_5[[#This Row],[Out-Time2]] - 表格3_5[[#This Row],[In-Time2]])*24</f>
        <v>0</v>
      </c>
      <c r="Q1905" s="205"/>
      <c r="R1905" s="214">
        <f>_xlfn.XLOOKUP(表格3_5[[#This Row],[Name]],Name_list[Full Name],Name_list[Hourr Rate])</f>
        <v>0</v>
      </c>
      <c r="S1905" s="210">
        <f>表格3_5[[#This Row],[Hours Worked]]*表格3_5[[#This Row],[Hourly Rate]]</f>
        <v>0</v>
      </c>
    </row>
    <row r="1906" spans="1:19">
      <c r="A1906" s="201">
        <v>1904</v>
      </c>
      <c r="B1906" s="210" t="str">
        <f>_xlfn.CONCAT(表格3_5[[#This Row],[Name]],表格3_5[[#This Row],[Location]])</f>
        <v/>
      </c>
      <c r="C1906" s="211" t="str">
        <f>表格3_5[[#This Row],[Location]] &amp; 表格3_5[[#This Row],[Date]] &amp;表格3_5[[#This Row],[Nick Name]]</f>
        <v>0</v>
      </c>
      <c r="D1906" s="202"/>
      <c r="E1906" s="211" t="str">
        <f>DAY(表格3_5[[#This Row],[Date]])&amp;""</f>
        <v>0</v>
      </c>
      <c r="F1906" s="203"/>
      <c r="G1906" s="216">
        <f>_xlfn.XLOOKUP(表格3_5[[#This Row],[Name]],Name_list[Full Name],Name_list[Nick Name])</f>
        <v>0</v>
      </c>
      <c r="H1906" s="207"/>
      <c r="I1906" s="228"/>
      <c r="J1906" s="218"/>
      <c r="K1906" s="205"/>
      <c r="L1906" s="210">
        <f>(表格3_5[[#This Row],[Out-Time]] - 表格3_5[[#This Row],[In-Time]])*24</f>
        <v>0</v>
      </c>
      <c r="M1906" s="210">
        <f>表格3_5[[#This Row],[ Hours]]-表格3_5[[#This Row],[Normal working
 hours]]</f>
        <v>0</v>
      </c>
      <c r="N1906" s="205"/>
      <c r="O1906" s="205"/>
      <c r="P1906" s="210">
        <f>(表格3_5[[#This Row],[Out-Time2]] - 表格3_5[[#This Row],[In-Time2]])*24</f>
        <v>0</v>
      </c>
      <c r="Q1906" s="205"/>
      <c r="R1906" s="214">
        <f>_xlfn.XLOOKUP(表格3_5[[#This Row],[Name]],Name_list[Full Name],Name_list[Hourr Rate])</f>
        <v>0</v>
      </c>
      <c r="S1906" s="210">
        <f>表格3_5[[#This Row],[Hours Worked]]*表格3_5[[#This Row],[Hourly Rate]]</f>
        <v>0</v>
      </c>
    </row>
    <row r="1907" spans="1:19">
      <c r="A1907" s="201">
        <v>1905</v>
      </c>
      <c r="B1907" s="210" t="str">
        <f>_xlfn.CONCAT(表格3_5[[#This Row],[Name]],表格3_5[[#This Row],[Location]])</f>
        <v/>
      </c>
      <c r="C1907" s="211" t="str">
        <f>表格3_5[[#This Row],[Location]] &amp; 表格3_5[[#This Row],[Date]] &amp;表格3_5[[#This Row],[Nick Name]]</f>
        <v>0</v>
      </c>
      <c r="D1907" s="202"/>
      <c r="E1907" s="211" t="str">
        <f>DAY(表格3_5[[#This Row],[Date]])&amp;""</f>
        <v>0</v>
      </c>
      <c r="F1907" s="203"/>
      <c r="G1907" s="216">
        <f>_xlfn.XLOOKUP(表格3_5[[#This Row],[Name]],Name_list[Full Name],Name_list[Nick Name])</f>
        <v>0</v>
      </c>
      <c r="H1907" s="207"/>
      <c r="I1907" s="228"/>
      <c r="J1907" s="218"/>
      <c r="K1907" s="205"/>
      <c r="L1907" s="210">
        <f>(表格3_5[[#This Row],[Out-Time]] - 表格3_5[[#This Row],[In-Time]])*24</f>
        <v>0</v>
      </c>
      <c r="M1907" s="210">
        <f>表格3_5[[#This Row],[ Hours]]-表格3_5[[#This Row],[Normal working
 hours]]</f>
        <v>0</v>
      </c>
      <c r="N1907" s="205"/>
      <c r="O1907" s="205"/>
      <c r="P1907" s="210">
        <f>(表格3_5[[#This Row],[Out-Time2]] - 表格3_5[[#This Row],[In-Time2]])*24</f>
        <v>0</v>
      </c>
      <c r="Q1907" s="205"/>
      <c r="R1907" s="214">
        <f>_xlfn.XLOOKUP(表格3_5[[#This Row],[Name]],Name_list[Full Name],Name_list[Hourr Rate])</f>
        <v>0</v>
      </c>
      <c r="S1907" s="210">
        <f>表格3_5[[#This Row],[Hours Worked]]*表格3_5[[#This Row],[Hourly Rate]]</f>
        <v>0</v>
      </c>
    </row>
    <row r="1908" spans="1:19">
      <c r="A1908" s="201">
        <v>1906</v>
      </c>
      <c r="B1908" s="210" t="str">
        <f>_xlfn.CONCAT(表格3_5[[#This Row],[Name]],表格3_5[[#This Row],[Location]])</f>
        <v/>
      </c>
      <c r="C1908" s="211" t="str">
        <f>表格3_5[[#This Row],[Location]] &amp; 表格3_5[[#This Row],[Date]] &amp;表格3_5[[#This Row],[Nick Name]]</f>
        <v>0</v>
      </c>
      <c r="D1908" s="202"/>
      <c r="E1908" s="211" t="str">
        <f>DAY(表格3_5[[#This Row],[Date]])&amp;""</f>
        <v>0</v>
      </c>
      <c r="F1908" s="203"/>
      <c r="G1908" s="216">
        <f>_xlfn.XLOOKUP(表格3_5[[#This Row],[Name]],Name_list[Full Name],Name_list[Nick Name])</f>
        <v>0</v>
      </c>
      <c r="H1908" s="207"/>
      <c r="I1908" s="228"/>
      <c r="J1908" s="218"/>
      <c r="K1908" s="205"/>
      <c r="L1908" s="210">
        <f>(表格3_5[[#This Row],[Out-Time]] - 表格3_5[[#This Row],[In-Time]])*24</f>
        <v>0</v>
      </c>
      <c r="M1908" s="210">
        <f>表格3_5[[#This Row],[ Hours]]-表格3_5[[#This Row],[Normal working
 hours]]</f>
        <v>0</v>
      </c>
      <c r="N1908" s="205"/>
      <c r="O1908" s="205"/>
      <c r="P1908" s="210">
        <f>(表格3_5[[#This Row],[Out-Time2]] - 表格3_5[[#This Row],[In-Time2]])*24</f>
        <v>0</v>
      </c>
      <c r="Q1908" s="205"/>
      <c r="R1908" s="214">
        <f>_xlfn.XLOOKUP(表格3_5[[#This Row],[Name]],Name_list[Full Name],Name_list[Hourr Rate])</f>
        <v>0</v>
      </c>
      <c r="S1908" s="210">
        <f>表格3_5[[#This Row],[Hours Worked]]*表格3_5[[#This Row],[Hourly Rate]]</f>
        <v>0</v>
      </c>
    </row>
    <row r="1909" spans="1:19">
      <c r="A1909" s="201">
        <v>1907</v>
      </c>
      <c r="B1909" s="210" t="str">
        <f>_xlfn.CONCAT(表格3_5[[#This Row],[Name]],表格3_5[[#This Row],[Location]])</f>
        <v/>
      </c>
      <c r="C1909" s="211" t="str">
        <f>表格3_5[[#This Row],[Location]] &amp; 表格3_5[[#This Row],[Date]] &amp;表格3_5[[#This Row],[Nick Name]]</f>
        <v>0</v>
      </c>
      <c r="D1909" s="202"/>
      <c r="E1909" s="211" t="str">
        <f>DAY(表格3_5[[#This Row],[Date]])&amp;""</f>
        <v>0</v>
      </c>
      <c r="F1909" s="203"/>
      <c r="G1909" s="216">
        <f>_xlfn.XLOOKUP(表格3_5[[#This Row],[Name]],Name_list[Full Name],Name_list[Nick Name])</f>
        <v>0</v>
      </c>
      <c r="H1909" s="207"/>
      <c r="I1909" s="228"/>
      <c r="J1909" s="218"/>
      <c r="K1909" s="205"/>
      <c r="L1909" s="210">
        <f>(表格3_5[[#This Row],[Out-Time]] - 表格3_5[[#This Row],[In-Time]])*24</f>
        <v>0</v>
      </c>
      <c r="M1909" s="210">
        <f>表格3_5[[#This Row],[ Hours]]-表格3_5[[#This Row],[Normal working
 hours]]</f>
        <v>0</v>
      </c>
      <c r="N1909" s="205"/>
      <c r="O1909" s="205"/>
      <c r="P1909" s="210">
        <f>(表格3_5[[#This Row],[Out-Time2]] - 表格3_5[[#This Row],[In-Time2]])*24</f>
        <v>0</v>
      </c>
      <c r="Q1909" s="205"/>
      <c r="R1909" s="214">
        <f>_xlfn.XLOOKUP(表格3_5[[#This Row],[Name]],Name_list[Full Name],Name_list[Hourr Rate])</f>
        <v>0</v>
      </c>
      <c r="S1909" s="210">
        <f>表格3_5[[#This Row],[Hours Worked]]*表格3_5[[#This Row],[Hourly Rate]]</f>
        <v>0</v>
      </c>
    </row>
    <row r="1910" spans="1:19">
      <c r="A1910" s="201">
        <v>1908</v>
      </c>
      <c r="B1910" s="210" t="str">
        <f>_xlfn.CONCAT(表格3_5[[#This Row],[Name]],表格3_5[[#This Row],[Location]])</f>
        <v/>
      </c>
      <c r="C1910" s="211" t="str">
        <f>表格3_5[[#This Row],[Location]] &amp; 表格3_5[[#This Row],[Date]] &amp;表格3_5[[#This Row],[Nick Name]]</f>
        <v>0</v>
      </c>
      <c r="D1910" s="202"/>
      <c r="E1910" s="211" t="str">
        <f>DAY(表格3_5[[#This Row],[Date]])&amp;""</f>
        <v>0</v>
      </c>
      <c r="F1910" s="203"/>
      <c r="G1910" s="216">
        <f>_xlfn.XLOOKUP(表格3_5[[#This Row],[Name]],Name_list[Full Name],Name_list[Nick Name])</f>
        <v>0</v>
      </c>
      <c r="H1910" s="207"/>
      <c r="I1910" s="228"/>
      <c r="J1910" s="218"/>
      <c r="K1910" s="205"/>
      <c r="L1910" s="210">
        <f>(表格3_5[[#This Row],[Out-Time]] - 表格3_5[[#This Row],[In-Time]])*24</f>
        <v>0</v>
      </c>
      <c r="M1910" s="210">
        <f>表格3_5[[#This Row],[ Hours]]-表格3_5[[#This Row],[Normal working
 hours]]</f>
        <v>0</v>
      </c>
      <c r="N1910" s="205"/>
      <c r="O1910" s="205"/>
      <c r="P1910" s="210">
        <f>(表格3_5[[#This Row],[Out-Time2]] - 表格3_5[[#This Row],[In-Time2]])*24</f>
        <v>0</v>
      </c>
      <c r="Q1910" s="205"/>
      <c r="R1910" s="214">
        <f>_xlfn.XLOOKUP(表格3_5[[#This Row],[Name]],Name_list[Full Name],Name_list[Hourr Rate])</f>
        <v>0</v>
      </c>
      <c r="S1910" s="210">
        <f>表格3_5[[#This Row],[Hours Worked]]*表格3_5[[#This Row],[Hourly Rate]]</f>
        <v>0</v>
      </c>
    </row>
    <row r="1911" spans="1:19">
      <c r="A1911" s="201">
        <v>1909</v>
      </c>
      <c r="B1911" s="210" t="str">
        <f>_xlfn.CONCAT(表格3_5[[#This Row],[Name]],表格3_5[[#This Row],[Location]])</f>
        <v/>
      </c>
      <c r="C1911" s="211" t="str">
        <f>表格3_5[[#This Row],[Location]] &amp; 表格3_5[[#This Row],[Date]] &amp;表格3_5[[#This Row],[Nick Name]]</f>
        <v>0</v>
      </c>
      <c r="D1911" s="202"/>
      <c r="E1911" s="211" t="str">
        <f>DAY(表格3_5[[#This Row],[Date]])&amp;""</f>
        <v>0</v>
      </c>
      <c r="F1911" s="203"/>
      <c r="G1911" s="216">
        <f>_xlfn.XLOOKUP(表格3_5[[#This Row],[Name]],Name_list[Full Name],Name_list[Nick Name])</f>
        <v>0</v>
      </c>
      <c r="H1911" s="207"/>
      <c r="I1911" s="228"/>
      <c r="J1911" s="218"/>
      <c r="K1911" s="205"/>
      <c r="L1911" s="210">
        <f>(表格3_5[[#This Row],[Out-Time]] - 表格3_5[[#This Row],[In-Time]])*24</f>
        <v>0</v>
      </c>
      <c r="M1911" s="210">
        <f>表格3_5[[#This Row],[ Hours]]-表格3_5[[#This Row],[Normal working
 hours]]</f>
        <v>0</v>
      </c>
      <c r="N1911" s="205"/>
      <c r="O1911" s="205"/>
      <c r="P1911" s="210">
        <f>(表格3_5[[#This Row],[Out-Time2]] - 表格3_5[[#This Row],[In-Time2]])*24</f>
        <v>0</v>
      </c>
      <c r="Q1911" s="205"/>
      <c r="R1911" s="214">
        <f>_xlfn.XLOOKUP(表格3_5[[#This Row],[Name]],Name_list[Full Name],Name_list[Hourr Rate])</f>
        <v>0</v>
      </c>
      <c r="S1911" s="210">
        <f>表格3_5[[#This Row],[Hours Worked]]*表格3_5[[#This Row],[Hourly Rate]]</f>
        <v>0</v>
      </c>
    </row>
    <row r="1912" spans="1:19">
      <c r="A1912" s="201">
        <v>1910</v>
      </c>
      <c r="B1912" s="210" t="str">
        <f>_xlfn.CONCAT(表格3_5[[#This Row],[Name]],表格3_5[[#This Row],[Location]])</f>
        <v/>
      </c>
      <c r="C1912" s="211" t="str">
        <f>表格3_5[[#This Row],[Location]] &amp; 表格3_5[[#This Row],[Date]] &amp;表格3_5[[#This Row],[Nick Name]]</f>
        <v>0</v>
      </c>
      <c r="D1912" s="202"/>
      <c r="E1912" s="211" t="str">
        <f>DAY(表格3_5[[#This Row],[Date]])&amp;""</f>
        <v>0</v>
      </c>
      <c r="F1912" s="203"/>
      <c r="G1912" s="216">
        <f>_xlfn.XLOOKUP(表格3_5[[#This Row],[Name]],Name_list[Full Name],Name_list[Nick Name])</f>
        <v>0</v>
      </c>
      <c r="H1912" s="207"/>
      <c r="I1912" s="228"/>
      <c r="J1912" s="218"/>
      <c r="K1912" s="205"/>
      <c r="L1912" s="210">
        <f>(表格3_5[[#This Row],[Out-Time]] - 表格3_5[[#This Row],[In-Time]])*24</f>
        <v>0</v>
      </c>
      <c r="M1912" s="210">
        <f>表格3_5[[#This Row],[ Hours]]-表格3_5[[#This Row],[Normal working
 hours]]</f>
        <v>0</v>
      </c>
      <c r="N1912" s="205"/>
      <c r="O1912" s="205"/>
      <c r="P1912" s="210">
        <f>(表格3_5[[#This Row],[Out-Time2]] - 表格3_5[[#This Row],[In-Time2]])*24</f>
        <v>0</v>
      </c>
      <c r="Q1912" s="205"/>
      <c r="R1912" s="214">
        <f>_xlfn.XLOOKUP(表格3_5[[#This Row],[Name]],Name_list[Full Name],Name_list[Hourr Rate])</f>
        <v>0</v>
      </c>
      <c r="S1912" s="210">
        <f>表格3_5[[#This Row],[Hours Worked]]*表格3_5[[#This Row],[Hourly Rate]]</f>
        <v>0</v>
      </c>
    </row>
    <row r="1913" spans="1:19">
      <c r="A1913" s="201">
        <v>1911</v>
      </c>
      <c r="B1913" s="210" t="str">
        <f>_xlfn.CONCAT(表格3_5[[#This Row],[Name]],表格3_5[[#This Row],[Location]])</f>
        <v/>
      </c>
      <c r="C1913" s="211" t="str">
        <f>表格3_5[[#This Row],[Location]] &amp; 表格3_5[[#This Row],[Date]] &amp;表格3_5[[#This Row],[Nick Name]]</f>
        <v>0</v>
      </c>
      <c r="D1913" s="202"/>
      <c r="E1913" s="211" t="str">
        <f>DAY(表格3_5[[#This Row],[Date]])&amp;""</f>
        <v>0</v>
      </c>
      <c r="F1913" s="203"/>
      <c r="G1913" s="216">
        <f>_xlfn.XLOOKUP(表格3_5[[#This Row],[Name]],Name_list[Full Name],Name_list[Nick Name])</f>
        <v>0</v>
      </c>
      <c r="H1913" s="207"/>
      <c r="I1913" s="228"/>
      <c r="J1913" s="218"/>
      <c r="K1913" s="205"/>
      <c r="L1913" s="210">
        <f>(表格3_5[[#This Row],[Out-Time]] - 表格3_5[[#This Row],[In-Time]])*24</f>
        <v>0</v>
      </c>
      <c r="M1913" s="210">
        <f>表格3_5[[#This Row],[ Hours]]-表格3_5[[#This Row],[Normal working
 hours]]</f>
        <v>0</v>
      </c>
      <c r="N1913" s="205"/>
      <c r="O1913" s="205"/>
      <c r="P1913" s="210">
        <f>(表格3_5[[#This Row],[Out-Time2]] - 表格3_5[[#This Row],[In-Time2]])*24</f>
        <v>0</v>
      </c>
      <c r="Q1913" s="205"/>
      <c r="R1913" s="214">
        <f>_xlfn.XLOOKUP(表格3_5[[#This Row],[Name]],Name_list[Full Name],Name_list[Hourr Rate])</f>
        <v>0</v>
      </c>
      <c r="S1913" s="210">
        <f>表格3_5[[#This Row],[Hours Worked]]*表格3_5[[#This Row],[Hourly Rate]]</f>
        <v>0</v>
      </c>
    </row>
    <row r="1914" spans="1:19">
      <c r="A1914" s="201">
        <v>1912</v>
      </c>
      <c r="B1914" s="210" t="str">
        <f>_xlfn.CONCAT(表格3_5[[#This Row],[Name]],表格3_5[[#This Row],[Location]])</f>
        <v/>
      </c>
      <c r="C1914" s="211" t="str">
        <f>表格3_5[[#This Row],[Location]] &amp; 表格3_5[[#This Row],[Date]] &amp;表格3_5[[#This Row],[Nick Name]]</f>
        <v>0</v>
      </c>
      <c r="D1914" s="202"/>
      <c r="E1914" s="211" t="str">
        <f>DAY(表格3_5[[#This Row],[Date]])&amp;""</f>
        <v>0</v>
      </c>
      <c r="F1914" s="203"/>
      <c r="G1914" s="216">
        <f>_xlfn.XLOOKUP(表格3_5[[#This Row],[Name]],Name_list[Full Name],Name_list[Nick Name])</f>
        <v>0</v>
      </c>
      <c r="H1914" s="207"/>
      <c r="I1914" s="228"/>
      <c r="J1914" s="218"/>
      <c r="K1914" s="205"/>
      <c r="L1914" s="210">
        <f>(表格3_5[[#This Row],[Out-Time]] - 表格3_5[[#This Row],[In-Time]])*24</f>
        <v>0</v>
      </c>
      <c r="M1914" s="210">
        <f>表格3_5[[#This Row],[ Hours]]-表格3_5[[#This Row],[Normal working
 hours]]</f>
        <v>0</v>
      </c>
      <c r="N1914" s="205"/>
      <c r="O1914" s="205"/>
      <c r="P1914" s="210">
        <f>(表格3_5[[#This Row],[Out-Time2]] - 表格3_5[[#This Row],[In-Time2]])*24</f>
        <v>0</v>
      </c>
      <c r="Q1914" s="205"/>
      <c r="R1914" s="214">
        <f>_xlfn.XLOOKUP(表格3_5[[#This Row],[Name]],Name_list[Full Name],Name_list[Hourr Rate])</f>
        <v>0</v>
      </c>
      <c r="S1914" s="210">
        <f>表格3_5[[#This Row],[Hours Worked]]*表格3_5[[#This Row],[Hourly Rate]]</f>
        <v>0</v>
      </c>
    </row>
    <row r="1915" spans="1:19">
      <c r="A1915" s="201">
        <v>1913</v>
      </c>
      <c r="B1915" s="210" t="str">
        <f>_xlfn.CONCAT(表格3_5[[#This Row],[Name]],表格3_5[[#This Row],[Location]])</f>
        <v/>
      </c>
      <c r="C1915" s="211" t="str">
        <f>表格3_5[[#This Row],[Location]] &amp; 表格3_5[[#This Row],[Date]] &amp;表格3_5[[#This Row],[Nick Name]]</f>
        <v>0</v>
      </c>
      <c r="D1915" s="202"/>
      <c r="E1915" s="211" t="str">
        <f>DAY(表格3_5[[#This Row],[Date]])&amp;""</f>
        <v>0</v>
      </c>
      <c r="F1915" s="203"/>
      <c r="G1915" s="216">
        <f>_xlfn.XLOOKUP(表格3_5[[#This Row],[Name]],Name_list[Full Name],Name_list[Nick Name])</f>
        <v>0</v>
      </c>
      <c r="H1915" s="207"/>
      <c r="I1915" s="228"/>
      <c r="J1915" s="218"/>
      <c r="K1915" s="205"/>
      <c r="L1915" s="210">
        <f>(表格3_5[[#This Row],[Out-Time]] - 表格3_5[[#This Row],[In-Time]])*24</f>
        <v>0</v>
      </c>
      <c r="M1915" s="210">
        <f>表格3_5[[#This Row],[ Hours]]-表格3_5[[#This Row],[Normal working
 hours]]</f>
        <v>0</v>
      </c>
      <c r="N1915" s="205"/>
      <c r="O1915" s="205"/>
      <c r="P1915" s="210">
        <f>(表格3_5[[#This Row],[Out-Time2]] - 表格3_5[[#This Row],[In-Time2]])*24</f>
        <v>0</v>
      </c>
      <c r="Q1915" s="205"/>
      <c r="R1915" s="214">
        <f>_xlfn.XLOOKUP(表格3_5[[#This Row],[Name]],Name_list[Full Name],Name_list[Hourr Rate])</f>
        <v>0</v>
      </c>
      <c r="S1915" s="210">
        <f>表格3_5[[#This Row],[Hours Worked]]*表格3_5[[#This Row],[Hourly Rate]]</f>
        <v>0</v>
      </c>
    </row>
    <row r="1916" spans="1:19">
      <c r="A1916" s="201">
        <v>1914</v>
      </c>
      <c r="B1916" s="210" t="str">
        <f>_xlfn.CONCAT(表格3_5[[#This Row],[Name]],表格3_5[[#This Row],[Location]])</f>
        <v/>
      </c>
      <c r="C1916" s="211" t="str">
        <f>表格3_5[[#This Row],[Location]] &amp; 表格3_5[[#This Row],[Date]] &amp;表格3_5[[#This Row],[Nick Name]]</f>
        <v>0</v>
      </c>
      <c r="D1916" s="202"/>
      <c r="E1916" s="211" t="str">
        <f>DAY(表格3_5[[#This Row],[Date]])&amp;""</f>
        <v>0</v>
      </c>
      <c r="F1916" s="203"/>
      <c r="G1916" s="216">
        <f>_xlfn.XLOOKUP(表格3_5[[#This Row],[Name]],Name_list[Full Name],Name_list[Nick Name])</f>
        <v>0</v>
      </c>
      <c r="H1916" s="207"/>
      <c r="I1916" s="228"/>
      <c r="J1916" s="218"/>
      <c r="K1916" s="205"/>
      <c r="L1916" s="210">
        <f>(表格3_5[[#This Row],[Out-Time]] - 表格3_5[[#This Row],[In-Time]])*24</f>
        <v>0</v>
      </c>
      <c r="M1916" s="210">
        <f>表格3_5[[#This Row],[ Hours]]-表格3_5[[#This Row],[Normal working
 hours]]</f>
        <v>0</v>
      </c>
      <c r="N1916" s="205"/>
      <c r="O1916" s="205"/>
      <c r="P1916" s="210">
        <f>(表格3_5[[#This Row],[Out-Time2]] - 表格3_5[[#This Row],[In-Time2]])*24</f>
        <v>0</v>
      </c>
      <c r="Q1916" s="205"/>
      <c r="R1916" s="214">
        <f>_xlfn.XLOOKUP(表格3_5[[#This Row],[Name]],Name_list[Full Name],Name_list[Hourr Rate])</f>
        <v>0</v>
      </c>
      <c r="S1916" s="210">
        <f>表格3_5[[#This Row],[Hours Worked]]*表格3_5[[#This Row],[Hourly Rate]]</f>
        <v>0</v>
      </c>
    </row>
    <row r="1917" spans="1:19">
      <c r="A1917" s="201">
        <v>1915</v>
      </c>
      <c r="B1917" s="210" t="str">
        <f>_xlfn.CONCAT(表格3_5[[#This Row],[Name]],表格3_5[[#This Row],[Location]])</f>
        <v/>
      </c>
      <c r="C1917" s="211" t="str">
        <f>表格3_5[[#This Row],[Location]] &amp; 表格3_5[[#This Row],[Date]] &amp;表格3_5[[#This Row],[Nick Name]]</f>
        <v>0</v>
      </c>
      <c r="D1917" s="202"/>
      <c r="E1917" s="211" t="str">
        <f>DAY(表格3_5[[#This Row],[Date]])&amp;""</f>
        <v>0</v>
      </c>
      <c r="F1917" s="203"/>
      <c r="G1917" s="216">
        <f>_xlfn.XLOOKUP(表格3_5[[#This Row],[Name]],Name_list[Full Name],Name_list[Nick Name])</f>
        <v>0</v>
      </c>
      <c r="H1917" s="207"/>
      <c r="I1917" s="228"/>
      <c r="J1917" s="218"/>
      <c r="K1917" s="205"/>
      <c r="L1917" s="210">
        <f>(表格3_5[[#This Row],[Out-Time]] - 表格3_5[[#This Row],[In-Time]])*24</f>
        <v>0</v>
      </c>
      <c r="M1917" s="210">
        <f>表格3_5[[#This Row],[ Hours]]-表格3_5[[#This Row],[Normal working
 hours]]</f>
        <v>0</v>
      </c>
      <c r="N1917" s="205"/>
      <c r="O1917" s="205"/>
      <c r="P1917" s="210">
        <f>(表格3_5[[#This Row],[Out-Time2]] - 表格3_5[[#This Row],[In-Time2]])*24</f>
        <v>0</v>
      </c>
      <c r="Q1917" s="205"/>
      <c r="R1917" s="214">
        <f>_xlfn.XLOOKUP(表格3_5[[#This Row],[Name]],Name_list[Full Name],Name_list[Hourr Rate])</f>
        <v>0</v>
      </c>
      <c r="S1917" s="210">
        <f>表格3_5[[#This Row],[Hours Worked]]*表格3_5[[#This Row],[Hourly Rate]]</f>
        <v>0</v>
      </c>
    </row>
    <row r="1918" spans="1:19">
      <c r="A1918" s="201">
        <v>1916</v>
      </c>
      <c r="B1918" s="210" t="str">
        <f>_xlfn.CONCAT(表格3_5[[#This Row],[Name]],表格3_5[[#This Row],[Location]])</f>
        <v/>
      </c>
      <c r="C1918" s="211" t="str">
        <f>表格3_5[[#This Row],[Location]] &amp; 表格3_5[[#This Row],[Date]] &amp;表格3_5[[#This Row],[Nick Name]]</f>
        <v>0</v>
      </c>
      <c r="D1918" s="202"/>
      <c r="E1918" s="211" t="str">
        <f>DAY(表格3_5[[#This Row],[Date]])&amp;""</f>
        <v>0</v>
      </c>
      <c r="F1918" s="203"/>
      <c r="G1918" s="216">
        <f>_xlfn.XLOOKUP(表格3_5[[#This Row],[Name]],Name_list[Full Name],Name_list[Nick Name])</f>
        <v>0</v>
      </c>
      <c r="H1918" s="207"/>
      <c r="I1918" s="228"/>
      <c r="J1918" s="218"/>
      <c r="K1918" s="205"/>
      <c r="L1918" s="210">
        <f>(表格3_5[[#This Row],[Out-Time]] - 表格3_5[[#This Row],[In-Time]])*24</f>
        <v>0</v>
      </c>
      <c r="M1918" s="210">
        <f>表格3_5[[#This Row],[ Hours]]-表格3_5[[#This Row],[Normal working
 hours]]</f>
        <v>0</v>
      </c>
      <c r="N1918" s="205"/>
      <c r="O1918" s="205"/>
      <c r="P1918" s="210">
        <f>(表格3_5[[#This Row],[Out-Time2]] - 表格3_5[[#This Row],[In-Time2]])*24</f>
        <v>0</v>
      </c>
      <c r="Q1918" s="205"/>
      <c r="R1918" s="214">
        <f>_xlfn.XLOOKUP(表格3_5[[#This Row],[Name]],Name_list[Full Name],Name_list[Hourr Rate])</f>
        <v>0</v>
      </c>
      <c r="S1918" s="210">
        <f>表格3_5[[#This Row],[Hours Worked]]*表格3_5[[#This Row],[Hourly Rate]]</f>
        <v>0</v>
      </c>
    </row>
    <row r="1919" spans="1:19">
      <c r="A1919" s="201">
        <v>1917</v>
      </c>
      <c r="B1919" s="210" t="str">
        <f>_xlfn.CONCAT(表格3_5[[#This Row],[Name]],表格3_5[[#This Row],[Location]])</f>
        <v/>
      </c>
      <c r="C1919" s="211" t="str">
        <f>表格3_5[[#This Row],[Location]] &amp; 表格3_5[[#This Row],[Date]] &amp;表格3_5[[#This Row],[Nick Name]]</f>
        <v>0</v>
      </c>
      <c r="D1919" s="202"/>
      <c r="E1919" s="211" t="str">
        <f>DAY(表格3_5[[#This Row],[Date]])&amp;""</f>
        <v>0</v>
      </c>
      <c r="F1919" s="203"/>
      <c r="G1919" s="216">
        <f>_xlfn.XLOOKUP(表格3_5[[#This Row],[Name]],Name_list[Full Name],Name_list[Nick Name])</f>
        <v>0</v>
      </c>
      <c r="H1919" s="207"/>
      <c r="I1919" s="228"/>
      <c r="J1919" s="218"/>
      <c r="K1919" s="205"/>
      <c r="L1919" s="210">
        <f>(表格3_5[[#This Row],[Out-Time]] - 表格3_5[[#This Row],[In-Time]])*24</f>
        <v>0</v>
      </c>
      <c r="M1919" s="210">
        <f>表格3_5[[#This Row],[ Hours]]-表格3_5[[#This Row],[Normal working
 hours]]</f>
        <v>0</v>
      </c>
      <c r="N1919" s="205"/>
      <c r="O1919" s="205"/>
      <c r="P1919" s="210">
        <f>(表格3_5[[#This Row],[Out-Time2]] - 表格3_5[[#This Row],[In-Time2]])*24</f>
        <v>0</v>
      </c>
      <c r="Q1919" s="205"/>
      <c r="R1919" s="214">
        <f>_xlfn.XLOOKUP(表格3_5[[#This Row],[Name]],Name_list[Full Name],Name_list[Hourr Rate])</f>
        <v>0</v>
      </c>
      <c r="S1919" s="210">
        <f>表格3_5[[#This Row],[Hours Worked]]*表格3_5[[#This Row],[Hourly Rate]]</f>
        <v>0</v>
      </c>
    </row>
    <row r="1920" spans="1:19">
      <c r="A1920" s="201">
        <v>1918</v>
      </c>
      <c r="B1920" s="210" t="str">
        <f>_xlfn.CONCAT(表格3_5[[#This Row],[Name]],表格3_5[[#This Row],[Location]])</f>
        <v/>
      </c>
      <c r="C1920" s="211" t="str">
        <f>表格3_5[[#This Row],[Location]] &amp; 表格3_5[[#This Row],[Date]] &amp;表格3_5[[#This Row],[Nick Name]]</f>
        <v>0</v>
      </c>
      <c r="D1920" s="202"/>
      <c r="E1920" s="211" t="str">
        <f>DAY(表格3_5[[#This Row],[Date]])&amp;""</f>
        <v>0</v>
      </c>
      <c r="F1920" s="203"/>
      <c r="G1920" s="216">
        <f>_xlfn.XLOOKUP(表格3_5[[#This Row],[Name]],Name_list[Full Name],Name_list[Nick Name])</f>
        <v>0</v>
      </c>
      <c r="H1920" s="207"/>
      <c r="I1920" s="228"/>
      <c r="J1920" s="218"/>
      <c r="K1920" s="205"/>
      <c r="L1920" s="210">
        <f>(表格3_5[[#This Row],[Out-Time]] - 表格3_5[[#This Row],[In-Time]])*24</f>
        <v>0</v>
      </c>
      <c r="M1920" s="210">
        <f>表格3_5[[#This Row],[ Hours]]-表格3_5[[#This Row],[Normal working
 hours]]</f>
        <v>0</v>
      </c>
      <c r="N1920" s="205"/>
      <c r="O1920" s="205"/>
      <c r="P1920" s="210">
        <f>(表格3_5[[#This Row],[Out-Time2]] - 表格3_5[[#This Row],[In-Time2]])*24</f>
        <v>0</v>
      </c>
      <c r="Q1920" s="205"/>
      <c r="R1920" s="214">
        <f>_xlfn.XLOOKUP(表格3_5[[#This Row],[Name]],Name_list[Full Name],Name_list[Hourr Rate])</f>
        <v>0</v>
      </c>
      <c r="S1920" s="210">
        <f>表格3_5[[#This Row],[Hours Worked]]*表格3_5[[#This Row],[Hourly Rate]]</f>
        <v>0</v>
      </c>
    </row>
    <row r="1921" spans="1:19">
      <c r="A1921" s="201">
        <v>1919</v>
      </c>
      <c r="B1921" s="210" t="str">
        <f>_xlfn.CONCAT(表格3_5[[#This Row],[Name]],表格3_5[[#This Row],[Location]])</f>
        <v/>
      </c>
      <c r="C1921" s="211" t="str">
        <f>表格3_5[[#This Row],[Location]] &amp; 表格3_5[[#This Row],[Date]] &amp;表格3_5[[#This Row],[Nick Name]]</f>
        <v>0</v>
      </c>
      <c r="D1921" s="202"/>
      <c r="E1921" s="211" t="str">
        <f>DAY(表格3_5[[#This Row],[Date]])&amp;""</f>
        <v>0</v>
      </c>
      <c r="F1921" s="203"/>
      <c r="G1921" s="216">
        <f>_xlfn.XLOOKUP(表格3_5[[#This Row],[Name]],Name_list[Full Name],Name_list[Nick Name])</f>
        <v>0</v>
      </c>
      <c r="H1921" s="207"/>
      <c r="I1921" s="228"/>
      <c r="J1921" s="218"/>
      <c r="K1921" s="205"/>
      <c r="L1921" s="210">
        <f>(表格3_5[[#This Row],[Out-Time]] - 表格3_5[[#This Row],[In-Time]])*24</f>
        <v>0</v>
      </c>
      <c r="M1921" s="210">
        <f>表格3_5[[#This Row],[ Hours]]-表格3_5[[#This Row],[Normal working
 hours]]</f>
        <v>0</v>
      </c>
      <c r="N1921" s="205"/>
      <c r="O1921" s="205"/>
      <c r="P1921" s="210">
        <f>(表格3_5[[#This Row],[Out-Time2]] - 表格3_5[[#This Row],[In-Time2]])*24</f>
        <v>0</v>
      </c>
      <c r="Q1921" s="205"/>
      <c r="R1921" s="214">
        <f>_xlfn.XLOOKUP(表格3_5[[#This Row],[Name]],Name_list[Full Name],Name_list[Hourr Rate])</f>
        <v>0</v>
      </c>
      <c r="S1921" s="210">
        <f>表格3_5[[#This Row],[Hours Worked]]*表格3_5[[#This Row],[Hourly Rate]]</f>
        <v>0</v>
      </c>
    </row>
    <row r="1922" spans="1:19">
      <c r="A1922" s="201">
        <v>1920</v>
      </c>
      <c r="B1922" s="210" t="str">
        <f>_xlfn.CONCAT(表格3_5[[#This Row],[Name]],表格3_5[[#This Row],[Location]])</f>
        <v/>
      </c>
      <c r="C1922" s="211" t="str">
        <f>表格3_5[[#This Row],[Location]] &amp; 表格3_5[[#This Row],[Date]] &amp;表格3_5[[#This Row],[Nick Name]]</f>
        <v>0</v>
      </c>
      <c r="D1922" s="202"/>
      <c r="E1922" s="211" t="str">
        <f>DAY(表格3_5[[#This Row],[Date]])&amp;""</f>
        <v>0</v>
      </c>
      <c r="F1922" s="203"/>
      <c r="G1922" s="216">
        <f>_xlfn.XLOOKUP(表格3_5[[#This Row],[Name]],Name_list[Full Name],Name_list[Nick Name])</f>
        <v>0</v>
      </c>
      <c r="H1922" s="207"/>
      <c r="I1922" s="228"/>
      <c r="J1922" s="218"/>
      <c r="K1922" s="205"/>
      <c r="L1922" s="210">
        <f>(表格3_5[[#This Row],[Out-Time]] - 表格3_5[[#This Row],[In-Time]])*24</f>
        <v>0</v>
      </c>
      <c r="M1922" s="210">
        <f>表格3_5[[#This Row],[ Hours]]-表格3_5[[#This Row],[Normal working
 hours]]</f>
        <v>0</v>
      </c>
      <c r="N1922" s="205"/>
      <c r="O1922" s="205"/>
      <c r="P1922" s="210">
        <f>(表格3_5[[#This Row],[Out-Time2]] - 表格3_5[[#This Row],[In-Time2]])*24</f>
        <v>0</v>
      </c>
      <c r="Q1922" s="205"/>
      <c r="R1922" s="214">
        <f>_xlfn.XLOOKUP(表格3_5[[#This Row],[Name]],Name_list[Full Name],Name_list[Hourr Rate])</f>
        <v>0</v>
      </c>
      <c r="S1922" s="210">
        <f>表格3_5[[#This Row],[Hours Worked]]*表格3_5[[#This Row],[Hourly Rate]]</f>
        <v>0</v>
      </c>
    </row>
    <row r="1923" spans="1:19">
      <c r="A1923" s="201">
        <v>1921</v>
      </c>
      <c r="B1923" s="210" t="str">
        <f>_xlfn.CONCAT(表格3_5[[#This Row],[Name]],表格3_5[[#This Row],[Location]])</f>
        <v/>
      </c>
      <c r="C1923" s="211" t="str">
        <f>表格3_5[[#This Row],[Location]] &amp; 表格3_5[[#This Row],[Date]] &amp;表格3_5[[#This Row],[Nick Name]]</f>
        <v>0</v>
      </c>
      <c r="D1923" s="202"/>
      <c r="E1923" s="211" t="str">
        <f>DAY(表格3_5[[#This Row],[Date]])&amp;""</f>
        <v>0</v>
      </c>
      <c r="F1923" s="203"/>
      <c r="G1923" s="216">
        <f>_xlfn.XLOOKUP(表格3_5[[#This Row],[Name]],Name_list[Full Name],Name_list[Nick Name])</f>
        <v>0</v>
      </c>
      <c r="H1923" s="207"/>
      <c r="I1923" s="228"/>
      <c r="J1923" s="218"/>
      <c r="K1923" s="205"/>
      <c r="L1923" s="210">
        <f>(表格3_5[[#This Row],[Out-Time]] - 表格3_5[[#This Row],[In-Time]])*24</f>
        <v>0</v>
      </c>
      <c r="M1923" s="210">
        <f>表格3_5[[#This Row],[ Hours]]-表格3_5[[#This Row],[Normal working
 hours]]</f>
        <v>0</v>
      </c>
      <c r="N1923" s="205"/>
      <c r="O1923" s="205"/>
      <c r="P1923" s="210">
        <f>(表格3_5[[#This Row],[Out-Time2]] - 表格3_5[[#This Row],[In-Time2]])*24</f>
        <v>0</v>
      </c>
      <c r="Q1923" s="205"/>
      <c r="R1923" s="214">
        <f>_xlfn.XLOOKUP(表格3_5[[#This Row],[Name]],Name_list[Full Name],Name_list[Hourr Rate])</f>
        <v>0</v>
      </c>
      <c r="S1923" s="210">
        <f>表格3_5[[#This Row],[Hours Worked]]*表格3_5[[#This Row],[Hourly Rate]]</f>
        <v>0</v>
      </c>
    </row>
    <row r="1924" spans="1:19">
      <c r="A1924" s="201">
        <v>1922</v>
      </c>
      <c r="B1924" s="210" t="str">
        <f>_xlfn.CONCAT(表格3_5[[#This Row],[Name]],表格3_5[[#This Row],[Location]])</f>
        <v/>
      </c>
      <c r="C1924" s="211" t="str">
        <f>表格3_5[[#This Row],[Location]] &amp; 表格3_5[[#This Row],[Date]] &amp;表格3_5[[#This Row],[Nick Name]]</f>
        <v>0</v>
      </c>
      <c r="D1924" s="202"/>
      <c r="E1924" s="211" t="str">
        <f>DAY(表格3_5[[#This Row],[Date]])&amp;""</f>
        <v>0</v>
      </c>
      <c r="F1924" s="203"/>
      <c r="G1924" s="216">
        <f>_xlfn.XLOOKUP(表格3_5[[#This Row],[Name]],Name_list[Full Name],Name_list[Nick Name])</f>
        <v>0</v>
      </c>
      <c r="H1924" s="207"/>
      <c r="I1924" s="228"/>
      <c r="J1924" s="218"/>
      <c r="K1924" s="205"/>
      <c r="L1924" s="210">
        <f>(表格3_5[[#This Row],[Out-Time]] - 表格3_5[[#This Row],[In-Time]])*24</f>
        <v>0</v>
      </c>
      <c r="M1924" s="210">
        <f>表格3_5[[#This Row],[ Hours]]-表格3_5[[#This Row],[Normal working
 hours]]</f>
        <v>0</v>
      </c>
      <c r="N1924" s="205"/>
      <c r="O1924" s="205"/>
      <c r="P1924" s="210">
        <f>(表格3_5[[#This Row],[Out-Time2]] - 表格3_5[[#This Row],[In-Time2]])*24</f>
        <v>0</v>
      </c>
      <c r="Q1924" s="205"/>
      <c r="R1924" s="214">
        <f>_xlfn.XLOOKUP(表格3_5[[#This Row],[Name]],Name_list[Full Name],Name_list[Hourr Rate])</f>
        <v>0</v>
      </c>
      <c r="S1924" s="210">
        <f>表格3_5[[#This Row],[Hours Worked]]*表格3_5[[#This Row],[Hourly Rate]]</f>
        <v>0</v>
      </c>
    </row>
    <row r="1925" spans="1:19">
      <c r="A1925" s="201">
        <v>1923</v>
      </c>
      <c r="B1925" s="210" t="str">
        <f>_xlfn.CONCAT(表格3_5[[#This Row],[Name]],表格3_5[[#This Row],[Location]])</f>
        <v/>
      </c>
      <c r="C1925" s="211" t="str">
        <f>表格3_5[[#This Row],[Location]] &amp; 表格3_5[[#This Row],[Date]] &amp;表格3_5[[#This Row],[Nick Name]]</f>
        <v>0</v>
      </c>
      <c r="D1925" s="202"/>
      <c r="E1925" s="211" t="str">
        <f>DAY(表格3_5[[#This Row],[Date]])&amp;""</f>
        <v>0</v>
      </c>
      <c r="F1925" s="203"/>
      <c r="G1925" s="216">
        <f>_xlfn.XLOOKUP(表格3_5[[#This Row],[Name]],Name_list[Full Name],Name_list[Nick Name])</f>
        <v>0</v>
      </c>
      <c r="H1925" s="207"/>
      <c r="I1925" s="228"/>
      <c r="J1925" s="218"/>
      <c r="K1925" s="205"/>
      <c r="L1925" s="210">
        <f>(表格3_5[[#This Row],[Out-Time]] - 表格3_5[[#This Row],[In-Time]])*24</f>
        <v>0</v>
      </c>
      <c r="M1925" s="210">
        <f>表格3_5[[#This Row],[ Hours]]-表格3_5[[#This Row],[Normal working
 hours]]</f>
        <v>0</v>
      </c>
      <c r="N1925" s="205"/>
      <c r="O1925" s="205"/>
      <c r="P1925" s="210">
        <f>(表格3_5[[#This Row],[Out-Time2]] - 表格3_5[[#This Row],[In-Time2]])*24</f>
        <v>0</v>
      </c>
      <c r="Q1925" s="205"/>
      <c r="R1925" s="214">
        <f>_xlfn.XLOOKUP(表格3_5[[#This Row],[Name]],Name_list[Full Name],Name_list[Hourr Rate])</f>
        <v>0</v>
      </c>
      <c r="S1925" s="210">
        <f>表格3_5[[#This Row],[Hours Worked]]*表格3_5[[#This Row],[Hourly Rate]]</f>
        <v>0</v>
      </c>
    </row>
    <row r="1926" spans="1:19">
      <c r="A1926" s="201">
        <v>1924</v>
      </c>
      <c r="B1926" s="210" t="str">
        <f>_xlfn.CONCAT(表格3_5[[#This Row],[Name]],表格3_5[[#This Row],[Location]])</f>
        <v/>
      </c>
      <c r="C1926" s="211" t="str">
        <f>表格3_5[[#This Row],[Location]] &amp; 表格3_5[[#This Row],[Date]] &amp;表格3_5[[#This Row],[Nick Name]]</f>
        <v>0</v>
      </c>
      <c r="D1926" s="202"/>
      <c r="E1926" s="211" t="str">
        <f>DAY(表格3_5[[#This Row],[Date]])&amp;""</f>
        <v>0</v>
      </c>
      <c r="F1926" s="203"/>
      <c r="G1926" s="216">
        <f>_xlfn.XLOOKUP(表格3_5[[#This Row],[Name]],Name_list[Full Name],Name_list[Nick Name])</f>
        <v>0</v>
      </c>
      <c r="H1926" s="207"/>
      <c r="I1926" s="228"/>
      <c r="J1926" s="218"/>
      <c r="K1926" s="205"/>
      <c r="L1926" s="210">
        <f>(表格3_5[[#This Row],[Out-Time]] - 表格3_5[[#This Row],[In-Time]])*24</f>
        <v>0</v>
      </c>
      <c r="M1926" s="210">
        <f>表格3_5[[#This Row],[ Hours]]-表格3_5[[#This Row],[Normal working
 hours]]</f>
        <v>0</v>
      </c>
      <c r="N1926" s="205"/>
      <c r="O1926" s="205"/>
      <c r="P1926" s="210">
        <f>(表格3_5[[#This Row],[Out-Time2]] - 表格3_5[[#This Row],[In-Time2]])*24</f>
        <v>0</v>
      </c>
      <c r="Q1926" s="205"/>
      <c r="R1926" s="214">
        <f>_xlfn.XLOOKUP(表格3_5[[#This Row],[Name]],Name_list[Full Name],Name_list[Hourr Rate])</f>
        <v>0</v>
      </c>
      <c r="S1926" s="210">
        <f>表格3_5[[#This Row],[Hours Worked]]*表格3_5[[#This Row],[Hourly Rate]]</f>
        <v>0</v>
      </c>
    </row>
    <row r="1927" spans="1:19">
      <c r="A1927" s="201">
        <v>1925</v>
      </c>
      <c r="B1927" s="210" t="str">
        <f>_xlfn.CONCAT(表格3_5[[#This Row],[Name]],表格3_5[[#This Row],[Location]])</f>
        <v/>
      </c>
      <c r="C1927" s="211" t="str">
        <f>表格3_5[[#This Row],[Location]] &amp; 表格3_5[[#This Row],[Date]] &amp;表格3_5[[#This Row],[Nick Name]]</f>
        <v>0</v>
      </c>
      <c r="D1927" s="202"/>
      <c r="E1927" s="211" t="str">
        <f>DAY(表格3_5[[#This Row],[Date]])&amp;""</f>
        <v>0</v>
      </c>
      <c r="F1927" s="203"/>
      <c r="G1927" s="216">
        <f>_xlfn.XLOOKUP(表格3_5[[#This Row],[Name]],Name_list[Full Name],Name_list[Nick Name])</f>
        <v>0</v>
      </c>
      <c r="H1927" s="207"/>
      <c r="I1927" s="228"/>
      <c r="J1927" s="218"/>
      <c r="K1927" s="205"/>
      <c r="L1927" s="210">
        <f>(表格3_5[[#This Row],[Out-Time]] - 表格3_5[[#This Row],[In-Time]])*24</f>
        <v>0</v>
      </c>
      <c r="M1927" s="210">
        <f>表格3_5[[#This Row],[ Hours]]-表格3_5[[#This Row],[Normal working
 hours]]</f>
        <v>0</v>
      </c>
      <c r="N1927" s="205"/>
      <c r="O1927" s="205"/>
      <c r="P1927" s="210">
        <f>(表格3_5[[#This Row],[Out-Time2]] - 表格3_5[[#This Row],[In-Time2]])*24</f>
        <v>0</v>
      </c>
      <c r="Q1927" s="205"/>
      <c r="R1927" s="214">
        <f>_xlfn.XLOOKUP(表格3_5[[#This Row],[Name]],Name_list[Full Name],Name_list[Hourr Rate])</f>
        <v>0</v>
      </c>
      <c r="S1927" s="210">
        <f>表格3_5[[#This Row],[Hours Worked]]*表格3_5[[#This Row],[Hourly Rate]]</f>
        <v>0</v>
      </c>
    </row>
    <row r="1928" spans="1:19">
      <c r="A1928" s="201">
        <v>1926</v>
      </c>
      <c r="B1928" s="210" t="str">
        <f>_xlfn.CONCAT(表格3_5[[#This Row],[Name]],表格3_5[[#This Row],[Location]])</f>
        <v/>
      </c>
      <c r="C1928" s="211" t="str">
        <f>表格3_5[[#This Row],[Location]] &amp; 表格3_5[[#This Row],[Date]] &amp;表格3_5[[#This Row],[Nick Name]]</f>
        <v>0</v>
      </c>
      <c r="D1928" s="202"/>
      <c r="E1928" s="211" t="str">
        <f>DAY(表格3_5[[#This Row],[Date]])&amp;""</f>
        <v>0</v>
      </c>
      <c r="F1928" s="203"/>
      <c r="G1928" s="216">
        <f>_xlfn.XLOOKUP(表格3_5[[#This Row],[Name]],Name_list[Full Name],Name_list[Nick Name])</f>
        <v>0</v>
      </c>
      <c r="H1928" s="207"/>
      <c r="I1928" s="228"/>
      <c r="J1928" s="218"/>
      <c r="K1928" s="205"/>
      <c r="L1928" s="210">
        <f>(表格3_5[[#This Row],[Out-Time]] - 表格3_5[[#This Row],[In-Time]])*24</f>
        <v>0</v>
      </c>
      <c r="M1928" s="210">
        <f>表格3_5[[#This Row],[ Hours]]-表格3_5[[#This Row],[Normal working
 hours]]</f>
        <v>0</v>
      </c>
      <c r="N1928" s="205"/>
      <c r="O1928" s="205"/>
      <c r="P1928" s="210">
        <f>(表格3_5[[#This Row],[Out-Time2]] - 表格3_5[[#This Row],[In-Time2]])*24</f>
        <v>0</v>
      </c>
      <c r="Q1928" s="205"/>
      <c r="R1928" s="214">
        <f>_xlfn.XLOOKUP(表格3_5[[#This Row],[Name]],Name_list[Full Name],Name_list[Hourr Rate])</f>
        <v>0</v>
      </c>
      <c r="S1928" s="210">
        <f>表格3_5[[#This Row],[Hours Worked]]*表格3_5[[#This Row],[Hourly Rate]]</f>
        <v>0</v>
      </c>
    </row>
    <row r="1929" spans="1:19">
      <c r="A1929" s="201">
        <v>1927</v>
      </c>
      <c r="B1929" s="210" t="str">
        <f>_xlfn.CONCAT(表格3_5[[#This Row],[Name]],表格3_5[[#This Row],[Location]])</f>
        <v/>
      </c>
      <c r="C1929" s="211" t="str">
        <f>表格3_5[[#This Row],[Location]] &amp; 表格3_5[[#This Row],[Date]] &amp;表格3_5[[#This Row],[Nick Name]]</f>
        <v>0</v>
      </c>
      <c r="D1929" s="202"/>
      <c r="E1929" s="211" t="str">
        <f>DAY(表格3_5[[#This Row],[Date]])&amp;""</f>
        <v>0</v>
      </c>
      <c r="F1929" s="203"/>
      <c r="G1929" s="216">
        <f>_xlfn.XLOOKUP(表格3_5[[#This Row],[Name]],Name_list[Full Name],Name_list[Nick Name])</f>
        <v>0</v>
      </c>
      <c r="H1929" s="207"/>
      <c r="I1929" s="228"/>
      <c r="J1929" s="218"/>
      <c r="K1929" s="205"/>
      <c r="L1929" s="210">
        <f>(表格3_5[[#This Row],[Out-Time]] - 表格3_5[[#This Row],[In-Time]])*24</f>
        <v>0</v>
      </c>
      <c r="M1929" s="210">
        <f>表格3_5[[#This Row],[ Hours]]-表格3_5[[#This Row],[Normal working
 hours]]</f>
        <v>0</v>
      </c>
      <c r="N1929" s="205"/>
      <c r="O1929" s="205"/>
      <c r="P1929" s="210">
        <f>(表格3_5[[#This Row],[Out-Time2]] - 表格3_5[[#This Row],[In-Time2]])*24</f>
        <v>0</v>
      </c>
      <c r="Q1929" s="205"/>
      <c r="R1929" s="214">
        <f>_xlfn.XLOOKUP(表格3_5[[#This Row],[Name]],Name_list[Full Name],Name_list[Hourr Rate])</f>
        <v>0</v>
      </c>
      <c r="S1929" s="210">
        <f>表格3_5[[#This Row],[Hours Worked]]*表格3_5[[#This Row],[Hourly Rate]]</f>
        <v>0</v>
      </c>
    </row>
    <row r="1930" spans="1:19">
      <c r="A1930" s="201">
        <v>1928</v>
      </c>
      <c r="B1930" s="210" t="str">
        <f>_xlfn.CONCAT(表格3_5[[#This Row],[Name]],表格3_5[[#This Row],[Location]])</f>
        <v/>
      </c>
      <c r="C1930" s="211" t="str">
        <f>表格3_5[[#This Row],[Location]] &amp; 表格3_5[[#This Row],[Date]] &amp;表格3_5[[#This Row],[Nick Name]]</f>
        <v>0</v>
      </c>
      <c r="D1930" s="202"/>
      <c r="E1930" s="211" t="str">
        <f>DAY(表格3_5[[#This Row],[Date]])&amp;""</f>
        <v>0</v>
      </c>
      <c r="F1930" s="203"/>
      <c r="G1930" s="216">
        <f>_xlfn.XLOOKUP(表格3_5[[#This Row],[Name]],Name_list[Full Name],Name_list[Nick Name])</f>
        <v>0</v>
      </c>
      <c r="H1930" s="207"/>
      <c r="I1930" s="228"/>
      <c r="J1930" s="218"/>
      <c r="K1930" s="205"/>
      <c r="L1930" s="210">
        <f>(表格3_5[[#This Row],[Out-Time]] - 表格3_5[[#This Row],[In-Time]])*24</f>
        <v>0</v>
      </c>
      <c r="M1930" s="210">
        <f>表格3_5[[#This Row],[ Hours]]-表格3_5[[#This Row],[Normal working
 hours]]</f>
        <v>0</v>
      </c>
      <c r="N1930" s="205"/>
      <c r="O1930" s="205"/>
      <c r="P1930" s="210">
        <f>(表格3_5[[#This Row],[Out-Time2]] - 表格3_5[[#This Row],[In-Time2]])*24</f>
        <v>0</v>
      </c>
      <c r="Q1930" s="205"/>
      <c r="R1930" s="214">
        <f>_xlfn.XLOOKUP(表格3_5[[#This Row],[Name]],Name_list[Full Name],Name_list[Hourr Rate])</f>
        <v>0</v>
      </c>
      <c r="S1930" s="210">
        <f>表格3_5[[#This Row],[Hours Worked]]*表格3_5[[#This Row],[Hourly Rate]]</f>
        <v>0</v>
      </c>
    </row>
    <row r="1931" spans="1:19">
      <c r="A1931" s="201">
        <v>1929</v>
      </c>
      <c r="B1931" s="210" t="str">
        <f>_xlfn.CONCAT(表格3_5[[#This Row],[Name]],表格3_5[[#This Row],[Location]])</f>
        <v/>
      </c>
      <c r="C1931" s="211" t="str">
        <f>表格3_5[[#This Row],[Location]] &amp; 表格3_5[[#This Row],[Date]] &amp;表格3_5[[#This Row],[Nick Name]]</f>
        <v>0</v>
      </c>
      <c r="D1931" s="202"/>
      <c r="E1931" s="211" t="str">
        <f>DAY(表格3_5[[#This Row],[Date]])&amp;""</f>
        <v>0</v>
      </c>
      <c r="F1931" s="203"/>
      <c r="G1931" s="216">
        <f>_xlfn.XLOOKUP(表格3_5[[#This Row],[Name]],Name_list[Full Name],Name_list[Nick Name])</f>
        <v>0</v>
      </c>
      <c r="H1931" s="207"/>
      <c r="I1931" s="228"/>
      <c r="J1931" s="218"/>
      <c r="K1931" s="205"/>
      <c r="L1931" s="210">
        <f>(表格3_5[[#This Row],[Out-Time]] - 表格3_5[[#This Row],[In-Time]])*24</f>
        <v>0</v>
      </c>
      <c r="M1931" s="210">
        <f>表格3_5[[#This Row],[ Hours]]-表格3_5[[#This Row],[Normal working
 hours]]</f>
        <v>0</v>
      </c>
      <c r="N1931" s="205"/>
      <c r="O1931" s="205"/>
      <c r="P1931" s="210">
        <f>(表格3_5[[#This Row],[Out-Time2]] - 表格3_5[[#This Row],[In-Time2]])*24</f>
        <v>0</v>
      </c>
      <c r="Q1931" s="205"/>
      <c r="R1931" s="214">
        <f>_xlfn.XLOOKUP(表格3_5[[#This Row],[Name]],Name_list[Full Name],Name_list[Hourr Rate])</f>
        <v>0</v>
      </c>
      <c r="S1931" s="210">
        <f>表格3_5[[#This Row],[Hours Worked]]*表格3_5[[#This Row],[Hourly Rate]]</f>
        <v>0</v>
      </c>
    </row>
    <row r="1932" spans="1:19">
      <c r="A1932" s="201">
        <v>1930</v>
      </c>
      <c r="B1932" s="210" t="str">
        <f>_xlfn.CONCAT(表格3_5[[#This Row],[Name]],表格3_5[[#This Row],[Location]])</f>
        <v/>
      </c>
      <c r="C1932" s="211" t="str">
        <f>表格3_5[[#This Row],[Location]] &amp; 表格3_5[[#This Row],[Date]] &amp;表格3_5[[#This Row],[Nick Name]]</f>
        <v>0</v>
      </c>
      <c r="D1932" s="202"/>
      <c r="E1932" s="211" t="str">
        <f>DAY(表格3_5[[#This Row],[Date]])&amp;""</f>
        <v>0</v>
      </c>
      <c r="F1932" s="203"/>
      <c r="G1932" s="216">
        <f>_xlfn.XLOOKUP(表格3_5[[#This Row],[Name]],Name_list[Full Name],Name_list[Nick Name])</f>
        <v>0</v>
      </c>
      <c r="H1932" s="207"/>
      <c r="I1932" s="228"/>
      <c r="J1932" s="218"/>
      <c r="K1932" s="205"/>
      <c r="L1932" s="210">
        <f>(表格3_5[[#This Row],[Out-Time]] - 表格3_5[[#This Row],[In-Time]])*24</f>
        <v>0</v>
      </c>
      <c r="M1932" s="210">
        <f>表格3_5[[#This Row],[ Hours]]-表格3_5[[#This Row],[Normal working
 hours]]</f>
        <v>0</v>
      </c>
      <c r="N1932" s="205"/>
      <c r="O1932" s="205"/>
      <c r="P1932" s="210">
        <f>(表格3_5[[#This Row],[Out-Time2]] - 表格3_5[[#This Row],[In-Time2]])*24</f>
        <v>0</v>
      </c>
      <c r="Q1932" s="205"/>
      <c r="R1932" s="214">
        <f>_xlfn.XLOOKUP(表格3_5[[#This Row],[Name]],Name_list[Full Name],Name_list[Hourr Rate])</f>
        <v>0</v>
      </c>
      <c r="S1932" s="210">
        <f>表格3_5[[#This Row],[Hours Worked]]*表格3_5[[#This Row],[Hourly Rate]]</f>
        <v>0</v>
      </c>
    </row>
    <row r="1933" spans="1:19">
      <c r="A1933" s="201">
        <v>1931</v>
      </c>
      <c r="B1933" s="210" t="str">
        <f>_xlfn.CONCAT(表格3_5[[#This Row],[Name]],表格3_5[[#This Row],[Location]])</f>
        <v/>
      </c>
      <c r="C1933" s="211" t="str">
        <f>表格3_5[[#This Row],[Location]] &amp; 表格3_5[[#This Row],[Date]] &amp;表格3_5[[#This Row],[Nick Name]]</f>
        <v>0</v>
      </c>
      <c r="D1933" s="202"/>
      <c r="E1933" s="211" t="str">
        <f>DAY(表格3_5[[#This Row],[Date]])&amp;""</f>
        <v>0</v>
      </c>
      <c r="F1933" s="203"/>
      <c r="G1933" s="216">
        <f>_xlfn.XLOOKUP(表格3_5[[#This Row],[Name]],Name_list[Full Name],Name_list[Nick Name])</f>
        <v>0</v>
      </c>
      <c r="H1933" s="207"/>
      <c r="I1933" s="228"/>
      <c r="J1933" s="218"/>
      <c r="K1933" s="205"/>
      <c r="L1933" s="210">
        <f>(表格3_5[[#This Row],[Out-Time]] - 表格3_5[[#This Row],[In-Time]])*24</f>
        <v>0</v>
      </c>
      <c r="M1933" s="210">
        <f>表格3_5[[#This Row],[ Hours]]-表格3_5[[#This Row],[Normal working
 hours]]</f>
        <v>0</v>
      </c>
      <c r="N1933" s="205"/>
      <c r="O1933" s="205"/>
      <c r="P1933" s="210">
        <f>(表格3_5[[#This Row],[Out-Time2]] - 表格3_5[[#This Row],[In-Time2]])*24</f>
        <v>0</v>
      </c>
      <c r="Q1933" s="205"/>
      <c r="R1933" s="214">
        <f>_xlfn.XLOOKUP(表格3_5[[#This Row],[Name]],Name_list[Full Name],Name_list[Hourr Rate])</f>
        <v>0</v>
      </c>
      <c r="S1933" s="210">
        <f>表格3_5[[#This Row],[Hours Worked]]*表格3_5[[#This Row],[Hourly Rate]]</f>
        <v>0</v>
      </c>
    </row>
    <row r="1934" spans="1:19">
      <c r="A1934" s="201">
        <v>1932</v>
      </c>
      <c r="B1934" s="210" t="str">
        <f>_xlfn.CONCAT(表格3_5[[#This Row],[Name]],表格3_5[[#This Row],[Location]])</f>
        <v/>
      </c>
      <c r="C1934" s="211" t="str">
        <f>表格3_5[[#This Row],[Location]] &amp; 表格3_5[[#This Row],[Date]] &amp;表格3_5[[#This Row],[Nick Name]]</f>
        <v>0</v>
      </c>
      <c r="D1934" s="202"/>
      <c r="E1934" s="211" t="str">
        <f>DAY(表格3_5[[#This Row],[Date]])&amp;""</f>
        <v>0</v>
      </c>
      <c r="F1934" s="203"/>
      <c r="G1934" s="216">
        <f>_xlfn.XLOOKUP(表格3_5[[#This Row],[Name]],Name_list[Full Name],Name_list[Nick Name])</f>
        <v>0</v>
      </c>
      <c r="H1934" s="207"/>
      <c r="I1934" s="228"/>
      <c r="J1934" s="218"/>
      <c r="K1934" s="205"/>
      <c r="L1934" s="210">
        <f>(表格3_5[[#This Row],[Out-Time]] - 表格3_5[[#This Row],[In-Time]])*24</f>
        <v>0</v>
      </c>
      <c r="M1934" s="210">
        <f>表格3_5[[#This Row],[ Hours]]-表格3_5[[#This Row],[Normal working
 hours]]</f>
        <v>0</v>
      </c>
      <c r="N1934" s="205"/>
      <c r="O1934" s="205"/>
      <c r="P1934" s="210">
        <f>(表格3_5[[#This Row],[Out-Time2]] - 表格3_5[[#This Row],[In-Time2]])*24</f>
        <v>0</v>
      </c>
      <c r="Q1934" s="205"/>
      <c r="R1934" s="214">
        <f>_xlfn.XLOOKUP(表格3_5[[#This Row],[Name]],Name_list[Full Name],Name_list[Hourr Rate])</f>
        <v>0</v>
      </c>
      <c r="S1934" s="210">
        <f>表格3_5[[#This Row],[Hours Worked]]*表格3_5[[#This Row],[Hourly Rate]]</f>
        <v>0</v>
      </c>
    </row>
    <row r="1935" spans="1:19">
      <c r="A1935" s="201">
        <v>1933</v>
      </c>
      <c r="B1935" s="210" t="str">
        <f>_xlfn.CONCAT(表格3_5[[#This Row],[Name]],表格3_5[[#This Row],[Location]])</f>
        <v/>
      </c>
      <c r="C1935" s="211" t="str">
        <f>表格3_5[[#This Row],[Location]] &amp; 表格3_5[[#This Row],[Date]] &amp;表格3_5[[#This Row],[Nick Name]]</f>
        <v>0</v>
      </c>
      <c r="D1935" s="202"/>
      <c r="E1935" s="211" t="str">
        <f>DAY(表格3_5[[#This Row],[Date]])&amp;""</f>
        <v>0</v>
      </c>
      <c r="F1935" s="203"/>
      <c r="G1935" s="216">
        <f>_xlfn.XLOOKUP(表格3_5[[#This Row],[Name]],Name_list[Full Name],Name_list[Nick Name])</f>
        <v>0</v>
      </c>
      <c r="H1935" s="207"/>
      <c r="I1935" s="228"/>
      <c r="J1935" s="218"/>
      <c r="K1935" s="205"/>
      <c r="L1935" s="210">
        <f>(表格3_5[[#This Row],[Out-Time]] - 表格3_5[[#This Row],[In-Time]])*24</f>
        <v>0</v>
      </c>
      <c r="M1935" s="210">
        <f>表格3_5[[#This Row],[ Hours]]-表格3_5[[#This Row],[Normal working
 hours]]</f>
        <v>0</v>
      </c>
      <c r="N1935" s="205"/>
      <c r="O1935" s="205"/>
      <c r="P1935" s="210">
        <f>(表格3_5[[#This Row],[Out-Time2]] - 表格3_5[[#This Row],[In-Time2]])*24</f>
        <v>0</v>
      </c>
      <c r="Q1935" s="205"/>
      <c r="R1935" s="214">
        <f>_xlfn.XLOOKUP(表格3_5[[#This Row],[Name]],Name_list[Full Name],Name_list[Hourr Rate])</f>
        <v>0</v>
      </c>
      <c r="S1935" s="210">
        <f>表格3_5[[#This Row],[Hours Worked]]*表格3_5[[#This Row],[Hourly Rate]]</f>
        <v>0</v>
      </c>
    </row>
    <row r="1936" spans="1:19">
      <c r="A1936" s="201">
        <v>1934</v>
      </c>
      <c r="B1936" s="210" t="str">
        <f>_xlfn.CONCAT(表格3_5[[#This Row],[Name]],表格3_5[[#This Row],[Location]])</f>
        <v/>
      </c>
      <c r="C1936" s="211" t="str">
        <f>表格3_5[[#This Row],[Location]] &amp; 表格3_5[[#This Row],[Date]] &amp;表格3_5[[#This Row],[Nick Name]]</f>
        <v>0</v>
      </c>
      <c r="D1936" s="202"/>
      <c r="E1936" s="211" t="str">
        <f>DAY(表格3_5[[#This Row],[Date]])&amp;""</f>
        <v>0</v>
      </c>
      <c r="F1936" s="203"/>
      <c r="G1936" s="216">
        <f>_xlfn.XLOOKUP(表格3_5[[#This Row],[Name]],Name_list[Full Name],Name_list[Nick Name])</f>
        <v>0</v>
      </c>
      <c r="H1936" s="207"/>
      <c r="I1936" s="228"/>
      <c r="J1936" s="218"/>
      <c r="K1936" s="205"/>
      <c r="L1936" s="210">
        <f>(表格3_5[[#This Row],[Out-Time]] - 表格3_5[[#This Row],[In-Time]])*24</f>
        <v>0</v>
      </c>
      <c r="M1936" s="210">
        <f>表格3_5[[#This Row],[ Hours]]-表格3_5[[#This Row],[Normal working
 hours]]</f>
        <v>0</v>
      </c>
      <c r="N1936" s="205"/>
      <c r="O1936" s="205"/>
      <c r="P1936" s="210">
        <f>(表格3_5[[#This Row],[Out-Time2]] - 表格3_5[[#This Row],[In-Time2]])*24</f>
        <v>0</v>
      </c>
      <c r="Q1936" s="205"/>
      <c r="R1936" s="214">
        <f>_xlfn.XLOOKUP(表格3_5[[#This Row],[Name]],Name_list[Full Name],Name_list[Hourr Rate])</f>
        <v>0</v>
      </c>
      <c r="S1936" s="210">
        <f>表格3_5[[#This Row],[Hours Worked]]*表格3_5[[#This Row],[Hourly Rate]]</f>
        <v>0</v>
      </c>
    </row>
    <row r="1937" spans="1:19">
      <c r="A1937" s="201">
        <v>1935</v>
      </c>
      <c r="B1937" s="210" t="str">
        <f>_xlfn.CONCAT(表格3_5[[#This Row],[Name]],表格3_5[[#This Row],[Location]])</f>
        <v/>
      </c>
      <c r="C1937" s="211" t="str">
        <f>表格3_5[[#This Row],[Location]] &amp; 表格3_5[[#This Row],[Date]] &amp;表格3_5[[#This Row],[Nick Name]]</f>
        <v>0</v>
      </c>
      <c r="D1937" s="202"/>
      <c r="E1937" s="211" t="str">
        <f>DAY(表格3_5[[#This Row],[Date]])&amp;""</f>
        <v>0</v>
      </c>
      <c r="F1937" s="203"/>
      <c r="G1937" s="216">
        <f>_xlfn.XLOOKUP(表格3_5[[#This Row],[Name]],Name_list[Full Name],Name_list[Nick Name])</f>
        <v>0</v>
      </c>
      <c r="H1937" s="207"/>
      <c r="I1937" s="228"/>
      <c r="J1937" s="218"/>
      <c r="K1937" s="205"/>
      <c r="L1937" s="210">
        <f>(表格3_5[[#This Row],[Out-Time]] - 表格3_5[[#This Row],[In-Time]])*24</f>
        <v>0</v>
      </c>
      <c r="M1937" s="210">
        <f>表格3_5[[#This Row],[ Hours]]-表格3_5[[#This Row],[Normal working
 hours]]</f>
        <v>0</v>
      </c>
      <c r="N1937" s="205"/>
      <c r="O1937" s="205"/>
      <c r="P1937" s="210">
        <f>(表格3_5[[#This Row],[Out-Time2]] - 表格3_5[[#This Row],[In-Time2]])*24</f>
        <v>0</v>
      </c>
      <c r="Q1937" s="205"/>
      <c r="R1937" s="214">
        <f>_xlfn.XLOOKUP(表格3_5[[#This Row],[Name]],Name_list[Full Name],Name_list[Hourr Rate])</f>
        <v>0</v>
      </c>
      <c r="S1937" s="210">
        <f>表格3_5[[#This Row],[Hours Worked]]*表格3_5[[#This Row],[Hourly Rate]]</f>
        <v>0</v>
      </c>
    </row>
    <row r="1938" spans="1:19">
      <c r="A1938" s="201">
        <v>1936</v>
      </c>
      <c r="B1938" s="210" t="str">
        <f>_xlfn.CONCAT(表格3_5[[#This Row],[Name]],表格3_5[[#This Row],[Location]])</f>
        <v/>
      </c>
      <c r="C1938" s="211" t="str">
        <f>表格3_5[[#This Row],[Location]] &amp; 表格3_5[[#This Row],[Date]] &amp;表格3_5[[#This Row],[Nick Name]]</f>
        <v>0</v>
      </c>
      <c r="D1938" s="202"/>
      <c r="E1938" s="211" t="str">
        <f>DAY(表格3_5[[#This Row],[Date]])&amp;""</f>
        <v>0</v>
      </c>
      <c r="F1938" s="203"/>
      <c r="G1938" s="216">
        <f>_xlfn.XLOOKUP(表格3_5[[#This Row],[Name]],Name_list[Full Name],Name_list[Nick Name])</f>
        <v>0</v>
      </c>
      <c r="H1938" s="207"/>
      <c r="I1938" s="228"/>
      <c r="J1938" s="218"/>
      <c r="K1938" s="205"/>
      <c r="L1938" s="210">
        <f>(表格3_5[[#This Row],[Out-Time]] - 表格3_5[[#This Row],[In-Time]])*24</f>
        <v>0</v>
      </c>
      <c r="M1938" s="210">
        <f>表格3_5[[#This Row],[ Hours]]-表格3_5[[#This Row],[Normal working
 hours]]</f>
        <v>0</v>
      </c>
      <c r="N1938" s="205"/>
      <c r="O1938" s="205"/>
      <c r="P1938" s="210">
        <f>(表格3_5[[#This Row],[Out-Time2]] - 表格3_5[[#This Row],[In-Time2]])*24</f>
        <v>0</v>
      </c>
      <c r="Q1938" s="205"/>
      <c r="R1938" s="214">
        <f>_xlfn.XLOOKUP(表格3_5[[#This Row],[Name]],Name_list[Full Name],Name_list[Hourr Rate])</f>
        <v>0</v>
      </c>
      <c r="S1938" s="210">
        <f>表格3_5[[#This Row],[Hours Worked]]*表格3_5[[#This Row],[Hourly Rate]]</f>
        <v>0</v>
      </c>
    </row>
    <row r="1939" spans="1:19">
      <c r="A1939" s="201">
        <v>1937</v>
      </c>
      <c r="B1939" s="210" t="str">
        <f>_xlfn.CONCAT(表格3_5[[#This Row],[Name]],表格3_5[[#This Row],[Location]])</f>
        <v/>
      </c>
      <c r="C1939" s="211" t="str">
        <f>表格3_5[[#This Row],[Location]] &amp; 表格3_5[[#This Row],[Date]] &amp;表格3_5[[#This Row],[Nick Name]]</f>
        <v>0</v>
      </c>
      <c r="D1939" s="202"/>
      <c r="E1939" s="211" t="str">
        <f>DAY(表格3_5[[#This Row],[Date]])&amp;""</f>
        <v>0</v>
      </c>
      <c r="F1939" s="203"/>
      <c r="G1939" s="216">
        <f>_xlfn.XLOOKUP(表格3_5[[#This Row],[Name]],Name_list[Full Name],Name_list[Nick Name])</f>
        <v>0</v>
      </c>
      <c r="H1939" s="207"/>
      <c r="I1939" s="228"/>
      <c r="J1939" s="218"/>
      <c r="K1939" s="205"/>
      <c r="L1939" s="210">
        <f>(表格3_5[[#This Row],[Out-Time]] - 表格3_5[[#This Row],[In-Time]])*24</f>
        <v>0</v>
      </c>
      <c r="M1939" s="210">
        <f>表格3_5[[#This Row],[ Hours]]-表格3_5[[#This Row],[Normal working
 hours]]</f>
        <v>0</v>
      </c>
      <c r="N1939" s="205"/>
      <c r="O1939" s="205"/>
      <c r="P1939" s="210">
        <f>(表格3_5[[#This Row],[Out-Time2]] - 表格3_5[[#This Row],[In-Time2]])*24</f>
        <v>0</v>
      </c>
      <c r="Q1939" s="205"/>
      <c r="R1939" s="214">
        <f>_xlfn.XLOOKUP(表格3_5[[#This Row],[Name]],Name_list[Full Name],Name_list[Hourr Rate])</f>
        <v>0</v>
      </c>
      <c r="S1939" s="210">
        <f>表格3_5[[#This Row],[Hours Worked]]*表格3_5[[#This Row],[Hourly Rate]]</f>
        <v>0</v>
      </c>
    </row>
    <row r="1940" spans="1:19">
      <c r="A1940" s="201">
        <v>1938</v>
      </c>
      <c r="B1940" s="210" t="str">
        <f>_xlfn.CONCAT(表格3_5[[#This Row],[Name]],表格3_5[[#This Row],[Location]])</f>
        <v/>
      </c>
      <c r="C1940" s="211" t="str">
        <f>表格3_5[[#This Row],[Location]] &amp; 表格3_5[[#This Row],[Date]] &amp;表格3_5[[#This Row],[Nick Name]]</f>
        <v>0</v>
      </c>
      <c r="D1940" s="202"/>
      <c r="E1940" s="211" t="str">
        <f>DAY(表格3_5[[#This Row],[Date]])&amp;""</f>
        <v>0</v>
      </c>
      <c r="F1940" s="203"/>
      <c r="G1940" s="216">
        <f>_xlfn.XLOOKUP(表格3_5[[#This Row],[Name]],Name_list[Full Name],Name_list[Nick Name])</f>
        <v>0</v>
      </c>
      <c r="H1940" s="207"/>
      <c r="I1940" s="228"/>
      <c r="J1940" s="218"/>
      <c r="K1940" s="205"/>
      <c r="L1940" s="210">
        <f>(表格3_5[[#This Row],[Out-Time]] - 表格3_5[[#This Row],[In-Time]])*24</f>
        <v>0</v>
      </c>
      <c r="M1940" s="210">
        <f>表格3_5[[#This Row],[ Hours]]-表格3_5[[#This Row],[Normal working
 hours]]</f>
        <v>0</v>
      </c>
      <c r="N1940" s="205"/>
      <c r="O1940" s="205"/>
      <c r="P1940" s="210">
        <f>(表格3_5[[#This Row],[Out-Time2]] - 表格3_5[[#This Row],[In-Time2]])*24</f>
        <v>0</v>
      </c>
      <c r="Q1940" s="205"/>
      <c r="R1940" s="214">
        <f>_xlfn.XLOOKUP(表格3_5[[#This Row],[Name]],Name_list[Full Name],Name_list[Hourr Rate])</f>
        <v>0</v>
      </c>
      <c r="S1940" s="210">
        <f>表格3_5[[#This Row],[Hours Worked]]*表格3_5[[#This Row],[Hourly Rate]]</f>
        <v>0</v>
      </c>
    </row>
    <row r="1941" spans="1:19">
      <c r="A1941" s="201">
        <v>1939</v>
      </c>
      <c r="B1941" s="210" t="str">
        <f>_xlfn.CONCAT(表格3_5[[#This Row],[Name]],表格3_5[[#This Row],[Location]])</f>
        <v/>
      </c>
      <c r="C1941" s="211" t="str">
        <f>表格3_5[[#This Row],[Location]] &amp; 表格3_5[[#This Row],[Date]] &amp;表格3_5[[#This Row],[Nick Name]]</f>
        <v>0</v>
      </c>
      <c r="D1941" s="202"/>
      <c r="E1941" s="211" t="str">
        <f>DAY(表格3_5[[#This Row],[Date]])&amp;""</f>
        <v>0</v>
      </c>
      <c r="F1941" s="203"/>
      <c r="G1941" s="216">
        <f>_xlfn.XLOOKUP(表格3_5[[#This Row],[Name]],Name_list[Full Name],Name_list[Nick Name])</f>
        <v>0</v>
      </c>
      <c r="H1941" s="207"/>
      <c r="I1941" s="228"/>
      <c r="J1941" s="218"/>
      <c r="K1941" s="205"/>
      <c r="L1941" s="210">
        <f>(表格3_5[[#This Row],[Out-Time]] - 表格3_5[[#This Row],[In-Time]])*24</f>
        <v>0</v>
      </c>
      <c r="M1941" s="210">
        <f>表格3_5[[#This Row],[ Hours]]-表格3_5[[#This Row],[Normal working
 hours]]</f>
        <v>0</v>
      </c>
      <c r="N1941" s="205"/>
      <c r="O1941" s="205"/>
      <c r="P1941" s="210">
        <f>(表格3_5[[#This Row],[Out-Time2]] - 表格3_5[[#This Row],[In-Time2]])*24</f>
        <v>0</v>
      </c>
      <c r="Q1941" s="205"/>
      <c r="R1941" s="214">
        <f>_xlfn.XLOOKUP(表格3_5[[#This Row],[Name]],Name_list[Full Name],Name_list[Hourr Rate])</f>
        <v>0</v>
      </c>
      <c r="S1941" s="210">
        <f>表格3_5[[#This Row],[Hours Worked]]*表格3_5[[#This Row],[Hourly Rate]]</f>
        <v>0</v>
      </c>
    </row>
    <row r="1942" spans="1:19">
      <c r="A1942" s="201">
        <v>1940</v>
      </c>
      <c r="B1942" s="210" t="str">
        <f>_xlfn.CONCAT(表格3_5[[#This Row],[Name]],表格3_5[[#This Row],[Location]])</f>
        <v/>
      </c>
      <c r="C1942" s="211" t="str">
        <f>表格3_5[[#This Row],[Location]] &amp; 表格3_5[[#This Row],[Date]] &amp;表格3_5[[#This Row],[Nick Name]]</f>
        <v>0</v>
      </c>
      <c r="D1942" s="202"/>
      <c r="E1942" s="211" t="str">
        <f>DAY(表格3_5[[#This Row],[Date]])&amp;""</f>
        <v>0</v>
      </c>
      <c r="F1942" s="203"/>
      <c r="G1942" s="216">
        <f>_xlfn.XLOOKUP(表格3_5[[#This Row],[Name]],Name_list[Full Name],Name_list[Nick Name])</f>
        <v>0</v>
      </c>
      <c r="H1942" s="207"/>
      <c r="I1942" s="228"/>
      <c r="J1942" s="218"/>
      <c r="K1942" s="205"/>
      <c r="L1942" s="210">
        <f>(表格3_5[[#This Row],[Out-Time]] - 表格3_5[[#This Row],[In-Time]])*24</f>
        <v>0</v>
      </c>
      <c r="M1942" s="210">
        <f>表格3_5[[#This Row],[ Hours]]-表格3_5[[#This Row],[Normal working
 hours]]</f>
        <v>0</v>
      </c>
      <c r="N1942" s="205"/>
      <c r="O1942" s="205"/>
      <c r="P1942" s="210">
        <f>(表格3_5[[#This Row],[Out-Time2]] - 表格3_5[[#This Row],[In-Time2]])*24</f>
        <v>0</v>
      </c>
      <c r="Q1942" s="205"/>
      <c r="R1942" s="214">
        <f>_xlfn.XLOOKUP(表格3_5[[#This Row],[Name]],Name_list[Full Name],Name_list[Hourr Rate])</f>
        <v>0</v>
      </c>
      <c r="S1942" s="210">
        <f>表格3_5[[#This Row],[Hours Worked]]*表格3_5[[#This Row],[Hourly Rate]]</f>
        <v>0</v>
      </c>
    </row>
    <row r="1943" spans="1:19">
      <c r="A1943" s="201">
        <v>1941</v>
      </c>
      <c r="B1943" s="210" t="str">
        <f>_xlfn.CONCAT(表格3_5[[#This Row],[Name]],表格3_5[[#This Row],[Location]])</f>
        <v/>
      </c>
      <c r="C1943" s="211" t="str">
        <f>表格3_5[[#This Row],[Location]] &amp; 表格3_5[[#This Row],[Date]] &amp;表格3_5[[#This Row],[Nick Name]]</f>
        <v>0</v>
      </c>
      <c r="D1943" s="202"/>
      <c r="E1943" s="211" t="str">
        <f>DAY(表格3_5[[#This Row],[Date]])&amp;""</f>
        <v>0</v>
      </c>
      <c r="F1943" s="203"/>
      <c r="G1943" s="216">
        <f>_xlfn.XLOOKUP(表格3_5[[#This Row],[Name]],Name_list[Full Name],Name_list[Nick Name])</f>
        <v>0</v>
      </c>
      <c r="H1943" s="207"/>
      <c r="I1943" s="228"/>
      <c r="J1943" s="218"/>
      <c r="K1943" s="205"/>
      <c r="L1943" s="210">
        <f>(表格3_5[[#This Row],[Out-Time]] - 表格3_5[[#This Row],[In-Time]])*24</f>
        <v>0</v>
      </c>
      <c r="M1943" s="210">
        <f>表格3_5[[#This Row],[ Hours]]-表格3_5[[#This Row],[Normal working
 hours]]</f>
        <v>0</v>
      </c>
      <c r="N1943" s="205"/>
      <c r="O1943" s="205"/>
      <c r="P1943" s="210">
        <f>(表格3_5[[#This Row],[Out-Time2]] - 表格3_5[[#This Row],[In-Time2]])*24</f>
        <v>0</v>
      </c>
      <c r="Q1943" s="205"/>
      <c r="R1943" s="214">
        <f>_xlfn.XLOOKUP(表格3_5[[#This Row],[Name]],Name_list[Full Name],Name_list[Hourr Rate])</f>
        <v>0</v>
      </c>
      <c r="S1943" s="210">
        <f>表格3_5[[#This Row],[Hours Worked]]*表格3_5[[#This Row],[Hourly Rate]]</f>
        <v>0</v>
      </c>
    </row>
    <row r="1944" spans="1:19">
      <c r="A1944" s="201">
        <v>1942</v>
      </c>
      <c r="B1944" s="210" t="str">
        <f>_xlfn.CONCAT(表格3_5[[#This Row],[Name]],表格3_5[[#This Row],[Location]])</f>
        <v/>
      </c>
      <c r="C1944" s="211" t="str">
        <f>表格3_5[[#This Row],[Location]] &amp; 表格3_5[[#This Row],[Date]] &amp;表格3_5[[#This Row],[Nick Name]]</f>
        <v>0</v>
      </c>
      <c r="D1944" s="202"/>
      <c r="E1944" s="211" t="str">
        <f>DAY(表格3_5[[#This Row],[Date]])&amp;""</f>
        <v>0</v>
      </c>
      <c r="F1944" s="203"/>
      <c r="G1944" s="216">
        <f>_xlfn.XLOOKUP(表格3_5[[#This Row],[Name]],Name_list[Full Name],Name_list[Nick Name])</f>
        <v>0</v>
      </c>
      <c r="H1944" s="207"/>
      <c r="I1944" s="228"/>
      <c r="J1944" s="218"/>
      <c r="K1944" s="205"/>
      <c r="L1944" s="210">
        <f>(表格3_5[[#This Row],[Out-Time]] - 表格3_5[[#This Row],[In-Time]])*24</f>
        <v>0</v>
      </c>
      <c r="M1944" s="210">
        <f>表格3_5[[#This Row],[ Hours]]-表格3_5[[#This Row],[Normal working
 hours]]</f>
        <v>0</v>
      </c>
      <c r="N1944" s="205"/>
      <c r="O1944" s="205"/>
      <c r="P1944" s="210">
        <f>(表格3_5[[#This Row],[Out-Time2]] - 表格3_5[[#This Row],[In-Time2]])*24</f>
        <v>0</v>
      </c>
      <c r="Q1944" s="205"/>
      <c r="R1944" s="214">
        <f>_xlfn.XLOOKUP(表格3_5[[#This Row],[Name]],Name_list[Full Name],Name_list[Hourr Rate])</f>
        <v>0</v>
      </c>
      <c r="S1944" s="210">
        <f>表格3_5[[#This Row],[Hours Worked]]*表格3_5[[#This Row],[Hourly Rate]]</f>
        <v>0</v>
      </c>
    </row>
    <row r="1945" spans="1:19">
      <c r="A1945" s="201">
        <v>1943</v>
      </c>
      <c r="B1945" s="210" t="str">
        <f>_xlfn.CONCAT(表格3_5[[#This Row],[Name]],表格3_5[[#This Row],[Location]])</f>
        <v/>
      </c>
      <c r="C1945" s="211" t="str">
        <f>表格3_5[[#This Row],[Location]] &amp; 表格3_5[[#This Row],[Date]] &amp;表格3_5[[#This Row],[Nick Name]]</f>
        <v>0</v>
      </c>
      <c r="D1945" s="202"/>
      <c r="E1945" s="211" t="str">
        <f>DAY(表格3_5[[#This Row],[Date]])&amp;""</f>
        <v>0</v>
      </c>
      <c r="F1945" s="203"/>
      <c r="G1945" s="216">
        <f>_xlfn.XLOOKUP(表格3_5[[#This Row],[Name]],Name_list[Full Name],Name_list[Nick Name])</f>
        <v>0</v>
      </c>
      <c r="H1945" s="207"/>
      <c r="I1945" s="228"/>
      <c r="J1945" s="218"/>
      <c r="K1945" s="205"/>
      <c r="L1945" s="210">
        <f>(表格3_5[[#This Row],[Out-Time]] - 表格3_5[[#This Row],[In-Time]])*24</f>
        <v>0</v>
      </c>
      <c r="M1945" s="210">
        <f>表格3_5[[#This Row],[ Hours]]-表格3_5[[#This Row],[Normal working
 hours]]</f>
        <v>0</v>
      </c>
      <c r="N1945" s="205"/>
      <c r="O1945" s="205"/>
      <c r="P1945" s="210">
        <f>(表格3_5[[#This Row],[Out-Time2]] - 表格3_5[[#This Row],[In-Time2]])*24</f>
        <v>0</v>
      </c>
      <c r="Q1945" s="205"/>
      <c r="R1945" s="214">
        <f>_xlfn.XLOOKUP(表格3_5[[#This Row],[Name]],Name_list[Full Name],Name_list[Hourr Rate])</f>
        <v>0</v>
      </c>
      <c r="S1945" s="210">
        <f>表格3_5[[#This Row],[Hours Worked]]*表格3_5[[#This Row],[Hourly Rate]]</f>
        <v>0</v>
      </c>
    </row>
    <row r="1946" spans="1:19">
      <c r="A1946" s="201">
        <v>1944</v>
      </c>
      <c r="B1946" s="210" t="str">
        <f>_xlfn.CONCAT(表格3_5[[#This Row],[Name]],表格3_5[[#This Row],[Location]])</f>
        <v/>
      </c>
      <c r="C1946" s="211" t="str">
        <f>表格3_5[[#This Row],[Location]] &amp; 表格3_5[[#This Row],[Date]] &amp;表格3_5[[#This Row],[Nick Name]]</f>
        <v>0</v>
      </c>
      <c r="D1946" s="202"/>
      <c r="E1946" s="211" t="str">
        <f>DAY(表格3_5[[#This Row],[Date]])&amp;""</f>
        <v>0</v>
      </c>
      <c r="F1946" s="203"/>
      <c r="G1946" s="216">
        <f>_xlfn.XLOOKUP(表格3_5[[#This Row],[Name]],Name_list[Full Name],Name_list[Nick Name])</f>
        <v>0</v>
      </c>
      <c r="H1946" s="207"/>
      <c r="I1946" s="228"/>
      <c r="J1946" s="218"/>
      <c r="K1946" s="205"/>
      <c r="L1946" s="210">
        <f>(表格3_5[[#This Row],[Out-Time]] - 表格3_5[[#This Row],[In-Time]])*24</f>
        <v>0</v>
      </c>
      <c r="M1946" s="210">
        <f>表格3_5[[#This Row],[ Hours]]-表格3_5[[#This Row],[Normal working
 hours]]</f>
        <v>0</v>
      </c>
      <c r="N1946" s="205"/>
      <c r="O1946" s="205"/>
      <c r="P1946" s="210">
        <f>(表格3_5[[#This Row],[Out-Time2]] - 表格3_5[[#This Row],[In-Time2]])*24</f>
        <v>0</v>
      </c>
      <c r="Q1946" s="205"/>
      <c r="R1946" s="214">
        <f>_xlfn.XLOOKUP(表格3_5[[#This Row],[Name]],Name_list[Full Name],Name_list[Hourr Rate])</f>
        <v>0</v>
      </c>
      <c r="S1946" s="210">
        <f>表格3_5[[#This Row],[Hours Worked]]*表格3_5[[#This Row],[Hourly Rate]]</f>
        <v>0</v>
      </c>
    </row>
    <row r="1947" spans="1:19">
      <c r="A1947" s="201">
        <v>1945</v>
      </c>
      <c r="B1947" s="210" t="str">
        <f>_xlfn.CONCAT(表格3_5[[#This Row],[Name]],表格3_5[[#This Row],[Location]])</f>
        <v/>
      </c>
      <c r="C1947" s="211" t="str">
        <f>表格3_5[[#This Row],[Location]] &amp; 表格3_5[[#This Row],[Date]] &amp;表格3_5[[#This Row],[Nick Name]]</f>
        <v>0</v>
      </c>
      <c r="D1947" s="202"/>
      <c r="E1947" s="211" t="str">
        <f>DAY(表格3_5[[#This Row],[Date]])&amp;""</f>
        <v>0</v>
      </c>
      <c r="F1947" s="203"/>
      <c r="G1947" s="216">
        <f>_xlfn.XLOOKUP(表格3_5[[#This Row],[Name]],Name_list[Full Name],Name_list[Nick Name])</f>
        <v>0</v>
      </c>
      <c r="H1947" s="207"/>
      <c r="I1947" s="228"/>
      <c r="J1947" s="218"/>
      <c r="K1947" s="205"/>
      <c r="L1947" s="210">
        <f>(表格3_5[[#This Row],[Out-Time]] - 表格3_5[[#This Row],[In-Time]])*24</f>
        <v>0</v>
      </c>
      <c r="M1947" s="210">
        <f>表格3_5[[#This Row],[ Hours]]-表格3_5[[#This Row],[Normal working
 hours]]</f>
        <v>0</v>
      </c>
      <c r="N1947" s="205"/>
      <c r="O1947" s="205"/>
      <c r="P1947" s="210">
        <f>(表格3_5[[#This Row],[Out-Time2]] - 表格3_5[[#This Row],[In-Time2]])*24</f>
        <v>0</v>
      </c>
      <c r="Q1947" s="205"/>
      <c r="R1947" s="214">
        <f>_xlfn.XLOOKUP(表格3_5[[#This Row],[Name]],Name_list[Full Name],Name_list[Hourr Rate])</f>
        <v>0</v>
      </c>
      <c r="S1947" s="210">
        <f>表格3_5[[#This Row],[Hours Worked]]*表格3_5[[#This Row],[Hourly Rate]]</f>
        <v>0</v>
      </c>
    </row>
    <row r="1948" spans="1:19">
      <c r="A1948" s="201">
        <v>1946</v>
      </c>
      <c r="B1948" s="210" t="str">
        <f>_xlfn.CONCAT(表格3_5[[#This Row],[Name]],表格3_5[[#This Row],[Location]])</f>
        <v/>
      </c>
      <c r="C1948" s="211" t="str">
        <f>表格3_5[[#This Row],[Location]] &amp; 表格3_5[[#This Row],[Date]] &amp;表格3_5[[#This Row],[Nick Name]]</f>
        <v>0</v>
      </c>
      <c r="D1948" s="202"/>
      <c r="E1948" s="211" t="str">
        <f>DAY(表格3_5[[#This Row],[Date]])&amp;""</f>
        <v>0</v>
      </c>
      <c r="F1948" s="203"/>
      <c r="G1948" s="216">
        <f>_xlfn.XLOOKUP(表格3_5[[#This Row],[Name]],Name_list[Full Name],Name_list[Nick Name])</f>
        <v>0</v>
      </c>
      <c r="H1948" s="207"/>
      <c r="I1948" s="228"/>
      <c r="J1948" s="218"/>
      <c r="K1948" s="205"/>
      <c r="L1948" s="210">
        <f>(表格3_5[[#This Row],[Out-Time]] - 表格3_5[[#This Row],[In-Time]])*24</f>
        <v>0</v>
      </c>
      <c r="M1948" s="210">
        <f>表格3_5[[#This Row],[ Hours]]-表格3_5[[#This Row],[Normal working
 hours]]</f>
        <v>0</v>
      </c>
      <c r="N1948" s="205"/>
      <c r="O1948" s="205"/>
      <c r="P1948" s="210">
        <f>(表格3_5[[#This Row],[Out-Time2]] - 表格3_5[[#This Row],[In-Time2]])*24</f>
        <v>0</v>
      </c>
      <c r="Q1948" s="205"/>
      <c r="R1948" s="214">
        <f>_xlfn.XLOOKUP(表格3_5[[#This Row],[Name]],Name_list[Full Name],Name_list[Hourr Rate])</f>
        <v>0</v>
      </c>
      <c r="S1948" s="210">
        <f>表格3_5[[#This Row],[Hours Worked]]*表格3_5[[#This Row],[Hourly Rate]]</f>
        <v>0</v>
      </c>
    </row>
    <row r="1949" spans="1:19">
      <c r="A1949" s="201">
        <v>1947</v>
      </c>
      <c r="B1949" s="210" t="str">
        <f>_xlfn.CONCAT(表格3_5[[#This Row],[Name]],表格3_5[[#This Row],[Location]])</f>
        <v/>
      </c>
      <c r="C1949" s="211" t="str">
        <f>表格3_5[[#This Row],[Location]] &amp; 表格3_5[[#This Row],[Date]] &amp;表格3_5[[#This Row],[Nick Name]]</f>
        <v>0</v>
      </c>
      <c r="D1949" s="202"/>
      <c r="E1949" s="211" t="str">
        <f>DAY(表格3_5[[#This Row],[Date]])&amp;""</f>
        <v>0</v>
      </c>
      <c r="F1949" s="203"/>
      <c r="G1949" s="216">
        <f>_xlfn.XLOOKUP(表格3_5[[#This Row],[Name]],Name_list[Full Name],Name_list[Nick Name])</f>
        <v>0</v>
      </c>
      <c r="H1949" s="207"/>
      <c r="I1949" s="228"/>
      <c r="J1949" s="218"/>
      <c r="K1949" s="205"/>
      <c r="L1949" s="210">
        <f>(表格3_5[[#This Row],[Out-Time]] - 表格3_5[[#This Row],[In-Time]])*24</f>
        <v>0</v>
      </c>
      <c r="M1949" s="210">
        <f>表格3_5[[#This Row],[ Hours]]-表格3_5[[#This Row],[Normal working
 hours]]</f>
        <v>0</v>
      </c>
      <c r="N1949" s="205"/>
      <c r="O1949" s="205"/>
      <c r="P1949" s="210">
        <f>(表格3_5[[#This Row],[Out-Time2]] - 表格3_5[[#This Row],[In-Time2]])*24</f>
        <v>0</v>
      </c>
      <c r="Q1949" s="205"/>
      <c r="R1949" s="214">
        <f>_xlfn.XLOOKUP(表格3_5[[#This Row],[Name]],Name_list[Full Name],Name_list[Hourr Rate])</f>
        <v>0</v>
      </c>
      <c r="S1949" s="210">
        <f>表格3_5[[#This Row],[Hours Worked]]*表格3_5[[#This Row],[Hourly Rate]]</f>
        <v>0</v>
      </c>
    </row>
    <row r="1950" spans="1:19">
      <c r="A1950" s="201">
        <v>1948</v>
      </c>
      <c r="B1950" s="210" t="str">
        <f>_xlfn.CONCAT(表格3_5[[#This Row],[Name]],表格3_5[[#This Row],[Location]])</f>
        <v/>
      </c>
      <c r="C1950" s="211" t="str">
        <f>表格3_5[[#This Row],[Location]] &amp; 表格3_5[[#This Row],[Date]] &amp;表格3_5[[#This Row],[Nick Name]]</f>
        <v>0</v>
      </c>
      <c r="D1950" s="202"/>
      <c r="E1950" s="211" t="str">
        <f>DAY(表格3_5[[#This Row],[Date]])&amp;""</f>
        <v>0</v>
      </c>
      <c r="F1950" s="203"/>
      <c r="G1950" s="216">
        <f>_xlfn.XLOOKUP(表格3_5[[#This Row],[Name]],Name_list[Full Name],Name_list[Nick Name])</f>
        <v>0</v>
      </c>
      <c r="H1950" s="207"/>
      <c r="I1950" s="228"/>
      <c r="J1950" s="218"/>
      <c r="K1950" s="205"/>
      <c r="L1950" s="210">
        <f>(表格3_5[[#This Row],[Out-Time]] - 表格3_5[[#This Row],[In-Time]])*24</f>
        <v>0</v>
      </c>
      <c r="M1950" s="210">
        <f>表格3_5[[#This Row],[ Hours]]-表格3_5[[#This Row],[Normal working
 hours]]</f>
        <v>0</v>
      </c>
      <c r="N1950" s="205"/>
      <c r="O1950" s="205"/>
      <c r="P1950" s="210">
        <f>(表格3_5[[#This Row],[Out-Time2]] - 表格3_5[[#This Row],[In-Time2]])*24</f>
        <v>0</v>
      </c>
      <c r="Q1950" s="205"/>
      <c r="R1950" s="214">
        <f>_xlfn.XLOOKUP(表格3_5[[#This Row],[Name]],Name_list[Full Name],Name_list[Hourr Rate])</f>
        <v>0</v>
      </c>
      <c r="S1950" s="210">
        <f>表格3_5[[#This Row],[Hours Worked]]*表格3_5[[#This Row],[Hourly Rate]]</f>
        <v>0</v>
      </c>
    </row>
    <row r="1951" spans="1:19">
      <c r="A1951" s="201">
        <v>1949</v>
      </c>
      <c r="B1951" s="210" t="str">
        <f>_xlfn.CONCAT(表格3_5[[#This Row],[Name]],表格3_5[[#This Row],[Location]])</f>
        <v/>
      </c>
      <c r="C1951" s="211" t="str">
        <f>表格3_5[[#This Row],[Location]] &amp; 表格3_5[[#This Row],[Date]] &amp;表格3_5[[#This Row],[Nick Name]]</f>
        <v>0</v>
      </c>
      <c r="D1951" s="202"/>
      <c r="E1951" s="211" t="str">
        <f>DAY(表格3_5[[#This Row],[Date]])&amp;""</f>
        <v>0</v>
      </c>
      <c r="F1951" s="203"/>
      <c r="G1951" s="216">
        <f>_xlfn.XLOOKUP(表格3_5[[#This Row],[Name]],Name_list[Full Name],Name_list[Nick Name])</f>
        <v>0</v>
      </c>
      <c r="H1951" s="207"/>
      <c r="I1951" s="228"/>
      <c r="J1951" s="218"/>
      <c r="K1951" s="205"/>
      <c r="L1951" s="210">
        <f>(表格3_5[[#This Row],[Out-Time]] - 表格3_5[[#This Row],[In-Time]])*24</f>
        <v>0</v>
      </c>
      <c r="M1951" s="210">
        <f>表格3_5[[#This Row],[ Hours]]-表格3_5[[#This Row],[Normal working
 hours]]</f>
        <v>0</v>
      </c>
      <c r="N1951" s="205"/>
      <c r="O1951" s="205"/>
      <c r="P1951" s="210">
        <f>(表格3_5[[#This Row],[Out-Time2]] - 表格3_5[[#This Row],[In-Time2]])*24</f>
        <v>0</v>
      </c>
      <c r="Q1951" s="205"/>
      <c r="R1951" s="214">
        <f>_xlfn.XLOOKUP(表格3_5[[#This Row],[Name]],Name_list[Full Name],Name_list[Hourr Rate])</f>
        <v>0</v>
      </c>
      <c r="S1951" s="210">
        <f>表格3_5[[#This Row],[Hours Worked]]*表格3_5[[#This Row],[Hourly Rate]]</f>
        <v>0</v>
      </c>
    </row>
    <row r="1952" spans="1:19">
      <c r="A1952" s="201">
        <v>1950</v>
      </c>
      <c r="B1952" s="210" t="str">
        <f>_xlfn.CONCAT(表格3_5[[#This Row],[Name]],表格3_5[[#This Row],[Location]])</f>
        <v/>
      </c>
      <c r="C1952" s="211" t="str">
        <f>表格3_5[[#This Row],[Location]] &amp; 表格3_5[[#This Row],[Date]] &amp;表格3_5[[#This Row],[Nick Name]]</f>
        <v>0</v>
      </c>
      <c r="D1952" s="202"/>
      <c r="E1952" s="211" t="str">
        <f>DAY(表格3_5[[#This Row],[Date]])&amp;""</f>
        <v>0</v>
      </c>
      <c r="F1952" s="203"/>
      <c r="G1952" s="216">
        <f>_xlfn.XLOOKUP(表格3_5[[#This Row],[Name]],Name_list[Full Name],Name_list[Nick Name])</f>
        <v>0</v>
      </c>
      <c r="H1952" s="207"/>
      <c r="I1952" s="228"/>
      <c r="J1952" s="218"/>
      <c r="K1952" s="205"/>
      <c r="L1952" s="210">
        <f>(表格3_5[[#This Row],[Out-Time]] - 表格3_5[[#This Row],[In-Time]])*24</f>
        <v>0</v>
      </c>
      <c r="M1952" s="210">
        <f>表格3_5[[#This Row],[ Hours]]-表格3_5[[#This Row],[Normal working
 hours]]</f>
        <v>0</v>
      </c>
      <c r="N1952" s="205"/>
      <c r="O1952" s="205"/>
      <c r="P1952" s="210">
        <f>(表格3_5[[#This Row],[Out-Time2]] - 表格3_5[[#This Row],[In-Time2]])*24</f>
        <v>0</v>
      </c>
      <c r="Q1952" s="205"/>
      <c r="R1952" s="214">
        <f>_xlfn.XLOOKUP(表格3_5[[#This Row],[Name]],Name_list[Full Name],Name_list[Hourr Rate])</f>
        <v>0</v>
      </c>
      <c r="S1952" s="210">
        <f>表格3_5[[#This Row],[Hours Worked]]*表格3_5[[#This Row],[Hourly Rate]]</f>
        <v>0</v>
      </c>
    </row>
    <row r="1953" spans="1:19">
      <c r="A1953" s="201">
        <v>1951</v>
      </c>
      <c r="B1953" s="210" t="str">
        <f>_xlfn.CONCAT(表格3_5[[#This Row],[Name]],表格3_5[[#This Row],[Location]])</f>
        <v/>
      </c>
      <c r="C1953" s="211" t="str">
        <f>表格3_5[[#This Row],[Location]] &amp; 表格3_5[[#This Row],[Date]] &amp;表格3_5[[#This Row],[Nick Name]]</f>
        <v>0</v>
      </c>
      <c r="D1953" s="202"/>
      <c r="E1953" s="211" t="str">
        <f>DAY(表格3_5[[#This Row],[Date]])&amp;""</f>
        <v>0</v>
      </c>
      <c r="F1953" s="203"/>
      <c r="G1953" s="216">
        <f>_xlfn.XLOOKUP(表格3_5[[#This Row],[Name]],Name_list[Full Name],Name_list[Nick Name])</f>
        <v>0</v>
      </c>
      <c r="H1953" s="207"/>
      <c r="I1953" s="228"/>
      <c r="J1953" s="218"/>
      <c r="K1953" s="205"/>
      <c r="L1953" s="210">
        <f>(表格3_5[[#This Row],[Out-Time]] - 表格3_5[[#This Row],[In-Time]])*24</f>
        <v>0</v>
      </c>
      <c r="M1953" s="210">
        <f>表格3_5[[#This Row],[ Hours]]-表格3_5[[#This Row],[Normal working
 hours]]</f>
        <v>0</v>
      </c>
      <c r="N1953" s="205"/>
      <c r="O1953" s="205"/>
      <c r="P1953" s="210">
        <f>(表格3_5[[#This Row],[Out-Time2]] - 表格3_5[[#This Row],[In-Time2]])*24</f>
        <v>0</v>
      </c>
      <c r="Q1953" s="205"/>
      <c r="R1953" s="214">
        <f>_xlfn.XLOOKUP(表格3_5[[#This Row],[Name]],Name_list[Full Name],Name_list[Hourr Rate])</f>
        <v>0</v>
      </c>
      <c r="S1953" s="210">
        <f>表格3_5[[#This Row],[Hours Worked]]*表格3_5[[#This Row],[Hourly Rate]]</f>
        <v>0</v>
      </c>
    </row>
    <row r="1954" spans="1:19">
      <c r="A1954" s="201">
        <v>1952</v>
      </c>
      <c r="B1954" s="210" t="str">
        <f>_xlfn.CONCAT(表格3_5[[#This Row],[Name]],表格3_5[[#This Row],[Location]])</f>
        <v/>
      </c>
      <c r="C1954" s="211" t="str">
        <f>表格3_5[[#This Row],[Location]] &amp; 表格3_5[[#This Row],[Date]] &amp;表格3_5[[#This Row],[Nick Name]]</f>
        <v>0</v>
      </c>
      <c r="D1954" s="202"/>
      <c r="E1954" s="211" t="str">
        <f>DAY(表格3_5[[#This Row],[Date]])&amp;""</f>
        <v>0</v>
      </c>
      <c r="F1954" s="203"/>
      <c r="G1954" s="216">
        <f>_xlfn.XLOOKUP(表格3_5[[#This Row],[Name]],Name_list[Full Name],Name_list[Nick Name])</f>
        <v>0</v>
      </c>
      <c r="H1954" s="207"/>
      <c r="I1954" s="228"/>
      <c r="J1954" s="218"/>
      <c r="K1954" s="205"/>
      <c r="L1954" s="210">
        <f>(表格3_5[[#This Row],[Out-Time]] - 表格3_5[[#This Row],[In-Time]])*24</f>
        <v>0</v>
      </c>
      <c r="M1954" s="210">
        <f>表格3_5[[#This Row],[ Hours]]-表格3_5[[#This Row],[Normal working
 hours]]</f>
        <v>0</v>
      </c>
      <c r="N1954" s="205"/>
      <c r="O1954" s="205"/>
      <c r="P1954" s="210">
        <f>(表格3_5[[#This Row],[Out-Time2]] - 表格3_5[[#This Row],[In-Time2]])*24</f>
        <v>0</v>
      </c>
      <c r="Q1954" s="205"/>
      <c r="R1954" s="214">
        <f>_xlfn.XLOOKUP(表格3_5[[#This Row],[Name]],Name_list[Full Name],Name_list[Hourr Rate])</f>
        <v>0</v>
      </c>
      <c r="S1954" s="210">
        <f>表格3_5[[#This Row],[Hours Worked]]*表格3_5[[#This Row],[Hourly Rate]]</f>
        <v>0</v>
      </c>
    </row>
    <row r="1955" spans="1:19">
      <c r="A1955" s="201">
        <v>1953</v>
      </c>
      <c r="B1955" s="210" t="str">
        <f>_xlfn.CONCAT(表格3_5[[#This Row],[Name]],表格3_5[[#This Row],[Location]])</f>
        <v/>
      </c>
      <c r="C1955" s="211" t="str">
        <f>表格3_5[[#This Row],[Location]] &amp; 表格3_5[[#This Row],[Date]] &amp;表格3_5[[#This Row],[Nick Name]]</f>
        <v>0</v>
      </c>
      <c r="D1955" s="202"/>
      <c r="E1955" s="211" t="str">
        <f>DAY(表格3_5[[#This Row],[Date]])&amp;""</f>
        <v>0</v>
      </c>
      <c r="F1955" s="203"/>
      <c r="G1955" s="216">
        <f>_xlfn.XLOOKUP(表格3_5[[#This Row],[Name]],Name_list[Full Name],Name_list[Nick Name])</f>
        <v>0</v>
      </c>
      <c r="H1955" s="207"/>
      <c r="I1955" s="228"/>
      <c r="J1955" s="218"/>
      <c r="K1955" s="205"/>
      <c r="L1955" s="210">
        <f>(表格3_5[[#This Row],[Out-Time]] - 表格3_5[[#This Row],[In-Time]])*24</f>
        <v>0</v>
      </c>
      <c r="M1955" s="210">
        <f>表格3_5[[#This Row],[ Hours]]-表格3_5[[#This Row],[Normal working
 hours]]</f>
        <v>0</v>
      </c>
      <c r="N1955" s="205"/>
      <c r="O1955" s="205"/>
      <c r="P1955" s="210">
        <f>(表格3_5[[#This Row],[Out-Time2]] - 表格3_5[[#This Row],[In-Time2]])*24</f>
        <v>0</v>
      </c>
      <c r="Q1955" s="205"/>
      <c r="R1955" s="214">
        <f>_xlfn.XLOOKUP(表格3_5[[#This Row],[Name]],Name_list[Full Name],Name_list[Hourr Rate])</f>
        <v>0</v>
      </c>
      <c r="S1955" s="210">
        <f>表格3_5[[#This Row],[Hours Worked]]*表格3_5[[#This Row],[Hourly Rate]]</f>
        <v>0</v>
      </c>
    </row>
    <row r="1956" spans="1:19">
      <c r="A1956" s="201">
        <v>1954</v>
      </c>
      <c r="B1956" s="210" t="str">
        <f>_xlfn.CONCAT(表格3_5[[#This Row],[Name]],表格3_5[[#This Row],[Location]])</f>
        <v/>
      </c>
      <c r="C1956" s="211" t="str">
        <f>表格3_5[[#This Row],[Location]] &amp; 表格3_5[[#This Row],[Date]] &amp;表格3_5[[#This Row],[Nick Name]]</f>
        <v>0</v>
      </c>
      <c r="D1956" s="202"/>
      <c r="E1956" s="211" t="str">
        <f>DAY(表格3_5[[#This Row],[Date]])&amp;""</f>
        <v>0</v>
      </c>
      <c r="F1956" s="203"/>
      <c r="G1956" s="216">
        <f>_xlfn.XLOOKUP(表格3_5[[#This Row],[Name]],Name_list[Full Name],Name_list[Nick Name])</f>
        <v>0</v>
      </c>
      <c r="H1956" s="207"/>
      <c r="I1956" s="228"/>
      <c r="J1956" s="218"/>
      <c r="K1956" s="205"/>
      <c r="L1956" s="210">
        <f>(表格3_5[[#This Row],[Out-Time]] - 表格3_5[[#This Row],[In-Time]])*24</f>
        <v>0</v>
      </c>
      <c r="M1956" s="210">
        <f>表格3_5[[#This Row],[ Hours]]-表格3_5[[#This Row],[Normal working
 hours]]</f>
        <v>0</v>
      </c>
      <c r="N1956" s="205"/>
      <c r="O1956" s="205"/>
      <c r="P1956" s="210">
        <f>(表格3_5[[#This Row],[Out-Time2]] - 表格3_5[[#This Row],[In-Time2]])*24</f>
        <v>0</v>
      </c>
      <c r="Q1956" s="205"/>
      <c r="R1956" s="214">
        <f>_xlfn.XLOOKUP(表格3_5[[#This Row],[Name]],Name_list[Full Name],Name_list[Hourr Rate])</f>
        <v>0</v>
      </c>
      <c r="S1956" s="210">
        <f>表格3_5[[#This Row],[Hours Worked]]*表格3_5[[#This Row],[Hourly Rate]]</f>
        <v>0</v>
      </c>
    </row>
    <row r="1957" spans="1:19">
      <c r="A1957" s="201">
        <v>1955</v>
      </c>
      <c r="B1957" s="210" t="str">
        <f>_xlfn.CONCAT(表格3_5[[#This Row],[Name]],表格3_5[[#This Row],[Location]])</f>
        <v/>
      </c>
      <c r="C1957" s="211" t="str">
        <f>表格3_5[[#This Row],[Location]] &amp; 表格3_5[[#This Row],[Date]] &amp;表格3_5[[#This Row],[Nick Name]]</f>
        <v>0</v>
      </c>
      <c r="D1957" s="202"/>
      <c r="E1957" s="211" t="str">
        <f>DAY(表格3_5[[#This Row],[Date]])&amp;""</f>
        <v>0</v>
      </c>
      <c r="F1957" s="203"/>
      <c r="G1957" s="216">
        <f>_xlfn.XLOOKUP(表格3_5[[#This Row],[Name]],Name_list[Full Name],Name_list[Nick Name])</f>
        <v>0</v>
      </c>
      <c r="H1957" s="207"/>
      <c r="I1957" s="228"/>
      <c r="J1957" s="218"/>
      <c r="K1957" s="205"/>
      <c r="L1957" s="210">
        <f>(表格3_5[[#This Row],[Out-Time]] - 表格3_5[[#This Row],[In-Time]])*24</f>
        <v>0</v>
      </c>
      <c r="M1957" s="210">
        <f>表格3_5[[#This Row],[ Hours]]-表格3_5[[#This Row],[Normal working
 hours]]</f>
        <v>0</v>
      </c>
      <c r="N1957" s="205"/>
      <c r="O1957" s="205"/>
      <c r="P1957" s="210">
        <f>(表格3_5[[#This Row],[Out-Time2]] - 表格3_5[[#This Row],[In-Time2]])*24</f>
        <v>0</v>
      </c>
      <c r="Q1957" s="205"/>
      <c r="R1957" s="214">
        <f>_xlfn.XLOOKUP(表格3_5[[#This Row],[Name]],Name_list[Full Name],Name_list[Hourr Rate])</f>
        <v>0</v>
      </c>
      <c r="S1957" s="210">
        <f>表格3_5[[#This Row],[Hours Worked]]*表格3_5[[#This Row],[Hourly Rate]]</f>
        <v>0</v>
      </c>
    </row>
    <row r="1958" spans="1:19">
      <c r="A1958" s="201">
        <v>1956</v>
      </c>
      <c r="B1958" s="210" t="str">
        <f>_xlfn.CONCAT(表格3_5[[#This Row],[Name]],表格3_5[[#This Row],[Location]])</f>
        <v/>
      </c>
      <c r="C1958" s="211" t="str">
        <f>表格3_5[[#This Row],[Location]] &amp; 表格3_5[[#This Row],[Date]] &amp;表格3_5[[#This Row],[Nick Name]]</f>
        <v>0</v>
      </c>
      <c r="D1958" s="202"/>
      <c r="E1958" s="211" t="str">
        <f>DAY(表格3_5[[#This Row],[Date]])&amp;""</f>
        <v>0</v>
      </c>
      <c r="F1958" s="203"/>
      <c r="G1958" s="216">
        <f>_xlfn.XLOOKUP(表格3_5[[#This Row],[Name]],Name_list[Full Name],Name_list[Nick Name])</f>
        <v>0</v>
      </c>
      <c r="H1958" s="207"/>
      <c r="I1958" s="228"/>
      <c r="J1958" s="218"/>
      <c r="K1958" s="205"/>
      <c r="L1958" s="210">
        <f>(表格3_5[[#This Row],[Out-Time]] - 表格3_5[[#This Row],[In-Time]])*24</f>
        <v>0</v>
      </c>
      <c r="M1958" s="210">
        <f>表格3_5[[#This Row],[ Hours]]-表格3_5[[#This Row],[Normal working
 hours]]</f>
        <v>0</v>
      </c>
      <c r="N1958" s="205"/>
      <c r="O1958" s="205"/>
      <c r="P1958" s="210">
        <f>(表格3_5[[#This Row],[Out-Time2]] - 表格3_5[[#This Row],[In-Time2]])*24</f>
        <v>0</v>
      </c>
      <c r="Q1958" s="205"/>
      <c r="R1958" s="214">
        <f>_xlfn.XLOOKUP(表格3_5[[#This Row],[Name]],Name_list[Full Name],Name_list[Hourr Rate])</f>
        <v>0</v>
      </c>
      <c r="S1958" s="210">
        <f>表格3_5[[#This Row],[Hours Worked]]*表格3_5[[#This Row],[Hourly Rate]]</f>
        <v>0</v>
      </c>
    </row>
    <row r="1959" spans="1:19">
      <c r="A1959" s="201">
        <v>1957</v>
      </c>
      <c r="B1959" s="210" t="str">
        <f>_xlfn.CONCAT(表格3_5[[#This Row],[Name]],表格3_5[[#This Row],[Location]])</f>
        <v/>
      </c>
      <c r="C1959" s="211" t="str">
        <f>表格3_5[[#This Row],[Location]] &amp; 表格3_5[[#This Row],[Date]] &amp;表格3_5[[#This Row],[Nick Name]]</f>
        <v>0</v>
      </c>
      <c r="D1959" s="202"/>
      <c r="E1959" s="211" t="str">
        <f>DAY(表格3_5[[#This Row],[Date]])&amp;""</f>
        <v>0</v>
      </c>
      <c r="F1959" s="203"/>
      <c r="G1959" s="216">
        <f>_xlfn.XLOOKUP(表格3_5[[#This Row],[Name]],Name_list[Full Name],Name_list[Nick Name])</f>
        <v>0</v>
      </c>
      <c r="H1959" s="207"/>
      <c r="I1959" s="228"/>
      <c r="J1959" s="218"/>
      <c r="K1959" s="205"/>
      <c r="L1959" s="210">
        <f>(表格3_5[[#This Row],[Out-Time]] - 表格3_5[[#This Row],[In-Time]])*24</f>
        <v>0</v>
      </c>
      <c r="M1959" s="210">
        <f>表格3_5[[#This Row],[ Hours]]-表格3_5[[#This Row],[Normal working
 hours]]</f>
        <v>0</v>
      </c>
      <c r="N1959" s="205"/>
      <c r="O1959" s="205"/>
      <c r="P1959" s="210">
        <f>(表格3_5[[#This Row],[Out-Time2]] - 表格3_5[[#This Row],[In-Time2]])*24</f>
        <v>0</v>
      </c>
      <c r="Q1959" s="205"/>
      <c r="R1959" s="214">
        <f>_xlfn.XLOOKUP(表格3_5[[#This Row],[Name]],Name_list[Full Name],Name_list[Hourr Rate])</f>
        <v>0</v>
      </c>
      <c r="S1959" s="210">
        <f>表格3_5[[#This Row],[Hours Worked]]*表格3_5[[#This Row],[Hourly Rate]]</f>
        <v>0</v>
      </c>
    </row>
    <row r="1960" spans="1:19">
      <c r="A1960" s="201">
        <v>1958</v>
      </c>
      <c r="B1960" s="210" t="str">
        <f>_xlfn.CONCAT(表格3_5[[#This Row],[Name]],表格3_5[[#This Row],[Location]])</f>
        <v/>
      </c>
      <c r="C1960" s="211" t="str">
        <f>表格3_5[[#This Row],[Location]] &amp; 表格3_5[[#This Row],[Date]] &amp;表格3_5[[#This Row],[Nick Name]]</f>
        <v>0</v>
      </c>
      <c r="D1960" s="202"/>
      <c r="E1960" s="211" t="str">
        <f>DAY(表格3_5[[#This Row],[Date]])&amp;""</f>
        <v>0</v>
      </c>
      <c r="F1960" s="203"/>
      <c r="G1960" s="216">
        <f>_xlfn.XLOOKUP(表格3_5[[#This Row],[Name]],Name_list[Full Name],Name_list[Nick Name])</f>
        <v>0</v>
      </c>
      <c r="H1960" s="207"/>
      <c r="I1960" s="228"/>
      <c r="J1960" s="218"/>
      <c r="K1960" s="205"/>
      <c r="L1960" s="210">
        <f>(表格3_5[[#This Row],[Out-Time]] - 表格3_5[[#This Row],[In-Time]])*24</f>
        <v>0</v>
      </c>
      <c r="M1960" s="210">
        <f>表格3_5[[#This Row],[ Hours]]-表格3_5[[#This Row],[Normal working
 hours]]</f>
        <v>0</v>
      </c>
      <c r="N1960" s="205"/>
      <c r="O1960" s="205"/>
      <c r="P1960" s="210">
        <f>(表格3_5[[#This Row],[Out-Time2]] - 表格3_5[[#This Row],[In-Time2]])*24</f>
        <v>0</v>
      </c>
      <c r="Q1960" s="205"/>
      <c r="R1960" s="214">
        <f>_xlfn.XLOOKUP(表格3_5[[#This Row],[Name]],Name_list[Full Name],Name_list[Hourr Rate])</f>
        <v>0</v>
      </c>
      <c r="S1960" s="210">
        <f>表格3_5[[#This Row],[Hours Worked]]*表格3_5[[#This Row],[Hourly Rate]]</f>
        <v>0</v>
      </c>
    </row>
    <row r="1961" spans="1:19">
      <c r="A1961" s="201">
        <v>1959</v>
      </c>
      <c r="B1961" s="210" t="str">
        <f>_xlfn.CONCAT(表格3_5[[#This Row],[Name]],表格3_5[[#This Row],[Location]])</f>
        <v/>
      </c>
      <c r="C1961" s="211" t="str">
        <f>表格3_5[[#This Row],[Location]] &amp; 表格3_5[[#This Row],[Date]] &amp;表格3_5[[#This Row],[Nick Name]]</f>
        <v>0</v>
      </c>
      <c r="D1961" s="202"/>
      <c r="E1961" s="211" t="str">
        <f>DAY(表格3_5[[#This Row],[Date]])&amp;""</f>
        <v>0</v>
      </c>
      <c r="F1961" s="203"/>
      <c r="G1961" s="216">
        <f>_xlfn.XLOOKUP(表格3_5[[#This Row],[Name]],Name_list[Full Name],Name_list[Nick Name])</f>
        <v>0</v>
      </c>
      <c r="H1961" s="207"/>
      <c r="I1961" s="228"/>
      <c r="J1961" s="218"/>
      <c r="K1961" s="205"/>
      <c r="L1961" s="210">
        <f>(表格3_5[[#This Row],[Out-Time]] - 表格3_5[[#This Row],[In-Time]])*24</f>
        <v>0</v>
      </c>
      <c r="M1961" s="210">
        <f>表格3_5[[#This Row],[ Hours]]-表格3_5[[#This Row],[Normal working
 hours]]</f>
        <v>0</v>
      </c>
      <c r="N1961" s="205"/>
      <c r="O1961" s="205"/>
      <c r="P1961" s="210">
        <f>(表格3_5[[#This Row],[Out-Time2]] - 表格3_5[[#This Row],[In-Time2]])*24</f>
        <v>0</v>
      </c>
      <c r="Q1961" s="205"/>
      <c r="R1961" s="214">
        <f>_xlfn.XLOOKUP(表格3_5[[#This Row],[Name]],Name_list[Full Name],Name_list[Hourr Rate])</f>
        <v>0</v>
      </c>
      <c r="S1961" s="210">
        <f>表格3_5[[#This Row],[Hours Worked]]*表格3_5[[#This Row],[Hourly Rate]]</f>
        <v>0</v>
      </c>
    </row>
    <row r="1962" spans="1:19">
      <c r="A1962" s="201">
        <v>1960</v>
      </c>
      <c r="B1962" s="210" t="str">
        <f>_xlfn.CONCAT(表格3_5[[#This Row],[Name]],表格3_5[[#This Row],[Location]])</f>
        <v/>
      </c>
      <c r="C1962" s="211" t="str">
        <f>表格3_5[[#This Row],[Location]] &amp; 表格3_5[[#This Row],[Date]] &amp;表格3_5[[#This Row],[Nick Name]]</f>
        <v>0</v>
      </c>
      <c r="D1962" s="202"/>
      <c r="E1962" s="211" t="str">
        <f>DAY(表格3_5[[#This Row],[Date]])&amp;""</f>
        <v>0</v>
      </c>
      <c r="F1962" s="203"/>
      <c r="G1962" s="216">
        <f>_xlfn.XLOOKUP(表格3_5[[#This Row],[Name]],Name_list[Full Name],Name_list[Nick Name])</f>
        <v>0</v>
      </c>
      <c r="H1962" s="207"/>
      <c r="I1962" s="228"/>
      <c r="J1962" s="218"/>
      <c r="K1962" s="205"/>
      <c r="L1962" s="210">
        <f>(表格3_5[[#This Row],[Out-Time]] - 表格3_5[[#This Row],[In-Time]])*24</f>
        <v>0</v>
      </c>
      <c r="M1962" s="210">
        <f>表格3_5[[#This Row],[ Hours]]-表格3_5[[#This Row],[Normal working
 hours]]</f>
        <v>0</v>
      </c>
      <c r="N1962" s="205"/>
      <c r="O1962" s="205"/>
      <c r="P1962" s="210">
        <f>(表格3_5[[#This Row],[Out-Time2]] - 表格3_5[[#This Row],[In-Time2]])*24</f>
        <v>0</v>
      </c>
      <c r="Q1962" s="205"/>
      <c r="R1962" s="214">
        <f>_xlfn.XLOOKUP(表格3_5[[#This Row],[Name]],Name_list[Full Name],Name_list[Hourr Rate])</f>
        <v>0</v>
      </c>
      <c r="S1962" s="210">
        <f>表格3_5[[#This Row],[Hours Worked]]*表格3_5[[#This Row],[Hourly Rate]]</f>
        <v>0</v>
      </c>
    </row>
    <row r="1963" spans="1:19">
      <c r="A1963" s="201">
        <v>1961</v>
      </c>
      <c r="B1963" s="210" t="str">
        <f>_xlfn.CONCAT(表格3_5[[#This Row],[Name]],表格3_5[[#This Row],[Location]])</f>
        <v/>
      </c>
      <c r="C1963" s="211" t="str">
        <f>表格3_5[[#This Row],[Location]] &amp; 表格3_5[[#This Row],[Date]] &amp;表格3_5[[#This Row],[Nick Name]]</f>
        <v>0</v>
      </c>
      <c r="D1963" s="202"/>
      <c r="E1963" s="211" t="str">
        <f>DAY(表格3_5[[#This Row],[Date]])&amp;""</f>
        <v>0</v>
      </c>
      <c r="F1963" s="203"/>
      <c r="G1963" s="216">
        <f>_xlfn.XLOOKUP(表格3_5[[#This Row],[Name]],Name_list[Full Name],Name_list[Nick Name])</f>
        <v>0</v>
      </c>
      <c r="H1963" s="207"/>
      <c r="I1963" s="228"/>
      <c r="J1963" s="218"/>
      <c r="K1963" s="205"/>
      <c r="L1963" s="210">
        <f>(表格3_5[[#This Row],[Out-Time]] - 表格3_5[[#This Row],[In-Time]])*24</f>
        <v>0</v>
      </c>
      <c r="M1963" s="210">
        <f>表格3_5[[#This Row],[ Hours]]-表格3_5[[#This Row],[Normal working
 hours]]</f>
        <v>0</v>
      </c>
      <c r="N1963" s="205"/>
      <c r="O1963" s="205"/>
      <c r="P1963" s="210">
        <f>(表格3_5[[#This Row],[Out-Time2]] - 表格3_5[[#This Row],[In-Time2]])*24</f>
        <v>0</v>
      </c>
      <c r="Q1963" s="205"/>
      <c r="R1963" s="214">
        <f>_xlfn.XLOOKUP(表格3_5[[#This Row],[Name]],Name_list[Full Name],Name_list[Hourr Rate])</f>
        <v>0</v>
      </c>
      <c r="S1963" s="210">
        <f>表格3_5[[#This Row],[Hours Worked]]*表格3_5[[#This Row],[Hourly Rate]]</f>
        <v>0</v>
      </c>
    </row>
    <row r="1964" spans="1:19">
      <c r="A1964" s="201">
        <v>1962</v>
      </c>
      <c r="B1964" s="210" t="str">
        <f>_xlfn.CONCAT(表格3_5[[#This Row],[Name]],表格3_5[[#This Row],[Location]])</f>
        <v/>
      </c>
      <c r="C1964" s="211" t="str">
        <f>表格3_5[[#This Row],[Location]] &amp; 表格3_5[[#This Row],[Date]] &amp;表格3_5[[#This Row],[Nick Name]]</f>
        <v>0</v>
      </c>
      <c r="D1964" s="202"/>
      <c r="E1964" s="211" t="str">
        <f>DAY(表格3_5[[#This Row],[Date]])&amp;""</f>
        <v>0</v>
      </c>
      <c r="F1964" s="203"/>
      <c r="G1964" s="216">
        <f>_xlfn.XLOOKUP(表格3_5[[#This Row],[Name]],Name_list[Full Name],Name_list[Nick Name])</f>
        <v>0</v>
      </c>
      <c r="H1964" s="207"/>
      <c r="I1964" s="228"/>
      <c r="J1964" s="218"/>
      <c r="K1964" s="205"/>
      <c r="L1964" s="210">
        <f>(表格3_5[[#This Row],[Out-Time]] - 表格3_5[[#This Row],[In-Time]])*24</f>
        <v>0</v>
      </c>
      <c r="M1964" s="210">
        <f>表格3_5[[#This Row],[ Hours]]-表格3_5[[#This Row],[Normal working
 hours]]</f>
        <v>0</v>
      </c>
      <c r="N1964" s="205"/>
      <c r="O1964" s="205"/>
      <c r="P1964" s="210">
        <f>(表格3_5[[#This Row],[Out-Time2]] - 表格3_5[[#This Row],[In-Time2]])*24</f>
        <v>0</v>
      </c>
      <c r="Q1964" s="205"/>
      <c r="R1964" s="214">
        <f>_xlfn.XLOOKUP(表格3_5[[#This Row],[Name]],Name_list[Full Name],Name_list[Hourr Rate])</f>
        <v>0</v>
      </c>
      <c r="S1964" s="210">
        <f>表格3_5[[#This Row],[Hours Worked]]*表格3_5[[#This Row],[Hourly Rate]]</f>
        <v>0</v>
      </c>
    </row>
    <row r="1965" spans="1:19">
      <c r="A1965" s="201">
        <v>1963</v>
      </c>
      <c r="B1965" s="210" t="str">
        <f>_xlfn.CONCAT(表格3_5[[#This Row],[Name]],表格3_5[[#This Row],[Location]])</f>
        <v/>
      </c>
      <c r="C1965" s="211" t="str">
        <f>表格3_5[[#This Row],[Location]] &amp; 表格3_5[[#This Row],[Date]] &amp;表格3_5[[#This Row],[Nick Name]]</f>
        <v>0</v>
      </c>
      <c r="D1965" s="202"/>
      <c r="E1965" s="211" t="str">
        <f>DAY(表格3_5[[#This Row],[Date]])&amp;""</f>
        <v>0</v>
      </c>
      <c r="F1965" s="203"/>
      <c r="G1965" s="216">
        <f>_xlfn.XLOOKUP(表格3_5[[#This Row],[Name]],Name_list[Full Name],Name_list[Nick Name])</f>
        <v>0</v>
      </c>
      <c r="H1965" s="207"/>
      <c r="I1965" s="228"/>
      <c r="J1965" s="218"/>
      <c r="K1965" s="205"/>
      <c r="L1965" s="210">
        <f>(表格3_5[[#This Row],[Out-Time]] - 表格3_5[[#This Row],[In-Time]])*24</f>
        <v>0</v>
      </c>
      <c r="M1965" s="210">
        <f>表格3_5[[#This Row],[ Hours]]-表格3_5[[#This Row],[Normal working
 hours]]</f>
        <v>0</v>
      </c>
      <c r="N1965" s="205"/>
      <c r="O1965" s="205"/>
      <c r="P1965" s="210">
        <f>(表格3_5[[#This Row],[Out-Time2]] - 表格3_5[[#This Row],[In-Time2]])*24</f>
        <v>0</v>
      </c>
      <c r="Q1965" s="205"/>
      <c r="R1965" s="214">
        <f>_xlfn.XLOOKUP(表格3_5[[#This Row],[Name]],Name_list[Full Name],Name_list[Hourr Rate])</f>
        <v>0</v>
      </c>
      <c r="S1965" s="210">
        <f>表格3_5[[#This Row],[Hours Worked]]*表格3_5[[#This Row],[Hourly Rate]]</f>
        <v>0</v>
      </c>
    </row>
    <row r="1966" spans="1:19">
      <c r="A1966" s="201">
        <v>1964</v>
      </c>
      <c r="B1966" s="210" t="str">
        <f>_xlfn.CONCAT(表格3_5[[#This Row],[Name]],表格3_5[[#This Row],[Location]])</f>
        <v/>
      </c>
      <c r="C1966" s="211" t="str">
        <f>表格3_5[[#This Row],[Location]] &amp; 表格3_5[[#This Row],[Date]] &amp;表格3_5[[#This Row],[Nick Name]]</f>
        <v>0</v>
      </c>
      <c r="D1966" s="202"/>
      <c r="E1966" s="211" t="str">
        <f>DAY(表格3_5[[#This Row],[Date]])&amp;""</f>
        <v>0</v>
      </c>
      <c r="F1966" s="203"/>
      <c r="G1966" s="216">
        <f>_xlfn.XLOOKUP(表格3_5[[#This Row],[Name]],Name_list[Full Name],Name_list[Nick Name])</f>
        <v>0</v>
      </c>
      <c r="H1966" s="207"/>
      <c r="I1966" s="228"/>
      <c r="J1966" s="218"/>
      <c r="K1966" s="205"/>
      <c r="L1966" s="210">
        <f>(表格3_5[[#This Row],[Out-Time]] - 表格3_5[[#This Row],[In-Time]])*24</f>
        <v>0</v>
      </c>
      <c r="M1966" s="210">
        <f>表格3_5[[#This Row],[ Hours]]-表格3_5[[#This Row],[Normal working
 hours]]</f>
        <v>0</v>
      </c>
      <c r="N1966" s="205"/>
      <c r="O1966" s="205"/>
      <c r="P1966" s="210">
        <f>(表格3_5[[#This Row],[Out-Time2]] - 表格3_5[[#This Row],[In-Time2]])*24</f>
        <v>0</v>
      </c>
      <c r="Q1966" s="205"/>
      <c r="R1966" s="214">
        <f>_xlfn.XLOOKUP(表格3_5[[#This Row],[Name]],Name_list[Full Name],Name_list[Hourr Rate])</f>
        <v>0</v>
      </c>
      <c r="S1966" s="210">
        <f>表格3_5[[#This Row],[Hours Worked]]*表格3_5[[#This Row],[Hourly Rate]]</f>
        <v>0</v>
      </c>
    </row>
    <row r="1967" spans="1:19">
      <c r="A1967" s="201">
        <v>1965</v>
      </c>
      <c r="B1967" s="210" t="str">
        <f>_xlfn.CONCAT(表格3_5[[#This Row],[Name]],表格3_5[[#This Row],[Location]])</f>
        <v/>
      </c>
      <c r="C1967" s="211" t="str">
        <f>表格3_5[[#This Row],[Location]] &amp; 表格3_5[[#This Row],[Date]] &amp;表格3_5[[#This Row],[Nick Name]]</f>
        <v>0</v>
      </c>
      <c r="D1967" s="202"/>
      <c r="E1967" s="211" t="str">
        <f>DAY(表格3_5[[#This Row],[Date]])&amp;""</f>
        <v>0</v>
      </c>
      <c r="F1967" s="203"/>
      <c r="G1967" s="216">
        <f>_xlfn.XLOOKUP(表格3_5[[#This Row],[Name]],Name_list[Full Name],Name_list[Nick Name])</f>
        <v>0</v>
      </c>
      <c r="H1967" s="207"/>
      <c r="I1967" s="228"/>
      <c r="J1967" s="218"/>
      <c r="K1967" s="205"/>
      <c r="L1967" s="210">
        <f>(表格3_5[[#This Row],[Out-Time]] - 表格3_5[[#This Row],[In-Time]])*24</f>
        <v>0</v>
      </c>
      <c r="M1967" s="210">
        <f>表格3_5[[#This Row],[ Hours]]-表格3_5[[#This Row],[Normal working
 hours]]</f>
        <v>0</v>
      </c>
      <c r="N1967" s="205"/>
      <c r="O1967" s="205"/>
      <c r="P1967" s="210">
        <f>(表格3_5[[#This Row],[Out-Time2]] - 表格3_5[[#This Row],[In-Time2]])*24</f>
        <v>0</v>
      </c>
      <c r="Q1967" s="205"/>
      <c r="R1967" s="214">
        <f>_xlfn.XLOOKUP(表格3_5[[#This Row],[Name]],Name_list[Full Name],Name_list[Hourr Rate])</f>
        <v>0</v>
      </c>
      <c r="S1967" s="210">
        <f>表格3_5[[#This Row],[Hours Worked]]*表格3_5[[#This Row],[Hourly Rate]]</f>
        <v>0</v>
      </c>
    </row>
    <row r="1968" spans="1:19">
      <c r="A1968" s="201">
        <v>1966</v>
      </c>
      <c r="B1968" s="210" t="str">
        <f>_xlfn.CONCAT(表格3_5[[#This Row],[Name]],表格3_5[[#This Row],[Location]])</f>
        <v/>
      </c>
      <c r="C1968" s="211" t="str">
        <f>表格3_5[[#This Row],[Location]] &amp; 表格3_5[[#This Row],[Date]] &amp;表格3_5[[#This Row],[Nick Name]]</f>
        <v>0</v>
      </c>
      <c r="D1968" s="202"/>
      <c r="E1968" s="211" t="str">
        <f>DAY(表格3_5[[#This Row],[Date]])&amp;""</f>
        <v>0</v>
      </c>
      <c r="F1968" s="203"/>
      <c r="G1968" s="216">
        <f>_xlfn.XLOOKUP(表格3_5[[#This Row],[Name]],Name_list[Full Name],Name_list[Nick Name])</f>
        <v>0</v>
      </c>
      <c r="H1968" s="207"/>
      <c r="I1968" s="228"/>
      <c r="J1968" s="218"/>
      <c r="K1968" s="205"/>
      <c r="L1968" s="210">
        <f>(表格3_5[[#This Row],[Out-Time]] - 表格3_5[[#This Row],[In-Time]])*24</f>
        <v>0</v>
      </c>
      <c r="M1968" s="210">
        <f>表格3_5[[#This Row],[ Hours]]-表格3_5[[#This Row],[Normal working
 hours]]</f>
        <v>0</v>
      </c>
      <c r="N1968" s="205"/>
      <c r="O1968" s="205"/>
      <c r="P1968" s="210">
        <f>(表格3_5[[#This Row],[Out-Time2]] - 表格3_5[[#This Row],[In-Time2]])*24</f>
        <v>0</v>
      </c>
      <c r="Q1968" s="205"/>
      <c r="R1968" s="214">
        <f>_xlfn.XLOOKUP(表格3_5[[#This Row],[Name]],Name_list[Full Name],Name_list[Hourr Rate])</f>
        <v>0</v>
      </c>
      <c r="S1968" s="210">
        <f>表格3_5[[#This Row],[Hours Worked]]*表格3_5[[#This Row],[Hourly Rate]]</f>
        <v>0</v>
      </c>
    </row>
    <row r="1969" spans="1:19">
      <c r="A1969" s="201">
        <v>1967</v>
      </c>
      <c r="B1969" s="210" t="str">
        <f>_xlfn.CONCAT(表格3_5[[#This Row],[Name]],表格3_5[[#This Row],[Location]])</f>
        <v/>
      </c>
      <c r="C1969" s="211" t="str">
        <f>表格3_5[[#This Row],[Location]] &amp; 表格3_5[[#This Row],[Date]] &amp;表格3_5[[#This Row],[Nick Name]]</f>
        <v>0</v>
      </c>
      <c r="D1969" s="202"/>
      <c r="E1969" s="211" t="str">
        <f>DAY(表格3_5[[#This Row],[Date]])&amp;""</f>
        <v>0</v>
      </c>
      <c r="F1969" s="203"/>
      <c r="G1969" s="216">
        <f>_xlfn.XLOOKUP(表格3_5[[#This Row],[Name]],Name_list[Full Name],Name_list[Nick Name])</f>
        <v>0</v>
      </c>
      <c r="H1969" s="207"/>
      <c r="I1969" s="228"/>
      <c r="J1969" s="218"/>
      <c r="K1969" s="205"/>
      <c r="L1969" s="210">
        <f>(表格3_5[[#This Row],[Out-Time]] - 表格3_5[[#This Row],[In-Time]])*24</f>
        <v>0</v>
      </c>
      <c r="M1969" s="210">
        <f>表格3_5[[#This Row],[ Hours]]-表格3_5[[#This Row],[Normal working
 hours]]</f>
        <v>0</v>
      </c>
      <c r="N1969" s="205"/>
      <c r="O1969" s="205"/>
      <c r="P1969" s="210">
        <f>(表格3_5[[#This Row],[Out-Time2]] - 表格3_5[[#This Row],[In-Time2]])*24</f>
        <v>0</v>
      </c>
      <c r="Q1969" s="205"/>
      <c r="R1969" s="214">
        <f>_xlfn.XLOOKUP(表格3_5[[#This Row],[Name]],Name_list[Full Name],Name_list[Hourr Rate])</f>
        <v>0</v>
      </c>
      <c r="S1969" s="210">
        <f>表格3_5[[#This Row],[Hours Worked]]*表格3_5[[#This Row],[Hourly Rate]]</f>
        <v>0</v>
      </c>
    </row>
    <row r="1970" spans="1:19">
      <c r="A1970" s="201">
        <v>1968</v>
      </c>
      <c r="B1970" s="210" t="str">
        <f>_xlfn.CONCAT(表格3_5[[#This Row],[Name]],表格3_5[[#This Row],[Location]])</f>
        <v/>
      </c>
      <c r="C1970" s="211" t="str">
        <f>表格3_5[[#This Row],[Location]] &amp; 表格3_5[[#This Row],[Date]] &amp;表格3_5[[#This Row],[Nick Name]]</f>
        <v>0</v>
      </c>
      <c r="D1970" s="202"/>
      <c r="E1970" s="211" t="str">
        <f>DAY(表格3_5[[#This Row],[Date]])&amp;""</f>
        <v>0</v>
      </c>
      <c r="F1970" s="203"/>
      <c r="G1970" s="216">
        <f>_xlfn.XLOOKUP(表格3_5[[#This Row],[Name]],Name_list[Full Name],Name_list[Nick Name])</f>
        <v>0</v>
      </c>
      <c r="H1970" s="207"/>
      <c r="I1970" s="228"/>
      <c r="J1970" s="218"/>
      <c r="K1970" s="205"/>
      <c r="L1970" s="210">
        <f>(表格3_5[[#This Row],[Out-Time]] - 表格3_5[[#This Row],[In-Time]])*24</f>
        <v>0</v>
      </c>
      <c r="M1970" s="210">
        <f>表格3_5[[#This Row],[ Hours]]-表格3_5[[#This Row],[Normal working
 hours]]</f>
        <v>0</v>
      </c>
      <c r="N1970" s="205"/>
      <c r="O1970" s="205"/>
      <c r="P1970" s="210">
        <f>(表格3_5[[#This Row],[Out-Time2]] - 表格3_5[[#This Row],[In-Time2]])*24</f>
        <v>0</v>
      </c>
      <c r="Q1970" s="205"/>
      <c r="R1970" s="214">
        <f>_xlfn.XLOOKUP(表格3_5[[#This Row],[Name]],Name_list[Full Name],Name_list[Hourr Rate])</f>
        <v>0</v>
      </c>
      <c r="S1970" s="210">
        <f>表格3_5[[#This Row],[Hours Worked]]*表格3_5[[#This Row],[Hourly Rate]]</f>
        <v>0</v>
      </c>
    </row>
    <row r="1971" spans="1:19">
      <c r="A1971" s="201">
        <v>1969</v>
      </c>
      <c r="B1971" s="210" t="str">
        <f>_xlfn.CONCAT(表格3_5[[#This Row],[Name]],表格3_5[[#This Row],[Location]])</f>
        <v/>
      </c>
      <c r="C1971" s="211" t="str">
        <f>表格3_5[[#This Row],[Location]] &amp; 表格3_5[[#This Row],[Date]] &amp;表格3_5[[#This Row],[Nick Name]]</f>
        <v>0</v>
      </c>
      <c r="D1971" s="202"/>
      <c r="E1971" s="211" t="str">
        <f>DAY(表格3_5[[#This Row],[Date]])&amp;""</f>
        <v>0</v>
      </c>
      <c r="F1971" s="203"/>
      <c r="G1971" s="216">
        <f>_xlfn.XLOOKUP(表格3_5[[#This Row],[Name]],Name_list[Full Name],Name_list[Nick Name])</f>
        <v>0</v>
      </c>
      <c r="H1971" s="207"/>
      <c r="I1971" s="228"/>
      <c r="J1971" s="218"/>
      <c r="K1971" s="205"/>
      <c r="L1971" s="210">
        <f>(表格3_5[[#This Row],[Out-Time]] - 表格3_5[[#This Row],[In-Time]])*24</f>
        <v>0</v>
      </c>
      <c r="M1971" s="210">
        <f>表格3_5[[#This Row],[ Hours]]-表格3_5[[#This Row],[Normal working
 hours]]</f>
        <v>0</v>
      </c>
      <c r="N1971" s="205"/>
      <c r="O1971" s="205"/>
      <c r="P1971" s="210">
        <f>(表格3_5[[#This Row],[Out-Time2]] - 表格3_5[[#This Row],[In-Time2]])*24</f>
        <v>0</v>
      </c>
      <c r="Q1971" s="205"/>
      <c r="R1971" s="214">
        <f>_xlfn.XLOOKUP(表格3_5[[#This Row],[Name]],Name_list[Full Name],Name_list[Hourr Rate])</f>
        <v>0</v>
      </c>
      <c r="S1971" s="210">
        <f>表格3_5[[#This Row],[Hours Worked]]*表格3_5[[#This Row],[Hourly Rate]]</f>
        <v>0</v>
      </c>
    </row>
    <row r="1972" spans="1:19">
      <c r="A1972" s="201">
        <v>1970</v>
      </c>
      <c r="B1972" s="210" t="str">
        <f>_xlfn.CONCAT(表格3_5[[#This Row],[Name]],表格3_5[[#This Row],[Location]])</f>
        <v/>
      </c>
      <c r="C1972" s="211" t="str">
        <f>表格3_5[[#This Row],[Location]] &amp; 表格3_5[[#This Row],[Date]] &amp;表格3_5[[#This Row],[Nick Name]]</f>
        <v>0</v>
      </c>
      <c r="D1972" s="202"/>
      <c r="E1972" s="211" t="str">
        <f>DAY(表格3_5[[#This Row],[Date]])&amp;""</f>
        <v>0</v>
      </c>
      <c r="F1972" s="203"/>
      <c r="G1972" s="216">
        <f>_xlfn.XLOOKUP(表格3_5[[#This Row],[Name]],Name_list[Full Name],Name_list[Nick Name])</f>
        <v>0</v>
      </c>
      <c r="H1972" s="207"/>
      <c r="I1972" s="228"/>
      <c r="J1972" s="218"/>
      <c r="K1972" s="205"/>
      <c r="L1972" s="210">
        <f>(表格3_5[[#This Row],[Out-Time]] - 表格3_5[[#This Row],[In-Time]])*24</f>
        <v>0</v>
      </c>
      <c r="M1972" s="210">
        <f>表格3_5[[#This Row],[ Hours]]-表格3_5[[#This Row],[Normal working
 hours]]</f>
        <v>0</v>
      </c>
      <c r="N1972" s="205"/>
      <c r="O1972" s="205"/>
      <c r="P1972" s="210">
        <f>(表格3_5[[#This Row],[Out-Time2]] - 表格3_5[[#This Row],[In-Time2]])*24</f>
        <v>0</v>
      </c>
      <c r="Q1972" s="205"/>
      <c r="R1972" s="214">
        <f>_xlfn.XLOOKUP(表格3_5[[#This Row],[Name]],Name_list[Full Name],Name_list[Hourr Rate])</f>
        <v>0</v>
      </c>
      <c r="S1972" s="210">
        <f>表格3_5[[#This Row],[Hours Worked]]*表格3_5[[#This Row],[Hourly Rate]]</f>
        <v>0</v>
      </c>
    </row>
    <row r="1973" spans="1:19">
      <c r="A1973" s="201">
        <v>1971</v>
      </c>
      <c r="B1973" s="210" t="str">
        <f>_xlfn.CONCAT(表格3_5[[#This Row],[Name]],表格3_5[[#This Row],[Location]])</f>
        <v/>
      </c>
      <c r="C1973" s="211" t="str">
        <f>表格3_5[[#This Row],[Location]] &amp; 表格3_5[[#This Row],[Date]] &amp;表格3_5[[#This Row],[Nick Name]]</f>
        <v>0</v>
      </c>
      <c r="D1973" s="202"/>
      <c r="E1973" s="211" t="str">
        <f>DAY(表格3_5[[#This Row],[Date]])&amp;""</f>
        <v>0</v>
      </c>
      <c r="F1973" s="203"/>
      <c r="G1973" s="216">
        <f>_xlfn.XLOOKUP(表格3_5[[#This Row],[Name]],Name_list[Full Name],Name_list[Nick Name])</f>
        <v>0</v>
      </c>
      <c r="H1973" s="207"/>
      <c r="I1973" s="228"/>
      <c r="J1973" s="218"/>
      <c r="K1973" s="205"/>
      <c r="L1973" s="210">
        <f>(表格3_5[[#This Row],[Out-Time]] - 表格3_5[[#This Row],[In-Time]])*24</f>
        <v>0</v>
      </c>
      <c r="M1973" s="210">
        <f>表格3_5[[#This Row],[ Hours]]-表格3_5[[#This Row],[Normal working
 hours]]</f>
        <v>0</v>
      </c>
      <c r="N1973" s="205"/>
      <c r="O1973" s="205"/>
      <c r="P1973" s="210">
        <f>(表格3_5[[#This Row],[Out-Time2]] - 表格3_5[[#This Row],[In-Time2]])*24</f>
        <v>0</v>
      </c>
      <c r="Q1973" s="205"/>
      <c r="R1973" s="214">
        <f>_xlfn.XLOOKUP(表格3_5[[#This Row],[Name]],Name_list[Full Name],Name_list[Hourr Rate])</f>
        <v>0</v>
      </c>
      <c r="S1973" s="210">
        <f>表格3_5[[#This Row],[Hours Worked]]*表格3_5[[#This Row],[Hourly Rate]]</f>
        <v>0</v>
      </c>
    </row>
    <row r="1974" spans="1:19">
      <c r="A1974" s="201">
        <v>1972</v>
      </c>
      <c r="B1974" s="210" t="str">
        <f>_xlfn.CONCAT(表格3_5[[#This Row],[Name]],表格3_5[[#This Row],[Location]])</f>
        <v/>
      </c>
      <c r="C1974" s="211" t="str">
        <f>表格3_5[[#This Row],[Location]] &amp; 表格3_5[[#This Row],[Date]] &amp;表格3_5[[#This Row],[Nick Name]]</f>
        <v>0</v>
      </c>
      <c r="D1974" s="202"/>
      <c r="E1974" s="211" t="str">
        <f>DAY(表格3_5[[#This Row],[Date]])&amp;""</f>
        <v>0</v>
      </c>
      <c r="F1974" s="203"/>
      <c r="G1974" s="216">
        <f>_xlfn.XLOOKUP(表格3_5[[#This Row],[Name]],Name_list[Full Name],Name_list[Nick Name])</f>
        <v>0</v>
      </c>
      <c r="H1974" s="207"/>
      <c r="I1974" s="228"/>
      <c r="J1974" s="218"/>
      <c r="K1974" s="205"/>
      <c r="L1974" s="210">
        <f>(表格3_5[[#This Row],[Out-Time]] - 表格3_5[[#This Row],[In-Time]])*24</f>
        <v>0</v>
      </c>
      <c r="M1974" s="210">
        <f>表格3_5[[#This Row],[ Hours]]-表格3_5[[#This Row],[Normal working
 hours]]</f>
        <v>0</v>
      </c>
      <c r="N1974" s="205"/>
      <c r="O1974" s="205"/>
      <c r="P1974" s="210">
        <f>(表格3_5[[#This Row],[Out-Time2]] - 表格3_5[[#This Row],[In-Time2]])*24</f>
        <v>0</v>
      </c>
      <c r="Q1974" s="205"/>
      <c r="R1974" s="214">
        <f>_xlfn.XLOOKUP(表格3_5[[#This Row],[Name]],Name_list[Full Name],Name_list[Hourr Rate])</f>
        <v>0</v>
      </c>
      <c r="S1974" s="210">
        <f>表格3_5[[#This Row],[Hours Worked]]*表格3_5[[#This Row],[Hourly Rate]]</f>
        <v>0</v>
      </c>
    </row>
    <row r="1975" spans="1:19">
      <c r="A1975" s="201">
        <v>1973</v>
      </c>
      <c r="B1975" s="210" t="str">
        <f>_xlfn.CONCAT(表格3_5[[#This Row],[Name]],表格3_5[[#This Row],[Location]])</f>
        <v/>
      </c>
      <c r="C1975" s="211" t="str">
        <f>表格3_5[[#This Row],[Location]] &amp; 表格3_5[[#This Row],[Date]] &amp;表格3_5[[#This Row],[Nick Name]]</f>
        <v>0</v>
      </c>
      <c r="D1975" s="202"/>
      <c r="E1975" s="211" t="str">
        <f>DAY(表格3_5[[#This Row],[Date]])&amp;""</f>
        <v>0</v>
      </c>
      <c r="F1975" s="203"/>
      <c r="G1975" s="216">
        <f>_xlfn.XLOOKUP(表格3_5[[#This Row],[Name]],Name_list[Full Name],Name_list[Nick Name])</f>
        <v>0</v>
      </c>
      <c r="H1975" s="207"/>
      <c r="I1975" s="228"/>
      <c r="J1975" s="218"/>
      <c r="K1975" s="205"/>
      <c r="L1975" s="210">
        <f>(表格3_5[[#This Row],[Out-Time]] - 表格3_5[[#This Row],[In-Time]])*24</f>
        <v>0</v>
      </c>
      <c r="M1975" s="210">
        <f>表格3_5[[#This Row],[ Hours]]-表格3_5[[#This Row],[Normal working
 hours]]</f>
        <v>0</v>
      </c>
      <c r="N1975" s="205"/>
      <c r="O1975" s="205"/>
      <c r="P1975" s="210">
        <f>(表格3_5[[#This Row],[Out-Time2]] - 表格3_5[[#This Row],[In-Time2]])*24</f>
        <v>0</v>
      </c>
      <c r="Q1975" s="205"/>
      <c r="R1975" s="214">
        <f>_xlfn.XLOOKUP(表格3_5[[#This Row],[Name]],Name_list[Full Name],Name_list[Hourr Rate])</f>
        <v>0</v>
      </c>
      <c r="S1975" s="210">
        <f>表格3_5[[#This Row],[Hours Worked]]*表格3_5[[#This Row],[Hourly Rate]]</f>
        <v>0</v>
      </c>
    </row>
    <row r="1976" spans="1:19">
      <c r="A1976" s="201">
        <v>1974</v>
      </c>
      <c r="B1976" s="210" t="str">
        <f>_xlfn.CONCAT(表格3_5[[#This Row],[Name]],表格3_5[[#This Row],[Location]])</f>
        <v/>
      </c>
      <c r="C1976" s="211" t="str">
        <f>表格3_5[[#This Row],[Location]] &amp; 表格3_5[[#This Row],[Date]] &amp;表格3_5[[#This Row],[Nick Name]]</f>
        <v>0</v>
      </c>
      <c r="D1976" s="202"/>
      <c r="E1976" s="211" t="str">
        <f>DAY(表格3_5[[#This Row],[Date]])&amp;""</f>
        <v>0</v>
      </c>
      <c r="F1976" s="203"/>
      <c r="G1976" s="216">
        <f>_xlfn.XLOOKUP(表格3_5[[#This Row],[Name]],Name_list[Full Name],Name_list[Nick Name])</f>
        <v>0</v>
      </c>
      <c r="H1976" s="207"/>
      <c r="I1976" s="228"/>
      <c r="J1976" s="218"/>
      <c r="K1976" s="205"/>
      <c r="L1976" s="210">
        <f>(表格3_5[[#This Row],[Out-Time]] - 表格3_5[[#This Row],[In-Time]])*24</f>
        <v>0</v>
      </c>
      <c r="M1976" s="210">
        <f>表格3_5[[#This Row],[ Hours]]-表格3_5[[#This Row],[Normal working
 hours]]</f>
        <v>0</v>
      </c>
      <c r="N1976" s="205"/>
      <c r="O1976" s="205"/>
      <c r="P1976" s="210">
        <f>(表格3_5[[#This Row],[Out-Time2]] - 表格3_5[[#This Row],[In-Time2]])*24</f>
        <v>0</v>
      </c>
      <c r="Q1976" s="205"/>
      <c r="R1976" s="214">
        <f>_xlfn.XLOOKUP(表格3_5[[#This Row],[Name]],Name_list[Full Name],Name_list[Hourr Rate])</f>
        <v>0</v>
      </c>
      <c r="S1976" s="210">
        <f>表格3_5[[#This Row],[Hours Worked]]*表格3_5[[#This Row],[Hourly Rate]]</f>
        <v>0</v>
      </c>
    </row>
    <row r="1977" spans="1:19">
      <c r="A1977" s="201">
        <v>1975</v>
      </c>
      <c r="B1977" s="210" t="str">
        <f>_xlfn.CONCAT(表格3_5[[#This Row],[Name]],表格3_5[[#This Row],[Location]])</f>
        <v/>
      </c>
      <c r="C1977" s="211" t="str">
        <f>表格3_5[[#This Row],[Location]] &amp; 表格3_5[[#This Row],[Date]] &amp;表格3_5[[#This Row],[Nick Name]]</f>
        <v>0</v>
      </c>
      <c r="D1977" s="202"/>
      <c r="E1977" s="211" t="str">
        <f>DAY(表格3_5[[#This Row],[Date]])&amp;""</f>
        <v>0</v>
      </c>
      <c r="F1977" s="203"/>
      <c r="G1977" s="216">
        <f>_xlfn.XLOOKUP(表格3_5[[#This Row],[Name]],Name_list[Full Name],Name_list[Nick Name])</f>
        <v>0</v>
      </c>
      <c r="H1977" s="207"/>
      <c r="I1977" s="228"/>
      <c r="J1977" s="218"/>
      <c r="K1977" s="205"/>
      <c r="L1977" s="210">
        <f>(表格3_5[[#This Row],[Out-Time]] - 表格3_5[[#This Row],[In-Time]])*24</f>
        <v>0</v>
      </c>
      <c r="M1977" s="210">
        <f>表格3_5[[#This Row],[ Hours]]-表格3_5[[#This Row],[Normal working
 hours]]</f>
        <v>0</v>
      </c>
      <c r="N1977" s="205"/>
      <c r="O1977" s="205"/>
      <c r="P1977" s="210">
        <f>(表格3_5[[#This Row],[Out-Time2]] - 表格3_5[[#This Row],[In-Time2]])*24</f>
        <v>0</v>
      </c>
      <c r="Q1977" s="205"/>
      <c r="R1977" s="214">
        <f>_xlfn.XLOOKUP(表格3_5[[#This Row],[Name]],Name_list[Full Name],Name_list[Hourr Rate])</f>
        <v>0</v>
      </c>
      <c r="S1977" s="210">
        <f>表格3_5[[#This Row],[Hours Worked]]*表格3_5[[#This Row],[Hourly Rate]]</f>
        <v>0</v>
      </c>
    </row>
    <row r="1978" spans="1:19">
      <c r="A1978" s="201">
        <v>1976</v>
      </c>
      <c r="B1978" s="210" t="str">
        <f>_xlfn.CONCAT(表格3_5[[#This Row],[Name]],表格3_5[[#This Row],[Location]])</f>
        <v/>
      </c>
      <c r="C1978" s="211" t="str">
        <f>表格3_5[[#This Row],[Location]] &amp; 表格3_5[[#This Row],[Date]] &amp;表格3_5[[#This Row],[Nick Name]]</f>
        <v>0</v>
      </c>
      <c r="D1978" s="202"/>
      <c r="E1978" s="211" t="str">
        <f>DAY(表格3_5[[#This Row],[Date]])&amp;""</f>
        <v>0</v>
      </c>
      <c r="F1978" s="203"/>
      <c r="G1978" s="216">
        <f>_xlfn.XLOOKUP(表格3_5[[#This Row],[Name]],Name_list[Full Name],Name_list[Nick Name])</f>
        <v>0</v>
      </c>
      <c r="H1978" s="207"/>
      <c r="I1978" s="228"/>
      <c r="J1978" s="218"/>
      <c r="K1978" s="205"/>
      <c r="L1978" s="210">
        <f>(表格3_5[[#This Row],[Out-Time]] - 表格3_5[[#This Row],[In-Time]])*24</f>
        <v>0</v>
      </c>
      <c r="M1978" s="210">
        <f>表格3_5[[#This Row],[ Hours]]-表格3_5[[#This Row],[Normal working
 hours]]</f>
        <v>0</v>
      </c>
      <c r="N1978" s="205"/>
      <c r="O1978" s="205"/>
      <c r="P1978" s="210">
        <f>(表格3_5[[#This Row],[Out-Time2]] - 表格3_5[[#This Row],[In-Time2]])*24</f>
        <v>0</v>
      </c>
      <c r="Q1978" s="205"/>
      <c r="R1978" s="214">
        <f>_xlfn.XLOOKUP(表格3_5[[#This Row],[Name]],Name_list[Full Name],Name_list[Hourr Rate])</f>
        <v>0</v>
      </c>
      <c r="S1978" s="210">
        <f>表格3_5[[#This Row],[Hours Worked]]*表格3_5[[#This Row],[Hourly Rate]]</f>
        <v>0</v>
      </c>
    </row>
    <row r="1979" spans="1:19">
      <c r="A1979" s="201">
        <v>1977</v>
      </c>
      <c r="B1979" s="210" t="str">
        <f>_xlfn.CONCAT(表格3_5[[#This Row],[Name]],表格3_5[[#This Row],[Location]])</f>
        <v/>
      </c>
      <c r="C1979" s="211" t="str">
        <f>表格3_5[[#This Row],[Location]] &amp; 表格3_5[[#This Row],[Date]] &amp;表格3_5[[#This Row],[Nick Name]]</f>
        <v>0</v>
      </c>
      <c r="D1979" s="202"/>
      <c r="E1979" s="211" t="str">
        <f>DAY(表格3_5[[#This Row],[Date]])&amp;""</f>
        <v>0</v>
      </c>
      <c r="F1979" s="203"/>
      <c r="G1979" s="216">
        <f>_xlfn.XLOOKUP(表格3_5[[#This Row],[Name]],Name_list[Full Name],Name_list[Nick Name])</f>
        <v>0</v>
      </c>
      <c r="H1979" s="207"/>
      <c r="I1979" s="228"/>
      <c r="J1979" s="218"/>
      <c r="K1979" s="205"/>
      <c r="L1979" s="210">
        <f>(表格3_5[[#This Row],[Out-Time]] - 表格3_5[[#This Row],[In-Time]])*24</f>
        <v>0</v>
      </c>
      <c r="M1979" s="210">
        <f>表格3_5[[#This Row],[ Hours]]-表格3_5[[#This Row],[Normal working
 hours]]</f>
        <v>0</v>
      </c>
      <c r="N1979" s="205"/>
      <c r="O1979" s="205"/>
      <c r="P1979" s="210">
        <f>(表格3_5[[#This Row],[Out-Time2]] - 表格3_5[[#This Row],[In-Time2]])*24</f>
        <v>0</v>
      </c>
      <c r="Q1979" s="205"/>
      <c r="R1979" s="214">
        <f>_xlfn.XLOOKUP(表格3_5[[#This Row],[Name]],Name_list[Full Name],Name_list[Hourr Rate])</f>
        <v>0</v>
      </c>
      <c r="S1979" s="210">
        <f>表格3_5[[#This Row],[Hours Worked]]*表格3_5[[#This Row],[Hourly Rate]]</f>
        <v>0</v>
      </c>
    </row>
    <row r="1980" spans="1:19">
      <c r="A1980" s="201">
        <v>1978</v>
      </c>
      <c r="B1980" s="210" t="str">
        <f>_xlfn.CONCAT(表格3_5[[#This Row],[Name]],表格3_5[[#This Row],[Location]])</f>
        <v/>
      </c>
      <c r="C1980" s="211" t="str">
        <f>表格3_5[[#This Row],[Location]] &amp; 表格3_5[[#This Row],[Date]] &amp;表格3_5[[#This Row],[Nick Name]]</f>
        <v>0</v>
      </c>
      <c r="D1980" s="202"/>
      <c r="E1980" s="211" t="str">
        <f>DAY(表格3_5[[#This Row],[Date]])&amp;""</f>
        <v>0</v>
      </c>
      <c r="F1980" s="203"/>
      <c r="G1980" s="216">
        <f>_xlfn.XLOOKUP(表格3_5[[#This Row],[Name]],Name_list[Full Name],Name_list[Nick Name])</f>
        <v>0</v>
      </c>
      <c r="H1980" s="207"/>
      <c r="I1980" s="228"/>
      <c r="J1980" s="218"/>
      <c r="K1980" s="205"/>
      <c r="L1980" s="210">
        <f>(表格3_5[[#This Row],[Out-Time]] - 表格3_5[[#This Row],[In-Time]])*24</f>
        <v>0</v>
      </c>
      <c r="M1980" s="210">
        <f>表格3_5[[#This Row],[ Hours]]-表格3_5[[#This Row],[Normal working
 hours]]</f>
        <v>0</v>
      </c>
      <c r="N1980" s="205"/>
      <c r="O1980" s="205"/>
      <c r="P1980" s="210">
        <f>(表格3_5[[#This Row],[Out-Time2]] - 表格3_5[[#This Row],[In-Time2]])*24</f>
        <v>0</v>
      </c>
      <c r="Q1980" s="205"/>
      <c r="R1980" s="214">
        <f>_xlfn.XLOOKUP(表格3_5[[#This Row],[Name]],Name_list[Full Name],Name_list[Hourr Rate])</f>
        <v>0</v>
      </c>
      <c r="S1980" s="210">
        <f>表格3_5[[#This Row],[Hours Worked]]*表格3_5[[#This Row],[Hourly Rate]]</f>
        <v>0</v>
      </c>
    </row>
    <row r="1981" spans="1:19">
      <c r="A1981" s="201">
        <v>1979</v>
      </c>
      <c r="B1981" s="210" t="str">
        <f>_xlfn.CONCAT(表格3_5[[#This Row],[Name]],表格3_5[[#This Row],[Location]])</f>
        <v/>
      </c>
      <c r="C1981" s="211" t="str">
        <f>表格3_5[[#This Row],[Location]] &amp; 表格3_5[[#This Row],[Date]] &amp;表格3_5[[#This Row],[Nick Name]]</f>
        <v>0</v>
      </c>
      <c r="D1981" s="202"/>
      <c r="E1981" s="211" t="str">
        <f>DAY(表格3_5[[#This Row],[Date]])&amp;""</f>
        <v>0</v>
      </c>
      <c r="F1981" s="203"/>
      <c r="G1981" s="216">
        <f>_xlfn.XLOOKUP(表格3_5[[#This Row],[Name]],Name_list[Full Name],Name_list[Nick Name])</f>
        <v>0</v>
      </c>
      <c r="H1981" s="207"/>
      <c r="I1981" s="228"/>
      <c r="J1981" s="218"/>
      <c r="K1981" s="205"/>
      <c r="L1981" s="210">
        <f>(表格3_5[[#This Row],[Out-Time]] - 表格3_5[[#This Row],[In-Time]])*24</f>
        <v>0</v>
      </c>
      <c r="M1981" s="210">
        <f>表格3_5[[#This Row],[ Hours]]-表格3_5[[#This Row],[Normal working
 hours]]</f>
        <v>0</v>
      </c>
      <c r="N1981" s="205"/>
      <c r="O1981" s="205"/>
      <c r="P1981" s="210">
        <f>(表格3_5[[#This Row],[Out-Time2]] - 表格3_5[[#This Row],[In-Time2]])*24</f>
        <v>0</v>
      </c>
      <c r="Q1981" s="205"/>
      <c r="R1981" s="214">
        <f>_xlfn.XLOOKUP(表格3_5[[#This Row],[Name]],Name_list[Full Name],Name_list[Hourr Rate])</f>
        <v>0</v>
      </c>
      <c r="S1981" s="210">
        <f>表格3_5[[#This Row],[Hours Worked]]*表格3_5[[#This Row],[Hourly Rate]]</f>
        <v>0</v>
      </c>
    </row>
    <row r="1982" spans="1:19">
      <c r="A1982" s="201">
        <v>1980</v>
      </c>
      <c r="B1982" s="210" t="str">
        <f>_xlfn.CONCAT(表格3_5[[#This Row],[Name]],表格3_5[[#This Row],[Location]])</f>
        <v/>
      </c>
      <c r="C1982" s="211" t="str">
        <f>表格3_5[[#This Row],[Location]] &amp; 表格3_5[[#This Row],[Date]] &amp;表格3_5[[#This Row],[Nick Name]]</f>
        <v>0</v>
      </c>
      <c r="D1982" s="202"/>
      <c r="E1982" s="211" t="str">
        <f>DAY(表格3_5[[#This Row],[Date]])&amp;""</f>
        <v>0</v>
      </c>
      <c r="F1982" s="203"/>
      <c r="G1982" s="216">
        <f>_xlfn.XLOOKUP(表格3_5[[#This Row],[Name]],Name_list[Full Name],Name_list[Nick Name])</f>
        <v>0</v>
      </c>
      <c r="H1982" s="207"/>
      <c r="I1982" s="228"/>
      <c r="J1982" s="218"/>
      <c r="K1982" s="205"/>
      <c r="L1982" s="210">
        <f>(表格3_5[[#This Row],[Out-Time]] - 表格3_5[[#This Row],[In-Time]])*24</f>
        <v>0</v>
      </c>
      <c r="M1982" s="210">
        <f>表格3_5[[#This Row],[ Hours]]-表格3_5[[#This Row],[Normal working
 hours]]</f>
        <v>0</v>
      </c>
      <c r="N1982" s="205"/>
      <c r="O1982" s="205"/>
      <c r="P1982" s="210">
        <f>(表格3_5[[#This Row],[Out-Time2]] - 表格3_5[[#This Row],[In-Time2]])*24</f>
        <v>0</v>
      </c>
      <c r="Q1982" s="205"/>
      <c r="R1982" s="214">
        <f>_xlfn.XLOOKUP(表格3_5[[#This Row],[Name]],Name_list[Full Name],Name_list[Hourr Rate])</f>
        <v>0</v>
      </c>
      <c r="S1982" s="210">
        <f>表格3_5[[#This Row],[Hours Worked]]*表格3_5[[#This Row],[Hourly Rate]]</f>
        <v>0</v>
      </c>
    </row>
    <row r="1983" spans="1:19">
      <c r="A1983" s="201">
        <v>1981</v>
      </c>
      <c r="B1983" s="210" t="str">
        <f>_xlfn.CONCAT(表格3_5[[#This Row],[Name]],表格3_5[[#This Row],[Location]])</f>
        <v/>
      </c>
      <c r="C1983" s="211" t="str">
        <f>表格3_5[[#This Row],[Location]] &amp; 表格3_5[[#This Row],[Date]] &amp;表格3_5[[#This Row],[Nick Name]]</f>
        <v>0</v>
      </c>
      <c r="D1983" s="202"/>
      <c r="E1983" s="211" t="str">
        <f>DAY(表格3_5[[#This Row],[Date]])&amp;""</f>
        <v>0</v>
      </c>
      <c r="F1983" s="203"/>
      <c r="G1983" s="216">
        <f>_xlfn.XLOOKUP(表格3_5[[#This Row],[Name]],Name_list[Full Name],Name_list[Nick Name])</f>
        <v>0</v>
      </c>
      <c r="H1983" s="207"/>
      <c r="I1983" s="228"/>
      <c r="J1983" s="218"/>
      <c r="K1983" s="205"/>
      <c r="L1983" s="210">
        <f>(表格3_5[[#This Row],[Out-Time]] - 表格3_5[[#This Row],[In-Time]])*24</f>
        <v>0</v>
      </c>
      <c r="M1983" s="210">
        <f>表格3_5[[#This Row],[ Hours]]-表格3_5[[#This Row],[Normal working
 hours]]</f>
        <v>0</v>
      </c>
      <c r="N1983" s="205"/>
      <c r="O1983" s="205"/>
      <c r="P1983" s="210">
        <f>(表格3_5[[#This Row],[Out-Time2]] - 表格3_5[[#This Row],[In-Time2]])*24</f>
        <v>0</v>
      </c>
      <c r="Q1983" s="205"/>
      <c r="R1983" s="214">
        <f>_xlfn.XLOOKUP(表格3_5[[#This Row],[Name]],Name_list[Full Name],Name_list[Hourr Rate])</f>
        <v>0</v>
      </c>
      <c r="S1983" s="210">
        <f>表格3_5[[#This Row],[Hours Worked]]*表格3_5[[#This Row],[Hourly Rate]]</f>
        <v>0</v>
      </c>
    </row>
    <row r="1984" spans="1:19">
      <c r="A1984" s="201">
        <v>1982</v>
      </c>
      <c r="B1984" s="210" t="str">
        <f>_xlfn.CONCAT(表格3_5[[#This Row],[Name]],表格3_5[[#This Row],[Location]])</f>
        <v/>
      </c>
      <c r="C1984" s="211" t="str">
        <f>表格3_5[[#This Row],[Location]] &amp; 表格3_5[[#This Row],[Date]] &amp;表格3_5[[#This Row],[Nick Name]]</f>
        <v>0</v>
      </c>
      <c r="D1984" s="202"/>
      <c r="E1984" s="211" t="str">
        <f>DAY(表格3_5[[#This Row],[Date]])&amp;""</f>
        <v>0</v>
      </c>
      <c r="F1984" s="203"/>
      <c r="G1984" s="216">
        <f>_xlfn.XLOOKUP(表格3_5[[#This Row],[Name]],Name_list[Full Name],Name_list[Nick Name])</f>
        <v>0</v>
      </c>
      <c r="H1984" s="207"/>
      <c r="I1984" s="228"/>
      <c r="J1984" s="218"/>
      <c r="K1984" s="205"/>
      <c r="L1984" s="210">
        <f>(表格3_5[[#This Row],[Out-Time]] - 表格3_5[[#This Row],[In-Time]])*24</f>
        <v>0</v>
      </c>
      <c r="M1984" s="210">
        <f>表格3_5[[#This Row],[ Hours]]-表格3_5[[#This Row],[Normal working
 hours]]</f>
        <v>0</v>
      </c>
      <c r="N1984" s="205"/>
      <c r="O1984" s="205"/>
      <c r="P1984" s="210">
        <f>(表格3_5[[#This Row],[Out-Time2]] - 表格3_5[[#This Row],[In-Time2]])*24</f>
        <v>0</v>
      </c>
      <c r="Q1984" s="205"/>
      <c r="R1984" s="214">
        <f>_xlfn.XLOOKUP(表格3_5[[#This Row],[Name]],Name_list[Full Name],Name_list[Hourr Rate])</f>
        <v>0</v>
      </c>
      <c r="S1984" s="210">
        <f>表格3_5[[#This Row],[Hours Worked]]*表格3_5[[#This Row],[Hourly Rate]]</f>
        <v>0</v>
      </c>
    </row>
    <row r="1985" spans="1:19">
      <c r="A1985" s="201">
        <v>1983</v>
      </c>
      <c r="B1985" s="210" t="str">
        <f>_xlfn.CONCAT(表格3_5[[#This Row],[Name]],表格3_5[[#This Row],[Location]])</f>
        <v/>
      </c>
      <c r="C1985" s="211" t="str">
        <f>表格3_5[[#This Row],[Location]] &amp; 表格3_5[[#This Row],[Date]] &amp;表格3_5[[#This Row],[Nick Name]]</f>
        <v>0</v>
      </c>
      <c r="D1985" s="202"/>
      <c r="E1985" s="211" t="str">
        <f>DAY(表格3_5[[#This Row],[Date]])&amp;""</f>
        <v>0</v>
      </c>
      <c r="F1985" s="203"/>
      <c r="G1985" s="216">
        <f>_xlfn.XLOOKUP(表格3_5[[#This Row],[Name]],Name_list[Full Name],Name_list[Nick Name])</f>
        <v>0</v>
      </c>
      <c r="H1985" s="207"/>
      <c r="I1985" s="228"/>
      <c r="J1985" s="218"/>
      <c r="K1985" s="205"/>
      <c r="L1985" s="210">
        <f>(表格3_5[[#This Row],[Out-Time]] - 表格3_5[[#This Row],[In-Time]])*24</f>
        <v>0</v>
      </c>
      <c r="M1985" s="210">
        <f>表格3_5[[#This Row],[ Hours]]-表格3_5[[#This Row],[Normal working
 hours]]</f>
        <v>0</v>
      </c>
      <c r="N1985" s="205"/>
      <c r="O1985" s="205"/>
      <c r="P1985" s="210">
        <f>(表格3_5[[#This Row],[Out-Time2]] - 表格3_5[[#This Row],[In-Time2]])*24</f>
        <v>0</v>
      </c>
      <c r="Q1985" s="205"/>
      <c r="R1985" s="214">
        <f>_xlfn.XLOOKUP(表格3_5[[#This Row],[Name]],Name_list[Full Name],Name_list[Hourr Rate])</f>
        <v>0</v>
      </c>
      <c r="S1985" s="210">
        <f>表格3_5[[#This Row],[Hours Worked]]*表格3_5[[#This Row],[Hourly Rate]]</f>
        <v>0</v>
      </c>
    </row>
    <row r="1986" spans="1:19">
      <c r="A1986" s="201">
        <v>1984</v>
      </c>
      <c r="B1986" s="210" t="str">
        <f>_xlfn.CONCAT(表格3_5[[#This Row],[Name]],表格3_5[[#This Row],[Location]])</f>
        <v/>
      </c>
      <c r="C1986" s="211" t="str">
        <f>表格3_5[[#This Row],[Location]] &amp; 表格3_5[[#This Row],[Date]] &amp;表格3_5[[#This Row],[Nick Name]]</f>
        <v>0</v>
      </c>
      <c r="D1986" s="202"/>
      <c r="E1986" s="211" t="str">
        <f>DAY(表格3_5[[#This Row],[Date]])&amp;""</f>
        <v>0</v>
      </c>
      <c r="F1986" s="203"/>
      <c r="G1986" s="216">
        <f>_xlfn.XLOOKUP(表格3_5[[#This Row],[Name]],Name_list[Full Name],Name_list[Nick Name])</f>
        <v>0</v>
      </c>
      <c r="H1986" s="207"/>
      <c r="I1986" s="228"/>
      <c r="J1986" s="218"/>
      <c r="K1986" s="205"/>
      <c r="L1986" s="210">
        <f>(表格3_5[[#This Row],[Out-Time]] - 表格3_5[[#This Row],[In-Time]])*24</f>
        <v>0</v>
      </c>
      <c r="M1986" s="210">
        <f>表格3_5[[#This Row],[ Hours]]-表格3_5[[#This Row],[Normal working
 hours]]</f>
        <v>0</v>
      </c>
      <c r="N1986" s="205"/>
      <c r="O1986" s="205"/>
      <c r="P1986" s="210">
        <f>(表格3_5[[#This Row],[Out-Time2]] - 表格3_5[[#This Row],[In-Time2]])*24</f>
        <v>0</v>
      </c>
      <c r="Q1986" s="205"/>
      <c r="R1986" s="214">
        <f>_xlfn.XLOOKUP(表格3_5[[#This Row],[Name]],Name_list[Full Name],Name_list[Hourr Rate])</f>
        <v>0</v>
      </c>
      <c r="S1986" s="210">
        <f>表格3_5[[#This Row],[Hours Worked]]*表格3_5[[#This Row],[Hourly Rate]]</f>
        <v>0</v>
      </c>
    </row>
    <row r="1987" spans="1:19">
      <c r="A1987" s="201">
        <v>1985</v>
      </c>
      <c r="B1987" s="210" t="str">
        <f>_xlfn.CONCAT(表格3_5[[#This Row],[Name]],表格3_5[[#This Row],[Location]])</f>
        <v/>
      </c>
      <c r="C1987" s="211" t="str">
        <f>表格3_5[[#This Row],[Location]] &amp; 表格3_5[[#This Row],[Date]] &amp;表格3_5[[#This Row],[Nick Name]]</f>
        <v>0</v>
      </c>
      <c r="D1987" s="202"/>
      <c r="E1987" s="211" t="str">
        <f>DAY(表格3_5[[#This Row],[Date]])&amp;""</f>
        <v>0</v>
      </c>
      <c r="F1987" s="203"/>
      <c r="G1987" s="216">
        <f>_xlfn.XLOOKUP(表格3_5[[#This Row],[Name]],Name_list[Full Name],Name_list[Nick Name])</f>
        <v>0</v>
      </c>
      <c r="H1987" s="207"/>
      <c r="I1987" s="228"/>
      <c r="J1987" s="218"/>
      <c r="K1987" s="205"/>
      <c r="L1987" s="210">
        <f>(表格3_5[[#This Row],[Out-Time]] - 表格3_5[[#This Row],[In-Time]])*24</f>
        <v>0</v>
      </c>
      <c r="M1987" s="210">
        <f>表格3_5[[#This Row],[ Hours]]-表格3_5[[#This Row],[Normal working
 hours]]</f>
        <v>0</v>
      </c>
      <c r="N1987" s="205"/>
      <c r="O1987" s="205"/>
      <c r="P1987" s="210">
        <f>(表格3_5[[#This Row],[Out-Time2]] - 表格3_5[[#This Row],[In-Time2]])*24</f>
        <v>0</v>
      </c>
      <c r="Q1987" s="205"/>
      <c r="R1987" s="214">
        <f>_xlfn.XLOOKUP(表格3_5[[#This Row],[Name]],Name_list[Full Name],Name_list[Hourr Rate])</f>
        <v>0</v>
      </c>
      <c r="S1987" s="210">
        <f>表格3_5[[#This Row],[Hours Worked]]*表格3_5[[#This Row],[Hourly Rate]]</f>
        <v>0</v>
      </c>
    </row>
    <row r="1988" spans="1:19">
      <c r="A1988" s="201">
        <v>1986</v>
      </c>
      <c r="B1988" s="210" t="str">
        <f>_xlfn.CONCAT(表格3_5[[#This Row],[Name]],表格3_5[[#This Row],[Location]])</f>
        <v/>
      </c>
      <c r="C1988" s="211" t="str">
        <f>表格3_5[[#This Row],[Location]] &amp; 表格3_5[[#This Row],[Date]] &amp;表格3_5[[#This Row],[Nick Name]]</f>
        <v>0</v>
      </c>
      <c r="D1988" s="202"/>
      <c r="E1988" s="211" t="str">
        <f>DAY(表格3_5[[#This Row],[Date]])&amp;""</f>
        <v>0</v>
      </c>
      <c r="F1988" s="203"/>
      <c r="G1988" s="216">
        <f>_xlfn.XLOOKUP(表格3_5[[#This Row],[Name]],Name_list[Full Name],Name_list[Nick Name])</f>
        <v>0</v>
      </c>
      <c r="H1988" s="207"/>
      <c r="I1988" s="228"/>
      <c r="J1988" s="218"/>
      <c r="K1988" s="205"/>
      <c r="L1988" s="210">
        <f>(表格3_5[[#This Row],[Out-Time]] - 表格3_5[[#This Row],[In-Time]])*24</f>
        <v>0</v>
      </c>
      <c r="M1988" s="210">
        <f>表格3_5[[#This Row],[ Hours]]-表格3_5[[#This Row],[Normal working
 hours]]</f>
        <v>0</v>
      </c>
      <c r="N1988" s="205"/>
      <c r="O1988" s="205"/>
      <c r="P1988" s="210">
        <f>(表格3_5[[#This Row],[Out-Time2]] - 表格3_5[[#This Row],[In-Time2]])*24</f>
        <v>0</v>
      </c>
      <c r="Q1988" s="205"/>
      <c r="R1988" s="214">
        <f>_xlfn.XLOOKUP(表格3_5[[#This Row],[Name]],Name_list[Full Name],Name_list[Hourr Rate])</f>
        <v>0</v>
      </c>
      <c r="S1988" s="210">
        <f>表格3_5[[#This Row],[Hours Worked]]*表格3_5[[#This Row],[Hourly Rate]]</f>
        <v>0</v>
      </c>
    </row>
    <row r="1989" spans="1:19">
      <c r="A1989" s="201">
        <v>1987</v>
      </c>
      <c r="B1989" s="210" t="str">
        <f>_xlfn.CONCAT(表格3_5[[#This Row],[Name]],表格3_5[[#This Row],[Location]])</f>
        <v/>
      </c>
      <c r="C1989" s="211" t="str">
        <f>表格3_5[[#This Row],[Location]] &amp; 表格3_5[[#This Row],[Date]] &amp;表格3_5[[#This Row],[Nick Name]]</f>
        <v>0</v>
      </c>
      <c r="D1989" s="202"/>
      <c r="E1989" s="211" t="str">
        <f>DAY(表格3_5[[#This Row],[Date]])&amp;""</f>
        <v>0</v>
      </c>
      <c r="F1989" s="203"/>
      <c r="G1989" s="216">
        <f>_xlfn.XLOOKUP(表格3_5[[#This Row],[Name]],Name_list[Full Name],Name_list[Nick Name])</f>
        <v>0</v>
      </c>
      <c r="H1989" s="207"/>
      <c r="I1989" s="228"/>
      <c r="J1989" s="218"/>
      <c r="K1989" s="205"/>
      <c r="L1989" s="210">
        <f>(表格3_5[[#This Row],[Out-Time]] - 表格3_5[[#This Row],[In-Time]])*24</f>
        <v>0</v>
      </c>
      <c r="M1989" s="210">
        <f>表格3_5[[#This Row],[ Hours]]-表格3_5[[#This Row],[Normal working
 hours]]</f>
        <v>0</v>
      </c>
      <c r="N1989" s="205"/>
      <c r="O1989" s="205"/>
      <c r="P1989" s="210">
        <f>(表格3_5[[#This Row],[Out-Time2]] - 表格3_5[[#This Row],[In-Time2]])*24</f>
        <v>0</v>
      </c>
      <c r="Q1989" s="205"/>
      <c r="R1989" s="214">
        <f>_xlfn.XLOOKUP(表格3_5[[#This Row],[Name]],Name_list[Full Name],Name_list[Hourr Rate])</f>
        <v>0</v>
      </c>
      <c r="S1989" s="210">
        <f>表格3_5[[#This Row],[Hours Worked]]*表格3_5[[#This Row],[Hourly Rate]]</f>
        <v>0</v>
      </c>
    </row>
    <row r="1990" spans="1:19">
      <c r="A1990" s="201">
        <v>1988</v>
      </c>
      <c r="B1990" s="210" t="str">
        <f>_xlfn.CONCAT(表格3_5[[#This Row],[Name]],表格3_5[[#This Row],[Location]])</f>
        <v/>
      </c>
      <c r="C1990" s="211" t="str">
        <f>表格3_5[[#This Row],[Location]] &amp; 表格3_5[[#This Row],[Date]] &amp;表格3_5[[#This Row],[Nick Name]]</f>
        <v>0</v>
      </c>
      <c r="D1990" s="202"/>
      <c r="E1990" s="211" t="str">
        <f>DAY(表格3_5[[#This Row],[Date]])&amp;""</f>
        <v>0</v>
      </c>
      <c r="F1990" s="203"/>
      <c r="G1990" s="216">
        <f>_xlfn.XLOOKUP(表格3_5[[#This Row],[Name]],Name_list[Full Name],Name_list[Nick Name])</f>
        <v>0</v>
      </c>
      <c r="H1990" s="207"/>
      <c r="I1990" s="228"/>
      <c r="J1990" s="218"/>
      <c r="K1990" s="205"/>
      <c r="L1990" s="210">
        <f>(表格3_5[[#This Row],[Out-Time]] - 表格3_5[[#This Row],[In-Time]])*24</f>
        <v>0</v>
      </c>
      <c r="M1990" s="210">
        <f>表格3_5[[#This Row],[ Hours]]-表格3_5[[#This Row],[Normal working
 hours]]</f>
        <v>0</v>
      </c>
      <c r="N1990" s="205"/>
      <c r="O1990" s="205"/>
      <c r="P1990" s="210">
        <f>(表格3_5[[#This Row],[Out-Time2]] - 表格3_5[[#This Row],[In-Time2]])*24</f>
        <v>0</v>
      </c>
      <c r="Q1990" s="205"/>
      <c r="R1990" s="214">
        <f>_xlfn.XLOOKUP(表格3_5[[#This Row],[Name]],Name_list[Full Name],Name_list[Hourr Rate])</f>
        <v>0</v>
      </c>
      <c r="S1990" s="210">
        <f>表格3_5[[#This Row],[Hours Worked]]*表格3_5[[#This Row],[Hourly Rate]]</f>
        <v>0</v>
      </c>
    </row>
    <row r="1991" spans="1:19">
      <c r="A1991" s="201">
        <v>1989</v>
      </c>
      <c r="B1991" s="210" t="str">
        <f>_xlfn.CONCAT(表格3_5[[#This Row],[Name]],表格3_5[[#This Row],[Location]])</f>
        <v/>
      </c>
      <c r="C1991" s="211" t="str">
        <f>表格3_5[[#This Row],[Location]] &amp; 表格3_5[[#This Row],[Date]] &amp;表格3_5[[#This Row],[Nick Name]]</f>
        <v>0</v>
      </c>
      <c r="D1991" s="202"/>
      <c r="E1991" s="211" t="str">
        <f>DAY(表格3_5[[#This Row],[Date]])&amp;""</f>
        <v>0</v>
      </c>
      <c r="F1991" s="203"/>
      <c r="G1991" s="216">
        <f>_xlfn.XLOOKUP(表格3_5[[#This Row],[Name]],Name_list[Full Name],Name_list[Nick Name])</f>
        <v>0</v>
      </c>
      <c r="H1991" s="207"/>
      <c r="I1991" s="228"/>
      <c r="J1991" s="218"/>
      <c r="K1991" s="205"/>
      <c r="L1991" s="210">
        <f>(表格3_5[[#This Row],[Out-Time]] - 表格3_5[[#This Row],[In-Time]])*24</f>
        <v>0</v>
      </c>
      <c r="M1991" s="210">
        <f>表格3_5[[#This Row],[ Hours]]-表格3_5[[#This Row],[Normal working
 hours]]</f>
        <v>0</v>
      </c>
      <c r="N1991" s="205"/>
      <c r="O1991" s="205"/>
      <c r="P1991" s="210">
        <f>(表格3_5[[#This Row],[Out-Time2]] - 表格3_5[[#This Row],[In-Time2]])*24</f>
        <v>0</v>
      </c>
      <c r="Q1991" s="205"/>
      <c r="R1991" s="214">
        <f>_xlfn.XLOOKUP(表格3_5[[#This Row],[Name]],Name_list[Full Name],Name_list[Hourr Rate])</f>
        <v>0</v>
      </c>
      <c r="S1991" s="210">
        <f>表格3_5[[#This Row],[Hours Worked]]*表格3_5[[#This Row],[Hourly Rate]]</f>
        <v>0</v>
      </c>
    </row>
    <row r="1992" spans="1:19">
      <c r="A1992" s="201">
        <v>1990</v>
      </c>
      <c r="B1992" s="210" t="str">
        <f>_xlfn.CONCAT(表格3_5[[#This Row],[Name]],表格3_5[[#This Row],[Location]])</f>
        <v/>
      </c>
      <c r="C1992" s="211" t="str">
        <f>表格3_5[[#This Row],[Location]] &amp; 表格3_5[[#This Row],[Date]] &amp;表格3_5[[#This Row],[Nick Name]]</f>
        <v>0</v>
      </c>
      <c r="D1992" s="202"/>
      <c r="E1992" s="211" t="str">
        <f>DAY(表格3_5[[#This Row],[Date]])&amp;""</f>
        <v>0</v>
      </c>
      <c r="F1992" s="203"/>
      <c r="G1992" s="216">
        <f>_xlfn.XLOOKUP(表格3_5[[#This Row],[Name]],Name_list[Full Name],Name_list[Nick Name])</f>
        <v>0</v>
      </c>
      <c r="H1992" s="207"/>
      <c r="I1992" s="228"/>
      <c r="J1992" s="218"/>
      <c r="K1992" s="205"/>
      <c r="L1992" s="210">
        <f>(表格3_5[[#This Row],[Out-Time]] - 表格3_5[[#This Row],[In-Time]])*24</f>
        <v>0</v>
      </c>
      <c r="M1992" s="210">
        <f>表格3_5[[#This Row],[ Hours]]-表格3_5[[#This Row],[Normal working
 hours]]</f>
        <v>0</v>
      </c>
      <c r="N1992" s="205"/>
      <c r="O1992" s="205"/>
      <c r="P1992" s="210">
        <f>(表格3_5[[#This Row],[Out-Time2]] - 表格3_5[[#This Row],[In-Time2]])*24</f>
        <v>0</v>
      </c>
      <c r="Q1992" s="205"/>
      <c r="R1992" s="214">
        <f>_xlfn.XLOOKUP(表格3_5[[#This Row],[Name]],Name_list[Full Name],Name_list[Hourr Rate])</f>
        <v>0</v>
      </c>
      <c r="S1992" s="210">
        <f>表格3_5[[#This Row],[Hours Worked]]*表格3_5[[#This Row],[Hourly Rate]]</f>
        <v>0</v>
      </c>
    </row>
    <row r="1993" spans="1:19">
      <c r="A1993" s="201">
        <v>1991</v>
      </c>
      <c r="B1993" s="210" t="str">
        <f>_xlfn.CONCAT(表格3_5[[#This Row],[Name]],表格3_5[[#This Row],[Location]])</f>
        <v/>
      </c>
      <c r="C1993" s="211" t="str">
        <f>表格3_5[[#This Row],[Location]] &amp; 表格3_5[[#This Row],[Date]] &amp;表格3_5[[#This Row],[Nick Name]]</f>
        <v>0</v>
      </c>
      <c r="D1993" s="202"/>
      <c r="E1993" s="211" t="str">
        <f>DAY(表格3_5[[#This Row],[Date]])&amp;""</f>
        <v>0</v>
      </c>
      <c r="F1993" s="203"/>
      <c r="G1993" s="216">
        <f>_xlfn.XLOOKUP(表格3_5[[#This Row],[Name]],Name_list[Full Name],Name_list[Nick Name])</f>
        <v>0</v>
      </c>
      <c r="H1993" s="207"/>
      <c r="I1993" s="228"/>
      <c r="J1993" s="218"/>
      <c r="K1993" s="205"/>
      <c r="L1993" s="210">
        <f>(表格3_5[[#This Row],[Out-Time]] - 表格3_5[[#This Row],[In-Time]])*24</f>
        <v>0</v>
      </c>
      <c r="M1993" s="210">
        <f>表格3_5[[#This Row],[ Hours]]-表格3_5[[#This Row],[Normal working
 hours]]</f>
        <v>0</v>
      </c>
      <c r="N1993" s="205"/>
      <c r="O1993" s="205"/>
      <c r="P1993" s="210">
        <f>(表格3_5[[#This Row],[Out-Time2]] - 表格3_5[[#This Row],[In-Time2]])*24</f>
        <v>0</v>
      </c>
      <c r="Q1993" s="205"/>
      <c r="R1993" s="214">
        <f>_xlfn.XLOOKUP(表格3_5[[#This Row],[Name]],Name_list[Full Name],Name_list[Hourr Rate])</f>
        <v>0</v>
      </c>
      <c r="S1993" s="210">
        <f>表格3_5[[#This Row],[Hours Worked]]*表格3_5[[#This Row],[Hourly Rate]]</f>
        <v>0</v>
      </c>
    </row>
    <row r="1994" spans="1:19">
      <c r="A1994" s="201">
        <v>1992</v>
      </c>
      <c r="B1994" s="210" t="str">
        <f>_xlfn.CONCAT(表格3_5[[#This Row],[Name]],表格3_5[[#This Row],[Location]])</f>
        <v/>
      </c>
      <c r="C1994" s="211" t="str">
        <f>表格3_5[[#This Row],[Location]] &amp; 表格3_5[[#This Row],[Date]] &amp;表格3_5[[#This Row],[Nick Name]]</f>
        <v>0</v>
      </c>
      <c r="D1994" s="202"/>
      <c r="E1994" s="211" t="str">
        <f>DAY(表格3_5[[#This Row],[Date]])&amp;""</f>
        <v>0</v>
      </c>
      <c r="F1994" s="203"/>
      <c r="G1994" s="216">
        <f>_xlfn.XLOOKUP(表格3_5[[#This Row],[Name]],Name_list[Full Name],Name_list[Nick Name])</f>
        <v>0</v>
      </c>
      <c r="H1994" s="207"/>
      <c r="I1994" s="228"/>
      <c r="J1994" s="218"/>
      <c r="K1994" s="205"/>
      <c r="L1994" s="210">
        <f>(表格3_5[[#This Row],[Out-Time]] - 表格3_5[[#This Row],[In-Time]])*24</f>
        <v>0</v>
      </c>
      <c r="M1994" s="210">
        <f>表格3_5[[#This Row],[ Hours]]-表格3_5[[#This Row],[Normal working
 hours]]</f>
        <v>0</v>
      </c>
      <c r="N1994" s="205"/>
      <c r="O1994" s="205"/>
      <c r="P1994" s="210">
        <f>(表格3_5[[#This Row],[Out-Time2]] - 表格3_5[[#This Row],[In-Time2]])*24</f>
        <v>0</v>
      </c>
      <c r="Q1994" s="205"/>
      <c r="R1994" s="214">
        <f>_xlfn.XLOOKUP(表格3_5[[#This Row],[Name]],Name_list[Full Name],Name_list[Hourr Rate])</f>
        <v>0</v>
      </c>
      <c r="S1994" s="210">
        <f>表格3_5[[#This Row],[Hours Worked]]*表格3_5[[#This Row],[Hourly Rate]]</f>
        <v>0</v>
      </c>
    </row>
    <row r="1995" spans="1:19">
      <c r="A1995" s="201">
        <v>1993</v>
      </c>
      <c r="B1995" s="210" t="str">
        <f>_xlfn.CONCAT(表格3_5[[#This Row],[Name]],表格3_5[[#This Row],[Location]])</f>
        <v/>
      </c>
      <c r="C1995" s="211" t="str">
        <f>表格3_5[[#This Row],[Location]] &amp; 表格3_5[[#This Row],[Date]] &amp;表格3_5[[#This Row],[Nick Name]]</f>
        <v>0</v>
      </c>
      <c r="D1995" s="202"/>
      <c r="E1995" s="211" t="str">
        <f>DAY(表格3_5[[#This Row],[Date]])&amp;""</f>
        <v>0</v>
      </c>
      <c r="F1995" s="203"/>
      <c r="G1995" s="216">
        <f>_xlfn.XLOOKUP(表格3_5[[#This Row],[Name]],Name_list[Full Name],Name_list[Nick Name])</f>
        <v>0</v>
      </c>
      <c r="H1995" s="207"/>
      <c r="I1995" s="228"/>
      <c r="J1995" s="218"/>
      <c r="K1995" s="205"/>
      <c r="L1995" s="210">
        <f>(表格3_5[[#This Row],[Out-Time]] - 表格3_5[[#This Row],[In-Time]])*24</f>
        <v>0</v>
      </c>
      <c r="M1995" s="210">
        <f>表格3_5[[#This Row],[ Hours]]-表格3_5[[#This Row],[Normal working
 hours]]</f>
        <v>0</v>
      </c>
      <c r="N1995" s="205"/>
      <c r="O1995" s="205"/>
      <c r="P1995" s="210">
        <f>(表格3_5[[#This Row],[Out-Time2]] - 表格3_5[[#This Row],[In-Time2]])*24</f>
        <v>0</v>
      </c>
      <c r="Q1995" s="205"/>
      <c r="R1995" s="214">
        <f>_xlfn.XLOOKUP(表格3_5[[#This Row],[Name]],Name_list[Full Name],Name_list[Hourr Rate])</f>
        <v>0</v>
      </c>
      <c r="S1995" s="210">
        <f>表格3_5[[#This Row],[Hours Worked]]*表格3_5[[#This Row],[Hourly Rate]]</f>
        <v>0</v>
      </c>
    </row>
    <row r="1996" spans="1:19">
      <c r="A1996" s="201">
        <v>1994</v>
      </c>
      <c r="B1996" s="210" t="str">
        <f>_xlfn.CONCAT(表格3_5[[#This Row],[Name]],表格3_5[[#This Row],[Location]])</f>
        <v/>
      </c>
      <c r="C1996" s="211" t="str">
        <f>表格3_5[[#This Row],[Location]] &amp; 表格3_5[[#This Row],[Date]] &amp;表格3_5[[#This Row],[Nick Name]]</f>
        <v>0</v>
      </c>
      <c r="D1996" s="202"/>
      <c r="E1996" s="211" t="str">
        <f>DAY(表格3_5[[#This Row],[Date]])&amp;""</f>
        <v>0</v>
      </c>
      <c r="F1996" s="203"/>
      <c r="G1996" s="216">
        <f>_xlfn.XLOOKUP(表格3_5[[#This Row],[Name]],Name_list[Full Name],Name_list[Nick Name])</f>
        <v>0</v>
      </c>
      <c r="H1996" s="207"/>
      <c r="I1996" s="228"/>
      <c r="J1996" s="218"/>
      <c r="K1996" s="205"/>
      <c r="L1996" s="210">
        <f>(表格3_5[[#This Row],[Out-Time]] - 表格3_5[[#This Row],[In-Time]])*24</f>
        <v>0</v>
      </c>
      <c r="M1996" s="210">
        <f>表格3_5[[#This Row],[ Hours]]-表格3_5[[#This Row],[Normal working
 hours]]</f>
        <v>0</v>
      </c>
      <c r="N1996" s="205"/>
      <c r="O1996" s="205"/>
      <c r="P1996" s="210">
        <f>(表格3_5[[#This Row],[Out-Time2]] - 表格3_5[[#This Row],[In-Time2]])*24</f>
        <v>0</v>
      </c>
      <c r="Q1996" s="205"/>
      <c r="R1996" s="214">
        <f>_xlfn.XLOOKUP(表格3_5[[#This Row],[Name]],Name_list[Full Name],Name_list[Hourr Rate])</f>
        <v>0</v>
      </c>
      <c r="S1996" s="210">
        <f>表格3_5[[#This Row],[Hours Worked]]*表格3_5[[#This Row],[Hourly Rate]]</f>
        <v>0</v>
      </c>
    </row>
    <row r="1997" spans="1:19">
      <c r="A1997" s="201">
        <v>1995</v>
      </c>
      <c r="B1997" s="210" t="str">
        <f>_xlfn.CONCAT(表格3_5[[#This Row],[Name]],表格3_5[[#This Row],[Location]])</f>
        <v/>
      </c>
      <c r="C1997" s="211" t="str">
        <f>表格3_5[[#This Row],[Location]] &amp; 表格3_5[[#This Row],[Date]] &amp;表格3_5[[#This Row],[Nick Name]]</f>
        <v>0</v>
      </c>
      <c r="D1997" s="202"/>
      <c r="E1997" s="211" t="str">
        <f>DAY(表格3_5[[#This Row],[Date]])&amp;""</f>
        <v>0</v>
      </c>
      <c r="F1997" s="203"/>
      <c r="G1997" s="216">
        <f>_xlfn.XLOOKUP(表格3_5[[#This Row],[Name]],Name_list[Full Name],Name_list[Nick Name])</f>
        <v>0</v>
      </c>
      <c r="H1997" s="207"/>
      <c r="I1997" s="228"/>
      <c r="J1997" s="218"/>
      <c r="K1997" s="205"/>
      <c r="L1997" s="210">
        <f>(表格3_5[[#This Row],[Out-Time]] - 表格3_5[[#This Row],[In-Time]])*24</f>
        <v>0</v>
      </c>
      <c r="M1997" s="210">
        <f>表格3_5[[#This Row],[ Hours]]-表格3_5[[#This Row],[Normal working
 hours]]</f>
        <v>0</v>
      </c>
      <c r="N1997" s="205"/>
      <c r="O1997" s="205"/>
      <c r="P1997" s="210">
        <f>(表格3_5[[#This Row],[Out-Time2]] - 表格3_5[[#This Row],[In-Time2]])*24</f>
        <v>0</v>
      </c>
      <c r="Q1997" s="205"/>
      <c r="R1997" s="214">
        <f>_xlfn.XLOOKUP(表格3_5[[#This Row],[Name]],Name_list[Full Name],Name_list[Hourr Rate])</f>
        <v>0</v>
      </c>
      <c r="S1997" s="210">
        <f>表格3_5[[#This Row],[Hours Worked]]*表格3_5[[#This Row],[Hourly Rate]]</f>
        <v>0</v>
      </c>
    </row>
    <row r="1998" spans="1:19">
      <c r="A1998" s="201">
        <v>1996</v>
      </c>
      <c r="B1998" s="210" t="str">
        <f>_xlfn.CONCAT(表格3_5[[#This Row],[Name]],表格3_5[[#This Row],[Location]])</f>
        <v/>
      </c>
      <c r="C1998" s="211" t="str">
        <f>表格3_5[[#This Row],[Location]] &amp; 表格3_5[[#This Row],[Date]] &amp;表格3_5[[#This Row],[Nick Name]]</f>
        <v>0</v>
      </c>
      <c r="D1998" s="202"/>
      <c r="E1998" s="211" t="str">
        <f>DAY(表格3_5[[#This Row],[Date]])&amp;""</f>
        <v>0</v>
      </c>
      <c r="F1998" s="203"/>
      <c r="G1998" s="216">
        <f>_xlfn.XLOOKUP(表格3_5[[#This Row],[Name]],Name_list[Full Name],Name_list[Nick Name])</f>
        <v>0</v>
      </c>
      <c r="H1998" s="207"/>
      <c r="I1998" s="228"/>
      <c r="J1998" s="218"/>
      <c r="K1998" s="205"/>
      <c r="L1998" s="210">
        <f>(表格3_5[[#This Row],[Out-Time]] - 表格3_5[[#This Row],[In-Time]])*24</f>
        <v>0</v>
      </c>
      <c r="M1998" s="210">
        <f>表格3_5[[#This Row],[ Hours]]-表格3_5[[#This Row],[Normal working
 hours]]</f>
        <v>0</v>
      </c>
      <c r="N1998" s="205"/>
      <c r="O1998" s="205"/>
      <c r="P1998" s="210">
        <f>(表格3_5[[#This Row],[Out-Time2]] - 表格3_5[[#This Row],[In-Time2]])*24</f>
        <v>0</v>
      </c>
      <c r="Q1998" s="205"/>
      <c r="R1998" s="214">
        <f>_xlfn.XLOOKUP(表格3_5[[#This Row],[Name]],Name_list[Full Name],Name_list[Hourr Rate])</f>
        <v>0</v>
      </c>
      <c r="S1998" s="210">
        <f>表格3_5[[#This Row],[Hours Worked]]*表格3_5[[#This Row],[Hourly Rate]]</f>
        <v>0</v>
      </c>
    </row>
    <row r="1999" spans="1:19">
      <c r="A1999" s="201">
        <v>1997</v>
      </c>
      <c r="B1999" s="210" t="str">
        <f>_xlfn.CONCAT(表格3_5[[#This Row],[Name]],表格3_5[[#This Row],[Location]])</f>
        <v/>
      </c>
      <c r="C1999" s="211" t="str">
        <f>表格3_5[[#This Row],[Location]] &amp; 表格3_5[[#This Row],[Date]] &amp;表格3_5[[#This Row],[Nick Name]]</f>
        <v>0</v>
      </c>
      <c r="D1999" s="202"/>
      <c r="E1999" s="211" t="str">
        <f>DAY(表格3_5[[#This Row],[Date]])&amp;""</f>
        <v>0</v>
      </c>
      <c r="F1999" s="203"/>
      <c r="G1999" s="216">
        <f>_xlfn.XLOOKUP(表格3_5[[#This Row],[Name]],Name_list[Full Name],Name_list[Nick Name])</f>
        <v>0</v>
      </c>
      <c r="H1999" s="207"/>
      <c r="I1999" s="228"/>
      <c r="J1999" s="218"/>
      <c r="K1999" s="205"/>
      <c r="L1999" s="210">
        <f>(表格3_5[[#This Row],[Out-Time]] - 表格3_5[[#This Row],[In-Time]])*24</f>
        <v>0</v>
      </c>
      <c r="M1999" s="210">
        <f>表格3_5[[#This Row],[ Hours]]-表格3_5[[#This Row],[Normal working
 hours]]</f>
        <v>0</v>
      </c>
      <c r="N1999" s="205"/>
      <c r="O1999" s="205"/>
      <c r="P1999" s="210">
        <f>(表格3_5[[#This Row],[Out-Time2]] - 表格3_5[[#This Row],[In-Time2]])*24</f>
        <v>0</v>
      </c>
      <c r="Q1999" s="205"/>
      <c r="R1999" s="214">
        <f>_xlfn.XLOOKUP(表格3_5[[#This Row],[Name]],Name_list[Full Name],Name_list[Hourr Rate])</f>
        <v>0</v>
      </c>
      <c r="S1999" s="210">
        <f>表格3_5[[#This Row],[Hours Worked]]*表格3_5[[#This Row],[Hourly Rate]]</f>
        <v>0</v>
      </c>
    </row>
    <row r="2000" spans="1:19">
      <c r="A2000" s="201">
        <v>1998</v>
      </c>
      <c r="B2000" s="219" t="str">
        <f>_xlfn.CONCAT(表格3_5[[#This Row],[Name]],表格3_5[[#This Row],[Location]])</f>
        <v/>
      </c>
      <c r="C2000" s="220" t="str">
        <f>表格3_5[[#This Row],[Location]] &amp; 表格3_5[[#This Row],[Date]] &amp;表格3_5[[#This Row],[Nick Name]]</f>
        <v>0</v>
      </c>
      <c r="D2000" s="221"/>
      <c r="E2000" s="220" t="str">
        <f>DAY(表格3_5[[#This Row],[Date]])&amp;""</f>
        <v>0</v>
      </c>
      <c r="F2000" s="222"/>
      <c r="G2000" s="223">
        <f>_xlfn.XLOOKUP(表格3_5[[#This Row],[Name]],Name_list[Full Name],Name_list[Nick Name])</f>
        <v>0</v>
      </c>
      <c r="H2000" s="224"/>
      <c r="I2000" s="229"/>
      <c r="J2000" s="225"/>
      <c r="K2000" s="226"/>
      <c r="L2000" s="219">
        <f>(表格3_5[[#This Row],[Out-Time]] - 表格3_5[[#This Row],[In-Time]])*24</f>
        <v>0</v>
      </c>
      <c r="M2000" s="219">
        <f>表格3_5[[#This Row],[ Hours]]-表格3_5[[#This Row],[Normal working
 hours]]</f>
        <v>0</v>
      </c>
      <c r="N2000" s="226"/>
      <c r="O2000" s="226"/>
      <c r="P2000" s="219">
        <f>(表格3_5[[#This Row],[Out-Time2]] - 表格3_5[[#This Row],[In-Time2]])*24</f>
        <v>0</v>
      </c>
      <c r="Q2000" s="226"/>
      <c r="R2000" s="227">
        <f>_xlfn.XLOOKUP(表格3_5[[#This Row],[Name]],Name_list[Full Name],Name_list[Hourr Rate])</f>
        <v>0</v>
      </c>
      <c r="S2000" s="219">
        <f>表格3_5[[#This Row],[Hours Worked]]*表格3_5[[#This Row],[Hourly Rate]]</f>
        <v>0</v>
      </c>
    </row>
  </sheetData>
  <sheetProtection algorithmName="SHA-512" hashValue="bEZnKFF9WmCrjVKkxuIlfEIAz2T1XBT7d6fZ9J2eFhkCxu5Wgq4/6pOCAg/ZAtJwg55klRpHsv5FdYNNF/V7MA==" saltValue="UBfSd6W5/6hFluDk24N1Bw==" spinCount="100000" sheet="1" formatCells="0" formatColumns="0" formatRows="0" insertColumns="0" insertRows="0" deleteColumns="0" deleteRows="0" sort="0" autoFilter="0"/>
  <phoneticPr fontId="3" type="noConversion"/>
  <conditionalFormatting sqref="F3:I547">
    <cfRule type="expression" dxfId="3" priority="418">
      <formula>AND(     COUNTIFS($F$3:$F$1047, $F3, $I$3:$I$1047, $I3) &gt; 1,     COUNTIFS($F$3:$F$1047, $F3, $I$3:$I$1047, $I3, $H$3:$H$1047, "&lt;&gt;"&amp;$H3) &gt; 0 )</formula>
    </cfRule>
    <cfRule type="expression" dxfId="2" priority="419">
      <formula>COUNTIFS($F$3:$F$1047, $F3, $H$3:$H$1047, $H3, $I$3:$I$1047, $I3) &gt; 1</formula>
    </cfRule>
    <cfRule type="expression" dxfId="1" priority="420">
      <formula>AND(     COUNTIFS($F$3:$F$1047, $F3, $H$3:$H$1047, $H3, $I$3:$I$1047, "&lt;&gt;"&amp;$I3) &gt; 0,     COUNTIFS($F$3:$F$1047, $F3, $H$3:$H$1047, $H3) &gt; 1 )</formula>
    </cfRule>
  </conditionalFormatting>
  <conditionalFormatting sqref="M3:M547">
    <cfRule type="cellIs" dxfId="0" priority="8" operator="greaterThan">
      <formula>0</formula>
    </cfRule>
  </conditionalFormatting>
  <dataValidations count="1">
    <dataValidation type="list" allowBlank="1" showInputMessage="1" showErrorMessage="1" sqref="I3" xr:uid="{7C8F610A-8B56-45E9-9AB0-4291EAE53BA3}">
      <formula1>INDIRECT("Name_List[Full Name]")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21F43F3-000A-4C3C-9B33-6A3A3917BDAF}">
          <x14:formula1>
            <xm:f>'Name List'!$B$4:$B$7</xm:f>
          </x14:formula1>
          <xm:sqref>I4:I74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9267-CA38-447A-A795-D23E94BA6862}">
  <dimension ref="A1:Y14"/>
  <sheetViews>
    <sheetView workbookViewId="0">
      <selection activeCell="K38" sqref="K38"/>
    </sheetView>
  </sheetViews>
  <sheetFormatPr defaultRowHeight="16.5"/>
  <cols>
    <col min="2" max="2" width="15.375" bestFit="1" customWidth="1"/>
    <col min="3" max="3" width="12.75" customWidth="1"/>
    <col min="4" max="4" width="14.75" customWidth="1"/>
    <col min="9" max="9" width="13.625" bestFit="1" customWidth="1"/>
    <col min="12" max="12" width="16.25" bestFit="1" customWidth="1"/>
    <col min="13" max="13" width="23.125" customWidth="1"/>
    <col min="14" max="14" width="24.125" bestFit="1" customWidth="1"/>
    <col min="15" max="15" width="12.25" bestFit="1" customWidth="1"/>
    <col min="18" max="18" width="15.5" bestFit="1" customWidth="1"/>
    <col min="19" max="19" width="12.125" bestFit="1" customWidth="1"/>
    <col min="20" max="20" width="15.375" bestFit="1" customWidth="1"/>
    <col min="21" max="21" width="14.625" customWidth="1"/>
    <col min="25" max="25" width="10.5" style="217" bestFit="1" customWidth="1"/>
    <col min="27" max="27" width="15.375" customWidth="1"/>
  </cols>
  <sheetData>
    <row r="1" spans="1:22">
      <c r="C1" t="s">
        <v>134</v>
      </c>
      <c r="D1" t="s">
        <v>135</v>
      </c>
      <c r="T1" t="s">
        <v>111</v>
      </c>
    </row>
    <row r="2" spans="1:22">
      <c r="I2" s="161" t="s">
        <v>98</v>
      </c>
    </row>
    <row r="3" spans="1:22" ht="22.5">
      <c r="A3" t="s">
        <v>94</v>
      </c>
      <c r="B3" t="s">
        <v>91</v>
      </c>
      <c r="C3" t="s">
        <v>95</v>
      </c>
      <c r="D3" t="s">
        <v>96</v>
      </c>
      <c r="E3" s="157" t="s">
        <v>127</v>
      </c>
      <c r="F3" s="230" t="s">
        <v>129</v>
      </c>
      <c r="G3" s="233" t="s">
        <v>130</v>
      </c>
      <c r="H3" s="230" t="s">
        <v>17</v>
      </c>
      <c r="I3" s="160" t="s">
        <v>97</v>
      </c>
      <c r="L3" s="162" t="s">
        <v>106</v>
      </c>
      <c r="M3" s="162" t="s">
        <v>108</v>
      </c>
      <c r="N3" s="162" t="s">
        <v>107</v>
      </c>
      <c r="O3" t="s">
        <v>105</v>
      </c>
      <c r="R3" t="str" cm="1">
        <f t="array" ref="R3:R7">_xlfn.UNIQUE(表格3_5[Name])</f>
        <v>Lee Sin Edith</v>
      </c>
      <c r="T3" t="e" cm="1" vm="1">
        <f t="array" ref="T3">_xlfn._xlws.FILTER(表格3_5[],表格3_5[Name]=T1)</f>
        <v>#VALUE!</v>
      </c>
      <c r="V3" t="s">
        <v>120</v>
      </c>
    </row>
    <row r="4" spans="1:22">
      <c r="A4">
        <v>1</v>
      </c>
      <c r="B4" t="s">
        <v>137</v>
      </c>
      <c r="C4" t="s">
        <v>136</v>
      </c>
      <c r="E4">
        <v>16000</v>
      </c>
      <c r="F4">
        <v>1500</v>
      </c>
      <c r="H4">
        <v>500</v>
      </c>
      <c r="I4" t="str" cm="1">
        <f t="array" ref="I4:I12">_xlfn._xlws.FILTER(_xlfn.UNIQUE(表格3_5[Location]), _xlfn.UNIQUE(表格3_5[Location])&lt;&gt;0)</f>
        <v>SSPO YOHO</v>
      </c>
      <c r="L4">
        <v>0</v>
      </c>
      <c r="M4" t="s">
        <v>110</v>
      </c>
      <c r="N4" t="s">
        <v>110</v>
      </c>
      <c r="R4" t="str">
        <v>Leung Kam Ching</v>
      </c>
      <c r="V4" t="s">
        <v>121</v>
      </c>
    </row>
    <row r="5" spans="1:22">
      <c r="A5">
        <v>2</v>
      </c>
      <c r="B5" t="s">
        <v>114</v>
      </c>
      <c r="C5" t="s">
        <v>113</v>
      </c>
      <c r="E5">
        <v>16000</v>
      </c>
      <c r="F5">
        <v>1500</v>
      </c>
      <c r="H5">
        <v>500</v>
      </c>
      <c r="I5" t="str">
        <v>KT YOHO</v>
      </c>
      <c r="L5" t="s">
        <v>118</v>
      </c>
      <c r="M5" t="s">
        <v>116</v>
      </c>
      <c r="N5" t="s">
        <v>144</v>
      </c>
      <c r="O5">
        <v>11</v>
      </c>
      <c r="R5" t="str">
        <v>Yuen Maria Wing Yan</v>
      </c>
      <c r="V5" t="s">
        <v>124</v>
      </c>
    </row>
    <row r="6" spans="1:22">
      <c r="A6">
        <v>3</v>
      </c>
      <c r="B6" t="s">
        <v>131</v>
      </c>
      <c r="C6" t="s">
        <v>117</v>
      </c>
      <c r="E6">
        <v>22000</v>
      </c>
      <c r="G6" s="234">
        <v>0.05</v>
      </c>
      <c r="I6" t="str">
        <v>Wai Chai</v>
      </c>
      <c r="L6" t="s">
        <v>118</v>
      </c>
      <c r="M6" t="s">
        <v>116</v>
      </c>
      <c r="N6" t="s">
        <v>142</v>
      </c>
      <c r="O6">
        <v>1</v>
      </c>
      <c r="R6" t="str">
        <v>Wan Kwok Hei</v>
      </c>
      <c r="V6" t="s">
        <v>123</v>
      </c>
    </row>
    <row r="7" spans="1:22">
      <c r="A7">
        <v>4</v>
      </c>
      <c r="B7" t="s">
        <v>116</v>
      </c>
      <c r="C7" t="s">
        <v>118</v>
      </c>
      <c r="E7">
        <v>16000</v>
      </c>
      <c r="F7">
        <v>1500</v>
      </c>
      <c r="H7">
        <v>500</v>
      </c>
      <c r="I7" t="str">
        <v>Telford plaza Chung Yuen</v>
      </c>
      <c r="L7" t="s">
        <v>118</v>
      </c>
      <c r="M7" t="s">
        <v>116</v>
      </c>
      <c r="N7" t="s">
        <v>122</v>
      </c>
      <c r="O7">
        <v>11</v>
      </c>
      <c r="R7">
        <v>0</v>
      </c>
      <c r="V7" t="s">
        <v>122</v>
      </c>
    </row>
    <row r="8" spans="1:22">
      <c r="A8">
        <v>5</v>
      </c>
      <c r="I8" t="str">
        <v>Metro City</v>
      </c>
      <c r="L8" t="s">
        <v>113</v>
      </c>
      <c r="M8" t="s">
        <v>114</v>
      </c>
      <c r="N8" t="s">
        <v>126</v>
      </c>
      <c r="O8">
        <v>12</v>
      </c>
      <c r="V8" t="s">
        <v>126</v>
      </c>
    </row>
    <row r="9" spans="1:22">
      <c r="A9">
        <v>6</v>
      </c>
      <c r="I9" t="str">
        <v>Roadshow</v>
      </c>
      <c r="L9" t="s">
        <v>113</v>
      </c>
      <c r="M9" t="s">
        <v>114</v>
      </c>
      <c r="N9" t="s">
        <v>125</v>
      </c>
      <c r="O9">
        <v>10</v>
      </c>
      <c r="V9" t="s">
        <v>125</v>
      </c>
    </row>
    <row r="10" spans="1:22">
      <c r="A10">
        <v>7</v>
      </c>
      <c r="D10" s="157"/>
      <c r="I10" t="str">
        <v xml:space="preserve">CWB Yoho </v>
      </c>
      <c r="L10" t="s">
        <v>112</v>
      </c>
      <c r="M10" t="s">
        <v>140</v>
      </c>
      <c r="N10" t="s">
        <v>121</v>
      </c>
      <c r="O10">
        <v>10</v>
      </c>
      <c r="V10" t="s">
        <v>124</v>
      </c>
    </row>
    <row r="11" spans="1:22">
      <c r="A11">
        <v>8</v>
      </c>
      <c r="I11" t="str">
        <v>Tsuen Wan Chung Yuen</v>
      </c>
      <c r="L11" t="s">
        <v>112</v>
      </c>
      <c r="M11" t="s">
        <v>140</v>
      </c>
      <c r="N11" t="s">
        <v>120</v>
      </c>
      <c r="O11">
        <v>11</v>
      </c>
      <c r="V11" t="s">
        <v>120</v>
      </c>
    </row>
    <row r="12" spans="1:22">
      <c r="A12">
        <v>9</v>
      </c>
      <c r="I12" t="str">
        <v>Wan Chai Jingdong</v>
      </c>
      <c r="L12" t="s">
        <v>112</v>
      </c>
      <c r="M12" t="s">
        <v>140</v>
      </c>
      <c r="N12" t="s">
        <v>141</v>
      </c>
      <c r="O12">
        <v>1</v>
      </c>
      <c r="V12" t="s">
        <v>122</v>
      </c>
    </row>
    <row r="13" spans="1:22">
      <c r="A13">
        <v>10</v>
      </c>
      <c r="L13" t="s">
        <v>117</v>
      </c>
      <c r="M13" t="s">
        <v>115</v>
      </c>
      <c r="N13" t="s">
        <v>110</v>
      </c>
      <c r="V13" t="s">
        <v>125</v>
      </c>
    </row>
    <row r="14" spans="1:22">
      <c r="L14" t="s">
        <v>104</v>
      </c>
      <c r="O14">
        <v>67</v>
      </c>
    </row>
  </sheetData>
  <phoneticPr fontId="3" type="noConversion"/>
  <dataValidations disablePrompts="1" count="1">
    <dataValidation type="list" allowBlank="1" showInputMessage="1" showErrorMessage="1" sqref="T1" xr:uid="{73C75E30-D79F-4CC0-8B83-181B694606E0}">
      <formula1>_xlfn.ANCHORARRAY($R$3)</formula1>
    </dataValidation>
  </dataValidations>
  <pageMargins left="0.7" right="0.7" top="0.75" bottom="0.75" header="0.3" footer="0.3"/>
  <pageSetup paperSize="9"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具名範圍</vt:lpstr>
      </vt:variant>
      <vt:variant>
        <vt:i4>2</vt:i4>
      </vt:variant>
    </vt:vector>
  </HeadingPairs>
  <TitlesOfParts>
    <vt:vector size="8" baseType="lpstr">
      <vt:lpstr>1-10</vt:lpstr>
      <vt:lpstr>11-20</vt:lpstr>
      <vt:lpstr>Roster</vt:lpstr>
      <vt:lpstr>Total</vt:lpstr>
      <vt:lpstr>工作表1</vt:lpstr>
      <vt:lpstr>Name List</vt:lpstr>
      <vt:lpstr>'1-10'!Print_Area</vt:lpstr>
      <vt:lpstr>'11-20'!Print_Area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A5413</dc:creator>
  <cp:lastModifiedBy>a1334</cp:lastModifiedBy>
  <cp:lastPrinted>2025-11-12T05:15:03Z</cp:lastPrinted>
  <dcterms:created xsi:type="dcterms:W3CDTF">2025-10-16T08:06:11Z</dcterms:created>
  <dcterms:modified xsi:type="dcterms:W3CDTF">2026-07-13T02:27:27Z</dcterms:modified>
</cp:coreProperties>
</file>