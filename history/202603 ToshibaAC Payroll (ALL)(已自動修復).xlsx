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licers/slicer2.xml" ContentType="application/vnd.ms-excel.slicer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\\SS-NAS01\Public\New Public\Promotion Team\Toshiba\Payroll\2024\"/>
    </mc:Choice>
  </mc:AlternateContent>
  <xr:revisionPtr revIDLastSave="0" documentId="13_ncr:1_{D435A5C7-8672-42F0-88B3-360A34929003}" xr6:coauthVersionLast="47" xr6:coauthVersionMax="47" xr10:uidLastSave="{00000000-0000-0000-0000-000000000000}"/>
  <bookViews>
    <workbookView xWindow="27495" yWindow="3630" windowWidth="26385" windowHeight="14775" tabRatio="758" firstSheet="2" activeTab="2" xr2:uid="{F2FB5186-C208-4C02-B67C-7559807A00AE}"/>
  </bookViews>
  <sheets>
    <sheet name="1-10" sheetId="14" r:id="rId1"/>
    <sheet name="1-10 (2)" sheetId="20" r:id="rId2"/>
    <sheet name="Total" sheetId="12" r:id="rId3"/>
    <sheet name="工作表1" sheetId="26" r:id="rId4"/>
    <sheet name="工作表3" sheetId="25" r:id="rId5"/>
    <sheet name="工作表2" sheetId="27" r:id="rId6"/>
  </sheets>
  <definedNames>
    <definedName name="_xlnm._FilterDatabase" localSheetId="2" hidden="1">Total!$A$18:$AJ$86</definedName>
    <definedName name="_xlnm._FilterDatabase" localSheetId="4" hidden="1">工作表3!$A$1:$AG$87</definedName>
    <definedName name="_xlnm.Print_Area" localSheetId="0">'1-10'!$A$1:$I$380</definedName>
    <definedName name="_xlnm.Print_Area" localSheetId="1">'1-10 (2)'!$A$1:$I$370</definedName>
    <definedName name="_xlnm.Print_Area" localSheetId="2">Total!$B$38:$AH$39</definedName>
    <definedName name="Slicer_Full_Name1">#N/A</definedName>
    <definedName name="Slicer_Name.">#N/A</definedName>
  </definedNames>
  <calcPr calcId="191029"/>
  <pivotCaches>
    <pivotCache cacheId="55" r:id="rId7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3" i="12" l="1"/>
  <c r="N72" i="12"/>
  <c r="AO3" i="25" l="1"/>
  <c r="AP3" i="25"/>
  <c r="AQ3" i="25"/>
  <c r="AR3" i="25"/>
  <c r="AS3" i="25"/>
  <c r="AT3" i="25"/>
  <c r="AU3" i="25"/>
  <c r="AV3" i="25"/>
  <c r="AW3" i="25"/>
  <c r="AX3" i="25"/>
  <c r="AY3" i="25"/>
  <c r="AZ3" i="25"/>
  <c r="BA3" i="25"/>
  <c r="BB3" i="25"/>
  <c r="BC3" i="25"/>
  <c r="BD3" i="25"/>
  <c r="BE3" i="25"/>
  <c r="AO4" i="25"/>
  <c r="AP4" i="25"/>
  <c r="AQ4" i="25"/>
  <c r="AR4" i="25"/>
  <c r="AS4" i="25"/>
  <c r="AT4" i="25"/>
  <c r="AU4" i="25"/>
  <c r="AV4" i="25"/>
  <c r="AW4" i="25"/>
  <c r="AX4" i="25"/>
  <c r="AY4" i="25"/>
  <c r="AZ4" i="25"/>
  <c r="BA4" i="25"/>
  <c r="BB4" i="25"/>
  <c r="BC4" i="25"/>
  <c r="BD4" i="25"/>
  <c r="BE4" i="25"/>
  <c r="AO5" i="25"/>
  <c r="AP5" i="25"/>
  <c r="AQ5" i="25"/>
  <c r="AR5" i="25"/>
  <c r="AS5" i="25"/>
  <c r="AT5" i="25"/>
  <c r="AU5" i="25"/>
  <c r="AV5" i="25"/>
  <c r="AW5" i="25"/>
  <c r="AX5" i="25"/>
  <c r="AY5" i="25"/>
  <c r="AZ5" i="25"/>
  <c r="BA5" i="25"/>
  <c r="BB5" i="25"/>
  <c r="BC5" i="25"/>
  <c r="BD5" i="25"/>
  <c r="BE5" i="25"/>
  <c r="AO6" i="25"/>
  <c r="AP6" i="25"/>
  <c r="AQ6" i="25"/>
  <c r="AR6" i="25"/>
  <c r="AS6" i="25"/>
  <c r="AT6" i="25"/>
  <c r="AU6" i="25"/>
  <c r="AV6" i="25"/>
  <c r="AW6" i="25"/>
  <c r="AX6" i="25"/>
  <c r="AY6" i="25"/>
  <c r="AZ6" i="25"/>
  <c r="BA6" i="25"/>
  <c r="BB6" i="25"/>
  <c r="BC6" i="25"/>
  <c r="BD6" i="25"/>
  <c r="BE6" i="25"/>
  <c r="AO7" i="25"/>
  <c r="AP7" i="25"/>
  <c r="AQ7" i="25"/>
  <c r="AR7" i="25"/>
  <c r="AS7" i="25"/>
  <c r="AT7" i="25"/>
  <c r="AU7" i="25"/>
  <c r="AV7" i="25"/>
  <c r="AW7" i="25"/>
  <c r="AX7" i="25"/>
  <c r="AY7" i="25"/>
  <c r="AZ7" i="25"/>
  <c r="BA7" i="25"/>
  <c r="BB7" i="25"/>
  <c r="BC7" i="25"/>
  <c r="BD7" i="25"/>
  <c r="BE7" i="25"/>
  <c r="AO8" i="25"/>
  <c r="AP8" i="25"/>
  <c r="AQ8" i="25"/>
  <c r="AR8" i="25"/>
  <c r="AS8" i="25"/>
  <c r="AT8" i="25"/>
  <c r="AU8" i="25"/>
  <c r="AV8" i="25"/>
  <c r="AW8" i="25"/>
  <c r="AX8" i="25"/>
  <c r="AY8" i="25"/>
  <c r="AZ8" i="25"/>
  <c r="BA8" i="25"/>
  <c r="BB8" i="25"/>
  <c r="BC8" i="25"/>
  <c r="BD8" i="25"/>
  <c r="BE8" i="25"/>
  <c r="AO9" i="25"/>
  <c r="AP9" i="25"/>
  <c r="AQ9" i="25"/>
  <c r="AR9" i="25"/>
  <c r="AS9" i="25"/>
  <c r="AT9" i="25"/>
  <c r="AU9" i="25"/>
  <c r="AV9" i="25"/>
  <c r="AW9" i="25"/>
  <c r="AX9" i="25"/>
  <c r="AY9" i="25"/>
  <c r="AZ9" i="25"/>
  <c r="BA9" i="25"/>
  <c r="BB9" i="25"/>
  <c r="BC9" i="25"/>
  <c r="BD9" i="25"/>
  <c r="BE9" i="25"/>
  <c r="AO10" i="25"/>
  <c r="AP10" i="25"/>
  <c r="AQ10" i="25"/>
  <c r="AR10" i="25"/>
  <c r="AS10" i="25"/>
  <c r="AT10" i="25"/>
  <c r="AU10" i="25"/>
  <c r="AV10" i="25"/>
  <c r="AW10" i="25"/>
  <c r="AX10" i="25"/>
  <c r="AY10" i="25"/>
  <c r="AZ10" i="25"/>
  <c r="BA10" i="25"/>
  <c r="BB10" i="25"/>
  <c r="BC10" i="25"/>
  <c r="BD10" i="25"/>
  <c r="BE10" i="25"/>
  <c r="AO11" i="25"/>
  <c r="AP11" i="25"/>
  <c r="AQ11" i="25"/>
  <c r="AR11" i="25"/>
  <c r="AS11" i="25"/>
  <c r="AT11" i="25"/>
  <c r="AU11" i="25"/>
  <c r="AV11" i="25"/>
  <c r="AW11" i="25"/>
  <c r="AX11" i="25"/>
  <c r="AY11" i="25"/>
  <c r="AZ11" i="25"/>
  <c r="BA11" i="25"/>
  <c r="BB11" i="25"/>
  <c r="BC11" i="25"/>
  <c r="BD11" i="25"/>
  <c r="BE11" i="25"/>
  <c r="AO12" i="25"/>
  <c r="AP12" i="25"/>
  <c r="AQ12" i="25"/>
  <c r="AR12" i="25"/>
  <c r="AS12" i="25"/>
  <c r="AT12" i="25"/>
  <c r="AU12" i="25"/>
  <c r="AV12" i="25"/>
  <c r="AW12" i="25"/>
  <c r="AX12" i="25"/>
  <c r="AY12" i="25"/>
  <c r="AZ12" i="25"/>
  <c r="BA12" i="25"/>
  <c r="BB12" i="25"/>
  <c r="BC12" i="25"/>
  <c r="BD12" i="25"/>
  <c r="BE12" i="25"/>
  <c r="AO13" i="25"/>
  <c r="AP13" i="25"/>
  <c r="AQ13" i="25"/>
  <c r="AR13" i="25"/>
  <c r="AS13" i="25"/>
  <c r="AT13" i="25"/>
  <c r="AU13" i="25"/>
  <c r="AV13" i="25"/>
  <c r="AW13" i="25"/>
  <c r="AX13" i="25"/>
  <c r="AY13" i="25"/>
  <c r="AZ13" i="25"/>
  <c r="BA13" i="25"/>
  <c r="BB13" i="25"/>
  <c r="BC13" i="25"/>
  <c r="BD13" i="25"/>
  <c r="BE13" i="25"/>
  <c r="AO14" i="25"/>
  <c r="AP14" i="25"/>
  <c r="AQ14" i="25"/>
  <c r="AR14" i="25"/>
  <c r="AS14" i="25"/>
  <c r="AT14" i="25"/>
  <c r="AU14" i="25"/>
  <c r="AV14" i="25"/>
  <c r="AW14" i="25"/>
  <c r="AX14" i="25"/>
  <c r="AY14" i="25"/>
  <c r="AZ14" i="25"/>
  <c r="BA14" i="25"/>
  <c r="BB14" i="25"/>
  <c r="BC14" i="25"/>
  <c r="BD14" i="25"/>
  <c r="BE14" i="25"/>
  <c r="AO15" i="25"/>
  <c r="AP15" i="25"/>
  <c r="AQ15" i="25"/>
  <c r="AR15" i="25"/>
  <c r="AS15" i="25"/>
  <c r="AT15" i="25"/>
  <c r="AU15" i="25"/>
  <c r="AV15" i="25"/>
  <c r="AW15" i="25"/>
  <c r="AX15" i="25"/>
  <c r="AY15" i="25"/>
  <c r="AZ15" i="25"/>
  <c r="BA15" i="25"/>
  <c r="BB15" i="25"/>
  <c r="BC15" i="25"/>
  <c r="BD15" i="25"/>
  <c r="BE15" i="25"/>
  <c r="AO16" i="25"/>
  <c r="AP16" i="25"/>
  <c r="AQ16" i="25"/>
  <c r="AR16" i="25"/>
  <c r="AS16" i="25"/>
  <c r="AT16" i="25"/>
  <c r="AU16" i="25"/>
  <c r="AV16" i="25"/>
  <c r="AW16" i="25"/>
  <c r="AX16" i="25"/>
  <c r="AY16" i="25"/>
  <c r="AZ16" i="25"/>
  <c r="BA16" i="25"/>
  <c r="BB16" i="25"/>
  <c r="BC16" i="25"/>
  <c r="BD16" i="25"/>
  <c r="BE16" i="25"/>
  <c r="AO17" i="25"/>
  <c r="AP17" i="25"/>
  <c r="AQ17" i="25"/>
  <c r="AR17" i="25"/>
  <c r="AS17" i="25"/>
  <c r="AT17" i="25"/>
  <c r="AU17" i="25"/>
  <c r="AV17" i="25"/>
  <c r="AW17" i="25"/>
  <c r="AX17" i="25"/>
  <c r="AY17" i="25"/>
  <c r="AZ17" i="25"/>
  <c r="BA17" i="25"/>
  <c r="BB17" i="25"/>
  <c r="BC17" i="25"/>
  <c r="BD17" i="25"/>
  <c r="BE17" i="25"/>
  <c r="AO18" i="25"/>
  <c r="AP18" i="25"/>
  <c r="AQ18" i="25"/>
  <c r="AR18" i="25"/>
  <c r="AS18" i="25"/>
  <c r="AT18" i="25"/>
  <c r="AU18" i="25"/>
  <c r="AV18" i="25"/>
  <c r="AW18" i="25"/>
  <c r="AX18" i="25"/>
  <c r="AY18" i="25"/>
  <c r="AZ18" i="25"/>
  <c r="BA18" i="25"/>
  <c r="BB18" i="25"/>
  <c r="BC18" i="25"/>
  <c r="BD18" i="25"/>
  <c r="BE18" i="25"/>
  <c r="AO19" i="25"/>
  <c r="AP19" i="25"/>
  <c r="AQ19" i="25"/>
  <c r="AR19" i="25"/>
  <c r="AS19" i="25"/>
  <c r="AT19" i="25"/>
  <c r="AU19" i="25"/>
  <c r="AV19" i="25"/>
  <c r="AW19" i="25"/>
  <c r="AX19" i="25"/>
  <c r="AY19" i="25"/>
  <c r="AZ19" i="25"/>
  <c r="BA19" i="25"/>
  <c r="BB19" i="25"/>
  <c r="BC19" i="25"/>
  <c r="BD19" i="25"/>
  <c r="BE19" i="25"/>
  <c r="AO20" i="25"/>
  <c r="AP20" i="25"/>
  <c r="AQ20" i="25"/>
  <c r="AR20" i="25"/>
  <c r="AS20" i="25"/>
  <c r="AT20" i="25"/>
  <c r="AU20" i="25"/>
  <c r="AV20" i="25"/>
  <c r="AW20" i="25"/>
  <c r="AX20" i="25"/>
  <c r="AY20" i="25"/>
  <c r="AZ20" i="25"/>
  <c r="BA20" i="25"/>
  <c r="BB20" i="25"/>
  <c r="BC20" i="25"/>
  <c r="BD20" i="25"/>
  <c r="BE20" i="25"/>
  <c r="AO21" i="25"/>
  <c r="AP21" i="25"/>
  <c r="AQ21" i="25"/>
  <c r="AR21" i="25"/>
  <c r="AS21" i="25"/>
  <c r="AT21" i="25"/>
  <c r="AU21" i="25"/>
  <c r="AV21" i="25"/>
  <c r="AW21" i="25"/>
  <c r="AX21" i="25"/>
  <c r="AY21" i="25"/>
  <c r="AZ21" i="25"/>
  <c r="BA21" i="25"/>
  <c r="BB21" i="25"/>
  <c r="BC21" i="25"/>
  <c r="BD21" i="25"/>
  <c r="BE21" i="25"/>
  <c r="AO22" i="25"/>
  <c r="AP22" i="25"/>
  <c r="AQ22" i="25"/>
  <c r="AR22" i="25"/>
  <c r="AS22" i="25"/>
  <c r="AT22" i="25"/>
  <c r="AU22" i="25"/>
  <c r="AV22" i="25"/>
  <c r="AW22" i="25"/>
  <c r="AX22" i="25"/>
  <c r="AY22" i="25"/>
  <c r="AZ22" i="25"/>
  <c r="BA22" i="25"/>
  <c r="BB22" i="25"/>
  <c r="BC22" i="25"/>
  <c r="BD22" i="25"/>
  <c r="BE22" i="25"/>
  <c r="AO23" i="25"/>
  <c r="AP23" i="25"/>
  <c r="AQ23" i="25"/>
  <c r="AR23" i="25"/>
  <c r="AS23" i="25"/>
  <c r="AT23" i="25"/>
  <c r="AU23" i="25"/>
  <c r="AV23" i="25"/>
  <c r="AW23" i="25"/>
  <c r="AX23" i="25"/>
  <c r="AY23" i="25"/>
  <c r="AZ23" i="25"/>
  <c r="BA23" i="25"/>
  <c r="BB23" i="25"/>
  <c r="BC23" i="25"/>
  <c r="BD23" i="25"/>
  <c r="BE23" i="25"/>
  <c r="AO24" i="25"/>
  <c r="AP24" i="25"/>
  <c r="AQ24" i="25"/>
  <c r="AR24" i="25"/>
  <c r="AS24" i="25"/>
  <c r="AT24" i="25"/>
  <c r="AU24" i="25"/>
  <c r="AV24" i="25"/>
  <c r="AW24" i="25"/>
  <c r="AX24" i="25"/>
  <c r="AY24" i="25"/>
  <c r="AZ24" i="25"/>
  <c r="BA24" i="25"/>
  <c r="BB24" i="25"/>
  <c r="BC24" i="25"/>
  <c r="BD24" i="25"/>
  <c r="BE24" i="25"/>
  <c r="AO25" i="25"/>
  <c r="AP25" i="25"/>
  <c r="AQ25" i="25"/>
  <c r="AR25" i="25"/>
  <c r="AS25" i="25"/>
  <c r="AT25" i="25"/>
  <c r="AU25" i="25"/>
  <c r="AV25" i="25"/>
  <c r="AW25" i="25"/>
  <c r="AX25" i="25"/>
  <c r="AY25" i="25"/>
  <c r="AZ25" i="25"/>
  <c r="BA25" i="25"/>
  <c r="BB25" i="25"/>
  <c r="BC25" i="25"/>
  <c r="BD25" i="25"/>
  <c r="BE25" i="25"/>
  <c r="AO26" i="25"/>
  <c r="AP26" i="25"/>
  <c r="AQ26" i="25"/>
  <c r="AR26" i="25"/>
  <c r="AS26" i="25"/>
  <c r="AT26" i="25"/>
  <c r="AU26" i="25"/>
  <c r="AV26" i="25"/>
  <c r="AW26" i="25"/>
  <c r="AX26" i="25"/>
  <c r="AY26" i="25"/>
  <c r="AZ26" i="25"/>
  <c r="BA26" i="25"/>
  <c r="BB26" i="25"/>
  <c r="BC26" i="25"/>
  <c r="BD26" i="25"/>
  <c r="BE26" i="25"/>
  <c r="AO27" i="25"/>
  <c r="AP27" i="25"/>
  <c r="AQ27" i="25"/>
  <c r="AR27" i="25"/>
  <c r="AS27" i="25"/>
  <c r="AT27" i="25"/>
  <c r="AU27" i="25"/>
  <c r="AV27" i="25"/>
  <c r="AW27" i="25"/>
  <c r="AX27" i="25"/>
  <c r="AY27" i="25"/>
  <c r="AZ27" i="25"/>
  <c r="BA27" i="25"/>
  <c r="BB27" i="25"/>
  <c r="BC27" i="25"/>
  <c r="BD27" i="25"/>
  <c r="BE27" i="25"/>
  <c r="AO28" i="25"/>
  <c r="AP28" i="25"/>
  <c r="AQ28" i="25"/>
  <c r="AR28" i="25"/>
  <c r="AS28" i="25"/>
  <c r="AT28" i="25"/>
  <c r="AU28" i="25"/>
  <c r="AV28" i="25"/>
  <c r="AW28" i="25"/>
  <c r="AX28" i="25"/>
  <c r="AY28" i="25"/>
  <c r="AZ28" i="25"/>
  <c r="BA28" i="25"/>
  <c r="BB28" i="25"/>
  <c r="BC28" i="25"/>
  <c r="BD28" i="25"/>
  <c r="BE28" i="25"/>
  <c r="AO29" i="25"/>
  <c r="AP29" i="25"/>
  <c r="AQ29" i="25"/>
  <c r="AR29" i="25"/>
  <c r="AS29" i="25"/>
  <c r="AT29" i="25"/>
  <c r="AU29" i="25"/>
  <c r="AV29" i="25"/>
  <c r="AW29" i="25"/>
  <c r="AX29" i="25"/>
  <c r="AY29" i="25"/>
  <c r="AZ29" i="25"/>
  <c r="BA29" i="25"/>
  <c r="BB29" i="25"/>
  <c r="BC29" i="25"/>
  <c r="BD29" i="25"/>
  <c r="BE29" i="25"/>
  <c r="AO30" i="25"/>
  <c r="AP30" i="25"/>
  <c r="AQ30" i="25"/>
  <c r="AR30" i="25"/>
  <c r="AS30" i="25"/>
  <c r="AT30" i="25"/>
  <c r="AU30" i="25"/>
  <c r="AV30" i="25"/>
  <c r="AW30" i="25"/>
  <c r="AX30" i="25"/>
  <c r="AY30" i="25"/>
  <c r="AZ30" i="25"/>
  <c r="BA30" i="25"/>
  <c r="BB30" i="25"/>
  <c r="BC30" i="25"/>
  <c r="BD30" i="25"/>
  <c r="BE30" i="25"/>
  <c r="AO31" i="25"/>
  <c r="AP31" i="25"/>
  <c r="AQ31" i="25"/>
  <c r="AR31" i="25"/>
  <c r="AS31" i="25"/>
  <c r="AT31" i="25"/>
  <c r="AU31" i="25"/>
  <c r="AV31" i="25"/>
  <c r="AW31" i="25"/>
  <c r="AX31" i="25"/>
  <c r="AY31" i="25"/>
  <c r="AZ31" i="25"/>
  <c r="BA31" i="25"/>
  <c r="BB31" i="25"/>
  <c r="BC31" i="25"/>
  <c r="BD31" i="25"/>
  <c r="BE31" i="25"/>
  <c r="AO32" i="25"/>
  <c r="AP32" i="25"/>
  <c r="AQ32" i="25"/>
  <c r="AR32" i="25"/>
  <c r="AS32" i="25"/>
  <c r="AT32" i="25"/>
  <c r="AU32" i="25"/>
  <c r="AV32" i="25"/>
  <c r="AW32" i="25"/>
  <c r="AX32" i="25"/>
  <c r="AY32" i="25"/>
  <c r="AZ32" i="25"/>
  <c r="BA32" i="25"/>
  <c r="BB32" i="25"/>
  <c r="BC32" i="25"/>
  <c r="BD32" i="25"/>
  <c r="BE32" i="25"/>
  <c r="AO33" i="25"/>
  <c r="AP33" i="25"/>
  <c r="AQ33" i="25"/>
  <c r="AR33" i="25"/>
  <c r="AS33" i="25"/>
  <c r="AT33" i="25"/>
  <c r="AU33" i="25"/>
  <c r="AV33" i="25"/>
  <c r="AW33" i="25"/>
  <c r="AX33" i="25"/>
  <c r="AY33" i="25"/>
  <c r="AZ33" i="25"/>
  <c r="BA33" i="25"/>
  <c r="BB33" i="25"/>
  <c r="BC33" i="25"/>
  <c r="BD33" i="25"/>
  <c r="BE33" i="25"/>
  <c r="AO34" i="25"/>
  <c r="AP34" i="25"/>
  <c r="AQ34" i="25"/>
  <c r="AR34" i="25"/>
  <c r="AS34" i="25"/>
  <c r="AT34" i="25"/>
  <c r="AU34" i="25"/>
  <c r="AV34" i="25"/>
  <c r="AW34" i="25"/>
  <c r="AX34" i="25"/>
  <c r="AY34" i="25"/>
  <c r="AZ34" i="25"/>
  <c r="BA34" i="25"/>
  <c r="BB34" i="25"/>
  <c r="BC34" i="25"/>
  <c r="BD34" i="25"/>
  <c r="BE34" i="25"/>
  <c r="AO35" i="25"/>
  <c r="AP35" i="25"/>
  <c r="AQ35" i="25"/>
  <c r="AR35" i="25"/>
  <c r="AS35" i="25"/>
  <c r="AT35" i="25"/>
  <c r="AU35" i="25"/>
  <c r="AV35" i="25"/>
  <c r="AW35" i="25"/>
  <c r="AX35" i="25"/>
  <c r="AY35" i="25"/>
  <c r="AZ35" i="25"/>
  <c r="BA35" i="25"/>
  <c r="BB35" i="25"/>
  <c r="BC35" i="25"/>
  <c r="BD35" i="25"/>
  <c r="BE35" i="25"/>
  <c r="AO36" i="25"/>
  <c r="AP36" i="25"/>
  <c r="AQ36" i="25"/>
  <c r="AR36" i="25"/>
  <c r="AS36" i="25"/>
  <c r="AT36" i="25"/>
  <c r="AU36" i="25"/>
  <c r="AV36" i="25"/>
  <c r="AW36" i="25"/>
  <c r="AX36" i="25"/>
  <c r="AY36" i="25"/>
  <c r="AZ36" i="25"/>
  <c r="BA36" i="25"/>
  <c r="BB36" i="25"/>
  <c r="BC36" i="25"/>
  <c r="BD36" i="25"/>
  <c r="BE36" i="25"/>
  <c r="AO37" i="25"/>
  <c r="AP37" i="25"/>
  <c r="AQ37" i="25"/>
  <c r="AR37" i="25"/>
  <c r="AS37" i="25"/>
  <c r="AT37" i="25"/>
  <c r="AU37" i="25"/>
  <c r="AV37" i="25"/>
  <c r="AW37" i="25"/>
  <c r="AX37" i="25"/>
  <c r="AY37" i="25"/>
  <c r="AZ37" i="25"/>
  <c r="BA37" i="25"/>
  <c r="BB37" i="25"/>
  <c r="BC37" i="25"/>
  <c r="BD37" i="25"/>
  <c r="BE37" i="25"/>
  <c r="AO38" i="25"/>
  <c r="AP38" i="25"/>
  <c r="AQ38" i="25"/>
  <c r="AR38" i="25"/>
  <c r="AS38" i="25"/>
  <c r="AT38" i="25"/>
  <c r="AU38" i="25"/>
  <c r="AV38" i="25"/>
  <c r="AW38" i="25"/>
  <c r="AX38" i="25"/>
  <c r="AY38" i="25"/>
  <c r="AZ38" i="25"/>
  <c r="BA38" i="25"/>
  <c r="BB38" i="25"/>
  <c r="BC38" i="25"/>
  <c r="BD38" i="25"/>
  <c r="BE38" i="25"/>
  <c r="AO39" i="25"/>
  <c r="AP39" i="25"/>
  <c r="AQ39" i="25"/>
  <c r="AR39" i="25"/>
  <c r="AS39" i="25"/>
  <c r="AT39" i="25"/>
  <c r="AU39" i="25"/>
  <c r="AV39" i="25"/>
  <c r="AW39" i="25"/>
  <c r="AX39" i="25"/>
  <c r="AY39" i="25"/>
  <c r="AZ39" i="25"/>
  <c r="BA39" i="25"/>
  <c r="BB39" i="25"/>
  <c r="BC39" i="25"/>
  <c r="BD39" i="25"/>
  <c r="BE39" i="25"/>
  <c r="AO40" i="25"/>
  <c r="AP40" i="25"/>
  <c r="AQ40" i="25"/>
  <c r="AR40" i="25"/>
  <c r="AS40" i="25"/>
  <c r="AT40" i="25"/>
  <c r="AU40" i="25"/>
  <c r="AV40" i="25"/>
  <c r="AW40" i="25"/>
  <c r="AX40" i="25"/>
  <c r="AY40" i="25"/>
  <c r="AZ40" i="25"/>
  <c r="BA40" i="25"/>
  <c r="BB40" i="25"/>
  <c r="BC40" i="25"/>
  <c r="BD40" i="25"/>
  <c r="BE40" i="25"/>
  <c r="AO41" i="25"/>
  <c r="AP41" i="25"/>
  <c r="AQ41" i="25"/>
  <c r="AR41" i="25"/>
  <c r="AS41" i="25"/>
  <c r="AT41" i="25"/>
  <c r="AU41" i="25"/>
  <c r="AV41" i="25"/>
  <c r="AW41" i="25"/>
  <c r="AX41" i="25"/>
  <c r="AY41" i="25"/>
  <c r="AZ41" i="25"/>
  <c r="BA41" i="25"/>
  <c r="BB41" i="25"/>
  <c r="BC41" i="25"/>
  <c r="BD41" i="25"/>
  <c r="BE41" i="25"/>
  <c r="AO42" i="25"/>
  <c r="AP42" i="25"/>
  <c r="AQ42" i="25"/>
  <c r="AR42" i="25"/>
  <c r="AS42" i="25"/>
  <c r="AT42" i="25"/>
  <c r="AU42" i="25"/>
  <c r="AV42" i="25"/>
  <c r="AW42" i="25"/>
  <c r="AX42" i="25"/>
  <c r="AY42" i="25"/>
  <c r="AZ42" i="25"/>
  <c r="BA42" i="25"/>
  <c r="BB42" i="25"/>
  <c r="BC42" i="25"/>
  <c r="BD42" i="25"/>
  <c r="BE42" i="25"/>
  <c r="AO43" i="25"/>
  <c r="AP43" i="25"/>
  <c r="AQ43" i="25"/>
  <c r="AR43" i="25"/>
  <c r="AS43" i="25"/>
  <c r="AT43" i="25"/>
  <c r="AU43" i="25"/>
  <c r="AV43" i="25"/>
  <c r="AW43" i="25"/>
  <c r="AX43" i="25"/>
  <c r="AY43" i="25"/>
  <c r="AZ43" i="25"/>
  <c r="BA43" i="25"/>
  <c r="BB43" i="25"/>
  <c r="BC43" i="25"/>
  <c r="BD43" i="25"/>
  <c r="BE43" i="25"/>
  <c r="AO44" i="25"/>
  <c r="AP44" i="25"/>
  <c r="AQ44" i="25"/>
  <c r="AR44" i="25"/>
  <c r="AS44" i="25"/>
  <c r="AT44" i="25"/>
  <c r="AU44" i="25"/>
  <c r="AV44" i="25"/>
  <c r="AW44" i="25"/>
  <c r="AX44" i="25"/>
  <c r="AY44" i="25"/>
  <c r="AZ44" i="25"/>
  <c r="BA44" i="25"/>
  <c r="BB44" i="25"/>
  <c r="BC44" i="25"/>
  <c r="BD44" i="25"/>
  <c r="BE44" i="25"/>
  <c r="AO45" i="25"/>
  <c r="AP45" i="25"/>
  <c r="AQ45" i="25"/>
  <c r="AR45" i="25"/>
  <c r="AS45" i="25"/>
  <c r="AT45" i="25"/>
  <c r="AU45" i="25"/>
  <c r="AV45" i="25"/>
  <c r="AW45" i="25"/>
  <c r="AX45" i="25"/>
  <c r="AY45" i="25"/>
  <c r="AZ45" i="25"/>
  <c r="BA45" i="25"/>
  <c r="BB45" i="25"/>
  <c r="BC45" i="25"/>
  <c r="BD45" i="25"/>
  <c r="BE45" i="25"/>
  <c r="AO46" i="25"/>
  <c r="AP46" i="25"/>
  <c r="AQ46" i="25"/>
  <c r="AR46" i="25"/>
  <c r="AS46" i="25"/>
  <c r="AT46" i="25"/>
  <c r="AU46" i="25"/>
  <c r="AV46" i="25"/>
  <c r="AW46" i="25"/>
  <c r="AX46" i="25"/>
  <c r="AY46" i="25"/>
  <c r="AZ46" i="25"/>
  <c r="BA46" i="25"/>
  <c r="BB46" i="25"/>
  <c r="BC46" i="25"/>
  <c r="BD46" i="25"/>
  <c r="BE46" i="25"/>
  <c r="AO47" i="25"/>
  <c r="AP47" i="25"/>
  <c r="AQ47" i="25"/>
  <c r="AR47" i="25"/>
  <c r="AS47" i="25"/>
  <c r="AT47" i="25"/>
  <c r="AU47" i="25"/>
  <c r="AV47" i="25"/>
  <c r="AW47" i="25"/>
  <c r="AX47" i="25"/>
  <c r="AY47" i="25"/>
  <c r="AZ47" i="25"/>
  <c r="BA47" i="25"/>
  <c r="BB47" i="25"/>
  <c r="BC47" i="25"/>
  <c r="BD47" i="25"/>
  <c r="BE47" i="25"/>
  <c r="AO48" i="25"/>
  <c r="AP48" i="25"/>
  <c r="AQ48" i="25"/>
  <c r="AR48" i="25"/>
  <c r="AS48" i="25"/>
  <c r="AT48" i="25"/>
  <c r="AU48" i="25"/>
  <c r="AV48" i="25"/>
  <c r="AW48" i="25"/>
  <c r="AX48" i="25"/>
  <c r="AY48" i="25"/>
  <c r="AZ48" i="25"/>
  <c r="BA48" i="25"/>
  <c r="BB48" i="25"/>
  <c r="BC48" i="25"/>
  <c r="BD48" i="25"/>
  <c r="BE48" i="25"/>
  <c r="AO49" i="25"/>
  <c r="AP49" i="25"/>
  <c r="AQ49" i="25"/>
  <c r="AR49" i="25"/>
  <c r="AS49" i="25"/>
  <c r="AT49" i="25"/>
  <c r="AU49" i="25"/>
  <c r="AV49" i="25"/>
  <c r="AW49" i="25"/>
  <c r="AX49" i="25"/>
  <c r="AY49" i="25"/>
  <c r="AZ49" i="25"/>
  <c r="BA49" i="25"/>
  <c r="BB49" i="25"/>
  <c r="BC49" i="25"/>
  <c r="BD49" i="25"/>
  <c r="BE49" i="25"/>
  <c r="AO50" i="25"/>
  <c r="AP50" i="25"/>
  <c r="AQ50" i="25"/>
  <c r="AR50" i="25"/>
  <c r="AS50" i="25"/>
  <c r="AT50" i="25"/>
  <c r="AU50" i="25"/>
  <c r="AV50" i="25"/>
  <c r="AW50" i="25"/>
  <c r="AX50" i="25"/>
  <c r="AY50" i="25"/>
  <c r="AZ50" i="25"/>
  <c r="BA50" i="25"/>
  <c r="BB50" i="25"/>
  <c r="BC50" i="25"/>
  <c r="BD50" i="25"/>
  <c r="BE50" i="25"/>
  <c r="AO51" i="25"/>
  <c r="AP51" i="25"/>
  <c r="AQ51" i="25"/>
  <c r="AR51" i="25"/>
  <c r="AS51" i="25"/>
  <c r="AT51" i="25"/>
  <c r="AU51" i="25"/>
  <c r="AV51" i="25"/>
  <c r="AW51" i="25"/>
  <c r="AX51" i="25"/>
  <c r="AY51" i="25"/>
  <c r="AZ51" i="25"/>
  <c r="BA51" i="25"/>
  <c r="BB51" i="25"/>
  <c r="BC51" i="25"/>
  <c r="BD51" i="25"/>
  <c r="BE51" i="25"/>
  <c r="AO52" i="25"/>
  <c r="AP52" i="25"/>
  <c r="AQ52" i="25"/>
  <c r="AR52" i="25"/>
  <c r="AS52" i="25"/>
  <c r="AT52" i="25"/>
  <c r="AU52" i="25"/>
  <c r="AV52" i="25"/>
  <c r="AW52" i="25"/>
  <c r="AX52" i="25"/>
  <c r="AY52" i="25"/>
  <c r="AZ52" i="25"/>
  <c r="BA52" i="25"/>
  <c r="BB52" i="25"/>
  <c r="BC52" i="25"/>
  <c r="BD52" i="25"/>
  <c r="BE52" i="25"/>
  <c r="AO53" i="25"/>
  <c r="AP53" i="25"/>
  <c r="AQ53" i="25"/>
  <c r="AR53" i="25"/>
  <c r="AS53" i="25"/>
  <c r="AT53" i="25"/>
  <c r="AU53" i="25"/>
  <c r="AV53" i="25"/>
  <c r="AW53" i="25"/>
  <c r="AX53" i="25"/>
  <c r="AY53" i="25"/>
  <c r="AZ53" i="25"/>
  <c r="BA53" i="25"/>
  <c r="BB53" i="25"/>
  <c r="BC53" i="25"/>
  <c r="BD53" i="25"/>
  <c r="BE53" i="25"/>
  <c r="AO54" i="25"/>
  <c r="AP54" i="25"/>
  <c r="AQ54" i="25"/>
  <c r="AR54" i="25"/>
  <c r="AS54" i="25"/>
  <c r="AT54" i="25"/>
  <c r="AU54" i="25"/>
  <c r="AV54" i="25"/>
  <c r="AW54" i="25"/>
  <c r="AX54" i="25"/>
  <c r="AY54" i="25"/>
  <c r="AZ54" i="25"/>
  <c r="BA54" i="25"/>
  <c r="BB54" i="25"/>
  <c r="BC54" i="25"/>
  <c r="BD54" i="25"/>
  <c r="BE54" i="25"/>
  <c r="AO55" i="25"/>
  <c r="AP55" i="25"/>
  <c r="AQ55" i="25"/>
  <c r="AR55" i="25"/>
  <c r="AS55" i="25"/>
  <c r="AT55" i="25"/>
  <c r="AU55" i="25"/>
  <c r="AV55" i="25"/>
  <c r="AW55" i="25"/>
  <c r="AX55" i="25"/>
  <c r="AY55" i="25"/>
  <c r="AZ55" i="25"/>
  <c r="BA55" i="25"/>
  <c r="BB55" i="25"/>
  <c r="BC55" i="25"/>
  <c r="BD55" i="25"/>
  <c r="BE55" i="25"/>
  <c r="AO56" i="25"/>
  <c r="AP56" i="25"/>
  <c r="AQ56" i="25"/>
  <c r="AR56" i="25"/>
  <c r="AS56" i="25"/>
  <c r="AT56" i="25"/>
  <c r="AU56" i="25"/>
  <c r="AV56" i="25"/>
  <c r="AW56" i="25"/>
  <c r="AX56" i="25"/>
  <c r="AY56" i="25"/>
  <c r="AZ56" i="25"/>
  <c r="BA56" i="25"/>
  <c r="BB56" i="25"/>
  <c r="BC56" i="25"/>
  <c r="BD56" i="25"/>
  <c r="BE56" i="25"/>
  <c r="AO57" i="25"/>
  <c r="AP57" i="25"/>
  <c r="AQ57" i="25"/>
  <c r="AR57" i="25"/>
  <c r="AS57" i="25"/>
  <c r="AT57" i="25"/>
  <c r="AU57" i="25"/>
  <c r="AV57" i="25"/>
  <c r="AW57" i="25"/>
  <c r="AX57" i="25"/>
  <c r="AY57" i="25"/>
  <c r="AZ57" i="25"/>
  <c r="BA57" i="25"/>
  <c r="BB57" i="25"/>
  <c r="BC57" i="25"/>
  <c r="BD57" i="25"/>
  <c r="BE57" i="25"/>
  <c r="AO58" i="25"/>
  <c r="AP58" i="25"/>
  <c r="AQ58" i="25"/>
  <c r="AR58" i="25"/>
  <c r="AS58" i="25"/>
  <c r="AT58" i="25"/>
  <c r="AU58" i="25"/>
  <c r="AV58" i="25"/>
  <c r="AW58" i="25"/>
  <c r="AX58" i="25"/>
  <c r="AY58" i="25"/>
  <c r="AZ58" i="25"/>
  <c r="BA58" i="25"/>
  <c r="BB58" i="25"/>
  <c r="BC58" i="25"/>
  <c r="BD58" i="25"/>
  <c r="BE58" i="25"/>
  <c r="AO59" i="25"/>
  <c r="AP59" i="25"/>
  <c r="AQ59" i="25"/>
  <c r="AR59" i="25"/>
  <c r="AS59" i="25"/>
  <c r="AT59" i="25"/>
  <c r="AU59" i="25"/>
  <c r="AV59" i="25"/>
  <c r="AW59" i="25"/>
  <c r="AX59" i="25"/>
  <c r="AY59" i="25"/>
  <c r="AZ59" i="25"/>
  <c r="BA59" i="25"/>
  <c r="BB59" i="25"/>
  <c r="BC59" i="25"/>
  <c r="BD59" i="25"/>
  <c r="BE59" i="25"/>
  <c r="AO60" i="25"/>
  <c r="AP60" i="25"/>
  <c r="AQ60" i="25"/>
  <c r="AR60" i="25"/>
  <c r="AS60" i="25"/>
  <c r="AT60" i="25"/>
  <c r="AU60" i="25"/>
  <c r="AV60" i="25"/>
  <c r="AW60" i="25"/>
  <c r="AX60" i="25"/>
  <c r="AY60" i="25"/>
  <c r="AZ60" i="25"/>
  <c r="BA60" i="25"/>
  <c r="BB60" i="25"/>
  <c r="BC60" i="25"/>
  <c r="BD60" i="25"/>
  <c r="BE60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AO68" i="25"/>
  <c r="AP68" i="25"/>
  <c r="AQ68" i="25"/>
  <c r="AR68" i="25"/>
  <c r="AS68" i="25"/>
  <c r="AT68" i="25"/>
  <c r="AU68" i="25"/>
  <c r="AV68" i="25"/>
  <c r="AW68" i="25"/>
  <c r="AX68" i="25"/>
  <c r="AY68" i="25"/>
  <c r="AZ68" i="25"/>
  <c r="BA68" i="25"/>
  <c r="BB68" i="25"/>
  <c r="BC68" i="25"/>
  <c r="BD68" i="25"/>
  <c r="BE68" i="25"/>
  <c r="AO69" i="25"/>
  <c r="AP69" i="25"/>
  <c r="AQ69" i="25"/>
  <c r="AR69" i="25"/>
  <c r="AS69" i="25"/>
  <c r="AT69" i="25"/>
  <c r="AU69" i="25"/>
  <c r="AV69" i="25"/>
  <c r="AW69" i="25"/>
  <c r="AX69" i="25"/>
  <c r="AY69" i="25"/>
  <c r="AZ69" i="25"/>
  <c r="BA69" i="25"/>
  <c r="BB69" i="25"/>
  <c r="BC69" i="25"/>
  <c r="BD69" i="25"/>
  <c r="BE69" i="25"/>
  <c r="AO70" i="25"/>
  <c r="AP70" i="25"/>
  <c r="AQ70" i="25"/>
  <c r="AR70" i="25"/>
  <c r="AS70" i="25"/>
  <c r="AT70" i="25"/>
  <c r="AU70" i="25"/>
  <c r="AV70" i="25"/>
  <c r="AW70" i="25"/>
  <c r="AX70" i="25"/>
  <c r="AY70" i="25"/>
  <c r="AZ70" i="25"/>
  <c r="BA70" i="25"/>
  <c r="BB70" i="25"/>
  <c r="BC70" i="25"/>
  <c r="BD70" i="25"/>
  <c r="BE70" i="25"/>
  <c r="AO71" i="25"/>
  <c r="AP71" i="25"/>
  <c r="AQ71" i="25"/>
  <c r="AR71" i="25"/>
  <c r="AS71" i="25"/>
  <c r="AT71" i="25"/>
  <c r="AU71" i="25"/>
  <c r="AV71" i="25"/>
  <c r="AW71" i="25"/>
  <c r="AX71" i="25"/>
  <c r="AY71" i="25"/>
  <c r="AZ71" i="25"/>
  <c r="BA71" i="25"/>
  <c r="BB71" i="25"/>
  <c r="BC71" i="25"/>
  <c r="BD71" i="25"/>
  <c r="BE71" i="25"/>
  <c r="AO72" i="25"/>
  <c r="AP72" i="25"/>
  <c r="AQ72" i="25"/>
  <c r="AR72" i="25"/>
  <c r="AS72" i="25"/>
  <c r="AT72" i="25"/>
  <c r="AU72" i="25"/>
  <c r="AV72" i="25"/>
  <c r="AW72" i="25"/>
  <c r="AX72" i="25"/>
  <c r="AY72" i="25"/>
  <c r="AZ72" i="25"/>
  <c r="BA72" i="25"/>
  <c r="BB72" i="25"/>
  <c r="BC72" i="25"/>
  <c r="BD72" i="25"/>
  <c r="BE72" i="25"/>
  <c r="AO73" i="25"/>
  <c r="AP73" i="25"/>
  <c r="AQ73" i="25"/>
  <c r="AR73" i="25"/>
  <c r="AS73" i="25"/>
  <c r="AT73" i="25"/>
  <c r="AU73" i="25"/>
  <c r="AV73" i="25"/>
  <c r="AW73" i="25"/>
  <c r="AX73" i="25"/>
  <c r="AY73" i="25"/>
  <c r="AZ73" i="25"/>
  <c r="BA73" i="25"/>
  <c r="BB73" i="25"/>
  <c r="BC73" i="25"/>
  <c r="BD73" i="25"/>
  <c r="BE73" i="25"/>
  <c r="AO74" i="25"/>
  <c r="AP74" i="25"/>
  <c r="AQ74" i="25"/>
  <c r="AR74" i="25"/>
  <c r="AS74" i="25"/>
  <c r="AT74" i="25"/>
  <c r="AU74" i="25"/>
  <c r="AV74" i="25"/>
  <c r="AW74" i="25"/>
  <c r="AX74" i="25"/>
  <c r="AY74" i="25"/>
  <c r="AZ74" i="25"/>
  <c r="BA74" i="25"/>
  <c r="BB74" i="25"/>
  <c r="BC74" i="25"/>
  <c r="BD74" i="25"/>
  <c r="BE74" i="25"/>
  <c r="AO75" i="25"/>
  <c r="AP75" i="25"/>
  <c r="AQ75" i="25"/>
  <c r="AR75" i="25"/>
  <c r="AS75" i="25"/>
  <c r="AT75" i="25"/>
  <c r="AU75" i="25"/>
  <c r="AV75" i="25"/>
  <c r="AW75" i="25"/>
  <c r="AX75" i="25"/>
  <c r="AY75" i="25"/>
  <c r="AZ75" i="25"/>
  <c r="BA75" i="25"/>
  <c r="BB75" i="25"/>
  <c r="BC75" i="25"/>
  <c r="BD75" i="25"/>
  <c r="BE75" i="25"/>
  <c r="AO76" i="25"/>
  <c r="AP76" i="25"/>
  <c r="AQ76" i="25"/>
  <c r="AR76" i="25"/>
  <c r="AS76" i="25"/>
  <c r="AT76" i="25"/>
  <c r="AU76" i="25"/>
  <c r="AV76" i="25"/>
  <c r="AW76" i="25"/>
  <c r="AX76" i="25"/>
  <c r="AY76" i="25"/>
  <c r="AZ76" i="25"/>
  <c r="BA76" i="25"/>
  <c r="BB76" i="25"/>
  <c r="BC76" i="25"/>
  <c r="BD76" i="25"/>
  <c r="BE76" i="25"/>
  <c r="AO77" i="25"/>
  <c r="AP77" i="25"/>
  <c r="AQ77" i="25"/>
  <c r="AR77" i="25"/>
  <c r="AS77" i="25"/>
  <c r="AT77" i="25"/>
  <c r="AU77" i="25"/>
  <c r="AV77" i="25"/>
  <c r="AW77" i="25"/>
  <c r="AX77" i="25"/>
  <c r="AY77" i="25"/>
  <c r="AZ77" i="25"/>
  <c r="BA77" i="25"/>
  <c r="BB77" i="25"/>
  <c r="BC77" i="25"/>
  <c r="BD77" i="25"/>
  <c r="BE77" i="25"/>
  <c r="AO78" i="25"/>
  <c r="AP78" i="25"/>
  <c r="AQ78" i="25"/>
  <c r="AR78" i="25"/>
  <c r="AS78" i="25"/>
  <c r="AT78" i="25"/>
  <c r="AU78" i="25"/>
  <c r="AV78" i="25"/>
  <c r="AW78" i="25"/>
  <c r="AX78" i="25"/>
  <c r="AY78" i="25"/>
  <c r="AZ78" i="25"/>
  <c r="BA78" i="25"/>
  <c r="BB78" i="25"/>
  <c r="BC78" i="25"/>
  <c r="BD78" i="25"/>
  <c r="BE78" i="25"/>
  <c r="AO79" i="25"/>
  <c r="AP79" i="25"/>
  <c r="AQ79" i="25"/>
  <c r="AR79" i="25"/>
  <c r="AS79" i="25"/>
  <c r="AT79" i="25"/>
  <c r="AU79" i="25"/>
  <c r="AV79" i="25"/>
  <c r="AW79" i="25"/>
  <c r="AX79" i="25"/>
  <c r="AY79" i="25"/>
  <c r="AZ79" i="25"/>
  <c r="BA79" i="25"/>
  <c r="BB79" i="25"/>
  <c r="BC79" i="25"/>
  <c r="BD79" i="25"/>
  <c r="BE79" i="25"/>
  <c r="AO80" i="25"/>
  <c r="AP80" i="25"/>
  <c r="AQ80" i="25"/>
  <c r="AR80" i="25"/>
  <c r="AS80" i="25"/>
  <c r="AT80" i="25"/>
  <c r="AU80" i="25"/>
  <c r="AV80" i="25"/>
  <c r="AW80" i="25"/>
  <c r="AX80" i="25"/>
  <c r="AY80" i="25"/>
  <c r="AZ80" i="25"/>
  <c r="BA80" i="25"/>
  <c r="BB80" i="25"/>
  <c r="BC80" i="25"/>
  <c r="BD80" i="25"/>
  <c r="BE80" i="25"/>
  <c r="AO81" i="25"/>
  <c r="AP81" i="25"/>
  <c r="AQ81" i="25"/>
  <c r="AR81" i="25"/>
  <c r="AS81" i="25"/>
  <c r="AT81" i="25"/>
  <c r="AU81" i="25"/>
  <c r="AV81" i="25"/>
  <c r="AW81" i="25"/>
  <c r="AX81" i="25"/>
  <c r="AY81" i="25"/>
  <c r="AZ81" i="25"/>
  <c r="BA81" i="25"/>
  <c r="BB81" i="25"/>
  <c r="BC81" i="25"/>
  <c r="BD81" i="25"/>
  <c r="BE81" i="25"/>
  <c r="AO82" i="25"/>
  <c r="AP82" i="25"/>
  <c r="AQ82" i="25"/>
  <c r="AR82" i="25"/>
  <c r="AS82" i="25"/>
  <c r="AT82" i="25"/>
  <c r="AU82" i="25"/>
  <c r="AV82" i="25"/>
  <c r="AW82" i="25"/>
  <c r="AX82" i="25"/>
  <c r="AY82" i="25"/>
  <c r="AZ82" i="25"/>
  <c r="BA82" i="25"/>
  <c r="BB82" i="25"/>
  <c r="BC82" i="25"/>
  <c r="BD82" i="25"/>
  <c r="BE82" i="25"/>
  <c r="AO83" i="25"/>
  <c r="AP83" i="25"/>
  <c r="AQ83" i="25"/>
  <c r="AR83" i="25"/>
  <c r="AS83" i="25"/>
  <c r="AT83" i="25"/>
  <c r="AU83" i="25"/>
  <c r="AV83" i="25"/>
  <c r="AW83" i="25"/>
  <c r="AX83" i="25"/>
  <c r="AY83" i="25"/>
  <c r="AZ83" i="25"/>
  <c r="BA83" i="25"/>
  <c r="BB83" i="25"/>
  <c r="BC83" i="25"/>
  <c r="BD83" i="25"/>
  <c r="BE83" i="25"/>
  <c r="AO84" i="25"/>
  <c r="AP84" i="25"/>
  <c r="AQ84" i="25"/>
  <c r="AR84" i="25"/>
  <c r="AS84" i="25"/>
  <c r="AT84" i="25"/>
  <c r="AU84" i="25"/>
  <c r="AV84" i="25"/>
  <c r="AW84" i="25"/>
  <c r="AX84" i="25"/>
  <c r="AY84" i="25"/>
  <c r="AZ84" i="25"/>
  <c r="BA84" i="25"/>
  <c r="BB84" i="25"/>
  <c r="BC84" i="25"/>
  <c r="BD84" i="25"/>
  <c r="BE84" i="25"/>
  <c r="AO85" i="25"/>
  <c r="AP85" i="25"/>
  <c r="AQ85" i="25"/>
  <c r="AR85" i="25"/>
  <c r="AS85" i="25"/>
  <c r="AT85" i="25"/>
  <c r="AU85" i="25"/>
  <c r="AV85" i="25"/>
  <c r="AW85" i="25"/>
  <c r="AX85" i="25"/>
  <c r="AY85" i="25"/>
  <c r="AZ85" i="25"/>
  <c r="BA85" i="25"/>
  <c r="BB85" i="25"/>
  <c r="BC85" i="25"/>
  <c r="BD85" i="25"/>
  <c r="BE85" i="25"/>
  <c r="AO86" i="25"/>
  <c r="AP86" i="25"/>
  <c r="AQ86" i="25"/>
  <c r="AR86" i="25"/>
  <c r="AS86" i="25"/>
  <c r="AT86" i="25"/>
  <c r="AU86" i="25"/>
  <c r="AV86" i="25"/>
  <c r="AW86" i="25"/>
  <c r="AX86" i="25"/>
  <c r="AY86" i="25"/>
  <c r="AZ86" i="25"/>
  <c r="BA86" i="25"/>
  <c r="BB86" i="25"/>
  <c r="BC86" i="25"/>
  <c r="BD86" i="25"/>
  <c r="BE86" i="25"/>
  <c r="AO87" i="25"/>
  <c r="AP87" i="25"/>
  <c r="AQ87" i="25"/>
  <c r="AR87" i="25"/>
  <c r="AS87" i="25"/>
  <c r="AT87" i="25"/>
  <c r="AU87" i="25"/>
  <c r="AV87" i="25"/>
  <c r="AW87" i="25"/>
  <c r="AX87" i="25"/>
  <c r="AY87" i="25"/>
  <c r="AZ87" i="25"/>
  <c r="BA87" i="25"/>
  <c r="BB87" i="25"/>
  <c r="BC87" i="25"/>
  <c r="BD87" i="25"/>
  <c r="BE87" i="25"/>
  <c r="AO88" i="25"/>
  <c r="AP88" i="25"/>
  <c r="AQ88" i="25"/>
  <c r="AR88" i="25"/>
  <c r="AS88" i="25"/>
  <c r="AT88" i="25"/>
  <c r="AU88" i="25"/>
  <c r="AV88" i="25"/>
  <c r="AW88" i="25"/>
  <c r="AX88" i="25"/>
  <c r="AY88" i="25"/>
  <c r="AZ88" i="25"/>
  <c r="BA88" i="25"/>
  <c r="BB88" i="25"/>
  <c r="BC88" i="25"/>
  <c r="BD88" i="25"/>
  <c r="BE88" i="25"/>
  <c r="AO89" i="25"/>
  <c r="AP89" i="25"/>
  <c r="AQ89" i="25"/>
  <c r="AR89" i="25"/>
  <c r="AS89" i="25"/>
  <c r="AT89" i="25"/>
  <c r="AU89" i="25"/>
  <c r="AV89" i="25"/>
  <c r="AW89" i="25"/>
  <c r="AX89" i="25"/>
  <c r="AY89" i="25"/>
  <c r="AZ89" i="25"/>
  <c r="BA89" i="25"/>
  <c r="BB89" i="25"/>
  <c r="BC89" i="25"/>
  <c r="BD89" i="25"/>
  <c r="BE89" i="25"/>
  <c r="AO90" i="25"/>
  <c r="AP90" i="25"/>
  <c r="AQ90" i="25"/>
  <c r="AR90" i="25"/>
  <c r="AS90" i="25"/>
  <c r="AT90" i="25"/>
  <c r="AU90" i="25"/>
  <c r="AV90" i="25"/>
  <c r="AW90" i="25"/>
  <c r="AX90" i="25"/>
  <c r="AY90" i="25"/>
  <c r="AZ90" i="25"/>
  <c r="BA90" i="25"/>
  <c r="BB90" i="25"/>
  <c r="BC90" i="25"/>
  <c r="BD90" i="25"/>
  <c r="BE90" i="25"/>
  <c r="AO91" i="25"/>
  <c r="AP91" i="25"/>
  <c r="AQ91" i="25"/>
  <c r="AR91" i="25"/>
  <c r="AS91" i="25"/>
  <c r="AT91" i="25"/>
  <c r="AU91" i="25"/>
  <c r="AV91" i="25"/>
  <c r="AW91" i="25"/>
  <c r="AX91" i="25"/>
  <c r="AY91" i="25"/>
  <c r="AZ91" i="25"/>
  <c r="BA91" i="25"/>
  <c r="BB91" i="25"/>
  <c r="BC91" i="25"/>
  <c r="BD91" i="25"/>
  <c r="BE91" i="25"/>
  <c r="AO92" i="25"/>
  <c r="AP92" i="25"/>
  <c r="AQ92" i="25"/>
  <c r="AR92" i="25"/>
  <c r="AS92" i="25"/>
  <c r="AT92" i="25"/>
  <c r="AU92" i="25"/>
  <c r="AV92" i="25"/>
  <c r="AW92" i="25"/>
  <c r="AX92" i="25"/>
  <c r="AY92" i="25"/>
  <c r="AZ92" i="25"/>
  <c r="BA92" i="25"/>
  <c r="BB92" i="25"/>
  <c r="BC92" i="25"/>
  <c r="BD92" i="25"/>
  <c r="BE92" i="25"/>
  <c r="AO93" i="25"/>
  <c r="AP93" i="25"/>
  <c r="AQ93" i="25"/>
  <c r="AR93" i="25"/>
  <c r="AS93" i="25"/>
  <c r="AT93" i="25"/>
  <c r="AU93" i="25"/>
  <c r="AV93" i="25"/>
  <c r="AW93" i="25"/>
  <c r="AX93" i="25"/>
  <c r="AY93" i="25"/>
  <c r="AZ93" i="25"/>
  <c r="BA93" i="25"/>
  <c r="BB93" i="25"/>
  <c r="BC93" i="25"/>
  <c r="BD93" i="25"/>
  <c r="BE93" i="25"/>
  <c r="AO94" i="25"/>
  <c r="AP94" i="25"/>
  <c r="AQ94" i="25"/>
  <c r="AR94" i="25"/>
  <c r="AS94" i="25"/>
  <c r="AT94" i="25"/>
  <c r="AU94" i="25"/>
  <c r="AV94" i="25"/>
  <c r="AW94" i="25"/>
  <c r="AX94" i="25"/>
  <c r="AY94" i="25"/>
  <c r="AZ94" i="25"/>
  <c r="BA94" i="25"/>
  <c r="BB94" i="25"/>
  <c r="BC94" i="25"/>
  <c r="BD94" i="25"/>
  <c r="BE94" i="25"/>
  <c r="AO95" i="25"/>
  <c r="AP95" i="25"/>
  <c r="AQ95" i="25"/>
  <c r="AR95" i="25"/>
  <c r="AS95" i="25"/>
  <c r="AT95" i="25"/>
  <c r="AU95" i="25"/>
  <c r="AV95" i="25"/>
  <c r="AW95" i="25"/>
  <c r="AX95" i="25"/>
  <c r="AY95" i="25"/>
  <c r="AZ95" i="25"/>
  <c r="BA95" i="25"/>
  <c r="BB95" i="25"/>
  <c r="BC95" i="25"/>
  <c r="BD95" i="25"/>
  <c r="BE95" i="25"/>
  <c r="AO96" i="25"/>
  <c r="AP96" i="25"/>
  <c r="AQ96" i="25"/>
  <c r="AR96" i="25"/>
  <c r="AS96" i="25"/>
  <c r="AT96" i="25"/>
  <c r="AU96" i="25"/>
  <c r="AV96" i="25"/>
  <c r="AW96" i="25"/>
  <c r="AX96" i="25"/>
  <c r="AY96" i="25"/>
  <c r="AZ96" i="25"/>
  <c r="BA96" i="25"/>
  <c r="BB96" i="25"/>
  <c r="BC96" i="25"/>
  <c r="BD96" i="25"/>
  <c r="BE96" i="25"/>
  <c r="AO97" i="25"/>
  <c r="AP97" i="25"/>
  <c r="AQ97" i="25"/>
  <c r="AR97" i="25"/>
  <c r="AS97" i="25"/>
  <c r="AT97" i="25"/>
  <c r="AU97" i="25"/>
  <c r="AV97" i="25"/>
  <c r="AW97" i="25"/>
  <c r="AX97" i="25"/>
  <c r="AY97" i="25"/>
  <c r="AZ97" i="25"/>
  <c r="BA97" i="25"/>
  <c r="BB97" i="25"/>
  <c r="BC97" i="25"/>
  <c r="BD97" i="25"/>
  <c r="BE97" i="25"/>
  <c r="AO98" i="25"/>
  <c r="AP98" i="25"/>
  <c r="AQ98" i="25"/>
  <c r="AR98" i="25"/>
  <c r="AS98" i="25"/>
  <c r="AT98" i="25"/>
  <c r="AU98" i="25"/>
  <c r="AV98" i="25"/>
  <c r="AW98" i="25"/>
  <c r="AX98" i="25"/>
  <c r="AY98" i="25"/>
  <c r="AZ98" i="25"/>
  <c r="BA98" i="25"/>
  <c r="BB98" i="25"/>
  <c r="BC98" i="25"/>
  <c r="BD98" i="25"/>
  <c r="BE98" i="25"/>
  <c r="AO99" i="25"/>
  <c r="AP99" i="25"/>
  <c r="AQ99" i="25"/>
  <c r="AR99" i="25"/>
  <c r="AS99" i="25"/>
  <c r="AT99" i="25"/>
  <c r="AU99" i="25"/>
  <c r="AV99" i="25"/>
  <c r="AW99" i="25"/>
  <c r="AX99" i="25"/>
  <c r="AY99" i="25"/>
  <c r="AZ99" i="25"/>
  <c r="BA99" i="25"/>
  <c r="BB99" i="25"/>
  <c r="BC99" i="25"/>
  <c r="BD99" i="25"/>
  <c r="BE99" i="25"/>
  <c r="BE2" i="25"/>
  <c r="AP2" i="25"/>
  <c r="AQ2" i="25"/>
  <c r="AR2" i="25"/>
  <c r="AS2" i="25"/>
  <c r="AT2" i="25"/>
  <c r="AU2" i="25"/>
  <c r="AV2" i="25"/>
  <c r="AW2" i="25"/>
  <c r="AX2" i="25"/>
  <c r="AY2" i="25"/>
  <c r="AZ2" i="25"/>
  <c r="BA2" i="25"/>
  <c r="BB2" i="25"/>
  <c r="BC2" i="25"/>
  <c r="BD2" i="25"/>
  <c r="P35" i="25"/>
  <c r="Q35" i="25"/>
  <c r="R35" i="25"/>
  <c r="S35" i="25"/>
  <c r="T35" i="25"/>
  <c r="U35" i="25"/>
  <c r="V35" i="25"/>
  <c r="W35" i="25"/>
  <c r="X35" i="25"/>
  <c r="Y35" i="25"/>
  <c r="Z35" i="25"/>
  <c r="AA35" i="25"/>
  <c r="AB35" i="25"/>
  <c r="AC35" i="25"/>
  <c r="AD35" i="25"/>
  <c r="AE35" i="25"/>
  <c r="AF35" i="25"/>
  <c r="P36" i="25"/>
  <c r="Q36" i="25"/>
  <c r="R36" i="25"/>
  <c r="S36" i="25"/>
  <c r="T36" i="25"/>
  <c r="U36" i="25"/>
  <c r="V36" i="25"/>
  <c r="W36" i="25"/>
  <c r="X36" i="25"/>
  <c r="Y36" i="25"/>
  <c r="Z36" i="25"/>
  <c r="AA36" i="25"/>
  <c r="AB36" i="25"/>
  <c r="AC36" i="25"/>
  <c r="AD36" i="25"/>
  <c r="AE36" i="25"/>
  <c r="AF36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AF3" i="25"/>
  <c r="P37" i="25"/>
  <c r="Q37" i="25"/>
  <c r="R37" i="25"/>
  <c r="S37" i="25"/>
  <c r="T37" i="25"/>
  <c r="U37" i="25"/>
  <c r="V37" i="25"/>
  <c r="W37" i="25"/>
  <c r="X37" i="25"/>
  <c r="Y37" i="25"/>
  <c r="Z37" i="25"/>
  <c r="AA37" i="25"/>
  <c r="AB37" i="25"/>
  <c r="AC37" i="25"/>
  <c r="AD37" i="25"/>
  <c r="AE37" i="25"/>
  <c r="AF37" i="25"/>
  <c r="P4" i="25"/>
  <c r="Q4" i="25"/>
  <c r="R4" i="25"/>
  <c r="S4" i="25"/>
  <c r="T4" i="25"/>
  <c r="U4" i="25"/>
  <c r="V4" i="25"/>
  <c r="W4" i="25"/>
  <c r="X4" i="25"/>
  <c r="Y4" i="25"/>
  <c r="Z4" i="25"/>
  <c r="AA4" i="25"/>
  <c r="AB4" i="25"/>
  <c r="AC4" i="25"/>
  <c r="AD4" i="25"/>
  <c r="AE4" i="25"/>
  <c r="AF4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P6" i="25"/>
  <c r="Q6" i="25"/>
  <c r="R6" i="25"/>
  <c r="S6" i="25"/>
  <c r="T6" i="25"/>
  <c r="U6" i="25"/>
  <c r="V6" i="25"/>
  <c r="W6" i="25"/>
  <c r="X6" i="25"/>
  <c r="Y6" i="25"/>
  <c r="Z6" i="25"/>
  <c r="AA6" i="25"/>
  <c r="AB6" i="25"/>
  <c r="AC6" i="25"/>
  <c r="AD6" i="25"/>
  <c r="AE6" i="25"/>
  <c r="AF6" i="25"/>
  <c r="P38" i="25"/>
  <c r="Q38" i="25"/>
  <c r="R38" i="25"/>
  <c r="S38" i="25"/>
  <c r="T38" i="25"/>
  <c r="U38" i="25"/>
  <c r="V38" i="25"/>
  <c r="W38" i="25"/>
  <c r="X38" i="25"/>
  <c r="Y38" i="25"/>
  <c r="Z38" i="25"/>
  <c r="AA38" i="25"/>
  <c r="AB38" i="25"/>
  <c r="AC38" i="25"/>
  <c r="AD38" i="25"/>
  <c r="AE38" i="25"/>
  <c r="AF38" i="25"/>
  <c r="P39" i="25"/>
  <c r="Q39" i="25"/>
  <c r="R39" i="25"/>
  <c r="S39" i="25"/>
  <c r="T39" i="25"/>
  <c r="U39" i="25"/>
  <c r="V39" i="25"/>
  <c r="W39" i="25"/>
  <c r="X39" i="25"/>
  <c r="Y39" i="25"/>
  <c r="Z39" i="25"/>
  <c r="AA39" i="25"/>
  <c r="AB39" i="25"/>
  <c r="AC39" i="25"/>
  <c r="AD39" i="25"/>
  <c r="AE39" i="25"/>
  <c r="AF39" i="25"/>
  <c r="P7" i="25"/>
  <c r="Q7" i="25"/>
  <c r="R7" i="25"/>
  <c r="S7" i="25"/>
  <c r="T7" i="25"/>
  <c r="U7" i="25"/>
  <c r="V7" i="25"/>
  <c r="W7" i="25"/>
  <c r="X7" i="25"/>
  <c r="Y7" i="25"/>
  <c r="Z7" i="25"/>
  <c r="AA7" i="25"/>
  <c r="AB7" i="25"/>
  <c r="AC7" i="25"/>
  <c r="AD7" i="25"/>
  <c r="AE7" i="25"/>
  <c r="AF7" i="25"/>
  <c r="P40" i="25"/>
  <c r="Q40" i="25"/>
  <c r="R40" i="25"/>
  <c r="S40" i="25"/>
  <c r="T40" i="25"/>
  <c r="U40" i="25"/>
  <c r="V40" i="25"/>
  <c r="W40" i="25"/>
  <c r="X40" i="25"/>
  <c r="Y40" i="25"/>
  <c r="Z40" i="25"/>
  <c r="AA40" i="25"/>
  <c r="AB40" i="25"/>
  <c r="AC40" i="25"/>
  <c r="AD40" i="25"/>
  <c r="AE40" i="25"/>
  <c r="AF40" i="25"/>
  <c r="P41" i="25"/>
  <c r="Q41" i="25"/>
  <c r="R41" i="25"/>
  <c r="S41" i="25"/>
  <c r="T41" i="25"/>
  <c r="U41" i="25"/>
  <c r="V41" i="25"/>
  <c r="W41" i="25"/>
  <c r="X41" i="25"/>
  <c r="Y41" i="25"/>
  <c r="Z41" i="25"/>
  <c r="AA41" i="25"/>
  <c r="AB41" i="25"/>
  <c r="AC41" i="25"/>
  <c r="AD41" i="25"/>
  <c r="AE41" i="25"/>
  <c r="AF41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AD8" i="25"/>
  <c r="AE8" i="25"/>
  <c r="AF8" i="25"/>
  <c r="P42" i="25"/>
  <c r="Q42" i="25"/>
  <c r="R42" i="25"/>
  <c r="S42" i="25"/>
  <c r="T42" i="25"/>
  <c r="U42" i="25"/>
  <c r="V42" i="25"/>
  <c r="W42" i="25"/>
  <c r="X42" i="25"/>
  <c r="Y42" i="25"/>
  <c r="Z42" i="25"/>
  <c r="AA42" i="25"/>
  <c r="AB42" i="25"/>
  <c r="AC42" i="25"/>
  <c r="AD42" i="25"/>
  <c r="AE42" i="25"/>
  <c r="AF42" i="25"/>
  <c r="P43" i="25"/>
  <c r="Q43" i="25"/>
  <c r="R43" i="25"/>
  <c r="S43" i="25"/>
  <c r="T43" i="25"/>
  <c r="U43" i="25"/>
  <c r="V43" i="25"/>
  <c r="W43" i="25"/>
  <c r="X43" i="25"/>
  <c r="Y43" i="25"/>
  <c r="Z43" i="25"/>
  <c r="AA43" i="25"/>
  <c r="AB43" i="25"/>
  <c r="AC43" i="25"/>
  <c r="AD43" i="25"/>
  <c r="AE43" i="25"/>
  <c r="AF43" i="25"/>
  <c r="P9" i="25"/>
  <c r="Q9" i="25"/>
  <c r="R9" i="25"/>
  <c r="S9" i="25"/>
  <c r="T9" i="25"/>
  <c r="U9" i="25"/>
  <c r="V9" i="25"/>
  <c r="W9" i="25"/>
  <c r="X9" i="25"/>
  <c r="Y9" i="25"/>
  <c r="Z9" i="25"/>
  <c r="AA9" i="25"/>
  <c r="AB9" i="25"/>
  <c r="AC9" i="25"/>
  <c r="AD9" i="25"/>
  <c r="AE9" i="25"/>
  <c r="AF9" i="25"/>
  <c r="P44" i="25"/>
  <c r="Q44" i="25"/>
  <c r="R44" i="25"/>
  <c r="S44" i="25"/>
  <c r="T44" i="25"/>
  <c r="U44" i="25"/>
  <c r="V44" i="25"/>
  <c r="W44" i="25"/>
  <c r="X44" i="25"/>
  <c r="Y44" i="25"/>
  <c r="Z44" i="25"/>
  <c r="AA44" i="25"/>
  <c r="AB44" i="25"/>
  <c r="AC44" i="25"/>
  <c r="AD44" i="25"/>
  <c r="AE44" i="25"/>
  <c r="AF44" i="25"/>
  <c r="P45" i="25"/>
  <c r="Q45" i="25"/>
  <c r="R45" i="25"/>
  <c r="S45" i="25"/>
  <c r="T45" i="25"/>
  <c r="U45" i="25"/>
  <c r="V45" i="25"/>
  <c r="W45" i="25"/>
  <c r="X45" i="25"/>
  <c r="Y45" i="25"/>
  <c r="Z45" i="25"/>
  <c r="AA45" i="25"/>
  <c r="AB45" i="25"/>
  <c r="AC45" i="25"/>
  <c r="AD45" i="25"/>
  <c r="AE45" i="25"/>
  <c r="AF45" i="25"/>
  <c r="P46" i="25"/>
  <c r="Q46" i="25"/>
  <c r="R46" i="25"/>
  <c r="S46" i="25"/>
  <c r="T46" i="25"/>
  <c r="U46" i="25"/>
  <c r="V46" i="25"/>
  <c r="W46" i="25"/>
  <c r="X46" i="25"/>
  <c r="Y46" i="25"/>
  <c r="Z46" i="25"/>
  <c r="AA46" i="25"/>
  <c r="AB46" i="25"/>
  <c r="AC46" i="25"/>
  <c r="AD46" i="25"/>
  <c r="AE46" i="25"/>
  <c r="AF46" i="25"/>
  <c r="P10" i="25"/>
  <c r="Q10" i="25"/>
  <c r="R10" i="25"/>
  <c r="S10" i="25"/>
  <c r="T10" i="25"/>
  <c r="U10" i="25"/>
  <c r="V10" i="25"/>
  <c r="W10" i="25"/>
  <c r="X10" i="25"/>
  <c r="Y10" i="25"/>
  <c r="Z10" i="25"/>
  <c r="AA10" i="25"/>
  <c r="AB10" i="25"/>
  <c r="AC10" i="25"/>
  <c r="AD10" i="25"/>
  <c r="AE10" i="25"/>
  <c r="AF10" i="25"/>
  <c r="P11" i="25"/>
  <c r="Q11" i="25"/>
  <c r="R11" i="25"/>
  <c r="S11" i="25"/>
  <c r="T11" i="25"/>
  <c r="U11" i="25"/>
  <c r="V11" i="25"/>
  <c r="W11" i="25"/>
  <c r="X11" i="25"/>
  <c r="Y11" i="25"/>
  <c r="Z11" i="25"/>
  <c r="AA11" i="25"/>
  <c r="AB11" i="25"/>
  <c r="AC11" i="25"/>
  <c r="AD11" i="25"/>
  <c r="AE11" i="25"/>
  <c r="AF11" i="25"/>
  <c r="P12" i="25"/>
  <c r="Q12" i="25"/>
  <c r="R12" i="25"/>
  <c r="S12" i="25"/>
  <c r="T12" i="25"/>
  <c r="U12" i="25"/>
  <c r="V12" i="25"/>
  <c r="W12" i="25"/>
  <c r="X12" i="25"/>
  <c r="Y12" i="25"/>
  <c r="Z12" i="25"/>
  <c r="AA12" i="25"/>
  <c r="AB12" i="25"/>
  <c r="AC12" i="25"/>
  <c r="AD12" i="25"/>
  <c r="AE12" i="25"/>
  <c r="AF12" i="25"/>
  <c r="P13" i="25"/>
  <c r="Q13" i="25"/>
  <c r="R13" i="25"/>
  <c r="S13" i="25"/>
  <c r="T13" i="25"/>
  <c r="U13" i="25"/>
  <c r="V13" i="25"/>
  <c r="W13" i="25"/>
  <c r="X13" i="25"/>
  <c r="Y13" i="25"/>
  <c r="Z13" i="25"/>
  <c r="AA13" i="25"/>
  <c r="AB13" i="25"/>
  <c r="AC13" i="25"/>
  <c r="AD13" i="25"/>
  <c r="AE13" i="25"/>
  <c r="AF13" i="25"/>
  <c r="P47" i="25"/>
  <c r="Q47" i="25"/>
  <c r="R47" i="25"/>
  <c r="S47" i="25"/>
  <c r="T47" i="25"/>
  <c r="U47" i="25"/>
  <c r="V47" i="25"/>
  <c r="W47" i="25"/>
  <c r="X47" i="25"/>
  <c r="Y47" i="25"/>
  <c r="Z47" i="25"/>
  <c r="AA47" i="25"/>
  <c r="AB47" i="25"/>
  <c r="AC47" i="25"/>
  <c r="AD47" i="25"/>
  <c r="AE47" i="25"/>
  <c r="AF47" i="25"/>
  <c r="P14" i="25"/>
  <c r="Q14" i="25"/>
  <c r="R14" i="25"/>
  <c r="S14" i="25"/>
  <c r="T14" i="25"/>
  <c r="U14" i="25"/>
  <c r="V14" i="25"/>
  <c r="W14" i="25"/>
  <c r="X14" i="25"/>
  <c r="Y14" i="25"/>
  <c r="Z14" i="25"/>
  <c r="AA14" i="25"/>
  <c r="AB14" i="25"/>
  <c r="AC14" i="25"/>
  <c r="AD14" i="25"/>
  <c r="AE14" i="25"/>
  <c r="AF14" i="25"/>
  <c r="P48" i="25"/>
  <c r="Q48" i="25"/>
  <c r="R48" i="25"/>
  <c r="S48" i="25"/>
  <c r="T48" i="25"/>
  <c r="U48" i="25"/>
  <c r="V48" i="25"/>
  <c r="W48" i="25"/>
  <c r="X48" i="25"/>
  <c r="Y48" i="25"/>
  <c r="Z48" i="25"/>
  <c r="AA48" i="25"/>
  <c r="AB48" i="25"/>
  <c r="AC48" i="25"/>
  <c r="AD48" i="25"/>
  <c r="AE48" i="25"/>
  <c r="AF48" i="25"/>
  <c r="P15" i="25"/>
  <c r="Q15" i="25"/>
  <c r="R15" i="25"/>
  <c r="S15" i="25"/>
  <c r="T15" i="25"/>
  <c r="U15" i="25"/>
  <c r="V15" i="25"/>
  <c r="W15" i="25"/>
  <c r="X15" i="25"/>
  <c r="Y15" i="25"/>
  <c r="Z15" i="25"/>
  <c r="AA15" i="25"/>
  <c r="AB15" i="25"/>
  <c r="AC15" i="25"/>
  <c r="AD15" i="25"/>
  <c r="AE15" i="25"/>
  <c r="AF15" i="25"/>
  <c r="P49" i="25"/>
  <c r="Q49" i="25"/>
  <c r="R49" i="25"/>
  <c r="S49" i="25"/>
  <c r="T49" i="25"/>
  <c r="U49" i="25"/>
  <c r="V49" i="25"/>
  <c r="W49" i="25"/>
  <c r="X49" i="25"/>
  <c r="Y49" i="25"/>
  <c r="Z49" i="25"/>
  <c r="AA49" i="25"/>
  <c r="AB49" i="25"/>
  <c r="AC49" i="25"/>
  <c r="AD49" i="25"/>
  <c r="AE49" i="25"/>
  <c r="AF49" i="25"/>
  <c r="P16" i="25"/>
  <c r="Q16" i="25"/>
  <c r="R16" i="25"/>
  <c r="S16" i="25"/>
  <c r="T16" i="25"/>
  <c r="U16" i="25"/>
  <c r="V16" i="25"/>
  <c r="W16" i="25"/>
  <c r="X16" i="25"/>
  <c r="Y16" i="25"/>
  <c r="Z16" i="25"/>
  <c r="AA16" i="25"/>
  <c r="AB16" i="25"/>
  <c r="AC16" i="25"/>
  <c r="AD16" i="25"/>
  <c r="AE16" i="25"/>
  <c r="AF16" i="25"/>
  <c r="P17" i="25"/>
  <c r="Q17" i="25"/>
  <c r="R17" i="25"/>
  <c r="S17" i="25"/>
  <c r="T17" i="25"/>
  <c r="U17" i="25"/>
  <c r="V17" i="25"/>
  <c r="W17" i="25"/>
  <c r="X17" i="25"/>
  <c r="Y17" i="25"/>
  <c r="Z17" i="25"/>
  <c r="AA17" i="25"/>
  <c r="AB17" i="25"/>
  <c r="AC17" i="25"/>
  <c r="AD17" i="25"/>
  <c r="AE17" i="25"/>
  <c r="AF17" i="25"/>
  <c r="P18" i="25"/>
  <c r="Q18" i="25"/>
  <c r="R18" i="25"/>
  <c r="S18" i="25"/>
  <c r="T18" i="25"/>
  <c r="U18" i="25"/>
  <c r="V18" i="25"/>
  <c r="W18" i="25"/>
  <c r="X18" i="25"/>
  <c r="Y18" i="25"/>
  <c r="Z18" i="25"/>
  <c r="AA18" i="25"/>
  <c r="AB18" i="25"/>
  <c r="AC18" i="25"/>
  <c r="AD18" i="25"/>
  <c r="AE18" i="25"/>
  <c r="AF18" i="25"/>
  <c r="P50" i="25"/>
  <c r="Q50" i="25"/>
  <c r="R50" i="25"/>
  <c r="S50" i="25"/>
  <c r="T50" i="25"/>
  <c r="U50" i="25"/>
  <c r="V50" i="25"/>
  <c r="W50" i="25"/>
  <c r="X50" i="25"/>
  <c r="Y50" i="25"/>
  <c r="Z50" i="25"/>
  <c r="AA50" i="25"/>
  <c r="AB50" i="25"/>
  <c r="AC50" i="25"/>
  <c r="AD50" i="25"/>
  <c r="AE50" i="25"/>
  <c r="AF50" i="25"/>
  <c r="P51" i="25"/>
  <c r="Q51" i="25"/>
  <c r="R51" i="25"/>
  <c r="S51" i="25"/>
  <c r="T51" i="25"/>
  <c r="U51" i="25"/>
  <c r="V51" i="25"/>
  <c r="W51" i="25"/>
  <c r="X51" i="25"/>
  <c r="Y51" i="25"/>
  <c r="Z51" i="25"/>
  <c r="AA51" i="25"/>
  <c r="AB51" i="25"/>
  <c r="AC51" i="25"/>
  <c r="AD51" i="25"/>
  <c r="AE51" i="25"/>
  <c r="AF51" i="25"/>
  <c r="P52" i="25"/>
  <c r="Q52" i="25"/>
  <c r="R52" i="25"/>
  <c r="S52" i="25"/>
  <c r="T52" i="25"/>
  <c r="U52" i="25"/>
  <c r="V52" i="25"/>
  <c r="W52" i="25"/>
  <c r="X52" i="25"/>
  <c r="Y52" i="25"/>
  <c r="Z52" i="25"/>
  <c r="AA52" i="25"/>
  <c r="AB52" i="25"/>
  <c r="AC52" i="25"/>
  <c r="AD52" i="25"/>
  <c r="AE52" i="25"/>
  <c r="AF52" i="25"/>
  <c r="P19" i="25"/>
  <c r="Q19" i="25"/>
  <c r="R19" i="25"/>
  <c r="S19" i="25"/>
  <c r="T19" i="25"/>
  <c r="U19" i="25"/>
  <c r="V19" i="25"/>
  <c r="W19" i="25"/>
  <c r="X19" i="25"/>
  <c r="Y19" i="25"/>
  <c r="Z19" i="25"/>
  <c r="AA19" i="25"/>
  <c r="AB19" i="25"/>
  <c r="AC19" i="25"/>
  <c r="AD19" i="25"/>
  <c r="AE19" i="25"/>
  <c r="AF19" i="25"/>
  <c r="P53" i="25"/>
  <c r="Q53" i="25"/>
  <c r="R53" i="25"/>
  <c r="S53" i="25"/>
  <c r="T53" i="25"/>
  <c r="U53" i="25"/>
  <c r="V53" i="25"/>
  <c r="W53" i="25"/>
  <c r="X53" i="25"/>
  <c r="Y53" i="25"/>
  <c r="Z53" i="25"/>
  <c r="AA53" i="25"/>
  <c r="AB53" i="25"/>
  <c r="AC53" i="25"/>
  <c r="AD53" i="25"/>
  <c r="AE53" i="25"/>
  <c r="AF53" i="25"/>
  <c r="P54" i="25"/>
  <c r="Q54" i="25"/>
  <c r="R54" i="25"/>
  <c r="S54" i="25"/>
  <c r="T54" i="25"/>
  <c r="U54" i="25"/>
  <c r="V54" i="25"/>
  <c r="W54" i="25"/>
  <c r="X54" i="25"/>
  <c r="Y54" i="25"/>
  <c r="Z54" i="25"/>
  <c r="AA54" i="25"/>
  <c r="AB54" i="25"/>
  <c r="AC54" i="25"/>
  <c r="AD54" i="25"/>
  <c r="AE54" i="25"/>
  <c r="AF54" i="25"/>
  <c r="P55" i="25"/>
  <c r="Q55" i="25"/>
  <c r="R55" i="25"/>
  <c r="S55" i="25"/>
  <c r="T55" i="25"/>
  <c r="U55" i="25"/>
  <c r="V55" i="25"/>
  <c r="W55" i="25"/>
  <c r="X55" i="25"/>
  <c r="Y55" i="25"/>
  <c r="Z55" i="25"/>
  <c r="AA55" i="25"/>
  <c r="AB55" i="25"/>
  <c r="AC55" i="25"/>
  <c r="AD55" i="25"/>
  <c r="AE55" i="25"/>
  <c r="AF55" i="25"/>
  <c r="P20" i="25"/>
  <c r="Q20" i="25"/>
  <c r="R20" i="25"/>
  <c r="S20" i="25"/>
  <c r="T20" i="25"/>
  <c r="U20" i="25"/>
  <c r="V20" i="25"/>
  <c r="W20" i="25"/>
  <c r="X20" i="25"/>
  <c r="Y20" i="25"/>
  <c r="Z20" i="25"/>
  <c r="AA20" i="25"/>
  <c r="AB20" i="25"/>
  <c r="AC20" i="25"/>
  <c r="AD20" i="25"/>
  <c r="AE20" i="25"/>
  <c r="AF20" i="25"/>
  <c r="P56" i="25"/>
  <c r="Q56" i="25"/>
  <c r="R56" i="25"/>
  <c r="S56" i="25"/>
  <c r="T56" i="25"/>
  <c r="U56" i="25"/>
  <c r="V56" i="25"/>
  <c r="W56" i="25"/>
  <c r="X56" i="25"/>
  <c r="Y56" i="25"/>
  <c r="Z56" i="25"/>
  <c r="AA56" i="25"/>
  <c r="AB56" i="25"/>
  <c r="AC56" i="25"/>
  <c r="AD56" i="25"/>
  <c r="AE56" i="25"/>
  <c r="AF56" i="25"/>
  <c r="P57" i="25"/>
  <c r="Q57" i="25"/>
  <c r="R57" i="25"/>
  <c r="S57" i="25"/>
  <c r="T57" i="25"/>
  <c r="U57" i="25"/>
  <c r="V57" i="25"/>
  <c r="W57" i="25"/>
  <c r="X57" i="25"/>
  <c r="Y57" i="25"/>
  <c r="Z57" i="25"/>
  <c r="AA57" i="25"/>
  <c r="AB57" i="25"/>
  <c r="AC57" i="25"/>
  <c r="AD57" i="25"/>
  <c r="AE57" i="25"/>
  <c r="AF57" i="25"/>
  <c r="P21" i="25"/>
  <c r="Q21" i="25"/>
  <c r="R21" i="25"/>
  <c r="S21" i="25"/>
  <c r="T21" i="25"/>
  <c r="U21" i="25"/>
  <c r="V21" i="25"/>
  <c r="W21" i="25"/>
  <c r="X21" i="25"/>
  <c r="Y21" i="25"/>
  <c r="Z21" i="25"/>
  <c r="AA21" i="25"/>
  <c r="AB21" i="25"/>
  <c r="AC21" i="25"/>
  <c r="AD21" i="25"/>
  <c r="AE21" i="25"/>
  <c r="AF21" i="25"/>
  <c r="P58" i="25"/>
  <c r="Q58" i="25"/>
  <c r="R58" i="25"/>
  <c r="S58" i="25"/>
  <c r="T58" i="25"/>
  <c r="U58" i="25"/>
  <c r="V58" i="25"/>
  <c r="W58" i="25"/>
  <c r="X58" i="25"/>
  <c r="Y58" i="25"/>
  <c r="Z58" i="25"/>
  <c r="AA58" i="25"/>
  <c r="AB58" i="25"/>
  <c r="AC58" i="25"/>
  <c r="AD58" i="25"/>
  <c r="AE58" i="25"/>
  <c r="AF58" i="25"/>
  <c r="P59" i="25"/>
  <c r="Q59" i="25"/>
  <c r="R59" i="25"/>
  <c r="S59" i="25"/>
  <c r="T59" i="25"/>
  <c r="U59" i="25"/>
  <c r="V59" i="25"/>
  <c r="W59" i="25"/>
  <c r="X59" i="25"/>
  <c r="Y59" i="25"/>
  <c r="Z59" i="25"/>
  <c r="AA59" i="25"/>
  <c r="AB59" i="25"/>
  <c r="AC59" i="25"/>
  <c r="AD59" i="25"/>
  <c r="AE59" i="25"/>
  <c r="AF59" i="25"/>
  <c r="P22" i="25"/>
  <c r="Q22" i="25"/>
  <c r="R22" i="25"/>
  <c r="S22" i="25"/>
  <c r="T22" i="25"/>
  <c r="U22" i="25"/>
  <c r="V22" i="25"/>
  <c r="W22" i="25"/>
  <c r="X22" i="25"/>
  <c r="Y22" i="25"/>
  <c r="Z22" i="25"/>
  <c r="AA22" i="25"/>
  <c r="AB22" i="25"/>
  <c r="AC22" i="25"/>
  <c r="AD22" i="25"/>
  <c r="AE22" i="25"/>
  <c r="AF22" i="25"/>
  <c r="P23" i="25"/>
  <c r="Q23" i="25"/>
  <c r="R23" i="25"/>
  <c r="S23" i="25"/>
  <c r="T23" i="25"/>
  <c r="U23" i="25"/>
  <c r="V23" i="25"/>
  <c r="W23" i="25"/>
  <c r="X23" i="25"/>
  <c r="Y23" i="25"/>
  <c r="Z23" i="25"/>
  <c r="AA23" i="25"/>
  <c r="AB23" i="25"/>
  <c r="AC23" i="25"/>
  <c r="AD23" i="25"/>
  <c r="AE23" i="25"/>
  <c r="AF23" i="25"/>
  <c r="P60" i="25"/>
  <c r="Q60" i="25"/>
  <c r="R60" i="25"/>
  <c r="S60" i="25"/>
  <c r="T60" i="25"/>
  <c r="U60" i="25"/>
  <c r="V60" i="25"/>
  <c r="W60" i="25"/>
  <c r="X60" i="25"/>
  <c r="Y60" i="25"/>
  <c r="Z60" i="25"/>
  <c r="AA60" i="25"/>
  <c r="AB60" i="25"/>
  <c r="AC60" i="25"/>
  <c r="AD60" i="25"/>
  <c r="AE60" i="25"/>
  <c r="AF60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P24" i="25"/>
  <c r="Q24" i="25"/>
  <c r="R24" i="25"/>
  <c r="S24" i="25"/>
  <c r="T24" i="25"/>
  <c r="U24" i="25"/>
  <c r="V24" i="25"/>
  <c r="W24" i="25"/>
  <c r="X24" i="25"/>
  <c r="Y24" i="25"/>
  <c r="Z24" i="25"/>
  <c r="AA24" i="25"/>
  <c r="AB24" i="25"/>
  <c r="AC24" i="25"/>
  <c r="AD24" i="25"/>
  <c r="AE24" i="25"/>
  <c r="AF24" i="25"/>
  <c r="P25" i="25"/>
  <c r="Q25" i="25"/>
  <c r="R25" i="25"/>
  <c r="S25" i="25"/>
  <c r="T25" i="25"/>
  <c r="U25" i="25"/>
  <c r="V25" i="25"/>
  <c r="W25" i="25"/>
  <c r="X25" i="25"/>
  <c r="Y25" i="25"/>
  <c r="Z25" i="25"/>
  <c r="AA25" i="25"/>
  <c r="AB25" i="25"/>
  <c r="AC25" i="25"/>
  <c r="AD25" i="25"/>
  <c r="AE25" i="25"/>
  <c r="AF25" i="25"/>
  <c r="P26" i="25"/>
  <c r="Q26" i="25"/>
  <c r="R26" i="25"/>
  <c r="S26" i="25"/>
  <c r="T26" i="25"/>
  <c r="U26" i="25"/>
  <c r="V26" i="25"/>
  <c r="W26" i="25"/>
  <c r="X26" i="25"/>
  <c r="Y26" i="25"/>
  <c r="Z26" i="25"/>
  <c r="AA26" i="25"/>
  <c r="AB26" i="25"/>
  <c r="AC26" i="25"/>
  <c r="AD26" i="25"/>
  <c r="AE26" i="25"/>
  <c r="AF26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P27" i="25"/>
  <c r="Q27" i="25"/>
  <c r="R27" i="25"/>
  <c r="S27" i="25"/>
  <c r="T27" i="25"/>
  <c r="U27" i="25"/>
  <c r="V27" i="25"/>
  <c r="W27" i="25"/>
  <c r="X27" i="25"/>
  <c r="Y27" i="25"/>
  <c r="Z27" i="25"/>
  <c r="AA27" i="25"/>
  <c r="AB27" i="25"/>
  <c r="AC27" i="25"/>
  <c r="AD27" i="25"/>
  <c r="AE27" i="25"/>
  <c r="AF27" i="25"/>
  <c r="P28" i="25"/>
  <c r="Q28" i="25"/>
  <c r="R28" i="25"/>
  <c r="S28" i="25"/>
  <c r="T28" i="25"/>
  <c r="U28" i="25"/>
  <c r="V28" i="25"/>
  <c r="W28" i="25"/>
  <c r="X28" i="25"/>
  <c r="Y28" i="25"/>
  <c r="Z28" i="25"/>
  <c r="AA28" i="25"/>
  <c r="AB28" i="25"/>
  <c r="AC28" i="25"/>
  <c r="AD28" i="25"/>
  <c r="AE28" i="25"/>
  <c r="AF28" i="25"/>
  <c r="P29" i="25"/>
  <c r="Q29" i="25"/>
  <c r="R29" i="25"/>
  <c r="S29" i="25"/>
  <c r="T29" i="25"/>
  <c r="U29" i="25"/>
  <c r="V29" i="25"/>
  <c r="W29" i="25"/>
  <c r="X29" i="25"/>
  <c r="Y29" i="25"/>
  <c r="Z29" i="25"/>
  <c r="AA29" i="25"/>
  <c r="AB29" i="25"/>
  <c r="AC29" i="25"/>
  <c r="AD29" i="25"/>
  <c r="AE29" i="25"/>
  <c r="AF29" i="25"/>
  <c r="P30" i="25"/>
  <c r="Q30" i="25"/>
  <c r="R30" i="25"/>
  <c r="S30" i="25"/>
  <c r="T30" i="25"/>
  <c r="U30" i="25"/>
  <c r="V30" i="25"/>
  <c r="W30" i="25"/>
  <c r="X30" i="25"/>
  <c r="Y30" i="25"/>
  <c r="Z30" i="25"/>
  <c r="AA30" i="25"/>
  <c r="AB30" i="25"/>
  <c r="AC30" i="25"/>
  <c r="AD30" i="25"/>
  <c r="AE30" i="25"/>
  <c r="AF30" i="25"/>
  <c r="P31" i="25"/>
  <c r="Q31" i="25"/>
  <c r="R31" i="25"/>
  <c r="S31" i="25"/>
  <c r="T31" i="25"/>
  <c r="U31" i="25"/>
  <c r="V31" i="25"/>
  <c r="W31" i="25"/>
  <c r="X31" i="25"/>
  <c r="Y31" i="25"/>
  <c r="Z31" i="25"/>
  <c r="AA31" i="25"/>
  <c r="AB31" i="25"/>
  <c r="AC31" i="25"/>
  <c r="AD31" i="25"/>
  <c r="AE31" i="25"/>
  <c r="AF31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P32" i="25"/>
  <c r="Q32" i="25"/>
  <c r="R32" i="25"/>
  <c r="S32" i="25"/>
  <c r="T32" i="25"/>
  <c r="U32" i="25"/>
  <c r="V32" i="25"/>
  <c r="W32" i="25"/>
  <c r="X32" i="25"/>
  <c r="Y32" i="25"/>
  <c r="Z32" i="25"/>
  <c r="AA32" i="25"/>
  <c r="AB32" i="25"/>
  <c r="AC32" i="25"/>
  <c r="AD32" i="25"/>
  <c r="AE32" i="25"/>
  <c r="AF32" i="25"/>
  <c r="P33" i="25"/>
  <c r="Q33" i="25"/>
  <c r="R33" i="25"/>
  <c r="S33" i="25"/>
  <c r="T33" i="25"/>
  <c r="U33" i="25"/>
  <c r="V33" i="25"/>
  <c r="W33" i="25"/>
  <c r="X33" i="25"/>
  <c r="Y33" i="25"/>
  <c r="Z33" i="25"/>
  <c r="AA33" i="25"/>
  <c r="AB33" i="25"/>
  <c r="AC33" i="25"/>
  <c r="AD33" i="25"/>
  <c r="AE33" i="25"/>
  <c r="AF33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P34" i="25"/>
  <c r="Q34" i="25"/>
  <c r="R34" i="25"/>
  <c r="S34" i="25"/>
  <c r="T34" i="25"/>
  <c r="U34" i="25"/>
  <c r="V34" i="25"/>
  <c r="W34" i="25"/>
  <c r="X34" i="25"/>
  <c r="Y34" i="25"/>
  <c r="Z34" i="25"/>
  <c r="AA34" i="25"/>
  <c r="AB34" i="25"/>
  <c r="AC34" i="25"/>
  <c r="AD34" i="25"/>
  <c r="AE34" i="25"/>
  <c r="AF34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P68" i="25"/>
  <c r="Q68" i="25"/>
  <c r="R68" i="25"/>
  <c r="S68" i="25"/>
  <c r="T68" i="25"/>
  <c r="U68" i="25"/>
  <c r="V68" i="25"/>
  <c r="W68" i="25"/>
  <c r="X68" i="25"/>
  <c r="Y68" i="25"/>
  <c r="Z68" i="25"/>
  <c r="AA68" i="25"/>
  <c r="AB68" i="25"/>
  <c r="AC68" i="25"/>
  <c r="AD68" i="25"/>
  <c r="AE68" i="25"/>
  <c r="AF68" i="25"/>
  <c r="P69" i="25"/>
  <c r="Q69" i="25"/>
  <c r="R69" i="25"/>
  <c r="S69" i="25"/>
  <c r="T69" i="25"/>
  <c r="U69" i="25"/>
  <c r="V69" i="25"/>
  <c r="W69" i="25"/>
  <c r="X69" i="25"/>
  <c r="Y69" i="25"/>
  <c r="Z69" i="25"/>
  <c r="AA69" i="25"/>
  <c r="AB69" i="25"/>
  <c r="AC69" i="25"/>
  <c r="AD69" i="25"/>
  <c r="AE69" i="25"/>
  <c r="AF69" i="25"/>
  <c r="P70" i="25"/>
  <c r="Q70" i="25"/>
  <c r="R70" i="25"/>
  <c r="S70" i="25"/>
  <c r="T70" i="25"/>
  <c r="U70" i="25"/>
  <c r="V70" i="25"/>
  <c r="W70" i="25"/>
  <c r="X70" i="25"/>
  <c r="Y70" i="25"/>
  <c r="Z70" i="25"/>
  <c r="AA70" i="25"/>
  <c r="AB70" i="25"/>
  <c r="AC70" i="25"/>
  <c r="AD70" i="25"/>
  <c r="AE70" i="25"/>
  <c r="AF70" i="25"/>
  <c r="P71" i="25"/>
  <c r="Q71" i="25"/>
  <c r="R71" i="25"/>
  <c r="S71" i="25"/>
  <c r="T71" i="25"/>
  <c r="U71" i="25"/>
  <c r="V71" i="25"/>
  <c r="W71" i="25"/>
  <c r="X71" i="25"/>
  <c r="Y71" i="25"/>
  <c r="Z71" i="25"/>
  <c r="AA71" i="25"/>
  <c r="AB71" i="25"/>
  <c r="AC71" i="25"/>
  <c r="AD71" i="25"/>
  <c r="AE71" i="25"/>
  <c r="AF71" i="25"/>
  <c r="P72" i="25"/>
  <c r="Q72" i="25"/>
  <c r="R72" i="25"/>
  <c r="S72" i="25"/>
  <c r="T72" i="25"/>
  <c r="U72" i="25"/>
  <c r="V72" i="25"/>
  <c r="W72" i="25"/>
  <c r="X72" i="25"/>
  <c r="Y72" i="25"/>
  <c r="Z72" i="25"/>
  <c r="AA72" i="25"/>
  <c r="AB72" i="25"/>
  <c r="AC72" i="25"/>
  <c r="AD72" i="25"/>
  <c r="AE72" i="25"/>
  <c r="AF72" i="25"/>
  <c r="P73" i="25"/>
  <c r="Q73" i="25"/>
  <c r="R73" i="25"/>
  <c r="S73" i="25"/>
  <c r="T73" i="25"/>
  <c r="U73" i="25"/>
  <c r="V73" i="25"/>
  <c r="W73" i="25"/>
  <c r="X73" i="25"/>
  <c r="Y73" i="25"/>
  <c r="Z73" i="25"/>
  <c r="AA73" i="25"/>
  <c r="AB73" i="25"/>
  <c r="AC73" i="25"/>
  <c r="AD73" i="25"/>
  <c r="AE73" i="25"/>
  <c r="AF73" i="25"/>
  <c r="P74" i="25"/>
  <c r="Q74" i="25"/>
  <c r="R74" i="25"/>
  <c r="S74" i="25"/>
  <c r="T74" i="25"/>
  <c r="U74" i="25"/>
  <c r="V74" i="25"/>
  <c r="W74" i="25"/>
  <c r="X74" i="25"/>
  <c r="Y74" i="25"/>
  <c r="Z74" i="25"/>
  <c r="AA74" i="25"/>
  <c r="AB74" i="25"/>
  <c r="AC74" i="25"/>
  <c r="AD74" i="25"/>
  <c r="AE74" i="25"/>
  <c r="AF74" i="25"/>
  <c r="P75" i="25"/>
  <c r="Q75" i="25"/>
  <c r="R75" i="25"/>
  <c r="S75" i="25"/>
  <c r="T75" i="25"/>
  <c r="U75" i="25"/>
  <c r="V75" i="25"/>
  <c r="W75" i="25"/>
  <c r="X75" i="25"/>
  <c r="Y75" i="25"/>
  <c r="Z75" i="25"/>
  <c r="AA75" i="25"/>
  <c r="AB75" i="25"/>
  <c r="AC75" i="25"/>
  <c r="AD75" i="25"/>
  <c r="AE75" i="25"/>
  <c r="AF75" i="25"/>
  <c r="P76" i="25"/>
  <c r="Q76" i="25"/>
  <c r="R76" i="25"/>
  <c r="S76" i="25"/>
  <c r="T76" i="25"/>
  <c r="U76" i="25"/>
  <c r="V76" i="25"/>
  <c r="W76" i="25"/>
  <c r="X76" i="25"/>
  <c r="Y76" i="25"/>
  <c r="Z76" i="25"/>
  <c r="AA76" i="25"/>
  <c r="AB76" i="25"/>
  <c r="AC76" i="25"/>
  <c r="AD76" i="25"/>
  <c r="AE76" i="25"/>
  <c r="AF76" i="25"/>
  <c r="P77" i="25"/>
  <c r="Q77" i="25"/>
  <c r="R77" i="25"/>
  <c r="S77" i="25"/>
  <c r="T77" i="25"/>
  <c r="U77" i="25"/>
  <c r="V77" i="25"/>
  <c r="W77" i="25"/>
  <c r="X77" i="25"/>
  <c r="Y77" i="25"/>
  <c r="Z77" i="25"/>
  <c r="AA77" i="25"/>
  <c r="AB77" i="25"/>
  <c r="AC77" i="25"/>
  <c r="AD77" i="25"/>
  <c r="AE77" i="25"/>
  <c r="AF77" i="25"/>
  <c r="P78" i="25"/>
  <c r="Q78" i="25"/>
  <c r="R78" i="25"/>
  <c r="S78" i="25"/>
  <c r="T78" i="25"/>
  <c r="U78" i="25"/>
  <c r="V78" i="25"/>
  <c r="W78" i="25"/>
  <c r="X78" i="25"/>
  <c r="Y78" i="25"/>
  <c r="Z78" i="25"/>
  <c r="AA78" i="25"/>
  <c r="AB78" i="25"/>
  <c r="AC78" i="25"/>
  <c r="AD78" i="25"/>
  <c r="AE78" i="25"/>
  <c r="AF78" i="25"/>
  <c r="P79" i="25"/>
  <c r="Q79" i="25"/>
  <c r="R79" i="25"/>
  <c r="S79" i="25"/>
  <c r="T79" i="25"/>
  <c r="U79" i="25"/>
  <c r="V79" i="25"/>
  <c r="W79" i="25"/>
  <c r="X79" i="25"/>
  <c r="Y79" i="25"/>
  <c r="Z79" i="25"/>
  <c r="AA79" i="25"/>
  <c r="AB79" i="25"/>
  <c r="AC79" i="25"/>
  <c r="AD79" i="25"/>
  <c r="AE79" i="25"/>
  <c r="AF79" i="25"/>
  <c r="P80" i="25"/>
  <c r="Q80" i="25"/>
  <c r="R80" i="25"/>
  <c r="S80" i="25"/>
  <c r="T80" i="25"/>
  <c r="U80" i="25"/>
  <c r="V80" i="25"/>
  <c r="W80" i="25"/>
  <c r="X80" i="25"/>
  <c r="Y80" i="25"/>
  <c r="Z80" i="25"/>
  <c r="AA80" i="25"/>
  <c r="AB80" i="25"/>
  <c r="AC80" i="25"/>
  <c r="AD80" i="25"/>
  <c r="AE80" i="25"/>
  <c r="AF80" i="25"/>
  <c r="P81" i="25"/>
  <c r="Q81" i="25"/>
  <c r="R81" i="25"/>
  <c r="S81" i="25"/>
  <c r="T81" i="25"/>
  <c r="U81" i="25"/>
  <c r="V81" i="25"/>
  <c r="W81" i="25"/>
  <c r="X81" i="25"/>
  <c r="Y81" i="25"/>
  <c r="Z81" i="25"/>
  <c r="AA81" i="25"/>
  <c r="AB81" i="25"/>
  <c r="AC81" i="25"/>
  <c r="AD81" i="25"/>
  <c r="AE81" i="25"/>
  <c r="AF81" i="25"/>
  <c r="P82" i="25"/>
  <c r="Q82" i="25"/>
  <c r="R82" i="25"/>
  <c r="S82" i="25"/>
  <c r="T82" i="25"/>
  <c r="U82" i="25"/>
  <c r="V82" i="25"/>
  <c r="W82" i="25"/>
  <c r="X82" i="25"/>
  <c r="Y82" i="25"/>
  <c r="Z82" i="25"/>
  <c r="AA82" i="25"/>
  <c r="AB82" i="25"/>
  <c r="AC82" i="25"/>
  <c r="AD82" i="25"/>
  <c r="AE82" i="25"/>
  <c r="AF82" i="25"/>
  <c r="P83" i="25"/>
  <c r="Q83" i="25"/>
  <c r="R83" i="25"/>
  <c r="S83" i="25"/>
  <c r="T83" i="25"/>
  <c r="U83" i="25"/>
  <c r="V83" i="25"/>
  <c r="W83" i="25"/>
  <c r="X83" i="25"/>
  <c r="Y83" i="25"/>
  <c r="Z83" i="25"/>
  <c r="AA83" i="25"/>
  <c r="AB83" i="25"/>
  <c r="AC83" i="25"/>
  <c r="AD83" i="25"/>
  <c r="AE83" i="25"/>
  <c r="AF83" i="25"/>
  <c r="P84" i="25"/>
  <c r="Q84" i="25"/>
  <c r="R84" i="25"/>
  <c r="S84" i="25"/>
  <c r="T84" i="25"/>
  <c r="U84" i="25"/>
  <c r="V84" i="25"/>
  <c r="W84" i="25"/>
  <c r="X84" i="25"/>
  <c r="Y84" i="25"/>
  <c r="Z84" i="25"/>
  <c r="AA84" i="25"/>
  <c r="AB84" i="25"/>
  <c r="AC84" i="25"/>
  <c r="AD84" i="25"/>
  <c r="AE84" i="25"/>
  <c r="AF84" i="25"/>
  <c r="P85" i="25"/>
  <c r="Q85" i="25"/>
  <c r="R85" i="25"/>
  <c r="S85" i="25"/>
  <c r="T85" i="25"/>
  <c r="U85" i="25"/>
  <c r="V85" i="25"/>
  <c r="W85" i="25"/>
  <c r="X85" i="25"/>
  <c r="Y85" i="25"/>
  <c r="Z85" i="25"/>
  <c r="AA85" i="25"/>
  <c r="AB85" i="25"/>
  <c r="AC85" i="25"/>
  <c r="AD85" i="25"/>
  <c r="AE85" i="25"/>
  <c r="AF85" i="25"/>
  <c r="P86" i="25"/>
  <c r="Q86" i="25"/>
  <c r="R86" i="25"/>
  <c r="S86" i="25"/>
  <c r="T86" i="25"/>
  <c r="U86" i="25"/>
  <c r="V86" i="25"/>
  <c r="W86" i="25"/>
  <c r="X86" i="25"/>
  <c r="Y86" i="25"/>
  <c r="Z86" i="25"/>
  <c r="AA86" i="25"/>
  <c r="AB86" i="25"/>
  <c r="AC86" i="25"/>
  <c r="AD86" i="25"/>
  <c r="AE86" i="25"/>
  <c r="AF86" i="25"/>
  <c r="P87" i="25"/>
  <c r="Q87" i="25"/>
  <c r="R87" i="25"/>
  <c r="S87" i="25"/>
  <c r="T87" i="25"/>
  <c r="U87" i="25"/>
  <c r="V87" i="25"/>
  <c r="W87" i="25"/>
  <c r="X87" i="25"/>
  <c r="Y87" i="25"/>
  <c r="Z87" i="25"/>
  <c r="AA87" i="25"/>
  <c r="AB87" i="25"/>
  <c r="AC87" i="25"/>
  <c r="AD87" i="25"/>
  <c r="AE87" i="25"/>
  <c r="AF87" i="25"/>
  <c r="Q2" i="25"/>
  <c r="R2" i="25"/>
  <c r="S2" i="25"/>
  <c r="T2" i="25"/>
  <c r="U2" i="25"/>
  <c r="V2" i="25"/>
  <c r="W2" i="25"/>
  <c r="X2" i="25"/>
  <c r="Y2" i="25"/>
  <c r="Z2" i="25"/>
  <c r="AA2" i="25"/>
  <c r="AB2" i="25"/>
  <c r="AC2" i="25"/>
  <c r="AD2" i="25"/>
  <c r="AE2" i="25"/>
  <c r="AF2" i="25"/>
  <c r="O15" i="12"/>
  <c r="O89" i="12"/>
  <c r="O88" i="12"/>
  <c r="O73" i="12"/>
  <c r="O74" i="12"/>
  <c r="O75" i="12"/>
  <c r="O76" i="12"/>
  <c r="O77" i="12"/>
  <c r="O78" i="12"/>
  <c r="O79" i="12"/>
  <c r="O80" i="12"/>
  <c r="O81" i="12"/>
  <c r="N74" i="12"/>
  <c r="N75" i="12"/>
  <c r="N76" i="12"/>
  <c r="Q6" i="12"/>
  <c r="R6" i="12"/>
  <c r="S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N48" i="12"/>
  <c r="N47" i="12"/>
  <c r="B61" i="12" l="1"/>
  <c r="B62" i="12"/>
  <c r="B63" i="12"/>
  <c r="B64" i="12"/>
  <c r="B65" i="12"/>
  <c r="B66" i="12"/>
  <c r="B67" i="12"/>
  <c r="B68" i="12"/>
  <c r="B69" i="12"/>
  <c r="N65" i="12"/>
  <c r="N66" i="12"/>
  <c r="N67" i="12"/>
  <c r="N68" i="12"/>
  <c r="N69" i="12"/>
  <c r="N70" i="12"/>
  <c r="N71" i="12"/>
  <c r="B8" i="12" l="1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L3" i="26" a="1"/>
  <c r="L3" i="26" s="1"/>
  <c r="L4" i="26" a="1"/>
  <c r="L4" i="26" s="1"/>
  <c r="L5" i="26" a="1"/>
  <c r="L5" i="26" s="1"/>
  <c r="L6" i="26" a="1"/>
  <c r="L6" i="26" s="1"/>
  <c r="L7" i="26" a="1"/>
  <c r="L7" i="26" s="1"/>
  <c r="L8" i="26" a="1"/>
  <c r="L8" i="26" s="1"/>
  <c r="L9" i="26" a="1"/>
  <c r="L9" i="26" s="1"/>
  <c r="L10" i="26" a="1"/>
  <c r="L10" i="26" s="1"/>
  <c r="L11" i="26" a="1"/>
  <c r="L11" i="26" s="1"/>
  <c r="L12" i="26" a="1"/>
  <c r="L12" i="26" s="1"/>
  <c r="L13" i="26" a="1"/>
  <c r="L13" i="26" s="1"/>
  <c r="L14" i="26" a="1"/>
  <c r="L14" i="26" s="1"/>
  <c r="L15" i="26" a="1"/>
  <c r="L15" i="26" s="1"/>
  <c r="L16" i="26" a="1"/>
  <c r="L16" i="26" s="1"/>
  <c r="L17" i="26" a="1"/>
  <c r="L17" i="26" s="1"/>
  <c r="L18" i="26" a="1"/>
  <c r="L18" i="26" s="1"/>
  <c r="L19" i="26" a="1"/>
  <c r="L19" i="26" s="1"/>
  <c r="L20" i="26" a="1"/>
  <c r="L20" i="26" s="1"/>
  <c r="L21" i="26" a="1"/>
  <c r="L21" i="26" s="1"/>
  <c r="L22" i="26" a="1"/>
  <c r="L22" i="26" s="1"/>
  <c r="L23" i="26" a="1"/>
  <c r="L23" i="26" s="1"/>
  <c r="L24" i="26" a="1"/>
  <c r="L24" i="26" s="1"/>
  <c r="L25" i="26" a="1"/>
  <c r="L25" i="26" s="1"/>
  <c r="L26" i="26" a="1"/>
  <c r="L26" i="26" s="1"/>
  <c r="L27" i="26" a="1"/>
  <c r="L27" i="26" s="1"/>
  <c r="L28" i="26" a="1"/>
  <c r="L28" i="26" s="1"/>
  <c r="L29" i="26" a="1"/>
  <c r="L29" i="26" s="1"/>
  <c r="L30" i="26" a="1"/>
  <c r="L30" i="26" s="1"/>
  <c r="L31" i="26" a="1"/>
  <c r="L31" i="26" s="1"/>
  <c r="L32" i="26" a="1"/>
  <c r="L32" i="26" s="1"/>
  <c r="L33" i="26" a="1"/>
  <c r="L33" i="26" s="1"/>
  <c r="L34" i="26" a="1"/>
  <c r="L34" i="26" s="1"/>
  <c r="L35" i="26" a="1"/>
  <c r="L35" i="26" s="1"/>
  <c r="L36" i="26" a="1"/>
  <c r="L36" i="26" s="1"/>
  <c r="L37" i="26" a="1"/>
  <c r="L37" i="26" s="1"/>
  <c r="L38" i="26" a="1"/>
  <c r="L38" i="26" s="1"/>
  <c r="L39" i="26" a="1"/>
  <c r="L39" i="26" s="1"/>
  <c r="L40" i="26" a="1"/>
  <c r="L40" i="26" s="1"/>
  <c r="L41" i="26" a="1"/>
  <c r="L41" i="26" s="1"/>
  <c r="L42" i="26" a="1"/>
  <c r="L42" i="26" s="1"/>
  <c r="L43" i="26" a="1"/>
  <c r="L43" i="26" s="1"/>
  <c r="L44" i="26" a="1"/>
  <c r="L44" i="26" s="1"/>
  <c r="L45" i="26" a="1"/>
  <c r="L45" i="26" s="1"/>
  <c r="L46" i="26" a="1"/>
  <c r="L46" i="26" s="1"/>
  <c r="L47" i="26" a="1"/>
  <c r="L47" i="26" s="1"/>
  <c r="L48" i="26" a="1"/>
  <c r="L48" i="26" s="1"/>
  <c r="L49" i="26" a="1"/>
  <c r="L49" i="26" s="1"/>
  <c r="L50" i="26" a="1"/>
  <c r="L50" i="26" s="1"/>
  <c r="L51" i="26" a="1"/>
  <c r="L51" i="26" s="1"/>
  <c r="L52" i="26" a="1"/>
  <c r="L52" i="26" s="1"/>
  <c r="L53" i="26" a="1"/>
  <c r="L53" i="26" s="1"/>
  <c r="L54" i="26" a="1"/>
  <c r="L54" i="26" s="1"/>
  <c r="L55" i="26" a="1"/>
  <c r="L55" i="26" s="1"/>
  <c r="L56" i="26" a="1"/>
  <c r="L56" i="26" s="1"/>
  <c r="L57" i="26" a="1"/>
  <c r="L57" i="26" s="1"/>
  <c r="L58" i="26" a="1"/>
  <c r="L58" i="26" s="1"/>
  <c r="L59" i="26" a="1"/>
  <c r="L59" i="26" s="1"/>
  <c r="L60" i="26" a="1"/>
  <c r="L60" i="26" s="1"/>
  <c r="L61" i="26" a="1"/>
  <c r="L61" i="26" s="1"/>
  <c r="L62" i="26" a="1"/>
  <c r="L62" i="26" s="1"/>
  <c r="L63" i="26" a="1"/>
  <c r="L63" i="26" s="1"/>
  <c r="L64" i="26" a="1"/>
  <c r="L64" i="26" s="1"/>
  <c r="L65" i="26" a="1"/>
  <c r="L65" i="26" s="1"/>
  <c r="L66" i="26" a="1"/>
  <c r="L66" i="26" s="1"/>
  <c r="L67" i="26" a="1"/>
  <c r="L67" i="26" s="1"/>
  <c r="L68" i="26" a="1"/>
  <c r="L68" i="26" s="1"/>
  <c r="L69" i="26" a="1"/>
  <c r="L69" i="26" s="1"/>
  <c r="L70" i="26" a="1"/>
  <c r="L70" i="26" s="1"/>
  <c r="AG84" i="25" l="1"/>
  <c r="AG85" i="25"/>
  <c r="AG86" i="25"/>
  <c r="AG87" i="25"/>
  <c r="C35" i="25"/>
  <c r="D35" i="25"/>
  <c r="E35" i="25"/>
  <c r="F35" i="25"/>
  <c r="G35" i="25"/>
  <c r="H35" i="25"/>
  <c r="I35" i="25"/>
  <c r="J35" i="25"/>
  <c r="L35" i="25"/>
  <c r="M35" i="25"/>
  <c r="C36" i="25"/>
  <c r="D36" i="25"/>
  <c r="E36" i="25"/>
  <c r="F36" i="25"/>
  <c r="G36" i="25"/>
  <c r="H36" i="25"/>
  <c r="I36" i="25"/>
  <c r="J36" i="25"/>
  <c r="L36" i="25"/>
  <c r="M36" i="25"/>
  <c r="C3" i="25"/>
  <c r="D3" i="25"/>
  <c r="E3" i="25"/>
  <c r="F3" i="25"/>
  <c r="G3" i="25"/>
  <c r="H3" i="25"/>
  <c r="I3" i="25"/>
  <c r="J3" i="25"/>
  <c r="L3" i="25"/>
  <c r="M3" i="25"/>
  <c r="C37" i="25"/>
  <c r="D37" i="25"/>
  <c r="E37" i="25"/>
  <c r="F37" i="25"/>
  <c r="G37" i="25"/>
  <c r="H37" i="25"/>
  <c r="I37" i="25"/>
  <c r="J37" i="25"/>
  <c r="L37" i="25"/>
  <c r="M37" i="25"/>
  <c r="C4" i="25"/>
  <c r="D4" i="25"/>
  <c r="E4" i="25"/>
  <c r="F4" i="25"/>
  <c r="G4" i="25"/>
  <c r="H4" i="25"/>
  <c r="I4" i="25"/>
  <c r="J4" i="25"/>
  <c r="L4" i="25"/>
  <c r="M4" i="25"/>
  <c r="C5" i="25"/>
  <c r="D5" i="25"/>
  <c r="E5" i="25"/>
  <c r="F5" i="25"/>
  <c r="G5" i="25"/>
  <c r="H5" i="25"/>
  <c r="I5" i="25"/>
  <c r="J5" i="25"/>
  <c r="L5" i="25"/>
  <c r="M5" i="25"/>
  <c r="C6" i="25"/>
  <c r="D6" i="25"/>
  <c r="E6" i="25"/>
  <c r="F6" i="25"/>
  <c r="G6" i="25"/>
  <c r="H6" i="25"/>
  <c r="I6" i="25"/>
  <c r="J6" i="25"/>
  <c r="L6" i="25"/>
  <c r="M6" i="25"/>
  <c r="C38" i="25"/>
  <c r="D38" i="25"/>
  <c r="E38" i="25"/>
  <c r="F38" i="25"/>
  <c r="G38" i="25"/>
  <c r="H38" i="25"/>
  <c r="I38" i="25"/>
  <c r="J38" i="25"/>
  <c r="L38" i="25"/>
  <c r="M38" i="25"/>
  <c r="C39" i="25"/>
  <c r="D39" i="25"/>
  <c r="E39" i="25"/>
  <c r="F39" i="25"/>
  <c r="G39" i="25"/>
  <c r="H39" i="25"/>
  <c r="I39" i="25"/>
  <c r="J39" i="25"/>
  <c r="L39" i="25"/>
  <c r="M39" i="25"/>
  <c r="C7" i="25"/>
  <c r="D7" i="25"/>
  <c r="E7" i="25"/>
  <c r="F7" i="25"/>
  <c r="G7" i="25"/>
  <c r="H7" i="25"/>
  <c r="I7" i="25"/>
  <c r="J7" i="25"/>
  <c r="L7" i="25"/>
  <c r="M7" i="25"/>
  <c r="C40" i="25"/>
  <c r="D40" i="25"/>
  <c r="E40" i="25"/>
  <c r="F40" i="25"/>
  <c r="G40" i="25"/>
  <c r="H40" i="25"/>
  <c r="I40" i="25"/>
  <c r="J40" i="25"/>
  <c r="L40" i="25"/>
  <c r="M40" i="25"/>
  <c r="C41" i="25"/>
  <c r="D41" i="25"/>
  <c r="E41" i="25"/>
  <c r="F41" i="25"/>
  <c r="G41" i="25"/>
  <c r="H41" i="25"/>
  <c r="I41" i="25"/>
  <c r="J41" i="25"/>
  <c r="L41" i="25"/>
  <c r="M41" i="25"/>
  <c r="C8" i="25"/>
  <c r="D8" i="25"/>
  <c r="E8" i="25"/>
  <c r="F8" i="25"/>
  <c r="G8" i="25"/>
  <c r="H8" i="25"/>
  <c r="I8" i="25"/>
  <c r="J8" i="25"/>
  <c r="L8" i="25"/>
  <c r="M8" i="25"/>
  <c r="C42" i="25"/>
  <c r="D42" i="25"/>
  <c r="E42" i="25"/>
  <c r="F42" i="25"/>
  <c r="G42" i="25"/>
  <c r="H42" i="25"/>
  <c r="I42" i="25"/>
  <c r="J42" i="25"/>
  <c r="L42" i="25"/>
  <c r="M42" i="25"/>
  <c r="C43" i="25"/>
  <c r="D43" i="25"/>
  <c r="E43" i="25"/>
  <c r="F43" i="25"/>
  <c r="G43" i="25"/>
  <c r="H43" i="25"/>
  <c r="I43" i="25"/>
  <c r="J43" i="25"/>
  <c r="L43" i="25"/>
  <c r="M43" i="25"/>
  <c r="C9" i="25"/>
  <c r="D9" i="25"/>
  <c r="E9" i="25"/>
  <c r="F9" i="25"/>
  <c r="G9" i="25"/>
  <c r="H9" i="25"/>
  <c r="I9" i="25"/>
  <c r="J9" i="25"/>
  <c r="L9" i="25"/>
  <c r="M9" i="25"/>
  <c r="C44" i="25"/>
  <c r="D44" i="25"/>
  <c r="E44" i="25"/>
  <c r="F44" i="25"/>
  <c r="G44" i="25"/>
  <c r="H44" i="25"/>
  <c r="I44" i="25"/>
  <c r="J44" i="25"/>
  <c r="L44" i="25"/>
  <c r="M44" i="25"/>
  <c r="C45" i="25"/>
  <c r="D45" i="25"/>
  <c r="E45" i="25"/>
  <c r="F45" i="25"/>
  <c r="G45" i="25"/>
  <c r="H45" i="25"/>
  <c r="I45" i="25"/>
  <c r="J45" i="25"/>
  <c r="L45" i="25"/>
  <c r="M45" i="25"/>
  <c r="C46" i="25"/>
  <c r="D46" i="25"/>
  <c r="E46" i="25"/>
  <c r="F46" i="25"/>
  <c r="G46" i="25"/>
  <c r="H46" i="25"/>
  <c r="I46" i="25"/>
  <c r="J46" i="25"/>
  <c r="L46" i="25"/>
  <c r="M46" i="25"/>
  <c r="C10" i="25"/>
  <c r="D10" i="25"/>
  <c r="E10" i="25"/>
  <c r="F10" i="25"/>
  <c r="G10" i="25"/>
  <c r="H10" i="25"/>
  <c r="I10" i="25"/>
  <c r="J10" i="25"/>
  <c r="L10" i="25"/>
  <c r="M10" i="25"/>
  <c r="C11" i="25"/>
  <c r="D11" i="25"/>
  <c r="E11" i="25"/>
  <c r="F11" i="25"/>
  <c r="G11" i="25"/>
  <c r="H11" i="25"/>
  <c r="I11" i="25"/>
  <c r="J11" i="25"/>
  <c r="L11" i="25"/>
  <c r="M11" i="25"/>
  <c r="C12" i="25"/>
  <c r="D12" i="25"/>
  <c r="E12" i="25"/>
  <c r="F12" i="25"/>
  <c r="G12" i="25"/>
  <c r="H12" i="25"/>
  <c r="I12" i="25"/>
  <c r="J12" i="25"/>
  <c r="L12" i="25"/>
  <c r="M12" i="25"/>
  <c r="C13" i="25"/>
  <c r="D13" i="25"/>
  <c r="E13" i="25"/>
  <c r="F13" i="25"/>
  <c r="G13" i="25"/>
  <c r="H13" i="25"/>
  <c r="I13" i="25"/>
  <c r="J13" i="25"/>
  <c r="L13" i="25"/>
  <c r="M13" i="25"/>
  <c r="C47" i="25"/>
  <c r="D47" i="25"/>
  <c r="E47" i="25"/>
  <c r="F47" i="25"/>
  <c r="G47" i="25"/>
  <c r="H47" i="25"/>
  <c r="I47" i="25"/>
  <c r="J47" i="25"/>
  <c r="L47" i="25"/>
  <c r="M47" i="25"/>
  <c r="C14" i="25"/>
  <c r="D14" i="25"/>
  <c r="E14" i="25"/>
  <c r="F14" i="25"/>
  <c r="G14" i="25"/>
  <c r="H14" i="25"/>
  <c r="I14" i="25"/>
  <c r="J14" i="25"/>
  <c r="L14" i="25"/>
  <c r="M14" i="25"/>
  <c r="C48" i="25"/>
  <c r="D48" i="25"/>
  <c r="E48" i="25"/>
  <c r="F48" i="25"/>
  <c r="G48" i="25"/>
  <c r="H48" i="25"/>
  <c r="I48" i="25"/>
  <c r="J48" i="25"/>
  <c r="L48" i="25"/>
  <c r="M48" i="25"/>
  <c r="C15" i="25"/>
  <c r="D15" i="25"/>
  <c r="E15" i="25"/>
  <c r="F15" i="25"/>
  <c r="G15" i="25"/>
  <c r="H15" i="25"/>
  <c r="I15" i="25"/>
  <c r="J15" i="25"/>
  <c r="L15" i="25"/>
  <c r="M15" i="25"/>
  <c r="C49" i="25"/>
  <c r="D49" i="25"/>
  <c r="E49" i="25"/>
  <c r="F49" i="25"/>
  <c r="G49" i="25"/>
  <c r="H49" i="25"/>
  <c r="I49" i="25"/>
  <c r="J49" i="25"/>
  <c r="L49" i="25"/>
  <c r="M49" i="25"/>
  <c r="C16" i="25"/>
  <c r="D16" i="25"/>
  <c r="E16" i="25"/>
  <c r="F16" i="25"/>
  <c r="G16" i="25"/>
  <c r="H16" i="25"/>
  <c r="I16" i="25"/>
  <c r="J16" i="25"/>
  <c r="L16" i="25"/>
  <c r="M16" i="25"/>
  <c r="C17" i="25"/>
  <c r="D17" i="25"/>
  <c r="E17" i="25"/>
  <c r="F17" i="25"/>
  <c r="G17" i="25"/>
  <c r="H17" i="25"/>
  <c r="I17" i="25"/>
  <c r="J17" i="25"/>
  <c r="L17" i="25"/>
  <c r="M17" i="25"/>
  <c r="C18" i="25"/>
  <c r="D18" i="25"/>
  <c r="E18" i="25"/>
  <c r="F18" i="25"/>
  <c r="G18" i="25"/>
  <c r="H18" i="25"/>
  <c r="I18" i="25"/>
  <c r="J18" i="25"/>
  <c r="L18" i="25"/>
  <c r="M18" i="25"/>
  <c r="C50" i="25"/>
  <c r="D50" i="25"/>
  <c r="E50" i="25"/>
  <c r="F50" i="25"/>
  <c r="G50" i="25"/>
  <c r="H50" i="25"/>
  <c r="I50" i="25"/>
  <c r="J50" i="25"/>
  <c r="L50" i="25"/>
  <c r="M50" i="25"/>
  <c r="C51" i="25"/>
  <c r="D51" i="25"/>
  <c r="E51" i="25"/>
  <c r="F51" i="25"/>
  <c r="G51" i="25"/>
  <c r="H51" i="25"/>
  <c r="I51" i="25"/>
  <c r="J51" i="25"/>
  <c r="L51" i="25"/>
  <c r="M51" i="25"/>
  <c r="C52" i="25"/>
  <c r="D52" i="25"/>
  <c r="E52" i="25"/>
  <c r="F52" i="25"/>
  <c r="G52" i="25"/>
  <c r="H52" i="25"/>
  <c r="I52" i="25"/>
  <c r="J52" i="25"/>
  <c r="L52" i="25"/>
  <c r="M52" i="25"/>
  <c r="C19" i="25"/>
  <c r="D19" i="25"/>
  <c r="E19" i="25"/>
  <c r="F19" i="25"/>
  <c r="G19" i="25"/>
  <c r="H19" i="25"/>
  <c r="I19" i="25"/>
  <c r="J19" i="25"/>
  <c r="L19" i="25"/>
  <c r="M19" i="25"/>
  <c r="C53" i="25"/>
  <c r="D53" i="25"/>
  <c r="E53" i="25"/>
  <c r="F53" i="25"/>
  <c r="G53" i="25"/>
  <c r="H53" i="25"/>
  <c r="I53" i="25"/>
  <c r="J53" i="25"/>
  <c r="L53" i="25"/>
  <c r="M53" i="25"/>
  <c r="C54" i="25"/>
  <c r="D54" i="25"/>
  <c r="E54" i="25"/>
  <c r="F54" i="25"/>
  <c r="G54" i="25"/>
  <c r="H54" i="25"/>
  <c r="I54" i="25"/>
  <c r="J54" i="25"/>
  <c r="L54" i="25"/>
  <c r="M54" i="25"/>
  <c r="C55" i="25"/>
  <c r="D55" i="25"/>
  <c r="E55" i="25"/>
  <c r="F55" i="25"/>
  <c r="G55" i="25"/>
  <c r="H55" i="25"/>
  <c r="I55" i="25"/>
  <c r="J55" i="25"/>
  <c r="L55" i="25"/>
  <c r="M55" i="25"/>
  <c r="C20" i="25"/>
  <c r="D20" i="25"/>
  <c r="E20" i="25"/>
  <c r="F20" i="25"/>
  <c r="G20" i="25"/>
  <c r="H20" i="25"/>
  <c r="I20" i="25"/>
  <c r="J20" i="25"/>
  <c r="L20" i="25"/>
  <c r="M20" i="25"/>
  <c r="C56" i="25"/>
  <c r="D56" i="25"/>
  <c r="E56" i="25"/>
  <c r="F56" i="25"/>
  <c r="G56" i="25"/>
  <c r="H56" i="25"/>
  <c r="I56" i="25"/>
  <c r="J56" i="25"/>
  <c r="L56" i="25"/>
  <c r="M56" i="25"/>
  <c r="C57" i="25"/>
  <c r="D57" i="25"/>
  <c r="E57" i="25"/>
  <c r="F57" i="25"/>
  <c r="G57" i="25"/>
  <c r="H57" i="25"/>
  <c r="I57" i="25"/>
  <c r="J57" i="25"/>
  <c r="L57" i="25"/>
  <c r="M57" i="25"/>
  <c r="C21" i="25"/>
  <c r="D21" i="25"/>
  <c r="E21" i="25"/>
  <c r="F21" i="25"/>
  <c r="G21" i="25"/>
  <c r="H21" i="25"/>
  <c r="I21" i="25"/>
  <c r="J21" i="25"/>
  <c r="L21" i="25"/>
  <c r="M21" i="25"/>
  <c r="C58" i="25"/>
  <c r="D58" i="25"/>
  <c r="E58" i="25"/>
  <c r="F58" i="25"/>
  <c r="G58" i="25"/>
  <c r="H58" i="25"/>
  <c r="I58" i="25"/>
  <c r="J58" i="25"/>
  <c r="L58" i="25"/>
  <c r="M58" i="25"/>
  <c r="C59" i="25"/>
  <c r="D59" i="25"/>
  <c r="E59" i="25"/>
  <c r="F59" i="25"/>
  <c r="G59" i="25"/>
  <c r="H59" i="25"/>
  <c r="I59" i="25"/>
  <c r="J59" i="25"/>
  <c r="L59" i="25"/>
  <c r="M59" i="25"/>
  <c r="C22" i="25"/>
  <c r="D22" i="25"/>
  <c r="E22" i="25"/>
  <c r="F22" i="25"/>
  <c r="G22" i="25"/>
  <c r="H22" i="25"/>
  <c r="I22" i="25"/>
  <c r="J22" i="25"/>
  <c r="L22" i="25"/>
  <c r="M22" i="25"/>
  <c r="C23" i="25"/>
  <c r="D23" i="25"/>
  <c r="E23" i="25"/>
  <c r="F23" i="25"/>
  <c r="G23" i="25"/>
  <c r="H23" i="25"/>
  <c r="I23" i="25"/>
  <c r="J23" i="25"/>
  <c r="L23" i="25"/>
  <c r="M23" i="25"/>
  <c r="C60" i="25"/>
  <c r="D60" i="25"/>
  <c r="E60" i="25"/>
  <c r="F60" i="25"/>
  <c r="G60" i="25"/>
  <c r="H60" i="25"/>
  <c r="I60" i="25"/>
  <c r="J60" i="25"/>
  <c r="L60" i="25"/>
  <c r="M60" i="25"/>
  <c r="C61" i="25"/>
  <c r="D61" i="25"/>
  <c r="E61" i="25"/>
  <c r="F61" i="25"/>
  <c r="G61" i="25"/>
  <c r="H61" i="25"/>
  <c r="I61" i="25"/>
  <c r="J61" i="25"/>
  <c r="L61" i="25"/>
  <c r="M61" i="25"/>
  <c r="C24" i="25"/>
  <c r="D24" i="25"/>
  <c r="E24" i="25"/>
  <c r="F24" i="25"/>
  <c r="G24" i="25"/>
  <c r="H24" i="25"/>
  <c r="I24" i="25"/>
  <c r="J24" i="25"/>
  <c r="L24" i="25"/>
  <c r="M24" i="25"/>
  <c r="C25" i="25"/>
  <c r="D25" i="25"/>
  <c r="E25" i="25"/>
  <c r="F25" i="25"/>
  <c r="G25" i="25"/>
  <c r="H25" i="25"/>
  <c r="I25" i="25"/>
  <c r="J25" i="25"/>
  <c r="L25" i="25"/>
  <c r="M25" i="25"/>
  <c r="C26" i="25"/>
  <c r="D26" i="25"/>
  <c r="E26" i="25"/>
  <c r="F26" i="25"/>
  <c r="G26" i="25"/>
  <c r="H26" i="25"/>
  <c r="I26" i="25"/>
  <c r="J26" i="25"/>
  <c r="L26" i="25"/>
  <c r="M26" i="25"/>
  <c r="C62" i="25"/>
  <c r="D62" i="25"/>
  <c r="E62" i="25"/>
  <c r="F62" i="25"/>
  <c r="G62" i="25"/>
  <c r="H62" i="25"/>
  <c r="I62" i="25"/>
  <c r="J62" i="25"/>
  <c r="L62" i="25"/>
  <c r="M62" i="25"/>
  <c r="C27" i="25"/>
  <c r="D27" i="25"/>
  <c r="E27" i="25"/>
  <c r="F27" i="25"/>
  <c r="G27" i="25"/>
  <c r="H27" i="25"/>
  <c r="I27" i="25"/>
  <c r="J27" i="25"/>
  <c r="L27" i="25"/>
  <c r="M27" i="25"/>
  <c r="C28" i="25"/>
  <c r="D28" i="25"/>
  <c r="E28" i="25"/>
  <c r="F28" i="25"/>
  <c r="G28" i="25"/>
  <c r="H28" i="25"/>
  <c r="I28" i="25"/>
  <c r="J28" i="25"/>
  <c r="L28" i="25"/>
  <c r="M28" i="25"/>
  <c r="C29" i="25"/>
  <c r="D29" i="25"/>
  <c r="E29" i="25"/>
  <c r="F29" i="25"/>
  <c r="G29" i="25"/>
  <c r="H29" i="25"/>
  <c r="I29" i="25"/>
  <c r="J29" i="25"/>
  <c r="L29" i="25"/>
  <c r="M29" i="25"/>
  <c r="C30" i="25"/>
  <c r="D30" i="25"/>
  <c r="E30" i="25"/>
  <c r="F30" i="25"/>
  <c r="G30" i="25"/>
  <c r="H30" i="25"/>
  <c r="I30" i="25"/>
  <c r="J30" i="25"/>
  <c r="L30" i="25"/>
  <c r="M30" i="25"/>
  <c r="C31" i="25"/>
  <c r="D31" i="25"/>
  <c r="E31" i="25"/>
  <c r="F31" i="25"/>
  <c r="G31" i="25"/>
  <c r="H31" i="25"/>
  <c r="I31" i="25"/>
  <c r="J31" i="25"/>
  <c r="L31" i="25"/>
  <c r="M31" i="25"/>
  <c r="C63" i="25"/>
  <c r="D63" i="25"/>
  <c r="E63" i="25"/>
  <c r="F63" i="25"/>
  <c r="G63" i="25"/>
  <c r="H63" i="25"/>
  <c r="I63" i="25"/>
  <c r="J63" i="25"/>
  <c r="L63" i="25"/>
  <c r="M63" i="25"/>
  <c r="C64" i="25"/>
  <c r="D64" i="25"/>
  <c r="E64" i="25"/>
  <c r="F64" i="25"/>
  <c r="G64" i="25"/>
  <c r="H64" i="25"/>
  <c r="I64" i="25"/>
  <c r="J64" i="25"/>
  <c r="L64" i="25"/>
  <c r="M64" i="25"/>
  <c r="C32" i="25"/>
  <c r="D32" i="25"/>
  <c r="E32" i="25"/>
  <c r="F32" i="25"/>
  <c r="G32" i="25"/>
  <c r="H32" i="25"/>
  <c r="I32" i="25"/>
  <c r="J32" i="25"/>
  <c r="L32" i="25"/>
  <c r="M32" i="25"/>
  <c r="C33" i="25"/>
  <c r="D33" i="25"/>
  <c r="E33" i="25"/>
  <c r="F33" i="25"/>
  <c r="G33" i="25"/>
  <c r="H33" i="25"/>
  <c r="I33" i="25"/>
  <c r="J33" i="25"/>
  <c r="L33" i="25"/>
  <c r="M33" i="25"/>
  <c r="C65" i="25"/>
  <c r="D65" i="25"/>
  <c r="E65" i="25"/>
  <c r="F65" i="25"/>
  <c r="G65" i="25"/>
  <c r="H65" i="25"/>
  <c r="I65" i="25"/>
  <c r="J65" i="25"/>
  <c r="L65" i="25"/>
  <c r="M65" i="25"/>
  <c r="C34" i="25"/>
  <c r="D34" i="25"/>
  <c r="E34" i="25"/>
  <c r="F34" i="25"/>
  <c r="G34" i="25"/>
  <c r="H34" i="25"/>
  <c r="I34" i="25"/>
  <c r="J34" i="25"/>
  <c r="L34" i="25"/>
  <c r="M34" i="25"/>
  <c r="C66" i="25"/>
  <c r="D66" i="25"/>
  <c r="E66" i="25"/>
  <c r="F66" i="25"/>
  <c r="G66" i="25"/>
  <c r="H66" i="25"/>
  <c r="I66" i="25"/>
  <c r="J66" i="25"/>
  <c r="L66" i="25"/>
  <c r="M66" i="25"/>
  <c r="C67" i="25"/>
  <c r="D67" i="25"/>
  <c r="E67" i="25"/>
  <c r="F67" i="25"/>
  <c r="G67" i="25"/>
  <c r="H67" i="25"/>
  <c r="I67" i="25"/>
  <c r="J67" i="25"/>
  <c r="L67" i="25"/>
  <c r="M67" i="25"/>
  <c r="C68" i="25"/>
  <c r="D68" i="25"/>
  <c r="E68" i="25"/>
  <c r="F68" i="25"/>
  <c r="G68" i="25"/>
  <c r="H68" i="25"/>
  <c r="I68" i="25"/>
  <c r="J68" i="25"/>
  <c r="L68" i="25"/>
  <c r="M68" i="25"/>
  <c r="C69" i="25"/>
  <c r="D69" i="25"/>
  <c r="E69" i="25"/>
  <c r="F69" i="25"/>
  <c r="G69" i="25"/>
  <c r="H69" i="25"/>
  <c r="I69" i="25"/>
  <c r="J69" i="25"/>
  <c r="L69" i="25"/>
  <c r="M69" i="25"/>
  <c r="C70" i="25"/>
  <c r="D70" i="25"/>
  <c r="E70" i="25"/>
  <c r="F70" i="25"/>
  <c r="G70" i="25"/>
  <c r="H70" i="25"/>
  <c r="I70" i="25"/>
  <c r="J70" i="25"/>
  <c r="L70" i="25"/>
  <c r="M70" i="25"/>
  <c r="C71" i="25"/>
  <c r="D71" i="25"/>
  <c r="E71" i="25"/>
  <c r="F71" i="25"/>
  <c r="G71" i="25"/>
  <c r="H71" i="25"/>
  <c r="I71" i="25"/>
  <c r="J71" i="25"/>
  <c r="L71" i="25"/>
  <c r="M71" i="25"/>
  <c r="C72" i="25"/>
  <c r="D72" i="25"/>
  <c r="E72" i="25"/>
  <c r="F72" i="25"/>
  <c r="G72" i="25"/>
  <c r="H72" i="25"/>
  <c r="I72" i="25"/>
  <c r="J72" i="25"/>
  <c r="L72" i="25"/>
  <c r="M72" i="25"/>
  <c r="C73" i="25"/>
  <c r="D73" i="25"/>
  <c r="E73" i="25"/>
  <c r="F73" i="25"/>
  <c r="G73" i="25"/>
  <c r="H73" i="25"/>
  <c r="I73" i="25"/>
  <c r="J73" i="25"/>
  <c r="L73" i="25"/>
  <c r="M73" i="25"/>
  <c r="C74" i="25"/>
  <c r="D74" i="25"/>
  <c r="E74" i="25"/>
  <c r="F74" i="25"/>
  <c r="G74" i="25"/>
  <c r="H74" i="25"/>
  <c r="I74" i="25"/>
  <c r="J74" i="25"/>
  <c r="L74" i="25"/>
  <c r="M74" i="25"/>
  <c r="C75" i="25"/>
  <c r="D75" i="25"/>
  <c r="E75" i="25"/>
  <c r="F75" i="25"/>
  <c r="G75" i="25"/>
  <c r="H75" i="25"/>
  <c r="I75" i="25"/>
  <c r="J75" i="25"/>
  <c r="L75" i="25"/>
  <c r="M75" i="25"/>
  <c r="C76" i="25"/>
  <c r="D76" i="25"/>
  <c r="E76" i="25"/>
  <c r="F76" i="25"/>
  <c r="G76" i="25"/>
  <c r="H76" i="25"/>
  <c r="I76" i="25"/>
  <c r="J76" i="25"/>
  <c r="L76" i="25"/>
  <c r="M76" i="25"/>
  <c r="C77" i="25"/>
  <c r="D77" i="25"/>
  <c r="E77" i="25"/>
  <c r="F77" i="25"/>
  <c r="G77" i="25"/>
  <c r="H77" i="25"/>
  <c r="I77" i="25"/>
  <c r="J77" i="25"/>
  <c r="L77" i="25"/>
  <c r="M77" i="25"/>
  <c r="C78" i="25"/>
  <c r="D78" i="25"/>
  <c r="E78" i="25"/>
  <c r="F78" i="25"/>
  <c r="G78" i="25"/>
  <c r="H78" i="25"/>
  <c r="I78" i="25"/>
  <c r="J78" i="25"/>
  <c r="L78" i="25"/>
  <c r="M78" i="25"/>
  <c r="C79" i="25"/>
  <c r="D79" i="25"/>
  <c r="E79" i="25"/>
  <c r="F79" i="25"/>
  <c r="G79" i="25"/>
  <c r="H79" i="25"/>
  <c r="I79" i="25"/>
  <c r="J79" i="25"/>
  <c r="L79" i="25"/>
  <c r="M79" i="25"/>
  <c r="C80" i="25"/>
  <c r="D80" i="25"/>
  <c r="E80" i="25"/>
  <c r="F80" i="25"/>
  <c r="G80" i="25"/>
  <c r="H80" i="25"/>
  <c r="I80" i="25"/>
  <c r="J80" i="25"/>
  <c r="L80" i="25"/>
  <c r="M80" i="25"/>
  <c r="C81" i="25"/>
  <c r="D81" i="25"/>
  <c r="E81" i="25"/>
  <c r="F81" i="25"/>
  <c r="G81" i="25"/>
  <c r="H81" i="25"/>
  <c r="I81" i="25"/>
  <c r="J81" i="25"/>
  <c r="L81" i="25"/>
  <c r="M81" i="25"/>
  <c r="C82" i="25"/>
  <c r="D82" i="25"/>
  <c r="E82" i="25"/>
  <c r="F82" i="25"/>
  <c r="G82" i="25"/>
  <c r="H82" i="25"/>
  <c r="I82" i="25"/>
  <c r="J82" i="25"/>
  <c r="L82" i="25"/>
  <c r="M82" i="25"/>
  <c r="O82" i="25"/>
  <c r="C83" i="25"/>
  <c r="D83" i="25"/>
  <c r="E83" i="25"/>
  <c r="F83" i="25"/>
  <c r="G83" i="25"/>
  <c r="H83" i="25"/>
  <c r="I83" i="25"/>
  <c r="J83" i="25"/>
  <c r="L83" i="25"/>
  <c r="M83" i="25"/>
  <c r="O83" i="25"/>
  <c r="C84" i="25"/>
  <c r="D84" i="25"/>
  <c r="E84" i="25"/>
  <c r="F84" i="25"/>
  <c r="G84" i="25"/>
  <c r="H84" i="25"/>
  <c r="I84" i="25"/>
  <c r="J84" i="25"/>
  <c r="K84" i="25"/>
  <c r="L84" i="25"/>
  <c r="M84" i="25"/>
  <c r="N84" i="25"/>
  <c r="O84" i="25"/>
  <c r="C85" i="25"/>
  <c r="D85" i="25"/>
  <c r="E85" i="25"/>
  <c r="F85" i="25"/>
  <c r="G85" i="25"/>
  <c r="H85" i="25"/>
  <c r="I85" i="25"/>
  <c r="J85" i="25"/>
  <c r="K85" i="25"/>
  <c r="L85" i="25"/>
  <c r="M85" i="25"/>
  <c r="N85" i="25"/>
  <c r="O85" i="25"/>
  <c r="C86" i="25"/>
  <c r="D86" i="25"/>
  <c r="E86" i="25"/>
  <c r="F86" i="25"/>
  <c r="G86" i="25"/>
  <c r="H86" i="25"/>
  <c r="I86" i="25"/>
  <c r="J86" i="25"/>
  <c r="K86" i="25"/>
  <c r="L86" i="25"/>
  <c r="M86" i="25"/>
  <c r="N86" i="25"/>
  <c r="O86" i="25"/>
  <c r="C87" i="25"/>
  <c r="D87" i="25"/>
  <c r="E87" i="25"/>
  <c r="F87" i="25"/>
  <c r="G87" i="25"/>
  <c r="H87" i="25"/>
  <c r="I87" i="25"/>
  <c r="J87" i="25"/>
  <c r="K87" i="25"/>
  <c r="L87" i="25"/>
  <c r="M87" i="25"/>
  <c r="N87" i="25"/>
  <c r="O87" i="25"/>
  <c r="D2" i="25"/>
  <c r="E2" i="25"/>
  <c r="F2" i="25"/>
  <c r="G2" i="25"/>
  <c r="H2" i="25"/>
  <c r="I2" i="25"/>
  <c r="J2" i="25"/>
  <c r="L2" i="25"/>
  <c r="M2" i="25"/>
  <c r="P2" i="25"/>
  <c r="O60" i="12" l="1"/>
  <c r="O55" i="12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32" i="26"/>
  <c r="M33" i="26"/>
  <c r="M34" i="26"/>
  <c r="M35" i="26"/>
  <c r="M36" i="26"/>
  <c r="M37" i="26"/>
  <c r="M38" i="26"/>
  <c r="M39" i="26"/>
  <c r="M40" i="26"/>
  <c r="M41" i="26"/>
  <c r="M42" i="26"/>
  <c r="M43" i="26"/>
  <c r="M44" i="26"/>
  <c r="M45" i="26"/>
  <c r="M46" i="26"/>
  <c r="M47" i="26"/>
  <c r="M48" i="26"/>
  <c r="M49" i="26"/>
  <c r="M50" i="26"/>
  <c r="M51" i="26"/>
  <c r="M52" i="26"/>
  <c r="M53" i="26"/>
  <c r="M54" i="26"/>
  <c r="M55" i="26"/>
  <c r="M56" i="26"/>
  <c r="M57" i="26"/>
  <c r="M58" i="26"/>
  <c r="M59" i="26"/>
  <c r="M60" i="26"/>
  <c r="M61" i="26"/>
  <c r="M62" i="26"/>
  <c r="M63" i="26"/>
  <c r="M64" i="26"/>
  <c r="M65" i="26"/>
  <c r="M66" i="26"/>
  <c r="M67" i="26"/>
  <c r="M68" i="26"/>
  <c r="M69" i="26"/>
  <c r="M70" i="26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K55" i="12" l="1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6" i="12"/>
  <c r="K57" i="12"/>
  <c r="K58" i="12"/>
  <c r="K59" i="12"/>
  <c r="K60" i="12"/>
  <c r="K61" i="12"/>
  <c r="K62" i="12"/>
  <c r="K63" i="12"/>
  <c r="K64" i="12"/>
  <c r="K65" i="12"/>
  <c r="K66" i="12"/>
  <c r="K63" i="25" s="1"/>
  <c r="K67" i="12"/>
  <c r="K64" i="25" s="1"/>
  <c r="K68" i="12"/>
  <c r="K69" i="12"/>
  <c r="K33" i="25" s="1"/>
  <c r="K70" i="12"/>
  <c r="K65" i="25" s="1"/>
  <c r="K71" i="12"/>
  <c r="K72" i="12"/>
  <c r="K66" i="25" s="1"/>
  <c r="K73" i="12"/>
  <c r="K67" i="25" s="1"/>
  <c r="K74" i="12"/>
  <c r="K68" i="25" s="1"/>
  <c r="K75" i="12"/>
  <c r="K69" i="25" s="1"/>
  <c r="K76" i="12"/>
  <c r="K70" i="25" s="1"/>
  <c r="K77" i="12"/>
  <c r="K71" i="25" s="1"/>
  <c r="K78" i="12"/>
  <c r="K72" i="25" s="1"/>
  <c r="K79" i="12"/>
  <c r="K73" i="25" s="1"/>
  <c r="K80" i="12"/>
  <c r="K74" i="25" s="1"/>
  <c r="K81" i="12"/>
  <c r="K75" i="25" s="1"/>
  <c r="K82" i="12"/>
  <c r="K76" i="25" s="1"/>
  <c r="K83" i="12"/>
  <c r="K77" i="25" s="1"/>
  <c r="K84" i="12"/>
  <c r="K78" i="25" s="1"/>
  <c r="K85" i="12"/>
  <c r="K79" i="25" s="1"/>
  <c r="K86" i="12"/>
  <c r="K80" i="25" s="1"/>
  <c r="K87" i="12"/>
  <c r="K81" i="25" s="1"/>
  <c r="K88" i="12"/>
  <c r="K82" i="25" s="1"/>
  <c r="K89" i="12"/>
  <c r="K83" i="25" s="1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O9" i="12"/>
  <c r="O10" i="12"/>
  <c r="O11" i="12"/>
  <c r="O12" i="12"/>
  <c r="O13" i="12"/>
  <c r="O14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7" i="12"/>
  <c r="O38" i="12"/>
  <c r="O39" i="12"/>
  <c r="O40" i="12"/>
  <c r="O41" i="12"/>
  <c r="O42" i="12"/>
  <c r="O43" i="12"/>
  <c r="O44" i="12"/>
  <c r="O45" i="12"/>
  <c r="O46" i="12"/>
  <c r="O47" i="12"/>
  <c r="O49" i="12"/>
  <c r="O50" i="12"/>
  <c r="O51" i="12"/>
  <c r="O52" i="12"/>
  <c r="O53" i="12"/>
  <c r="O54" i="12"/>
  <c r="O56" i="12"/>
  <c r="O57" i="12"/>
  <c r="O58" i="12"/>
  <c r="O59" i="12"/>
  <c r="O61" i="12"/>
  <c r="O62" i="12"/>
  <c r="O63" i="12"/>
  <c r="O64" i="12"/>
  <c r="O65" i="12"/>
  <c r="O66" i="12"/>
  <c r="O63" i="25" s="1"/>
  <c r="O67" i="12"/>
  <c r="O64" i="25" s="1"/>
  <c r="O68" i="12"/>
  <c r="O32" i="25" s="1"/>
  <c r="O69" i="12"/>
  <c r="O33" i="25" s="1"/>
  <c r="O70" i="12"/>
  <c r="O65" i="25" s="1"/>
  <c r="O71" i="12"/>
  <c r="O34" i="25" s="1"/>
  <c r="O72" i="12"/>
  <c r="O66" i="25" s="1"/>
  <c r="O67" i="25"/>
  <c r="K55" i="25" l="1"/>
  <c r="K34" i="25"/>
  <c r="K32" i="25"/>
  <c r="K2" i="25"/>
  <c r="O17" i="25"/>
  <c r="N47" i="25"/>
  <c r="K38" i="25"/>
  <c r="K44" i="25"/>
  <c r="N12" i="25"/>
  <c r="N10" i="25"/>
  <c r="O7" i="25"/>
  <c r="O24" i="25"/>
  <c r="K11" i="25"/>
  <c r="O62" i="25"/>
  <c r="K47" i="25"/>
  <c r="K60" i="25"/>
  <c r="K4" i="25"/>
  <c r="K27" i="25"/>
  <c r="K12" i="25"/>
  <c r="O45" i="25"/>
  <c r="O60" i="25"/>
  <c r="O43" i="25"/>
  <c r="K35" i="25"/>
  <c r="K41" i="25"/>
  <c r="K30" i="25"/>
  <c r="O3" i="25"/>
  <c r="K13" i="25"/>
  <c r="N45" i="25"/>
  <c r="O10" i="25"/>
  <c r="O58" i="25"/>
  <c r="O15" i="25"/>
  <c r="O48" i="25"/>
  <c r="N37" i="25"/>
  <c r="K10" i="25"/>
  <c r="N41" i="25"/>
  <c r="O46" i="25"/>
  <c r="K50" i="25"/>
  <c r="O21" i="25"/>
  <c r="O47" i="25"/>
  <c r="K49" i="25"/>
  <c r="O13" i="25"/>
  <c r="K6" i="25"/>
  <c r="K48" i="25"/>
  <c r="K21" i="25"/>
  <c r="K43" i="25"/>
  <c r="K5" i="25"/>
  <c r="K42" i="25"/>
  <c r="K23" i="25"/>
  <c r="K8" i="25"/>
  <c r="K22" i="25"/>
  <c r="K59" i="25"/>
  <c r="K18" i="25"/>
  <c r="K17" i="25"/>
  <c r="K16" i="25"/>
  <c r="K61" i="25"/>
  <c r="K39" i="25"/>
  <c r="O31" i="25"/>
  <c r="O30" i="25"/>
  <c r="O61" i="25"/>
  <c r="N16" i="25"/>
  <c r="O5" i="25"/>
  <c r="N60" i="25"/>
  <c r="N56" i="25"/>
  <c r="N43" i="25"/>
  <c r="N27" i="25"/>
  <c r="N7" i="25"/>
  <c r="N50" i="25"/>
  <c r="O36" i="25"/>
  <c r="O19" i="25"/>
  <c r="O39" i="25"/>
  <c r="O38" i="25"/>
  <c r="O44" i="25"/>
  <c r="O56" i="25"/>
  <c r="N29" i="25"/>
  <c r="N13" i="25"/>
  <c r="N20" i="25"/>
  <c r="O51" i="25"/>
  <c r="N62" i="25"/>
  <c r="N8" i="25"/>
  <c r="N55" i="25"/>
  <c r="O57" i="25"/>
  <c r="N26" i="25"/>
  <c r="N53" i="25"/>
  <c r="O23" i="25"/>
  <c r="N24" i="25"/>
  <c r="O55" i="25"/>
  <c r="N61" i="25"/>
  <c r="K46" i="25"/>
  <c r="N25" i="25"/>
  <c r="N31" i="25"/>
  <c r="N58" i="25"/>
  <c r="N49" i="25"/>
  <c r="O26" i="25"/>
  <c r="O54" i="25"/>
  <c r="N48" i="25"/>
  <c r="N6" i="25"/>
  <c r="K56" i="25"/>
  <c r="N40" i="25"/>
  <c r="O50" i="25"/>
  <c r="O11" i="25"/>
  <c r="O59" i="25"/>
  <c r="N21" i="25"/>
  <c r="O18" i="25"/>
  <c r="O25" i="25"/>
  <c r="O40" i="25"/>
  <c r="O53" i="25"/>
  <c r="N14" i="25"/>
  <c r="N9" i="25"/>
  <c r="N57" i="25"/>
  <c r="K28" i="25"/>
  <c r="K20" i="25"/>
  <c r="N5" i="25"/>
  <c r="K62" i="25"/>
  <c r="O16" i="25"/>
  <c r="O52" i="25"/>
  <c r="N28" i="25"/>
  <c r="N42" i="25"/>
  <c r="N4" i="25"/>
  <c r="K37" i="25"/>
  <c r="N23" i="25"/>
  <c r="K26" i="25"/>
  <c r="K54" i="25"/>
  <c r="K3" i="25"/>
  <c r="K25" i="25"/>
  <c r="K40" i="25"/>
  <c r="K53" i="25"/>
  <c r="O29" i="25"/>
  <c r="N54" i="25"/>
  <c r="K31" i="25"/>
  <c r="K58" i="25"/>
  <c r="K36" i="25"/>
  <c r="O9" i="25"/>
  <c r="N11" i="25"/>
  <c r="N59" i="25"/>
  <c r="K24" i="25"/>
  <c r="K7" i="25"/>
  <c r="K19" i="25"/>
  <c r="K52" i="25"/>
  <c r="O4" i="25"/>
  <c r="K15" i="25"/>
  <c r="N19" i="25"/>
  <c r="K45" i="25"/>
  <c r="K51" i="25"/>
  <c r="O35" i="25"/>
  <c r="O42" i="25"/>
  <c r="O49" i="25"/>
  <c r="O27" i="25"/>
  <c r="O20" i="25"/>
  <c r="N15" i="25"/>
  <c r="O6" i="25"/>
  <c r="O28" i="25"/>
  <c r="O8" i="25"/>
  <c r="N39" i="25"/>
  <c r="O12" i="25"/>
  <c r="O41" i="25"/>
  <c r="O14" i="25"/>
  <c r="O37" i="25"/>
  <c r="N46" i="25"/>
  <c r="N38" i="25"/>
  <c r="K29" i="25"/>
  <c r="K9" i="25"/>
  <c r="K57" i="25"/>
  <c r="K14" i="25"/>
  <c r="AG39" i="12"/>
  <c r="AH39" i="12" s="1"/>
  <c r="AG51" i="12"/>
  <c r="AH51" i="12" s="1"/>
  <c r="AG35" i="12"/>
  <c r="AH35" i="12" s="1"/>
  <c r="AK35" i="12" s="1"/>
  <c r="AG19" i="12"/>
  <c r="AH19" i="12" s="1"/>
  <c r="AK19" i="12" s="1"/>
  <c r="AG65" i="12"/>
  <c r="AH65" i="12" s="1"/>
  <c r="AG49" i="12"/>
  <c r="AH49" i="12" s="1"/>
  <c r="AK49" i="12" s="1"/>
  <c r="AG33" i="12"/>
  <c r="AH33" i="12" s="1"/>
  <c r="AK33" i="12" s="1"/>
  <c r="AG17" i="12"/>
  <c r="AH17" i="12" s="1"/>
  <c r="AK17" i="12" s="1"/>
  <c r="AG34" i="12"/>
  <c r="AH34" i="12" s="1"/>
  <c r="AG64" i="12"/>
  <c r="AH64" i="12" s="1"/>
  <c r="AG48" i="12"/>
  <c r="AH48" i="12" s="1"/>
  <c r="AK48" i="12" s="1"/>
  <c r="AG32" i="12"/>
  <c r="AH32" i="12" s="1"/>
  <c r="AK32" i="12" s="1"/>
  <c r="AG16" i="12"/>
  <c r="AH16" i="12" s="1"/>
  <c r="AG24" i="12"/>
  <c r="AH24" i="12" s="1"/>
  <c r="AK24" i="12" s="1"/>
  <c r="AG18" i="12"/>
  <c r="AH18" i="12" s="1"/>
  <c r="AK18" i="12" s="1"/>
  <c r="AG63" i="12"/>
  <c r="AH63" i="12" s="1"/>
  <c r="AG29" i="25" s="1"/>
  <c r="AG31" i="12"/>
  <c r="AH31" i="12" s="1"/>
  <c r="AK31" i="12" s="1"/>
  <c r="AG15" i="12"/>
  <c r="AH15" i="12" s="1"/>
  <c r="AG56" i="12"/>
  <c r="AH56" i="12" s="1"/>
  <c r="AG47" i="12"/>
  <c r="AH47" i="12" s="1"/>
  <c r="AG62" i="12"/>
  <c r="AH62" i="12" s="1"/>
  <c r="AG46" i="12"/>
  <c r="AH46" i="12" s="1"/>
  <c r="AG30" i="12"/>
  <c r="AH30" i="12" s="1"/>
  <c r="AK30" i="12" s="1"/>
  <c r="AG14" i="12"/>
  <c r="AH14" i="12" s="1"/>
  <c r="AK14" i="12" s="1"/>
  <c r="AG61" i="12"/>
  <c r="AH61" i="12" s="1"/>
  <c r="AK61" i="12" s="1"/>
  <c r="AG60" i="12"/>
  <c r="AH60" i="12" s="1"/>
  <c r="AK60" i="12" s="1"/>
  <c r="AG44" i="12"/>
  <c r="AH44" i="12" s="1"/>
  <c r="AK44" i="12" s="1"/>
  <c r="AG28" i="12"/>
  <c r="AH28" i="12" s="1"/>
  <c r="AK28" i="12" s="1"/>
  <c r="AG12" i="12"/>
  <c r="AH12" i="12" s="1"/>
  <c r="AG29" i="12"/>
  <c r="AH29" i="12" s="1"/>
  <c r="AG59" i="12"/>
  <c r="AH59" i="12" s="1"/>
  <c r="AG43" i="12"/>
  <c r="AH43" i="12" s="1"/>
  <c r="AG27" i="12"/>
  <c r="AH27" i="12" s="1"/>
  <c r="AK27" i="12" s="1"/>
  <c r="AG50" i="12"/>
  <c r="AH50" i="12" s="1"/>
  <c r="AG45" i="12"/>
  <c r="AH45" i="12" s="1"/>
  <c r="AG13" i="12"/>
  <c r="AH13" i="12" s="1"/>
  <c r="AK13" i="12" s="1"/>
  <c r="AG58" i="12"/>
  <c r="AH58" i="12" s="1"/>
  <c r="AG42" i="12"/>
  <c r="AH42" i="12" s="1"/>
  <c r="AK42" i="12" s="1"/>
  <c r="AG26" i="12"/>
  <c r="AH26" i="12" s="1"/>
  <c r="AK26" i="12" s="1"/>
  <c r="AG57" i="12"/>
  <c r="AH57" i="12" s="1"/>
  <c r="AG41" i="12"/>
  <c r="AH41" i="12" s="1"/>
  <c r="AK41" i="12" s="1"/>
  <c r="AG25" i="12"/>
  <c r="AH25" i="12" s="1"/>
  <c r="AK25" i="12" s="1"/>
  <c r="AG55" i="12"/>
  <c r="AH55" i="12" s="1"/>
  <c r="AK55" i="12" s="1"/>
  <c r="AG54" i="12"/>
  <c r="AH54" i="12" s="1"/>
  <c r="AG38" i="12"/>
  <c r="AH38" i="12" s="1"/>
  <c r="AK38" i="12" s="1"/>
  <c r="AG22" i="12"/>
  <c r="AH22" i="12" s="1"/>
  <c r="AK22" i="12" s="1"/>
  <c r="AG23" i="12"/>
  <c r="AH23" i="12" s="1"/>
  <c r="AG53" i="12"/>
  <c r="AH53" i="12" s="1"/>
  <c r="AG37" i="12"/>
  <c r="AH37" i="12" s="1"/>
  <c r="AG21" i="12"/>
  <c r="AH21" i="12" s="1"/>
  <c r="AG40" i="12"/>
  <c r="AH40" i="12" s="1"/>
  <c r="AG52" i="12"/>
  <c r="AH52" i="12" s="1"/>
  <c r="AK52" i="12" s="1"/>
  <c r="AG36" i="12"/>
  <c r="AH36" i="12" s="1"/>
  <c r="AG20" i="12"/>
  <c r="AH20" i="12" s="1"/>
  <c r="N79" i="12"/>
  <c r="N73" i="25" s="1"/>
  <c r="N80" i="12"/>
  <c r="N74" i="25" s="1"/>
  <c r="N81" i="12"/>
  <c r="N75" i="25" s="1"/>
  <c r="N82" i="12"/>
  <c r="N76" i="25" s="1"/>
  <c r="N83" i="12"/>
  <c r="N77" i="25" s="1"/>
  <c r="N84" i="12"/>
  <c r="N78" i="25" s="1"/>
  <c r="N85" i="12"/>
  <c r="N79" i="25" s="1"/>
  <c r="N86" i="12"/>
  <c r="N80" i="25" s="1"/>
  <c r="N87" i="12"/>
  <c r="N81" i="25" s="1"/>
  <c r="N88" i="12"/>
  <c r="N82" i="25" s="1"/>
  <c r="N89" i="12"/>
  <c r="N83" i="25" s="1"/>
  <c r="N8" i="12"/>
  <c r="N2" i="25" s="1"/>
  <c r="N9" i="12"/>
  <c r="N51" i="25" s="1"/>
  <c r="N10" i="12"/>
  <c r="N44" i="25" s="1"/>
  <c r="N11" i="12"/>
  <c r="N52" i="25" s="1"/>
  <c r="N63" i="25"/>
  <c r="N64" i="25"/>
  <c r="N32" i="25"/>
  <c r="N33" i="25"/>
  <c r="N65" i="25"/>
  <c r="N34" i="25"/>
  <c r="N66" i="25"/>
  <c r="N67" i="25"/>
  <c r="N68" i="25"/>
  <c r="N69" i="25"/>
  <c r="N70" i="25"/>
  <c r="N71" i="25"/>
  <c r="N78" i="12"/>
  <c r="N72" i="25" s="1"/>
  <c r="L72" i="26" a="1"/>
  <c r="L72" i="26" s="1"/>
  <c r="M72" i="26" s="1"/>
  <c r="L73" i="26" a="1"/>
  <c r="L73" i="26" s="1"/>
  <c r="M73" i="26" s="1"/>
  <c r="L74" i="26" a="1"/>
  <c r="L74" i="26" s="1"/>
  <c r="M74" i="26" s="1"/>
  <c r="L75" i="26" a="1"/>
  <c r="L75" i="26" s="1"/>
  <c r="M75" i="26" s="1"/>
  <c r="L76" i="26" a="1"/>
  <c r="L76" i="26" s="1"/>
  <c r="M76" i="26" s="1"/>
  <c r="L77" i="26" a="1"/>
  <c r="L77" i="26" s="1"/>
  <c r="M77" i="26" s="1"/>
  <c r="L78" i="26" a="1"/>
  <c r="L78" i="26" s="1"/>
  <c r="M78" i="26" s="1"/>
  <c r="L79" i="26" a="1"/>
  <c r="L79" i="26" s="1"/>
  <c r="M79" i="26" s="1"/>
  <c r="M80" i="26"/>
  <c r="N30" i="25" l="1"/>
  <c r="N22" i="25"/>
  <c r="N17" i="25"/>
  <c r="N18" i="25"/>
  <c r="AG28" i="25"/>
  <c r="AG48" i="25"/>
  <c r="AK34" i="12"/>
  <c r="AG20" i="25"/>
  <c r="AK47" i="12"/>
  <c r="AG8" i="25"/>
  <c r="AK21" i="12"/>
  <c r="AG58" i="25"/>
  <c r="AK51" i="12"/>
  <c r="AK39" i="12"/>
  <c r="AG55" i="25"/>
  <c r="AK46" i="12"/>
  <c r="AG21" i="25"/>
  <c r="AK50" i="12"/>
  <c r="AK53" i="12"/>
  <c r="AK43" i="12"/>
  <c r="AG50" i="25"/>
  <c r="AK40" i="12"/>
  <c r="AG49" i="25"/>
  <c r="AK36" i="12"/>
  <c r="AK15" i="12"/>
  <c r="AG43" i="25"/>
  <c r="AK23" i="12"/>
  <c r="AG11" i="25"/>
  <c r="AK29" i="12"/>
  <c r="AG16" i="25"/>
  <c r="AK37" i="12"/>
  <c r="AG26" i="25"/>
  <c r="AK59" i="12"/>
  <c r="AG37" i="25"/>
  <c r="AK12" i="12"/>
  <c r="AG38" i="25"/>
  <c r="AK16" i="12"/>
  <c r="AG25" i="25"/>
  <c r="AK58" i="12"/>
  <c r="AG61" i="25"/>
  <c r="AK56" i="12"/>
  <c r="AG23" i="25"/>
  <c r="AK54" i="12"/>
  <c r="AG24" i="25"/>
  <c r="AK57" i="12"/>
  <c r="AG41" i="25"/>
  <c r="AK20" i="12"/>
  <c r="AG54" i="25"/>
  <c r="AK45" i="12"/>
  <c r="N35" i="25"/>
  <c r="N36" i="25"/>
  <c r="N3" i="25"/>
  <c r="AG7" i="25"/>
  <c r="AG42" i="25"/>
  <c r="AG9" i="25"/>
  <c r="AG10" i="25"/>
  <c r="AG47" i="25"/>
  <c r="AG60" i="25"/>
  <c r="AG53" i="25"/>
  <c r="AG56" i="25"/>
  <c r="AG62" i="25"/>
  <c r="AG27" i="25"/>
  <c r="AG5" i="25"/>
  <c r="AG39" i="25"/>
  <c r="AG45" i="25"/>
  <c r="AG12" i="25"/>
  <c r="AG14" i="25"/>
  <c r="AG57" i="25"/>
  <c r="AG59" i="25"/>
  <c r="AG4" i="25"/>
  <c r="AG40" i="25"/>
  <c r="AG15" i="25"/>
  <c r="AG46" i="25"/>
  <c r="AG13" i="25"/>
  <c r="AG69" i="12"/>
  <c r="AH69" i="12" s="1"/>
  <c r="AG33" i="25" s="1"/>
  <c r="AG68" i="12"/>
  <c r="AH68" i="12" s="1"/>
  <c r="AG32" i="25" s="1"/>
  <c r="AG11" i="12"/>
  <c r="AH11" i="12" s="1"/>
  <c r="AG18" i="25" s="1"/>
  <c r="AG10" i="12"/>
  <c r="AH10" i="12" s="1"/>
  <c r="AG44" i="25" s="1"/>
  <c r="AG89" i="12"/>
  <c r="AH89" i="12" s="1"/>
  <c r="AG83" i="25" s="1"/>
  <c r="AG67" i="12"/>
  <c r="AH67" i="12" s="1"/>
  <c r="AG64" i="25" s="1"/>
  <c r="AG9" i="12"/>
  <c r="AH9" i="12" s="1"/>
  <c r="AG17" i="25" s="1"/>
  <c r="AG88" i="12"/>
  <c r="AH88" i="12" s="1"/>
  <c r="AG82" i="25" s="1"/>
  <c r="AG73" i="12"/>
  <c r="AH73" i="12" s="1"/>
  <c r="AG67" i="25" s="1"/>
  <c r="AG66" i="12"/>
  <c r="AH66" i="12" s="1"/>
  <c r="AG63" i="25" s="1"/>
  <c r="AG72" i="12"/>
  <c r="AH72" i="12" s="1"/>
  <c r="AG66" i="25" s="1"/>
  <c r="AG71" i="12"/>
  <c r="AH71" i="12" s="1"/>
  <c r="AG34" i="25" s="1"/>
  <c r="AG70" i="12"/>
  <c r="AH70" i="12" s="1"/>
  <c r="AG65" i="25" s="1"/>
  <c r="N71" i="26"/>
  <c r="N72" i="26"/>
  <c r="N79" i="26"/>
  <c r="N78" i="26"/>
  <c r="N77" i="26"/>
  <c r="N76" i="26"/>
  <c r="N75" i="26"/>
  <c r="N74" i="26"/>
  <c r="N73" i="26"/>
  <c r="N80" i="26"/>
  <c r="AG6" i="25" l="1"/>
  <c r="AG31" i="25"/>
  <c r="AG19" i="25"/>
  <c r="AG30" i="25"/>
  <c r="AG3" i="25"/>
  <c r="AK11" i="12"/>
  <c r="AG35" i="25"/>
  <c r="AK9" i="12"/>
  <c r="AG36" i="25"/>
  <c r="AK10" i="12"/>
  <c r="AG51" i="25"/>
  <c r="AG52" i="25"/>
  <c r="L6" i="12"/>
  <c r="M6" i="12"/>
  <c r="P6" i="12"/>
  <c r="J6" i="12"/>
  <c r="O68" i="25" l="1"/>
  <c r="O69" i="25"/>
  <c r="O70" i="25"/>
  <c r="O71" i="25"/>
  <c r="O72" i="25"/>
  <c r="O73" i="25"/>
  <c r="O74" i="25"/>
  <c r="O82" i="12"/>
  <c r="O76" i="25" s="1"/>
  <c r="O75" i="25"/>
  <c r="O83" i="12"/>
  <c r="O77" i="25" s="1"/>
  <c r="O84" i="12"/>
  <c r="O78" i="25" s="1"/>
  <c r="O85" i="12"/>
  <c r="O79" i="25" s="1"/>
  <c r="O86" i="12"/>
  <c r="O80" i="25" s="1"/>
  <c r="O87" i="12"/>
  <c r="O81" i="25" s="1"/>
  <c r="N3" i="26"/>
  <c r="AG87" i="12" l="1"/>
  <c r="AH87" i="12" s="1"/>
  <c r="AG81" i="25" s="1"/>
  <c r="AG86" i="12"/>
  <c r="AH86" i="12" s="1"/>
  <c r="AG80" i="25" s="1"/>
  <c r="AG85" i="12"/>
  <c r="AH85" i="12" s="1"/>
  <c r="AG79" i="25" s="1"/>
  <c r="AG84" i="12"/>
  <c r="AH84" i="12" s="1"/>
  <c r="AG78" i="25" s="1"/>
  <c r="AG83" i="12"/>
  <c r="AH83" i="12" s="1"/>
  <c r="AG77" i="25" s="1"/>
  <c r="AG81" i="12"/>
  <c r="AH81" i="12" s="1"/>
  <c r="AG75" i="25" s="1"/>
  <c r="AG82" i="12"/>
  <c r="AH82" i="12" s="1"/>
  <c r="AG76" i="25" s="1"/>
  <c r="AG80" i="12"/>
  <c r="AH80" i="12" s="1"/>
  <c r="AG74" i="25" s="1"/>
  <c r="AG79" i="12"/>
  <c r="AH79" i="12" s="1"/>
  <c r="AG73" i="25" s="1"/>
  <c r="AG78" i="12"/>
  <c r="AH78" i="12" s="1"/>
  <c r="AG72" i="25" s="1"/>
  <c r="AG77" i="12"/>
  <c r="AH77" i="12" s="1"/>
  <c r="AG71" i="25" s="1"/>
  <c r="AG76" i="12"/>
  <c r="AH76" i="12" s="1"/>
  <c r="AG70" i="25" s="1"/>
  <c r="AG75" i="12"/>
  <c r="AH75" i="12" s="1"/>
  <c r="AG69" i="25" s="1"/>
  <c r="AG74" i="12"/>
  <c r="AH74" i="12" s="1"/>
  <c r="AG68" i="25" s="1"/>
  <c r="K6" i="12"/>
  <c r="N6" i="12"/>
  <c r="O8" i="12"/>
  <c r="N65" i="26"/>
  <c r="N49" i="26"/>
  <c r="N33" i="26"/>
  <c r="N17" i="26"/>
  <c r="N64" i="26"/>
  <c r="N48" i="26"/>
  <c r="N32" i="26"/>
  <c r="N16" i="26"/>
  <c r="N63" i="26"/>
  <c r="N47" i="26"/>
  <c r="N31" i="26"/>
  <c r="N15" i="26"/>
  <c r="N62" i="26"/>
  <c r="N46" i="26"/>
  <c r="N30" i="26"/>
  <c r="N14" i="26"/>
  <c r="N61" i="26"/>
  <c r="N45" i="26"/>
  <c r="N29" i="26"/>
  <c r="N13" i="26"/>
  <c r="N60" i="26"/>
  <c r="N44" i="26"/>
  <c r="N28" i="26"/>
  <c r="N12" i="26"/>
  <c r="N59" i="26"/>
  <c r="N43" i="26"/>
  <c r="N27" i="26"/>
  <c r="N11" i="26"/>
  <c r="N58" i="26"/>
  <c r="N42" i="26"/>
  <c r="N26" i="26"/>
  <c r="N10" i="26"/>
  <c r="N57" i="26"/>
  <c r="N41" i="26"/>
  <c r="N25" i="26"/>
  <c r="N9" i="26"/>
  <c r="N56" i="26"/>
  <c r="N40" i="26"/>
  <c r="N24" i="26"/>
  <c r="N8" i="26"/>
  <c r="N55" i="26"/>
  <c r="N39" i="26"/>
  <c r="N23" i="26"/>
  <c r="N7" i="26"/>
  <c r="N70" i="26"/>
  <c r="N54" i="26"/>
  <c r="N38" i="26"/>
  <c r="N22" i="26"/>
  <c r="N6" i="26"/>
  <c r="N69" i="26"/>
  <c r="N53" i="26"/>
  <c r="N37" i="26"/>
  <c r="N21" i="26"/>
  <c r="N5" i="26"/>
  <c r="N68" i="26"/>
  <c r="N52" i="26"/>
  <c r="N36" i="26"/>
  <c r="N20" i="26"/>
  <c r="N4" i="26"/>
  <c r="N67" i="26"/>
  <c r="N51" i="26"/>
  <c r="N35" i="26"/>
  <c r="N19" i="26"/>
  <c r="N66" i="26"/>
  <c r="N50" i="26"/>
  <c r="N34" i="26"/>
  <c r="N18" i="26"/>
  <c r="O2" i="25" l="1"/>
  <c r="O22" i="25"/>
  <c r="AG8" i="12"/>
  <c r="AK87" i="12"/>
  <c r="AK88" i="12"/>
  <c r="AK89" i="12"/>
  <c r="O6" i="12"/>
  <c r="AK81" i="12"/>
  <c r="AK76" i="12"/>
  <c r="AK79" i="12"/>
  <c r="AK73" i="12"/>
  <c r="AK70" i="12"/>
  <c r="AK67" i="12"/>
  <c r="AK86" i="12"/>
  <c r="AK64" i="12"/>
  <c r="AK83" i="12"/>
  <c r="AK62" i="12"/>
  <c r="AK80" i="12"/>
  <c r="AK77" i="12"/>
  <c r="AK74" i="12"/>
  <c r="AK71" i="12"/>
  <c r="AK68" i="12"/>
  <c r="AK65" i="12"/>
  <c r="AK84" i="12"/>
  <c r="AK63" i="12"/>
  <c r="AK82" i="12"/>
  <c r="AK78" i="12"/>
  <c r="AK75" i="12"/>
  <c r="AK72" i="12"/>
  <c r="AK69" i="12"/>
  <c r="AK66" i="12"/>
  <c r="AK85" i="12"/>
  <c r="L2" i="26" a="1"/>
  <c r="L2" i="26" s="1"/>
  <c r="M2" i="26" l="1"/>
  <c r="N2" i="26"/>
  <c r="AO2" i="25" l="1"/>
  <c r="G8" i="14" l="1"/>
  <c r="C8" i="14"/>
  <c r="G46" i="14"/>
  <c r="C46" i="14"/>
  <c r="I6" i="12" l="1"/>
  <c r="D1" i="25"/>
  <c r="E1" i="25"/>
  <c r="F1" i="25"/>
  <c r="G1" i="25"/>
  <c r="H1" i="25"/>
  <c r="I1" i="25"/>
  <c r="J1" i="25"/>
  <c r="K1" i="25"/>
  <c r="L1" i="25"/>
  <c r="M1" i="25"/>
  <c r="N1" i="25"/>
  <c r="O1" i="25"/>
  <c r="AG1" i="25"/>
  <c r="C1" i="25"/>
  <c r="C2" i="25"/>
  <c r="G24" i="14" l="1" a="1"/>
  <c r="G24" i="14" s="1"/>
  <c r="D8" i="14" a="1"/>
  <c r="D8" i="14" s="1"/>
  <c r="E12" i="14" a="1"/>
  <c r="E12" i="14" s="1"/>
  <c r="G27" i="14" a="1"/>
  <c r="G27" i="14" s="1"/>
  <c r="E15" i="14" a="1"/>
  <c r="E15" i="14" s="1"/>
  <c r="G25" i="14" a="1"/>
  <c r="G25" i="14" s="1"/>
  <c r="G29" i="14" a="1"/>
  <c r="G29" i="14" s="1"/>
  <c r="E13" i="14" a="1"/>
  <c r="E13" i="14" s="1"/>
  <c r="E14" i="14" a="1"/>
  <c r="E14" i="14" s="1"/>
  <c r="E16" i="14" a="1"/>
  <c r="E16" i="14" s="1"/>
  <c r="E17" i="14" a="1"/>
  <c r="E17" i="14" s="1"/>
  <c r="G26" i="14" a="1"/>
  <c r="G26" i="14" s="1"/>
  <c r="G23" i="14" a="1"/>
  <c r="G23" i="14" s="1"/>
  <c r="G28" i="14" a="1"/>
  <c r="G28" i="14" s="1"/>
  <c r="G350" i="14" l="1"/>
  <c r="C350" i="14"/>
  <c r="G22" i="14" l="1" a="1"/>
  <c r="G22" i="14" s="1"/>
  <c r="AG6" i="12" l="1"/>
  <c r="G20" i="14" a="1"/>
  <c r="G20" i="14" s="1"/>
  <c r="H6" i="12" l="1"/>
  <c r="G304" i="20" l="1"/>
  <c r="C370" i="14" l="1"/>
  <c r="C369" i="14"/>
  <c r="C368" i="14"/>
  <c r="C367" i="14"/>
  <c r="C366" i="14"/>
  <c r="C363" i="14"/>
  <c r="C332" i="14"/>
  <c r="C331" i="14"/>
  <c r="C330" i="14"/>
  <c r="C329" i="14"/>
  <c r="C328" i="14"/>
  <c r="C325" i="14"/>
  <c r="C294" i="14"/>
  <c r="C293" i="14"/>
  <c r="C292" i="14"/>
  <c r="C291" i="14"/>
  <c r="C290" i="14"/>
  <c r="C287" i="14"/>
  <c r="C256" i="14"/>
  <c r="C255" i="14"/>
  <c r="C254" i="14"/>
  <c r="C253" i="14"/>
  <c r="C252" i="14"/>
  <c r="C249" i="14"/>
  <c r="C218" i="14"/>
  <c r="C217" i="14"/>
  <c r="C216" i="14"/>
  <c r="C215" i="14"/>
  <c r="C214" i="14"/>
  <c r="C211" i="14"/>
  <c r="C180" i="14"/>
  <c r="C179" i="14"/>
  <c r="C178" i="14"/>
  <c r="C177" i="14"/>
  <c r="C176" i="14"/>
  <c r="C173" i="14"/>
  <c r="C142" i="14"/>
  <c r="C141" i="14"/>
  <c r="C140" i="14"/>
  <c r="C139" i="14"/>
  <c r="C138" i="14"/>
  <c r="C135" i="14"/>
  <c r="C104" i="14"/>
  <c r="C103" i="14"/>
  <c r="C102" i="14"/>
  <c r="C101" i="14"/>
  <c r="C100" i="14"/>
  <c r="C97" i="14"/>
  <c r="G84" i="14"/>
  <c r="C66" i="14"/>
  <c r="C65" i="14"/>
  <c r="C64" i="14"/>
  <c r="C63" i="14"/>
  <c r="C62" i="14"/>
  <c r="C59" i="14"/>
  <c r="C24" i="14"/>
  <c r="C21" i="14"/>
  <c r="AU2" i="12" l="1"/>
  <c r="C28" i="14" l="1"/>
  <c r="G59" i="14" l="1" a="1"/>
  <c r="G59" i="14" s="1"/>
  <c r="G312" i="14" l="1"/>
  <c r="C27" i="14" l="1"/>
  <c r="C26" i="14"/>
  <c r="C25" i="14"/>
  <c r="C304" i="20" l="1"/>
  <c r="C84" i="14" l="1"/>
  <c r="C312" i="14"/>
  <c r="G21" i="14" l="1" a="1"/>
  <c r="G21" i="14" s="1"/>
  <c r="G341" i="20" l="1"/>
  <c r="G267" i="20"/>
  <c r="G230" i="20"/>
  <c r="G193" i="20"/>
  <c r="G156" i="20"/>
  <c r="G119" i="20"/>
  <c r="G82" i="20"/>
  <c r="G45" i="20"/>
  <c r="G8" i="20"/>
  <c r="G274" i="14" l="1"/>
  <c r="G236" i="14"/>
  <c r="G198" i="14"/>
  <c r="G160" i="14"/>
  <c r="G122" i="14"/>
  <c r="D84" i="14" l="1" a="1"/>
  <c r="D84" i="14" s="1"/>
  <c r="G102" i="14" a="1"/>
  <c r="G102" i="14" s="1"/>
  <c r="G105" i="14" a="1"/>
  <c r="G105" i="14" s="1"/>
  <c r="G103" i="14" a="1"/>
  <c r="G103" i="14" s="1"/>
  <c r="E92" i="14" a="1"/>
  <c r="E92" i="14" s="1"/>
  <c r="G101" i="14" a="1"/>
  <c r="G101" i="14" s="1"/>
  <c r="G104" i="14" a="1"/>
  <c r="G104" i="14" s="1"/>
  <c r="E90" i="14" a="1"/>
  <c r="E90" i="14" s="1"/>
  <c r="E88" i="14" a="1"/>
  <c r="E88" i="14" s="1"/>
  <c r="E91" i="14" a="1"/>
  <c r="E91" i="14" s="1"/>
  <c r="G100" i="14" a="1"/>
  <c r="G100" i="14" s="1"/>
  <c r="E93" i="14" a="1"/>
  <c r="E93" i="14" s="1"/>
  <c r="G97" i="14" a="1"/>
  <c r="G97" i="14" s="1"/>
  <c r="G98" i="14" a="1"/>
  <c r="G98" i="14" s="1"/>
  <c r="G99" i="14" a="1"/>
  <c r="G99" i="14" s="1"/>
  <c r="E89" i="14" a="1"/>
  <c r="E89" i="14" s="1"/>
  <c r="G96" i="14" a="1"/>
  <c r="G96" i="14" s="1"/>
  <c r="G370" i="14" a="1"/>
  <c r="G370" i="14" s="1"/>
  <c r="G332" i="14" a="1"/>
  <c r="G332" i="14" s="1"/>
  <c r="D312" i="14" a="1"/>
  <c r="D312" i="14" s="1"/>
  <c r="C341" i="20"/>
  <c r="C8" i="20"/>
  <c r="G22" i="20" s="1" a="1"/>
  <c r="G22" i="20" s="1"/>
  <c r="G318" i="20" a="1"/>
  <c r="G318" i="20" s="1"/>
  <c r="C230" i="20"/>
  <c r="G245" i="20" s="1" a="1"/>
  <c r="G245" i="20" s="1"/>
  <c r="C267" i="20"/>
  <c r="E272" i="20" s="1" a="1"/>
  <c r="E272" i="20" s="1"/>
  <c r="C45" i="20"/>
  <c r="C82" i="20"/>
  <c r="C156" i="20"/>
  <c r="C119" i="20"/>
  <c r="C193" i="20"/>
  <c r="G211" i="20" s="1" a="1"/>
  <c r="G211" i="20" s="1"/>
  <c r="C274" i="14"/>
  <c r="G294" i="14" s="1" a="1"/>
  <c r="G294" i="14" s="1"/>
  <c r="C236" i="14"/>
  <c r="C198" i="14"/>
  <c r="G218" i="14" s="1" a="1"/>
  <c r="G218" i="14" s="1"/>
  <c r="C160" i="14"/>
  <c r="C122" i="14"/>
  <c r="G66" i="14" a="1"/>
  <c r="G66" i="14" s="1"/>
  <c r="F106" i="14" l="1"/>
  <c r="G371" i="14" a="1"/>
  <c r="G371" i="14" s="1"/>
  <c r="G257" i="14" a="1"/>
  <c r="G257" i="14" s="1"/>
  <c r="G256" i="14" a="1"/>
  <c r="G256" i="14" s="1"/>
  <c r="G181" i="14" a="1"/>
  <c r="G181" i="14" s="1"/>
  <c r="G180" i="14" a="1"/>
  <c r="G180" i="14" s="1"/>
  <c r="G143" i="14" a="1"/>
  <c r="G143" i="14" s="1"/>
  <c r="G142" i="14" a="1"/>
  <c r="G142" i="14" s="1"/>
  <c r="G327" i="14" a="1"/>
  <c r="G327" i="14" s="1"/>
  <c r="E320" i="14" a="1"/>
  <c r="E320" i="14" s="1"/>
  <c r="E319" i="14" a="1"/>
  <c r="E319" i="14" s="1"/>
  <c r="E318" i="14" a="1"/>
  <c r="E318" i="14" s="1"/>
  <c r="E321" i="14" a="1"/>
  <c r="E321" i="14" s="1"/>
  <c r="E316" i="14" a="1"/>
  <c r="E316" i="14" s="1"/>
  <c r="G333" i="14" a="1"/>
  <c r="G333" i="14" s="1"/>
  <c r="G331" i="14" a="1"/>
  <c r="G331" i="14" s="1"/>
  <c r="E317" i="14" a="1"/>
  <c r="E317" i="14" s="1"/>
  <c r="G329" i="14" a="1"/>
  <c r="G329" i="14" s="1"/>
  <c r="G328" i="14" a="1"/>
  <c r="G328" i="14" s="1"/>
  <c r="G330" i="14" a="1"/>
  <c r="G330" i="14" s="1"/>
  <c r="G326" i="14" a="1"/>
  <c r="G326" i="14" s="1"/>
  <c r="G325" i="14" a="1"/>
  <c r="G325" i="14" s="1"/>
  <c r="G324" i="14" a="1"/>
  <c r="G324" i="14" s="1"/>
  <c r="G216" i="14" a="1"/>
  <c r="G216" i="14" s="1"/>
  <c r="G219" i="14" a="1"/>
  <c r="G219" i="14" s="1"/>
  <c r="G292" i="14" a="1"/>
  <c r="G292" i="14" s="1"/>
  <c r="G295" i="14" a="1"/>
  <c r="G295" i="14" s="1"/>
  <c r="G64" i="14" a="1"/>
  <c r="G64" i="14" s="1"/>
  <c r="G67" i="14" a="1"/>
  <c r="G67" i="14" s="1"/>
  <c r="G367" i="14" a="1"/>
  <c r="G367" i="14" s="1"/>
  <c r="G368" i="14" a="1"/>
  <c r="G368" i="14" s="1"/>
  <c r="G248" i="14" a="1"/>
  <c r="G248" i="14" s="1"/>
  <c r="G254" i="14" a="1"/>
  <c r="G254" i="14" s="1"/>
  <c r="E129" i="14" a="1"/>
  <c r="E129" i="14" s="1"/>
  <c r="G140" i="14" a="1"/>
  <c r="G140" i="14" s="1"/>
  <c r="E166" i="14" a="1"/>
  <c r="E166" i="14" s="1"/>
  <c r="G178" i="14" a="1"/>
  <c r="G178" i="14" s="1"/>
  <c r="G211" i="14" a="1"/>
  <c r="G211" i="14" s="1"/>
  <c r="G213" i="14" a="1"/>
  <c r="G213" i="14" s="1"/>
  <c r="G173" i="14" a="1"/>
  <c r="G173" i="14" s="1"/>
  <c r="G28" i="20" a="1"/>
  <c r="G28" i="20" s="1"/>
  <c r="E271" i="20" a="1"/>
  <c r="E271" i="20" s="1"/>
  <c r="D8" i="20" a="1"/>
  <c r="D8" i="20" s="1"/>
  <c r="G179" i="14" a="1"/>
  <c r="G179" i="14" s="1"/>
  <c r="E12" i="20" a="1"/>
  <c r="E12" i="20" s="1"/>
  <c r="E14" i="20" a="1"/>
  <c r="E14" i="20" s="1"/>
  <c r="G23" i="20" a="1"/>
  <c r="G23" i="20" s="1"/>
  <c r="D267" i="20" a="1"/>
  <c r="D267" i="20" s="1"/>
  <c r="E16" i="20" a="1"/>
  <c r="E16" i="20" s="1"/>
  <c r="G25" i="20" a="1"/>
  <c r="G25" i="20" s="1"/>
  <c r="G24" i="20" a="1"/>
  <c r="G24" i="20" s="1"/>
  <c r="G20" i="20" a="1"/>
  <c r="G20" i="20" s="1"/>
  <c r="E17" i="20" a="1"/>
  <c r="E17" i="20" s="1"/>
  <c r="E13" i="20" a="1"/>
  <c r="E13" i="20" s="1"/>
  <c r="G27" i="20" a="1"/>
  <c r="G27" i="20" s="1"/>
  <c r="E15" i="20" a="1"/>
  <c r="E15" i="20" s="1"/>
  <c r="G26" i="20" a="1"/>
  <c r="G26" i="20" s="1"/>
  <c r="G21" i="20" a="1"/>
  <c r="G21" i="20" s="1"/>
  <c r="E235" i="20" a="1"/>
  <c r="E235" i="20" s="1"/>
  <c r="G284" i="20" a="1"/>
  <c r="G284" i="20" s="1"/>
  <c r="E276" i="20" a="1"/>
  <c r="E276" i="20" s="1"/>
  <c r="E234" i="20" a="1"/>
  <c r="E234" i="20" s="1"/>
  <c r="E239" i="20" a="1"/>
  <c r="E239" i="20" s="1"/>
  <c r="G283" i="20" a="1"/>
  <c r="G283" i="20" s="1"/>
  <c r="G319" i="20" a="1"/>
  <c r="G319" i="20" s="1"/>
  <c r="G285" i="20" a="1"/>
  <c r="G285" i="20" s="1"/>
  <c r="E309" i="20" a="1"/>
  <c r="E309" i="20" s="1"/>
  <c r="G323" i="20" a="1"/>
  <c r="G323" i="20" s="1"/>
  <c r="E310" i="20" a="1"/>
  <c r="E310" i="20" s="1"/>
  <c r="G320" i="20" a="1"/>
  <c r="G320" i="20" s="1"/>
  <c r="G321" i="20" a="1"/>
  <c r="G321" i="20" s="1"/>
  <c r="D304" i="20" a="1"/>
  <c r="D304" i="20" s="1"/>
  <c r="E313" i="20" a="1"/>
  <c r="E313" i="20" s="1"/>
  <c r="E311" i="20" a="1"/>
  <c r="E311" i="20" s="1"/>
  <c r="G322" i="20" a="1"/>
  <c r="G322" i="20" s="1"/>
  <c r="G324" i="20" a="1"/>
  <c r="G324" i="20" s="1"/>
  <c r="E308" i="20" a="1"/>
  <c r="E308" i="20" s="1"/>
  <c r="G316" i="20" a="1"/>
  <c r="G316" i="20" s="1"/>
  <c r="J325" i="20" a="1"/>
  <c r="J325" i="20" s="1"/>
  <c r="E312" i="20" a="1"/>
  <c r="E312" i="20" s="1"/>
  <c r="G282" i="20" a="1"/>
  <c r="G282" i="20" s="1"/>
  <c r="E273" i="20" a="1"/>
  <c r="E273" i="20" s="1"/>
  <c r="G280" i="20" a="1"/>
  <c r="G280" i="20" s="1"/>
  <c r="G287" i="20" a="1"/>
  <c r="G287" i="20" s="1"/>
  <c r="G286" i="20" a="1"/>
  <c r="G286" i="20" s="1"/>
  <c r="E275" i="20" a="1"/>
  <c r="E275" i="20" s="1"/>
  <c r="E274" i="20" a="1"/>
  <c r="E274" i="20" s="1"/>
  <c r="G281" i="20" a="1"/>
  <c r="G281" i="20" s="1"/>
  <c r="G279" i="20" a="1"/>
  <c r="G279" i="20" s="1"/>
  <c r="D230" i="20" a="1"/>
  <c r="D230" i="20" s="1"/>
  <c r="E240" i="14" a="1"/>
  <c r="E240" i="14" s="1"/>
  <c r="E164" i="14" a="1"/>
  <c r="E164" i="14" s="1"/>
  <c r="G172" i="14" a="1"/>
  <c r="G172" i="14" s="1"/>
  <c r="G317" i="20" a="1"/>
  <c r="G317" i="20" s="1"/>
  <c r="D160" i="14" a="1"/>
  <c r="D160" i="14" s="1"/>
  <c r="E237" i="20" a="1"/>
  <c r="E237" i="20" s="1"/>
  <c r="G250" i="20" a="1"/>
  <c r="G250" i="20" s="1"/>
  <c r="G242" i="20" a="1"/>
  <c r="G242" i="20" s="1"/>
  <c r="G246" i="20" a="1"/>
  <c r="G246" i="20" s="1"/>
  <c r="G244" i="20" a="1"/>
  <c r="G244" i="20" s="1"/>
  <c r="E236" i="20" a="1"/>
  <c r="E236" i="20" s="1"/>
  <c r="G247" i="20" a="1"/>
  <c r="G247" i="20" s="1"/>
  <c r="E238" i="20" a="1"/>
  <c r="E238" i="20" s="1"/>
  <c r="E169" i="14" a="1"/>
  <c r="E169" i="14" s="1"/>
  <c r="G176" i="14" a="1"/>
  <c r="G176" i="14" s="1"/>
  <c r="G177" i="14" a="1"/>
  <c r="G177" i="14" s="1"/>
  <c r="E168" i="14" a="1"/>
  <c r="E168" i="14" s="1"/>
  <c r="G175" i="14" a="1"/>
  <c r="G175" i="14" s="1"/>
  <c r="E167" i="14" a="1"/>
  <c r="E167" i="14" s="1"/>
  <c r="E165" i="14" a="1"/>
  <c r="E165" i="14" s="1"/>
  <c r="G174" i="14" a="1"/>
  <c r="G174" i="14" s="1"/>
  <c r="G58" i="14" a="1"/>
  <c r="G58" i="14" s="1"/>
  <c r="E204" i="14" a="1"/>
  <c r="E204" i="14" s="1"/>
  <c r="E53" i="14" a="1"/>
  <c r="E53" i="14" s="1"/>
  <c r="D46" i="14" a="1"/>
  <c r="D46" i="14" s="1"/>
  <c r="G63" i="14" a="1"/>
  <c r="G63" i="14" s="1"/>
  <c r="G141" i="14" a="1"/>
  <c r="G141" i="14" s="1"/>
  <c r="D274" i="14" a="1"/>
  <c r="D274" i="14" s="1"/>
  <c r="E131" i="14" a="1"/>
  <c r="E131" i="14" s="1"/>
  <c r="E281" i="14" a="1"/>
  <c r="E281" i="14" s="1"/>
  <c r="E279" i="14" a="1"/>
  <c r="E279" i="14" s="1"/>
  <c r="E130" i="14" a="1"/>
  <c r="E130" i="14" s="1"/>
  <c r="G136" i="14" a="1"/>
  <c r="G136" i="14" s="1"/>
  <c r="E283" i="14" a="1"/>
  <c r="E283" i="14" s="1"/>
  <c r="G291" i="14" a="1"/>
  <c r="G291" i="14" s="1"/>
  <c r="G289" i="14" a="1"/>
  <c r="G289" i="14" s="1"/>
  <c r="G138" i="14" a="1"/>
  <c r="G138" i="14" s="1"/>
  <c r="E282" i="14" a="1"/>
  <c r="E282" i="14" s="1"/>
  <c r="E278" i="14" a="1"/>
  <c r="E278" i="14" s="1"/>
  <c r="G293" i="14" a="1"/>
  <c r="G293" i="14" s="1"/>
  <c r="E126" i="14" a="1"/>
  <c r="E126" i="14" s="1"/>
  <c r="G290" i="14" a="1"/>
  <c r="G290" i="14" s="1"/>
  <c r="G286" i="14" a="1"/>
  <c r="G286" i="14" s="1"/>
  <c r="E280" i="14" a="1"/>
  <c r="E280" i="14" s="1"/>
  <c r="G134" i="14" a="1"/>
  <c r="G134" i="14" s="1"/>
  <c r="E128" i="14" a="1"/>
  <c r="E128" i="14" s="1"/>
  <c r="G288" i="14" a="1"/>
  <c r="G288" i="14" s="1"/>
  <c r="G135" i="14" a="1"/>
  <c r="G135" i="14" s="1"/>
  <c r="G139" i="14" a="1"/>
  <c r="G139" i="14" s="1"/>
  <c r="D122" i="14" a="1"/>
  <c r="D122" i="14" s="1"/>
  <c r="G137" i="14" a="1"/>
  <c r="G137" i="14" s="1"/>
  <c r="E127" i="14" a="1"/>
  <c r="E127" i="14" s="1"/>
  <c r="E359" i="14" a="1"/>
  <c r="E359" i="14" s="1"/>
  <c r="G363" i="14" a="1"/>
  <c r="G363" i="14" s="1"/>
  <c r="E357" i="14" a="1"/>
  <c r="E357" i="14" s="1"/>
  <c r="D350" i="14" a="1"/>
  <c r="D350" i="14" s="1"/>
  <c r="E358" i="14" a="1"/>
  <c r="E358" i="14" s="1"/>
  <c r="G365" i="14" a="1"/>
  <c r="G365" i="14" s="1"/>
  <c r="G369" i="14" a="1"/>
  <c r="G369" i="14" s="1"/>
  <c r="G366" i="14" a="1"/>
  <c r="G366" i="14" s="1"/>
  <c r="E355" i="14" a="1"/>
  <c r="E355" i="14" s="1"/>
  <c r="E354" i="14" a="1"/>
  <c r="E354" i="14" s="1"/>
  <c r="G364" i="14" a="1"/>
  <c r="G364" i="14" s="1"/>
  <c r="G362" i="14" a="1"/>
  <c r="G362" i="14" s="1"/>
  <c r="E356" i="14" a="1"/>
  <c r="E356" i="14" s="1"/>
  <c r="G213" i="20" a="1"/>
  <c r="G213" i="20" s="1"/>
  <c r="G206" i="20" a="1"/>
  <c r="G206" i="20" s="1"/>
  <c r="E206" i="14" a="1"/>
  <c r="E206" i="14" s="1"/>
  <c r="G214" i="14" a="1"/>
  <c r="G214" i="14" s="1"/>
  <c r="G215" i="14" a="1"/>
  <c r="G215" i="14" s="1"/>
  <c r="G217" i="14" a="1"/>
  <c r="G217" i="14" s="1"/>
  <c r="E198" i="20" a="1"/>
  <c r="E198" i="20" s="1"/>
  <c r="E52" i="14" a="1"/>
  <c r="E52" i="14" s="1"/>
  <c r="E207" i="14" a="1"/>
  <c r="E207" i="14" s="1"/>
  <c r="E54" i="14" a="1"/>
  <c r="E54" i="14" s="1"/>
  <c r="E202" i="14" a="1"/>
  <c r="E202" i="14" s="1"/>
  <c r="E199" i="20" a="1"/>
  <c r="E199" i="20" s="1"/>
  <c r="G209" i="20" a="1"/>
  <c r="G209" i="20" s="1"/>
  <c r="D193" i="20" a="1"/>
  <c r="D193" i="20" s="1"/>
  <c r="E197" i="20" a="1"/>
  <c r="E197" i="20" s="1"/>
  <c r="G60" i="14" a="1"/>
  <c r="G60" i="14" s="1"/>
  <c r="E55" i="14" a="1"/>
  <c r="E55" i="14" s="1"/>
  <c r="E203" i="14" a="1"/>
  <c r="E203" i="14" s="1"/>
  <c r="G212" i="14" a="1"/>
  <c r="G212" i="14" s="1"/>
  <c r="D198" i="14" a="1"/>
  <c r="D198" i="14" s="1"/>
  <c r="G210" i="14" a="1"/>
  <c r="G210" i="14" s="1"/>
  <c r="G205" i="20" a="1"/>
  <c r="G205" i="20" s="1"/>
  <c r="G210" i="20" a="1"/>
  <c r="G210" i="20" s="1"/>
  <c r="E51" i="14" a="1"/>
  <c r="E51" i="14" s="1"/>
  <c r="G65" i="14" a="1"/>
  <c r="G65" i="14" s="1"/>
  <c r="E205" i="14" a="1"/>
  <c r="E205" i="14" s="1"/>
  <c r="G208" i="20" a="1"/>
  <c r="G208" i="20" s="1"/>
  <c r="E201" i="20" a="1"/>
  <c r="E201" i="20" s="1"/>
  <c r="G207" i="20" a="1"/>
  <c r="G207" i="20" s="1"/>
  <c r="G212" i="20" a="1"/>
  <c r="G212" i="20" s="1"/>
  <c r="E202" i="20" a="1"/>
  <c r="E202" i="20" s="1"/>
  <c r="E200" i="20" a="1"/>
  <c r="E200" i="20" s="1"/>
  <c r="E245" i="14" a="1"/>
  <c r="E245" i="14" s="1"/>
  <c r="E243" i="14" a="1"/>
  <c r="E243" i="14" s="1"/>
  <c r="G252" i="14" a="1"/>
  <c r="G252" i="14" s="1"/>
  <c r="G251" i="14" a="1"/>
  <c r="G251" i="14" s="1"/>
  <c r="G248" i="20" a="1"/>
  <c r="G248" i="20" s="1"/>
  <c r="D236" i="14" a="1"/>
  <c r="D236" i="14" s="1"/>
  <c r="G255" i="14" a="1"/>
  <c r="G255" i="14" s="1"/>
  <c r="E50" i="14" a="1"/>
  <c r="E50" i="14" s="1"/>
  <c r="G62" i="14" a="1"/>
  <c r="G62" i="14" s="1"/>
  <c r="G249" i="14" a="1"/>
  <c r="G249" i="14" s="1"/>
  <c r="E244" i="14" a="1"/>
  <c r="E244" i="14" s="1"/>
  <c r="E241" i="14" a="1"/>
  <c r="E241" i="14" s="1"/>
  <c r="G249" i="20" a="1"/>
  <c r="G249" i="20" s="1"/>
  <c r="G61" i="14" a="1"/>
  <c r="G61" i="14" s="1"/>
  <c r="G253" i="14" a="1"/>
  <c r="G253" i="14" s="1"/>
  <c r="G250" i="14" a="1"/>
  <c r="G250" i="14" s="1"/>
  <c r="E242" i="14" a="1"/>
  <c r="E242" i="14" s="1"/>
  <c r="G243" i="20" a="1"/>
  <c r="G243" i="20" s="1"/>
  <c r="E163" i="20" a="1"/>
  <c r="E163" i="20" s="1"/>
  <c r="E160" i="20" a="1"/>
  <c r="E160" i="20" s="1"/>
  <c r="G171" i="20" a="1"/>
  <c r="G171" i="20" s="1"/>
  <c r="E161" i="20" a="1"/>
  <c r="E161" i="20" s="1"/>
  <c r="E162" i="20" a="1"/>
  <c r="E162" i="20" s="1"/>
  <c r="E165" i="20" a="1"/>
  <c r="E165" i="20" s="1"/>
  <c r="G168" i="20" a="1"/>
  <c r="G168" i="20" s="1"/>
  <c r="G174" i="20" a="1"/>
  <c r="G174" i="20" s="1"/>
  <c r="G169" i="20" a="1"/>
  <c r="G169" i="20" s="1"/>
  <c r="G172" i="20" a="1"/>
  <c r="G172" i="20" s="1"/>
  <c r="G176" i="20" a="1"/>
  <c r="G176" i="20" s="1"/>
  <c r="G170" i="20" a="1"/>
  <c r="G170" i="20" s="1"/>
  <c r="G173" i="20" a="1"/>
  <c r="G173" i="20" s="1"/>
  <c r="E164" i="20" a="1"/>
  <c r="E164" i="20" s="1"/>
  <c r="D156" i="20" a="1"/>
  <c r="D156" i="20" s="1"/>
  <c r="G175" i="20" a="1"/>
  <c r="G175" i="20" s="1"/>
  <c r="G63" i="20" a="1"/>
  <c r="G63" i="20" s="1"/>
  <c r="G60" i="20" a="1"/>
  <c r="G60" i="20" s="1"/>
  <c r="E54" i="20" a="1"/>
  <c r="E54" i="20" s="1"/>
  <c r="G64" i="20" a="1"/>
  <c r="G64" i="20" s="1"/>
  <c r="E50" i="20" a="1"/>
  <c r="E50" i="20" s="1"/>
  <c r="G61" i="20" a="1"/>
  <c r="G61" i="20" s="1"/>
  <c r="G62" i="20" a="1"/>
  <c r="G62" i="20" s="1"/>
  <c r="G57" i="20" a="1"/>
  <c r="G57" i="20" s="1"/>
  <c r="J66" i="20" a="1"/>
  <c r="J66" i="20" s="1"/>
  <c r="G65" i="20" a="1"/>
  <c r="G65" i="20" s="1"/>
  <c r="E52" i="20" a="1"/>
  <c r="E52" i="20" s="1"/>
  <c r="E49" i="20" a="1"/>
  <c r="E49" i="20" s="1"/>
  <c r="G59" i="20" a="1"/>
  <c r="G59" i="20" s="1"/>
  <c r="E51" i="20" a="1"/>
  <c r="E51" i="20" s="1"/>
  <c r="D45" i="20" a="1"/>
  <c r="D45" i="20" s="1"/>
  <c r="G58" i="20" a="1"/>
  <c r="G58" i="20" s="1"/>
  <c r="E53" i="20" a="1"/>
  <c r="E53" i="20" s="1"/>
  <c r="G136" i="20" a="1"/>
  <c r="G136" i="20" s="1"/>
  <c r="G133" i="20" a="1"/>
  <c r="G133" i="20" s="1"/>
  <c r="G138" i="20" a="1"/>
  <c r="G138" i="20" s="1"/>
  <c r="G139" i="20" a="1"/>
  <c r="G139" i="20" s="1"/>
  <c r="G134" i="20" a="1"/>
  <c r="G134" i="20" s="1"/>
  <c r="E127" i="20" a="1"/>
  <c r="E127" i="20" s="1"/>
  <c r="E125" i="20" a="1"/>
  <c r="E125" i="20" s="1"/>
  <c r="E126" i="20" a="1"/>
  <c r="E126" i="20" s="1"/>
  <c r="D119" i="20" a="1"/>
  <c r="D119" i="20" s="1"/>
  <c r="E124" i="20" a="1"/>
  <c r="E124" i="20" s="1"/>
  <c r="E123" i="20" a="1"/>
  <c r="E123" i="20" s="1"/>
  <c r="G131" i="20" a="1"/>
  <c r="G131" i="20" s="1"/>
  <c r="G132" i="20" a="1"/>
  <c r="G132" i="20" s="1"/>
  <c r="E128" i="20" a="1"/>
  <c r="E128" i="20" s="1"/>
  <c r="G137" i="20" a="1"/>
  <c r="G137" i="20" s="1"/>
  <c r="G135" i="20" a="1"/>
  <c r="G135" i="20" s="1"/>
  <c r="G359" i="20" a="1"/>
  <c r="G359" i="20" s="1"/>
  <c r="E350" i="20" a="1"/>
  <c r="E350" i="20" s="1"/>
  <c r="G360" i="20" a="1"/>
  <c r="G360" i="20" s="1"/>
  <c r="E346" i="20" a="1"/>
  <c r="E346" i="20" s="1"/>
  <c r="G356" i="20" a="1"/>
  <c r="G356" i="20" s="1"/>
  <c r="G358" i="20" a="1"/>
  <c r="G358" i="20" s="1"/>
  <c r="D341" i="20" a="1"/>
  <c r="D341" i="20" s="1"/>
  <c r="G355" i="20" a="1"/>
  <c r="G355" i="20" s="1"/>
  <c r="E347" i="20" a="1"/>
  <c r="E347" i="20" s="1"/>
  <c r="E348" i="20" a="1"/>
  <c r="E348" i="20" s="1"/>
  <c r="E349" i="20" a="1"/>
  <c r="E349" i="20" s="1"/>
  <c r="G353" i="20" a="1"/>
  <c r="G353" i="20" s="1"/>
  <c r="J362" i="20" a="1"/>
  <c r="J362" i="20" s="1"/>
  <c r="E345" i="20" a="1"/>
  <c r="E345" i="20" s="1"/>
  <c r="G354" i="20" a="1"/>
  <c r="G354" i="20" s="1"/>
  <c r="G361" i="20" a="1"/>
  <c r="G361" i="20" s="1"/>
  <c r="G357" i="20" a="1"/>
  <c r="G357" i="20" s="1"/>
  <c r="G94" i="20" a="1"/>
  <c r="G94" i="20" s="1"/>
  <c r="G97" i="20" a="1"/>
  <c r="G97" i="20" s="1"/>
  <c r="G96" i="20" a="1"/>
  <c r="G96" i="20" s="1"/>
  <c r="G102" i="20" a="1"/>
  <c r="G102" i="20" s="1"/>
  <c r="E90" i="20" a="1"/>
  <c r="E90" i="20" s="1"/>
  <c r="E91" i="20" a="1"/>
  <c r="E91" i="20" s="1"/>
  <c r="E86" i="20" a="1"/>
  <c r="E86" i="20" s="1"/>
  <c r="G98" i="20" a="1"/>
  <c r="G98" i="20" s="1"/>
  <c r="E88" i="20" a="1"/>
  <c r="E88" i="20" s="1"/>
  <c r="E87" i="20" a="1"/>
  <c r="E87" i="20" s="1"/>
  <c r="D82" i="20" a="1"/>
  <c r="D82" i="20" s="1"/>
  <c r="G101" i="20" a="1"/>
  <c r="G101" i="20" s="1"/>
  <c r="G100" i="20" a="1"/>
  <c r="G100" i="20" s="1"/>
  <c r="G95" i="20" a="1"/>
  <c r="G95" i="20" s="1"/>
  <c r="G99" i="20" a="1"/>
  <c r="G99" i="20" s="1"/>
  <c r="E89" i="20" a="1"/>
  <c r="E89" i="20" s="1"/>
  <c r="F334" i="14" l="1"/>
  <c r="F29" i="20"/>
  <c r="F182" i="14"/>
  <c r="F288" i="20"/>
  <c r="F325" i="20"/>
  <c r="F144" i="14"/>
  <c r="F372" i="14"/>
  <c r="F214" i="20"/>
  <c r="F220" i="14"/>
  <c r="F258" i="14"/>
  <c r="F251" i="20"/>
  <c r="F177" i="20"/>
  <c r="F140" i="20"/>
  <c r="F103" i="20"/>
  <c r="F362" i="20"/>
  <c r="F66" i="20"/>
  <c r="F30" i="14"/>
  <c r="AH8" i="12" l="1"/>
  <c r="AG22" i="25" s="1"/>
  <c r="AG2" i="25" l="1"/>
  <c r="AK8" i="12"/>
  <c r="AH6" i="12"/>
  <c r="G287" i="14" a="1"/>
  <c r="G287" i="14" s="1"/>
  <c r="F296" i="14" s="1"/>
  <c r="F68" i="14"/>
  <c r="J251" i="20" a="1"/>
  <c r="J251" i="20" s="1"/>
  <c r="J106" i="14" a="1"/>
  <c r="J106" i="14" s="1"/>
  <c r="J29" i="20" a="1"/>
  <c r="J29" i="20" s="1"/>
  <c r="J140" i="20" a="1"/>
  <c r="J140" i="20" s="1"/>
  <c r="J288" i="20" a="1"/>
  <c r="J288" i="20" s="1"/>
  <c r="J334" i="14" a="1"/>
  <c r="J334" i="14" s="1"/>
  <c r="J372" i="14" a="1"/>
  <c r="J372" i="14" s="1"/>
  <c r="J68" i="14" a="1"/>
  <c r="J68" i="14" s="1"/>
  <c r="J258" i="14" a="1"/>
  <c r="J258" i="14" s="1"/>
  <c r="J144" i="14" a="1"/>
  <c r="J144" i="14" s="1"/>
  <c r="J296" i="14" a="1"/>
  <c r="J296" i="14" s="1"/>
  <c r="J220" i="14" a="1"/>
  <c r="J220" i="14" s="1"/>
  <c r="J214" i="20" a="1"/>
  <c r="J214" i="20" s="1"/>
  <c r="J182" i="14" a="1"/>
  <c r="J182" i="14" s="1"/>
  <c r="J177" i="20" a="1"/>
  <c r="J177" i="20" s="1"/>
  <c r="J30" i="14" a="1"/>
  <c r="J30" i="14" s="1"/>
  <c r="J103" i="20" a="1"/>
  <c r="J103" i="20" s="1"/>
  <c r="AH4" i="12" l="1"/>
  <c r="AH5" i="12" s="1"/>
  <c r="AW2" i="12"/>
  <c r="B3" i="25" l="1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8" i="25"/>
  <c r="B69" i="25"/>
  <c r="B70" i="25"/>
  <c r="B71" i="25"/>
  <c r="B72" i="25"/>
  <c r="B73" i="25"/>
  <c r="B74" i="25"/>
  <c r="B75" i="25"/>
  <c r="B76" i="25"/>
  <c r="B77" i="25"/>
  <c r="B78" i="25"/>
  <c r="B79" i="25"/>
  <c r="B80" i="25"/>
  <c r="B81" i="25"/>
  <c r="B82" i="25"/>
  <c r="B83" i="25"/>
  <c r="B84" i="25"/>
  <c r="B85" i="25"/>
  <c r="B86" i="25"/>
  <c r="B87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tc={4683D917-09CD-4EB8-9476-C8AE5F1964C8}</author>
    <author>tc={D6B4C25E-FFB5-475F-BFEB-1ADED83D71F1}</author>
    <author>tc={3134054A-8B98-4E60-99FC-936BAD2169E4}</author>
    <author>tc={5E68E17D-0957-4BAA-B95E-86434C807A91}</author>
    <author>tc={6D91C830-B61D-4E91-8022-B9236526A464}</author>
    <author>tc={8741D615-F1AC-400E-8AD8-85BE72BAA722}</author>
  </authors>
  <commentList>
    <comment ref="O9" authorId="0" shapeId="0" xr:uid="{4683D917-09CD-4EB8-9476-C8AE5F1964C8}">
      <text>
        <t xml:space="preserve">[對話串註解]
您的 Excel 版本可讓您讀取此對話串註解; 但若以較新的 Excel 版本開啟此檔案，將會移除對它進行的所有編輯。深入了解: https://go.microsoft.com/fwlink/?linkid=870924。
註解:
    25/4 人工不上單
</t>
      </text>
    </comment>
    <comment ref="O12" authorId="1" shapeId="0" xr:uid="{D6B4C25E-FFB5-475F-BFEB-1ADED83D71F1}">
      <text>
        <t xml:space="preserve">[對話串註解]
您的 Excel 版本可讓您讀取此對話串註解; 但若以較新的 Excel 版本開啟此檔案，將會移除對它進行的所有編輯。深入了解: https://go.microsoft.com/fwlink/?linkid=870924。
註解:
    Whompoa Aeon +80/D
</t>
      </text>
    </comment>
    <comment ref="O14" authorId="2" shapeId="0" xr:uid="{3134054A-8B98-4E60-99FC-936BAD2169E4}">
      <text>
        <t xml:space="preserve">[對話串註解]
您的 Excel 版本可讓您讀取此對話串註解; 但若以較新的 Excel 版本開啟此檔案，將會移除對它進行的所有編輯。深入了解: https://go.microsoft.com/fwlink/?linkid=870924。
註解:
    Whompoa Aeon +80/D
</t>
      </text>
    </comment>
    <comment ref="O37" authorId="3" shapeId="0" xr:uid="{5E68E17D-0957-4BAA-B95E-86434C807A91}">
      <text>
        <t xml:space="preserve">[對話串註解]
您的 Excel 版本可讓您讀取此對話串註解; 但若以較新的 Excel 版本開啟此檔案，將會移除對它進行的所有編輯。深入了解: https://go.microsoft.com/fwlink/?linkid=870924。
註解:
    Whompoa Aeon +80/D
</t>
      </text>
    </comment>
    <comment ref="O45" authorId="4" shapeId="0" xr:uid="{6D91C830-B61D-4E91-8022-B9236526A464}">
      <text>
        <t>[對話串註解]
您的 Excel 版本可讓您讀取此對話串註解; 但若以較新的 Excel 版本開啟此檔案，將會移除對它進行的所有編輯。深入了解: https://go.microsoft.com/fwlink/?linkid=870924。
註解:
    扣返美的6月份出多$180</t>
      </text>
    </comment>
    <comment ref="O76" authorId="5" shapeId="0" xr:uid="{8741D615-F1AC-400E-8AD8-85BE72BAA722}">
      <text>
        <t xml:space="preserve">[對話串註解]
您的 Excel 版本可讓您讀取此對話串註解; 但若以較新的 Excel 版本開啟此檔案，將會移除對它進行的所有編輯。深入了解: https://go.microsoft.com/fwlink/?linkid=870924。
註解:
    Whompoa Aeon +80/D
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4">
    <bk>
      <rc t="2" v="0"/>
    </bk>
    <bk>
      <rc t="2" v="1"/>
    </bk>
    <bk>
      <rc t="2" v="2"/>
    </bk>
    <bk>
      <rc t="2" v="3"/>
    </bk>
  </valueMetadata>
</metadata>
</file>

<file path=xl/sharedStrings.xml><?xml version="1.0" encoding="utf-8"?>
<sst xmlns="http://schemas.openxmlformats.org/spreadsheetml/2006/main" count="2292" uniqueCount="597">
  <si>
    <t>Room 1609, 16/F., Golden Era Plaza, No. 39 Sai Yee Street, Mongkok, KLN. Tel:35868635 Fax:31889330</t>
  </si>
  <si>
    <t>CQ No.</t>
  </si>
  <si>
    <t>Total</t>
  </si>
  <si>
    <t>Allowance</t>
  </si>
  <si>
    <t xml:space="preserve"> </t>
  </si>
  <si>
    <t>Invoice No.</t>
  </si>
  <si>
    <t>Income</t>
  </si>
  <si>
    <t>Pay</t>
  </si>
  <si>
    <t>GP</t>
  </si>
  <si>
    <t>No.</t>
  </si>
  <si>
    <t>Shop</t>
  </si>
  <si>
    <t>Period</t>
  </si>
  <si>
    <t>Days</t>
  </si>
  <si>
    <t>Reg.Hrs</t>
  </si>
  <si>
    <t>$</t>
  </si>
  <si>
    <t>Sales</t>
  </si>
  <si>
    <t>Input</t>
  </si>
  <si>
    <t>i Wall@</t>
    <phoneticPr fontId="10" type="noConversion"/>
  </si>
  <si>
    <t>SharpSing Limited</t>
    <phoneticPr fontId="10" type="noConversion"/>
  </si>
  <si>
    <t>Room 1609, 16/F., Golden Era Plaza, No. 39 Sai Yee Street, Mongkok, KLN. Tel:35868635 Fax:31889330</t>
    <phoneticPr fontId="10" type="noConversion"/>
  </si>
  <si>
    <t>Name/姓名</t>
    <phoneticPr fontId="10" type="noConversion"/>
  </si>
  <si>
    <t>CQ NO.</t>
    <phoneticPr fontId="10" type="noConversion"/>
  </si>
  <si>
    <t>Job Detail</t>
    <phoneticPr fontId="10" type="noConversion"/>
  </si>
  <si>
    <t>Content</t>
    <phoneticPr fontId="10" type="noConversion"/>
  </si>
  <si>
    <t>Job Categories/工作類別</t>
  </si>
  <si>
    <t>Promoter</t>
  </si>
  <si>
    <t>Location/工作地點</t>
  </si>
  <si>
    <t>Period/工作日子</t>
    <phoneticPr fontId="10" type="noConversion"/>
  </si>
  <si>
    <t>Reg.Day/工作日數</t>
  </si>
  <si>
    <t>Reg.Hour/工作時數</t>
  </si>
  <si>
    <t>HK$/時薪</t>
  </si>
  <si>
    <t>Sales Record/銷售紀錄</t>
  </si>
  <si>
    <t>Salary Detail</t>
    <phoneticPr fontId="10" type="noConversion"/>
  </si>
  <si>
    <t>Sub. Total</t>
    <phoneticPr fontId="10" type="noConversion"/>
  </si>
  <si>
    <t>Basic/酬金</t>
  </si>
  <si>
    <t>Attendance/出勤</t>
    <phoneticPr fontId="10" type="noConversion"/>
  </si>
  <si>
    <t>Commission/佣金</t>
  </si>
  <si>
    <t>Allowance/津貼</t>
    <phoneticPr fontId="10" type="noConversion"/>
  </si>
  <si>
    <t>Award/獎金</t>
    <phoneticPr fontId="10" type="noConversion"/>
  </si>
  <si>
    <t>Expenses/支出</t>
  </si>
  <si>
    <t>Other/其他</t>
    <phoneticPr fontId="10" type="noConversion"/>
  </si>
  <si>
    <t>Adjustment/調整</t>
    <phoneticPr fontId="10" type="noConversion"/>
  </si>
  <si>
    <t>MPF/強積金**</t>
    <phoneticPr fontId="10" type="noConversion"/>
  </si>
  <si>
    <t>Total</t>
    <phoneticPr fontId="10" type="noConversion"/>
  </si>
  <si>
    <t>**如屬自僱人仕必須自行購買勞工保險及強積金；</t>
  </si>
  <si>
    <t>註 1：如所支付之金額有錯誤，請在兩天內提出；</t>
  </si>
  <si>
    <t>註 2：請自行核對清楚支票上的姓名及金額；</t>
  </si>
  <si>
    <t>Promoter 確認簽名 :</t>
    <phoneticPr fontId="10" type="noConversion"/>
  </si>
  <si>
    <t>I.D. Card No. :</t>
    <phoneticPr fontId="10" type="noConversion"/>
  </si>
  <si>
    <t>i Wall@</t>
  </si>
  <si>
    <t>SharpSing Limited</t>
  </si>
  <si>
    <t>i Wall@</t>
    <phoneticPr fontId="10" type="noConversion"/>
  </si>
  <si>
    <t>SharpSing Limited</t>
    <phoneticPr fontId="10" type="noConversion"/>
  </si>
  <si>
    <t>Room 1609, 16/F., Golden Era Plaza, No. 39 Sai Yee Street, Mongkok, KLN. Tel:35868635 Fax:31889330</t>
    <phoneticPr fontId="10" type="noConversion"/>
  </si>
  <si>
    <t>QTY</t>
    <phoneticPr fontId="10" type="noConversion"/>
  </si>
  <si>
    <t>Daisy</t>
  </si>
  <si>
    <t>Basic</t>
    <phoneticPr fontId="10" type="noConversion"/>
  </si>
  <si>
    <t xml:space="preserve"> </t>
    <phoneticPr fontId="10" type="noConversion"/>
  </si>
  <si>
    <t>Michelle</t>
  </si>
  <si>
    <t>Toshiba AC</t>
  </si>
  <si>
    <t>SSPT20220440 - Toshiba AC</t>
    <phoneticPr fontId="78" type="noConversion"/>
  </si>
  <si>
    <t>Amy Or</t>
  </si>
  <si>
    <t xml:space="preserve">2023' Toshiba Promoter Salary Summary </t>
  </si>
  <si>
    <t>欄1</t>
  </si>
  <si>
    <t>Grace</t>
  </si>
  <si>
    <t>Kiko</t>
  </si>
  <si>
    <t>May C</t>
  </si>
  <si>
    <t>Allowance/津貼</t>
  </si>
  <si>
    <t>Leo</t>
  </si>
  <si>
    <t>Yuen Lai Ying</t>
  </si>
  <si>
    <t>🙏🏻自取票同事可於今天起至9號上午到取‼️</t>
  </si>
  <si>
    <t>🌟公司於2月10日至18日放假🧧請各位留意🙏🏻</t>
  </si>
  <si>
    <t>Invoice No.</t>
    <phoneticPr fontId="10" type="noConversion"/>
  </si>
  <si>
    <t>MPF</t>
    <phoneticPr fontId="10" type="noConversion"/>
  </si>
  <si>
    <t>欄2</t>
    <phoneticPr fontId="10" type="noConversion"/>
  </si>
  <si>
    <t>Shatin_1 Yata</t>
  </si>
  <si>
    <t>Shatin_2 Yata</t>
  </si>
  <si>
    <t>欄5</t>
    <phoneticPr fontId="10" type="noConversion"/>
  </si>
  <si>
    <t>Comfee 
RAC</t>
  </si>
  <si>
    <t>LAD 
BN90</t>
  </si>
  <si>
    <t>SDA 
JP RCK</t>
  </si>
  <si>
    <t>MCA 
Oven</t>
  </si>
  <si>
    <t xml:space="preserve">2024' Toshiba Promoter Salary Summary </t>
    <phoneticPr fontId="10" type="noConversion"/>
  </si>
  <si>
    <t>Fong_1</t>
  </si>
  <si>
    <t>Kai Tak_2 Sogo</t>
  </si>
  <si>
    <t>Kai Tak_1 Sogo</t>
  </si>
  <si>
    <t>Kit</t>
  </si>
  <si>
    <t>LAD</t>
    <phoneticPr fontId="10" type="noConversion"/>
  </si>
  <si>
    <t xml:space="preserve">2025' Toshiba Promoter Salary Summary </t>
  </si>
  <si>
    <t>Ivy Wong</t>
  </si>
  <si>
    <t>Mui Hon</t>
  </si>
  <si>
    <t>Tsang Tak Kin</t>
  </si>
  <si>
    <t>Kwan Tit Ho</t>
  </si>
  <si>
    <t>Ng Nga Fong</t>
  </si>
  <si>
    <t>Donnie</t>
  </si>
  <si>
    <t>Room 1609, 16/F., Golden Era Plaza, No. 39 Sai Yee Street, Mongkok, KLN. Tel:35868635 Fax:31889570</t>
  </si>
  <si>
    <t>Ho Lai Sim</t>
  </si>
  <si>
    <t>Ho Lai Kuen</t>
  </si>
  <si>
    <t>TM_2 Aeon</t>
  </si>
  <si>
    <t>TP_1 Yata</t>
  </si>
  <si>
    <t>TP_2 Yata</t>
  </si>
  <si>
    <t>Toshiba</t>
    <phoneticPr fontId="10" type="noConversion"/>
  </si>
  <si>
    <t>Yeung Kwai Lin</t>
  </si>
  <si>
    <t>REF 
RM612</t>
    <phoneticPr fontId="10" type="noConversion"/>
  </si>
  <si>
    <t>Happy</t>
  </si>
  <si>
    <t>Lily Hon</t>
  </si>
  <si>
    <t>Fong_2</t>
  </si>
  <si>
    <t>Jaco</t>
  </si>
  <si>
    <t>Coco</t>
  </si>
  <si>
    <r>
      <t>Expenses/</t>
    </r>
    <r>
      <rPr>
        <b/>
        <sz val="20"/>
        <rFont val="微軟正黑體"/>
        <family val="2"/>
        <charset val="136"/>
      </rPr>
      <t>支出</t>
    </r>
    <phoneticPr fontId="10" type="noConversion"/>
  </si>
  <si>
    <t>Ho Wai Ling</t>
  </si>
  <si>
    <t>Li Yuk Ching</t>
  </si>
  <si>
    <t xml:space="preserve">Chan Siu Mui </t>
  </si>
  <si>
    <t>Cheung Yu Wing Yee</t>
  </si>
  <si>
    <t>Sit Kwok Fong</t>
  </si>
  <si>
    <t>Chun Yin Ling</t>
  </si>
  <si>
    <t>Chan Siu Kuen</t>
  </si>
  <si>
    <t>Kitty Li</t>
  </si>
  <si>
    <t>Kitty Yeung</t>
  </si>
  <si>
    <t>Ling Ho</t>
  </si>
  <si>
    <t>Connie</t>
  </si>
  <si>
    <t>Yee</t>
  </si>
  <si>
    <t>Wong Tak Chung</t>
  </si>
  <si>
    <t>Wong Lai Ying</t>
  </si>
  <si>
    <t>Kornhill Aeon</t>
  </si>
  <si>
    <t>Vcity Fortress</t>
  </si>
  <si>
    <t>Good Hope Fortress</t>
  </si>
  <si>
    <t>Tai koo Broadway</t>
  </si>
  <si>
    <t>TW_1 Citistore</t>
  </si>
  <si>
    <t>TW_2 Citistore</t>
  </si>
  <si>
    <t>TM Suning</t>
  </si>
  <si>
    <t>TM_1 Aeon</t>
  </si>
  <si>
    <t>TW Suning</t>
  </si>
  <si>
    <t>Yoho Suning</t>
  </si>
  <si>
    <t>TM Citistore</t>
  </si>
  <si>
    <t>Aberdeen Fortress</t>
  </si>
  <si>
    <t>A1</t>
    <phoneticPr fontId="10" type="noConversion"/>
  </si>
  <si>
    <t>A2</t>
  </si>
  <si>
    <t>A3</t>
  </si>
  <si>
    <t>A4</t>
  </si>
  <si>
    <t>A5</t>
  </si>
  <si>
    <t>A6</t>
  </si>
  <si>
    <t>A7</t>
  </si>
  <si>
    <t>A8</t>
  </si>
  <si>
    <t>A9</t>
  </si>
  <si>
    <t>B1</t>
    <phoneticPr fontId="10" type="noConversion"/>
  </si>
  <si>
    <t>B2</t>
  </si>
  <si>
    <t>B3</t>
  </si>
  <si>
    <t>B4</t>
  </si>
  <si>
    <t>B5</t>
  </si>
  <si>
    <t>B6</t>
  </si>
  <si>
    <t>B7</t>
  </si>
  <si>
    <t>B8</t>
  </si>
  <si>
    <t>B9</t>
  </si>
  <si>
    <t>Chiu Fung Shan</t>
  </si>
  <si>
    <t>Tam Wing Lam</t>
  </si>
  <si>
    <t>MiuYu</t>
  </si>
  <si>
    <t>Lynne</t>
  </si>
  <si>
    <t>Jessica</t>
  </si>
  <si>
    <t>Sau Kwan</t>
  </si>
  <si>
    <t>Hung</t>
  </si>
  <si>
    <t>Maggie Li</t>
  </si>
  <si>
    <t>Emma</t>
  </si>
  <si>
    <t>Gloria</t>
  </si>
  <si>
    <t>Tony</t>
  </si>
  <si>
    <t>Maggie Ho</t>
  </si>
  <si>
    <t>PoWan</t>
  </si>
  <si>
    <t>Diamond Hill Fortress</t>
  </si>
  <si>
    <t>Mok Hoi Ling</t>
  </si>
  <si>
    <t>Wong Miu Yu</t>
  </si>
  <si>
    <t>Wong Wai Chu</t>
  </si>
  <si>
    <t>Lo Muk Chun</t>
  </si>
  <si>
    <t>Yeung Lai Shan</t>
  </si>
  <si>
    <t>Or Sim Kiu</t>
  </si>
  <si>
    <t>Chan Mei Sim</t>
  </si>
  <si>
    <t>Hon Lily</t>
  </si>
  <si>
    <t>Chau Chi Wah</t>
  </si>
  <si>
    <t>Hui Man Hung</t>
  </si>
  <si>
    <t>Lam King Chung</t>
  </si>
  <si>
    <t>Li Wenjie</t>
  </si>
  <si>
    <t>Ka Kui,Jaco</t>
  </si>
  <si>
    <t>Name</t>
    <phoneticPr fontId="95" type="noConversion"/>
  </si>
  <si>
    <t>Full Name</t>
    <phoneticPr fontId="95" type="noConversion"/>
  </si>
  <si>
    <t>Anita</t>
  </si>
  <si>
    <t>Cindy</t>
  </si>
  <si>
    <t>Ng Mei Han</t>
  </si>
  <si>
    <t>Ng Yuk Ying</t>
  </si>
  <si>
    <t>Fong</t>
  </si>
  <si>
    <t>Yeung Chor Mui</t>
  </si>
  <si>
    <t>Mok Choi Lin</t>
  </si>
  <si>
    <t>Ho</t>
  </si>
  <si>
    <t>Iris</t>
  </si>
  <si>
    <t>Li Hang Yi</t>
  </si>
  <si>
    <t>Chiu Kan</t>
  </si>
  <si>
    <t>Kandy</t>
  </si>
  <si>
    <t>Sin Hoi Yam</t>
  </si>
  <si>
    <t>Li Lai Po</t>
  </si>
  <si>
    <t>Kuen</t>
  </si>
  <si>
    <t>Yau Shuk Kuen</t>
  </si>
  <si>
    <t>Maggie Yip</t>
  </si>
  <si>
    <t>Yip Mei King</t>
  </si>
  <si>
    <t>Mandy</t>
  </si>
  <si>
    <t>Cheng Muk Kiu</t>
  </si>
  <si>
    <t>Me</t>
  </si>
  <si>
    <t>Ngai Kong Ying</t>
  </si>
  <si>
    <t>Mui Chan</t>
  </si>
  <si>
    <t>Chan So Mui</t>
  </si>
  <si>
    <t>Hon Suet Mui</t>
  </si>
  <si>
    <t>Pam</t>
  </si>
  <si>
    <t>Ng Po Wan</t>
  </si>
  <si>
    <t>Cheung Sau Kwan</t>
  </si>
  <si>
    <t>Shan</t>
  </si>
  <si>
    <t>Shirley</t>
  </si>
  <si>
    <t>Terence</t>
  </si>
  <si>
    <t>Vicky L</t>
  </si>
  <si>
    <t>Leung Ching</t>
  </si>
  <si>
    <t>Wendy Lau</t>
  </si>
  <si>
    <t>Lau Kwan Wai</t>
  </si>
  <si>
    <t>Wendy Wong</t>
  </si>
  <si>
    <t>Winnie</t>
  </si>
  <si>
    <t>Lee Yee Wan</t>
  </si>
  <si>
    <t>Jason Yu</t>
  </si>
  <si>
    <t>Yu Shing Hin</t>
    <phoneticPr fontId="95" type="noConversion"/>
  </si>
  <si>
    <t>Hero</t>
  </si>
  <si>
    <t>Choi Cheung Yu</t>
  </si>
  <si>
    <t>Tiffany</t>
  </si>
  <si>
    <t>Maggie Ho_1</t>
  </si>
  <si>
    <t>Maggie Ho_2</t>
  </si>
  <si>
    <t>No</t>
    <phoneticPr fontId="10" type="noConversion"/>
  </si>
  <si>
    <t>Name1</t>
    <phoneticPr fontId="10" type="noConversion"/>
  </si>
  <si>
    <t>Name.</t>
    <phoneticPr fontId="10" type="noConversion"/>
  </si>
  <si>
    <t>Full Name1</t>
    <phoneticPr fontId="10" type="noConversion"/>
  </si>
  <si>
    <t>Full Name.</t>
    <phoneticPr fontId="10" type="noConversion"/>
  </si>
  <si>
    <t>$$$</t>
    <phoneticPr fontId="10" type="noConversion"/>
  </si>
  <si>
    <t>Shop</t>
    <phoneticPr fontId="10" type="noConversion"/>
  </si>
  <si>
    <t>Diamond Hill Broadway</t>
  </si>
  <si>
    <t>APM Broadway</t>
  </si>
  <si>
    <t>Man Wai Han</t>
  </si>
  <si>
    <t>欄3</t>
    <phoneticPr fontId="10" type="noConversion"/>
  </si>
  <si>
    <t>"Total" No.</t>
    <phoneticPr fontId="10" type="noConversion"/>
  </si>
  <si>
    <t>-</t>
  </si>
  <si>
    <t>Commission (1% OR 2%)</t>
    <phoneticPr fontId="10" type="noConversion"/>
  </si>
  <si>
    <t>%</t>
    <phoneticPr fontId="10" type="noConversion"/>
  </si>
  <si>
    <t>Double check</t>
    <phoneticPr fontId="10" type="noConversion"/>
  </si>
  <si>
    <t>Double check2</t>
    <phoneticPr fontId="10" type="noConversion"/>
  </si>
  <si>
    <t>Pinky</t>
  </si>
  <si>
    <t>Cheung Yin Ping</t>
  </si>
  <si>
    <t>Times Fortress</t>
  </si>
  <si>
    <t>A10</t>
  </si>
  <si>
    <t>A11</t>
  </si>
  <si>
    <t>B10</t>
  </si>
  <si>
    <t>B11</t>
  </si>
  <si>
    <t>B12</t>
  </si>
  <si>
    <t>A12</t>
  </si>
  <si>
    <t>Yu Shing Hin</t>
  </si>
  <si>
    <t>Wendy Wong_1</t>
  </si>
  <si>
    <t>Raymond</t>
  </si>
  <si>
    <t>Kwok Chun Wah</t>
  </si>
  <si>
    <t>Wendy Wong_2</t>
  </si>
  <si>
    <t>Hazel</t>
  </si>
  <si>
    <t>Tan Xingfang</t>
  </si>
  <si>
    <t>SK</t>
  </si>
  <si>
    <t>Ip Sau King</t>
  </si>
  <si>
    <t>Whampoa Aeon</t>
  </si>
  <si>
    <t>Tai Koo Fortress</t>
  </si>
  <si>
    <t>Mos Citistore</t>
  </si>
  <si>
    <t>YL_1 Citistore</t>
  </si>
  <si>
    <t>YL_2 Citistore</t>
  </si>
  <si>
    <t>TKO Suning</t>
  </si>
  <si>
    <t>TP_3 Yata</t>
  </si>
  <si>
    <t>F613 Demo_1 Fortress</t>
  </si>
  <si>
    <t>F613 Demo_2 Fortress</t>
  </si>
  <si>
    <t>Tsuen Wan Aeon</t>
  </si>
  <si>
    <t>Panda Aeon</t>
  </si>
  <si>
    <t>TKO Aeon</t>
  </si>
  <si>
    <t>A13</t>
  </si>
  <si>
    <t>B13</t>
  </si>
  <si>
    <t>Autopay</t>
  </si>
  <si>
    <t>Ivy Wong_1</t>
  </si>
  <si>
    <t>Amy Or_1</t>
  </si>
  <si>
    <t>Shirley_1</t>
  </si>
  <si>
    <t>Tony_1</t>
  </si>
  <si>
    <t>Tony_2</t>
  </si>
  <si>
    <t>Shirley_2</t>
  </si>
  <si>
    <t>Mui Chan_1</t>
  </si>
  <si>
    <t>Tony_3</t>
  </si>
  <si>
    <t>Ivy Wong_2</t>
  </si>
  <si>
    <t>Amy Or_2</t>
  </si>
  <si>
    <t>Mui Chan_2</t>
  </si>
  <si>
    <t>TKW Suning</t>
  </si>
  <si>
    <t>TW_3 Citistore</t>
  </si>
  <si>
    <t>TW_4 Citistore</t>
  </si>
  <si>
    <t>Tung Chun Fortress</t>
  </si>
  <si>
    <t>TW Fortress</t>
  </si>
  <si>
    <t>APM Fortress</t>
  </si>
  <si>
    <t>Kai Tak RS Sogo</t>
  </si>
  <si>
    <t>Tai Koo_1 Apita</t>
  </si>
  <si>
    <t>Tai Koo_2 Apita</t>
  </si>
  <si>
    <t>Kln Bay_1 Broadway</t>
  </si>
  <si>
    <t>Kln Bay_2 Broadway</t>
  </si>
  <si>
    <t>Kln Bay Demo_1 Broadway</t>
  </si>
  <si>
    <t>Kln Bay Demo_2 Broadway</t>
  </si>
  <si>
    <t>Kln Bay Demo_3 Broadway</t>
  </si>
  <si>
    <t>LCK_1 Aeon</t>
  </si>
  <si>
    <t>LCK_2 Aeon</t>
  </si>
  <si>
    <t>Megabox Aeon</t>
  </si>
  <si>
    <t>Yau Tong_1 Aeon</t>
  </si>
  <si>
    <t>Yau Tong_2 Aeon</t>
  </si>
  <si>
    <t>抽濕機特佣</t>
  </si>
  <si>
    <t>Feb/1-2,4-8,10-15,22-24,26-28</t>
  </si>
  <si>
    <t>Feb/1,7-8,14-15,22,28</t>
  </si>
  <si>
    <t>Feb/1-5,7-9,11-12,14-16,20-26,28</t>
  </si>
  <si>
    <t>Feb/1,3-8,10-16,23-27</t>
  </si>
  <si>
    <t>Feb/1-2,4,6-9,11,13-15,20-22,24-28</t>
  </si>
  <si>
    <t>Feb/1-5,7-12,14-16,20-24,26-28</t>
  </si>
  <si>
    <t>Feb/1,7-8,14,21-22,28</t>
  </si>
  <si>
    <t>Feb/1,7-8,14-15,21-22,28</t>
  </si>
  <si>
    <t>Feb/1-3,5-9,11-12,14-15,21-24,26-28</t>
  </si>
  <si>
    <t>Feb/10,13,20,25</t>
  </si>
  <si>
    <t>Feb/4</t>
  </si>
  <si>
    <t>Feb/16</t>
  </si>
  <si>
    <t>Feb/1-5,7-15,25-28</t>
  </si>
  <si>
    <t>Feb/1,3-5,7-12,15-16,19-24,27-28</t>
  </si>
  <si>
    <t>Feb/1-5,11-15,22-25,27-28</t>
  </si>
  <si>
    <t>Feb/1-2,4-6,8-9,11-12,14-16,20-24,26-28</t>
  </si>
  <si>
    <t>Feb/1-2,4-5,7-8,11-12,14,16,20-22,25-26,28</t>
  </si>
  <si>
    <t>Feb/6,24</t>
  </si>
  <si>
    <t>Feb/1,14,28</t>
  </si>
  <si>
    <t>Feb/1-5,7-12,14-16,20-22,24-25,27-28</t>
  </si>
  <si>
    <t>Feb/1-3,5-10,12-13,15,22-24,26-28</t>
  </si>
  <si>
    <t>Feb/1-2,5-9,12-15,21-24,26-28</t>
  </si>
  <si>
    <t>Feb/3,10</t>
  </si>
  <si>
    <t>Feb/1-2,4-10,13-16,20-24,26-28</t>
  </si>
  <si>
    <t>Feb/1-8,10-12,21-24,26-28</t>
  </si>
  <si>
    <t>Feb/1-2,4-6,9,11-12,14-15,21-22,24-28</t>
  </si>
  <si>
    <t>Feb/1,3,5-8,11-12,19-22,26</t>
  </si>
  <si>
    <t>Feb/1,3-5,7-8,10-12,14-15,21-22,24-28</t>
  </si>
  <si>
    <t>Feb/1-5,7-8,10-12,14-16,21-26,28</t>
  </si>
  <si>
    <t>Feb/1-3,6-9,12-15,21-24,26-28</t>
  </si>
  <si>
    <t>Feb/4-5,10-11,16,20,25</t>
  </si>
  <si>
    <t>Feb/1-2,4-8,10-15,24-28</t>
  </si>
  <si>
    <t>Feb/16,20-23</t>
  </si>
  <si>
    <t>Feb/3,9</t>
  </si>
  <si>
    <t>Feb/1-3,5-8,10-12,14-15,20-22,24-26,28</t>
  </si>
  <si>
    <t>Feb/27</t>
  </si>
  <si>
    <t>Feb/28</t>
  </si>
  <si>
    <t>Feb/1,3-8,10-16,22-23</t>
  </si>
  <si>
    <t>Feb/2,9,20-21</t>
  </si>
  <si>
    <t>Feb/4-5,7-12,14,16,21-23,26,28</t>
  </si>
  <si>
    <t>Feb/6,13,15</t>
  </si>
  <si>
    <t>Feb/9</t>
  </si>
  <si>
    <t>Feb/24-25</t>
  </si>
  <si>
    <t>Feb/6-15,22-25,27-28</t>
  </si>
  <si>
    <t>Feb/4-5,16,26</t>
  </si>
  <si>
    <t>Feb/20-21</t>
  </si>
  <si>
    <t>Feb/1-2,4-10,12-16,20-28</t>
  </si>
  <si>
    <t>Feb/1-3,5-10,12-15,20-24,26-28</t>
  </si>
  <si>
    <t>Feb/1-2,4-5,7-10,12-16,20,23-25,27-28</t>
  </si>
  <si>
    <t>Feb/21-22</t>
  </si>
  <si>
    <t>Feb/1-4,6-11,13-16,20-26,28</t>
  </si>
  <si>
    <t>Feb/1-4,6-13</t>
  </si>
  <si>
    <t>Feb/14-15,20-23,25,27-28</t>
  </si>
  <si>
    <t>Feb/1-2,4-8,10-11,13-15,22-23,25-28</t>
  </si>
  <si>
    <t>Name.</t>
  </si>
  <si>
    <t>Full Name.</t>
  </si>
  <si>
    <t>OK</t>
  </si>
  <si>
    <t>1-4,7-11,13-18,20-25,27-28,30-31/Jan</t>
  </si>
  <si>
    <t>2-4,10-11,24-25,31/Jan</t>
  </si>
  <si>
    <t>1,3-8,10-11,13-15,17-22,24-27,29,31/Jan</t>
  </si>
  <si>
    <t>1-4,6-11,14-18,21-25,28-31/Jan</t>
  </si>
  <si>
    <t>1-4,8-12,14-20,22-26,28-31/Jan</t>
  </si>
  <si>
    <t>TKW_1 Suning</t>
  </si>
  <si>
    <t>7-8,10-15,17-22,24-29/Jan</t>
  </si>
  <si>
    <t>TKW_2 Suning</t>
  </si>
  <si>
    <t>1-4,6/Jan</t>
  </si>
  <si>
    <t>1-4,10-11,17,25/Jan</t>
  </si>
  <si>
    <t>Sau Kwan_1</t>
  </si>
  <si>
    <t>1-4,10-11,24-25/Jan</t>
  </si>
  <si>
    <t>1-5,8-12,15-19,22-26,29-31/Jan</t>
  </si>
  <si>
    <t>6-7,13-14,20-21,27-28/Jan</t>
  </si>
  <si>
    <t>3-7,10-14,17-22,25-27,31/Jan</t>
  </si>
  <si>
    <t>Tung Chun_1 Fortress</t>
  </si>
  <si>
    <t>7-8,10-12,14-15,17-22,24-29/Jan</t>
  </si>
  <si>
    <t>Wendy Lau_1</t>
  </si>
  <si>
    <t>Tung Chun_2 Fortress</t>
  </si>
  <si>
    <t>1-2,4-7,10-13,16-20,23-28,30-31/Jan</t>
  </si>
  <si>
    <t>1-5,7-11,13-15,18-20,22-25,27-28,30-31/Jan</t>
  </si>
  <si>
    <t>Mos RS Citistore</t>
  </si>
  <si>
    <t>6,12/Jan</t>
  </si>
  <si>
    <t>1-3,5,7-9,11-12,14-15,17-20,25-27,30-31/Jan</t>
  </si>
  <si>
    <t>23-24,29/Jan</t>
  </si>
  <si>
    <t>TW_1 Fortress</t>
  </si>
  <si>
    <t>2-4/Jan</t>
  </si>
  <si>
    <t>Terence_1</t>
  </si>
  <si>
    <t>TW_2 Fortress</t>
  </si>
  <si>
    <t>10-11/Jan</t>
  </si>
  <si>
    <t>Kandy_2</t>
  </si>
  <si>
    <t>TW_3 Fortress</t>
  </si>
  <si>
    <t>31/Jan</t>
  </si>
  <si>
    <t>2-6,8-11,17-22,24-29,31/Jan</t>
  </si>
  <si>
    <t>2-6,8,10-13,15,18-20,22-24,26-27,29-31/Jan</t>
  </si>
  <si>
    <t>8-13,15-31/Jan</t>
  </si>
  <si>
    <t>Ho_2</t>
  </si>
  <si>
    <t>1-7/Jan</t>
  </si>
  <si>
    <t>Yee_2</t>
  </si>
  <si>
    <t>YL_3 Citistore</t>
  </si>
  <si>
    <t>30/Jan</t>
  </si>
  <si>
    <t>1-12,14-15,17-20,22-26,28-29,31/Jan</t>
  </si>
  <si>
    <t>1-2,4-5,7-8,10-12,14,17-18,21-22,24-29,31/Jan</t>
  </si>
  <si>
    <t>Coco_1</t>
  </si>
  <si>
    <t>APM_1 Fortress</t>
  </si>
  <si>
    <t>1-2,4-8/Jan</t>
  </si>
  <si>
    <t>APM_2 Fortress</t>
  </si>
  <si>
    <t>29/Jan</t>
  </si>
  <si>
    <t>2-5,8-11,13,15-18,22-25,29-31/Jan</t>
  </si>
  <si>
    <t>Coco_2</t>
  </si>
  <si>
    <t>12-14,17-18,20-22,24-25,27,29,31/Jan</t>
  </si>
  <si>
    <t>Yee_1</t>
  </si>
  <si>
    <t>CSW Yoho</t>
  </si>
  <si>
    <t>1-4,8-12,15-18,22/Jan</t>
  </si>
  <si>
    <t>16-19,21,23-29,31/Jan</t>
  </si>
  <si>
    <t>Miuyu</t>
  </si>
  <si>
    <t>East Point City_1 Fortress</t>
  </si>
  <si>
    <t>3-10,12-16,21-24,26-28,30-31/Jan</t>
  </si>
  <si>
    <t>East Point City_2 Fortress</t>
  </si>
  <si>
    <t>1,11/Jan</t>
  </si>
  <si>
    <t>1-2,4-6,8-12,15-19,21-25,28-31/Jan</t>
  </si>
  <si>
    <t>3,7,13-14,20,26-27/Jan</t>
  </si>
  <si>
    <t>1-4,7-11,14-18,21-25,28-31/Jan</t>
  </si>
  <si>
    <t>12-13,19-20/Jan</t>
  </si>
  <si>
    <t>5-6,26-27/Jan</t>
  </si>
  <si>
    <t>1-3,5-8,11-13,15-16,23-25,27-29,31/Jan</t>
  </si>
  <si>
    <t>10/Jan</t>
  </si>
  <si>
    <t>Kai Tak_3 Sogo</t>
  </si>
  <si>
    <t>4,9,14,17-22,26,30/Jan</t>
  </si>
  <si>
    <t>PoWan_1</t>
  </si>
  <si>
    <t>Tsing Yi Demo Broadway</t>
  </si>
  <si>
    <t>1/Jan</t>
  </si>
  <si>
    <t>PoWan_2</t>
  </si>
  <si>
    <t>9-15,17-18,20-23/Jan</t>
  </si>
  <si>
    <t>Terence_2</t>
  </si>
  <si>
    <t>16,19,24-29,31/Jan</t>
  </si>
  <si>
    <t>Kandy_1</t>
  </si>
  <si>
    <t>F613 Demo_3 Fortress</t>
  </si>
  <si>
    <t>TM_1 Broadway</t>
  </si>
  <si>
    <t>15/Jan</t>
  </si>
  <si>
    <t>Sau Kwan_2</t>
  </si>
  <si>
    <t>TM_2 Broadway</t>
  </si>
  <si>
    <t>16-18/Jan</t>
  </si>
  <si>
    <t>Ho_1</t>
  </si>
  <si>
    <t>9-15,17-26,28-31/Jan</t>
  </si>
  <si>
    <t>9-12,14-20,22-27,29-31/Jan</t>
  </si>
  <si>
    <t>Wendy Lau_2</t>
  </si>
  <si>
    <t>LCK Aeon</t>
  </si>
  <si>
    <t>9-13,15-20,22-27,29-31/Jan</t>
  </si>
  <si>
    <t>Megabox_1 Aeon</t>
  </si>
  <si>
    <t>9-14,24-26,28-31/Jan</t>
  </si>
  <si>
    <t>Terence_3</t>
  </si>
  <si>
    <t>Megabox_2 Aeon</t>
  </si>
  <si>
    <t>15,17-18,21-22/Jan</t>
  </si>
  <si>
    <t>Yau Tong Aeon</t>
  </si>
  <si>
    <t>9-14,16-21,23-29,31/Jan</t>
  </si>
  <si>
    <t>9-14,16-19,21-25,27-31/Jan</t>
  </si>
  <si>
    <t>Training</t>
  </si>
  <si>
    <t>總計</t>
  </si>
  <si>
    <t>加總 - Days</t>
  </si>
  <si>
    <t>值</t>
  </si>
  <si>
    <t>平均值 - $</t>
  </si>
  <si>
    <t>計數 - DAy.</t>
  </si>
  <si>
    <t>March</t>
    <phoneticPr fontId="10" type="noConversion"/>
  </si>
  <si>
    <t>Kit_3</t>
  </si>
  <si>
    <t>Shan_1</t>
  </si>
  <si>
    <t>Shan_2</t>
  </si>
  <si>
    <t>Tony_4</t>
  </si>
  <si>
    <t>Ho_3</t>
  </si>
  <si>
    <t>Kit_1</t>
  </si>
  <si>
    <t>Kit_2</t>
  </si>
  <si>
    <t>Anita_1</t>
  </si>
  <si>
    <t>Wendy Wong_3</t>
  </si>
  <si>
    <t>Anita_2</t>
  </si>
  <si>
    <t>Vcity_1 Fortress</t>
  </si>
  <si>
    <t>Vcity_2 Fortress</t>
  </si>
  <si>
    <t>Diamond Hill_1 Broadway</t>
  </si>
  <si>
    <t>Diamond Hill_2 Broadway</t>
  </si>
  <si>
    <t>TW RS_1 Citistore</t>
  </si>
  <si>
    <t>TW RS_2 Citistore</t>
  </si>
  <si>
    <t>Mos_1 Citistore</t>
  </si>
  <si>
    <t>Mos_2 Citistore</t>
  </si>
  <si>
    <t>YL Citistore</t>
  </si>
  <si>
    <t>Shatin_3 Yata</t>
  </si>
  <si>
    <t>Shatin_4 Yata</t>
  </si>
  <si>
    <t>Kai Tak_4 Sogo</t>
  </si>
  <si>
    <t>Kai Tak_5 Sogo</t>
  </si>
  <si>
    <t>Kai Tak RS_1 Sogo</t>
  </si>
  <si>
    <t>Kai Tak RS_2 Sogo</t>
  </si>
  <si>
    <t>Mongkok_1 BBE</t>
  </si>
  <si>
    <t>Mongkok_2 BBE</t>
  </si>
  <si>
    <t>Tai Koo_3 Apita</t>
  </si>
  <si>
    <t>Kln Bay Demo Broadway</t>
  </si>
  <si>
    <t>CWB Sogo</t>
  </si>
  <si>
    <t>TSW RS Tung Yuen</t>
  </si>
  <si>
    <t>TC RS Tung Yuen</t>
  </si>
  <si>
    <t>TM RS Fortress</t>
  </si>
  <si>
    <t>Eddy</t>
  </si>
  <si>
    <t>Chan Chi Tim</t>
  </si>
  <si>
    <t>Jenny</t>
  </si>
  <si>
    <t>Pang Kam Chun</t>
  </si>
  <si>
    <t>WanWah</t>
  </si>
  <si>
    <t>Chan Wan Wah</t>
  </si>
  <si>
    <t>Training_1</t>
  </si>
  <si>
    <t>Training_2</t>
  </si>
  <si>
    <t>Training_3</t>
  </si>
  <si>
    <t>日本飯煲 RC-DS10K/18K</t>
  </si>
  <si>
    <t>(Fortress ONLY)TW-T25BZU115MWH(MG) </t>
  </si>
  <si>
    <t>開門紅(三月)</t>
  </si>
  <si>
    <t>開門紅(第一季)</t>
  </si>
  <si>
    <t>酵活炊電飯煲特佣 RC-18AMXH(W)</t>
    <phoneticPr fontId="10" type="noConversion"/>
  </si>
  <si>
    <t>嵌入式微波氣炸蒸焗爐特佣 EB-T500APW</t>
    <phoneticPr fontId="10" type="noConversion"/>
  </si>
  <si>
    <t>蒸氣烤焗水波爐特佣 ER-VD7000HK(XK)</t>
    <phoneticPr fontId="10" type="noConversion"/>
  </si>
  <si>
    <t xml:space="preserve">TWDT21BU95 </t>
    <phoneticPr fontId="10" type="noConversion"/>
  </si>
  <si>
    <t>日式洗衣機一特佣 AW-Q800APH(WW)</t>
    <phoneticPr fontId="10" type="noConversion"/>
  </si>
  <si>
    <t>日式洗衣機二特佣 AW-Q801APH(WW)</t>
    <phoneticPr fontId="10" type="noConversion"/>
  </si>
  <si>
    <t>三門雪櫃特佣 GR-RM469WE-PGA(B3)</t>
    <phoneticPr fontId="10" type="noConversion"/>
  </si>
  <si>
    <t>雙門雪櫃一特佣 GR-RB449WE-PMA(57)</t>
    <phoneticPr fontId="10" type="noConversion"/>
  </si>
  <si>
    <t>雙門雪櫃一特佣 GR-RB410WE-PMA(06)</t>
    <phoneticPr fontId="10" type="noConversion"/>
  </si>
  <si>
    <r>
      <rPr>
        <b/>
        <sz val="20"/>
        <rFont val="微軟正黑體"/>
        <family val="2"/>
        <charset val="136"/>
      </rPr>
      <t xml:space="preserve">十字門雪櫃 </t>
    </r>
    <r>
      <rPr>
        <b/>
        <sz val="20"/>
        <rFont val="Calibri"/>
        <family val="2"/>
      </rPr>
      <t>GR-RF698WI</t>
    </r>
    <phoneticPr fontId="10" type="noConversion"/>
  </si>
  <si>
    <r>
      <rPr>
        <b/>
        <sz val="20"/>
        <rFont val="微軟正黑體"/>
        <family val="2"/>
        <charset val="136"/>
      </rPr>
      <t xml:space="preserve">水機 </t>
    </r>
    <r>
      <rPr>
        <b/>
        <sz val="20"/>
        <rFont val="Calibri"/>
        <family val="2"/>
      </rPr>
      <t>TWP-W2265THK(W)</t>
    </r>
    <phoneticPr fontId="10" type="noConversion"/>
  </si>
  <si>
    <t>Mar/1-3,5-8,10-13,15-17,20-23,26-29</t>
  </si>
  <si>
    <t>Mar/1,14-15,21-22,25,28</t>
  </si>
  <si>
    <t>Mar/7-8</t>
  </si>
  <si>
    <t>Mar/1-2,4,6-8,13-19,21-31</t>
  </si>
  <si>
    <t>Mar/1,5-8,11-15,17-22,25-29,31</t>
  </si>
  <si>
    <t>Mar/1-3,6-9,12-15,19-24,27-28,31</t>
  </si>
  <si>
    <t>Mar/1-4,7-11,14-17,21-25,28-31</t>
  </si>
  <si>
    <t>Mar/1,7,28-29</t>
  </si>
  <si>
    <t>Mar/1,7-8,14-15,28-29</t>
  </si>
  <si>
    <t>Mar/21-22</t>
  </si>
  <si>
    <t>Mar/1-2,5-10,14-17,20-23</t>
  </si>
  <si>
    <t>Mar/3-4,11,13,18-19,24</t>
  </si>
  <si>
    <t>Mar/12</t>
  </si>
  <si>
    <t>Mar/25-31</t>
  </si>
  <si>
    <t>Mar/27-29</t>
  </si>
  <si>
    <t>Mar/1-3,7-11,14-18,21-25,28-31</t>
  </si>
  <si>
    <t>Mar/2-5,7-11,14-17,20-25,29-31</t>
  </si>
  <si>
    <t>Mar/1-4,7-10,14-18,20-25,28-31</t>
  </si>
  <si>
    <t>Mar/1,3-5,7-10,12-16,18,24-26,28-31</t>
  </si>
  <si>
    <t>Mar/1-2,4,6,8-9,11,13,22-25,27-29,31</t>
  </si>
  <si>
    <t>Mar/17-18,26,30</t>
  </si>
  <si>
    <t>Mar/1,7-8,21-22,28-29</t>
  </si>
  <si>
    <t>Mar/1-4,6-12,14-18,20-25</t>
  </si>
  <si>
    <t>Mar/2-3,5,7-10,12-17,19-24,26,29-31</t>
  </si>
  <si>
    <t>Mar/1,5-9,12-16,19-22,26-30</t>
  </si>
  <si>
    <t>Mar/1,3-4,6-9,11-12,14-17,20-24,26-31</t>
  </si>
  <si>
    <t>Mar/1,3-5,7-9,11-12,15-16,19-22,25-31</t>
  </si>
  <si>
    <t>Mar/1,5-6,8-9,11-12,14,16,19-22,24-26,29,31</t>
  </si>
  <si>
    <t>Mar/1,3-5,7-8,11-12,14-15,17-19,24-26,28-31</t>
  </si>
  <si>
    <t>Mar/1-5,7,9-12,15-18,21-26,28-31</t>
  </si>
  <si>
    <t>Mar/1-2,5-10,14-17,20-24,27-31</t>
  </si>
  <si>
    <t>Mar/3-4,18-19</t>
  </si>
  <si>
    <t>Mar/25-26</t>
  </si>
  <si>
    <t>Mar/11-13</t>
  </si>
  <si>
    <t>Mar/1,4-8,11-15,18-22,25-29</t>
  </si>
  <si>
    <t>Mar/9-10,23-24,30-31</t>
  </si>
  <si>
    <t>Mar/2-3,16-17</t>
  </si>
  <si>
    <t>Mar/21-22,31</t>
  </si>
  <si>
    <t>Mar/1-4,7-8</t>
  </si>
  <si>
    <t>Mar/5,9-19,24-26</t>
  </si>
  <si>
    <t>Mar/6</t>
  </si>
  <si>
    <t>Mar/28-29</t>
  </si>
  <si>
    <t>Mar/1,7-8</t>
  </si>
  <si>
    <t>Mar/14-15</t>
  </si>
  <si>
    <t>Mar/26-29</t>
  </si>
  <si>
    <t>Mar/14-15,19-22</t>
  </si>
  <si>
    <t>Mar/1,7-8,14,21-24,28-29</t>
  </si>
  <si>
    <t>Mar/15</t>
  </si>
  <si>
    <t>Mar/19-20,25</t>
  </si>
  <si>
    <t>Mar/1-9</t>
  </si>
  <si>
    <t>Mar/16-17,20-21,23-24,26-27</t>
  </si>
  <si>
    <t>Mar/6-9</t>
  </si>
  <si>
    <t>Mar/20-23</t>
  </si>
  <si>
    <t>Mar/27-30</t>
  </si>
  <si>
    <t>Mar/1-3,5-12,14-15</t>
  </si>
  <si>
    <t>Mar/1,7-8,14-15</t>
  </si>
  <si>
    <t>Mar/1-4,6-10,12-15</t>
  </si>
  <si>
    <t>Mar/24</t>
  </si>
  <si>
    <t>A14</t>
  </si>
  <si>
    <t>A15</t>
  </si>
  <si>
    <t>A16</t>
  </si>
  <si>
    <t>A17</t>
  </si>
  <si>
    <t>B14</t>
  </si>
  <si>
    <t>B15</t>
  </si>
  <si>
    <t>B16</t>
  </si>
  <si>
    <t>B17</t>
  </si>
  <si>
    <t>2026-03 Toshiba</t>
    <phoneticPr fontId="10" type="noConversion"/>
  </si>
  <si>
    <t>補差價</t>
  </si>
  <si>
    <t>補差價</t>
    <phoneticPr fontId="10" type="noConversion"/>
  </si>
  <si>
    <t>補佣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</si>
</sst>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176" formatCode="&quot;HK$&quot;#,##0.00_);[Red]\(&quot;HK$&quot;#,##0.00\)"/>
    <numFmt numFmtId="177" formatCode="_(&quot;HK$&quot;* #,##0.00_);_(&quot;HK$&quot;* \(#,##0.00\);_(&quot;HK$&quot;* &quot;-&quot;??_);_(@_)"/>
    <numFmt numFmtId="178" formatCode="_(* #,##0.00_);_(* \(#,##0.00\);_(* &quot;-&quot;??_);_(@_)"/>
    <numFmt numFmtId="179" formatCode="[$-409]dd\-mmm\-yy;@"/>
    <numFmt numFmtId="180" formatCode="_(* #,##0.0_);_(* \(#,##0.00\);_(* \-??_);_(@_)"/>
    <numFmt numFmtId="181" formatCode="General_)"/>
    <numFmt numFmtId="182" formatCode="0.000"/>
    <numFmt numFmtId="183" formatCode="&quot;fl&quot;#,##0_);&quot;(fl&quot;#,##0\)"/>
    <numFmt numFmtId="184" formatCode="&quot;fl&quot;#,##0_);[Red]&quot;(fl&quot;#,##0\)"/>
    <numFmt numFmtId="185" formatCode="&quot;fl&quot;#,##0.00_);&quot;(fl&quot;#,##0.00\)"/>
    <numFmt numFmtId="186" formatCode="_ * #,##0.00_ ;_ * \-#,##0.00_ ;_ * \-??_ ;_ @_ "/>
    <numFmt numFmtId="187" formatCode="_(* #,##0.00_);_(* \(#,##0.00\);_(* \-??_);_(@_)"/>
    <numFmt numFmtId="188" formatCode="_(\$* #,##0.00_);_(\$* \(#,##0.00\);_(\$* \-??_);_(@_)"/>
    <numFmt numFmtId="189" formatCode="[$-C04]d/m/yyyy"/>
    <numFmt numFmtId="190" formatCode="[$-C04]#,##0_);[Red]\(#,##0\)"/>
    <numFmt numFmtId="191" formatCode="_-* #,##0.00_-;\-* #,##0.00_-;_-* \-??_-;_-@_-"/>
    <numFmt numFmtId="192" formatCode="0.00_)"/>
    <numFmt numFmtId="193" formatCode="\60&quot;47:&quot;"/>
    <numFmt numFmtId="194" formatCode="&quot;fl&quot;#,##0.00_);[Red]&quot;(fl&quot;#,##0.00\)"/>
    <numFmt numFmtId="195" formatCode="_(&quot;fl&quot;* #,##0_);_(&quot;fl&quot;* \(#,##0\);_(&quot;fl&quot;* \-_);_(@_)"/>
    <numFmt numFmtId="196" formatCode="[$-409]#,##0;\-#,##0"/>
    <numFmt numFmtId="197" formatCode="_(* #,##0_);_(* \(#,##0\);_(* \-_);_(@_)"/>
    <numFmt numFmtId="198" formatCode="_(&quot;HK$&quot;* #,##0.00_);_(&quot;HK$&quot;* \(#,##0.00\);_(&quot;HK$&quot;* \-??_);_(@_)"/>
    <numFmt numFmtId="199" formatCode="_(&quot;HK$&quot;* #,##0_);_(&quot;HK$&quot;* \(#,##0\);_(&quot;HK$&quot;* \-_);_(@_)"/>
    <numFmt numFmtId="200" formatCode="_(* #,##0_);_(* \(#,##0\);_(* \-??_);_(@_)"/>
    <numFmt numFmtId="201" formatCode="_-[$$-404]* #,##0_-;\-[$$-404]* #,##0_-;_-[$$-404]* \-??_-;_-@_-"/>
    <numFmt numFmtId="202" formatCode="_(* #,##0.0_);_(* \(#,##0.0\);_(* \-??_);_(@_)"/>
    <numFmt numFmtId="203" formatCode="_(&quot;HK$&quot;* #,##0.00_);_(&quot;HK$&quot;* \(#,##0.00\);_(&quot;HK$&quot;* \-_);_(@_)"/>
    <numFmt numFmtId="204" formatCode="_(&quot;HK$&quot;* #,##0_);_(&quot;HK$&quot;* \(#,##0\);_(&quot;HK$&quot;* &quot;-&quot;??_);_(@_)"/>
    <numFmt numFmtId="205" formatCode="_(&quot;HK$&quot;* #,##0.0_);_(&quot;HK$&quot;* \(#,##0.0\);_(&quot;HK$&quot;* &quot;-&quot;??_);_(@_)"/>
    <numFmt numFmtId="206" formatCode="0_);[Red]\(0\)"/>
    <numFmt numFmtId="207" formatCode="0.0_);[Red]\(0.0\)"/>
    <numFmt numFmtId="208" formatCode="_-[$$-404]* #,##0_-;\-[$$-404]* #,##0_-;_-[$$-404]* &quot;-&quot;??_-;_-@_-"/>
    <numFmt numFmtId="209" formatCode="0.00_);[Red]\(0.00\)"/>
  </numFmts>
  <fonts count="100">
    <font>
      <sz val="12"/>
      <color rgb="FF000000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Times New Roman"/>
      <family val="1"/>
      <charset val="1"/>
    </font>
    <font>
      <sz val="11"/>
      <color rgb="FF000000"/>
      <name val="宋体"/>
      <family val="3"/>
      <charset val="136"/>
    </font>
    <font>
      <sz val="11"/>
      <color rgb="FF000000"/>
      <name val="宋体"/>
      <charset val="136"/>
    </font>
    <font>
      <sz val="10"/>
      <name val="MS Sans Serif"/>
      <family val="2"/>
      <charset val="1"/>
    </font>
    <font>
      <sz val="12"/>
      <name val="宋体"/>
      <charset val="136"/>
    </font>
    <font>
      <sz val="11"/>
      <color rgb="FFFFFFFF"/>
      <name val="宋体"/>
      <charset val="136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800000"/>
      <name val="Calibri"/>
      <family val="2"/>
      <charset val="1"/>
    </font>
    <font>
      <sz val="9"/>
      <name val="Times New Roman"/>
      <family val="1"/>
      <charset val="1"/>
    </font>
    <font>
      <b/>
      <sz val="11"/>
      <color rgb="FFFF6600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8000"/>
      <name val="Calibri"/>
      <family val="2"/>
      <charset val="1"/>
    </font>
    <font>
      <sz val="8"/>
      <name val="Arial"/>
      <family val="2"/>
      <charset val="1"/>
    </font>
    <font>
      <b/>
      <sz val="10"/>
      <name val="Arial"/>
      <family val="2"/>
      <charset val="1"/>
    </font>
    <font>
      <b/>
      <sz val="12"/>
      <name val="Arial"/>
      <family val="2"/>
      <charset val="1"/>
    </font>
    <font>
      <b/>
      <sz val="15"/>
      <color rgb="FF333399"/>
      <name val="Calibri"/>
      <family val="2"/>
      <charset val="1"/>
    </font>
    <font>
      <b/>
      <sz val="13"/>
      <color rgb="FF333399"/>
      <name val="Calibri"/>
      <family val="2"/>
      <charset val="1"/>
    </font>
    <font>
      <b/>
      <sz val="11"/>
      <color rgb="FF333399"/>
      <name val="Calibri"/>
      <family val="2"/>
      <charset val="1"/>
    </font>
    <font>
      <u/>
      <sz val="10"/>
      <color rgb="FF0000FF"/>
      <name val="MS Sans Serif"/>
      <family val="2"/>
      <charset val="1"/>
    </font>
    <font>
      <sz val="11"/>
      <color rgb="FF333399"/>
      <name val="Calibri"/>
      <family val="2"/>
      <charset val="1"/>
    </font>
    <font>
      <sz val="11"/>
      <color rgb="FFFF6600"/>
      <name val="Calibri"/>
      <family val="2"/>
      <charset val="1"/>
    </font>
    <font>
      <sz val="11"/>
      <color rgb="FF993300"/>
      <name val="Calibri"/>
      <family val="2"/>
      <charset val="1"/>
    </font>
    <font>
      <b/>
      <i/>
      <sz val="16"/>
      <name val="Arial"/>
      <family val="2"/>
      <charset val="1"/>
    </font>
    <font>
      <sz val="11"/>
      <color rgb="FF000000"/>
      <name val="新細明體"/>
      <family val="1"/>
      <charset val="136"/>
    </font>
    <font>
      <sz val="12"/>
      <name val="Arial"/>
      <family val="2"/>
      <charset val="1"/>
    </font>
    <font>
      <b/>
      <sz val="11"/>
      <color rgb="FF333333"/>
      <name val="Calibri"/>
      <family val="2"/>
      <charset val="1"/>
    </font>
    <font>
      <sz val="12"/>
      <color rgb="FFFFFFFF"/>
      <name val="Arial"/>
      <family val="2"/>
      <charset val="1"/>
    </font>
    <font>
      <sz val="10"/>
      <name val="Arial"/>
      <family val="2"/>
      <charset val="1"/>
    </font>
    <font>
      <b/>
      <sz val="18"/>
      <color rgb="FF333399"/>
      <name val="Cambria"/>
      <family val="1"/>
      <charset val="1"/>
    </font>
    <font>
      <sz val="10"/>
      <name val="CG Times (WN)"/>
      <family val="1"/>
      <charset val="1"/>
    </font>
    <font>
      <sz val="11"/>
      <color rgb="FFFF0000"/>
      <name val="Calibri"/>
      <family val="2"/>
      <charset val="1"/>
    </font>
    <font>
      <sz val="10"/>
      <name val="Times New Roman"/>
      <family val="1"/>
      <charset val="1"/>
    </font>
    <font>
      <sz val="12"/>
      <name val="新明細體"/>
      <family val="1"/>
      <charset val="136"/>
    </font>
    <font>
      <sz val="12"/>
      <color rgb="FF000000"/>
      <name val="Calibri"/>
      <family val="2"/>
      <charset val="1"/>
    </font>
    <font>
      <sz val="12"/>
      <color rgb="FF800080"/>
      <name val="Calibri"/>
      <family val="2"/>
      <charset val="1"/>
    </font>
    <font>
      <sz val="12"/>
      <color rgb="FF008000"/>
      <name val="Calibri"/>
      <family val="2"/>
      <charset val="1"/>
    </font>
    <font>
      <sz val="11"/>
      <color rgb="FF800080"/>
      <name val="宋体"/>
      <charset val="136"/>
    </font>
    <font>
      <sz val="11"/>
      <name val="微軟正黑體"/>
      <family val="2"/>
      <charset val="136"/>
    </font>
    <font>
      <sz val="12"/>
      <color rgb="FF000000"/>
      <name val="新細明體"/>
      <family val="1"/>
      <charset val="136"/>
    </font>
    <font>
      <sz val="12"/>
      <name val="Calibri"/>
      <family val="2"/>
    </font>
    <font>
      <sz val="12"/>
      <color rgb="FF000000"/>
      <name val="Calibri"/>
      <family val="2"/>
    </font>
    <font>
      <b/>
      <sz val="1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22"/>
      <name val="微軟正黑體"/>
      <family val="2"/>
      <charset val="136"/>
    </font>
    <font>
      <sz val="7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13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3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2"/>
      <name val="微軟正黑體"/>
      <family val="2"/>
      <charset val="136"/>
    </font>
    <font>
      <b/>
      <sz val="10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name val="微軟正黑體"/>
      <family val="2"/>
      <charset val="136"/>
    </font>
    <font>
      <b/>
      <sz val="12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11"/>
      <name val="Calibri"/>
      <family val="2"/>
    </font>
    <font>
      <sz val="11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b/>
      <sz val="26"/>
      <name val="Calibri"/>
      <family val="2"/>
    </font>
    <font>
      <b/>
      <sz val="26"/>
      <name val="細明體"/>
      <family val="3"/>
      <charset val="136"/>
    </font>
    <font>
      <b/>
      <sz val="26"/>
      <color rgb="FF000000"/>
      <name val="Calibri"/>
      <family val="2"/>
    </font>
    <font>
      <b/>
      <sz val="26"/>
      <color theme="1"/>
      <name val="Calibri"/>
      <family val="2"/>
    </font>
    <font>
      <sz val="12"/>
      <color theme="1"/>
      <name val="新細明體"/>
      <family val="2"/>
      <charset val="136"/>
      <scheme val="major"/>
    </font>
    <font>
      <b/>
      <sz val="28"/>
      <name val="Calibri"/>
      <family val="2"/>
    </font>
    <font>
      <b/>
      <sz val="26"/>
      <color rgb="FFFF0000"/>
      <name val="Calibri"/>
      <family val="2"/>
    </font>
    <font>
      <sz val="11"/>
      <color theme="1"/>
      <name val="微軟正黑體"/>
      <family val="2"/>
      <charset val="136"/>
    </font>
    <font>
      <sz val="12"/>
      <color indexed="8"/>
      <name val="新細明體"/>
      <family val="1"/>
      <charset val="136"/>
    </font>
    <font>
      <b/>
      <sz val="36"/>
      <color rgb="FFFF0000"/>
      <name val="Calibri"/>
      <family val="2"/>
    </font>
    <font>
      <u/>
      <sz val="12"/>
      <color theme="10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20"/>
      <name val="Calibri"/>
      <family val="2"/>
    </font>
    <font>
      <b/>
      <sz val="20"/>
      <name val="微軟正黑體"/>
      <family val="2"/>
      <charset val="136"/>
    </font>
    <font>
      <b/>
      <sz val="20"/>
      <color rgb="FF000000"/>
      <name val="Calibri"/>
      <family val="2"/>
    </font>
    <font>
      <b/>
      <sz val="20"/>
      <color theme="1"/>
      <name val="Calibri"/>
      <family val="2"/>
    </font>
    <font>
      <sz val="20"/>
      <name val="Calibri"/>
      <family val="2"/>
    </font>
    <font>
      <b/>
      <sz val="20"/>
      <color rgb="FFFF0000"/>
      <name val="Calibri"/>
      <family val="2"/>
    </font>
    <font>
      <sz val="18"/>
      <name val="Calibri"/>
      <family val="2"/>
    </font>
    <font>
      <b/>
      <sz val="18"/>
      <color theme="1"/>
      <name val="Calibri"/>
      <family val="2"/>
    </font>
    <font>
      <sz val="18"/>
      <color theme="1"/>
      <name val="Calibri"/>
      <family val="2"/>
    </font>
    <font>
      <b/>
      <sz val="28"/>
      <color rgb="FFFF0000"/>
      <name val="Calibri"/>
      <family val="2"/>
    </font>
    <font>
      <sz val="20"/>
      <color rgb="FF000000"/>
      <name val="Calibri"/>
      <family val="2"/>
    </font>
    <font>
      <b/>
      <sz val="36"/>
      <name val="Calibri"/>
      <family val="2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  <font>
      <sz val="20"/>
      <color rgb="FFFF0000"/>
      <name val="Calibri"/>
      <family val="2"/>
    </font>
    <font>
      <sz val="16"/>
      <color rgb="FF000000"/>
      <name val="新細明體"/>
      <family val="1"/>
      <charset val="136"/>
    </font>
    <font>
      <b/>
      <sz val="20"/>
      <name val="Calibri"/>
      <family val="2"/>
      <charset val="136"/>
    </font>
    <font>
      <b/>
      <sz val="20"/>
      <name val="細明體"/>
      <family val="2"/>
      <charset val="136"/>
    </font>
  </fonts>
  <fills count="35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6EFCE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BEEF4"/>
      </patternFill>
    </fill>
    <fill>
      <patternFill patternType="solid">
        <fgColor rgb="FFFFCC99"/>
        <bgColor rgb="FFFFC7CE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99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B0F0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7F7F7F"/>
      </patternFill>
    </fill>
    <fill>
      <patternFill patternType="solid">
        <fgColor rgb="FF993366"/>
        <bgColor rgb="FF993300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A6A6A6"/>
      </patternFill>
    </fill>
    <fill>
      <patternFill patternType="solid">
        <fgColor rgb="FFFFFFFF"/>
        <bgColor rgb="FFFFFFCC"/>
      </patternFill>
    </fill>
    <fill>
      <patternFill patternType="solid">
        <fgColor rgb="FFB0B0B0"/>
        <bgColor rgb="FFA6A6A6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EB9C"/>
      </patternFill>
    </fill>
    <fill>
      <patternFill patternType="solid">
        <fgColor rgb="FFDBEEF4"/>
        <bgColor rgb="FFCCFFFF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33CCCC"/>
      </patternFill>
    </fill>
    <fill>
      <patternFill patternType="solid">
        <fgColor theme="0"/>
        <bgColor rgb="FFCCFFFF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42"/>
        <bgColor theme="6" tint="0.79998168889431442"/>
      </patternFill>
    </fill>
  </fills>
  <borders count="49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6666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99CCFF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666699"/>
      </top>
      <bottom style="double">
        <color rgb="FF666699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2244">
    <xf numFmtId="0" fontId="0" fillId="0" borderId="0">
      <alignment vertical="center"/>
    </xf>
    <xf numFmtId="187" fontId="46" fillId="0" borderId="0" applyBorder="0" applyProtection="0">
      <alignment vertical="center"/>
    </xf>
    <xf numFmtId="198" fontId="46" fillId="0" borderId="0" applyBorder="0" applyProtection="0">
      <alignment vertical="center"/>
    </xf>
    <xf numFmtId="0" fontId="3" fillId="0" borderId="0"/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2" borderId="0" applyBorder="0" applyProtection="0">
      <alignment vertical="center"/>
    </xf>
    <xf numFmtId="0" fontId="5" fillId="2" borderId="0" applyBorder="0" applyProtection="0">
      <alignment vertical="center"/>
    </xf>
    <xf numFmtId="0" fontId="5" fillId="2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3" borderId="0" applyBorder="0" applyProtection="0">
      <alignment vertical="center"/>
    </xf>
    <xf numFmtId="0" fontId="5" fillId="3" borderId="0" applyBorder="0" applyProtection="0">
      <alignment vertical="center"/>
    </xf>
    <xf numFmtId="0" fontId="5" fillId="3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4" borderId="0" applyBorder="0" applyProtection="0">
      <alignment vertical="center"/>
    </xf>
    <xf numFmtId="0" fontId="5" fillId="4" borderId="0" applyBorder="0" applyProtection="0">
      <alignment vertical="center"/>
    </xf>
    <xf numFmtId="0" fontId="5" fillId="4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6" borderId="0" applyBorder="0" applyProtection="0">
      <alignment vertical="center"/>
    </xf>
    <xf numFmtId="0" fontId="5" fillId="6" borderId="0" applyBorder="0" applyProtection="0">
      <alignment vertical="center"/>
    </xf>
    <xf numFmtId="0" fontId="5" fillId="6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4" fillId="7" borderId="0" applyBorder="0" applyProtection="0">
      <alignment vertical="center"/>
    </xf>
    <xf numFmtId="0" fontId="5" fillId="7" borderId="0" applyBorder="0" applyProtection="0">
      <alignment vertical="center"/>
    </xf>
    <xf numFmtId="0" fontId="5" fillId="7" borderId="0" applyBorder="0" applyProtection="0">
      <alignment vertical="center"/>
    </xf>
    <xf numFmtId="0" fontId="6" fillId="0" borderId="0"/>
    <xf numFmtId="179" fontId="6" fillId="0" borderId="0"/>
    <xf numFmtId="0" fontId="7" fillId="0" borderId="0"/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9" borderId="0" applyBorder="0" applyProtection="0">
      <alignment vertical="center"/>
    </xf>
    <xf numFmtId="0" fontId="5" fillId="9" borderId="0" applyBorder="0" applyProtection="0">
      <alignment vertical="center"/>
    </xf>
    <xf numFmtId="0" fontId="5" fillId="9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5" fillId="10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5" borderId="0" applyBorder="0" applyProtection="0">
      <alignment vertical="center"/>
    </xf>
    <xf numFmtId="0" fontId="5" fillId="5" borderId="0" applyBorder="0" applyProtection="0">
      <alignment vertical="center"/>
    </xf>
    <xf numFmtId="0" fontId="5" fillId="5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8" borderId="0" applyBorder="0" applyProtection="0">
      <alignment vertical="center"/>
    </xf>
    <xf numFmtId="0" fontId="5" fillId="8" borderId="0" applyBorder="0" applyProtection="0">
      <alignment vertical="center"/>
    </xf>
    <xf numFmtId="0" fontId="5" fillId="8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4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5" fillId="11" borderId="0" applyBorder="0" applyProtection="0">
      <alignment vertical="center"/>
    </xf>
    <xf numFmtId="0" fontId="8" fillId="12" borderId="0" applyBorder="0" applyProtection="0">
      <alignment vertical="center"/>
    </xf>
    <xf numFmtId="0" fontId="8" fillId="12" borderId="0" applyBorder="0" applyProtection="0">
      <alignment vertical="center"/>
    </xf>
    <xf numFmtId="0" fontId="8" fillId="9" borderId="0" applyBorder="0" applyProtection="0">
      <alignment vertical="center"/>
    </xf>
    <xf numFmtId="0" fontId="8" fillId="9" borderId="0" applyBorder="0" applyProtection="0">
      <alignment vertical="center"/>
    </xf>
    <xf numFmtId="0" fontId="8" fillId="10" borderId="0" applyBorder="0" applyProtection="0">
      <alignment vertical="center"/>
    </xf>
    <xf numFmtId="0" fontId="8" fillId="10" borderId="0" applyBorder="0" applyProtection="0">
      <alignment vertical="center"/>
    </xf>
    <xf numFmtId="0" fontId="8" fillId="13" borderId="0" applyBorder="0" applyProtection="0">
      <alignment vertical="center"/>
    </xf>
    <xf numFmtId="0" fontId="8" fillId="13" borderId="0" applyBorder="0" applyProtection="0">
      <alignment vertical="center"/>
    </xf>
    <xf numFmtId="0" fontId="8" fillId="14" borderId="0" applyBorder="0" applyProtection="0">
      <alignment vertical="center"/>
    </xf>
    <xf numFmtId="0" fontId="8" fillId="14" borderId="0" applyBorder="0" applyProtection="0">
      <alignment vertical="center"/>
    </xf>
    <xf numFmtId="0" fontId="8" fillId="15" borderId="0" applyBorder="0" applyProtection="0">
      <alignment vertical="center"/>
    </xf>
    <xf numFmtId="0" fontId="8" fillId="15" borderId="0" applyBorder="0" applyProtection="0">
      <alignment vertical="center"/>
    </xf>
    <xf numFmtId="0" fontId="9" fillId="0" borderId="0"/>
    <xf numFmtId="9" fontId="10" fillId="0" borderId="0"/>
    <xf numFmtId="0" fontId="11" fillId="16" borderId="0" applyBorder="0" applyProtection="0">
      <alignment vertical="center"/>
    </xf>
    <xf numFmtId="0" fontId="12" fillId="2" borderId="0" applyBorder="0" applyProtection="0">
      <alignment vertical="center"/>
    </xf>
    <xf numFmtId="0" fontId="12" fillId="2" borderId="0" applyBorder="0" applyProtection="0">
      <alignment vertical="center"/>
    </xf>
    <xf numFmtId="0" fontId="11" fillId="8" borderId="0" applyBorder="0" applyProtection="0">
      <alignment vertical="center"/>
    </xf>
    <xf numFmtId="0" fontId="11" fillId="17" borderId="0" applyBorder="0" applyProtection="0">
      <alignment vertical="center"/>
    </xf>
    <xf numFmtId="0" fontId="12" fillId="18" borderId="0" applyBorder="0" applyProtection="0">
      <alignment vertical="center"/>
    </xf>
    <xf numFmtId="0" fontId="12" fillId="19" borderId="0" applyBorder="0" applyProtection="0">
      <alignment vertical="center"/>
    </xf>
    <xf numFmtId="0" fontId="11" fillId="20" borderId="0" applyBorder="0" applyProtection="0">
      <alignment vertical="center"/>
    </xf>
    <xf numFmtId="0" fontId="11" fillId="20" borderId="0" applyBorder="0" applyProtection="0">
      <alignment vertical="center"/>
    </xf>
    <xf numFmtId="0" fontId="12" fillId="18" borderId="0" applyBorder="0" applyProtection="0">
      <alignment vertical="center"/>
    </xf>
    <xf numFmtId="0" fontId="12" fillId="4" borderId="0" applyBorder="0" applyProtection="0">
      <alignment vertical="center"/>
    </xf>
    <xf numFmtId="0" fontId="11" fillId="19" borderId="0" applyBorder="0" applyProtection="0">
      <alignment vertical="center"/>
    </xf>
    <xf numFmtId="0" fontId="11" fillId="16" borderId="0" applyBorder="0" applyProtection="0">
      <alignment vertical="center"/>
    </xf>
    <xf numFmtId="0" fontId="12" fillId="2" borderId="0" applyBorder="0" applyProtection="0">
      <alignment vertical="center"/>
    </xf>
    <xf numFmtId="0" fontId="12" fillId="19" borderId="0" applyBorder="0" applyProtection="0">
      <alignment vertical="center"/>
    </xf>
    <xf numFmtId="0" fontId="11" fillId="19" borderId="0" applyBorder="0" applyProtection="0">
      <alignment vertical="center"/>
    </xf>
    <xf numFmtId="0" fontId="11" fillId="14" borderId="0" applyBorder="0" applyProtection="0">
      <alignment vertical="center"/>
    </xf>
    <xf numFmtId="0" fontId="12" fillId="6" borderId="0" applyBorder="0" applyProtection="0">
      <alignment vertical="center"/>
    </xf>
    <xf numFmtId="0" fontId="12" fillId="2" borderId="0" applyBorder="0" applyProtection="0">
      <alignment vertical="center"/>
    </xf>
    <xf numFmtId="0" fontId="11" fillId="8" borderId="0" applyBorder="0" applyProtection="0">
      <alignment vertical="center"/>
    </xf>
    <xf numFmtId="0" fontId="11" fillId="15" borderId="0" applyBorder="0" applyProtection="0">
      <alignment vertical="center"/>
    </xf>
    <xf numFmtId="0" fontId="12" fillId="18" borderId="0" applyBorder="0" applyProtection="0">
      <alignment vertical="center"/>
    </xf>
    <xf numFmtId="0" fontId="12" fillId="7" borderId="0" applyBorder="0" applyProtection="0">
      <alignment vertical="center"/>
    </xf>
    <xf numFmtId="0" fontId="11" fillId="7" borderId="0" applyBorder="0" applyProtection="0">
      <alignment vertical="center"/>
    </xf>
    <xf numFmtId="0" fontId="13" fillId="3" borderId="0" applyBorder="0" applyProtection="0">
      <alignment vertical="center"/>
    </xf>
    <xf numFmtId="180" fontId="14" fillId="0" borderId="0" applyBorder="0">
      <alignment vertical="center"/>
    </xf>
    <xf numFmtId="181" fontId="14" fillId="0" borderId="0" applyBorder="0">
      <alignment vertical="center"/>
    </xf>
    <xf numFmtId="182" fontId="14" fillId="0" borderId="0" applyBorder="0">
      <alignment vertical="center"/>
    </xf>
    <xf numFmtId="183" fontId="14" fillId="0" borderId="0" applyBorder="0">
      <alignment vertical="center"/>
    </xf>
    <xf numFmtId="184" fontId="14" fillId="0" borderId="0" applyBorder="0">
      <alignment vertical="center"/>
    </xf>
    <xf numFmtId="180" fontId="14" fillId="0" borderId="0" applyBorder="0">
      <alignment vertical="center"/>
    </xf>
    <xf numFmtId="185" fontId="14" fillId="0" borderId="0" applyBorder="0">
      <alignment vertical="center"/>
    </xf>
    <xf numFmtId="181" fontId="14" fillId="0" borderId="0" applyBorder="0">
      <alignment vertical="center"/>
    </xf>
    <xf numFmtId="0" fontId="15" fillId="21" borderId="1" applyProtection="0">
      <alignment vertical="center"/>
    </xf>
    <xf numFmtId="0" fontId="16" fillId="20" borderId="2" applyProtection="0">
      <alignment vertical="center"/>
    </xf>
    <xf numFmtId="186" fontId="46" fillId="0" borderId="0" applyBorder="0" applyProtection="0">
      <alignment vertical="center"/>
    </xf>
    <xf numFmtId="186" fontId="46" fillId="0" borderId="0" applyBorder="0" applyProtection="0">
      <alignment vertical="center"/>
    </xf>
    <xf numFmtId="186" fontId="46" fillId="0" borderId="0" applyBorder="0" applyProtection="0">
      <alignment vertical="center"/>
    </xf>
    <xf numFmtId="186" fontId="46" fillId="0" borderId="0" applyBorder="0" applyProtection="0">
      <alignment vertical="center"/>
    </xf>
    <xf numFmtId="186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0" fontId="46" fillId="0" borderId="0" applyBorder="0" applyProtection="0">
      <alignment vertical="center"/>
    </xf>
    <xf numFmtId="188" fontId="46" fillId="0" borderId="0" applyBorder="0" applyProtection="0">
      <alignment vertical="center"/>
    </xf>
    <xf numFmtId="188" fontId="46" fillId="0" borderId="0" applyBorder="0" applyProtection="0">
      <alignment vertical="center"/>
    </xf>
    <xf numFmtId="181" fontId="46" fillId="0" borderId="0" applyBorder="0" applyProtection="0">
      <alignment vertical="center"/>
    </xf>
    <xf numFmtId="188" fontId="46" fillId="0" borderId="0" applyBorder="0" applyProtection="0">
      <alignment vertical="center"/>
    </xf>
    <xf numFmtId="189" fontId="17" fillId="0" borderId="0" applyBorder="0">
      <alignment vertical="center"/>
    </xf>
    <xf numFmtId="190" fontId="6" fillId="0" borderId="3">
      <alignment vertical="center"/>
    </xf>
    <xf numFmtId="0" fontId="18" fillId="22" borderId="0" applyBorder="0" applyProtection="0">
      <alignment vertical="center"/>
    </xf>
    <xf numFmtId="0" fontId="18" fillId="23" borderId="0" applyBorder="0" applyProtection="0">
      <alignment vertical="center"/>
    </xf>
    <xf numFmtId="0" fontId="18" fillId="24" borderId="0" applyBorder="0" applyProtection="0">
      <alignment vertical="center"/>
    </xf>
    <xf numFmtId="180" fontId="14" fillId="0" borderId="0" applyBorder="0">
      <alignment vertical="center"/>
    </xf>
    <xf numFmtId="181" fontId="14" fillId="0" borderId="0" applyBorder="0">
      <alignment vertical="center"/>
    </xf>
    <xf numFmtId="180" fontId="14" fillId="0" borderId="0" applyBorder="0">
      <alignment vertical="center"/>
    </xf>
    <xf numFmtId="185" fontId="14" fillId="0" borderId="0" applyBorder="0">
      <alignment vertical="center"/>
    </xf>
    <xf numFmtId="181" fontId="14" fillId="0" borderId="0" applyBorder="0">
      <alignment vertical="center"/>
    </xf>
    <xf numFmtId="0" fontId="19" fillId="4" borderId="0" applyBorder="0" applyProtection="0">
      <alignment vertical="center"/>
    </xf>
    <xf numFmtId="0" fontId="20" fillId="19" borderId="0" applyBorder="0" applyProtection="0">
      <alignment vertical="center"/>
    </xf>
    <xf numFmtId="0" fontId="21" fillId="19" borderId="4">
      <alignment horizontal="right" textRotation="90" wrapText="1"/>
    </xf>
    <xf numFmtId="179" fontId="21" fillId="19" borderId="4">
      <alignment horizontal="right" textRotation="90" wrapText="1"/>
    </xf>
    <xf numFmtId="0" fontId="22" fillId="0" borderId="5" applyProtection="0">
      <alignment vertical="center"/>
    </xf>
    <xf numFmtId="0" fontId="22" fillId="0" borderId="5" applyProtection="0">
      <alignment vertical="center"/>
    </xf>
    <xf numFmtId="0" fontId="22" fillId="0" borderId="6">
      <alignment horizontal="left" vertical="center"/>
    </xf>
    <xf numFmtId="179" fontId="22" fillId="0" borderId="6">
      <alignment horizontal="left" vertical="center"/>
    </xf>
    <xf numFmtId="0" fontId="23" fillId="0" borderId="7" applyProtection="0">
      <alignment vertical="center"/>
    </xf>
    <xf numFmtId="0" fontId="24" fillId="0" borderId="8" applyProtection="0">
      <alignment vertical="center"/>
    </xf>
    <xf numFmtId="0" fontId="25" fillId="0" borderId="9" applyProtection="0">
      <alignment vertical="center"/>
    </xf>
    <xf numFmtId="0" fontId="25" fillId="0" borderId="0" applyBorder="0" applyProtection="0">
      <alignment vertical="center"/>
    </xf>
    <xf numFmtId="0" fontId="26" fillId="0" borderId="0" applyBorder="0" applyProtection="0">
      <alignment vertical="center"/>
    </xf>
    <xf numFmtId="0" fontId="27" fillId="7" borderId="1" applyProtection="0">
      <alignment vertical="center"/>
    </xf>
    <xf numFmtId="0" fontId="20" fillId="18" borderId="0" applyBorder="0" applyProtection="0">
      <alignment vertical="center"/>
    </xf>
    <xf numFmtId="180" fontId="14" fillId="0" borderId="0" applyBorder="0">
      <alignment vertical="center"/>
    </xf>
    <xf numFmtId="181" fontId="14" fillId="0" borderId="0" applyBorder="0">
      <alignment vertical="center"/>
    </xf>
    <xf numFmtId="180" fontId="14" fillId="0" borderId="0" applyBorder="0">
      <alignment vertical="center"/>
    </xf>
    <xf numFmtId="185" fontId="14" fillId="0" borderId="0" applyBorder="0">
      <alignment vertical="center"/>
    </xf>
    <xf numFmtId="181" fontId="14" fillId="0" borderId="0" applyBorder="0">
      <alignment vertical="center"/>
    </xf>
    <xf numFmtId="0" fontId="28" fillId="0" borderId="10" applyProtection="0">
      <alignment vertical="center"/>
    </xf>
    <xf numFmtId="191" fontId="46" fillId="0" borderId="0" applyBorder="0" applyProtection="0">
      <alignment vertical="center"/>
    </xf>
    <xf numFmtId="0" fontId="29" fillId="25" borderId="0" applyBorder="0" applyProtection="0">
      <alignment vertical="center"/>
    </xf>
    <xf numFmtId="192" fontId="30" fillId="0" borderId="0"/>
    <xf numFmtId="0" fontId="31" fillId="0" borderId="0"/>
    <xf numFmtId="179" fontId="31" fillId="0" borderId="0"/>
    <xf numFmtId="0" fontId="31" fillId="0" borderId="0"/>
    <xf numFmtId="179" fontId="31" fillId="0" borderId="0"/>
    <xf numFmtId="0" fontId="9" fillId="0" borderId="0">
      <alignment vertical="center"/>
    </xf>
    <xf numFmtId="179" fontId="9" fillId="0" borderId="0">
      <alignment vertical="center"/>
    </xf>
    <xf numFmtId="0" fontId="31" fillId="0" borderId="0"/>
    <xf numFmtId="179" fontId="31" fillId="0" borderId="0"/>
    <xf numFmtId="0" fontId="31" fillId="0" borderId="0"/>
    <xf numFmtId="179" fontId="31" fillId="0" borderId="0"/>
    <xf numFmtId="0" fontId="31" fillId="0" borderId="0"/>
    <xf numFmtId="179" fontId="31" fillId="0" borderId="0"/>
    <xf numFmtId="0" fontId="31" fillId="0" borderId="0"/>
    <xf numFmtId="179" fontId="31" fillId="0" borderId="0"/>
    <xf numFmtId="0" fontId="31" fillId="0" borderId="0"/>
    <xf numFmtId="179" fontId="31" fillId="0" borderId="0"/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7" fillId="0" borderId="0"/>
    <xf numFmtId="0" fontId="32" fillId="0" borderId="0"/>
    <xf numFmtId="0" fontId="31" fillId="0" borderId="0"/>
    <xf numFmtId="179" fontId="31" fillId="0" borderId="0"/>
    <xf numFmtId="179" fontId="32" fillId="0" borderId="0"/>
    <xf numFmtId="0" fontId="31" fillId="0" borderId="0"/>
    <xf numFmtId="179" fontId="31" fillId="0" borderId="0"/>
    <xf numFmtId="0" fontId="32" fillId="0" borderId="0"/>
    <xf numFmtId="179" fontId="32" fillId="0" borderId="0"/>
    <xf numFmtId="0" fontId="32" fillId="0" borderId="0"/>
    <xf numFmtId="0" fontId="7" fillId="0" borderId="0"/>
    <xf numFmtId="0" fontId="7" fillId="0" borderId="0"/>
    <xf numFmtId="179" fontId="32" fillId="0" borderId="0"/>
    <xf numFmtId="0" fontId="12" fillId="0" borderId="0"/>
    <xf numFmtId="0" fontId="9" fillId="0" borderId="0">
      <alignment vertical="center"/>
    </xf>
    <xf numFmtId="179" fontId="9" fillId="0" borderId="0">
      <alignment vertical="center"/>
    </xf>
    <xf numFmtId="0" fontId="31" fillId="0" borderId="0"/>
    <xf numFmtId="179" fontId="31" fillId="0" borderId="0"/>
    <xf numFmtId="0" fontId="31" fillId="0" borderId="0"/>
    <xf numFmtId="179" fontId="31" fillId="0" borderId="0"/>
    <xf numFmtId="0" fontId="31" fillId="0" borderId="0"/>
    <xf numFmtId="179" fontId="31" fillId="0" borderId="0"/>
    <xf numFmtId="0" fontId="31" fillId="0" borderId="0"/>
    <xf numFmtId="179" fontId="31" fillId="0" borderId="0"/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31" fillId="0" borderId="0"/>
    <xf numFmtId="179" fontId="31" fillId="0" borderId="0"/>
    <xf numFmtId="0" fontId="31" fillId="0" borderId="0"/>
    <xf numFmtId="179" fontId="31" fillId="0" borderId="0"/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31" fillId="0" borderId="0"/>
    <xf numFmtId="179" fontId="31" fillId="0" borderId="0"/>
    <xf numFmtId="0" fontId="12" fillId="0" borderId="0"/>
    <xf numFmtId="0" fontId="12" fillId="0" borderId="0"/>
    <xf numFmtId="179" fontId="12" fillId="0" borderId="0"/>
    <xf numFmtId="179" fontId="12" fillId="0" borderId="0"/>
    <xf numFmtId="0" fontId="31" fillId="0" borderId="0"/>
    <xf numFmtId="179" fontId="31" fillId="0" borderId="0"/>
    <xf numFmtId="0" fontId="31" fillId="0" borderId="0"/>
    <xf numFmtId="179" fontId="31" fillId="0" borderId="0"/>
    <xf numFmtId="0" fontId="6" fillId="0" borderId="0"/>
    <xf numFmtId="0" fontId="31" fillId="0" borderId="0"/>
    <xf numFmtId="179" fontId="31" fillId="0" borderId="0"/>
    <xf numFmtId="0" fontId="31" fillId="0" borderId="0"/>
    <xf numFmtId="179" fontId="31" fillId="0" borderId="0"/>
    <xf numFmtId="0" fontId="12" fillId="0" borderId="0"/>
    <xf numFmtId="0" fontId="12" fillId="0" borderId="0"/>
    <xf numFmtId="179" fontId="12" fillId="0" borderId="0"/>
    <xf numFmtId="0" fontId="12" fillId="0" borderId="0"/>
    <xf numFmtId="179" fontId="12" fillId="0" borderId="0"/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31" fillId="0" borderId="0"/>
    <xf numFmtId="0" fontId="31" fillId="0" borderId="0"/>
    <xf numFmtId="0" fontId="7" fillId="0" borderId="0"/>
    <xf numFmtId="0" fontId="7" fillId="0" borderId="0"/>
    <xf numFmtId="179" fontId="7" fillId="0" borderId="0"/>
    <xf numFmtId="0" fontId="12" fillId="0" borderId="0"/>
    <xf numFmtId="179" fontId="12" fillId="0" borderId="0"/>
    <xf numFmtId="0" fontId="12" fillId="0" borderId="0"/>
    <xf numFmtId="179" fontId="12" fillId="0" borderId="0"/>
    <xf numFmtId="0" fontId="6" fillId="0" borderId="0"/>
    <xf numFmtId="0" fontId="46" fillId="18" borderId="11" applyProtection="0">
      <alignment vertical="center"/>
    </xf>
    <xf numFmtId="0" fontId="46" fillId="18" borderId="11" applyProtection="0">
      <alignment vertical="center"/>
    </xf>
    <xf numFmtId="0" fontId="46" fillId="18" borderId="11" applyProtection="0">
      <alignment vertical="center"/>
    </xf>
    <xf numFmtId="0" fontId="33" fillId="21" borderId="12" applyProtection="0">
      <alignment vertical="center"/>
    </xf>
    <xf numFmtId="9" fontId="46" fillId="0" borderId="0" applyBorder="0" applyProtection="0">
      <alignment vertical="center"/>
    </xf>
    <xf numFmtId="9" fontId="46" fillId="0" borderId="0" applyBorder="0" applyProtection="0">
      <alignment vertical="center"/>
    </xf>
    <xf numFmtId="9" fontId="46" fillId="0" borderId="0" applyBorder="0" applyProtection="0">
      <alignment vertical="center"/>
    </xf>
    <xf numFmtId="193" fontId="46" fillId="0" borderId="0" applyBorder="0" applyProtection="0">
      <alignment vertical="center"/>
    </xf>
    <xf numFmtId="184" fontId="46" fillId="0" borderId="0" applyBorder="0" applyProtection="0">
      <alignment vertical="center"/>
    </xf>
    <xf numFmtId="10" fontId="46" fillId="0" borderId="0" applyBorder="0" applyProtection="0">
      <alignment vertical="center"/>
    </xf>
    <xf numFmtId="180" fontId="14" fillId="0" borderId="0" applyBorder="0">
      <alignment vertical="center"/>
    </xf>
    <xf numFmtId="181" fontId="14" fillId="0" borderId="0" applyBorder="0">
      <alignment vertical="center"/>
    </xf>
    <xf numFmtId="180" fontId="14" fillId="0" borderId="0" applyBorder="0">
      <alignment vertical="center"/>
    </xf>
    <xf numFmtId="185" fontId="14" fillId="0" borderId="0" applyBorder="0">
      <alignment vertical="center"/>
    </xf>
    <xf numFmtId="181" fontId="14" fillId="0" borderId="0" applyBorder="0">
      <alignment vertical="center"/>
    </xf>
    <xf numFmtId="0" fontId="34" fillId="0" borderId="0" applyBorder="0">
      <alignment vertical="center"/>
    </xf>
    <xf numFmtId="0" fontId="34" fillId="0" borderId="0" applyBorder="0">
      <alignment vertical="center"/>
    </xf>
    <xf numFmtId="3" fontId="35" fillId="0" borderId="0"/>
    <xf numFmtId="0" fontId="46" fillId="0" borderId="0" applyBorder="0">
      <alignment vertical="center"/>
    </xf>
    <xf numFmtId="0" fontId="46" fillId="0" borderId="0" applyBorder="0">
      <alignment vertical="center"/>
    </xf>
    <xf numFmtId="0" fontId="36" fillId="0" borderId="0" applyBorder="0" applyProtection="0">
      <alignment vertical="center"/>
    </xf>
    <xf numFmtId="0" fontId="37" fillId="0" borderId="0" applyBorder="0" applyProtection="0">
      <alignment vertical="center"/>
    </xf>
    <xf numFmtId="0" fontId="37" fillId="0" borderId="0" applyBorder="0" applyProtection="0">
      <alignment vertical="center"/>
    </xf>
    <xf numFmtId="0" fontId="35" fillId="0" borderId="0"/>
    <xf numFmtId="0" fontId="35" fillId="0" borderId="0"/>
    <xf numFmtId="179" fontId="35" fillId="0" borderId="0"/>
    <xf numFmtId="49" fontId="17" fillId="0" borderId="0" applyBorder="0">
      <alignment vertical="center"/>
    </xf>
    <xf numFmtId="194" fontId="14" fillId="0" borderId="0" applyBorder="0">
      <alignment vertical="center"/>
    </xf>
    <xf numFmtId="195" fontId="14" fillId="0" borderId="0" applyBorder="0">
      <alignment vertical="center"/>
    </xf>
    <xf numFmtId="0" fontId="18" fillId="0" borderId="13" applyProtection="0">
      <alignment vertical="center"/>
    </xf>
    <xf numFmtId="0" fontId="38" fillId="0" borderId="0" applyBorder="0" applyProtection="0">
      <alignment vertical="center"/>
    </xf>
    <xf numFmtId="0" fontId="9" fillId="0" borderId="0">
      <alignment vertical="center"/>
    </xf>
    <xf numFmtId="0" fontId="39" fillId="0" borderId="0"/>
    <xf numFmtId="0" fontId="9" fillId="0" borderId="0">
      <alignment vertical="center"/>
    </xf>
    <xf numFmtId="0" fontId="35" fillId="0" borderId="0">
      <alignment wrapText="1"/>
    </xf>
    <xf numFmtId="0" fontId="35" fillId="0" borderId="0">
      <alignment wrapText="1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35" fillId="0" borderId="0"/>
    <xf numFmtId="0" fontId="9" fillId="0" borderId="0">
      <alignment vertical="center"/>
    </xf>
    <xf numFmtId="0" fontId="35" fillId="0" borderId="0"/>
    <xf numFmtId="0" fontId="9" fillId="0" borderId="0">
      <alignment vertical="center"/>
    </xf>
    <xf numFmtId="0" fontId="35" fillId="0" borderId="0"/>
    <xf numFmtId="0" fontId="9" fillId="0" borderId="0">
      <alignment vertical="center"/>
    </xf>
    <xf numFmtId="0" fontId="17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35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9" fillId="0" borderId="0"/>
    <xf numFmtId="0" fontId="35" fillId="0" borderId="0"/>
    <xf numFmtId="0" fontId="35" fillId="0" borderId="0"/>
    <xf numFmtId="0" fontId="46" fillId="0" borderId="0"/>
    <xf numFmtId="0" fontId="9" fillId="0" borderId="0">
      <alignment vertical="center"/>
    </xf>
    <xf numFmtId="0" fontId="35" fillId="0" borderId="0"/>
    <xf numFmtId="0" fontId="46" fillId="0" borderId="0"/>
    <xf numFmtId="0" fontId="46" fillId="0" borderId="0"/>
    <xf numFmtId="0" fontId="46" fillId="0" borderId="0">
      <alignment vertical="center"/>
    </xf>
    <xf numFmtId="0" fontId="9" fillId="0" borderId="0">
      <alignment vertical="center"/>
    </xf>
    <xf numFmtId="179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5" fillId="0" borderId="0"/>
    <xf numFmtId="0" fontId="35" fillId="0" borderId="0">
      <alignment wrapText="1"/>
    </xf>
    <xf numFmtId="0" fontId="35" fillId="0" borderId="0">
      <alignment wrapText="1"/>
    </xf>
    <xf numFmtId="0" fontId="35" fillId="0" borderId="0">
      <alignment wrapText="1"/>
    </xf>
    <xf numFmtId="179" fontId="46" fillId="0" borderId="0"/>
    <xf numFmtId="0" fontId="46" fillId="0" borderId="0">
      <alignment vertical="center"/>
    </xf>
    <xf numFmtId="0" fontId="46" fillId="0" borderId="0"/>
    <xf numFmtId="0" fontId="9" fillId="0" borderId="0">
      <alignment vertical="center"/>
    </xf>
    <xf numFmtId="0" fontId="9" fillId="0" borderId="0">
      <alignment vertical="center"/>
    </xf>
    <xf numFmtId="0" fontId="40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31" fillId="0" borderId="0"/>
    <xf numFmtId="0" fontId="31" fillId="0" borderId="0"/>
    <xf numFmtId="0" fontId="46" fillId="0" borderId="0">
      <alignment vertical="center"/>
    </xf>
    <xf numFmtId="0" fontId="46" fillId="0" borderId="0">
      <alignment vertical="center"/>
    </xf>
    <xf numFmtId="0" fontId="35" fillId="0" borderId="0">
      <alignment wrapText="1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179" fontId="39" fillId="0" borderId="0"/>
    <xf numFmtId="0" fontId="46" fillId="0" borderId="0">
      <alignment vertical="center"/>
    </xf>
    <xf numFmtId="0" fontId="46" fillId="0" borderId="0"/>
    <xf numFmtId="0" fontId="46" fillId="0" borderId="0">
      <alignment vertical="center"/>
    </xf>
    <xf numFmtId="0" fontId="9" fillId="0" borderId="0">
      <alignment vertical="center"/>
    </xf>
    <xf numFmtId="196" fontId="46" fillId="0" borderId="0"/>
    <xf numFmtId="0" fontId="9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9" fillId="0" borderId="0"/>
    <xf numFmtId="0" fontId="9" fillId="0" borderId="0">
      <alignment vertical="center"/>
    </xf>
    <xf numFmtId="0" fontId="35" fillId="0" borderId="0"/>
    <xf numFmtId="0" fontId="35" fillId="0" borderId="0"/>
    <xf numFmtId="0" fontId="7" fillId="0" borderId="0">
      <alignment vertical="center"/>
    </xf>
    <xf numFmtId="0" fontId="7" fillId="0" borderId="0">
      <alignment vertical="center"/>
    </xf>
    <xf numFmtId="0" fontId="46" fillId="0" borderId="0"/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/>
    <xf numFmtId="179" fontId="7" fillId="0" borderId="0">
      <alignment vertical="center"/>
    </xf>
    <xf numFmtId="0" fontId="46" fillId="0" borderId="0">
      <alignment vertical="center"/>
    </xf>
    <xf numFmtId="0" fontId="46" fillId="0" borderId="0"/>
    <xf numFmtId="0" fontId="9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46" fillId="0" borderId="0">
      <alignment vertical="center"/>
    </xf>
    <xf numFmtId="0" fontId="9" fillId="0" borderId="0"/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35" fillId="0" borderId="0">
      <alignment wrapText="1"/>
    </xf>
    <xf numFmtId="0" fontId="35" fillId="0" borderId="0"/>
    <xf numFmtId="0" fontId="35" fillId="0" borderId="0"/>
    <xf numFmtId="0" fontId="6" fillId="0" borderId="0"/>
    <xf numFmtId="0" fontId="46" fillId="0" borderId="0">
      <alignment vertical="center"/>
    </xf>
    <xf numFmtId="0" fontId="35" fillId="0" borderId="0"/>
    <xf numFmtId="0" fontId="35" fillId="0" borderId="0">
      <alignment wrapText="1"/>
    </xf>
    <xf numFmtId="0" fontId="46" fillId="0" borderId="0"/>
    <xf numFmtId="0" fontId="46" fillId="0" borderId="0"/>
    <xf numFmtId="0" fontId="46" fillId="0" borderId="0">
      <alignment vertical="center"/>
    </xf>
    <xf numFmtId="179" fontId="6" fillId="0" borderId="0"/>
    <xf numFmtId="0" fontId="4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1" fillId="0" borderId="0">
      <alignment vertical="center"/>
    </xf>
    <xf numFmtId="0" fontId="35" fillId="0" borderId="0">
      <alignment wrapText="1"/>
    </xf>
    <xf numFmtId="0" fontId="35" fillId="0" borderId="0"/>
    <xf numFmtId="0" fontId="35" fillId="0" borderId="0"/>
    <xf numFmtId="179" fontId="41" fillId="0" borderId="0">
      <alignment vertical="center"/>
    </xf>
    <xf numFmtId="0" fontId="46" fillId="0" borderId="0"/>
    <xf numFmtId="0" fontId="4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9" fillId="0" borderId="0"/>
    <xf numFmtId="0" fontId="46" fillId="0" borderId="0">
      <alignment vertical="center"/>
    </xf>
    <xf numFmtId="179" fontId="9" fillId="0" borderId="0"/>
    <xf numFmtId="0" fontId="35" fillId="0" borderId="0">
      <alignment wrapText="1"/>
    </xf>
    <xf numFmtId="0" fontId="35" fillId="0" borderId="0"/>
    <xf numFmtId="0" fontId="46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35" fillId="0" borderId="0"/>
    <xf numFmtId="179" fontId="9" fillId="0" borderId="0"/>
    <xf numFmtId="0" fontId="46" fillId="0" borderId="0">
      <alignment vertical="center"/>
    </xf>
    <xf numFmtId="0" fontId="46" fillId="0" borderId="0"/>
    <xf numFmtId="0" fontId="9" fillId="0" borderId="0">
      <alignment vertical="center"/>
    </xf>
    <xf numFmtId="0" fontId="7" fillId="0" borderId="0"/>
    <xf numFmtId="0" fontId="7" fillId="0" borderId="0"/>
    <xf numFmtId="0" fontId="31" fillId="0" borderId="0">
      <alignment vertical="center"/>
    </xf>
    <xf numFmtId="0" fontId="31" fillId="0" borderId="0">
      <alignment vertical="center"/>
    </xf>
    <xf numFmtId="179" fontId="7" fillId="0" borderId="0"/>
    <xf numFmtId="0" fontId="46" fillId="0" borderId="0">
      <alignment vertical="center"/>
    </xf>
    <xf numFmtId="0" fontId="9" fillId="0" borderId="0">
      <alignment vertical="center"/>
    </xf>
    <xf numFmtId="0" fontId="35" fillId="0" borderId="0">
      <alignment wrapText="1"/>
    </xf>
    <xf numFmtId="0" fontId="35" fillId="0" borderId="0"/>
    <xf numFmtId="0" fontId="35" fillId="0" borderId="0"/>
    <xf numFmtId="0" fontId="35" fillId="0" borderId="0">
      <alignment wrapText="1"/>
    </xf>
    <xf numFmtId="179" fontId="35" fillId="0" borderId="0"/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6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87" fontId="46" fillId="0" borderId="0" applyBorder="0" applyProtection="0">
      <alignment vertical="center"/>
    </xf>
    <xf numFmtId="197" fontId="46" fillId="0" borderId="0" applyBorder="0" applyProtection="0">
      <alignment vertical="center"/>
    </xf>
    <xf numFmtId="0" fontId="42" fillId="3" borderId="0" applyBorder="0" applyProtection="0">
      <alignment vertical="center"/>
    </xf>
    <xf numFmtId="0" fontId="43" fillId="4" borderId="0" applyBorder="0" applyProtection="0">
      <alignment vertical="center"/>
    </xf>
    <xf numFmtId="0" fontId="44" fillId="3" borderId="0" applyBorder="0" applyProtection="0">
      <alignment vertical="center"/>
    </xf>
    <xf numFmtId="0" fontId="44" fillId="3" borderId="0" applyBorder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8" fillId="0" borderId="0"/>
    <xf numFmtId="0" fontId="69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2" fillId="0" borderId="0">
      <alignment vertical="center"/>
    </xf>
    <xf numFmtId="0" fontId="81" fillId="0" borderId="0">
      <alignment vertical="center"/>
    </xf>
    <xf numFmtId="0" fontId="80" fillId="0" borderId="0" applyNumberFormat="0" applyFill="0" applyBorder="0" applyAlignment="0" applyProtection="0">
      <alignment vertical="top"/>
      <protection locked="0"/>
    </xf>
    <xf numFmtId="178" fontId="8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8" fontId="81" fillId="0" borderId="0" applyFont="0" applyFill="0" applyBorder="0" applyAlignment="0" applyProtection="0">
      <alignment vertical="center"/>
    </xf>
    <xf numFmtId="177" fontId="8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8" fontId="1" fillId="0" borderId="0" applyFont="0" applyFill="0" applyBorder="0" applyAlignment="0" applyProtection="0">
      <alignment vertical="center"/>
    </xf>
    <xf numFmtId="187" fontId="46" fillId="0" borderId="0" applyBorder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4">
    <xf numFmtId="0" fontId="0" fillId="0" borderId="0" xfId="0">
      <alignment vertical="center"/>
    </xf>
    <xf numFmtId="0" fontId="47" fillId="0" borderId="0" xfId="1539" applyFont="1" applyAlignment="1">
      <alignment horizontal="left" vertical="center"/>
    </xf>
    <xf numFmtId="200" fontId="47" fillId="0" borderId="0" xfId="1" applyNumberFormat="1" applyFont="1" applyBorder="1" applyAlignment="1" applyProtection="1">
      <alignment horizontal="left" vertical="center"/>
    </xf>
    <xf numFmtId="0" fontId="47" fillId="0" borderId="0" xfId="1539" applyFont="1" applyAlignment="1">
      <alignment horizontal="center" vertical="center"/>
    </xf>
    <xf numFmtId="0" fontId="48" fillId="0" borderId="0" xfId="0" applyFont="1">
      <alignment vertical="center"/>
    </xf>
    <xf numFmtId="0" fontId="57" fillId="27" borderId="0" xfId="0" applyFont="1" applyFill="1" applyAlignment="1">
      <alignment horizontal="center" vertical="center"/>
    </xf>
    <xf numFmtId="0" fontId="58" fillId="27" borderId="24" xfId="1263" applyFont="1" applyFill="1" applyBorder="1" applyAlignment="1">
      <alignment horizontal="left" vertical="center"/>
    </xf>
    <xf numFmtId="0" fontId="50" fillId="27" borderId="0" xfId="0" applyFont="1" applyFill="1">
      <alignment vertical="center"/>
    </xf>
    <xf numFmtId="0" fontId="59" fillId="27" borderId="0" xfId="1263" applyFont="1" applyFill="1" applyAlignment="1">
      <alignment horizontal="left" vertical="center"/>
    </xf>
    <xf numFmtId="0" fontId="59" fillId="27" borderId="0" xfId="1263" applyFont="1" applyFill="1" applyAlignment="1">
      <alignment horizontal="center" vertical="center"/>
    </xf>
    <xf numFmtId="0" fontId="61" fillId="27" borderId="24" xfId="2218" applyFont="1" applyFill="1" applyBorder="1" applyAlignment="1"/>
    <xf numFmtId="0" fontId="62" fillId="27" borderId="21" xfId="1263" applyFont="1" applyFill="1" applyBorder="1" applyAlignment="1">
      <alignment horizontal="left" vertical="center"/>
    </xf>
    <xf numFmtId="0" fontId="61" fillId="27" borderId="6" xfId="2218" applyFont="1" applyFill="1" applyBorder="1" applyAlignment="1"/>
    <xf numFmtId="0" fontId="62" fillId="27" borderId="29" xfId="1263" applyFont="1" applyFill="1" applyBorder="1" applyAlignment="1"/>
    <xf numFmtId="0" fontId="62" fillId="27" borderId="29" xfId="1263" applyFont="1" applyFill="1" applyBorder="1" applyAlignment="1">
      <alignment horizontal="left" vertical="center"/>
    </xf>
    <xf numFmtId="0" fontId="62" fillId="27" borderId="17" xfId="1263" applyFont="1" applyFill="1" applyBorder="1" applyAlignment="1">
      <alignment horizontal="left" vertical="center"/>
    </xf>
    <xf numFmtId="0" fontId="61" fillId="27" borderId="29" xfId="2218" applyFont="1" applyFill="1" applyBorder="1" applyAlignment="1"/>
    <xf numFmtId="0" fontId="62" fillId="27" borderId="6" xfId="1263" applyFont="1" applyFill="1" applyBorder="1" applyAlignment="1"/>
    <xf numFmtId="0" fontId="62" fillId="27" borderId="16" xfId="1263" applyFont="1" applyFill="1" applyBorder="1" applyAlignment="1">
      <alignment horizontal="left" vertical="center"/>
    </xf>
    <xf numFmtId="0" fontId="61" fillId="27" borderId="31" xfId="2218" applyFont="1" applyFill="1" applyBorder="1" applyAlignment="1"/>
    <xf numFmtId="0" fontId="63" fillId="27" borderId="31" xfId="0" applyFont="1" applyFill="1" applyBorder="1" applyAlignment="1">
      <alignment horizontal="right"/>
    </xf>
    <xf numFmtId="0" fontId="63" fillId="27" borderId="32" xfId="0" applyFont="1" applyFill="1" applyBorder="1" applyAlignment="1">
      <alignment horizontal="left" vertical="center"/>
    </xf>
    <xf numFmtId="0" fontId="59" fillId="27" borderId="0" xfId="1263" applyFont="1" applyFill="1" applyAlignment="1">
      <alignment horizontal="center" vertical="center" wrapText="1"/>
    </xf>
    <xf numFmtId="0" fontId="64" fillId="27" borderId="0" xfId="1263" applyFont="1" applyFill="1" applyAlignment="1">
      <alignment horizontal="center" vertical="center"/>
    </xf>
    <xf numFmtId="0" fontId="49" fillId="28" borderId="27" xfId="1263" applyFont="1" applyFill="1" applyBorder="1" applyAlignment="1">
      <alignment horizontal="center" vertical="center"/>
    </xf>
    <xf numFmtId="204" fontId="58" fillId="27" borderId="34" xfId="2" applyNumberFormat="1" applyFont="1" applyFill="1" applyBorder="1">
      <alignment vertical="center"/>
    </xf>
    <xf numFmtId="0" fontId="62" fillId="27" borderId="29" xfId="2219" applyFont="1" applyFill="1" applyBorder="1" applyAlignment="1">
      <alignment horizontal="right" vertical="center"/>
    </xf>
    <xf numFmtId="0" fontId="63" fillId="27" borderId="29" xfId="0" applyFont="1" applyFill="1" applyBorder="1" applyAlignment="1">
      <alignment horizontal="right" vertical="center"/>
    </xf>
    <xf numFmtId="204" fontId="58" fillId="27" borderId="16" xfId="2" applyNumberFormat="1" applyFont="1" applyFill="1" applyBorder="1">
      <alignment vertical="center"/>
    </xf>
    <xf numFmtId="204" fontId="62" fillId="27" borderId="29" xfId="1263" applyNumberFormat="1" applyFont="1" applyFill="1" applyBorder="1" applyAlignment="1">
      <alignment horizontal="right" vertical="center"/>
    </xf>
    <xf numFmtId="0" fontId="62" fillId="27" borderId="29" xfId="1263" applyFont="1" applyFill="1" applyBorder="1" applyAlignment="1">
      <alignment horizontal="right" vertical="center"/>
    </xf>
    <xf numFmtId="0" fontId="62" fillId="27" borderId="36" xfId="1263" applyFont="1" applyFill="1" applyBorder="1" applyAlignment="1">
      <alignment horizontal="right" vertical="center"/>
    </xf>
    <xf numFmtId="0" fontId="63" fillId="27" borderId="36" xfId="0" applyFont="1" applyFill="1" applyBorder="1" applyAlignment="1">
      <alignment horizontal="right" vertical="center"/>
    </xf>
    <xf numFmtId="204" fontId="58" fillId="27" borderId="37" xfId="2" applyNumberFormat="1" applyFont="1" applyFill="1" applyBorder="1">
      <alignment vertical="center"/>
    </xf>
    <xf numFmtId="0" fontId="45" fillId="29" borderId="38" xfId="2219" applyFont="1" applyFill="1" applyBorder="1" applyAlignment="1">
      <alignment horizontal="right" vertical="center"/>
    </xf>
    <xf numFmtId="0" fontId="60" fillId="29" borderId="38" xfId="2219" applyFont="1" applyFill="1" applyBorder="1" applyAlignment="1">
      <alignment horizontal="right" vertical="center"/>
    </xf>
    <xf numFmtId="204" fontId="49" fillId="29" borderId="23" xfId="2" applyNumberFormat="1" applyFont="1" applyFill="1" applyBorder="1" applyAlignment="1">
      <alignment horizontal="center" vertical="center"/>
    </xf>
    <xf numFmtId="204" fontId="0" fillId="0" borderId="0" xfId="0" applyNumberFormat="1">
      <alignment vertical="center"/>
    </xf>
    <xf numFmtId="0" fontId="50" fillId="27" borderId="24" xfId="0" applyFont="1" applyFill="1" applyBorder="1">
      <alignment vertical="center"/>
    </xf>
    <xf numFmtId="0" fontId="59" fillId="27" borderId="24" xfId="1263" applyFont="1" applyFill="1" applyBorder="1" applyAlignment="1">
      <alignment horizontal="center" vertical="center"/>
    </xf>
    <xf numFmtId="16" fontId="62" fillId="27" borderId="29" xfId="1263" applyNumberFormat="1" applyFont="1" applyFill="1" applyBorder="1" applyAlignment="1">
      <alignment horizontal="left" vertical="center"/>
    </xf>
    <xf numFmtId="177" fontId="63" fillId="27" borderId="31" xfId="0" applyNumberFormat="1" applyFont="1" applyFill="1" applyBorder="1" applyAlignment="1">
      <alignment horizontal="left" vertical="center"/>
    </xf>
    <xf numFmtId="0" fontId="70" fillId="0" borderId="0" xfId="1539" applyFont="1" applyAlignment="1">
      <alignment horizontal="center" vertical="center"/>
    </xf>
    <xf numFmtId="200" fontId="70" fillId="0" borderId="0" xfId="1" applyNumberFormat="1" applyFont="1" applyBorder="1" applyAlignment="1" applyProtection="1">
      <alignment horizontal="center" vertical="center"/>
    </xf>
    <xf numFmtId="0" fontId="72" fillId="0" borderId="0" xfId="0" applyFont="1">
      <alignment vertical="center"/>
    </xf>
    <xf numFmtId="0" fontId="72" fillId="0" borderId="24" xfId="0" applyFont="1" applyBorder="1">
      <alignment vertical="center"/>
    </xf>
    <xf numFmtId="0" fontId="72" fillId="27" borderId="0" xfId="0" applyFont="1" applyFill="1">
      <alignment vertical="center"/>
    </xf>
    <xf numFmtId="0" fontId="70" fillId="30" borderId="0" xfId="1539" applyFont="1" applyFill="1" applyAlignment="1">
      <alignment horizontal="left" vertical="center"/>
    </xf>
    <xf numFmtId="0" fontId="72" fillId="27" borderId="24" xfId="0" applyFont="1" applyFill="1" applyBorder="1">
      <alignment vertical="center"/>
    </xf>
    <xf numFmtId="0" fontId="70" fillId="31" borderId="0" xfId="1539" applyFont="1" applyFill="1" applyAlignment="1">
      <alignment horizontal="left" vertical="center"/>
    </xf>
    <xf numFmtId="0" fontId="75" fillId="26" borderId="0" xfId="1539" applyFont="1" applyFill="1" applyAlignment="1">
      <alignment horizontal="center" vertical="center"/>
    </xf>
    <xf numFmtId="0" fontId="58" fillId="27" borderId="0" xfId="1263" applyFont="1" applyFill="1">
      <alignment vertical="center"/>
    </xf>
    <xf numFmtId="0" fontId="57" fillId="27" borderId="0" xfId="0" applyFont="1" applyFill="1">
      <alignment vertical="center"/>
    </xf>
    <xf numFmtId="0" fontId="58" fillId="27" borderId="0" xfId="1263" applyFont="1" applyFill="1" applyAlignment="1">
      <alignment horizontal="left" vertical="center"/>
    </xf>
    <xf numFmtId="0" fontId="59" fillId="27" borderId="0" xfId="1263" applyFont="1" applyFill="1">
      <alignment vertical="center"/>
    </xf>
    <xf numFmtId="0" fontId="60" fillId="28" borderId="26" xfId="1263" applyFont="1" applyFill="1" applyBorder="1" applyAlignment="1">
      <alignment horizontal="right" vertical="center"/>
    </xf>
    <xf numFmtId="0" fontId="60" fillId="28" borderId="26" xfId="1263" applyFont="1" applyFill="1" applyBorder="1" applyAlignment="1">
      <alignment horizontal="left" vertical="center"/>
    </xf>
    <xf numFmtId="0" fontId="60" fillId="28" borderId="27" xfId="1263" applyFont="1" applyFill="1" applyBorder="1" applyAlignment="1">
      <alignment horizontal="left" vertical="center"/>
    </xf>
    <xf numFmtId="0" fontId="61" fillId="27" borderId="20" xfId="2218" applyFont="1" applyFill="1" applyBorder="1">
      <alignment vertical="center"/>
    </xf>
    <xf numFmtId="0" fontId="62" fillId="27" borderId="0" xfId="1263" applyFont="1" applyFill="1" applyAlignment="1"/>
    <xf numFmtId="0" fontId="62" fillId="27" borderId="0" xfId="1263" applyFont="1" applyFill="1" applyAlignment="1">
      <alignment horizontal="left" vertical="center"/>
    </xf>
    <xf numFmtId="0" fontId="61" fillId="27" borderId="28" xfId="2218" applyFont="1" applyFill="1" applyBorder="1">
      <alignment vertical="center"/>
    </xf>
    <xf numFmtId="207" fontId="62" fillId="27" borderId="29" xfId="1263" applyNumberFormat="1" applyFont="1" applyFill="1" applyBorder="1" applyAlignment="1">
      <alignment horizontal="left" vertical="center"/>
    </xf>
    <xf numFmtId="0" fontId="62" fillId="27" borderId="30" xfId="1263" applyFont="1" applyFill="1" applyBorder="1">
      <alignment vertical="center"/>
    </xf>
    <xf numFmtId="0" fontId="60" fillId="27" borderId="0" xfId="1263" applyFont="1" applyFill="1">
      <alignment vertical="center"/>
    </xf>
    <xf numFmtId="0" fontId="60" fillId="28" borderId="25" xfId="1263" applyFont="1" applyFill="1" applyBorder="1">
      <alignment vertical="center"/>
    </xf>
    <xf numFmtId="0" fontId="60" fillId="28" borderId="26" xfId="1263" applyFont="1" applyFill="1" applyBorder="1">
      <alignment vertical="center"/>
    </xf>
    <xf numFmtId="0" fontId="61" fillId="27" borderId="0" xfId="2218" applyFont="1" applyFill="1">
      <alignment vertical="center"/>
    </xf>
    <xf numFmtId="0" fontId="62" fillId="27" borderId="0" xfId="2219" applyFont="1" applyFill="1" applyAlignment="1">
      <alignment horizontal="right" vertical="center"/>
    </xf>
    <xf numFmtId="0" fontId="63" fillId="27" borderId="0" xfId="0" applyFont="1" applyFill="1" applyAlignment="1">
      <alignment horizontal="right" vertical="center"/>
    </xf>
    <xf numFmtId="204" fontId="62" fillId="27" borderId="33" xfId="2" applyNumberFormat="1" applyFont="1" applyFill="1" applyBorder="1">
      <alignment vertical="center"/>
    </xf>
    <xf numFmtId="204" fontId="62" fillId="27" borderId="6" xfId="2" applyNumberFormat="1" applyFont="1" applyFill="1" applyBorder="1">
      <alignment vertical="center"/>
    </xf>
    <xf numFmtId="0" fontId="61" fillId="27" borderId="35" xfId="2218" applyFont="1" applyFill="1" applyBorder="1">
      <alignment vertical="center"/>
    </xf>
    <xf numFmtId="204" fontId="62" fillId="27" borderId="36" xfId="2" applyNumberFormat="1" applyFont="1" applyFill="1" applyBorder="1">
      <alignment vertical="center"/>
    </xf>
    <xf numFmtId="0" fontId="65" fillId="27" borderId="0" xfId="2219" applyFont="1" applyFill="1">
      <alignment vertical="center"/>
    </xf>
    <xf numFmtId="0" fontId="65" fillId="29" borderId="22" xfId="2219" applyFont="1" applyFill="1" applyBorder="1">
      <alignment vertical="center"/>
    </xf>
    <xf numFmtId="0" fontId="61" fillId="0" borderId="0" xfId="2218" applyFont="1">
      <alignment vertical="center"/>
    </xf>
    <xf numFmtId="0" fontId="50" fillId="0" borderId="0" xfId="0" applyFont="1">
      <alignment vertical="center"/>
    </xf>
    <xf numFmtId="0" fontId="64" fillId="27" borderId="0" xfId="1263" applyFont="1" applyFill="1">
      <alignment vertical="center"/>
    </xf>
    <xf numFmtId="0" fontId="64" fillId="27" borderId="24" xfId="1263" applyFont="1" applyFill="1" applyBorder="1">
      <alignment vertical="center"/>
    </xf>
    <xf numFmtId="0" fontId="66" fillId="27" borderId="0" xfId="0" applyFont="1" applyFill="1">
      <alignment vertical="center"/>
    </xf>
    <xf numFmtId="0" fontId="64" fillId="27" borderId="0" xfId="1263" applyFont="1" applyFill="1" applyAlignment="1">
      <alignment horizontal="right" vertical="center"/>
    </xf>
    <xf numFmtId="0" fontId="59" fillId="27" borderId="24" xfId="1263" applyFont="1" applyFill="1" applyBorder="1">
      <alignment vertical="center"/>
    </xf>
    <xf numFmtId="0" fontId="60" fillId="28" borderId="25" xfId="1263" applyFont="1" applyFill="1" applyBorder="1" applyAlignment="1">
      <alignment horizontal="left" vertical="center"/>
    </xf>
    <xf numFmtId="0" fontId="60" fillId="28" borderId="26" xfId="1263" applyFont="1" applyFill="1" applyBorder="1" applyAlignment="1">
      <alignment horizontal="center" vertical="center"/>
    </xf>
    <xf numFmtId="0" fontId="72" fillId="0" borderId="40" xfId="0" applyFont="1" applyBorder="1">
      <alignment vertical="center"/>
    </xf>
    <xf numFmtId="0" fontId="72" fillId="27" borderId="38" xfId="0" applyFont="1" applyFill="1" applyBorder="1">
      <alignment vertical="center"/>
    </xf>
    <xf numFmtId="0" fontId="76" fillId="0" borderId="0" xfId="0" applyFont="1">
      <alignment vertical="center"/>
    </xf>
    <xf numFmtId="0" fontId="77" fillId="0" borderId="0" xfId="0" applyFont="1" applyAlignment="1">
      <alignment horizontal="left" vertical="center"/>
    </xf>
    <xf numFmtId="200" fontId="70" fillId="0" borderId="0" xfId="1" applyNumberFormat="1" applyFont="1" applyBorder="1" applyAlignment="1" applyProtection="1">
      <alignment horizontal="right" vertical="center"/>
    </xf>
    <xf numFmtId="201" fontId="70" fillId="0" borderId="0" xfId="1539" applyNumberFormat="1" applyFont="1" applyAlignment="1">
      <alignment horizontal="right" vertical="center"/>
    </xf>
    <xf numFmtId="200" fontId="47" fillId="0" borderId="0" xfId="1" applyNumberFormat="1" applyFont="1" applyBorder="1" applyAlignment="1" applyProtection="1">
      <alignment horizontal="right" vertical="center"/>
    </xf>
    <xf numFmtId="0" fontId="82" fillId="0" borderId="43" xfId="1539" applyFont="1" applyBorder="1" applyAlignment="1">
      <alignment horizontal="center" vertical="center"/>
    </xf>
    <xf numFmtId="0" fontId="82" fillId="0" borderId="44" xfId="1539" applyFont="1" applyBorder="1" applyAlignment="1">
      <alignment horizontal="center" vertical="center"/>
    </xf>
    <xf numFmtId="202" fontId="82" fillId="0" borderId="44" xfId="1" applyNumberFormat="1" applyFont="1" applyBorder="1" applyAlignment="1" applyProtection="1">
      <alignment horizontal="center" vertical="center"/>
    </xf>
    <xf numFmtId="200" fontId="82" fillId="0" borderId="44" xfId="1" applyNumberFormat="1" applyFont="1" applyBorder="1" applyAlignment="1" applyProtection="1">
      <alignment horizontal="center" vertical="center"/>
    </xf>
    <xf numFmtId="0" fontId="82" fillId="0" borderId="4" xfId="1539" applyFont="1" applyBorder="1" applyAlignment="1">
      <alignment horizontal="center" vertical="center"/>
    </xf>
    <xf numFmtId="206" fontId="82" fillId="0" borderId="4" xfId="1539" applyNumberFormat="1" applyFont="1" applyBorder="1" applyAlignment="1">
      <alignment horizontal="center" vertical="center"/>
    </xf>
    <xf numFmtId="206" fontId="82" fillId="29" borderId="39" xfId="1539" applyNumberFormat="1" applyFont="1" applyFill="1" applyBorder="1" applyAlignment="1">
      <alignment horizontal="center" vertical="center"/>
    </xf>
    <xf numFmtId="3" fontId="58" fillId="27" borderId="24" xfId="1263" applyNumberFormat="1" applyFont="1" applyFill="1" applyBorder="1" applyAlignment="1">
      <alignment horizontal="left" vertical="center"/>
    </xf>
    <xf numFmtId="200" fontId="82" fillId="0" borderId="44" xfId="1" applyNumberFormat="1" applyFont="1" applyBorder="1" applyAlignment="1" applyProtection="1">
      <alignment horizontal="left" vertical="center"/>
    </xf>
    <xf numFmtId="204" fontId="62" fillId="27" borderId="29" xfId="2" applyNumberFormat="1" applyFont="1" applyFill="1" applyBorder="1">
      <alignment vertical="center"/>
    </xf>
    <xf numFmtId="204" fontId="58" fillId="27" borderId="17" xfId="2" applyNumberFormat="1" applyFont="1" applyFill="1" applyBorder="1">
      <alignment vertical="center"/>
    </xf>
    <xf numFmtId="177" fontId="61" fillId="27" borderId="28" xfId="2218" applyNumberFormat="1" applyFont="1" applyFill="1" applyBorder="1">
      <alignment vertical="center"/>
    </xf>
    <xf numFmtId="0" fontId="73" fillId="0" borderId="14" xfId="0" applyFont="1" applyBorder="1">
      <alignment vertical="center"/>
    </xf>
    <xf numFmtId="0" fontId="72" fillId="0" borderId="14" xfId="0" applyFont="1" applyBorder="1">
      <alignment vertical="center"/>
    </xf>
    <xf numFmtId="0" fontId="89" fillId="27" borderId="0" xfId="0" applyFont="1" applyFill="1">
      <alignment vertical="center"/>
    </xf>
    <xf numFmtId="208" fontId="90" fillId="0" borderId="0" xfId="0" applyNumberFormat="1" applyFont="1">
      <alignment vertical="center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wrapText="1"/>
    </xf>
    <xf numFmtId="0" fontId="56" fillId="27" borderId="0" xfId="1263" applyFont="1" applyFill="1">
      <alignment vertical="center"/>
    </xf>
    <xf numFmtId="0" fontId="54" fillId="27" borderId="0" xfId="0" applyFont="1" applyFill="1">
      <alignment vertical="center"/>
    </xf>
    <xf numFmtId="0" fontId="70" fillId="0" borderId="4" xfId="1539" applyFont="1" applyBorder="1" applyAlignment="1">
      <alignment vertical="center" wrapText="1"/>
    </xf>
    <xf numFmtId="0" fontId="82" fillId="33" borderId="4" xfId="1539" applyFont="1" applyFill="1" applyBorder="1" applyAlignment="1">
      <alignment horizontal="center" vertical="center"/>
    </xf>
    <xf numFmtId="206" fontId="82" fillId="29" borderId="4" xfId="1539" applyNumberFormat="1" applyFont="1" applyFill="1" applyBorder="1" applyAlignment="1">
      <alignment horizontal="center" vertical="center"/>
    </xf>
    <xf numFmtId="0" fontId="82" fillId="34" borderId="4" xfId="1539" applyFont="1" applyFill="1" applyBorder="1" applyAlignment="1">
      <alignment horizontal="center" vertical="center"/>
    </xf>
    <xf numFmtId="206" fontId="82" fillId="34" borderId="4" xfId="1539" applyNumberFormat="1" applyFont="1" applyFill="1" applyBorder="1" applyAlignment="1">
      <alignment horizontal="center" vertical="center"/>
    </xf>
    <xf numFmtId="0" fontId="48" fillId="32" borderId="0" xfId="0" applyFont="1" applyFill="1">
      <alignment vertical="center"/>
    </xf>
    <xf numFmtId="0" fontId="79" fillId="0" borderId="0" xfId="1539" applyFont="1" applyAlignment="1">
      <alignment horizontal="center" vertical="center"/>
    </xf>
    <xf numFmtId="177" fontId="91" fillId="0" borderId="0" xfId="1539" applyNumberFormat="1" applyFont="1" applyAlignment="1">
      <alignment horizontal="left" vertical="center"/>
    </xf>
    <xf numFmtId="206" fontId="70" fillId="0" borderId="0" xfId="1539" applyNumberFormat="1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198" fontId="70" fillId="0" borderId="0" xfId="1539" applyNumberFormat="1" applyFont="1" applyAlignment="1">
      <alignment horizontal="center" vertical="center"/>
    </xf>
    <xf numFmtId="0" fontId="67" fillId="0" borderId="0" xfId="1539" applyFont="1" applyAlignment="1">
      <alignment horizontal="left" vertical="center"/>
    </xf>
    <xf numFmtId="177" fontId="70" fillId="0" borderId="0" xfId="1539" applyNumberFormat="1" applyFont="1" applyAlignment="1">
      <alignment horizontal="center" vertical="center"/>
    </xf>
    <xf numFmtId="187" fontId="70" fillId="0" borderId="18" xfId="1" applyFont="1" applyBorder="1" applyAlignment="1" applyProtection="1">
      <alignment horizontal="center" vertical="center"/>
    </xf>
    <xf numFmtId="187" fontId="70" fillId="0" borderId="19" xfId="1" quotePrefix="1" applyFont="1" applyBorder="1" applyAlignment="1" applyProtection="1">
      <alignment horizontal="right" vertical="center"/>
    </xf>
    <xf numFmtId="187" fontId="47" fillId="0" borderId="0" xfId="1" applyFont="1" applyBorder="1" applyAlignment="1" applyProtection="1">
      <alignment horizontal="left" vertical="center"/>
    </xf>
    <xf numFmtId="0" fontId="71" fillId="0" borderId="0" xfId="2217" applyFont="1">
      <alignment vertical="center"/>
    </xf>
    <xf numFmtId="187" fontId="70" fillId="0" borderId="20" xfId="1" applyFont="1" applyBorder="1" applyAlignment="1" applyProtection="1">
      <alignment horizontal="center" vertical="center"/>
    </xf>
    <xf numFmtId="204" fontId="70" fillId="0" borderId="21" xfId="1" applyNumberFormat="1" applyFont="1" applyBorder="1" applyAlignment="1" applyProtection="1">
      <alignment horizontal="center" vertical="center"/>
    </xf>
    <xf numFmtId="0" fontId="47" fillId="0" borderId="0" xfId="1539" applyFont="1">
      <alignment vertical="center"/>
    </xf>
    <xf numFmtId="204" fontId="47" fillId="0" borderId="0" xfId="1" applyNumberFormat="1" applyFont="1" applyBorder="1" applyAlignment="1" applyProtection="1">
      <alignment horizontal="left" vertical="center"/>
    </xf>
    <xf numFmtId="177" fontId="72" fillId="0" borderId="0" xfId="1539" applyNumberFormat="1" applyFont="1" applyAlignment="1">
      <alignment horizontal="center" vertical="center"/>
    </xf>
    <xf numFmtId="206" fontId="72" fillId="0" borderId="0" xfId="1539" applyNumberFormat="1" applyFont="1" applyAlignment="1">
      <alignment horizontal="center" vertical="center"/>
    </xf>
    <xf numFmtId="199" fontId="47" fillId="0" borderId="0" xfId="1539" applyNumberFormat="1" applyFont="1" applyAlignment="1">
      <alignment horizontal="left" vertical="center"/>
    </xf>
    <xf numFmtId="0" fontId="73" fillId="0" borderId="0" xfId="0" applyFont="1" applyAlignment="1">
      <alignment horizontal="center" vertical="center"/>
    </xf>
    <xf numFmtId="0" fontId="70" fillId="0" borderId="0" xfId="1539" applyFont="1" applyAlignment="1">
      <alignment horizontal="center" vertical="center" wrapText="1"/>
    </xf>
    <xf numFmtId="187" fontId="70" fillId="0" borderId="22" xfId="1" applyFont="1" applyBorder="1" applyAlignment="1" applyProtection="1">
      <alignment horizontal="center" vertical="center"/>
    </xf>
    <xf numFmtId="204" fontId="70" fillId="0" borderId="23" xfId="1" applyNumberFormat="1" applyFont="1" applyBorder="1" applyAlignment="1" applyProtection="1">
      <alignment horizontal="center" vertical="center"/>
    </xf>
    <xf numFmtId="201" fontId="88" fillId="0" borderId="0" xfId="1539" applyNumberFormat="1" applyFont="1" applyAlignment="1">
      <alignment horizontal="left" vertical="center"/>
    </xf>
    <xf numFmtId="201" fontId="47" fillId="0" borderId="0" xfId="1539" applyNumberFormat="1" applyFont="1" applyAlignment="1">
      <alignment horizontal="left" vertical="center"/>
    </xf>
    <xf numFmtId="177" fontId="82" fillId="0" borderId="44" xfId="1539" applyNumberFormat="1" applyFont="1" applyBorder="1" applyAlignment="1">
      <alignment horizontal="center" vertical="center"/>
    </xf>
    <xf numFmtId="206" fontId="82" fillId="0" borderId="44" xfId="1539" applyNumberFormat="1" applyFont="1" applyBorder="1" applyAlignment="1">
      <alignment horizontal="center" vertical="center"/>
    </xf>
    <xf numFmtId="0" fontId="83" fillId="0" borderId="44" xfId="0" applyFont="1" applyBorder="1" applyAlignment="1">
      <alignment horizontal="center" vertical="center" wrapText="1"/>
    </xf>
    <xf numFmtId="0" fontId="83" fillId="0" borderId="44" xfId="1539" applyFont="1" applyBorder="1" applyAlignment="1">
      <alignment horizontal="center" vertical="center"/>
    </xf>
    <xf numFmtId="0" fontId="83" fillId="0" borderId="44" xfId="1539" applyFont="1" applyBorder="1" applyAlignment="1">
      <alignment horizontal="center" vertical="center" wrapText="1"/>
    </xf>
    <xf numFmtId="198" fontId="82" fillId="0" borderId="44" xfId="1539" applyNumberFormat="1" applyFont="1" applyBorder="1" applyAlignment="1">
      <alignment horizontal="center" vertical="center"/>
    </xf>
    <xf numFmtId="177" fontId="83" fillId="0" borderId="4" xfId="1539" applyNumberFormat="1" applyFont="1" applyBorder="1" applyAlignment="1">
      <alignment horizontal="center" vertical="center" wrapText="1"/>
    </xf>
    <xf numFmtId="0" fontId="82" fillId="0" borderId="45" xfId="1539" applyFont="1" applyBorder="1" applyAlignment="1">
      <alignment horizontal="center" vertical="center"/>
    </xf>
    <xf numFmtId="0" fontId="86" fillId="0" borderId="0" xfId="1539" applyFont="1" applyAlignment="1">
      <alignment horizontal="left" vertical="center"/>
    </xf>
    <xf numFmtId="201" fontId="86" fillId="0" borderId="0" xfId="1539" applyNumberFormat="1" applyFont="1" applyAlignment="1">
      <alignment horizontal="left" vertical="center"/>
    </xf>
    <xf numFmtId="199" fontId="82" fillId="0" borderId="0" xfId="1539" applyNumberFormat="1" applyFont="1" applyAlignment="1">
      <alignment horizontal="left" vertical="center"/>
    </xf>
    <xf numFmtId="0" fontId="82" fillId="0" borderId="0" xfId="1539" applyFont="1" applyAlignment="1">
      <alignment horizontal="left" vertical="center"/>
    </xf>
    <xf numFmtId="0" fontId="70" fillId="0" borderId="0" xfId="1539" applyFont="1" applyAlignment="1">
      <alignment horizontal="left" vertical="center"/>
    </xf>
    <xf numFmtId="204" fontId="86" fillId="0" borderId="0" xfId="1" applyNumberFormat="1" applyFont="1" applyBorder="1" applyAlignment="1" applyProtection="1">
      <alignment horizontal="left" vertical="center"/>
    </xf>
    <xf numFmtId="0" fontId="75" fillId="0" borderId="0" xfId="1539" applyFont="1" applyAlignment="1">
      <alignment horizontal="center" vertical="center"/>
    </xf>
    <xf numFmtId="199" fontId="82" fillId="0" borderId="14" xfId="1539" applyNumberFormat="1" applyFont="1" applyBorder="1" applyAlignment="1">
      <alignment horizontal="left" vertical="center"/>
    </xf>
    <xf numFmtId="0" fontId="82" fillId="0" borderId="14" xfId="1539" applyFont="1" applyBorder="1" applyAlignment="1">
      <alignment horizontal="left" vertical="center"/>
    </xf>
    <xf numFmtId="0" fontId="72" fillId="0" borderId="38" xfId="0" applyFont="1" applyBorder="1">
      <alignment vertical="center"/>
    </xf>
    <xf numFmtId="199" fontId="86" fillId="0" borderId="0" xfId="1539" applyNumberFormat="1" applyFont="1" applyAlignment="1">
      <alignment horizontal="left" vertical="center"/>
    </xf>
    <xf numFmtId="0" fontId="92" fillId="0" borderId="0" xfId="0" applyFont="1">
      <alignment vertical="center"/>
    </xf>
    <xf numFmtId="199" fontId="84" fillId="0" borderId="0" xfId="0" applyNumberFormat="1" applyFont="1">
      <alignment vertical="center"/>
    </xf>
    <xf numFmtId="0" fontId="84" fillId="0" borderId="0" xfId="0" applyFont="1">
      <alignment vertical="center"/>
    </xf>
    <xf numFmtId="199" fontId="82" fillId="0" borderId="24" xfId="1539" applyNumberFormat="1" applyFont="1" applyBorder="1" applyAlignment="1">
      <alignment horizontal="left" vertical="center"/>
    </xf>
    <xf numFmtId="0" fontId="82" fillId="0" borderId="24" xfId="1539" applyFont="1" applyBorder="1" applyAlignment="1">
      <alignment horizontal="left" vertical="center"/>
    </xf>
    <xf numFmtId="177" fontId="47" fillId="0" borderId="0" xfId="1539" applyNumberFormat="1" applyFont="1" applyAlignment="1">
      <alignment horizontal="left" vertical="center"/>
    </xf>
    <xf numFmtId="206" fontId="47" fillId="0" borderId="0" xfId="1539" applyNumberFormat="1" applyFont="1" applyAlignment="1">
      <alignment horizontal="center" vertical="center"/>
    </xf>
    <xf numFmtId="0" fontId="47" fillId="0" borderId="0" xfId="0" applyFont="1" applyAlignment="1">
      <alignment horizontal="left" vertical="center"/>
    </xf>
    <xf numFmtId="198" fontId="47" fillId="0" borderId="0" xfId="1539" applyNumberFormat="1" applyFont="1" applyAlignment="1">
      <alignment horizontal="left" vertical="center"/>
    </xf>
    <xf numFmtId="0" fontId="93" fillId="0" borderId="0" xfId="1539" applyFont="1" applyAlignment="1">
      <alignment horizontal="center" vertical="center"/>
    </xf>
    <xf numFmtId="0" fontId="83" fillId="0" borderId="44" xfId="0" applyFont="1" applyBorder="1" applyAlignment="1">
      <alignment horizontal="left" vertical="center" wrapText="1"/>
    </xf>
    <xf numFmtId="0" fontId="94" fillId="0" borderId="0" xfId="0" applyFont="1" applyAlignment="1"/>
    <xf numFmtId="0" fontId="0" fillId="0" borderId="0" xfId="0" applyAlignment="1"/>
    <xf numFmtId="0" fontId="82" fillId="0" borderId="4" xfId="0" applyFont="1" applyBorder="1" applyAlignment="1">
      <alignment horizontal="center" vertical="center"/>
    </xf>
    <xf numFmtId="16" fontId="82" fillId="0" borderId="4" xfId="1539" quotePrefix="1" applyNumberFormat="1" applyFont="1" applyBorder="1" applyAlignment="1">
      <alignment horizontal="left" vertical="center"/>
    </xf>
    <xf numFmtId="200" fontId="82" fillId="0" borderId="4" xfId="1" applyNumberFormat="1" applyFont="1" applyBorder="1" applyAlignment="1" applyProtection="1">
      <alignment horizontal="right" vertical="center"/>
    </xf>
    <xf numFmtId="187" fontId="82" fillId="0" borderId="4" xfId="1" applyFont="1" applyBorder="1" applyAlignment="1" applyProtection="1">
      <alignment horizontal="center" vertical="center"/>
    </xf>
    <xf numFmtId="200" fontId="82" fillId="0" borderId="4" xfId="1" applyNumberFormat="1" applyFont="1" applyBorder="1" applyAlignment="1" applyProtection="1">
      <alignment horizontal="center" vertical="center"/>
    </xf>
    <xf numFmtId="199" fontId="82" fillId="0" borderId="4" xfId="1539" applyNumberFormat="1" applyFont="1" applyBorder="1" applyAlignment="1">
      <alignment horizontal="center" vertical="center"/>
    </xf>
    <xf numFmtId="177" fontId="82" fillId="0" borderId="4" xfId="1539" applyNumberFormat="1" applyFont="1" applyBorder="1" applyAlignment="1">
      <alignment horizontal="center" vertical="center"/>
    </xf>
    <xf numFmtId="203" fontId="82" fillId="0" borderId="4" xfId="1539" applyNumberFormat="1" applyFont="1" applyBorder="1" applyAlignment="1">
      <alignment horizontal="center" vertical="center"/>
    </xf>
    <xf numFmtId="205" fontId="82" fillId="0" borderId="4" xfId="0" applyNumberFormat="1" applyFont="1" applyBorder="1" applyAlignment="1">
      <alignment horizontal="center" vertical="center"/>
    </xf>
    <xf numFmtId="198" fontId="86" fillId="0" borderId="4" xfId="1539" applyNumberFormat="1" applyFont="1" applyBorder="1" applyAlignment="1">
      <alignment horizontal="left" vertical="center"/>
    </xf>
    <xf numFmtId="199" fontId="82" fillId="0" borderId="42" xfId="1539" applyNumberFormat="1" applyFont="1" applyBorder="1" applyAlignment="1">
      <alignment horizontal="center" vertical="center"/>
    </xf>
    <xf numFmtId="16" fontId="82" fillId="0" borderId="4" xfId="1539" applyNumberFormat="1" applyFont="1" applyBorder="1" applyAlignment="1">
      <alignment horizontal="left" vertical="center"/>
    </xf>
    <xf numFmtId="177" fontId="86" fillId="0" borderId="4" xfId="1539" applyNumberFormat="1" applyFont="1" applyBorder="1" applyAlignment="1">
      <alignment horizontal="left" vertical="center"/>
    </xf>
    <xf numFmtId="206" fontId="85" fillId="0" borderId="4" xfId="1539" applyNumberFormat="1" applyFont="1" applyBorder="1" applyAlignment="1">
      <alignment horizontal="center" vertical="center"/>
    </xf>
    <xf numFmtId="198" fontId="82" fillId="0" borderId="4" xfId="1539" applyNumberFormat="1" applyFont="1" applyBorder="1" applyAlignment="1">
      <alignment horizontal="left" vertical="center"/>
    </xf>
    <xf numFmtId="177" fontId="82" fillId="0" borderId="4" xfId="1539" applyNumberFormat="1" applyFont="1" applyBorder="1" applyAlignment="1">
      <alignment horizontal="left" vertical="center"/>
    </xf>
    <xf numFmtId="177" fontId="82" fillId="0" borderId="4" xfId="0" applyNumberFormat="1" applyFont="1" applyBorder="1" applyAlignment="1">
      <alignment horizontal="center" vertical="center"/>
    </xf>
    <xf numFmtId="200" fontId="86" fillId="0" borderId="4" xfId="1" applyNumberFormat="1" applyFont="1" applyBorder="1" applyAlignment="1" applyProtection="1">
      <alignment horizontal="left" vertical="center"/>
    </xf>
    <xf numFmtId="206" fontId="86" fillId="0" borderId="4" xfId="1539" applyNumberFormat="1" applyFont="1" applyBorder="1" applyAlignment="1">
      <alignment horizontal="center" vertical="center"/>
    </xf>
    <xf numFmtId="0" fontId="86" fillId="0" borderId="4" xfId="1539" applyFont="1" applyBorder="1" applyAlignment="1">
      <alignment horizontal="left" vertical="center"/>
    </xf>
    <xf numFmtId="0" fontId="86" fillId="0" borderId="4" xfId="1539" applyFont="1" applyBorder="1" applyAlignment="1">
      <alignment horizontal="center" vertical="center"/>
    </xf>
    <xf numFmtId="177" fontId="86" fillId="0" borderId="4" xfId="1539" applyNumberFormat="1" applyFont="1" applyBorder="1" applyAlignment="1">
      <alignment horizontal="center" vertical="center"/>
    </xf>
    <xf numFmtId="177" fontId="86" fillId="0" borderId="4" xfId="0" applyNumberFormat="1" applyFont="1" applyBorder="1" applyAlignment="1">
      <alignment horizontal="left" vertical="center"/>
    </xf>
    <xf numFmtId="206" fontId="82" fillId="0" borderId="4" xfId="1539" quotePrefix="1" applyNumberFormat="1" applyFont="1" applyBorder="1" applyAlignment="1">
      <alignment horizontal="center" vertical="center"/>
    </xf>
    <xf numFmtId="205" fontId="86" fillId="0" borderId="4" xfId="0" applyNumberFormat="1" applyFont="1" applyBorder="1" applyAlignment="1">
      <alignment horizontal="left" vertical="center"/>
    </xf>
    <xf numFmtId="200" fontId="75" fillId="0" borderId="4" xfId="1" applyNumberFormat="1" applyFont="1" applyBorder="1" applyAlignment="1" applyProtection="1">
      <alignment horizontal="right" vertical="center"/>
    </xf>
    <xf numFmtId="187" fontId="75" fillId="0" borderId="4" xfId="1" applyFont="1" applyBorder="1" applyAlignment="1" applyProtection="1">
      <alignment horizontal="center" vertical="center"/>
    </xf>
    <xf numFmtId="177" fontId="82" fillId="0" borderId="46" xfId="1539" applyNumberFormat="1" applyFont="1" applyBorder="1" applyAlignment="1">
      <alignment horizontal="center" vertical="center"/>
    </xf>
    <xf numFmtId="205" fontId="82" fillId="0" borderId="46" xfId="0" applyNumberFormat="1" applyFont="1" applyBorder="1" applyAlignment="1">
      <alignment horizontal="center" vertical="center"/>
    </xf>
    <xf numFmtId="177" fontId="86" fillId="0" borderId="46" xfId="1539" applyNumberFormat="1" applyFont="1" applyBorder="1" applyAlignment="1">
      <alignment horizontal="left" vertical="center"/>
    </xf>
    <xf numFmtId="205" fontId="82" fillId="0" borderId="4" xfId="1539" applyNumberFormat="1" applyFont="1" applyBorder="1" applyAlignment="1">
      <alignment horizontal="center" vertical="center"/>
    </xf>
    <xf numFmtId="200" fontId="86" fillId="0" borderId="4" xfId="1" applyNumberFormat="1" applyFont="1" applyBorder="1" applyAlignment="1" applyProtection="1">
      <alignment horizontal="center" vertical="center"/>
    </xf>
    <xf numFmtId="0" fontId="82" fillId="0" borderId="46" xfId="1539" applyFont="1" applyBorder="1" applyAlignment="1">
      <alignment horizontal="center" vertical="center"/>
    </xf>
    <xf numFmtId="206" fontId="82" fillId="0" borderId="46" xfId="1539" applyNumberFormat="1" applyFont="1" applyBorder="1" applyAlignment="1">
      <alignment horizontal="center" vertical="center"/>
    </xf>
    <xf numFmtId="0" fontId="82" fillId="0" borderId="46" xfId="0" applyFont="1" applyBorder="1" applyAlignment="1">
      <alignment horizontal="center" vertical="center"/>
    </xf>
    <xf numFmtId="16" fontId="82" fillId="0" borderId="46" xfId="1539" quotePrefix="1" applyNumberFormat="1" applyFont="1" applyBorder="1" applyAlignment="1">
      <alignment horizontal="left" vertical="center"/>
    </xf>
    <xf numFmtId="200" fontId="82" fillId="0" borderId="46" xfId="1" applyNumberFormat="1" applyFont="1" applyBorder="1" applyAlignment="1" applyProtection="1">
      <alignment horizontal="right" vertical="center"/>
    </xf>
    <xf numFmtId="187" fontId="82" fillId="0" borderId="46" xfId="1" applyFont="1" applyBorder="1" applyAlignment="1" applyProtection="1">
      <alignment horizontal="center" vertical="center"/>
    </xf>
    <xf numFmtId="200" fontId="82" fillId="0" borderId="46" xfId="1" applyNumberFormat="1" applyFont="1" applyBorder="1" applyAlignment="1" applyProtection="1">
      <alignment horizontal="center" vertical="center"/>
    </xf>
    <xf numFmtId="206" fontId="85" fillId="0" borderId="46" xfId="1539" applyNumberFormat="1" applyFont="1" applyBorder="1" applyAlignment="1">
      <alignment horizontal="center" vertical="center"/>
    </xf>
    <xf numFmtId="16" fontId="82" fillId="0" borderId="46" xfId="1539" applyNumberFormat="1" applyFont="1" applyBorder="1" applyAlignment="1">
      <alignment horizontal="left" vertical="center"/>
    </xf>
    <xf numFmtId="200" fontId="87" fillId="0" borderId="4" xfId="1" applyNumberFormat="1" applyFont="1" applyBorder="1" applyAlignment="1" applyProtection="1">
      <alignment horizontal="center" vertical="center"/>
    </xf>
    <xf numFmtId="198" fontId="82" fillId="0" borderId="4" xfId="2" applyFont="1" applyBorder="1" applyAlignment="1" applyProtection="1">
      <alignment horizontal="center" vertical="center"/>
    </xf>
    <xf numFmtId="187" fontId="86" fillId="0" borderId="4" xfId="1" applyFont="1" applyBorder="1" applyAlignment="1" applyProtection="1">
      <alignment horizontal="left" vertical="center"/>
    </xf>
    <xf numFmtId="0" fontId="82" fillId="0" borderId="4" xfId="1539" quotePrefix="1" applyFont="1" applyBorder="1" applyAlignment="1">
      <alignment horizontal="center" vertical="center"/>
    </xf>
    <xf numFmtId="9" fontId="69" fillId="0" borderId="0" xfId="0" applyNumberFormat="1" applyFont="1" applyAlignment="1">
      <alignment horizontal="center" vertical="center"/>
    </xf>
    <xf numFmtId="0" fontId="83" fillId="0" borderId="44" xfId="0" quotePrefix="1" applyFont="1" applyBorder="1" applyAlignment="1">
      <alignment horizontal="center" vertical="center" wrapText="1"/>
    </xf>
    <xf numFmtId="176" fontId="86" fillId="0" borderId="0" xfId="1539" applyNumberFormat="1" applyFont="1" applyAlignment="1">
      <alignment horizontal="left" vertical="center"/>
    </xf>
    <xf numFmtId="176" fontId="86" fillId="0" borderId="0" xfId="1" applyNumberFormat="1" applyFont="1" applyBorder="1" applyAlignment="1" applyProtection="1">
      <alignment horizontal="left" vertical="center"/>
    </xf>
    <xf numFmtId="176" fontId="86" fillId="0" borderId="0" xfId="1" quotePrefix="1" applyNumberFormat="1" applyFont="1" applyBorder="1" applyAlignment="1" applyProtection="1">
      <alignment horizontal="left" vertical="center"/>
    </xf>
    <xf numFmtId="200" fontId="86" fillId="0" borderId="4" xfId="1" applyNumberFormat="1" applyFont="1" applyBorder="1" applyAlignment="1" applyProtection="1">
      <alignment horizontal="right" vertical="center"/>
    </xf>
    <xf numFmtId="200" fontId="87" fillId="0" borderId="46" xfId="1" applyNumberFormat="1" applyFont="1" applyBorder="1" applyAlignment="1" applyProtection="1">
      <alignment horizontal="left" vertical="center"/>
    </xf>
    <xf numFmtId="0" fontId="86" fillId="0" borderId="14" xfId="1539" applyFont="1" applyBorder="1" applyAlignment="1">
      <alignment horizontal="left" vertical="center"/>
    </xf>
    <xf numFmtId="209" fontId="86" fillId="0" borderId="0" xfId="1539" applyNumberFormat="1" applyFont="1" applyAlignment="1">
      <alignment horizontal="left" vertical="center"/>
    </xf>
    <xf numFmtId="209" fontId="86" fillId="0" borderId="0" xfId="1" applyNumberFormat="1" applyFont="1" applyBorder="1" applyAlignment="1" applyProtection="1">
      <alignment horizontal="left" vertical="center"/>
    </xf>
    <xf numFmtId="209" fontId="86" fillId="0" borderId="14" xfId="1539" applyNumberFormat="1" applyFont="1" applyBorder="1" applyAlignment="1">
      <alignment horizontal="left" vertical="center"/>
    </xf>
    <xf numFmtId="177" fontId="87" fillId="0" borderId="4" xfId="1539" applyNumberFormat="1" applyFont="1" applyBorder="1" applyAlignment="1">
      <alignment horizontal="center" vertical="center"/>
    </xf>
    <xf numFmtId="177" fontId="96" fillId="0" borderId="4" xfId="1539" applyNumberFormat="1" applyFont="1" applyBorder="1" applyAlignment="1">
      <alignment horizontal="left" vertical="center"/>
    </xf>
    <xf numFmtId="177" fontId="82" fillId="0" borderId="46" xfId="1539" applyNumberFormat="1" applyFont="1" applyBorder="1" applyAlignment="1">
      <alignment horizontal="left" vertical="center"/>
    </xf>
    <xf numFmtId="206" fontId="82" fillId="34" borderId="4" xfId="1539" quotePrefix="1" applyNumberFormat="1" applyFont="1" applyFill="1" applyBorder="1" applyAlignment="1">
      <alignment horizontal="center" vertical="center"/>
    </xf>
    <xf numFmtId="0" fontId="82" fillId="34" borderId="4" xfId="0" applyFont="1" applyFill="1" applyBorder="1" applyAlignment="1">
      <alignment horizontal="center" vertical="center"/>
    </xf>
    <xf numFmtId="16" fontId="82" fillId="34" borderId="4" xfId="1539" applyNumberFormat="1" applyFont="1" applyFill="1" applyBorder="1" applyAlignment="1">
      <alignment horizontal="left" vertical="center"/>
    </xf>
    <xf numFmtId="200" fontId="82" fillId="34" borderId="4" xfId="1" applyNumberFormat="1" applyFont="1" applyFill="1" applyBorder="1" applyAlignment="1">
      <alignment horizontal="right" vertical="center"/>
    </xf>
    <xf numFmtId="200" fontId="82" fillId="0" borderId="4" xfId="1" applyNumberFormat="1" applyFont="1" applyBorder="1" applyAlignment="1">
      <alignment horizontal="right" vertical="center"/>
    </xf>
    <xf numFmtId="0" fontId="75" fillId="34" borderId="4" xfId="1539" applyFont="1" applyFill="1" applyBorder="1" applyAlignment="1">
      <alignment horizontal="center" vertical="center"/>
    </xf>
    <xf numFmtId="16" fontId="82" fillId="34" borderId="4" xfId="1539" quotePrefix="1" applyNumberFormat="1" applyFont="1" applyFill="1" applyBorder="1" applyAlignment="1">
      <alignment horizontal="left" vertical="center"/>
    </xf>
    <xf numFmtId="200" fontId="86" fillId="34" borderId="4" xfId="1" applyNumberFormat="1" applyFont="1" applyFill="1" applyBorder="1" applyAlignment="1">
      <alignment horizontal="right" vertical="center"/>
    </xf>
    <xf numFmtId="0" fontId="86" fillId="34" borderId="4" xfId="1539" applyFont="1" applyFill="1" applyBorder="1" applyAlignment="1">
      <alignment horizontal="center" vertical="center"/>
    </xf>
    <xf numFmtId="187" fontId="82" fillId="34" borderId="42" xfId="1" applyFont="1" applyFill="1" applyBorder="1" applyAlignment="1">
      <alignment horizontal="center" vertical="center"/>
    </xf>
    <xf numFmtId="187" fontId="82" fillId="0" borderId="42" xfId="1" applyFont="1" applyBorder="1" applyAlignment="1">
      <alignment horizontal="center" vertical="center"/>
    </xf>
    <xf numFmtId="187" fontId="86" fillId="0" borderId="42" xfId="1" applyFont="1" applyBorder="1" applyAlignment="1">
      <alignment horizontal="left" vertical="center"/>
    </xf>
    <xf numFmtId="200" fontId="86" fillId="34" borderId="42" xfId="1" applyNumberFormat="1" applyFont="1" applyFill="1" applyBorder="1" applyAlignment="1">
      <alignment horizontal="left" vertical="center"/>
    </xf>
    <xf numFmtId="187" fontId="87" fillId="0" borderId="42" xfId="1" applyFont="1" applyBorder="1" applyAlignment="1">
      <alignment horizontal="center" vertical="center"/>
    </xf>
    <xf numFmtId="187" fontId="75" fillId="0" borderId="42" xfId="1" applyFont="1" applyBorder="1" applyAlignment="1">
      <alignment horizontal="center" vertical="center"/>
    </xf>
    <xf numFmtId="0" fontId="82" fillId="33" borderId="43" xfId="1539" applyFont="1" applyFill="1" applyBorder="1" applyAlignment="1">
      <alignment horizontal="center" vertical="center"/>
    </xf>
    <xf numFmtId="0" fontId="82" fillId="33" borderId="44" xfId="1539" applyFont="1" applyFill="1" applyBorder="1" applyAlignment="1">
      <alignment horizontal="center" vertical="center"/>
    </xf>
    <xf numFmtId="200" fontId="82" fillId="33" borderId="44" xfId="1" applyNumberFormat="1" applyFont="1" applyFill="1" applyBorder="1" applyAlignment="1">
      <alignment horizontal="left" vertical="center"/>
    </xf>
    <xf numFmtId="202" fontId="82" fillId="33" borderId="45" xfId="1" applyNumberFormat="1" applyFont="1" applyFill="1" applyBorder="1" applyAlignment="1">
      <alignment horizontal="center" vertical="center"/>
    </xf>
    <xf numFmtId="206" fontId="82" fillId="29" borderId="47" xfId="1539" applyNumberFormat="1" applyFont="1" applyFill="1" applyBorder="1" applyAlignment="1">
      <alignment horizontal="center" vertical="center"/>
    </xf>
    <xf numFmtId="200" fontId="82" fillId="0" borderId="46" xfId="1" applyNumberFormat="1" applyFont="1" applyBorder="1" applyAlignment="1">
      <alignment horizontal="right" vertical="center"/>
    </xf>
    <xf numFmtId="187" fontId="82" fillId="0" borderId="48" xfId="1" applyFont="1" applyBorder="1" applyAlignment="1">
      <alignment horizontal="center" vertical="center"/>
    </xf>
    <xf numFmtId="0" fontId="97" fillId="0" borderId="0" xfId="0" pivotButton="1" applyFont="1">
      <alignment vertical="center"/>
    </xf>
    <xf numFmtId="0" fontId="97" fillId="0" borderId="0" xfId="0" applyFont="1">
      <alignment vertical="center"/>
    </xf>
    <xf numFmtId="187" fontId="87" fillId="0" borderId="4" xfId="1" applyFont="1" applyBorder="1" applyAlignment="1" applyProtection="1">
      <alignment horizontal="center" vertical="center"/>
    </xf>
    <xf numFmtId="198" fontId="98" fillId="0" borderId="44" xfId="1539" applyNumberFormat="1" applyFont="1" applyBorder="1" applyAlignment="1">
      <alignment horizontal="center" vertical="center"/>
    </xf>
    <xf numFmtId="177" fontId="82" fillId="32" borderId="4" xfId="1539" applyNumberFormat="1" applyFont="1" applyFill="1" applyBorder="1" applyAlignment="1">
      <alignment horizontal="center" vertical="center"/>
    </xf>
    <xf numFmtId="0" fontId="99" fillId="0" borderId="4" xfId="0" applyFont="1" applyBorder="1" applyAlignment="1">
      <alignment horizontal="center" vertical="center"/>
    </xf>
    <xf numFmtId="16" fontId="99" fillId="0" borderId="4" xfId="1539" applyNumberFormat="1" applyFont="1" applyBorder="1" applyAlignment="1">
      <alignment horizontal="left" vertical="center"/>
    </xf>
    <xf numFmtId="204" fontId="59" fillId="27" borderId="0" xfId="1263" applyNumberFormat="1" applyFont="1" applyFill="1" applyAlignment="1">
      <alignment horizontal="center" vertical="center"/>
    </xf>
    <xf numFmtId="176" fontId="59" fillId="27" borderId="0" xfId="1263" applyNumberFormat="1" applyFont="1" applyFill="1" applyAlignment="1">
      <alignment horizontal="center" vertical="center"/>
    </xf>
    <xf numFmtId="0" fontId="59" fillId="27" borderId="0" xfId="1263" applyFont="1" applyFill="1" applyAlignment="1">
      <alignment horizontal="right" vertical="center"/>
    </xf>
    <xf numFmtId="0" fontId="64" fillId="27" borderId="0" xfId="1263" applyFont="1" applyFill="1" applyAlignment="1">
      <alignment horizontal="right" vertical="center"/>
    </xf>
    <xf numFmtId="0" fontId="50" fillId="27" borderId="0" xfId="0" applyFont="1" applyFill="1" applyAlignment="1">
      <alignment horizontal="center" vertical="center"/>
    </xf>
    <xf numFmtId="0" fontId="51" fillId="27" borderId="0" xfId="1263" applyFont="1" applyFill="1" applyAlignment="1">
      <alignment horizontal="center" vertical="center"/>
    </xf>
    <xf numFmtId="0" fontId="52" fillId="27" borderId="0" xfId="1263" applyFont="1" applyFill="1" applyAlignment="1">
      <alignment horizontal="center" vertical="center"/>
    </xf>
    <xf numFmtId="0" fontId="53" fillId="27" borderId="0" xfId="0" applyFont="1" applyFill="1" applyAlignment="1">
      <alignment horizontal="center" vertical="center"/>
    </xf>
    <xf numFmtId="0" fontId="54" fillId="27" borderId="0" xfId="0" applyFont="1" applyFill="1" applyAlignment="1">
      <alignment horizontal="center" vertical="center"/>
    </xf>
    <xf numFmtId="0" fontId="55" fillId="27" borderId="14" xfId="1263" applyFont="1" applyFill="1" applyBorder="1" applyAlignment="1">
      <alignment horizontal="center" vertical="center"/>
    </xf>
    <xf numFmtId="0" fontId="56" fillId="27" borderId="0" xfId="1263" applyFont="1" applyFill="1" applyAlignment="1">
      <alignment horizontal="center" vertical="center"/>
    </xf>
    <xf numFmtId="0" fontId="57" fillId="27" borderId="15" xfId="0" applyFont="1" applyFill="1" applyBorder="1" applyAlignment="1">
      <alignment horizontal="center" vertical="center"/>
    </xf>
    <xf numFmtId="204" fontId="60" fillId="29" borderId="38" xfId="2" applyNumberFormat="1" applyFont="1" applyFill="1" applyBorder="1" applyAlignment="1">
      <alignment horizontal="center" vertical="center"/>
    </xf>
    <xf numFmtId="16" fontId="62" fillId="27" borderId="6" xfId="1263" applyNumberFormat="1" applyFont="1" applyFill="1" applyBorder="1" applyAlignment="1">
      <alignment horizontal="left" vertical="center" wrapText="1"/>
    </xf>
    <xf numFmtId="16" fontId="62" fillId="27" borderId="16" xfId="1263" applyNumberFormat="1" applyFont="1" applyFill="1" applyBorder="1" applyAlignment="1">
      <alignment horizontal="left" vertical="center" wrapText="1"/>
    </xf>
    <xf numFmtId="204" fontId="60" fillId="29" borderId="41" xfId="2" applyNumberFormat="1" applyFont="1" applyFill="1" applyBorder="1" applyAlignment="1">
      <alignment horizontal="center" vertical="center"/>
    </xf>
    <xf numFmtId="204" fontId="59" fillId="27" borderId="40" xfId="1263" applyNumberFormat="1" applyFont="1" applyFill="1" applyBorder="1" applyAlignment="1">
      <alignment horizontal="center" vertical="center"/>
    </xf>
    <xf numFmtId="0" fontId="60" fillId="28" borderId="25" xfId="1263" applyFont="1" applyFill="1" applyBorder="1" applyAlignment="1">
      <alignment horizontal="left" vertical="center"/>
    </xf>
    <xf numFmtId="0" fontId="60" fillId="28" borderId="26" xfId="1263" applyFont="1" applyFill="1" applyBorder="1" applyAlignment="1">
      <alignment horizontal="left" vertical="center"/>
    </xf>
    <xf numFmtId="16" fontId="62" fillId="27" borderId="6" xfId="1263" applyNumberFormat="1" applyFont="1" applyFill="1" applyBorder="1" applyAlignment="1">
      <alignment horizontal="center" vertical="center" wrapText="1"/>
    </xf>
    <xf numFmtId="16" fontId="62" fillId="27" borderId="16" xfId="1263" applyNumberFormat="1" applyFont="1" applyFill="1" applyBorder="1" applyAlignment="1">
      <alignment horizontal="center" vertical="center" wrapText="1"/>
    </xf>
    <xf numFmtId="0" fontId="60" fillId="28" borderId="26" xfId="1263" applyFont="1" applyFill="1" applyBorder="1" applyAlignment="1">
      <alignment horizontal="center" vertical="center"/>
    </xf>
  </cellXfs>
  <cellStyles count="2244">
    <cellStyle name="?_SKU Plan_SESA_Jan.03_È®Á¤_SESA_SKU Plan May_SESA_NEON(SQ30) 판가 검토안 8" xfId="967" xr:uid="{00000000-0005-0000-0000-000000000000}"/>
    <cellStyle name="0,0_x000d__x000a_NA_x000d__x000a_" xfId="3" xr:uid="{00000000-0005-0000-0000-000001000000}"/>
    <cellStyle name="20% - 强调文字颜色 1" xfId="4" xr:uid="{00000000-0005-0000-0000-000002000000}"/>
    <cellStyle name="20% - 强调文字颜色 1 2" xfId="5" xr:uid="{00000000-0005-0000-0000-000003000000}"/>
    <cellStyle name="20% - 强调文字颜色 1 2 2" xfId="6" xr:uid="{00000000-0005-0000-0000-000004000000}"/>
    <cellStyle name="20% - 强调文字颜色 1 2 2 2" xfId="7" xr:uid="{00000000-0005-0000-0000-000005000000}"/>
    <cellStyle name="20% - 强调文字颜色 1 2 2 2 2" xfId="8" xr:uid="{00000000-0005-0000-0000-000006000000}"/>
    <cellStyle name="20% - 强调文字颜色 1 2 2 2 2 2" xfId="9" xr:uid="{00000000-0005-0000-0000-000007000000}"/>
    <cellStyle name="20% - 强调文字颜色 1 2 2 2 2 2 2" xfId="10" xr:uid="{00000000-0005-0000-0000-000008000000}"/>
    <cellStyle name="20% - 强调文字颜色 1 2 2 2 2 2 3" xfId="11" xr:uid="{00000000-0005-0000-0000-000009000000}"/>
    <cellStyle name="20% - 强调文字颜色 1 2 2 2 2 3" xfId="12" xr:uid="{00000000-0005-0000-0000-00000A000000}"/>
    <cellStyle name="20% - 强调文字颜色 1 2 2 2 2 3 2" xfId="13" xr:uid="{00000000-0005-0000-0000-00000B000000}"/>
    <cellStyle name="20% - 强调文字颜色 1 2 2 2 2 3 3" xfId="14" xr:uid="{00000000-0005-0000-0000-00000C000000}"/>
    <cellStyle name="20% - 强调文字颜色 1 2 2 2 3" xfId="15" xr:uid="{00000000-0005-0000-0000-00000D000000}"/>
    <cellStyle name="20% - 强调文字颜色 1 2 2 2 4" xfId="16" xr:uid="{00000000-0005-0000-0000-00000E000000}"/>
    <cellStyle name="20% - 强调文字颜色 1 2 2 2 4 2" xfId="17" xr:uid="{00000000-0005-0000-0000-00000F000000}"/>
    <cellStyle name="20% - 强调文字颜色 1 2 2 2 5" xfId="18" xr:uid="{00000000-0005-0000-0000-000010000000}"/>
    <cellStyle name="20% - 强调文字颜色 1 2 2 3" xfId="19" xr:uid="{00000000-0005-0000-0000-000011000000}"/>
    <cellStyle name="20% - 强调文字颜色 1 2 2 3 2" xfId="20" xr:uid="{00000000-0005-0000-0000-000012000000}"/>
    <cellStyle name="20% - 强调文字颜色 1 2 2 3 2 2" xfId="21" xr:uid="{00000000-0005-0000-0000-000013000000}"/>
    <cellStyle name="20% - 强调文字颜色 1 2 2 3 2 3" xfId="22" xr:uid="{00000000-0005-0000-0000-000014000000}"/>
    <cellStyle name="20% - 强调文字颜色 1 2 2 3 3" xfId="23" xr:uid="{00000000-0005-0000-0000-000015000000}"/>
    <cellStyle name="20% - 强调文字颜色 1 2 2 3 3 2" xfId="24" xr:uid="{00000000-0005-0000-0000-000016000000}"/>
    <cellStyle name="20% - 强调文字颜色 1 2 2 3 3 3" xfId="25" xr:uid="{00000000-0005-0000-0000-000017000000}"/>
    <cellStyle name="20% - 强调文字颜色 1 2 2 4" xfId="26" xr:uid="{00000000-0005-0000-0000-000018000000}"/>
    <cellStyle name="20% - 强调文字颜色 1 2 2 5" xfId="27" xr:uid="{00000000-0005-0000-0000-000019000000}"/>
    <cellStyle name="20% - 强调文字颜色 1 2 2 5 2" xfId="28" xr:uid="{00000000-0005-0000-0000-00001A000000}"/>
    <cellStyle name="20% - 强调文字颜色 1 2 2 6" xfId="29" xr:uid="{00000000-0005-0000-0000-00001B000000}"/>
    <cellStyle name="20% - 强调文字颜色 1 2 3" xfId="30" xr:uid="{00000000-0005-0000-0000-00001C000000}"/>
    <cellStyle name="20% - 强调文字颜色 1 2 3 2" xfId="31" xr:uid="{00000000-0005-0000-0000-00001D000000}"/>
    <cellStyle name="20% - 强调文字颜色 1 2 3 2 2" xfId="32" xr:uid="{00000000-0005-0000-0000-00001E000000}"/>
    <cellStyle name="20% - 强调文字颜色 1 2 3 2 3" xfId="33" xr:uid="{00000000-0005-0000-0000-00001F000000}"/>
    <cellStyle name="20% - 强调文字颜色 1 2 3 3" xfId="34" xr:uid="{00000000-0005-0000-0000-000020000000}"/>
    <cellStyle name="20% - 强调文字颜色 1 2 3 3 2" xfId="35" xr:uid="{00000000-0005-0000-0000-000021000000}"/>
    <cellStyle name="20% - 强调文字颜色 1 2 3 3 3" xfId="36" xr:uid="{00000000-0005-0000-0000-000022000000}"/>
    <cellStyle name="20% - 强调文字颜色 1 2 4" xfId="37" xr:uid="{00000000-0005-0000-0000-000023000000}"/>
    <cellStyle name="20% - 强调文字颜色 1 2 4 2" xfId="38" xr:uid="{00000000-0005-0000-0000-000024000000}"/>
    <cellStyle name="20% - 强调文字颜色 1 2 5" xfId="39" xr:uid="{00000000-0005-0000-0000-000025000000}"/>
    <cellStyle name="20% - 强调文字颜色 1 2 5 2" xfId="40" xr:uid="{00000000-0005-0000-0000-000026000000}"/>
    <cellStyle name="20% - 强调文字颜色 1 2 6" xfId="41" xr:uid="{00000000-0005-0000-0000-000027000000}"/>
    <cellStyle name="20% - 强调文字颜色 1 2 6 2" xfId="42" xr:uid="{00000000-0005-0000-0000-000028000000}"/>
    <cellStyle name="20% - 强调文字颜色 1 2 7" xfId="43" xr:uid="{00000000-0005-0000-0000-000029000000}"/>
    <cellStyle name="20% - 强调文字颜色 1 3" xfId="44" xr:uid="{00000000-0005-0000-0000-00002A000000}"/>
    <cellStyle name="20% - 强调文字颜色 1 3 2" xfId="45" xr:uid="{00000000-0005-0000-0000-00002B000000}"/>
    <cellStyle name="20% - 强调文字颜色 1 3 2 2" xfId="46" xr:uid="{00000000-0005-0000-0000-00002C000000}"/>
    <cellStyle name="20% - 强调文字颜色 1 3 2 2 2" xfId="47" xr:uid="{00000000-0005-0000-0000-00002D000000}"/>
    <cellStyle name="20% - 强调文字颜色 1 3 2 2 2 2" xfId="48" xr:uid="{00000000-0005-0000-0000-00002E000000}"/>
    <cellStyle name="20% - 强调文字颜色 1 3 2 2 2 3" xfId="49" xr:uid="{00000000-0005-0000-0000-00002F000000}"/>
    <cellStyle name="20% - 强调文字颜色 1 3 2 2 3" xfId="50" xr:uid="{00000000-0005-0000-0000-000030000000}"/>
    <cellStyle name="20% - 强调文字颜色 1 3 2 2 3 2" xfId="51" xr:uid="{00000000-0005-0000-0000-000031000000}"/>
    <cellStyle name="20% - 强调文字颜色 1 3 2 2 3 3" xfId="52" xr:uid="{00000000-0005-0000-0000-000032000000}"/>
    <cellStyle name="20% - 强调文字颜色 1 3 2 3" xfId="53" xr:uid="{00000000-0005-0000-0000-000033000000}"/>
    <cellStyle name="20% - 强调文字颜色 1 3 2 4" xfId="54" xr:uid="{00000000-0005-0000-0000-000034000000}"/>
    <cellStyle name="20% - 强调文字颜色 1 3 2 4 2" xfId="55" xr:uid="{00000000-0005-0000-0000-000035000000}"/>
    <cellStyle name="20% - 强调文字颜色 1 3 2 5" xfId="56" xr:uid="{00000000-0005-0000-0000-000036000000}"/>
    <cellStyle name="20% - 强调文字颜色 1 3 3" xfId="57" xr:uid="{00000000-0005-0000-0000-000037000000}"/>
    <cellStyle name="20% - 强调文字颜色 1 3 3 2" xfId="58" xr:uid="{00000000-0005-0000-0000-000038000000}"/>
    <cellStyle name="20% - 强调文字颜色 1 3 3 2 2" xfId="59" xr:uid="{00000000-0005-0000-0000-000039000000}"/>
    <cellStyle name="20% - 强调文字颜色 1 3 3 2 3" xfId="60" xr:uid="{00000000-0005-0000-0000-00003A000000}"/>
    <cellStyle name="20% - 强调文字颜色 1 3 3 3" xfId="61" xr:uid="{00000000-0005-0000-0000-00003B000000}"/>
    <cellStyle name="20% - 强调文字颜色 1 3 3 3 2" xfId="62" xr:uid="{00000000-0005-0000-0000-00003C000000}"/>
    <cellStyle name="20% - 强调文字颜色 1 3 3 3 3" xfId="63" xr:uid="{00000000-0005-0000-0000-00003D000000}"/>
    <cellStyle name="20% - 强调文字颜色 1 3 4" xfId="64" xr:uid="{00000000-0005-0000-0000-00003E000000}"/>
    <cellStyle name="20% - 强调文字颜色 1 3 5" xfId="65" xr:uid="{00000000-0005-0000-0000-00003F000000}"/>
    <cellStyle name="20% - 强调文字颜色 1 3 5 2" xfId="66" xr:uid="{00000000-0005-0000-0000-000040000000}"/>
    <cellStyle name="20% - 强调文字颜色 1 3 6" xfId="67" xr:uid="{00000000-0005-0000-0000-000041000000}"/>
    <cellStyle name="20% - 强调文字颜色 1 4" xfId="68" xr:uid="{00000000-0005-0000-0000-000042000000}"/>
    <cellStyle name="20% - 强调文字颜色 1 4 2" xfId="69" xr:uid="{00000000-0005-0000-0000-000043000000}"/>
    <cellStyle name="20% - 强调文字颜色 1 4 2 2" xfId="70" xr:uid="{00000000-0005-0000-0000-000044000000}"/>
    <cellStyle name="20% - 强调文字颜色 1 4 2 3" xfId="71" xr:uid="{00000000-0005-0000-0000-000045000000}"/>
    <cellStyle name="20% - 强调文字颜色 1 4 3" xfId="72" xr:uid="{00000000-0005-0000-0000-000046000000}"/>
    <cellStyle name="20% - 强调文字颜色 1 4 3 2" xfId="73" xr:uid="{00000000-0005-0000-0000-000047000000}"/>
    <cellStyle name="20% - 强调文字颜色 1 4 3 3" xfId="74" xr:uid="{00000000-0005-0000-0000-000048000000}"/>
    <cellStyle name="20% - 强调文字颜色 1 4 3 4" xfId="75" xr:uid="{00000000-0005-0000-0000-000049000000}"/>
    <cellStyle name="20% - 强调文字颜色 1 5" xfId="76" xr:uid="{00000000-0005-0000-0000-00004A000000}"/>
    <cellStyle name="20% - 强调文字颜色 1 5 2" xfId="77" xr:uid="{00000000-0005-0000-0000-00004B000000}"/>
    <cellStyle name="20% - 强调文字颜色 1 6" xfId="78" xr:uid="{00000000-0005-0000-0000-00004C000000}"/>
    <cellStyle name="20% - 强调文字颜色 1 6 2" xfId="79" xr:uid="{00000000-0005-0000-0000-00004D000000}"/>
    <cellStyle name="20% - 强调文字颜色 1 6 3 2 3 2 2" xfId="2217" xr:uid="{00000000-0005-0000-0000-00004E000000}"/>
    <cellStyle name="20% - 强调文字颜色 1 7" xfId="80" xr:uid="{00000000-0005-0000-0000-00004F000000}"/>
    <cellStyle name="20% - 强调文字颜色 1 7 2" xfId="81" xr:uid="{00000000-0005-0000-0000-000050000000}"/>
    <cellStyle name="20% - 强调文字颜色 1 8" xfId="82" xr:uid="{00000000-0005-0000-0000-000051000000}"/>
    <cellStyle name="20% - 强调文字颜色 2" xfId="83" xr:uid="{00000000-0005-0000-0000-000052000000}"/>
    <cellStyle name="20% - 强调文字颜色 2 2" xfId="84" xr:uid="{00000000-0005-0000-0000-000053000000}"/>
    <cellStyle name="20% - 强调文字颜色 2 2 2" xfId="85" xr:uid="{00000000-0005-0000-0000-000054000000}"/>
    <cellStyle name="20% - 强调文字颜色 2 2 2 2" xfId="86" xr:uid="{00000000-0005-0000-0000-000055000000}"/>
    <cellStyle name="20% - 强调文字颜色 2 2 2 2 2" xfId="87" xr:uid="{00000000-0005-0000-0000-000056000000}"/>
    <cellStyle name="20% - 强调文字颜色 2 2 2 2 2 2" xfId="88" xr:uid="{00000000-0005-0000-0000-000057000000}"/>
    <cellStyle name="20% - 强调文字颜色 2 2 2 2 2 2 2" xfId="89" xr:uid="{00000000-0005-0000-0000-000058000000}"/>
    <cellStyle name="20% - 强调文字颜色 2 2 2 2 2 2 3" xfId="90" xr:uid="{00000000-0005-0000-0000-000059000000}"/>
    <cellStyle name="20% - 强调文字颜色 2 2 2 2 2 3" xfId="91" xr:uid="{00000000-0005-0000-0000-00005A000000}"/>
    <cellStyle name="20% - 强调文字颜色 2 2 2 2 2 3 2" xfId="92" xr:uid="{00000000-0005-0000-0000-00005B000000}"/>
    <cellStyle name="20% - 强调文字颜色 2 2 2 2 2 3 3" xfId="93" xr:uid="{00000000-0005-0000-0000-00005C000000}"/>
    <cellStyle name="20% - 强调文字颜色 2 2 2 2 3" xfId="94" xr:uid="{00000000-0005-0000-0000-00005D000000}"/>
    <cellStyle name="20% - 强调文字颜色 2 2 2 2 4" xfId="95" xr:uid="{00000000-0005-0000-0000-00005E000000}"/>
    <cellStyle name="20% - 强调文字颜色 2 2 2 2 4 2" xfId="96" xr:uid="{00000000-0005-0000-0000-00005F000000}"/>
    <cellStyle name="20% - 强调文字颜色 2 2 2 2 5" xfId="97" xr:uid="{00000000-0005-0000-0000-000060000000}"/>
    <cellStyle name="20% - 强调文字颜色 2 2 2 3" xfId="98" xr:uid="{00000000-0005-0000-0000-000061000000}"/>
    <cellStyle name="20% - 强调文字颜色 2 2 2 3 2" xfId="99" xr:uid="{00000000-0005-0000-0000-000062000000}"/>
    <cellStyle name="20% - 强调文字颜色 2 2 2 3 2 2" xfId="100" xr:uid="{00000000-0005-0000-0000-000063000000}"/>
    <cellStyle name="20% - 强调文字颜色 2 2 2 3 2 3" xfId="101" xr:uid="{00000000-0005-0000-0000-000064000000}"/>
    <cellStyle name="20% - 强调文字颜色 2 2 2 3 3" xfId="102" xr:uid="{00000000-0005-0000-0000-000065000000}"/>
    <cellStyle name="20% - 强调文字颜色 2 2 2 3 3 2" xfId="103" xr:uid="{00000000-0005-0000-0000-000066000000}"/>
    <cellStyle name="20% - 强调文字颜色 2 2 2 3 3 3" xfId="104" xr:uid="{00000000-0005-0000-0000-000067000000}"/>
    <cellStyle name="20% - 强调文字颜色 2 2 2 4" xfId="105" xr:uid="{00000000-0005-0000-0000-000068000000}"/>
    <cellStyle name="20% - 强调文字颜色 2 2 2 5" xfId="106" xr:uid="{00000000-0005-0000-0000-000069000000}"/>
    <cellStyle name="20% - 强调文字颜色 2 2 2 5 2" xfId="107" xr:uid="{00000000-0005-0000-0000-00006A000000}"/>
    <cellStyle name="20% - 强调文字颜色 2 2 2 6" xfId="108" xr:uid="{00000000-0005-0000-0000-00006B000000}"/>
    <cellStyle name="20% - 强调文字颜色 2 2 3" xfId="109" xr:uid="{00000000-0005-0000-0000-00006C000000}"/>
    <cellStyle name="20% - 强调文字颜色 2 2 3 2" xfId="110" xr:uid="{00000000-0005-0000-0000-00006D000000}"/>
    <cellStyle name="20% - 强调文字颜色 2 2 3 2 2" xfId="111" xr:uid="{00000000-0005-0000-0000-00006E000000}"/>
    <cellStyle name="20% - 强调文字颜色 2 2 3 2 3" xfId="112" xr:uid="{00000000-0005-0000-0000-00006F000000}"/>
    <cellStyle name="20% - 强调文字颜色 2 2 3 3" xfId="113" xr:uid="{00000000-0005-0000-0000-000070000000}"/>
    <cellStyle name="20% - 强调文字颜色 2 2 3 3 2" xfId="114" xr:uid="{00000000-0005-0000-0000-000071000000}"/>
    <cellStyle name="20% - 强调文字颜色 2 2 3 3 3" xfId="115" xr:uid="{00000000-0005-0000-0000-000072000000}"/>
    <cellStyle name="20% - 强调文字颜色 2 2 4" xfId="116" xr:uid="{00000000-0005-0000-0000-000073000000}"/>
    <cellStyle name="20% - 强调文字颜色 2 2 4 2" xfId="117" xr:uid="{00000000-0005-0000-0000-000074000000}"/>
    <cellStyle name="20% - 强调文字颜色 2 2 5" xfId="118" xr:uid="{00000000-0005-0000-0000-000075000000}"/>
    <cellStyle name="20% - 强调文字颜色 2 2 5 2" xfId="119" xr:uid="{00000000-0005-0000-0000-000076000000}"/>
    <cellStyle name="20% - 强调文字颜色 2 2 6" xfId="120" xr:uid="{00000000-0005-0000-0000-000077000000}"/>
    <cellStyle name="20% - 强调文字颜色 2 2 6 2" xfId="121" xr:uid="{00000000-0005-0000-0000-000078000000}"/>
    <cellStyle name="20% - 强调文字颜色 2 2 7" xfId="122" xr:uid="{00000000-0005-0000-0000-000079000000}"/>
    <cellStyle name="20% - 强调文字颜色 2 3" xfId="123" xr:uid="{00000000-0005-0000-0000-00007A000000}"/>
    <cellStyle name="20% - 强调文字颜色 2 3 2" xfId="124" xr:uid="{00000000-0005-0000-0000-00007B000000}"/>
    <cellStyle name="20% - 强调文字颜色 2 3 2 2" xfId="125" xr:uid="{00000000-0005-0000-0000-00007C000000}"/>
    <cellStyle name="20% - 强调文字颜色 2 3 2 2 2" xfId="126" xr:uid="{00000000-0005-0000-0000-00007D000000}"/>
    <cellStyle name="20% - 强调文字颜色 2 3 2 2 2 2" xfId="127" xr:uid="{00000000-0005-0000-0000-00007E000000}"/>
    <cellStyle name="20% - 强调文字颜色 2 3 2 2 2 3" xfId="128" xr:uid="{00000000-0005-0000-0000-00007F000000}"/>
    <cellStyle name="20% - 强调文字颜色 2 3 2 2 3" xfId="129" xr:uid="{00000000-0005-0000-0000-000080000000}"/>
    <cellStyle name="20% - 强调文字颜色 2 3 2 2 3 2" xfId="130" xr:uid="{00000000-0005-0000-0000-000081000000}"/>
    <cellStyle name="20% - 强调文字颜色 2 3 2 2 3 3" xfId="131" xr:uid="{00000000-0005-0000-0000-000082000000}"/>
    <cellStyle name="20% - 强调文字颜色 2 3 2 3" xfId="132" xr:uid="{00000000-0005-0000-0000-000083000000}"/>
    <cellStyle name="20% - 强调文字颜色 2 3 2 4" xfId="133" xr:uid="{00000000-0005-0000-0000-000084000000}"/>
    <cellStyle name="20% - 强调文字颜色 2 3 2 4 2" xfId="134" xr:uid="{00000000-0005-0000-0000-000085000000}"/>
    <cellStyle name="20% - 强调文字颜色 2 3 2 5" xfId="135" xr:uid="{00000000-0005-0000-0000-000086000000}"/>
    <cellStyle name="20% - 强调文字颜色 2 3 3" xfId="136" xr:uid="{00000000-0005-0000-0000-000087000000}"/>
    <cellStyle name="20% - 强调文字颜色 2 3 3 2" xfId="137" xr:uid="{00000000-0005-0000-0000-000088000000}"/>
    <cellStyle name="20% - 强调文字颜色 2 3 3 2 2" xfId="138" xr:uid="{00000000-0005-0000-0000-000089000000}"/>
    <cellStyle name="20% - 强调文字颜色 2 3 3 2 3" xfId="139" xr:uid="{00000000-0005-0000-0000-00008A000000}"/>
    <cellStyle name="20% - 强调文字颜色 2 3 3 3" xfId="140" xr:uid="{00000000-0005-0000-0000-00008B000000}"/>
    <cellStyle name="20% - 强调文字颜色 2 3 3 3 2" xfId="141" xr:uid="{00000000-0005-0000-0000-00008C000000}"/>
    <cellStyle name="20% - 强调文字颜色 2 3 3 3 3" xfId="142" xr:uid="{00000000-0005-0000-0000-00008D000000}"/>
    <cellStyle name="20% - 强调文字颜色 2 3 4" xfId="143" xr:uid="{00000000-0005-0000-0000-00008E000000}"/>
    <cellStyle name="20% - 强调文字颜色 2 3 5" xfId="144" xr:uid="{00000000-0005-0000-0000-00008F000000}"/>
    <cellStyle name="20% - 强调文字颜色 2 3 5 2" xfId="145" xr:uid="{00000000-0005-0000-0000-000090000000}"/>
    <cellStyle name="20% - 强调文字颜色 2 3 6" xfId="146" xr:uid="{00000000-0005-0000-0000-000091000000}"/>
    <cellStyle name="20% - 强调文字颜色 2 4" xfId="147" xr:uid="{00000000-0005-0000-0000-000092000000}"/>
    <cellStyle name="20% - 强调文字颜色 2 4 2" xfId="148" xr:uid="{00000000-0005-0000-0000-000093000000}"/>
    <cellStyle name="20% - 强调文字颜色 2 4 2 2" xfId="149" xr:uid="{00000000-0005-0000-0000-000094000000}"/>
    <cellStyle name="20% - 强调文字颜色 2 4 2 3" xfId="150" xr:uid="{00000000-0005-0000-0000-000095000000}"/>
    <cellStyle name="20% - 强调文字颜色 2 4 3" xfId="151" xr:uid="{00000000-0005-0000-0000-000096000000}"/>
    <cellStyle name="20% - 强调文字颜色 2 4 3 2" xfId="152" xr:uid="{00000000-0005-0000-0000-000097000000}"/>
    <cellStyle name="20% - 强调文字颜色 2 4 3 3" xfId="153" xr:uid="{00000000-0005-0000-0000-000098000000}"/>
    <cellStyle name="20% - 强调文字颜色 2 4 3 4" xfId="154" xr:uid="{00000000-0005-0000-0000-000099000000}"/>
    <cellStyle name="20% - 强调文字颜色 2 5" xfId="155" xr:uid="{00000000-0005-0000-0000-00009A000000}"/>
    <cellStyle name="20% - 强调文字颜色 2 5 2" xfId="156" xr:uid="{00000000-0005-0000-0000-00009B000000}"/>
    <cellStyle name="20% - 强调文字颜色 2 6" xfId="157" xr:uid="{00000000-0005-0000-0000-00009C000000}"/>
    <cellStyle name="20% - 强调文字颜色 2 6 2" xfId="158" xr:uid="{00000000-0005-0000-0000-00009D000000}"/>
    <cellStyle name="20% - 强调文字颜色 2 7" xfId="159" xr:uid="{00000000-0005-0000-0000-00009E000000}"/>
    <cellStyle name="20% - 强调文字颜色 2 7 2" xfId="160" xr:uid="{00000000-0005-0000-0000-00009F000000}"/>
    <cellStyle name="20% - 强调文字颜色 2 8" xfId="161" xr:uid="{00000000-0005-0000-0000-0000A0000000}"/>
    <cellStyle name="20% - 强调文字颜色 3" xfId="162" xr:uid="{00000000-0005-0000-0000-0000A1000000}"/>
    <cellStyle name="20% - 强调文字颜色 3 2" xfId="163" xr:uid="{00000000-0005-0000-0000-0000A2000000}"/>
    <cellStyle name="20% - 强调文字颜色 3 2 2" xfId="164" xr:uid="{00000000-0005-0000-0000-0000A3000000}"/>
    <cellStyle name="20% - 强调文字颜色 3 2 2 2" xfId="165" xr:uid="{00000000-0005-0000-0000-0000A4000000}"/>
    <cellStyle name="20% - 强调文字颜色 3 2 2 2 2" xfId="166" xr:uid="{00000000-0005-0000-0000-0000A5000000}"/>
    <cellStyle name="20% - 强调文字颜色 3 2 2 2 2 2" xfId="167" xr:uid="{00000000-0005-0000-0000-0000A6000000}"/>
    <cellStyle name="20% - 强调文字颜色 3 2 2 2 2 2 2" xfId="168" xr:uid="{00000000-0005-0000-0000-0000A7000000}"/>
    <cellStyle name="20% - 强调文字颜色 3 2 2 2 2 2 3" xfId="169" xr:uid="{00000000-0005-0000-0000-0000A8000000}"/>
    <cellStyle name="20% - 强调文字颜色 3 2 2 2 2 3" xfId="170" xr:uid="{00000000-0005-0000-0000-0000A9000000}"/>
    <cellStyle name="20% - 强调文字颜色 3 2 2 2 2 3 2" xfId="171" xr:uid="{00000000-0005-0000-0000-0000AA000000}"/>
    <cellStyle name="20% - 强调文字颜色 3 2 2 2 2 3 3" xfId="172" xr:uid="{00000000-0005-0000-0000-0000AB000000}"/>
    <cellStyle name="20% - 强调文字颜色 3 2 2 2 3" xfId="173" xr:uid="{00000000-0005-0000-0000-0000AC000000}"/>
    <cellStyle name="20% - 强调文字颜色 3 2 2 2 4" xfId="174" xr:uid="{00000000-0005-0000-0000-0000AD000000}"/>
    <cellStyle name="20% - 强调文字颜色 3 2 2 2 4 2" xfId="175" xr:uid="{00000000-0005-0000-0000-0000AE000000}"/>
    <cellStyle name="20% - 强调文字颜色 3 2 2 2 5" xfId="176" xr:uid="{00000000-0005-0000-0000-0000AF000000}"/>
    <cellStyle name="20% - 强调文字颜色 3 2 2 3" xfId="177" xr:uid="{00000000-0005-0000-0000-0000B0000000}"/>
    <cellStyle name="20% - 强调文字颜色 3 2 2 3 2" xfId="178" xr:uid="{00000000-0005-0000-0000-0000B1000000}"/>
    <cellStyle name="20% - 强调文字颜色 3 2 2 3 2 2" xfId="179" xr:uid="{00000000-0005-0000-0000-0000B2000000}"/>
    <cellStyle name="20% - 强调文字颜色 3 2 2 3 2 3" xfId="180" xr:uid="{00000000-0005-0000-0000-0000B3000000}"/>
    <cellStyle name="20% - 强调文字颜色 3 2 2 3 3" xfId="181" xr:uid="{00000000-0005-0000-0000-0000B4000000}"/>
    <cellStyle name="20% - 强调文字颜色 3 2 2 3 3 2" xfId="182" xr:uid="{00000000-0005-0000-0000-0000B5000000}"/>
    <cellStyle name="20% - 强调文字颜色 3 2 2 3 3 3" xfId="183" xr:uid="{00000000-0005-0000-0000-0000B6000000}"/>
    <cellStyle name="20% - 强调文字颜色 3 2 2 4" xfId="184" xr:uid="{00000000-0005-0000-0000-0000B7000000}"/>
    <cellStyle name="20% - 强调文字颜色 3 2 2 5" xfId="185" xr:uid="{00000000-0005-0000-0000-0000B8000000}"/>
    <cellStyle name="20% - 强调文字颜色 3 2 2 5 2" xfId="186" xr:uid="{00000000-0005-0000-0000-0000B9000000}"/>
    <cellStyle name="20% - 强调文字颜色 3 2 2 6" xfId="187" xr:uid="{00000000-0005-0000-0000-0000BA000000}"/>
    <cellStyle name="20% - 强调文字颜色 3 2 3" xfId="188" xr:uid="{00000000-0005-0000-0000-0000BB000000}"/>
    <cellStyle name="20% - 强调文字颜色 3 2 3 2" xfId="189" xr:uid="{00000000-0005-0000-0000-0000BC000000}"/>
    <cellStyle name="20% - 强调文字颜色 3 2 3 2 2" xfId="190" xr:uid="{00000000-0005-0000-0000-0000BD000000}"/>
    <cellStyle name="20% - 强调文字颜色 3 2 3 2 3" xfId="191" xr:uid="{00000000-0005-0000-0000-0000BE000000}"/>
    <cellStyle name="20% - 强调文字颜色 3 2 3 3" xfId="192" xr:uid="{00000000-0005-0000-0000-0000BF000000}"/>
    <cellStyle name="20% - 强调文字颜色 3 2 3 3 2" xfId="193" xr:uid="{00000000-0005-0000-0000-0000C0000000}"/>
    <cellStyle name="20% - 强调文字颜色 3 2 3 3 3" xfId="194" xr:uid="{00000000-0005-0000-0000-0000C1000000}"/>
    <cellStyle name="20% - 强调文字颜色 3 2 4" xfId="195" xr:uid="{00000000-0005-0000-0000-0000C2000000}"/>
    <cellStyle name="20% - 强调文字颜色 3 2 4 2" xfId="196" xr:uid="{00000000-0005-0000-0000-0000C3000000}"/>
    <cellStyle name="20% - 强调文字颜色 3 2 5" xfId="197" xr:uid="{00000000-0005-0000-0000-0000C4000000}"/>
    <cellStyle name="20% - 强调文字颜色 3 2 5 2" xfId="198" xr:uid="{00000000-0005-0000-0000-0000C5000000}"/>
    <cellStyle name="20% - 强调文字颜色 3 2 6" xfId="199" xr:uid="{00000000-0005-0000-0000-0000C6000000}"/>
    <cellStyle name="20% - 强调文字颜色 3 2 6 2" xfId="200" xr:uid="{00000000-0005-0000-0000-0000C7000000}"/>
    <cellStyle name="20% - 强调文字颜色 3 2 7" xfId="201" xr:uid="{00000000-0005-0000-0000-0000C8000000}"/>
    <cellStyle name="20% - 强调文字颜色 3 3" xfId="202" xr:uid="{00000000-0005-0000-0000-0000C9000000}"/>
    <cellStyle name="20% - 强调文字颜色 3 3 2" xfId="203" xr:uid="{00000000-0005-0000-0000-0000CA000000}"/>
    <cellStyle name="20% - 强调文字颜色 3 3 2 2" xfId="204" xr:uid="{00000000-0005-0000-0000-0000CB000000}"/>
    <cellStyle name="20% - 强调文字颜色 3 3 2 2 2" xfId="205" xr:uid="{00000000-0005-0000-0000-0000CC000000}"/>
    <cellStyle name="20% - 强调文字颜色 3 3 2 2 2 2" xfId="206" xr:uid="{00000000-0005-0000-0000-0000CD000000}"/>
    <cellStyle name="20% - 强调文字颜色 3 3 2 2 2 3" xfId="207" xr:uid="{00000000-0005-0000-0000-0000CE000000}"/>
    <cellStyle name="20% - 强调文字颜色 3 3 2 2 3" xfId="208" xr:uid="{00000000-0005-0000-0000-0000CF000000}"/>
    <cellStyle name="20% - 强调文字颜色 3 3 2 2 3 2" xfId="209" xr:uid="{00000000-0005-0000-0000-0000D0000000}"/>
    <cellStyle name="20% - 强调文字颜色 3 3 2 2 3 3" xfId="210" xr:uid="{00000000-0005-0000-0000-0000D1000000}"/>
    <cellStyle name="20% - 强调文字颜色 3 3 2 3" xfId="211" xr:uid="{00000000-0005-0000-0000-0000D2000000}"/>
    <cellStyle name="20% - 强调文字颜色 3 3 2 4" xfId="212" xr:uid="{00000000-0005-0000-0000-0000D3000000}"/>
    <cellStyle name="20% - 强调文字颜色 3 3 2 4 2" xfId="213" xr:uid="{00000000-0005-0000-0000-0000D4000000}"/>
    <cellStyle name="20% - 强调文字颜色 3 3 2 5" xfId="214" xr:uid="{00000000-0005-0000-0000-0000D5000000}"/>
    <cellStyle name="20% - 强调文字颜色 3 3 3" xfId="215" xr:uid="{00000000-0005-0000-0000-0000D6000000}"/>
    <cellStyle name="20% - 强调文字颜色 3 3 3 2" xfId="216" xr:uid="{00000000-0005-0000-0000-0000D7000000}"/>
    <cellStyle name="20% - 强调文字颜色 3 3 3 2 2" xfId="217" xr:uid="{00000000-0005-0000-0000-0000D8000000}"/>
    <cellStyle name="20% - 强调文字颜色 3 3 3 2 3" xfId="218" xr:uid="{00000000-0005-0000-0000-0000D9000000}"/>
    <cellStyle name="20% - 强调文字颜色 3 3 3 3" xfId="219" xr:uid="{00000000-0005-0000-0000-0000DA000000}"/>
    <cellStyle name="20% - 强调文字颜色 3 3 3 3 2" xfId="220" xr:uid="{00000000-0005-0000-0000-0000DB000000}"/>
    <cellStyle name="20% - 强调文字颜色 3 3 3 3 3" xfId="221" xr:uid="{00000000-0005-0000-0000-0000DC000000}"/>
    <cellStyle name="20% - 强调文字颜色 3 3 4" xfId="222" xr:uid="{00000000-0005-0000-0000-0000DD000000}"/>
    <cellStyle name="20% - 强调文字颜色 3 3 5" xfId="223" xr:uid="{00000000-0005-0000-0000-0000DE000000}"/>
    <cellStyle name="20% - 强调文字颜色 3 3 5 2" xfId="224" xr:uid="{00000000-0005-0000-0000-0000DF000000}"/>
    <cellStyle name="20% - 强调文字颜色 3 3 6" xfId="225" xr:uid="{00000000-0005-0000-0000-0000E0000000}"/>
    <cellStyle name="20% - 强调文字颜色 3 4" xfId="226" xr:uid="{00000000-0005-0000-0000-0000E1000000}"/>
    <cellStyle name="20% - 强调文字颜色 3 4 2" xfId="227" xr:uid="{00000000-0005-0000-0000-0000E2000000}"/>
    <cellStyle name="20% - 强调文字颜色 3 4 2 2" xfId="228" xr:uid="{00000000-0005-0000-0000-0000E3000000}"/>
    <cellStyle name="20% - 强调文字颜色 3 4 2 3" xfId="229" xr:uid="{00000000-0005-0000-0000-0000E4000000}"/>
    <cellStyle name="20% - 强调文字颜色 3 4 3" xfId="230" xr:uid="{00000000-0005-0000-0000-0000E5000000}"/>
    <cellStyle name="20% - 强调文字颜色 3 4 3 2" xfId="231" xr:uid="{00000000-0005-0000-0000-0000E6000000}"/>
    <cellStyle name="20% - 强调文字颜色 3 4 3 3" xfId="232" xr:uid="{00000000-0005-0000-0000-0000E7000000}"/>
    <cellStyle name="20% - 强调文字颜色 3 4 3 4" xfId="233" xr:uid="{00000000-0005-0000-0000-0000E8000000}"/>
    <cellStyle name="20% - 强调文字颜色 3 5" xfId="234" xr:uid="{00000000-0005-0000-0000-0000E9000000}"/>
    <cellStyle name="20% - 强调文字颜色 3 5 2" xfId="235" xr:uid="{00000000-0005-0000-0000-0000EA000000}"/>
    <cellStyle name="20% - 强调文字颜色 3 6" xfId="236" xr:uid="{00000000-0005-0000-0000-0000EB000000}"/>
    <cellStyle name="20% - 强调文字颜色 3 6 2" xfId="237" xr:uid="{00000000-0005-0000-0000-0000EC000000}"/>
    <cellStyle name="20% - 强调文字颜色 3 7" xfId="238" xr:uid="{00000000-0005-0000-0000-0000ED000000}"/>
    <cellStyle name="20% - 强调文字颜色 3 7 2" xfId="239" xr:uid="{00000000-0005-0000-0000-0000EE000000}"/>
    <cellStyle name="20% - 强调文字颜色 3 8" xfId="240" xr:uid="{00000000-0005-0000-0000-0000EF000000}"/>
    <cellStyle name="20% - 强调文字颜色 4" xfId="241" xr:uid="{00000000-0005-0000-0000-0000F0000000}"/>
    <cellStyle name="20% - 强调文字颜色 4 2" xfId="242" xr:uid="{00000000-0005-0000-0000-0000F1000000}"/>
    <cellStyle name="20% - 强调文字颜色 4 2 2" xfId="243" xr:uid="{00000000-0005-0000-0000-0000F2000000}"/>
    <cellStyle name="20% - 强调文字颜色 4 2 2 2" xfId="244" xr:uid="{00000000-0005-0000-0000-0000F3000000}"/>
    <cellStyle name="20% - 强调文字颜色 4 2 2 2 2" xfId="245" xr:uid="{00000000-0005-0000-0000-0000F4000000}"/>
    <cellStyle name="20% - 强调文字颜色 4 2 2 2 2 2" xfId="246" xr:uid="{00000000-0005-0000-0000-0000F5000000}"/>
    <cellStyle name="20% - 强调文字颜色 4 2 2 2 2 2 2" xfId="247" xr:uid="{00000000-0005-0000-0000-0000F6000000}"/>
    <cellStyle name="20% - 强调文字颜色 4 2 2 2 2 2 3" xfId="248" xr:uid="{00000000-0005-0000-0000-0000F7000000}"/>
    <cellStyle name="20% - 强调文字颜色 4 2 2 2 2 3" xfId="249" xr:uid="{00000000-0005-0000-0000-0000F8000000}"/>
    <cellStyle name="20% - 强调文字颜色 4 2 2 2 2 3 2" xfId="250" xr:uid="{00000000-0005-0000-0000-0000F9000000}"/>
    <cellStyle name="20% - 强调文字颜色 4 2 2 2 2 3 3" xfId="251" xr:uid="{00000000-0005-0000-0000-0000FA000000}"/>
    <cellStyle name="20% - 强调文字颜色 4 2 2 2 3" xfId="252" xr:uid="{00000000-0005-0000-0000-0000FB000000}"/>
    <cellStyle name="20% - 强调文字颜色 4 2 2 2 4" xfId="253" xr:uid="{00000000-0005-0000-0000-0000FC000000}"/>
    <cellStyle name="20% - 强调文字颜色 4 2 2 2 4 2" xfId="254" xr:uid="{00000000-0005-0000-0000-0000FD000000}"/>
    <cellStyle name="20% - 强调文字颜色 4 2 2 2 5" xfId="255" xr:uid="{00000000-0005-0000-0000-0000FE000000}"/>
    <cellStyle name="20% - 强调文字颜色 4 2 2 3" xfId="256" xr:uid="{00000000-0005-0000-0000-0000FF000000}"/>
    <cellStyle name="20% - 强调文字颜色 4 2 2 3 2" xfId="257" xr:uid="{00000000-0005-0000-0000-000000010000}"/>
    <cellStyle name="20% - 强调文字颜色 4 2 2 3 2 2" xfId="258" xr:uid="{00000000-0005-0000-0000-000001010000}"/>
    <cellStyle name="20% - 强调文字颜色 4 2 2 3 2 3" xfId="259" xr:uid="{00000000-0005-0000-0000-000002010000}"/>
    <cellStyle name="20% - 强调文字颜色 4 2 2 3 3" xfId="260" xr:uid="{00000000-0005-0000-0000-000003010000}"/>
    <cellStyle name="20% - 强调文字颜色 4 2 2 3 3 2" xfId="261" xr:uid="{00000000-0005-0000-0000-000004010000}"/>
    <cellStyle name="20% - 强调文字颜色 4 2 2 3 3 3" xfId="262" xr:uid="{00000000-0005-0000-0000-000005010000}"/>
    <cellStyle name="20% - 强调文字颜色 4 2 2 4" xfId="263" xr:uid="{00000000-0005-0000-0000-000006010000}"/>
    <cellStyle name="20% - 强调文字颜色 4 2 2 5" xfId="264" xr:uid="{00000000-0005-0000-0000-000007010000}"/>
    <cellStyle name="20% - 强调文字颜色 4 2 2 5 2" xfId="265" xr:uid="{00000000-0005-0000-0000-000008010000}"/>
    <cellStyle name="20% - 强调文字颜色 4 2 2 6" xfId="266" xr:uid="{00000000-0005-0000-0000-000009010000}"/>
    <cellStyle name="20% - 强调文字颜色 4 2 3" xfId="267" xr:uid="{00000000-0005-0000-0000-00000A010000}"/>
    <cellStyle name="20% - 强调文字颜色 4 2 3 2" xfId="268" xr:uid="{00000000-0005-0000-0000-00000B010000}"/>
    <cellStyle name="20% - 强调文字颜色 4 2 3 2 2" xfId="269" xr:uid="{00000000-0005-0000-0000-00000C010000}"/>
    <cellStyle name="20% - 强调文字颜色 4 2 3 2 3" xfId="270" xr:uid="{00000000-0005-0000-0000-00000D010000}"/>
    <cellStyle name="20% - 强调文字颜色 4 2 3 3" xfId="271" xr:uid="{00000000-0005-0000-0000-00000E010000}"/>
    <cellStyle name="20% - 强调文字颜色 4 2 3 3 2" xfId="272" xr:uid="{00000000-0005-0000-0000-00000F010000}"/>
    <cellStyle name="20% - 强调文字颜色 4 2 3 3 3" xfId="273" xr:uid="{00000000-0005-0000-0000-000010010000}"/>
    <cellStyle name="20% - 强调文字颜色 4 2 4" xfId="274" xr:uid="{00000000-0005-0000-0000-000011010000}"/>
    <cellStyle name="20% - 强调文字颜色 4 2 4 2" xfId="275" xr:uid="{00000000-0005-0000-0000-000012010000}"/>
    <cellStyle name="20% - 强调文字颜色 4 2 5" xfId="276" xr:uid="{00000000-0005-0000-0000-000013010000}"/>
    <cellStyle name="20% - 强调文字颜色 4 2 5 2" xfId="277" xr:uid="{00000000-0005-0000-0000-000014010000}"/>
    <cellStyle name="20% - 强调文字颜色 4 2 6" xfId="278" xr:uid="{00000000-0005-0000-0000-000015010000}"/>
    <cellStyle name="20% - 强调文字颜色 4 2 6 2" xfId="279" xr:uid="{00000000-0005-0000-0000-000016010000}"/>
    <cellStyle name="20% - 强调文字颜色 4 2 7" xfId="280" xr:uid="{00000000-0005-0000-0000-000017010000}"/>
    <cellStyle name="20% - 强调文字颜色 4 3" xfId="281" xr:uid="{00000000-0005-0000-0000-000018010000}"/>
    <cellStyle name="20% - 强调文字颜色 4 3 2" xfId="282" xr:uid="{00000000-0005-0000-0000-000019010000}"/>
    <cellStyle name="20% - 强调文字颜色 4 3 2 2" xfId="283" xr:uid="{00000000-0005-0000-0000-00001A010000}"/>
    <cellStyle name="20% - 强调文字颜色 4 3 2 2 2" xfId="284" xr:uid="{00000000-0005-0000-0000-00001B010000}"/>
    <cellStyle name="20% - 强调文字颜色 4 3 2 2 2 2" xfId="285" xr:uid="{00000000-0005-0000-0000-00001C010000}"/>
    <cellStyle name="20% - 强调文字颜色 4 3 2 2 2 3" xfId="286" xr:uid="{00000000-0005-0000-0000-00001D010000}"/>
    <cellStyle name="20% - 强调文字颜色 4 3 2 2 3" xfId="287" xr:uid="{00000000-0005-0000-0000-00001E010000}"/>
    <cellStyle name="20% - 强调文字颜色 4 3 2 2 3 2" xfId="288" xr:uid="{00000000-0005-0000-0000-00001F010000}"/>
    <cellStyle name="20% - 强调文字颜色 4 3 2 2 3 3" xfId="289" xr:uid="{00000000-0005-0000-0000-000020010000}"/>
    <cellStyle name="20% - 强调文字颜色 4 3 2 3" xfId="290" xr:uid="{00000000-0005-0000-0000-000021010000}"/>
    <cellStyle name="20% - 强调文字颜色 4 3 2 4" xfId="291" xr:uid="{00000000-0005-0000-0000-000022010000}"/>
    <cellStyle name="20% - 强调文字颜色 4 3 2 4 2" xfId="292" xr:uid="{00000000-0005-0000-0000-000023010000}"/>
    <cellStyle name="20% - 强调文字颜色 4 3 2 5" xfId="293" xr:uid="{00000000-0005-0000-0000-000024010000}"/>
    <cellStyle name="20% - 强调文字颜色 4 3 3" xfId="294" xr:uid="{00000000-0005-0000-0000-000025010000}"/>
    <cellStyle name="20% - 强调文字颜色 4 3 3 2" xfId="295" xr:uid="{00000000-0005-0000-0000-000026010000}"/>
    <cellStyle name="20% - 强调文字颜色 4 3 3 2 2" xfId="296" xr:uid="{00000000-0005-0000-0000-000027010000}"/>
    <cellStyle name="20% - 强调文字颜色 4 3 3 2 3" xfId="297" xr:uid="{00000000-0005-0000-0000-000028010000}"/>
    <cellStyle name="20% - 强调文字颜色 4 3 3 3" xfId="298" xr:uid="{00000000-0005-0000-0000-000029010000}"/>
    <cellStyle name="20% - 强调文字颜色 4 3 3 3 2" xfId="299" xr:uid="{00000000-0005-0000-0000-00002A010000}"/>
    <cellStyle name="20% - 强调文字颜色 4 3 3 3 3" xfId="300" xr:uid="{00000000-0005-0000-0000-00002B010000}"/>
    <cellStyle name="20% - 强调文字颜色 4 3 4" xfId="301" xr:uid="{00000000-0005-0000-0000-00002C010000}"/>
    <cellStyle name="20% - 强调文字颜色 4 3 5" xfId="302" xr:uid="{00000000-0005-0000-0000-00002D010000}"/>
    <cellStyle name="20% - 强调文字颜色 4 3 5 2" xfId="303" xr:uid="{00000000-0005-0000-0000-00002E010000}"/>
    <cellStyle name="20% - 强调文字颜色 4 3 6" xfId="304" xr:uid="{00000000-0005-0000-0000-00002F010000}"/>
    <cellStyle name="20% - 强调文字颜色 4 4" xfId="305" xr:uid="{00000000-0005-0000-0000-000030010000}"/>
    <cellStyle name="20% - 强调文字颜色 4 4 2" xfId="306" xr:uid="{00000000-0005-0000-0000-000031010000}"/>
    <cellStyle name="20% - 强调文字颜色 4 4 2 2" xfId="307" xr:uid="{00000000-0005-0000-0000-000032010000}"/>
    <cellStyle name="20% - 强调文字颜色 4 4 2 3" xfId="308" xr:uid="{00000000-0005-0000-0000-000033010000}"/>
    <cellStyle name="20% - 强调文字颜色 4 4 3" xfId="309" xr:uid="{00000000-0005-0000-0000-000034010000}"/>
    <cellStyle name="20% - 强调文字颜色 4 4 3 2" xfId="310" xr:uid="{00000000-0005-0000-0000-000035010000}"/>
    <cellStyle name="20% - 强调文字颜色 4 4 3 3" xfId="311" xr:uid="{00000000-0005-0000-0000-000036010000}"/>
    <cellStyle name="20% - 强调文字颜色 4 4 3 4" xfId="312" xr:uid="{00000000-0005-0000-0000-000037010000}"/>
    <cellStyle name="20% - 强调文字颜色 4 5" xfId="313" xr:uid="{00000000-0005-0000-0000-000038010000}"/>
    <cellStyle name="20% - 强调文字颜色 4 5 2" xfId="314" xr:uid="{00000000-0005-0000-0000-000039010000}"/>
    <cellStyle name="20% - 强调文字颜色 4 6" xfId="315" xr:uid="{00000000-0005-0000-0000-00003A010000}"/>
    <cellStyle name="20% - 强调文字颜色 4 6 2" xfId="316" xr:uid="{00000000-0005-0000-0000-00003B010000}"/>
    <cellStyle name="20% - 强调文字颜色 4 7" xfId="317" xr:uid="{00000000-0005-0000-0000-00003C010000}"/>
    <cellStyle name="20% - 强调文字颜色 4 7 2" xfId="318" xr:uid="{00000000-0005-0000-0000-00003D010000}"/>
    <cellStyle name="20% - 强调文字颜色 4 8" xfId="319" xr:uid="{00000000-0005-0000-0000-00003E010000}"/>
    <cellStyle name="20% - 强调文字颜色 5" xfId="320" xr:uid="{00000000-0005-0000-0000-00003F010000}"/>
    <cellStyle name="20% - 强调文字颜色 5 2" xfId="321" xr:uid="{00000000-0005-0000-0000-000040010000}"/>
    <cellStyle name="20% - 强调文字颜色 5 2 2" xfId="322" xr:uid="{00000000-0005-0000-0000-000041010000}"/>
    <cellStyle name="20% - 强调文字颜色 5 2 2 2" xfId="323" xr:uid="{00000000-0005-0000-0000-000042010000}"/>
    <cellStyle name="20% - 强调文字颜色 5 2 2 2 2" xfId="324" xr:uid="{00000000-0005-0000-0000-000043010000}"/>
    <cellStyle name="20% - 强调文字颜色 5 2 2 2 2 2" xfId="325" xr:uid="{00000000-0005-0000-0000-000044010000}"/>
    <cellStyle name="20% - 强调文字颜色 5 2 2 2 2 2 2" xfId="326" xr:uid="{00000000-0005-0000-0000-000045010000}"/>
    <cellStyle name="20% - 强调文字颜色 5 2 2 2 2 2 3" xfId="327" xr:uid="{00000000-0005-0000-0000-000046010000}"/>
    <cellStyle name="20% - 强调文字颜色 5 2 2 2 2 3" xfId="328" xr:uid="{00000000-0005-0000-0000-000047010000}"/>
    <cellStyle name="20% - 强调文字颜色 5 2 2 2 2 3 2" xfId="329" xr:uid="{00000000-0005-0000-0000-000048010000}"/>
    <cellStyle name="20% - 强调文字颜色 5 2 2 2 2 3 3" xfId="330" xr:uid="{00000000-0005-0000-0000-000049010000}"/>
    <cellStyle name="20% - 强调文字颜色 5 2 2 2 3" xfId="331" xr:uid="{00000000-0005-0000-0000-00004A010000}"/>
    <cellStyle name="20% - 强调文字颜色 5 2 2 2 4" xfId="332" xr:uid="{00000000-0005-0000-0000-00004B010000}"/>
    <cellStyle name="20% - 强调文字颜色 5 2 2 2 4 2" xfId="333" xr:uid="{00000000-0005-0000-0000-00004C010000}"/>
    <cellStyle name="20% - 强调文字颜色 5 2 2 2 5" xfId="334" xr:uid="{00000000-0005-0000-0000-00004D010000}"/>
    <cellStyle name="20% - 强调文字颜色 5 2 2 3" xfId="335" xr:uid="{00000000-0005-0000-0000-00004E010000}"/>
    <cellStyle name="20% - 强调文字颜色 5 2 2 3 2" xfId="336" xr:uid="{00000000-0005-0000-0000-00004F010000}"/>
    <cellStyle name="20% - 强调文字颜色 5 2 2 3 2 2" xfId="337" xr:uid="{00000000-0005-0000-0000-000050010000}"/>
    <cellStyle name="20% - 强调文字颜色 5 2 2 3 2 3" xfId="338" xr:uid="{00000000-0005-0000-0000-000051010000}"/>
    <cellStyle name="20% - 强调文字颜色 5 2 2 3 3" xfId="339" xr:uid="{00000000-0005-0000-0000-000052010000}"/>
    <cellStyle name="20% - 强调文字颜色 5 2 2 3 3 2" xfId="340" xr:uid="{00000000-0005-0000-0000-000053010000}"/>
    <cellStyle name="20% - 强调文字颜色 5 2 2 3 3 3" xfId="341" xr:uid="{00000000-0005-0000-0000-000054010000}"/>
    <cellStyle name="20% - 强调文字颜色 5 2 2 4" xfId="342" xr:uid="{00000000-0005-0000-0000-000055010000}"/>
    <cellStyle name="20% - 强调文字颜色 5 2 2 5" xfId="343" xr:uid="{00000000-0005-0000-0000-000056010000}"/>
    <cellStyle name="20% - 强调文字颜色 5 2 2 5 2" xfId="344" xr:uid="{00000000-0005-0000-0000-000057010000}"/>
    <cellStyle name="20% - 强调文字颜色 5 2 2 6" xfId="345" xr:uid="{00000000-0005-0000-0000-000058010000}"/>
    <cellStyle name="20% - 强调文字颜色 5 2 3" xfId="346" xr:uid="{00000000-0005-0000-0000-000059010000}"/>
    <cellStyle name="20% - 强调文字颜色 5 2 3 2" xfId="347" xr:uid="{00000000-0005-0000-0000-00005A010000}"/>
    <cellStyle name="20% - 强调文字颜色 5 2 3 2 2" xfId="348" xr:uid="{00000000-0005-0000-0000-00005B010000}"/>
    <cellStyle name="20% - 强调文字颜色 5 2 3 2 3" xfId="349" xr:uid="{00000000-0005-0000-0000-00005C010000}"/>
    <cellStyle name="20% - 强调文字颜色 5 2 3 3" xfId="350" xr:uid="{00000000-0005-0000-0000-00005D010000}"/>
    <cellStyle name="20% - 强调文字颜色 5 2 3 3 2" xfId="351" xr:uid="{00000000-0005-0000-0000-00005E010000}"/>
    <cellStyle name="20% - 强调文字颜色 5 2 3 3 3" xfId="352" xr:uid="{00000000-0005-0000-0000-00005F010000}"/>
    <cellStyle name="20% - 强调文字颜色 5 2 4" xfId="353" xr:uid="{00000000-0005-0000-0000-000060010000}"/>
    <cellStyle name="20% - 强调文字颜色 5 2 4 2" xfId="354" xr:uid="{00000000-0005-0000-0000-000061010000}"/>
    <cellStyle name="20% - 强调文字颜色 5 2 5" xfId="355" xr:uid="{00000000-0005-0000-0000-000062010000}"/>
    <cellStyle name="20% - 强调文字颜色 5 2 5 2" xfId="356" xr:uid="{00000000-0005-0000-0000-000063010000}"/>
    <cellStyle name="20% - 强调文字颜色 5 2 6" xfId="357" xr:uid="{00000000-0005-0000-0000-000064010000}"/>
    <cellStyle name="20% - 强调文字颜色 5 2 6 2" xfId="358" xr:uid="{00000000-0005-0000-0000-000065010000}"/>
    <cellStyle name="20% - 强调文字颜色 5 2 7" xfId="359" xr:uid="{00000000-0005-0000-0000-000066010000}"/>
    <cellStyle name="20% - 强调文字颜色 5 3" xfId="360" xr:uid="{00000000-0005-0000-0000-000067010000}"/>
    <cellStyle name="20% - 强调文字颜色 5 3 2" xfId="361" xr:uid="{00000000-0005-0000-0000-000068010000}"/>
    <cellStyle name="20% - 强调文字颜色 5 3 2 2" xfId="362" xr:uid="{00000000-0005-0000-0000-000069010000}"/>
    <cellStyle name="20% - 强调文字颜色 5 3 2 2 2" xfId="363" xr:uid="{00000000-0005-0000-0000-00006A010000}"/>
    <cellStyle name="20% - 强调文字颜色 5 3 2 2 2 2" xfId="364" xr:uid="{00000000-0005-0000-0000-00006B010000}"/>
    <cellStyle name="20% - 强调文字颜色 5 3 2 2 2 3" xfId="365" xr:uid="{00000000-0005-0000-0000-00006C010000}"/>
    <cellStyle name="20% - 强调文字颜色 5 3 2 2 3" xfId="366" xr:uid="{00000000-0005-0000-0000-00006D010000}"/>
    <cellStyle name="20% - 强调文字颜色 5 3 2 2 3 2" xfId="367" xr:uid="{00000000-0005-0000-0000-00006E010000}"/>
    <cellStyle name="20% - 强调文字颜色 5 3 2 2 3 3" xfId="368" xr:uid="{00000000-0005-0000-0000-00006F010000}"/>
    <cellStyle name="20% - 强调文字颜色 5 3 2 3" xfId="369" xr:uid="{00000000-0005-0000-0000-000070010000}"/>
    <cellStyle name="20% - 强调文字颜色 5 3 2 4" xfId="370" xr:uid="{00000000-0005-0000-0000-000071010000}"/>
    <cellStyle name="20% - 强调文字颜色 5 3 2 4 2" xfId="371" xr:uid="{00000000-0005-0000-0000-000072010000}"/>
    <cellStyle name="20% - 强调文字颜色 5 3 2 5" xfId="372" xr:uid="{00000000-0005-0000-0000-000073010000}"/>
    <cellStyle name="20% - 强调文字颜色 5 3 3" xfId="373" xr:uid="{00000000-0005-0000-0000-000074010000}"/>
    <cellStyle name="20% - 强调文字颜色 5 3 3 2" xfId="374" xr:uid="{00000000-0005-0000-0000-000075010000}"/>
    <cellStyle name="20% - 强调文字颜色 5 3 3 2 2" xfId="375" xr:uid="{00000000-0005-0000-0000-000076010000}"/>
    <cellStyle name="20% - 强调文字颜色 5 3 3 2 3" xfId="376" xr:uid="{00000000-0005-0000-0000-000077010000}"/>
    <cellStyle name="20% - 强调文字颜色 5 3 3 3" xfId="377" xr:uid="{00000000-0005-0000-0000-000078010000}"/>
    <cellStyle name="20% - 强调文字颜色 5 3 3 3 2" xfId="378" xr:uid="{00000000-0005-0000-0000-000079010000}"/>
    <cellStyle name="20% - 强调文字颜色 5 3 3 3 3" xfId="379" xr:uid="{00000000-0005-0000-0000-00007A010000}"/>
    <cellStyle name="20% - 强调文字颜色 5 3 4" xfId="380" xr:uid="{00000000-0005-0000-0000-00007B010000}"/>
    <cellStyle name="20% - 强调文字颜色 5 3 5" xfId="381" xr:uid="{00000000-0005-0000-0000-00007C010000}"/>
    <cellStyle name="20% - 强调文字颜色 5 3 5 2" xfId="382" xr:uid="{00000000-0005-0000-0000-00007D010000}"/>
    <cellStyle name="20% - 强调文字颜色 5 3 6" xfId="383" xr:uid="{00000000-0005-0000-0000-00007E010000}"/>
    <cellStyle name="20% - 强调文字颜色 5 4" xfId="384" xr:uid="{00000000-0005-0000-0000-00007F010000}"/>
    <cellStyle name="20% - 强调文字颜色 5 4 2" xfId="385" xr:uid="{00000000-0005-0000-0000-000080010000}"/>
    <cellStyle name="20% - 强调文字颜色 5 4 2 2" xfId="386" xr:uid="{00000000-0005-0000-0000-000081010000}"/>
    <cellStyle name="20% - 强调文字颜色 5 4 2 3" xfId="387" xr:uid="{00000000-0005-0000-0000-000082010000}"/>
    <cellStyle name="20% - 强调文字颜色 5 4 3" xfId="388" xr:uid="{00000000-0005-0000-0000-000083010000}"/>
    <cellStyle name="20% - 强调文字颜色 5 4 3 2" xfId="389" xr:uid="{00000000-0005-0000-0000-000084010000}"/>
    <cellStyle name="20% - 强调文字颜色 5 4 3 3" xfId="390" xr:uid="{00000000-0005-0000-0000-000085010000}"/>
    <cellStyle name="20% - 强调文字颜色 5 4 3 4" xfId="391" xr:uid="{00000000-0005-0000-0000-000086010000}"/>
    <cellStyle name="20% - 强调文字颜色 5 5" xfId="392" xr:uid="{00000000-0005-0000-0000-000087010000}"/>
    <cellStyle name="20% - 强调文字颜色 5 5 2" xfId="393" xr:uid="{00000000-0005-0000-0000-000088010000}"/>
    <cellStyle name="20% - 强调文字颜色 5 6" xfId="394" xr:uid="{00000000-0005-0000-0000-000089010000}"/>
    <cellStyle name="20% - 强调文字颜色 5 6 2" xfId="395" xr:uid="{00000000-0005-0000-0000-00008A010000}"/>
    <cellStyle name="20% - 强调文字颜色 5 7" xfId="396" xr:uid="{00000000-0005-0000-0000-00008B010000}"/>
    <cellStyle name="20% - 强调文字颜色 5 7 2" xfId="397" xr:uid="{00000000-0005-0000-0000-00008C010000}"/>
    <cellStyle name="20% - 强调文字颜色 5 8" xfId="398" xr:uid="{00000000-0005-0000-0000-00008D010000}"/>
    <cellStyle name="20% - 强调文字颜色 6" xfId="399" xr:uid="{00000000-0005-0000-0000-00008E010000}"/>
    <cellStyle name="20% - 强调文字颜色 6 2" xfId="400" xr:uid="{00000000-0005-0000-0000-00008F010000}"/>
    <cellStyle name="20% - 强调文字颜色 6 2 2" xfId="401" xr:uid="{00000000-0005-0000-0000-000090010000}"/>
    <cellStyle name="20% - 强调文字颜色 6 2 2 2" xfId="402" xr:uid="{00000000-0005-0000-0000-000091010000}"/>
    <cellStyle name="20% - 强调文字颜色 6 2 2 2 2" xfId="403" xr:uid="{00000000-0005-0000-0000-000092010000}"/>
    <cellStyle name="20% - 强调文字颜色 6 2 2 2 2 2" xfId="404" xr:uid="{00000000-0005-0000-0000-000093010000}"/>
    <cellStyle name="20% - 强调文字颜色 6 2 2 2 2 2 2" xfId="405" xr:uid="{00000000-0005-0000-0000-000094010000}"/>
    <cellStyle name="20% - 强调文字颜色 6 2 2 2 2 2 3" xfId="406" xr:uid="{00000000-0005-0000-0000-000095010000}"/>
    <cellStyle name="20% - 强调文字颜色 6 2 2 2 2 3" xfId="407" xr:uid="{00000000-0005-0000-0000-000096010000}"/>
    <cellStyle name="20% - 强调文字颜色 6 2 2 2 2 3 2" xfId="408" xr:uid="{00000000-0005-0000-0000-000097010000}"/>
    <cellStyle name="20% - 强调文字颜色 6 2 2 2 2 3 3" xfId="409" xr:uid="{00000000-0005-0000-0000-000098010000}"/>
    <cellStyle name="20% - 强调文字颜色 6 2 2 2 3" xfId="410" xr:uid="{00000000-0005-0000-0000-000099010000}"/>
    <cellStyle name="20% - 强调文字颜色 6 2 2 2 4" xfId="411" xr:uid="{00000000-0005-0000-0000-00009A010000}"/>
    <cellStyle name="20% - 强调文字颜色 6 2 2 2 4 2" xfId="412" xr:uid="{00000000-0005-0000-0000-00009B010000}"/>
    <cellStyle name="20% - 强调文字颜色 6 2 2 2 5" xfId="413" xr:uid="{00000000-0005-0000-0000-00009C010000}"/>
    <cellStyle name="20% - 强调文字颜色 6 2 2 3" xfId="414" xr:uid="{00000000-0005-0000-0000-00009D010000}"/>
    <cellStyle name="20% - 强调文字颜色 6 2 2 3 2" xfId="415" xr:uid="{00000000-0005-0000-0000-00009E010000}"/>
    <cellStyle name="20% - 强调文字颜色 6 2 2 3 2 2" xfId="416" xr:uid="{00000000-0005-0000-0000-00009F010000}"/>
    <cellStyle name="20% - 强调文字颜色 6 2 2 3 2 3" xfId="417" xr:uid="{00000000-0005-0000-0000-0000A0010000}"/>
    <cellStyle name="20% - 强调文字颜色 6 2 2 3 3" xfId="418" xr:uid="{00000000-0005-0000-0000-0000A1010000}"/>
    <cellStyle name="20% - 强调文字颜色 6 2 2 3 3 2" xfId="419" xr:uid="{00000000-0005-0000-0000-0000A2010000}"/>
    <cellStyle name="20% - 强调文字颜色 6 2 2 3 3 3" xfId="420" xr:uid="{00000000-0005-0000-0000-0000A3010000}"/>
    <cellStyle name="20% - 强调文字颜色 6 2 2 4" xfId="421" xr:uid="{00000000-0005-0000-0000-0000A4010000}"/>
    <cellStyle name="20% - 强调文字颜色 6 2 2 5" xfId="422" xr:uid="{00000000-0005-0000-0000-0000A5010000}"/>
    <cellStyle name="20% - 强调文字颜色 6 2 2 5 2" xfId="423" xr:uid="{00000000-0005-0000-0000-0000A6010000}"/>
    <cellStyle name="20% - 强调文字颜色 6 2 2 6" xfId="424" xr:uid="{00000000-0005-0000-0000-0000A7010000}"/>
    <cellStyle name="20% - 强调文字颜色 6 2 3" xfId="425" xr:uid="{00000000-0005-0000-0000-0000A8010000}"/>
    <cellStyle name="20% - 强调文字颜色 6 2 3 2" xfId="426" xr:uid="{00000000-0005-0000-0000-0000A9010000}"/>
    <cellStyle name="20% - 强调文字颜色 6 2 3 2 2" xfId="427" xr:uid="{00000000-0005-0000-0000-0000AA010000}"/>
    <cellStyle name="20% - 强调文字颜色 6 2 3 2 3" xfId="428" xr:uid="{00000000-0005-0000-0000-0000AB010000}"/>
    <cellStyle name="20% - 强调文字颜色 6 2 3 3" xfId="429" xr:uid="{00000000-0005-0000-0000-0000AC010000}"/>
    <cellStyle name="20% - 强调文字颜色 6 2 3 3 2" xfId="430" xr:uid="{00000000-0005-0000-0000-0000AD010000}"/>
    <cellStyle name="20% - 强调文字颜色 6 2 3 3 3" xfId="431" xr:uid="{00000000-0005-0000-0000-0000AE010000}"/>
    <cellStyle name="20% - 强调文字颜色 6 2 4" xfId="432" xr:uid="{00000000-0005-0000-0000-0000AF010000}"/>
    <cellStyle name="20% - 强调文字颜色 6 2 4 2" xfId="433" xr:uid="{00000000-0005-0000-0000-0000B0010000}"/>
    <cellStyle name="20% - 强调文字颜色 6 2 5" xfId="434" xr:uid="{00000000-0005-0000-0000-0000B1010000}"/>
    <cellStyle name="20% - 强调文字颜色 6 2 5 2" xfId="435" xr:uid="{00000000-0005-0000-0000-0000B2010000}"/>
    <cellStyle name="20% - 强调文字颜色 6 2 6" xfId="436" xr:uid="{00000000-0005-0000-0000-0000B3010000}"/>
    <cellStyle name="20% - 强调文字颜色 6 2 6 2" xfId="437" xr:uid="{00000000-0005-0000-0000-0000B4010000}"/>
    <cellStyle name="20% - 强调文字颜色 6 2 7" xfId="438" xr:uid="{00000000-0005-0000-0000-0000B5010000}"/>
    <cellStyle name="20% - 强调文字颜色 6 3" xfId="439" xr:uid="{00000000-0005-0000-0000-0000B6010000}"/>
    <cellStyle name="20% - 强调文字颜色 6 3 2" xfId="440" xr:uid="{00000000-0005-0000-0000-0000B7010000}"/>
    <cellStyle name="20% - 强调文字颜色 6 3 2 2" xfId="441" xr:uid="{00000000-0005-0000-0000-0000B8010000}"/>
    <cellStyle name="20% - 强调文字颜色 6 3 2 2 2" xfId="442" xr:uid="{00000000-0005-0000-0000-0000B9010000}"/>
    <cellStyle name="20% - 强调文字颜色 6 3 2 2 2 2" xfId="443" xr:uid="{00000000-0005-0000-0000-0000BA010000}"/>
    <cellStyle name="20% - 强调文字颜色 6 3 2 2 2 3" xfId="444" xr:uid="{00000000-0005-0000-0000-0000BB010000}"/>
    <cellStyle name="20% - 强调文字颜色 6 3 2 2 3" xfId="445" xr:uid="{00000000-0005-0000-0000-0000BC010000}"/>
    <cellStyle name="20% - 强调文字颜色 6 3 2 2 3 2" xfId="446" xr:uid="{00000000-0005-0000-0000-0000BD010000}"/>
    <cellStyle name="20% - 强调文字颜色 6 3 2 2 3 3" xfId="447" xr:uid="{00000000-0005-0000-0000-0000BE010000}"/>
    <cellStyle name="20% - 强调文字颜色 6 3 2 3" xfId="448" xr:uid="{00000000-0005-0000-0000-0000BF010000}"/>
    <cellStyle name="20% - 强调文字颜色 6 3 2 4" xfId="449" xr:uid="{00000000-0005-0000-0000-0000C0010000}"/>
    <cellStyle name="20% - 强调文字颜色 6 3 2 4 2" xfId="450" xr:uid="{00000000-0005-0000-0000-0000C1010000}"/>
    <cellStyle name="20% - 强调文字颜色 6 3 2 5" xfId="451" xr:uid="{00000000-0005-0000-0000-0000C2010000}"/>
    <cellStyle name="20% - 强调文字颜色 6 3 3" xfId="452" xr:uid="{00000000-0005-0000-0000-0000C3010000}"/>
    <cellStyle name="20% - 强调文字颜色 6 3 3 2" xfId="453" xr:uid="{00000000-0005-0000-0000-0000C4010000}"/>
    <cellStyle name="20% - 强调文字颜色 6 3 3 2 2" xfId="454" xr:uid="{00000000-0005-0000-0000-0000C5010000}"/>
    <cellStyle name="20% - 强调文字颜色 6 3 3 2 3" xfId="455" xr:uid="{00000000-0005-0000-0000-0000C6010000}"/>
    <cellStyle name="20% - 强调文字颜色 6 3 3 3" xfId="456" xr:uid="{00000000-0005-0000-0000-0000C7010000}"/>
    <cellStyle name="20% - 强调文字颜色 6 3 3 3 2" xfId="457" xr:uid="{00000000-0005-0000-0000-0000C8010000}"/>
    <cellStyle name="20% - 强调文字颜色 6 3 3 3 3" xfId="458" xr:uid="{00000000-0005-0000-0000-0000C9010000}"/>
    <cellStyle name="20% - 强调文字颜色 6 3 4" xfId="459" xr:uid="{00000000-0005-0000-0000-0000CA010000}"/>
    <cellStyle name="20% - 强调文字颜色 6 3 5" xfId="460" xr:uid="{00000000-0005-0000-0000-0000CB010000}"/>
    <cellStyle name="20% - 强调文字颜色 6 3 5 2" xfId="461" xr:uid="{00000000-0005-0000-0000-0000CC010000}"/>
    <cellStyle name="20% - 强调文字颜色 6 3 6" xfId="462" xr:uid="{00000000-0005-0000-0000-0000CD010000}"/>
    <cellStyle name="20% - 强调文字颜色 6 4" xfId="463" xr:uid="{00000000-0005-0000-0000-0000CE010000}"/>
    <cellStyle name="20% - 强调文字颜色 6 4 2" xfId="464" xr:uid="{00000000-0005-0000-0000-0000CF010000}"/>
    <cellStyle name="20% - 强调文字颜色 6 4 2 2" xfId="465" xr:uid="{00000000-0005-0000-0000-0000D0010000}"/>
    <cellStyle name="20% - 强调文字颜色 6 4 2 3" xfId="466" xr:uid="{00000000-0005-0000-0000-0000D1010000}"/>
    <cellStyle name="20% - 强调文字颜色 6 4 3" xfId="467" xr:uid="{00000000-0005-0000-0000-0000D2010000}"/>
    <cellStyle name="20% - 强调文字颜色 6 4 3 2" xfId="468" xr:uid="{00000000-0005-0000-0000-0000D3010000}"/>
    <cellStyle name="20% - 强调文字颜色 6 4 3 3" xfId="469" xr:uid="{00000000-0005-0000-0000-0000D4010000}"/>
    <cellStyle name="20% - 强调文字颜色 6 4 3 4" xfId="470" xr:uid="{00000000-0005-0000-0000-0000D5010000}"/>
    <cellStyle name="20% - 强调文字颜色 6 5" xfId="471" xr:uid="{00000000-0005-0000-0000-0000D6010000}"/>
    <cellStyle name="20% - 强调文字颜色 6 5 2" xfId="472" xr:uid="{00000000-0005-0000-0000-0000D7010000}"/>
    <cellStyle name="20% - 强调文字颜色 6 6" xfId="473" xr:uid="{00000000-0005-0000-0000-0000D8010000}"/>
    <cellStyle name="20% - 强调文字颜色 6 6 2" xfId="474" xr:uid="{00000000-0005-0000-0000-0000D9010000}"/>
    <cellStyle name="20% - 强调文字颜色 6 7" xfId="475" xr:uid="{00000000-0005-0000-0000-0000DA010000}"/>
    <cellStyle name="20% - 强调文字颜色 6 7 2" xfId="476" xr:uid="{00000000-0005-0000-0000-0000DB010000}"/>
    <cellStyle name="20% - 强调文字颜色 6 8" xfId="477" xr:uid="{00000000-0005-0000-0000-0000DC010000}"/>
    <cellStyle name="3232" xfId="478" xr:uid="{00000000-0005-0000-0000-0000DD010000}"/>
    <cellStyle name="3232 2" xfId="479" xr:uid="{00000000-0005-0000-0000-0000DE010000}"/>
    <cellStyle name="3232 3" xfId="480" xr:uid="{00000000-0005-0000-0000-0000DF010000}"/>
    <cellStyle name="40% - 强调文字颜色 1" xfId="481" xr:uid="{00000000-0005-0000-0000-0000E0010000}"/>
    <cellStyle name="40% - 强调文字颜色 1 2" xfId="482" xr:uid="{00000000-0005-0000-0000-0000E1010000}"/>
    <cellStyle name="40% - 强调文字颜色 1 2 2" xfId="483" xr:uid="{00000000-0005-0000-0000-0000E2010000}"/>
    <cellStyle name="40% - 强调文字颜色 1 2 2 2" xfId="484" xr:uid="{00000000-0005-0000-0000-0000E3010000}"/>
    <cellStyle name="40% - 强调文字颜色 1 2 2 2 2" xfId="485" xr:uid="{00000000-0005-0000-0000-0000E4010000}"/>
    <cellStyle name="40% - 强调文字颜色 1 2 2 2 2 2" xfId="486" xr:uid="{00000000-0005-0000-0000-0000E5010000}"/>
    <cellStyle name="40% - 强调文字颜色 1 2 2 2 2 2 2" xfId="487" xr:uid="{00000000-0005-0000-0000-0000E6010000}"/>
    <cellStyle name="40% - 强调文字颜色 1 2 2 2 2 2 3" xfId="488" xr:uid="{00000000-0005-0000-0000-0000E7010000}"/>
    <cellStyle name="40% - 强调文字颜色 1 2 2 2 2 3" xfId="489" xr:uid="{00000000-0005-0000-0000-0000E8010000}"/>
    <cellStyle name="40% - 强调文字颜色 1 2 2 2 2 3 2" xfId="490" xr:uid="{00000000-0005-0000-0000-0000E9010000}"/>
    <cellStyle name="40% - 强调文字颜色 1 2 2 2 2 3 3" xfId="491" xr:uid="{00000000-0005-0000-0000-0000EA010000}"/>
    <cellStyle name="40% - 强调文字颜色 1 2 2 2 3" xfId="492" xr:uid="{00000000-0005-0000-0000-0000EB010000}"/>
    <cellStyle name="40% - 强调文字颜色 1 2 2 2 4" xfId="493" xr:uid="{00000000-0005-0000-0000-0000EC010000}"/>
    <cellStyle name="40% - 强调文字颜色 1 2 2 2 4 2" xfId="494" xr:uid="{00000000-0005-0000-0000-0000ED010000}"/>
    <cellStyle name="40% - 强调文字颜色 1 2 2 2 5" xfId="495" xr:uid="{00000000-0005-0000-0000-0000EE010000}"/>
    <cellStyle name="40% - 强调文字颜色 1 2 2 3" xfId="496" xr:uid="{00000000-0005-0000-0000-0000EF010000}"/>
    <cellStyle name="40% - 强调文字颜色 1 2 2 3 2" xfId="497" xr:uid="{00000000-0005-0000-0000-0000F0010000}"/>
    <cellStyle name="40% - 强调文字颜色 1 2 2 3 2 2" xfId="498" xr:uid="{00000000-0005-0000-0000-0000F1010000}"/>
    <cellStyle name="40% - 强调文字颜色 1 2 2 3 2 3" xfId="499" xr:uid="{00000000-0005-0000-0000-0000F2010000}"/>
    <cellStyle name="40% - 强调文字颜色 1 2 2 3 3" xfId="500" xr:uid="{00000000-0005-0000-0000-0000F3010000}"/>
    <cellStyle name="40% - 强调文字颜色 1 2 2 3 3 2" xfId="501" xr:uid="{00000000-0005-0000-0000-0000F4010000}"/>
    <cellStyle name="40% - 强调文字颜色 1 2 2 3 3 3" xfId="502" xr:uid="{00000000-0005-0000-0000-0000F5010000}"/>
    <cellStyle name="40% - 强调文字颜色 1 2 2 4" xfId="503" xr:uid="{00000000-0005-0000-0000-0000F6010000}"/>
    <cellStyle name="40% - 强调文字颜色 1 2 2 5" xfId="504" xr:uid="{00000000-0005-0000-0000-0000F7010000}"/>
    <cellStyle name="40% - 强调文字颜色 1 2 2 5 2" xfId="505" xr:uid="{00000000-0005-0000-0000-0000F8010000}"/>
    <cellStyle name="40% - 强调文字颜色 1 2 2 6" xfId="506" xr:uid="{00000000-0005-0000-0000-0000F9010000}"/>
    <cellStyle name="40% - 强调文字颜色 1 2 3" xfId="507" xr:uid="{00000000-0005-0000-0000-0000FA010000}"/>
    <cellStyle name="40% - 强调文字颜色 1 2 3 2" xfId="508" xr:uid="{00000000-0005-0000-0000-0000FB010000}"/>
    <cellStyle name="40% - 强调文字颜色 1 2 3 2 2" xfId="509" xr:uid="{00000000-0005-0000-0000-0000FC010000}"/>
    <cellStyle name="40% - 强调文字颜色 1 2 3 2 3" xfId="510" xr:uid="{00000000-0005-0000-0000-0000FD010000}"/>
    <cellStyle name="40% - 强调文字颜色 1 2 3 3" xfId="511" xr:uid="{00000000-0005-0000-0000-0000FE010000}"/>
    <cellStyle name="40% - 强调文字颜色 1 2 3 3 2" xfId="512" xr:uid="{00000000-0005-0000-0000-0000FF010000}"/>
    <cellStyle name="40% - 强调文字颜色 1 2 3 3 3" xfId="513" xr:uid="{00000000-0005-0000-0000-000000020000}"/>
    <cellStyle name="40% - 强调文字颜色 1 2 4" xfId="514" xr:uid="{00000000-0005-0000-0000-000001020000}"/>
    <cellStyle name="40% - 强调文字颜色 1 2 4 2" xfId="515" xr:uid="{00000000-0005-0000-0000-000002020000}"/>
    <cellStyle name="40% - 强调文字颜色 1 2 5" xfId="516" xr:uid="{00000000-0005-0000-0000-000003020000}"/>
    <cellStyle name="40% - 强调文字颜色 1 2 5 2" xfId="517" xr:uid="{00000000-0005-0000-0000-000004020000}"/>
    <cellStyle name="40% - 强调文字颜色 1 2 6" xfId="518" xr:uid="{00000000-0005-0000-0000-000005020000}"/>
    <cellStyle name="40% - 强调文字颜色 1 2 6 2" xfId="519" xr:uid="{00000000-0005-0000-0000-000006020000}"/>
    <cellStyle name="40% - 强调文字颜色 1 2 7" xfId="520" xr:uid="{00000000-0005-0000-0000-000007020000}"/>
    <cellStyle name="40% - 强调文字颜色 1 3" xfId="521" xr:uid="{00000000-0005-0000-0000-000008020000}"/>
    <cellStyle name="40% - 强调文字颜色 1 3 2" xfId="522" xr:uid="{00000000-0005-0000-0000-000009020000}"/>
    <cellStyle name="40% - 强调文字颜色 1 3 2 2" xfId="523" xr:uid="{00000000-0005-0000-0000-00000A020000}"/>
    <cellStyle name="40% - 强调文字颜色 1 3 2 2 2" xfId="524" xr:uid="{00000000-0005-0000-0000-00000B020000}"/>
    <cellStyle name="40% - 强调文字颜色 1 3 2 2 2 2" xfId="525" xr:uid="{00000000-0005-0000-0000-00000C020000}"/>
    <cellStyle name="40% - 强调文字颜色 1 3 2 2 2 3" xfId="526" xr:uid="{00000000-0005-0000-0000-00000D020000}"/>
    <cellStyle name="40% - 强调文字颜色 1 3 2 2 3" xfId="527" xr:uid="{00000000-0005-0000-0000-00000E020000}"/>
    <cellStyle name="40% - 强调文字颜色 1 3 2 2 3 2" xfId="528" xr:uid="{00000000-0005-0000-0000-00000F020000}"/>
    <cellStyle name="40% - 强调文字颜色 1 3 2 2 3 3" xfId="529" xr:uid="{00000000-0005-0000-0000-000010020000}"/>
    <cellStyle name="40% - 强调文字颜色 1 3 2 3" xfId="530" xr:uid="{00000000-0005-0000-0000-000011020000}"/>
    <cellStyle name="40% - 强调文字颜色 1 3 2 4" xfId="531" xr:uid="{00000000-0005-0000-0000-000012020000}"/>
    <cellStyle name="40% - 强调文字颜色 1 3 2 4 2" xfId="532" xr:uid="{00000000-0005-0000-0000-000013020000}"/>
    <cellStyle name="40% - 强调文字颜色 1 3 2 5" xfId="533" xr:uid="{00000000-0005-0000-0000-000014020000}"/>
    <cellStyle name="40% - 强调文字颜色 1 3 3" xfId="534" xr:uid="{00000000-0005-0000-0000-000015020000}"/>
    <cellStyle name="40% - 强调文字颜色 1 3 3 2" xfId="535" xr:uid="{00000000-0005-0000-0000-000016020000}"/>
    <cellStyle name="40% - 强调文字颜色 1 3 3 2 2" xfId="536" xr:uid="{00000000-0005-0000-0000-000017020000}"/>
    <cellStyle name="40% - 强调文字颜色 1 3 3 2 3" xfId="537" xr:uid="{00000000-0005-0000-0000-000018020000}"/>
    <cellStyle name="40% - 强调文字颜色 1 3 3 3" xfId="538" xr:uid="{00000000-0005-0000-0000-000019020000}"/>
    <cellStyle name="40% - 强调文字颜色 1 3 3 3 2" xfId="539" xr:uid="{00000000-0005-0000-0000-00001A020000}"/>
    <cellStyle name="40% - 强调文字颜色 1 3 3 3 3" xfId="540" xr:uid="{00000000-0005-0000-0000-00001B020000}"/>
    <cellStyle name="40% - 强调文字颜色 1 3 4" xfId="541" xr:uid="{00000000-0005-0000-0000-00001C020000}"/>
    <cellStyle name="40% - 强调文字颜色 1 3 5" xfId="542" xr:uid="{00000000-0005-0000-0000-00001D020000}"/>
    <cellStyle name="40% - 强调文字颜色 1 3 5 2" xfId="543" xr:uid="{00000000-0005-0000-0000-00001E020000}"/>
    <cellStyle name="40% - 强调文字颜色 1 3 6" xfId="544" xr:uid="{00000000-0005-0000-0000-00001F020000}"/>
    <cellStyle name="40% - 强调文字颜色 1 4" xfId="545" xr:uid="{00000000-0005-0000-0000-000020020000}"/>
    <cellStyle name="40% - 强调文字颜色 1 4 2" xfId="546" xr:uid="{00000000-0005-0000-0000-000021020000}"/>
    <cellStyle name="40% - 强调文字颜色 1 4 2 2" xfId="547" xr:uid="{00000000-0005-0000-0000-000022020000}"/>
    <cellStyle name="40% - 强调文字颜色 1 4 2 3" xfId="548" xr:uid="{00000000-0005-0000-0000-000023020000}"/>
    <cellStyle name="40% - 强调文字颜色 1 4 3" xfId="549" xr:uid="{00000000-0005-0000-0000-000024020000}"/>
    <cellStyle name="40% - 强调文字颜色 1 4 3 2" xfId="550" xr:uid="{00000000-0005-0000-0000-000025020000}"/>
    <cellStyle name="40% - 强调文字颜色 1 4 3 3" xfId="551" xr:uid="{00000000-0005-0000-0000-000026020000}"/>
    <cellStyle name="40% - 强调文字颜色 1 4 3 4" xfId="552" xr:uid="{00000000-0005-0000-0000-000027020000}"/>
    <cellStyle name="40% - 强调文字颜色 1 5" xfId="553" xr:uid="{00000000-0005-0000-0000-000028020000}"/>
    <cellStyle name="40% - 强调文字颜色 1 5 2" xfId="554" xr:uid="{00000000-0005-0000-0000-000029020000}"/>
    <cellStyle name="40% - 强调文字颜色 1 6" xfId="555" xr:uid="{00000000-0005-0000-0000-00002A020000}"/>
    <cellStyle name="40% - 强调文字颜色 1 6 2" xfId="556" xr:uid="{00000000-0005-0000-0000-00002B020000}"/>
    <cellStyle name="40% - 强调文字颜色 1 7" xfId="557" xr:uid="{00000000-0005-0000-0000-00002C020000}"/>
    <cellStyle name="40% - 强调文字颜色 1 7 2" xfId="558" xr:uid="{00000000-0005-0000-0000-00002D020000}"/>
    <cellStyle name="40% - 强调文字颜色 1 8" xfId="559" xr:uid="{00000000-0005-0000-0000-00002E020000}"/>
    <cellStyle name="40% - 强调文字颜色 2" xfId="560" xr:uid="{00000000-0005-0000-0000-00002F020000}"/>
    <cellStyle name="40% - 强调文字颜色 2 2" xfId="561" xr:uid="{00000000-0005-0000-0000-000030020000}"/>
    <cellStyle name="40% - 强调文字颜色 2 2 2" xfId="562" xr:uid="{00000000-0005-0000-0000-000031020000}"/>
    <cellStyle name="40% - 强调文字颜色 2 2 2 2" xfId="563" xr:uid="{00000000-0005-0000-0000-000032020000}"/>
    <cellStyle name="40% - 强调文字颜色 2 2 2 2 2" xfId="564" xr:uid="{00000000-0005-0000-0000-000033020000}"/>
    <cellStyle name="40% - 强调文字颜色 2 2 2 2 2 2" xfId="565" xr:uid="{00000000-0005-0000-0000-000034020000}"/>
    <cellStyle name="40% - 强调文字颜色 2 2 2 2 2 2 2" xfId="566" xr:uid="{00000000-0005-0000-0000-000035020000}"/>
    <cellStyle name="40% - 强调文字颜色 2 2 2 2 2 2 3" xfId="567" xr:uid="{00000000-0005-0000-0000-000036020000}"/>
    <cellStyle name="40% - 强调文字颜色 2 2 2 2 2 3" xfId="568" xr:uid="{00000000-0005-0000-0000-000037020000}"/>
    <cellStyle name="40% - 强调文字颜色 2 2 2 2 2 3 2" xfId="569" xr:uid="{00000000-0005-0000-0000-000038020000}"/>
    <cellStyle name="40% - 强调文字颜色 2 2 2 2 2 3 3" xfId="570" xr:uid="{00000000-0005-0000-0000-000039020000}"/>
    <cellStyle name="40% - 强调文字颜色 2 2 2 2 3" xfId="571" xr:uid="{00000000-0005-0000-0000-00003A020000}"/>
    <cellStyle name="40% - 强调文字颜色 2 2 2 2 4" xfId="572" xr:uid="{00000000-0005-0000-0000-00003B020000}"/>
    <cellStyle name="40% - 强调文字颜色 2 2 2 2 4 2" xfId="573" xr:uid="{00000000-0005-0000-0000-00003C020000}"/>
    <cellStyle name="40% - 强调文字颜色 2 2 2 2 5" xfId="574" xr:uid="{00000000-0005-0000-0000-00003D020000}"/>
    <cellStyle name="40% - 强调文字颜色 2 2 2 3" xfId="575" xr:uid="{00000000-0005-0000-0000-00003E020000}"/>
    <cellStyle name="40% - 强调文字颜色 2 2 2 3 2" xfId="576" xr:uid="{00000000-0005-0000-0000-00003F020000}"/>
    <cellStyle name="40% - 强调文字颜色 2 2 2 3 2 2" xfId="577" xr:uid="{00000000-0005-0000-0000-000040020000}"/>
    <cellStyle name="40% - 强调文字颜色 2 2 2 3 2 3" xfId="578" xr:uid="{00000000-0005-0000-0000-000041020000}"/>
    <cellStyle name="40% - 强调文字颜色 2 2 2 3 3" xfId="579" xr:uid="{00000000-0005-0000-0000-000042020000}"/>
    <cellStyle name="40% - 强调文字颜色 2 2 2 3 3 2" xfId="580" xr:uid="{00000000-0005-0000-0000-000043020000}"/>
    <cellStyle name="40% - 强调文字颜色 2 2 2 3 3 3" xfId="581" xr:uid="{00000000-0005-0000-0000-000044020000}"/>
    <cellStyle name="40% - 强调文字颜色 2 2 2 4" xfId="582" xr:uid="{00000000-0005-0000-0000-000045020000}"/>
    <cellStyle name="40% - 强调文字颜色 2 2 2 5" xfId="583" xr:uid="{00000000-0005-0000-0000-000046020000}"/>
    <cellStyle name="40% - 强调文字颜色 2 2 2 5 2" xfId="584" xr:uid="{00000000-0005-0000-0000-000047020000}"/>
    <cellStyle name="40% - 强调文字颜色 2 2 2 6" xfId="585" xr:uid="{00000000-0005-0000-0000-000048020000}"/>
    <cellStyle name="40% - 强调文字颜色 2 2 3" xfId="586" xr:uid="{00000000-0005-0000-0000-000049020000}"/>
    <cellStyle name="40% - 强调文字颜色 2 2 3 2" xfId="587" xr:uid="{00000000-0005-0000-0000-00004A020000}"/>
    <cellStyle name="40% - 强调文字颜色 2 2 3 2 2" xfId="588" xr:uid="{00000000-0005-0000-0000-00004B020000}"/>
    <cellStyle name="40% - 强调文字颜色 2 2 3 2 3" xfId="589" xr:uid="{00000000-0005-0000-0000-00004C020000}"/>
    <cellStyle name="40% - 强调文字颜色 2 2 3 3" xfId="590" xr:uid="{00000000-0005-0000-0000-00004D020000}"/>
    <cellStyle name="40% - 强调文字颜色 2 2 3 3 2" xfId="591" xr:uid="{00000000-0005-0000-0000-00004E020000}"/>
    <cellStyle name="40% - 强调文字颜色 2 2 3 3 3" xfId="592" xr:uid="{00000000-0005-0000-0000-00004F020000}"/>
    <cellStyle name="40% - 强调文字颜色 2 2 4" xfId="593" xr:uid="{00000000-0005-0000-0000-000050020000}"/>
    <cellStyle name="40% - 强调文字颜色 2 2 4 2" xfId="594" xr:uid="{00000000-0005-0000-0000-000051020000}"/>
    <cellStyle name="40% - 强调文字颜色 2 2 5" xfId="595" xr:uid="{00000000-0005-0000-0000-000052020000}"/>
    <cellStyle name="40% - 强调文字颜色 2 2 5 2" xfId="596" xr:uid="{00000000-0005-0000-0000-000053020000}"/>
    <cellStyle name="40% - 强调文字颜色 2 2 6" xfId="597" xr:uid="{00000000-0005-0000-0000-000054020000}"/>
    <cellStyle name="40% - 强调文字颜色 2 2 6 2" xfId="598" xr:uid="{00000000-0005-0000-0000-000055020000}"/>
    <cellStyle name="40% - 强调文字颜色 2 2 7" xfId="599" xr:uid="{00000000-0005-0000-0000-000056020000}"/>
    <cellStyle name="40% - 强调文字颜色 2 3" xfId="600" xr:uid="{00000000-0005-0000-0000-000057020000}"/>
    <cellStyle name="40% - 强调文字颜色 2 3 2" xfId="601" xr:uid="{00000000-0005-0000-0000-000058020000}"/>
    <cellStyle name="40% - 强调文字颜色 2 3 2 2" xfId="602" xr:uid="{00000000-0005-0000-0000-000059020000}"/>
    <cellStyle name="40% - 强调文字颜色 2 3 2 2 2" xfId="603" xr:uid="{00000000-0005-0000-0000-00005A020000}"/>
    <cellStyle name="40% - 强调文字颜色 2 3 2 2 2 2" xfId="604" xr:uid="{00000000-0005-0000-0000-00005B020000}"/>
    <cellStyle name="40% - 强调文字颜色 2 3 2 2 2 3" xfId="605" xr:uid="{00000000-0005-0000-0000-00005C020000}"/>
    <cellStyle name="40% - 强调文字颜色 2 3 2 2 3" xfId="606" xr:uid="{00000000-0005-0000-0000-00005D020000}"/>
    <cellStyle name="40% - 强调文字颜色 2 3 2 2 3 2" xfId="607" xr:uid="{00000000-0005-0000-0000-00005E020000}"/>
    <cellStyle name="40% - 强调文字颜色 2 3 2 2 3 3" xfId="608" xr:uid="{00000000-0005-0000-0000-00005F020000}"/>
    <cellStyle name="40% - 强调文字颜色 2 3 2 3" xfId="609" xr:uid="{00000000-0005-0000-0000-000060020000}"/>
    <cellStyle name="40% - 强调文字颜色 2 3 2 4" xfId="610" xr:uid="{00000000-0005-0000-0000-000061020000}"/>
    <cellStyle name="40% - 强调文字颜色 2 3 2 4 2" xfId="611" xr:uid="{00000000-0005-0000-0000-000062020000}"/>
    <cellStyle name="40% - 强调文字颜色 2 3 2 5" xfId="612" xr:uid="{00000000-0005-0000-0000-000063020000}"/>
    <cellStyle name="40% - 强调文字颜色 2 3 3" xfId="613" xr:uid="{00000000-0005-0000-0000-000064020000}"/>
    <cellStyle name="40% - 强调文字颜色 2 3 3 2" xfId="614" xr:uid="{00000000-0005-0000-0000-000065020000}"/>
    <cellStyle name="40% - 强调文字颜色 2 3 3 2 2" xfId="615" xr:uid="{00000000-0005-0000-0000-000066020000}"/>
    <cellStyle name="40% - 强调文字颜色 2 3 3 2 3" xfId="616" xr:uid="{00000000-0005-0000-0000-000067020000}"/>
    <cellStyle name="40% - 强调文字颜色 2 3 3 3" xfId="617" xr:uid="{00000000-0005-0000-0000-000068020000}"/>
    <cellStyle name="40% - 强调文字颜色 2 3 3 3 2" xfId="618" xr:uid="{00000000-0005-0000-0000-000069020000}"/>
    <cellStyle name="40% - 强调文字颜色 2 3 3 3 3" xfId="619" xr:uid="{00000000-0005-0000-0000-00006A020000}"/>
    <cellStyle name="40% - 强调文字颜色 2 3 4" xfId="620" xr:uid="{00000000-0005-0000-0000-00006B020000}"/>
    <cellStyle name="40% - 强调文字颜色 2 3 5" xfId="621" xr:uid="{00000000-0005-0000-0000-00006C020000}"/>
    <cellStyle name="40% - 强调文字颜色 2 3 5 2" xfId="622" xr:uid="{00000000-0005-0000-0000-00006D020000}"/>
    <cellStyle name="40% - 强调文字颜色 2 3 6" xfId="623" xr:uid="{00000000-0005-0000-0000-00006E020000}"/>
    <cellStyle name="40% - 强调文字颜色 2 4" xfId="624" xr:uid="{00000000-0005-0000-0000-00006F020000}"/>
    <cellStyle name="40% - 强调文字颜色 2 4 2" xfId="625" xr:uid="{00000000-0005-0000-0000-000070020000}"/>
    <cellStyle name="40% - 强调文字颜色 2 4 2 2" xfId="626" xr:uid="{00000000-0005-0000-0000-000071020000}"/>
    <cellStyle name="40% - 强调文字颜色 2 4 2 3" xfId="627" xr:uid="{00000000-0005-0000-0000-000072020000}"/>
    <cellStyle name="40% - 强调文字颜色 2 4 3" xfId="628" xr:uid="{00000000-0005-0000-0000-000073020000}"/>
    <cellStyle name="40% - 强调文字颜色 2 4 3 2" xfId="629" xr:uid="{00000000-0005-0000-0000-000074020000}"/>
    <cellStyle name="40% - 强调文字颜色 2 4 3 3" xfId="630" xr:uid="{00000000-0005-0000-0000-000075020000}"/>
    <cellStyle name="40% - 强调文字颜色 2 4 3 4" xfId="631" xr:uid="{00000000-0005-0000-0000-000076020000}"/>
    <cellStyle name="40% - 强调文字颜色 2 5" xfId="632" xr:uid="{00000000-0005-0000-0000-000077020000}"/>
    <cellStyle name="40% - 强调文字颜色 2 5 2" xfId="633" xr:uid="{00000000-0005-0000-0000-000078020000}"/>
    <cellStyle name="40% - 强调文字颜色 2 6" xfId="634" xr:uid="{00000000-0005-0000-0000-000079020000}"/>
    <cellStyle name="40% - 强调文字颜色 2 6 2" xfId="635" xr:uid="{00000000-0005-0000-0000-00007A020000}"/>
    <cellStyle name="40% - 强调文字颜色 2 7" xfId="636" xr:uid="{00000000-0005-0000-0000-00007B020000}"/>
    <cellStyle name="40% - 强调文字颜色 2 7 2" xfId="637" xr:uid="{00000000-0005-0000-0000-00007C020000}"/>
    <cellStyle name="40% - 强调文字颜色 2 8" xfId="638" xr:uid="{00000000-0005-0000-0000-00007D020000}"/>
    <cellStyle name="40% - 强调文字颜色 3" xfId="639" xr:uid="{00000000-0005-0000-0000-00007E020000}"/>
    <cellStyle name="40% - 强调文字颜色 3 2" xfId="640" xr:uid="{00000000-0005-0000-0000-00007F020000}"/>
    <cellStyle name="40% - 强调文字颜色 3 2 2" xfId="641" xr:uid="{00000000-0005-0000-0000-000080020000}"/>
    <cellStyle name="40% - 强调文字颜色 3 2 2 2" xfId="642" xr:uid="{00000000-0005-0000-0000-000081020000}"/>
    <cellStyle name="40% - 强调文字颜色 3 2 2 2 2" xfId="643" xr:uid="{00000000-0005-0000-0000-000082020000}"/>
    <cellStyle name="40% - 强调文字颜色 3 2 2 2 2 2" xfId="644" xr:uid="{00000000-0005-0000-0000-000083020000}"/>
    <cellStyle name="40% - 强调文字颜色 3 2 2 2 2 2 2" xfId="645" xr:uid="{00000000-0005-0000-0000-000084020000}"/>
    <cellStyle name="40% - 强调文字颜色 3 2 2 2 2 2 3" xfId="646" xr:uid="{00000000-0005-0000-0000-000085020000}"/>
    <cellStyle name="40% - 强调文字颜色 3 2 2 2 2 3" xfId="647" xr:uid="{00000000-0005-0000-0000-000086020000}"/>
    <cellStyle name="40% - 强调文字颜色 3 2 2 2 2 3 2" xfId="648" xr:uid="{00000000-0005-0000-0000-000087020000}"/>
    <cellStyle name="40% - 强调文字颜色 3 2 2 2 2 3 3" xfId="649" xr:uid="{00000000-0005-0000-0000-000088020000}"/>
    <cellStyle name="40% - 强调文字颜色 3 2 2 2 3" xfId="650" xr:uid="{00000000-0005-0000-0000-000089020000}"/>
    <cellStyle name="40% - 强调文字颜色 3 2 2 2 4" xfId="651" xr:uid="{00000000-0005-0000-0000-00008A020000}"/>
    <cellStyle name="40% - 强调文字颜色 3 2 2 2 4 2" xfId="652" xr:uid="{00000000-0005-0000-0000-00008B020000}"/>
    <cellStyle name="40% - 强调文字颜色 3 2 2 2 5" xfId="653" xr:uid="{00000000-0005-0000-0000-00008C020000}"/>
    <cellStyle name="40% - 强调文字颜色 3 2 2 3" xfId="654" xr:uid="{00000000-0005-0000-0000-00008D020000}"/>
    <cellStyle name="40% - 强调文字颜色 3 2 2 3 2" xfId="655" xr:uid="{00000000-0005-0000-0000-00008E020000}"/>
    <cellStyle name="40% - 强调文字颜色 3 2 2 3 2 2" xfId="656" xr:uid="{00000000-0005-0000-0000-00008F020000}"/>
    <cellStyle name="40% - 强调文字颜色 3 2 2 3 2 3" xfId="657" xr:uid="{00000000-0005-0000-0000-000090020000}"/>
    <cellStyle name="40% - 强调文字颜色 3 2 2 3 3" xfId="658" xr:uid="{00000000-0005-0000-0000-000091020000}"/>
    <cellStyle name="40% - 强调文字颜色 3 2 2 3 3 2" xfId="659" xr:uid="{00000000-0005-0000-0000-000092020000}"/>
    <cellStyle name="40% - 强调文字颜色 3 2 2 3 3 3" xfId="660" xr:uid="{00000000-0005-0000-0000-000093020000}"/>
    <cellStyle name="40% - 强调文字颜色 3 2 2 4" xfId="661" xr:uid="{00000000-0005-0000-0000-000094020000}"/>
    <cellStyle name="40% - 强调文字颜色 3 2 2 5" xfId="662" xr:uid="{00000000-0005-0000-0000-000095020000}"/>
    <cellStyle name="40% - 强调文字颜色 3 2 2 5 2" xfId="663" xr:uid="{00000000-0005-0000-0000-000096020000}"/>
    <cellStyle name="40% - 强调文字颜色 3 2 2 6" xfId="664" xr:uid="{00000000-0005-0000-0000-000097020000}"/>
    <cellStyle name="40% - 强调文字颜色 3 2 3" xfId="665" xr:uid="{00000000-0005-0000-0000-000098020000}"/>
    <cellStyle name="40% - 强调文字颜色 3 2 3 2" xfId="666" xr:uid="{00000000-0005-0000-0000-000099020000}"/>
    <cellStyle name="40% - 强调文字颜色 3 2 3 2 2" xfId="667" xr:uid="{00000000-0005-0000-0000-00009A020000}"/>
    <cellStyle name="40% - 强调文字颜色 3 2 3 2 3" xfId="668" xr:uid="{00000000-0005-0000-0000-00009B020000}"/>
    <cellStyle name="40% - 强调文字颜色 3 2 3 3" xfId="669" xr:uid="{00000000-0005-0000-0000-00009C020000}"/>
    <cellStyle name="40% - 强调文字颜色 3 2 3 3 2" xfId="670" xr:uid="{00000000-0005-0000-0000-00009D020000}"/>
    <cellStyle name="40% - 强调文字颜色 3 2 3 3 3" xfId="671" xr:uid="{00000000-0005-0000-0000-00009E020000}"/>
    <cellStyle name="40% - 强调文字颜色 3 2 4" xfId="672" xr:uid="{00000000-0005-0000-0000-00009F020000}"/>
    <cellStyle name="40% - 强调文字颜色 3 2 4 2" xfId="673" xr:uid="{00000000-0005-0000-0000-0000A0020000}"/>
    <cellStyle name="40% - 强调文字颜色 3 2 5" xfId="674" xr:uid="{00000000-0005-0000-0000-0000A1020000}"/>
    <cellStyle name="40% - 强调文字颜色 3 2 5 2" xfId="675" xr:uid="{00000000-0005-0000-0000-0000A2020000}"/>
    <cellStyle name="40% - 强调文字颜色 3 2 6" xfId="676" xr:uid="{00000000-0005-0000-0000-0000A3020000}"/>
    <cellStyle name="40% - 强调文字颜色 3 2 6 2" xfId="677" xr:uid="{00000000-0005-0000-0000-0000A4020000}"/>
    <cellStyle name="40% - 强调文字颜色 3 2 7" xfId="678" xr:uid="{00000000-0005-0000-0000-0000A5020000}"/>
    <cellStyle name="40% - 强调文字颜色 3 3" xfId="679" xr:uid="{00000000-0005-0000-0000-0000A6020000}"/>
    <cellStyle name="40% - 强调文字颜色 3 3 2" xfId="680" xr:uid="{00000000-0005-0000-0000-0000A7020000}"/>
    <cellStyle name="40% - 强调文字颜色 3 3 2 2" xfId="681" xr:uid="{00000000-0005-0000-0000-0000A8020000}"/>
    <cellStyle name="40% - 强调文字颜色 3 3 2 2 2" xfId="682" xr:uid="{00000000-0005-0000-0000-0000A9020000}"/>
    <cellStyle name="40% - 强调文字颜色 3 3 2 2 2 2" xfId="683" xr:uid="{00000000-0005-0000-0000-0000AA020000}"/>
    <cellStyle name="40% - 强调文字颜色 3 3 2 2 2 3" xfId="684" xr:uid="{00000000-0005-0000-0000-0000AB020000}"/>
    <cellStyle name="40% - 强调文字颜色 3 3 2 2 3" xfId="685" xr:uid="{00000000-0005-0000-0000-0000AC020000}"/>
    <cellStyle name="40% - 强调文字颜色 3 3 2 2 3 2" xfId="686" xr:uid="{00000000-0005-0000-0000-0000AD020000}"/>
    <cellStyle name="40% - 强调文字颜色 3 3 2 2 3 3" xfId="687" xr:uid="{00000000-0005-0000-0000-0000AE020000}"/>
    <cellStyle name="40% - 强调文字颜色 3 3 2 3" xfId="688" xr:uid="{00000000-0005-0000-0000-0000AF020000}"/>
    <cellStyle name="40% - 强调文字颜色 3 3 2 4" xfId="689" xr:uid="{00000000-0005-0000-0000-0000B0020000}"/>
    <cellStyle name="40% - 强调文字颜色 3 3 2 4 2" xfId="690" xr:uid="{00000000-0005-0000-0000-0000B1020000}"/>
    <cellStyle name="40% - 强调文字颜色 3 3 2 5" xfId="691" xr:uid="{00000000-0005-0000-0000-0000B2020000}"/>
    <cellStyle name="40% - 强调文字颜色 3 3 3" xfId="692" xr:uid="{00000000-0005-0000-0000-0000B3020000}"/>
    <cellStyle name="40% - 强调文字颜色 3 3 3 2" xfId="693" xr:uid="{00000000-0005-0000-0000-0000B4020000}"/>
    <cellStyle name="40% - 强调文字颜色 3 3 3 2 2" xfId="694" xr:uid="{00000000-0005-0000-0000-0000B5020000}"/>
    <cellStyle name="40% - 强调文字颜色 3 3 3 2 3" xfId="695" xr:uid="{00000000-0005-0000-0000-0000B6020000}"/>
    <cellStyle name="40% - 强调文字颜色 3 3 3 3" xfId="696" xr:uid="{00000000-0005-0000-0000-0000B7020000}"/>
    <cellStyle name="40% - 强调文字颜色 3 3 3 3 2" xfId="697" xr:uid="{00000000-0005-0000-0000-0000B8020000}"/>
    <cellStyle name="40% - 强调文字颜色 3 3 3 3 3" xfId="698" xr:uid="{00000000-0005-0000-0000-0000B9020000}"/>
    <cellStyle name="40% - 强调文字颜色 3 3 4" xfId="699" xr:uid="{00000000-0005-0000-0000-0000BA020000}"/>
    <cellStyle name="40% - 强调文字颜色 3 3 5" xfId="700" xr:uid="{00000000-0005-0000-0000-0000BB020000}"/>
    <cellStyle name="40% - 强调文字颜色 3 3 5 2" xfId="701" xr:uid="{00000000-0005-0000-0000-0000BC020000}"/>
    <cellStyle name="40% - 强调文字颜色 3 3 6" xfId="702" xr:uid="{00000000-0005-0000-0000-0000BD020000}"/>
    <cellStyle name="40% - 强调文字颜色 3 4" xfId="703" xr:uid="{00000000-0005-0000-0000-0000BE020000}"/>
    <cellStyle name="40% - 强调文字颜色 3 4 2" xfId="704" xr:uid="{00000000-0005-0000-0000-0000BF020000}"/>
    <cellStyle name="40% - 强调文字颜色 3 4 2 2" xfId="705" xr:uid="{00000000-0005-0000-0000-0000C0020000}"/>
    <cellStyle name="40% - 强调文字颜色 3 4 2 3" xfId="706" xr:uid="{00000000-0005-0000-0000-0000C1020000}"/>
    <cellStyle name="40% - 强调文字颜色 3 4 3" xfId="707" xr:uid="{00000000-0005-0000-0000-0000C2020000}"/>
    <cellStyle name="40% - 强调文字颜色 3 4 3 2" xfId="708" xr:uid="{00000000-0005-0000-0000-0000C3020000}"/>
    <cellStyle name="40% - 强调文字颜色 3 4 3 3" xfId="709" xr:uid="{00000000-0005-0000-0000-0000C4020000}"/>
    <cellStyle name="40% - 强调文字颜色 3 4 3 4" xfId="710" xr:uid="{00000000-0005-0000-0000-0000C5020000}"/>
    <cellStyle name="40% - 强调文字颜色 3 5" xfId="711" xr:uid="{00000000-0005-0000-0000-0000C6020000}"/>
    <cellStyle name="40% - 强调文字颜色 3 5 2" xfId="712" xr:uid="{00000000-0005-0000-0000-0000C7020000}"/>
    <cellStyle name="40% - 强调文字颜色 3 6" xfId="713" xr:uid="{00000000-0005-0000-0000-0000C8020000}"/>
    <cellStyle name="40% - 强调文字颜色 3 6 2" xfId="714" xr:uid="{00000000-0005-0000-0000-0000C9020000}"/>
    <cellStyle name="40% - 强调文字颜色 3 7" xfId="715" xr:uid="{00000000-0005-0000-0000-0000CA020000}"/>
    <cellStyle name="40% - 强调文字颜色 3 7 2" xfId="716" xr:uid="{00000000-0005-0000-0000-0000CB020000}"/>
    <cellStyle name="40% - 强调文字颜色 3 8" xfId="717" xr:uid="{00000000-0005-0000-0000-0000CC020000}"/>
    <cellStyle name="40% - 强调文字颜色 4" xfId="718" xr:uid="{00000000-0005-0000-0000-0000CD020000}"/>
    <cellStyle name="40% - 强调文字颜色 4 2" xfId="719" xr:uid="{00000000-0005-0000-0000-0000CE020000}"/>
    <cellStyle name="40% - 强调文字颜色 4 2 2" xfId="720" xr:uid="{00000000-0005-0000-0000-0000CF020000}"/>
    <cellStyle name="40% - 强调文字颜色 4 2 2 2" xfId="721" xr:uid="{00000000-0005-0000-0000-0000D0020000}"/>
    <cellStyle name="40% - 强调文字颜色 4 2 2 2 2" xfId="722" xr:uid="{00000000-0005-0000-0000-0000D1020000}"/>
    <cellStyle name="40% - 强调文字颜色 4 2 2 2 2 2" xfId="723" xr:uid="{00000000-0005-0000-0000-0000D2020000}"/>
    <cellStyle name="40% - 强调文字颜色 4 2 2 2 2 2 2" xfId="724" xr:uid="{00000000-0005-0000-0000-0000D3020000}"/>
    <cellStyle name="40% - 强调文字颜色 4 2 2 2 2 2 3" xfId="725" xr:uid="{00000000-0005-0000-0000-0000D4020000}"/>
    <cellStyle name="40% - 强调文字颜色 4 2 2 2 2 3" xfId="726" xr:uid="{00000000-0005-0000-0000-0000D5020000}"/>
    <cellStyle name="40% - 强调文字颜色 4 2 2 2 2 3 2" xfId="727" xr:uid="{00000000-0005-0000-0000-0000D6020000}"/>
    <cellStyle name="40% - 强调文字颜色 4 2 2 2 2 3 3" xfId="728" xr:uid="{00000000-0005-0000-0000-0000D7020000}"/>
    <cellStyle name="40% - 强调文字颜色 4 2 2 2 3" xfId="729" xr:uid="{00000000-0005-0000-0000-0000D8020000}"/>
    <cellStyle name="40% - 强调文字颜色 4 2 2 2 4" xfId="730" xr:uid="{00000000-0005-0000-0000-0000D9020000}"/>
    <cellStyle name="40% - 强调文字颜色 4 2 2 2 4 2" xfId="731" xr:uid="{00000000-0005-0000-0000-0000DA020000}"/>
    <cellStyle name="40% - 强调文字颜色 4 2 2 2 5" xfId="732" xr:uid="{00000000-0005-0000-0000-0000DB020000}"/>
    <cellStyle name="40% - 强调文字颜色 4 2 2 3" xfId="733" xr:uid="{00000000-0005-0000-0000-0000DC020000}"/>
    <cellStyle name="40% - 强调文字颜色 4 2 2 3 2" xfId="734" xr:uid="{00000000-0005-0000-0000-0000DD020000}"/>
    <cellStyle name="40% - 强调文字颜色 4 2 2 3 2 2" xfId="735" xr:uid="{00000000-0005-0000-0000-0000DE020000}"/>
    <cellStyle name="40% - 强调文字颜色 4 2 2 3 2 3" xfId="736" xr:uid="{00000000-0005-0000-0000-0000DF020000}"/>
    <cellStyle name="40% - 强调文字颜色 4 2 2 3 3" xfId="737" xr:uid="{00000000-0005-0000-0000-0000E0020000}"/>
    <cellStyle name="40% - 强调文字颜色 4 2 2 3 3 2" xfId="738" xr:uid="{00000000-0005-0000-0000-0000E1020000}"/>
    <cellStyle name="40% - 强调文字颜色 4 2 2 3 3 3" xfId="739" xr:uid="{00000000-0005-0000-0000-0000E2020000}"/>
    <cellStyle name="40% - 强调文字颜色 4 2 2 4" xfId="740" xr:uid="{00000000-0005-0000-0000-0000E3020000}"/>
    <cellStyle name="40% - 强调文字颜色 4 2 2 5" xfId="741" xr:uid="{00000000-0005-0000-0000-0000E4020000}"/>
    <cellStyle name="40% - 强调文字颜色 4 2 2 5 2" xfId="742" xr:uid="{00000000-0005-0000-0000-0000E5020000}"/>
    <cellStyle name="40% - 强调文字颜色 4 2 2 6" xfId="743" xr:uid="{00000000-0005-0000-0000-0000E6020000}"/>
    <cellStyle name="40% - 强调文字颜色 4 2 3" xfId="744" xr:uid="{00000000-0005-0000-0000-0000E7020000}"/>
    <cellStyle name="40% - 强调文字颜色 4 2 3 2" xfId="745" xr:uid="{00000000-0005-0000-0000-0000E8020000}"/>
    <cellStyle name="40% - 强调文字颜色 4 2 3 2 2" xfId="746" xr:uid="{00000000-0005-0000-0000-0000E9020000}"/>
    <cellStyle name="40% - 强调文字颜色 4 2 3 2 3" xfId="747" xr:uid="{00000000-0005-0000-0000-0000EA020000}"/>
    <cellStyle name="40% - 强调文字颜色 4 2 3 3" xfId="748" xr:uid="{00000000-0005-0000-0000-0000EB020000}"/>
    <cellStyle name="40% - 强调文字颜色 4 2 3 3 2" xfId="749" xr:uid="{00000000-0005-0000-0000-0000EC020000}"/>
    <cellStyle name="40% - 强调文字颜色 4 2 3 3 3" xfId="750" xr:uid="{00000000-0005-0000-0000-0000ED020000}"/>
    <cellStyle name="40% - 强调文字颜色 4 2 4" xfId="751" xr:uid="{00000000-0005-0000-0000-0000EE020000}"/>
    <cellStyle name="40% - 强调文字颜色 4 2 4 2" xfId="752" xr:uid="{00000000-0005-0000-0000-0000EF020000}"/>
    <cellStyle name="40% - 强调文字颜色 4 2 5" xfId="753" xr:uid="{00000000-0005-0000-0000-0000F0020000}"/>
    <cellStyle name="40% - 强调文字颜色 4 2 5 2" xfId="754" xr:uid="{00000000-0005-0000-0000-0000F1020000}"/>
    <cellStyle name="40% - 强调文字颜色 4 2 6" xfId="755" xr:uid="{00000000-0005-0000-0000-0000F2020000}"/>
    <cellStyle name="40% - 强调文字颜色 4 2 6 2" xfId="756" xr:uid="{00000000-0005-0000-0000-0000F3020000}"/>
    <cellStyle name="40% - 强调文字颜色 4 2 7" xfId="757" xr:uid="{00000000-0005-0000-0000-0000F4020000}"/>
    <cellStyle name="40% - 强调文字颜色 4 3" xfId="758" xr:uid="{00000000-0005-0000-0000-0000F5020000}"/>
    <cellStyle name="40% - 强调文字颜色 4 3 2" xfId="759" xr:uid="{00000000-0005-0000-0000-0000F6020000}"/>
    <cellStyle name="40% - 强调文字颜色 4 3 2 2" xfId="760" xr:uid="{00000000-0005-0000-0000-0000F7020000}"/>
    <cellStyle name="40% - 强调文字颜色 4 3 2 2 2" xfId="761" xr:uid="{00000000-0005-0000-0000-0000F8020000}"/>
    <cellStyle name="40% - 强调文字颜色 4 3 2 2 2 2" xfId="762" xr:uid="{00000000-0005-0000-0000-0000F9020000}"/>
    <cellStyle name="40% - 强调文字颜色 4 3 2 2 2 3" xfId="763" xr:uid="{00000000-0005-0000-0000-0000FA020000}"/>
    <cellStyle name="40% - 强调文字颜色 4 3 2 2 3" xfId="764" xr:uid="{00000000-0005-0000-0000-0000FB020000}"/>
    <cellStyle name="40% - 强调文字颜色 4 3 2 2 3 2" xfId="765" xr:uid="{00000000-0005-0000-0000-0000FC020000}"/>
    <cellStyle name="40% - 强调文字颜色 4 3 2 2 3 3" xfId="766" xr:uid="{00000000-0005-0000-0000-0000FD020000}"/>
    <cellStyle name="40% - 强调文字颜色 4 3 2 3" xfId="767" xr:uid="{00000000-0005-0000-0000-0000FE020000}"/>
    <cellStyle name="40% - 强调文字颜色 4 3 2 4" xfId="768" xr:uid="{00000000-0005-0000-0000-0000FF020000}"/>
    <cellStyle name="40% - 强调文字颜色 4 3 2 4 2" xfId="769" xr:uid="{00000000-0005-0000-0000-000000030000}"/>
    <cellStyle name="40% - 强调文字颜色 4 3 2 5" xfId="770" xr:uid="{00000000-0005-0000-0000-000001030000}"/>
    <cellStyle name="40% - 强调文字颜色 4 3 3" xfId="771" xr:uid="{00000000-0005-0000-0000-000002030000}"/>
    <cellStyle name="40% - 强调文字颜色 4 3 3 2" xfId="772" xr:uid="{00000000-0005-0000-0000-000003030000}"/>
    <cellStyle name="40% - 强调文字颜色 4 3 3 2 2" xfId="773" xr:uid="{00000000-0005-0000-0000-000004030000}"/>
    <cellStyle name="40% - 强调文字颜色 4 3 3 2 3" xfId="774" xr:uid="{00000000-0005-0000-0000-000005030000}"/>
    <cellStyle name="40% - 强调文字颜色 4 3 3 3" xfId="775" xr:uid="{00000000-0005-0000-0000-000006030000}"/>
    <cellStyle name="40% - 强调文字颜色 4 3 3 3 2" xfId="776" xr:uid="{00000000-0005-0000-0000-000007030000}"/>
    <cellStyle name="40% - 强调文字颜色 4 3 3 3 3" xfId="777" xr:uid="{00000000-0005-0000-0000-000008030000}"/>
    <cellStyle name="40% - 强调文字颜色 4 3 4" xfId="778" xr:uid="{00000000-0005-0000-0000-000009030000}"/>
    <cellStyle name="40% - 强调文字颜色 4 3 5" xfId="779" xr:uid="{00000000-0005-0000-0000-00000A030000}"/>
    <cellStyle name="40% - 强调文字颜色 4 3 5 2" xfId="780" xr:uid="{00000000-0005-0000-0000-00000B030000}"/>
    <cellStyle name="40% - 强调文字颜色 4 3 6" xfId="781" xr:uid="{00000000-0005-0000-0000-00000C030000}"/>
    <cellStyle name="40% - 强调文字颜色 4 4" xfId="782" xr:uid="{00000000-0005-0000-0000-00000D030000}"/>
    <cellStyle name="40% - 强调文字颜色 4 4 2" xfId="783" xr:uid="{00000000-0005-0000-0000-00000E030000}"/>
    <cellStyle name="40% - 强调文字颜色 4 4 2 2" xfId="784" xr:uid="{00000000-0005-0000-0000-00000F030000}"/>
    <cellStyle name="40% - 强调文字颜色 4 4 2 3" xfId="785" xr:uid="{00000000-0005-0000-0000-000010030000}"/>
    <cellStyle name="40% - 强调文字颜色 4 4 3" xfId="786" xr:uid="{00000000-0005-0000-0000-000011030000}"/>
    <cellStyle name="40% - 强调文字颜色 4 4 3 2" xfId="787" xr:uid="{00000000-0005-0000-0000-000012030000}"/>
    <cellStyle name="40% - 强调文字颜色 4 4 3 3" xfId="788" xr:uid="{00000000-0005-0000-0000-000013030000}"/>
    <cellStyle name="40% - 强调文字颜色 4 4 3 4" xfId="789" xr:uid="{00000000-0005-0000-0000-000014030000}"/>
    <cellStyle name="40% - 强调文字颜色 4 5" xfId="790" xr:uid="{00000000-0005-0000-0000-000015030000}"/>
    <cellStyle name="40% - 强调文字颜色 4 5 2" xfId="791" xr:uid="{00000000-0005-0000-0000-000016030000}"/>
    <cellStyle name="40% - 强调文字颜色 4 6" xfId="792" xr:uid="{00000000-0005-0000-0000-000017030000}"/>
    <cellStyle name="40% - 强调文字颜色 4 6 2" xfId="793" xr:uid="{00000000-0005-0000-0000-000018030000}"/>
    <cellStyle name="40% - 强调文字颜色 4 7" xfId="794" xr:uid="{00000000-0005-0000-0000-000019030000}"/>
    <cellStyle name="40% - 强调文字颜色 4 7 2" xfId="795" xr:uid="{00000000-0005-0000-0000-00001A030000}"/>
    <cellStyle name="40% - 强调文字颜色 4 8" xfId="796" xr:uid="{00000000-0005-0000-0000-00001B030000}"/>
    <cellStyle name="40% - 强调文字颜色 5" xfId="797" xr:uid="{00000000-0005-0000-0000-00001C030000}"/>
    <cellStyle name="40% - 强调文字颜色 5 2" xfId="798" xr:uid="{00000000-0005-0000-0000-00001D030000}"/>
    <cellStyle name="40% - 强调文字颜色 5 2 2" xfId="799" xr:uid="{00000000-0005-0000-0000-00001E030000}"/>
    <cellStyle name="40% - 强调文字颜色 5 2 2 2" xfId="800" xr:uid="{00000000-0005-0000-0000-00001F030000}"/>
    <cellStyle name="40% - 强调文字颜色 5 2 2 2 2" xfId="801" xr:uid="{00000000-0005-0000-0000-000020030000}"/>
    <cellStyle name="40% - 强调文字颜色 5 2 2 2 2 2" xfId="802" xr:uid="{00000000-0005-0000-0000-000021030000}"/>
    <cellStyle name="40% - 强调文字颜色 5 2 2 2 2 2 2" xfId="803" xr:uid="{00000000-0005-0000-0000-000022030000}"/>
    <cellStyle name="40% - 强调文字颜色 5 2 2 2 2 2 3" xfId="804" xr:uid="{00000000-0005-0000-0000-000023030000}"/>
    <cellStyle name="40% - 强调文字颜色 5 2 2 2 2 3" xfId="805" xr:uid="{00000000-0005-0000-0000-000024030000}"/>
    <cellStyle name="40% - 强调文字颜色 5 2 2 2 2 3 2" xfId="806" xr:uid="{00000000-0005-0000-0000-000025030000}"/>
    <cellStyle name="40% - 强调文字颜色 5 2 2 2 2 3 3" xfId="807" xr:uid="{00000000-0005-0000-0000-000026030000}"/>
    <cellStyle name="40% - 强调文字颜色 5 2 2 2 3" xfId="808" xr:uid="{00000000-0005-0000-0000-000027030000}"/>
    <cellStyle name="40% - 强调文字颜色 5 2 2 2 4" xfId="809" xr:uid="{00000000-0005-0000-0000-000028030000}"/>
    <cellStyle name="40% - 强调文字颜色 5 2 2 2 4 2" xfId="810" xr:uid="{00000000-0005-0000-0000-000029030000}"/>
    <cellStyle name="40% - 强调文字颜色 5 2 2 2 5" xfId="811" xr:uid="{00000000-0005-0000-0000-00002A030000}"/>
    <cellStyle name="40% - 强调文字颜色 5 2 2 3" xfId="812" xr:uid="{00000000-0005-0000-0000-00002B030000}"/>
    <cellStyle name="40% - 强调文字颜色 5 2 2 3 2" xfId="813" xr:uid="{00000000-0005-0000-0000-00002C030000}"/>
    <cellStyle name="40% - 强调文字颜色 5 2 2 3 2 2" xfId="814" xr:uid="{00000000-0005-0000-0000-00002D030000}"/>
    <cellStyle name="40% - 强调文字颜色 5 2 2 3 2 3" xfId="815" xr:uid="{00000000-0005-0000-0000-00002E030000}"/>
    <cellStyle name="40% - 强调文字颜色 5 2 2 3 3" xfId="816" xr:uid="{00000000-0005-0000-0000-00002F030000}"/>
    <cellStyle name="40% - 强调文字颜色 5 2 2 3 3 2" xfId="817" xr:uid="{00000000-0005-0000-0000-000030030000}"/>
    <cellStyle name="40% - 强调文字颜色 5 2 2 3 3 3" xfId="818" xr:uid="{00000000-0005-0000-0000-000031030000}"/>
    <cellStyle name="40% - 强调文字颜色 5 2 2 4" xfId="819" xr:uid="{00000000-0005-0000-0000-000032030000}"/>
    <cellStyle name="40% - 强调文字颜色 5 2 2 5" xfId="820" xr:uid="{00000000-0005-0000-0000-000033030000}"/>
    <cellStyle name="40% - 强调文字颜色 5 2 2 5 2" xfId="821" xr:uid="{00000000-0005-0000-0000-000034030000}"/>
    <cellStyle name="40% - 强调文字颜色 5 2 2 6" xfId="822" xr:uid="{00000000-0005-0000-0000-000035030000}"/>
    <cellStyle name="40% - 强调文字颜色 5 2 3" xfId="823" xr:uid="{00000000-0005-0000-0000-000036030000}"/>
    <cellStyle name="40% - 强调文字颜色 5 2 3 2" xfId="824" xr:uid="{00000000-0005-0000-0000-000037030000}"/>
    <cellStyle name="40% - 强调文字颜色 5 2 3 2 2" xfId="825" xr:uid="{00000000-0005-0000-0000-000038030000}"/>
    <cellStyle name="40% - 强调文字颜色 5 2 3 2 3" xfId="826" xr:uid="{00000000-0005-0000-0000-000039030000}"/>
    <cellStyle name="40% - 强调文字颜色 5 2 3 3" xfId="827" xr:uid="{00000000-0005-0000-0000-00003A030000}"/>
    <cellStyle name="40% - 强调文字颜色 5 2 3 3 2" xfId="828" xr:uid="{00000000-0005-0000-0000-00003B030000}"/>
    <cellStyle name="40% - 强调文字颜色 5 2 3 3 3" xfId="829" xr:uid="{00000000-0005-0000-0000-00003C030000}"/>
    <cellStyle name="40% - 强调文字颜色 5 2 4" xfId="830" xr:uid="{00000000-0005-0000-0000-00003D030000}"/>
    <cellStyle name="40% - 强调文字颜色 5 2 4 2" xfId="831" xr:uid="{00000000-0005-0000-0000-00003E030000}"/>
    <cellStyle name="40% - 强调文字颜色 5 2 5" xfId="832" xr:uid="{00000000-0005-0000-0000-00003F030000}"/>
    <cellStyle name="40% - 强调文字颜色 5 2 5 2" xfId="833" xr:uid="{00000000-0005-0000-0000-000040030000}"/>
    <cellStyle name="40% - 强调文字颜色 5 2 6" xfId="834" xr:uid="{00000000-0005-0000-0000-000041030000}"/>
    <cellStyle name="40% - 强调文字颜色 5 2 6 2" xfId="835" xr:uid="{00000000-0005-0000-0000-000042030000}"/>
    <cellStyle name="40% - 强调文字颜色 5 2 7" xfId="836" xr:uid="{00000000-0005-0000-0000-000043030000}"/>
    <cellStyle name="40% - 强调文字颜色 5 3" xfId="837" xr:uid="{00000000-0005-0000-0000-000044030000}"/>
    <cellStyle name="40% - 强调文字颜色 5 3 2" xfId="838" xr:uid="{00000000-0005-0000-0000-000045030000}"/>
    <cellStyle name="40% - 强调文字颜色 5 3 2 2" xfId="839" xr:uid="{00000000-0005-0000-0000-000046030000}"/>
    <cellStyle name="40% - 强调文字颜色 5 3 2 2 2" xfId="840" xr:uid="{00000000-0005-0000-0000-000047030000}"/>
    <cellStyle name="40% - 强调文字颜色 5 3 2 2 2 2" xfId="841" xr:uid="{00000000-0005-0000-0000-000048030000}"/>
    <cellStyle name="40% - 强调文字颜色 5 3 2 2 2 3" xfId="842" xr:uid="{00000000-0005-0000-0000-000049030000}"/>
    <cellStyle name="40% - 强调文字颜色 5 3 2 2 3" xfId="843" xr:uid="{00000000-0005-0000-0000-00004A030000}"/>
    <cellStyle name="40% - 强调文字颜色 5 3 2 2 3 2" xfId="844" xr:uid="{00000000-0005-0000-0000-00004B030000}"/>
    <cellStyle name="40% - 强调文字颜色 5 3 2 2 3 3" xfId="845" xr:uid="{00000000-0005-0000-0000-00004C030000}"/>
    <cellStyle name="40% - 强调文字颜色 5 3 2 3" xfId="846" xr:uid="{00000000-0005-0000-0000-00004D030000}"/>
    <cellStyle name="40% - 强调文字颜色 5 3 2 4" xfId="847" xr:uid="{00000000-0005-0000-0000-00004E030000}"/>
    <cellStyle name="40% - 强调文字颜色 5 3 2 4 2" xfId="848" xr:uid="{00000000-0005-0000-0000-00004F030000}"/>
    <cellStyle name="40% - 强调文字颜色 5 3 2 5" xfId="849" xr:uid="{00000000-0005-0000-0000-000050030000}"/>
    <cellStyle name="40% - 强调文字颜色 5 3 3" xfId="850" xr:uid="{00000000-0005-0000-0000-000051030000}"/>
    <cellStyle name="40% - 强调文字颜色 5 3 3 2" xfId="851" xr:uid="{00000000-0005-0000-0000-000052030000}"/>
    <cellStyle name="40% - 强调文字颜色 5 3 3 2 2" xfId="852" xr:uid="{00000000-0005-0000-0000-000053030000}"/>
    <cellStyle name="40% - 强调文字颜色 5 3 3 2 3" xfId="853" xr:uid="{00000000-0005-0000-0000-000054030000}"/>
    <cellStyle name="40% - 强调文字颜色 5 3 3 3" xfId="854" xr:uid="{00000000-0005-0000-0000-000055030000}"/>
    <cellStyle name="40% - 强调文字颜色 5 3 3 3 2" xfId="855" xr:uid="{00000000-0005-0000-0000-000056030000}"/>
    <cellStyle name="40% - 强调文字颜色 5 3 3 3 3" xfId="856" xr:uid="{00000000-0005-0000-0000-000057030000}"/>
    <cellStyle name="40% - 强调文字颜色 5 3 4" xfId="857" xr:uid="{00000000-0005-0000-0000-000058030000}"/>
    <cellStyle name="40% - 强调文字颜色 5 3 5" xfId="858" xr:uid="{00000000-0005-0000-0000-000059030000}"/>
    <cellStyle name="40% - 强调文字颜色 5 3 5 2" xfId="859" xr:uid="{00000000-0005-0000-0000-00005A030000}"/>
    <cellStyle name="40% - 强调文字颜色 5 3 6" xfId="860" xr:uid="{00000000-0005-0000-0000-00005B030000}"/>
    <cellStyle name="40% - 强调文字颜色 5 4" xfId="861" xr:uid="{00000000-0005-0000-0000-00005C030000}"/>
    <cellStyle name="40% - 强调文字颜色 5 4 2" xfId="862" xr:uid="{00000000-0005-0000-0000-00005D030000}"/>
    <cellStyle name="40% - 强调文字颜色 5 4 2 2" xfId="863" xr:uid="{00000000-0005-0000-0000-00005E030000}"/>
    <cellStyle name="40% - 强调文字颜色 5 4 2 3" xfId="864" xr:uid="{00000000-0005-0000-0000-00005F030000}"/>
    <cellStyle name="40% - 强调文字颜色 5 4 3" xfId="865" xr:uid="{00000000-0005-0000-0000-000060030000}"/>
    <cellStyle name="40% - 强调文字颜色 5 4 3 2" xfId="866" xr:uid="{00000000-0005-0000-0000-000061030000}"/>
    <cellStyle name="40% - 强调文字颜色 5 4 3 3" xfId="867" xr:uid="{00000000-0005-0000-0000-000062030000}"/>
    <cellStyle name="40% - 强调文字颜色 5 4 3 4" xfId="868" xr:uid="{00000000-0005-0000-0000-000063030000}"/>
    <cellStyle name="40% - 强调文字颜色 5 5" xfId="869" xr:uid="{00000000-0005-0000-0000-000064030000}"/>
    <cellStyle name="40% - 强调文字颜色 5 5 2" xfId="870" xr:uid="{00000000-0005-0000-0000-000065030000}"/>
    <cellStyle name="40% - 强调文字颜色 5 6" xfId="871" xr:uid="{00000000-0005-0000-0000-000066030000}"/>
    <cellStyle name="40% - 强调文字颜色 5 6 2" xfId="872" xr:uid="{00000000-0005-0000-0000-000067030000}"/>
    <cellStyle name="40% - 强调文字颜色 5 7" xfId="873" xr:uid="{00000000-0005-0000-0000-000068030000}"/>
    <cellStyle name="40% - 强调文字颜色 5 7 2" xfId="874" xr:uid="{00000000-0005-0000-0000-000069030000}"/>
    <cellStyle name="40% - 强调文字颜色 5 8" xfId="875" xr:uid="{00000000-0005-0000-0000-00006A030000}"/>
    <cellStyle name="40% - 强调文字颜色 6" xfId="876" xr:uid="{00000000-0005-0000-0000-00006B030000}"/>
    <cellStyle name="40% - 强调文字颜色 6 2" xfId="877" xr:uid="{00000000-0005-0000-0000-00006C030000}"/>
    <cellStyle name="40% - 强调文字颜色 6 2 2" xfId="878" xr:uid="{00000000-0005-0000-0000-00006D030000}"/>
    <cellStyle name="40% - 强调文字颜色 6 2 2 2" xfId="879" xr:uid="{00000000-0005-0000-0000-00006E030000}"/>
    <cellStyle name="40% - 强调文字颜色 6 2 2 2 2" xfId="880" xr:uid="{00000000-0005-0000-0000-00006F030000}"/>
    <cellStyle name="40% - 强调文字颜色 6 2 2 2 2 2" xfId="881" xr:uid="{00000000-0005-0000-0000-000070030000}"/>
    <cellStyle name="40% - 强调文字颜色 6 2 2 2 2 2 2" xfId="882" xr:uid="{00000000-0005-0000-0000-000071030000}"/>
    <cellStyle name="40% - 强调文字颜色 6 2 2 2 2 2 3" xfId="883" xr:uid="{00000000-0005-0000-0000-000072030000}"/>
    <cellStyle name="40% - 强调文字颜色 6 2 2 2 2 3" xfId="884" xr:uid="{00000000-0005-0000-0000-000073030000}"/>
    <cellStyle name="40% - 强调文字颜色 6 2 2 2 2 3 2" xfId="885" xr:uid="{00000000-0005-0000-0000-000074030000}"/>
    <cellStyle name="40% - 强调文字颜色 6 2 2 2 2 3 3" xfId="886" xr:uid="{00000000-0005-0000-0000-000075030000}"/>
    <cellStyle name="40% - 强调文字颜色 6 2 2 2 3" xfId="887" xr:uid="{00000000-0005-0000-0000-000076030000}"/>
    <cellStyle name="40% - 强调文字颜色 6 2 2 2 4" xfId="888" xr:uid="{00000000-0005-0000-0000-000077030000}"/>
    <cellStyle name="40% - 强调文字颜色 6 2 2 2 4 2" xfId="889" xr:uid="{00000000-0005-0000-0000-000078030000}"/>
    <cellStyle name="40% - 强调文字颜色 6 2 2 2 5" xfId="890" xr:uid="{00000000-0005-0000-0000-000079030000}"/>
    <cellStyle name="40% - 强调文字颜色 6 2 2 3" xfId="891" xr:uid="{00000000-0005-0000-0000-00007A030000}"/>
    <cellStyle name="40% - 强调文字颜色 6 2 2 3 2" xfId="892" xr:uid="{00000000-0005-0000-0000-00007B030000}"/>
    <cellStyle name="40% - 强调文字颜色 6 2 2 3 2 2" xfId="893" xr:uid="{00000000-0005-0000-0000-00007C030000}"/>
    <cellStyle name="40% - 强调文字颜色 6 2 2 3 2 3" xfId="894" xr:uid="{00000000-0005-0000-0000-00007D030000}"/>
    <cellStyle name="40% - 强调文字颜色 6 2 2 3 3" xfId="895" xr:uid="{00000000-0005-0000-0000-00007E030000}"/>
    <cellStyle name="40% - 强调文字颜色 6 2 2 3 3 2" xfId="896" xr:uid="{00000000-0005-0000-0000-00007F030000}"/>
    <cellStyle name="40% - 强调文字颜色 6 2 2 3 3 3" xfId="897" xr:uid="{00000000-0005-0000-0000-000080030000}"/>
    <cellStyle name="40% - 强调文字颜色 6 2 2 4" xfId="898" xr:uid="{00000000-0005-0000-0000-000081030000}"/>
    <cellStyle name="40% - 强调文字颜色 6 2 2 5" xfId="899" xr:uid="{00000000-0005-0000-0000-000082030000}"/>
    <cellStyle name="40% - 强调文字颜色 6 2 2 5 2" xfId="900" xr:uid="{00000000-0005-0000-0000-000083030000}"/>
    <cellStyle name="40% - 强调文字颜色 6 2 2 6" xfId="901" xr:uid="{00000000-0005-0000-0000-000084030000}"/>
    <cellStyle name="40% - 强调文字颜色 6 2 3" xfId="902" xr:uid="{00000000-0005-0000-0000-000085030000}"/>
    <cellStyle name="40% - 强调文字颜色 6 2 3 2" xfId="903" xr:uid="{00000000-0005-0000-0000-000086030000}"/>
    <cellStyle name="40% - 强调文字颜色 6 2 3 2 2" xfId="904" xr:uid="{00000000-0005-0000-0000-000087030000}"/>
    <cellStyle name="40% - 强调文字颜色 6 2 3 2 3" xfId="905" xr:uid="{00000000-0005-0000-0000-000088030000}"/>
    <cellStyle name="40% - 强调文字颜色 6 2 3 3" xfId="906" xr:uid="{00000000-0005-0000-0000-000089030000}"/>
    <cellStyle name="40% - 强调文字颜色 6 2 3 3 2" xfId="907" xr:uid="{00000000-0005-0000-0000-00008A030000}"/>
    <cellStyle name="40% - 强调文字颜色 6 2 3 3 3" xfId="908" xr:uid="{00000000-0005-0000-0000-00008B030000}"/>
    <cellStyle name="40% - 强调文字颜色 6 2 4" xfId="909" xr:uid="{00000000-0005-0000-0000-00008C030000}"/>
    <cellStyle name="40% - 强调文字颜色 6 2 4 2" xfId="910" xr:uid="{00000000-0005-0000-0000-00008D030000}"/>
    <cellStyle name="40% - 强调文字颜色 6 2 5" xfId="911" xr:uid="{00000000-0005-0000-0000-00008E030000}"/>
    <cellStyle name="40% - 强调文字颜色 6 2 5 2" xfId="912" xr:uid="{00000000-0005-0000-0000-00008F030000}"/>
    <cellStyle name="40% - 强调文字颜色 6 2 6" xfId="913" xr:uid="{00000000-0005-0000-0000-000090030000}"/>
    <cellStyle name="40% - 强调文字颜色 6 2 6 2" xfId="914" xr:uid="{00000000-0005-0000-0000-000091030000}"/>
    <cellStyle name="40% - 强调文字颜色 6 2 7" xfId="915" xr:uid="{00000000-0005-0000-0000-000092030000}"/>
    <cellStyle name="40% - 强调文字颜色 6 3" xfId="916" xr:uid="{00000000-0005-0000-0000-000093030000}"/>
    <cellStyle name="40% - 强调文字颜色 6 3 2" xfId="917" xr:uid="{00000000-0005-0000-0000-000094030000}"/>
    <cellStyle name="40% - 强调文字颜色 6 3 2 2" xfId="918" xr:uid="{00000000-0005-0000-0000-000095030000}"/>
    <cellStyle name="40% - 强调文字颜色 6 3 2 2 2" xfId="919" xr:uid="{00000000-0005-0000-0000-000096030000}"/>
    <cellStyle name="40% - 强调文字颜色 6 3 2 2 2 2" xfId="920" xr:uid="{00000000-0005-0000-0000-000097030000}"/>
    <cellStyle name="40% - 强调文字颜色 6 3 2 2 2 3" xfId="921" xr:uid="{00000000-0005-0000-0000-000098030000}"/>
    <cellStyle name="40% - 强调文字颜色 6 3 2 2 3" xfId="922" xr:uid="{00000000-0005-0000-0000-000099030000}"/>
    <cellStyle name="40% - 强调文字颜色 6 3 2 2 3 2" xfId="923" xr:uid="{00000000-0005-0000-0000-00009A030000}"/>
    <cellStyle name="40% - 强调文字颜色 6 3 2 2 3 3" xfId="924" xr:uid="{00000000-0005-0000-0000-00009B030000}"/>
    <cellStyle name="40% - 强调文字颜色 6 3 2 3" xfId="925" xr:uid="{00000000-0005-0000-0000-00009C030000}"/>
    <cellStyle name="40% - 强调文字颜色 6 3 2 4" xfId="926" xr:uid="{00000000-0005-0000-0000-00009D030000}"/>
    <cellStyle name="40% - 强调文字颜色 6 3 2 4 2" xfId="927" xr:uid="{00000000-0005-0000-0000-00009E030000}"/>
    <cellStyle name="40% - 强调文字颜色 6 3 2 5" xfId="928" xr:uid="{00000000-0005-0000-0000-00009F030000}"/>
    <cellStyle name="40% - 强调文字颜色 6 3 3" xfId="929" xr:uid="{00000000-0005-0000-0000-0000A0030000}"/>
    <cellStyle name="40% - 强调文字颜色 6 3 3 2" xfId="930" xr:uid="{00000000-0005-0000-0000-0000A1030000}"/>
    <cellStyle name="40% - 强调文字颜色 6 3 3 2 2" xfId="931" xr:uid="{00000000-0005-0000-0000-0000A2030000}"/>
    <cellStyle name="40% - 强调文字颜色 6 3 3 2 3" xfId="932" xr:uid="{00000000-0005-0000-0000-0000A3030000}"/>
    <cellStyle name="40% - 强调文字颜色 6 3 3 3" xfId="933" xr:uid="{00000000-0005-0000-0000-0000A4030000}"/>
    <cellStyle name="40% - 强调文字颜色 6 3 3 3 2" xfId="934" xr:uid="{00000000-0005-0000-0000-0000A5030000}"/>
    <cellStyle name="40% - 强调文字颜色 6 3 3 3 3" xfId="935" xr:uid="{00000000-0005-0000-0000-0000A6030000}"/>
    <cellStyle name="40% - 强调文字颜色 6 3 4" xfId="936" xr:uid="{00000000-0005-0000-0000-0000A7030000}"/>
    <cellStyle name="40% - 强调文字颜色 6 3 5" xfId="937" xr:uid="{00000000-0005-0000-0000-0000A8030000}"/>
    <cellStyle name="40% - 强调文字颜色 6 3 5 2" xfId="938" xr:uid="{00000000-0005-0000-0000-0000A9030000}"/>
    <cellStyle name="40% - 强调文字颜色 6 3 6" xfId="939" xr:uid="{00000000-0005-0000-0000-0000AA030000}"/>
    <cellStyle name="40% - 强调文字颜色 6 4" xfId="940" xr:uid="{00000000-0005-0000-0000-0000AB030000}"/>
    <cellStyle name="40% - 强调文字颜色 6 4 2" xfId="941" xr:uid="{00000000-0005-0000-0000-0000AC030000}"/>
    <cellStyle name="40% - 强调文字颜色 6 4 2 2" xfId="942" xr:uid="{00000000-0005-0000-0000-0000AD030000}"/>
    <cellStyle name="40% - 强调文字颜色 6 4 2 3" xfId="943" xr:uid="{00000000-0005-0000-0000-0000AE030000}"/>
    <cellStyle name="40% - 强调文字颜色 6 4 3" xfId="944" xr:uid="{00000000-0005-0000-0000-0000AF030000}"/>
    <cellStyle name="40% - 强调文字颜色 6 4 3 2" xfId="945" xr:uid="{00000000-0005-0000-0000-0000B0030000}"/>
    <cellStyle name="40% - 强调文字颜色 6 4 3 3" xfId="946" xr:uid="{00000000-0005-0000-0000-0000B1030000}"/>
    <cellStyle name="40% - 强调文字颜色 6 4 3 4" xfId="947" xr:uid="{00000000-0005-0000-0000-0000B2030000}"/>
    <cellStyle name="40% - 强调文字颜色 6 5" xfId="948" xr:uid="{00000000-0005-0000-0000-0000B3030000}"/>
    <cellStyle name="40% - 强调文字颜色 6 5 2" xfId="949" xr:uid="{00000000-0005-0000-0000-0000B4030000}"/>
    <cellStyle name="40% - 强调文字颜色 6 6" xfId="950" xr:uid="{00000000-0005-0000-0000-0000B5030000}"/>
    <cellStyle name="40% - 强调文字颜色 6 6 2" xfId="951" xr:uid="{00000000-0005-0000-0000-0000B6030000}"/>
    <cellStyle name="40% - 强调文字颜色 6 7" xfId="952" xr:uid="{00000000-0005-0000-0000-0000B7030000}"/>
    <cellStyle name="40% - 强调文字颜色 6 7 2" xfId="953" xr:uid="{00000000-0005-0000-0000-0000B8030000}"/>
    <cellStyle name="40% - 强调文字颜色 6 8" xfId="954" xr:uid="{00000000-0005-0000-0000-0000B9030000}"/>
    <cellStyle name="60% - 强调文字颜色 1" xfId="955" xr:uid="{00000000-0005-0000-0000-0000BA030000}"/>
    <cellStyle name="60% - 强调文字颜色 1 2" xfId="956" xr:uid="{00000000-0005-0000-0000-0000BB030000}"/>
    <cellStyle name="60% - 强调文字颜色 2" xfId="957" xr:uid="{00000000-0005-0000-0000-0000BC030000}"/>
    <cellStyle name="60% - 强调文字颜色 2 2" xfId="958" xr:uid="{00000000-0005-0000-0000-0000BD030000}"/>
    <cellStyle name="60% - 强调文字颜色 3" xfId="959" xr:uid="{00000000-0005-0000-0000-0000BE030000}"/>
    <cellStyle name="60% - 强调文字颜色 3 2" xfId="960" xr:uid="{00000000-0005-0000-0000-0000BF030000}"/>
    <cellStyle name="60% - 强调文字颜色 4" xfId="961" xr:uid="{00000000-0005-0000-0000-0000C0030000}"/>
    <cellStyle name="60% - 强调文字颜色 4 2" xfId="962" xr:uid="{00000000-0005-0000-0000-0000C1030000}"/>
    <cellStyle name="60% - 强调文字颜色 5" xfId="963" xr:uid="{00000000-0005-0000-0000-0000C2030000}"/>
    <cellStyle name="60% - 强调文字颜色 5 2" xfId="964" xr:uid="{00000000-0005-0000-0000-0000C3030000}"/>
    <cellStyle name="60% - 强调文字颜色 6" xfId="965" xr:uid="{00000000-0005-0000-0000-0000C4030000}"/>
    <cellStyle name="60% - 强调文字颜色 6 2" xfId="966" xr:uid="{00000000-0005-0000-0000-0000C5030000}"/>
    <cellStyle name="aa" xfId="968" xr:uid="{00000000-0005-0000-0000-0000C6030000}"/>
    <cellStyle name="Accent1" xfId="969" xr:uid="{00000000-0005-0000-0000-0000C7030000}"/>
    <cellStyle name="Accent1 - 20%" xfId="970" xr:uid="{00000000-0005-0000-0000-0000C8030000}"/>
    <cellStyle name="Accent1 - 40%" xfId="971" xr:uid="{00000000-0005-0000-0000-0000C9030000}"/>
    <cellStyle name="Accent1 - 60%" xfId="972" xr:uid="{00000000-0005-0000-0000-0000CA030000}"/>
    <cellStyle name="Accent2" xfId="973" xr:uid="{00000000-0005-0000-0000-0000CB030000}"/>
    <cellStyle name="Accent2 - 20%" xfId="974" xr:uid="{00000000-0005-0000-0000-0000CC030000}"/>
    <cellStyle name="Accent2 - 40%" xfId="975" xr:uid="{00000000-0005-0000-0000-0000CD030000}"/>
    <cellStyle name="Accent2 - 60%" xfId="976" xr:uid="{00000000-0005-0000-0000-0000CE030000}"/>
    <cellStyle name="Accent3" xfId="977" xr:uid="{00000000-0005-0000-0000-0000CF030000}"/>
    <cellStyle name="Accent3 - 20%" xfId="978" xr:uid="{00000000-0005-0000-0000-0000D0030000}"/>
    <cellStyle name="Accent3 - 40%" xfId="979" xr:uid="{00000000-0005-0000-0000-0000D1030000}"/>
    <cellStyle name="Accent3 - 60%" xfId="980" xr:uid="{00000000-0005-0000-0000-0000D2030000}"/>
    <cellStyle name="Accent4" xfId="981" xr:uid="{00000000-0005-0000-0000-0000D3030000}"/>
    <cellStyle name="Accent4 - 20%" xfId="982" xr:uid="{00000000-0005-0000-0000-0000D4030000}"/>
    <cellStyle name="Accent4 - 40%" xfId="983" xr:uid="{00000000-0005-0000-0000-0000D5030000}"/>
    <cellStyle name="Accent4 - 60%" xfId="984" xr:uid="{00000000-0005-0000-0000-0000D6030000}"/>
    <cellStyle name="Accent5" xfId="985" xr:uid="{00000000-0005-0000-0000-0000D7030000}"/>
    <cellStyle name="Accent5 - 20%" xfId="986" xr:uid="{00000000-0005-0000-0000-0000D8030000}"/>
    <cellStyle name="Accent5 - 40%" xfId="987" xr:uid="{00000000-0005-0000-0000-0000D9030000}"/>
    <cellStyle name="Accent5 - 60%" xfId="988" xr:uid="{00000000-0005-0000-0000-0000DA030000}"/>
    <cellStyle name="Accent6" xfId="989" xr:uid="{00000000-0005-0000-0000-0000DB030000}"/>
    <cellStyle name="Accent6 - 20%" xfId="990" xr:uid="{00000000-0005-0000-0000-0000DC030000}"/>
    <cellStyle name="Accent6 - 40%" xfId="991" xr:uid="{00000000-0005-0000-0000-0000DD030000}"/>
    <cellStyle name="Accent6 - 60%" xfId="992" xr:uid="{00000000-0005-0000-0000-0000DE030000}"/>
    <cellStyle name="Bad 1" xfId="993" xr:uid="{00000000-0005-0000-0000-0000DF030000}"/>
    <cellStyle name="Calc Currency (0)" xfId="994" xr:uid="{00000000-0005-0000-0000-0000E0030000}"/>
    <cellStyle name="Calc Currency (2)" xfId="995" xr:uid="{00000000-0005-0000-0000-0000E1030000}"/>
    <cellStyle name="Calc Percent (0)" xfId="996" xr:uid="{00000000-0005-0000-0000-0000E2030000}"/>
    <cellStyle name="Calc Percent (1)" xfId="997" xr:uid="{00000000-0005-0000-0000-0000E3030000}"/>
    <cellStyle name="Calc Percent (2)" xfId="998" xr:uid="{00000000-0005-0000-0000-0000E4030000}"/>
    <cellStyle name="Calc Units (0)" xfId="999" xr:uid="{00000000-0005-0000-0000-0000E5030000}"/>
    <cellStyle name="Calc Units (1)" xfId="1000" xr:uid="{00000000-0005-0000-0000-0000E6030000}"/>
    <cellStyle name="Calc Units (2)" xfId="1001" xr:uid="{00000000-0005-0000-0000-0000E7030000}"/>
    <cellStyle name="Calculation" xfId="1002" xr:uid="{00000000-0005-0000-0000-0000E8030000}"/>
    <cellStyle name="Check Cell" xfId="1003" xr:uid="{00000000-0005-0000-0000-0000E9030000}"/>
    <cellStyle name="Comma [00]" xfId="1017" xr:uid="{00000000-0005-0000-0000-0000EA030000}"/>
    <cellStyle name="Comma 2" xfId="1004" xr:uid="{00000000-0005-0000-0000-0000EB030000}"/>
    <cellStyle name="Comma 2 2" xfId="1005" xr:uid="{00000000-0005-0000-0000-0000EC030000}"/>
    <cellStyle name="Comma 2 3" xfId="1006" xr:uid="{00000000-0005-0000-0000-0000ED030000}"/>
    <cellStyle name="Comma 2 4" xfId="1007" xr:uid="{00000000-0005-0000-0000-0000EE030000}"/>
    <cellStyle name="Comma 2 4 2" xfId="1008" xr:uid="{00000000-0005-0000-0000-0000EF030000}"/>
    <cellStyle name="Comma 3" xfId="1009" xr:uid="{00000000-0005-0000-0000-0000F0030000}"/>
    <cellStyle name="Comma 3 2" xfId="1010" xr:uid="{00000000-0005-0000-0000-0000F1030000}"/>
    <cellStyle name="Comma 3 2 2" xfId="1011" xr:uid="{00000000-0005-0000-0000-0000F2030000}"/>
    <cellStyle name="Comma 3 2 2 2" xfId="1012" xr:uid="{00000000-0005-0000-0000-0000F3030000}"/>
    <cellStyle name="Comma 3 3" xfId="1013" xr:uid="{00000000-0005-0000-0000-0000F4030000}"/>
    <cellStyle name="Comma 3 3 2" xfId="1014" xr:uid="{00000000-0005-0000-0000-0000F5030000}"/>
    <cellStyle name="Comma 3 4" xfId="1015" xr:uid="{00000000-0005-0000-0000-0000F6030000}"/>
    <cellStyle name="Comma 3 4 2" xfId="1016" xr:uid="{00000000-0005-0000-0000-0000F7030000}"/>
    <cellStyle name="Currency [00]" xfId="1020" xr:uid="{00000000-0005-0000-0000-0000F8030000}"/>
    <cellStyle name="Currency 2" xfId="1018" xr:uid="{00000000-0005-0000-0000-0000F9030000}"/>
    <cellStyle name="Currency 2 2" xfId="1019" xr:uid="{00000000-0005-0000-0000-0000FA030000}"/>
    <cellStyle name="Currency_Copy of Ingram Payroll 2008-3" xfId="1021" xr:uid="{00000000-0005-0000-0000-0000FB030000}"/>
    <cellStyle name="Date Short" xfId="1022" xr:uid="{00000000-0005-0000-0000-0000FC030000}"/>
    <cellStyle name="DELTA" xfId="1023" xr:uid="{00000000-0005-0000-0000-0000FD030000}"/>
    <cellStyle name="Emphasis 1" xfId="1024" xr:uid="{00000000-0005-0000-0000-0000FE030000}"/>
    <cellStyle name="Emphasis 2" xfId="1025" xr:uid="{00000000-0005-0000-0000-0000FF030000}"/>
    <cellStyle name="Emphasis 3" xfId="1026" xr:uid="{00000000-0005-0000-0000-000000040000}"/>
    <cellStyle name="Enter Currency (0)" xfId="1027" xr:uid="{00000000-0005-0000-0000-000001040000}"/>
    <cellStyle name="Enter Currency (2)" xfId="1028" xr:uid="{00000000-0005-0000-0000-000002040000}"/>
    <cellStyle name="Enter Units (0)" xfId="1029" xr:uid="{00000000-0005-0000-0000-000003040000}"/>
    <cellStyle name="Enter Units (1)" xfId="1030" xr:uid="{00000000-0005-0000-0000-000004040000}"/>
    <cellStyle name="Enter Units (2)" xfId="1031" xr:uid="{00000000-0005-0000-0000-000005040000}"/>
    <cellStyle name="Good 2" xfId="1032" xr:uid="{00000000-0005-0000-0000-000006040000}"/>
    <cellStyle name="Grey" xfId="1033" xr:uid="{00000000-0005-0000-0000-000007040000}"/>
    <cellStyle name="Header" xfId="1034" xr:uid="{00000000-0005-0000-0000-000008040000}"/>
    <cellStyle name="Header 2" xfId="1035" xr:uid="{00000000-0005-0000-0000-000009040000}"/>
    <cellStyle name="Header1" xfId="1036" xr:uid="{00000000-0005-0000-0000-00000A040000}"/>
    <cellStyle name="Header1 2" xfId="1037" xr:uid="{00000000-0005-0000-0000-00000B040000}"/>
    <cellStyle name="Header2" xfId="1038" xr:uid="{00000000-0005-0000-0000-00000C040000}"/>
    <cellStyle name="Header2 2" xfId="1039" xr:uid="{00000000-0005-0000-0000-00000D040000}"/>
    <cellStyle name="Heading 1 3" xfId="1040" xr:uid="{00000000-0005-0000-0000-00000E040000}"/>
    <cellStyle name="Heading 2 4" xfId="1041" xr:uid="{00000000-0005-0000-0000-00000F040000}"/>
    <cellStyle name="Heading 3" xfId="1042" xr:uid="{00000000-0005-0000-0000-000010040000}"/>
    <cellStyle name="Heading 4" xfId="1043" xr:uid="{00000000-0005-0000-0000-000011040000}"/>
    <cellStyle name="Hyperlink 2" xfId="1044" xr:uid="{00000000-0005-0000-0000-000012040000}"/>
    <cellStyle name="Input" xfId="1045" xr:uid="{00000000-0005-0000-0000-000013040000}"/>
    <cellStyle name="Input [yellow]" xfId="1046" xr:uid="{00000000-0005-0000-0000-000014040000}"/>
    <cellStyle name="Link Currency (0)" xfId="1047" xr:uid="{00000000-0005-0000-0000-000015040000}"/>
    <cellStyle name="Link Currency (2)" xfId="1048" xr:uid="{00000000-0005-0000-0000-000016040000}"/>
    <cellStyle name="Link Units (0)" xfId="1049" xr:uid="{00000000-0005-0000-0000-000017040000}"/>
    <cellStyle name="Link Units (1)" xfId="1050" xr:uid="{00000000-0005-0000-0000-000018040000}"/>
    <cellStyle name="Link Units (2)" xfId="1051" xr:uid="{00000000-0005-0000-0000-000019040000}"/>
    <cellStyle name="Linked Cell" xfId="1052" xr:uid="{00000000-0005-0000-0000-00001A040000}"/>
    <cellStyle name="Milliers_2H Request SKU_add target cost June 14 05" xfId="1053" xr:uid="{00000000-0005-0000-0000-00001B040000}"/>
    <cellStyle name="Neutral 5" xfId="1054" xr:uid="{00000000-0005-0000-0000-00001C040000}"/>
    <cellStyle name="Normal - Style1" xfId="1055" xr:uid="{00000000-0005-0000-0000-00001D040000}"/>
    <cellStyle name="Normal 101" xfId="1056" xr:uid="{00000000-0005-0000-0000-00001E040000}"/>
    <cellStyle name="Normal 101 2" xfId="1057" xr:uid="{00000000-0005-0000-0000-00001F040000}"/>
    <cellStyle name="Normal 109" xfId="1058" xr:uid="{00000000-0005-0000-0000-000020040000}"/>
    <cellStyle name="Normal 109 2" xfId="1059" xr:uid="{00000000-0005-0000-0000-000021040000}"/>
    <cellStyle name="Normal 127" xfId="1060" xr:uid="{00000000-0005-0000-0000-000022040000}"/>
    <cellStyle name="Normal 127 2" xfId="1061" xr:uid="{00000000-0005-0000-0000-000023040000}"/>
    <cellStyle name="Normal 128" xfId="1062" xr:uid="{00000000-0005-0000-0000-000024040000}"/>
    <cellStyle name="Normal 128 2" xfId="1063" xr:uid="{00000000-0005-0000-0000-000025040000}"/>
    <cellStyle name="Normal 14 18" xfId="1064" xr:uid="{00000000-0005-0000-0000-000026040000}"/>
    <cellStyle name="Normal 14 18 2" xfId="1065" xr:uid="{00000000-0005-0000-0000-000027040000}"/>
    <cellStyle name="Normal 145" xfId="1066" xr:uid="{00000000-0005-0000-0000-000028040000}"/>
    <cellStyle name="Normal 145 2" xfId="1067" xr:uid="{00000000-0005-0000-0000-000029040000}"/>
    <cellStyle name="Normal 148" xfId="1068" xr:uid="{00000000-0005-0000-0000-00002A040000}"/>
    <cellStyle name="Normal 148 2" xfId="1069" xr:uid="{00000000-0005-0000-0000-00002B040000}"/>
    <cellStyle name="Normal 154" xfId="1070" xr:uid="{00000000-0005-0000-0000-00002C040000}"/>
    <cellStyle name="Normal 154 2" xfId="1071" xr:uid="{00000000-0005-0000-0000-00002D040000}"/>
    <cellStyle name="Normal 155" xfId="1072" xr:uid="{00000000-0005-0000-0000-00002E040000}"/>
    <cellStyle name="Normal 155 2" xfId="1073" xr:uid="{00000000-0005-0000-0000-00002F040000}"/>
    <cellStyle name="Normal 159" xfId="1074" xr:uid="{00000000-0005-0000-0000-000030040000}"/>
    <cellStyle name="Normal 159 2" xfId="1075" xr:uid="{00000000-0005-0000-0000-000031040000}"/>
    <cellStyle name="Normal 160" xfId="1076" xr:uid="{00000000-0005-0000-0000-000032040000}"/>
    <cellStyle name="Normal 160 2" xfId="1077" xr:uid="{00000000-0005-0000-0000-000033040000}"/>
    <cellStyle name="Normal 161" xfId="1078" xr:uid="{00000000-0005-0000-0000-000034040000}"/>
    <cellStyle name="Normal 161 2" xfId="1079" xr:uid="{00000000-0005-0000-0000-000035040000}"/>
    <cellStyle name="Normal 162" xfId="1080" xr:uid="{00000000-0005-0000-0000-000036040000}"/>
    <cellStyle name="Normal 162 2" xfId="1081" xr:uid="{00000000-0005-0000-0000-000037040000}"/>
    <cellStyle name="Normal 163" xfId="1082" xr:uid="{00000000-0005-0000-0000-000038040000}"/>
    <cellStyle name="Normal 163 2" xfId="1083" xr:uid="{00000000-0005-0000-0000-000039040000}"/>
    <cellStyle name="Normal 164" xfId="1084" xr:uid="{00000000-0005-0000-0000-00003A040000}"/>
    <cellStyle name="Normal 164 2" xfId="1085" xr:uid="{00000000-0005-0000-0000-00003B040000}"/>
    <cellStyle name="Normal 166" xfId="1086" xr:uid="{00000000-0005-0000-0000-00003C040000}"/>
    <cellStyle name="Normal 166 2" xfId="1087" xr:uid="{00000000-0005-0000-0000-00003D040000}"/>
    <cellStyle name="Normal 167" xfId="1088" xr:uid="{00000000-0005-0000-0000-00003E040000}"/>
    <cellStyle name="Normal 167 2" xfId="1089" xr:uid="{00000000-0005-0000-0000-00003F040000}"/>
    <cellStyle name="Normal 168" xfId="1090" xr:uid="{00000000-0005-0000-0000-000040040000}"/>
    <cellStyle name="Normal 168 2" xfId="1091" xr:uid="{00000000-0005-0000-0000-000041040000}"/>
    <cellStyle name="Normal 169" xfId="1092" xr:uid="{00000000-0005-0000-0000-000042040000}"/>
    <cellStyle name="Normal 169 2" xfId="1093" xr:uid="{00000000-0005-0000-0000-000043040000}"/>
    <cellStyle name="Normal 170" xfId="1094" xr:uid="{00000000-0005-0000-0000-000044040000}"/>
    <cellStyle name="Normal 170 2" xfId="1095" xr:uid="{00000000-0005-0000-0000-000045040000}"/>
    <cellStyle name="Normal 171" xfId="1096" xr:uid="{00000000-0005-0000-0000-000046040000}"/>
    <cellStyle name="Normal 171 2" xfId="1097" xr:uid="{00000000-0005-0000-0000-000047040000}"/>
    <cellStyle name="Normal 172" xfId="1098" xr:uid="{00000000-0005-0000-0000-000048040000}"/>
    <cellStyle name="Normal 172 2" xfId="1099" xr:uid="{00000000-0005-0000-0000-000049040000}"/>
    <cellStyle name="Normal 173" xfId="1100" xr:uid="{00000000-0005-0000-0000-00004A040000}"/>
    <cellStyle name="Normal 173 2" xfId="1101" xr:uid="{00000000-0005-0000-0000-00004B040000}"/>
    <cellStyle name="Normal 174" xfId="1102" xr:uid="{00000000-0005-0000-0000-00004C040000}"/>
    <cellStyle name="Normal 174 2" xfId="1103" xr:uid="{00000000-0005-0000-0000-00004D040000}"/>
    <cellStyle name="Normal 176" xfId="1104" xr:uid="{00000000-0005-0000-0000-00004E040000}"/>
    <cellStyle name="Normal 176 2" xfId="1105" xr:uid="{00000000-0005-0000-0000-00004F040000}"/>
    <cellStyle name="Normal 177" xfId="1106" xr:uid="{00000000-0005-0000-0000-000050040000}"/>
    <cellStyle name="Normal 177 2" xfId="1107" xr:uid="{00000000-0005-0000-0000-000051040000}"/>
    <cellStyle name="Normal 178" xfId="1108" xr:uid="{00000000-0005-0000-0000-000052040000}"/>
    <cellStyle name="Normal 178 2" xfId="1109" xr:uid="{00000000-0005-0000-0000-000053040000}"/>
    <cellStyle name="Normal 179" xfId="1110" xr:uid="{00000000-0005-0000-0000-000054040000}"/>
    <cellStyle name="Normal 179 2" xfId="1111" xr:uid="{00000000-0005-0000-0000-000055040000}"/>
    <cellStyle name="Normal 2" xfId="1112" xr:uid="{00000000-0005-0000-0000-000056040000}"/>
    <cellStyle name="Normal 2 2" xfId="1113" xr:uid="{00000000-0005-0000-0000-000057040000}"/>
    <cellStyle name="Normal 2 2 11" xfId="1114" xr:uid="{00000000-0005-0000-0000-000058040000}"/>
    <cellStyle name="Normal 2 2 11 2" xfId="1115" xr:uid="{00000000-0005-0000-0000-000059040000}"/>
    <cellStyle name="Normal 2 2 2" xfId="1116" xr:uid="{00000000-0005-0000-0000-00005A040000}"/>
    <cellStyle name="Normal 2 2 3" xfId="1117" xr:uid="{00000000-0005-0000-0000-00005B040000}"/>
    <cellStyle name="Normal 2 2 3 2" xfId="1118" xr:uid="{00000000-0005-0000-0000-00005C040000}"/>
    <cellStyle name="Normal 2 3" xfId="1119" xr:uid="{00000000-0005-0000-0000-00005D040000}"/>
    <cellStyle name="Normal 2 3 2" xfId="1120" xr:uid="{00000000-0005-0000-0000-00005E040000}"/>
    <cellStyle name="Normal 2 4" xfId="1121" xr:uid="{00000000-0005-0000-0000-00005F040000}"/>
    <cellStyle name="Normal 2 5" xfId="1122" xr:uid="{00000000-0005-0000-0000-000060040000}"/>
    <cellStyle name="Normal 2 5 2" xfId="1123" xr:uid="{00000000-0005-0000-0000-000061040000}"/>
    <cellStyle name="Normal 2 5 3" xfId="1124" xr:uid="{00000000-0005-0000-0000-000062040000}"/>
    <cellStyle name="Normal 2 6" xfId="1125" xr:uid="{00000000-0005-0000-0000-000063040000}"/>
    <cellStyle name="Normal 2 8" xfId="1126" xr:uid="{00000000-0005-0000-0000-000064040000}"/>
    <cellStyle name="Normal 2 8 2" xfId="1127" xr:uid="{00000000-0005-0000-0000-000065040000}"/>
    <cellStyle name="Normal 203" xfId="1128" xr:uid="{00000000-0005-0000-0000-000066040000}"/>
    <cellStyle name="Normal 203 2" xfId="1129" xr:uid="{00000000-0005-0000-0000-000067040000}"/>
    <cellStyle name="Normal 214" xfId="1130" xr:uid="{00000000-0005-0000-0000-000068040000}"/>
    <cellStyle name="Normal 214 2" xfId="1131" xr:uid="{00000000-0005-0000-0000-000069040000}"/>
    <cellStyle name="Normal 215" xfId="1132" xr:uid="{00000000-0005-0000-0000-00006A040000}"/>
    <cellStyle name="Normal 215 2" xfId="1133" xr:uid="{00000000-0005-0000-0000-00006B040000}"/>
    <cellStyle name="Normal 216" xfId="1134" xr:uid="{00000000-0005-0000-0000-00006C040000}"/>
    <cellStyle name="Normal 216 2" xfId="1135" xr:uid="{00000000-0005-0000-0000-00006D040000}"/>
    <cellStyle name="Normal 220" xfId="1136" xr:uid="{00000000-0005-0000-0000-00006E040000}"/>
    <cellStyle name="Normal 220 2" xfId="1137" xr:uid="{00000000-0005-0000-0000-00006F040000}"/>
    <cellStyle name="Normal 221" xfId="1138" xr:uid="{00000000-0005-0000-0000-000070040000}"/>
    <cellStyle name="Normal 221 2" xfId="1139" xr:uid="{00000000-0005-0000-0000-000071040000}"/>
    <cellStyle name="Normal 222" xfId="1140" xr:uid="{00000000-0005-0000-0000-000072040000}"/>
    <cellStyle name="Normal 222 2" xfId="1141" xr:uid="{00000000-0005-0000-0000-000073040000}"/>
    <cellStyle name="Normal 223" xfId="1142" xr:uid="{00000000-0005-0000-0000-000074040000}"/>
    <cellStyle name="Normal 223 2" xfId="1143" xr:uid="{00000000-0005-0000-0000-000075040000}"/>
    <cellStyle name="Normal 232" xfId="1144" xr:uid="{00000000-0005-0000-0000-000076040000}"/>
    <cellStyle name="Normal 232 2" xfId="1145" xr:uid="{00000000-0005-0000-0000-000077040000}"/>
    <cellStyle name="Normal 234" xfId="1146" xr:uid="{00000000-0005-0000-0000-000078040000}"/>
    <cellStyle name="Normal 234 2" xfId="1147" xr:uid="{00000000-0005-0000-0000-000079040000}"/>
    <cellStyle name="Normal 235" xfId="1148" xr:uid="{00000000-0005-0000-0000-00007A040000}"/>
    <cellStyle name="Normal 235 2" xfId="1149" xr:uid="{00000000-0005-0000-0000-00007B040000}"/>
    <cellStyle name="Normal 236" xfId="1150" xr:uid="{00000000-0005-0000-0000-00007C040000}"/>
    <cellStyle name="Normal 236 2" xfId="1151" xr:uid="{00000000-0005-0000-0000-00007D040000}"/>
    <cellStyle name="Normal 237" xfId="1152" xr:uid="{00000000-0005-0000-0000-00007E040000}"/>
    <cellStyle name="Normal 237 2" xfId="1153" xr:uid="{00000000-0005-0000-0000-00007F040000}"/>
    <cellStyle name="Normal 241" xfId="1154" xr:uid="{00000000-0005-0000-0000-000080040000}"/>
    <cellStyle name="Normal 241 2" xfId="1155" xr:uid="{00000000-0005-0000-0000-000081040000}"/>
    <cellStyle name="Normal 25" xfId="1156" xr:uid="{00000000-0005-0000-0000-000082040000}"/>
    <cellStyle name="Normal 25 10" xfId="1157" xr:uid="{00000000-0005-0000-0000-000083040000}"/>
    <cellStyle name="Normal 25 10 2" xfId="1158" xr:uid="{00000000-0005-0000-0000-000084040000}"/>
    <cellStyle name="Normal 25 2" xfId="1159" xr:uid="{00000000-0005-0000-0000-000085040000}"/>
    <cellStyle name="Normal 25 27" xfId="1160" xr:uid="{00000000-0005-0000-0000-000086040000}"/>
    <cellStyle name="Normal 25 27 2" xfId="1161" xr:uid="{00000000-0005-0000-0000-000087040000}"/>
    <cellStyle name="Normal 25 45" xfId="1162" xr:uid="{00000000-0005-0000-0000-000088040000}"/>
    <cellStyle name="Normal 25 45 2" xfId="1163" xr:uid="{00000000-0005-0000-0000-000089040000}"/>
    <cellStyle name="Normal 3" xfId="1164" xr:uid="{00000000-0005-0000-0000-00008A040000}"/>
    <cellStyle name="Normal 3 18" xfId="1165" xr:uid="{00000000-0005-0000-0000-00008B040000}"/>
    <cellStyle name="Normal 3 18 2" xfId="1166" xr:uid="{00000000-0005-0000-0000-00008C040000}"/>
    <cellStyle name="Normal 3 2" xfId="1167" xr:uid="{00000000-0005-0000-0000-00008D040000}"/>
    <cellStyle name="Normal 3 3" xfId="1168" xr:uid="{00000000-0005-0000-0000-00008E040000}"/>
    <cellStyle name="Normal 4" xfId="1169" xr:uid="{00000000-0005-0000-0000-00008F040000}"/>
    <cellStyle name="Normal 4 2" xfId="1170" xr:uid="{00000000-0005-0000-0000-000090040000}"/>
    <cellStyle name="Normal 4 3" xfId="1171" xr:uid="{00000000-0005-0000-0000-000091040000}"/>
    <cellStyle name="Normal 41" xfId="1172" xr:uid="{00000000-0005-0000-0000-000092040000}"/>
    <cellStyle name="Normal 41 2" xfId="1173" xr:uid="{00000000-0005-0000-0000-000093040000}"/>
    <cellStyle name="Normal 53" xfId="1174" xr:uid="{00000000-0005-0000-0000-000094040000}"/>
    <cellStyle name="Normal 53 2" xfId="1175" xr:uid="{00000000-0005-0000-0000-000095040000}"/>
    <cellStyle name="Normal 59" xfId="1176" xr:uid="{00000000-0005-0000-0000-000096040000}"/>
    <cellStyle name="Normal 59 2" xfId="1177" xr:uid="{00000000-0005-0000-0000-000097040000}"/>
    <cellStyle name="Normal 68" xfId="1178" xr:uid="{00000000-0005-0000-0000-000098040000}"/>
    <cellStyle name="Normal 68 2" xfId="1179" xr:uid="{00000000-0005-0000-0000-000099040000}"/>
    <cellStyle name="Normal 8" xfId="1180" xr:uid="{00000000-0005-0000-0000-00009A040000}"/>
    <cellStyle name="Normal 8 2" xfId="1181" xr:uid="{00000000-0005-0000-0000-00009B040000}"/>
    <cellStyle name="Normal 9" xfId="1182" xr:uid="{00000000-0005-0000-0000-00009C040000}"/>
    <cellStyle name="Normal 9 2" xfId="1183" xr:uid="{00000000-0005-0000-0000-00009D040000}"/>
    <cellStyle name="Normal 9 2 2" xfId="1184" xr:uid="{00000000-0005-0000-0000-00009E040000}"/>
    <cellStyle name="Normal 91" xfId="1185" xr:uid="{00000000-0005-0000-0000-00009F040000}"/>
    <cellStyle name="Normal 91 2" xfId="1186" xr:uid="{00000000-0005-0000-0000-0000A0040000}"/>
    <cellStyle name="Normal 92" xfId="1187" xr:uid="{00000000-0005-0000-0000-0000A1040000}"/>
    <cellStyle name="Normal 92 2" xfId="1188" xr:uid="{00000000-0005-0000-0000-0000A2040000}"/>
    <cellStyle name="Normal_August data" xfId="1189" xr:uid="{00000000-0005-0000-0000-0000A3040000}"/>
    <cellStyle name="Note 2" xfId="1190" xr:uid="{00000000-0005-0000-0000-0000A4040000}"/>
    <cellStyle name="Note 3" xfId="1191" xr:uid="{00000000-0005-0000-0000-0000A5040000}"/>
    <cellStyle name="Note 6" xfId="1192" xr:uid="{00000000-0005-0000-0000-0000A6040000}"/>
    <cellStyle name="Output" xfId="1193" xr:uid="{00000000-0005-0000-0000-0000A7040000}"/>
    <cellStyle name="Percent [0]" xfId="1198" xr:uid="{00000000-0005-0000-0000-0000A8040000}"/>
    <cellStyle name="Percent [00]" xfId="1197" xr:uid="{00000000-0005-0000-0000-0000A9040000}"/>
    <cellStyle name="Percent [2]" xfId="1199" xr:uid="{00000000-0005-0000-0000-0000AA040000}"/>
    <cellStyle name="Percent 2" xfId="1194" xr:uid="{00000000-0005-0000-0000-0000AB040000}"/>
    <cellStyle name="Percent 2 2" xfId="1195" xr:uid="{00000000-0005-0000-0000-0000AC040000}"/>
    <cellStyle name="Percent 2 3" xfId="1196" xr:uid="{00000000-0005-0000-0000-0000AD040000}"/>
    <cellStyle name="PrePop Currency (0)" xfId="1200" xr:uid="{00000000-0005-0000-0000-0000AE040000}"/>
    <cellStyle name="PrePop Currency (2)" xfId="1201" xr:uid="{00000000-0005-0000-0000-0000AF040000}"/>
    <cellStyle name="PrePop Units (0)" xfId="1202" xr:uid="{00000000-0005-0000-0000-0000B0040000}"/>
    <cellStyle name="PrePop Units (1)" xfId="1203" xr:uid="{00000000-0005-0000-0000-0000B1040000}"/>
    <cellStyle name="PrePop Units (2)" xfId="1204" xr:uid="{00000000-0005-0000-0000-0000B2040000}"/>
    <cellStyle name="Product" xfId="1205" xr:uid="{00000000-0005-0000-0000-0000B3040000}"/>
    <cellStyle name="Product 2" xfId="1206" xr:uid="{00000000-0005-0000-0000-0000B4040000}"/>
    <cellStyle name="Produkte Normal" xfId="1207" xr:uid="{00000000-0005-0000-0000-0000B5040000}"/>
    <cellStyle name="QDF" xfId="1208" xr:uid="{00000000-0005-0000-0000-0000B6040000}"/>
    <cellStyle name="QDF 2" xfId="1209" xr:uid="{00000000-0005-0000-0000-0000B7040000}"/>
    <cellStyle name="Sheet Title" xfId="1210" xr:uid="{00000000-0005-0000-0000-0000B8040000}"/>
    <cellStyle name="SPECIAL" xfId="1211" xr:uid="{00000000-0005-0000-0000-0000B9040000}"/>
    <cellStyle name="SPECIAL 2" xfId="1212" xr:uid="{00000000-0005-0000-0000-0000BA040000}"/>
    <cellStyle name="Style 1" xfId="1213" xr:uid="{00000000-0005-0000-0000-0000BB040000}"/>
    <cellStyle name="Style 1 2" xfId="1214" xr:uid="{00000000-0005-0000-0000-0000BC040000}"/>
    <cellStyle name="Style 1 3" xfId="1215" xr:uid="{00000000-0005-0000-0000-0000BD040000}"/>
    <cellStyle name="Text Indent A" xfId="1216" xr:uid="{00000000-0005-0000-0000-0000BE040000}"/>
    <cellStyle name="Text Indent B" xfId="1217" xr:uid="{00000000-0005-0000-0000-0000BF040000}"/>
    <cellStyle name="Text Indent C" xfId="1218" xr:uid="{00000000-0005-0000-0000-0000C0040000}"/>
    <cellStyle name="Total" xfId="1219" xr:uid="{00000000-0005-0000-0000-0000C1040000}"/>
    <cellStyle name="Warning Text" xfId="1220" xr:uid="{00000000-0005-0000-0000-0000C2040000}"/>
    <cellStyle name="一般" xfId="0" builtinId="0"/>
    <cellStyle name="一般 10" xfId="1221" xr:uid="{00000000-0005-0000-0000-0000C4040000}"/>
    <cellStyle name="一般 10 2" xfId="1222" xr:uid="{00000000-0005-0000-0000-0000C5040000}"/>
    <cellStyle name="一般 11" xfId="1223" xr:uid="{00000000-0005-0000-0000-0000C6040000}"/>
    <cellStyle name="一般 11 2" xfId="1224" xr:uid="{00000000-0005-0000-0000-0000C7040000}"/>
    <cellStyle name="一般 11 2 2" xfId="1225" xr:uid="{00000000-0005-0000-0000-0000C8040000}"/>
    <cellStyle name="一般 11 2 3" xfId="1226" xr:uid="{00000000-0005-0000-0000-0000C9040000}"/>
    <cellStyle name="一般 11 3" xfId="1227" xr:uid="{00000000-0005-0000-0000-0000CA040000}"/>
    <cellStyle name="一般 11 3 2" xfId="2218" xr:uid="{00000000-0005-0000-0000-0000CB040000}"/>
    <cellStyle name="一般 11 4" xfId="1228" xr:uid="{00000000-0005-0000-0000-0000CC040000}"/>
    <cellStyle name="一般 12" xfId="1229" xr:uid="{00000000-0005-0000-0000-0000CD040000}"/>
    <cellStyle name="一般 12 2" xfId="1230" xr:uid="{00000000-0005-0000-0000-0000CE040000}"/>
    <cellStyle name="一般 12 2 2" xfId="1231" xr:uid="{00000000-0005-0000-0000-0000CF040000}"/>
    <cellStyle name="一般 12 2 2 2" xfId="1232" xr:uid="{00000000-0005-0000-0000-0000D0040000}"/>
    <cellStyle name="一般 12 2 2 3" xfId="1233" xr:uid="{00000000-0005-0000-0000-0000D1040000}"/>
    <cellStyle name="一般 12 2 3" xfId="1234" xr:uid="{00000000-0005-0000-0000-0000D2040000}"/>
    <cellStyle name="一般 12 2 4" xfId="1235" xr:uid="{00000000-0005-0000-0000-0000D3040000}"/>
    <cellStyle name="一般 12 3" xfId="1236" xr:uid="{00000000-0005-0000-0000-0000D4040000}"/>
    <cellStyle name="一般 12 4" xfId="1237" xr:uid="{00000000-0005-0000-0000-0000D5040000}"/>
    <cellStyle name="一般 13" xfId="1238" xr:uid="{00000000-0005-0000-0000-0000D6040000}"/>
    <cellStyle name="一般 13 2" xfId="1239" xr:uid="{00000000-0005-0000-0000-0000D7040000}"/>
    <cellStyle name="一般 14" xfId="1240" xr:uid="{00000000-0005-0000-0000-0000D8040000}"/>
    <cellStyle name="一般 14 2" xfId="1241" xr:uid="{00000000-0005-0000-0000-0000D9040000}"/>
    <cellStyle name="一般 15" xfId="1242" xr:uid="{00000000-0005-0000-0000-0000DA040000}"/>
    <cellStyle name="一般 15 2" xfId="1243" xr:uid="{00000000-0005-0000-0000-0000DB040000}"/>
    <cellStyle name="一般 16" xfId="1244" xr:uid="{00000000-0005-0000-0000-0000DC040000}"/>
    <cellStyle name="一般 16 2" xfId="1245" xr:uid="{00000000-0005-0000-0000-0000DD040000}"/>
    <cellStyle name="一般 17" xfId="1246" xr:uid="{00000000-0005-0000-0000-0000DE040000}"/>
    <cellStyle name="一般 17 2" xfId="1247" xr:uid="{00000000-0005-0000-0000-0000DF040000}"/>
    <cellStyle name="一般 18" xfId="1248" xr:uid="{00000000-0005-0000-0000-0000E0040000}"/>
    <cellStyle name="一般 18 2" xfId="1249" xr:uid="{00000000-0005-0000-0000-0000E1040000}"/>
    <cellStyle name="一般 18 2 2" xfId="1250" xr:uid="{00000000-0005-0000-0000-0000E2040000}"/>
    <cellStyle name="一般 18 3" xfId="1251" xr:uid="{00000000-0005-0000-0000-0000E3040000}"/>
    <cellStyle name="一般 18 3 2" xfId="1252" xr:uid="{00000000-0005-0000-0000-0000E4040000}"/>
    <cellStyle name="一般 18 4" xfId="1253" xr:uid="{00000000-0005-0000-0000-0000E5040000}"/>
    <cellStyle name="一般 18 5" xfId="1254" xr:uid="{00000000-0005-0000-0000-0000E6040000}"/>
    <cellStyle name="一般 19" xfId="1255" xr:uid="{00000000-0005-0000-0000-0000E7040000}"/>
    <cellStyle name="一般 19 2" xfId="1256" xr:uid="{00000000-0005-0000-0000-0000E8040000}"/>
    <cellStyle name="一般 19 2 2" xfId="1257" xr:uid="{00000000-0005-0000-0000-0000E9040000}"/>
    <cellStyle name="一般 19 2 3" xfId="1258" xr:uid="{00000000-0005-0000-0000-0000EA040000}"/>
    <cellStyle name="一般 19 3" xfId="1259" xr:uid="{00000000-0005-0000-0000-0000EB040000}"/>
    <cellStyle name="一般 19 3 2" xfId="1260" xr:uid="{00000000-0005-0000-0000-0000EC040000}"/>
    <cellStyle name="一般 19 4" xfId="1261" xr:uid="{00000000-0005-0000-0000-0000ED040000}"/>
    <cellStyle name="一般 19 5" xfId="1262" xr:uid="{00000000-0005-0000-0000-0000EE040000}"/>
    <cellStyle name="一般 2" xfId="1263" xr:uid="{00000000-0005-0000-0000-0000EF040000}"/>
    <cellStyle name="一般 2 10" xfId="2221" xr:uid="{00000000-0005-0000-0000-0000F0040000}"/>
    <cellStyle name="一般 2 2" xfId="1264" xr:uid="{00000000-0005-0000-0000-0000F1040000}"/>
    <cellStyle name="一般 2 2 2" xfId="1265" xr:uid="{00000000-0005-0000-0000-0000F2040000}"/>
    <cellStyle name="一般 2 2 2 2" xfId="1266" xr:uid="{00000000-0005-0000-0000-0000F3040000}"/>
    <cellStyle name="一般 2 2 2 3" xfId="1267" xr:uid="{00000000-0005-0000-0000-0000F4040000}"/>
    <cellStyle name="一般 2 2 3" xfId="1268" xr:uid="{00000000-0005-0000-0000-0000F5040000}"/>
    <cellStyle name="一般 2 2 4" xfId="1269" xr:uid="{00000000-0005-0000-0000-0000F6040000}"/>
    <cellStyle name="一般 2 2 5" xfId="1270" xr:uid="{00000000-0005-0000-0000-0000F7040000}"/>
    <cellStyle name="一般 2 2 6" xfId="1271" xr:uid="{00000000-0005-0000-0000-0000F8040000}"/>
    <cellStyle name="一般 2 2 7" xfId="1272" xr:uid="{00000000-0005-0000-0000-0000F9040000}"/>
    <cellStyle name="一般 2 3" xfId="1273" xr:uid="{00000000-0005-0000-0000-0000FA040000}"/>
    <cellStyle name="一般 2 3 2" xfId="1274" xr:uid="{00000000-0005-0000-0000-0000FB040000}"/>
    <cellStyle name="一般 2 3 2 2" xfId="1275" xr:uid="{00000000-0005-0000-0000-0000FC040000}"/>
    <cellStyle name="一般 2 3 3" xfId="1276" xr:uid="{00000000-0005-0000-0000-0000FD040000}"/>
    <cellStyle name="一般 2 3 4" xfId="1277" xr:uid="{00000000-0005-0000-0000-0000FE040000}"/>
    <cellStyle name="一般 2 4" xfId="1278" xr:uid="{00000000-0005-0000-0000-0000FF040000}"/>
    <cellStyle name="一般 2 5" xfId="1279" xr:uid="{00000000-0005-0000-0000-000000050000}"/>
    <cellStyle name="一般 2 5 2" xfId="1280" xr:uid="{00000000-0005-0000-0000-000001050000}"/>
    <cellStyle name="一般 2 6" xfId="1281" xr:uid="{00000000-0005-0000-0000-000002050000}"/>
    <cellStyle name="一般 2 6 2" xfId="1282" xr:uid="{00000000-0005-0000-0000-000003050000}"/>
    <cellStyle name="一般 2 7" xfId="1283" xr:uid="{00000000-0005-0000-0000-000004050000}"/>
    <cellStyle name="一般 2 7 2" xfId="1284" xr:uid="{00000000-0005-0000-0000-000005050000}"/>
    <cellStyle name="一般 2 8" xfId="1285" xr:uid="{00000000-0005-0000-0000-000006050000}"/>
    <cellStyle name="一般 2 8 2" xfId="1286" xr:uid="{00000000-0005-0000-0000-000007050000}"/>
    <cellStyle name="一般 2 8 3" xfId="1287" xr:uid="{00000000-0005-0000-0000-000008050000}"/>
    <cellStyle name="一般 2 9" xfId="1288" xr:uid="{00000000-0005-0000-0000-000009050000}"/>
    <cellStyle name="一般 2_複本 Mar (2)" xfId="1315" xr:uid="{00000000-0005-0000-0000-00000A050000}"/>
    <cellStyle name="一般 20" xfId="1289" xr:uid="{00000000-0005-0000-0000-00000B050000}"/>
    <cellStyle name="一般 20 2" xfId="1290" xr:uid="{00000000-0005-0000-0000-00000C050000}"/>
    <cellStyle name="一般 20 2 2" xfId="1291" xr:uid="{00000000-0005-0000-0000-00000D050000}"/>
    <cellStyle name="一般 20 3" xfId="1292" xr:uid="{00000000-0005-0000-0000-00000E050000}"/>
    <cellStyle name="一般 20 4" xfId="1293" xr:uid="{00000000-0005-0000-0000-00000F050000}"/>
    <cellStyle name="一般 21" xfId="1294" xr:uid="{00000000-0005-0000-0000-000010050000}"/>
    <cellStyle name="一般 21 2" xfId="1295" xr:uid="{00000000-0005-0000-0000-000011050000}"/>
    <cellStyle name="一般 21 2 2" xfId="1296" xr:uid="{00000000-0005-0000-0000-000012050000}"/>
    <cellStyle name="一般 21 3" xfId="1297" xr:uid="{00000000-0005-0000-0000-000013050000}"/>
    <cellStyle name="一般 21 4" xfId="1298" xr:uid="{00000000-0005-0000-0000-000014050000}"/>
    <cellStyle name="一般 22" xfId="1299" xr:uid="{00000000-0005-0000-0000-000015050000}"/>
    <cellStyle name="一般 22 2" xfId="1300" xr:uid="{00000000-0005-0000-0000-000016050000}"/>
    <cellStyle name="一般 22 3" xfId="1301" xr:uid="{00000000-0005-0000-0000-000017050000}"/>
    <cellStyle name="一般 23" xfId="1302" xr:uid="{00000000-0005-0000-0000-000018050000}"/>
    <cellStyle name="一般 23 2" xfId="1303" xr:uid="{00000000-0005-0000-0000-000019050000}"/>
    <cellStyle name="一般 23 3" xfId="1304" xr:uid="{00000000-0005-0000-0000-00001A050000}"/>
    <cellStyle name="一般 24" xfId="1305" xr:uid="{00000000-0005-0000-0000-00001B050000}"/>
    <cellStyle name="一般 24 2" xfId="1306" xr:uid="{00000000-0005-0000-0000-00001C050000}"/>
    <cellStyle name="一般 25" xfId="1307" xr:uid="{00000000-0005-0000-0000-00001D050000}"/>
    <cellStyle name="一般 25 2" xfId="1308" xr:uid="{00000000-0005-0000-0000-00001E050000}"/>
    <cellStyle name="一般 26" xfId="1309" xr:uid="{00000000-0005-0000-0000-00001F050000}"/>
    <cellStyle name="一般 26 2" xfId="1310" xr:uid="{00000000-0005-0000-0000-000020050000}"/>
    <cellStyle name="一般 27" xfId="1311" xr:uid="{00000000-0005-0000-0000-000021050000}"/>
    <cellStyle name="一般 28" xfId="1312" xr:uid="{00000000-0005-0000-0000-000022050000}"/>
    <cellStyle name="一般 28 2" xfId="1313" xr:uid="{00000000-0005-0000-0000-000023050000}"/>
    <cellStyle name="一般 29" xfId="1314" xr:uid="{00000000-0005-0000-0000-000024050000}"/>
    <cellStyle name="一般 3" xfId="1316" xr:uid="{00000000-0005-0000-0000-000025050000}"/>
    <cellStyle name="一般 3 2" xfId="1317" xr:uid="{00000000-0005-0000-0000-000026050000}"/>
    <cellStyle name="一般 3 2 2" xfId="1318" xr:uid="{00000000-0005-0000-0000-000027050000}"/>
    <cellStyle name="一般 3 2 2 2" xfId="1319" xr:uid="{00000000-0005-0000-0000-000028050000}"/>
    <cellStyle name="一般 3 2 2 2 2" xfId="1320" xr:uid="{00000000-0005-0000-0000-000029050000}"/>
    <cellStyle name="一般 3 2 3" xfId="1321" xr:uid="{00000000-0005-0000-0000-00002A050000}"/>
    <cellStyle name="一般 3 2 4" xfId="1322" xr:uid="{00000000-0005-0000-0000-00002B050000}"/>
    <cellStyle name="一般 3 2 5" xfId="1323" xr:uid="{00000000-0005-0000-0000-00002C050000}"/>
    <cellStyle name="一般 3 3" xfId="1324" xr:uid="{00000000-0005-0000-0000-00002D050000}"/>
    <cellStyle name="一般 3 3 2" xfId="1325" xr:uid="{00000000-0005-0000-0000-00002E050000}"/>
    <cellStyle name="一般 3 3 3" xfId="1326" xr:uid="{00000000-0005-0000-0000-00002F050000}"/>
    <cellStyle name="一般 3 4" xfId="1327" xr:uid="{00000000-0005-0000-0000-000030050000}"/>
    <cellStyle name="一般 3 5" xfId="1328" xr:uid="{00000000-0005-0000-0000-000031050000}"/>
    <cellStyle name="一般 3 5 2" xfId="1329" xr:uid="{00000000-0005-0000-0000-000032050000}"/>
    <cellStyle name="一般 3 5 3" xfId="1330" xr:uid="{00000000-0005-0000-0000-000033050000}"/>
    <cellStyle name="一般 3 5 3 2" xfId="1331" xr:uid="{00000000-0005-0000-0000-000034050000}"/>
    <cellStyle name="一般 3 5 4" xfId="1332" xr:uid="{00000000-0005-0000-0000-000035050000}"/>
    <cellStyle name="一般 3 6" xfId="1333" xr:uid="{00000000-0005-0000-0000-000036050000}"/>
    <cellStyle name="一般 3 6 2" xfId="1334" xr:uid="{00000000-0005-0000-0000-000037050000}"/>
    <cellStyle name="一般 3 7" xfId="1335" xr:uid="{00000000-0005-0000-0000-000038050000}"/>
    <cellStyle name="一般 3 8" xfId="1336" xr:uid="{00000000-0005-0000-0000-000039050000}"/>
    <cellStyle name="一般 30" xfId="1337" xr:uid="{00000000-0005-0000-0000-00003A050000}"/>
    <cellStyle name="一般 31" xfId="1338" xr:uid="{00000000-0005-0000-0000-00003B050000}"/>
    <cellStyle name="一般 32" xfId="1339" xr:uid="{00000000-0005-0000-0000-00003C050000}"/>
    <cellStyle name="一般 33" xfId="1340" xr:uid="{00000000-0005-0000-0000-00003D050000}"/>
    <cellStyle name="一般 33 2" xfId="1341" xr:uid="{00000000-0005-0000-0000-00003E050000}"/>
    <cellStyle name="一般 34" xfId="1342" xr:uid="{00000000-0005-0000-0000-00003F050000}"/>
    <cellStyle name="一般 35" xfId="1343" xr:uid="{00000000-0005-0000-0000-000040050000}"/>
    <cellStyle name="一般 36" xfId="1344" xr:uid="{00000000-0005-0000-0000-000041050000}"/>
    <cellStyle name="一般 37" xfId="1345" xr:uid="{00000000-0005-0000-0000-000042050000}"/>
    <cellStyle name="一般 38" xfId="1346" xr:uid="{00000000-0005-0000-0000-000043050000}"/>
    <cellStyle name="一般 39" xfId="1347" xr:uid="{00000000-0005-0000-0000-000044050000}"/>
    <cellStyle name="一般 4" xfId="1348" xr:uid="{00000000-0005-0000-0000-000045050000}"/>
    <cellStyle name="一般 4 2" xfId="1349" xr:uid="{00000000-0005-0000-0000-000046050000}"/>
    <cellStyle name="一般 4 2 2" xfId="1350" xr:uid="{00000000-0005-0000-0000-000047050000}"/>
    <cellStyle name="一般 4 2 3" xfId="1351" xr:uid="{00000000-0005-0000-0000-000048050000}"/>
    <cellStyle name="一般 4 3" xfId="1352" xr:uid="{00000000-0005-0000-0000-000049050000}"/>
    <cellStyle name="一般 4 4" xfId="1353" xr:uid="{00000000-0005-0000-0000-00004A050000}"/>
    <cellStyle name="一般 4 5" xfId="1354" xr:uid="{00000000-0005-0000-0000-00004B050000}"/>
    <cellStyle name="一般 4 5 2" xfId="1355" xr:uid="{00000000-0005-0000-0000-00004C050000}"/>
    <cellStyle name="一般 4 6" xfId="1356" xr:uid="{00000000-0005-0000-0000-00004D050000}"/>
    <cellStyle name="一般 4 6 2" xfId="1357" xr:uid="{00000000-0005-0000-0000-00004E050000}"/>
    <cellStyle name="一般 4 6 2 2" xfId="1358" xr:uid="{00000000-0005-0000-0000-00004F050000}"/>
    <cellStyle name="一般 4 6 3" xfId="1359" xr:uid="{00000000-0005-0000-0000-000050050000}"/>
    <cellStyle name="一般 4 7" xfId="1360" xr:uid="{00000000-0005-0000-0000-000051050000}"/>
    <cellStyle name="一般 4 8" xfId="1361" xr:uid="{00000000-0005-0000-0000-000052050000}"/>
    <cellStyle name="一般 4 8 2" xfId="1362" xr:uid="{00000000-0005-0000-0000-000053050000}"/>
    <cellStyle name="一般 4 8 3" xfId="1363" xr:uid="{00000000-0005-0000-0000-000054050000}"/>
    <cellStyle name="一般 40" xfId="1364" xr:uid="{00000000-0005-0000-0000-000055050000}"/>
    <cellStyle name="一般 41" xfId="1365" xr:uid="{00000000-0005-0000-0000-000056050000}"/>
    <cellStyle name="一般 42" xfId="1366" xr:uid="{00000000-0005-0000-0000-000057050000}"/>
    <cellStyle name="一般 43" xfId="1367" xr:uid="{00000000-0005-0000-0000-000058050000}"/>
    <cellStyle name="一般 44" xfId="1368" xr:uid="{00000000-0005-0000-0000-000059050000}"/>
    <cellStyle name="一般 45" xfId="1369" xr:uid="{00000000-0005-0000-0000-00005A050000}"/>
    <cellStyle name="一般 46" xfId="1370" xr:uid="{00000000-0005-0000-0000-00005B050000}"/>
    <cellStyle name="一般 47" xfId="1371" xr:uid="{00000000-0005-0000-0000-00005C050000}"/>
    <cellStyle name="一般 48" xfId="1372" xr:uid="{00000000-0005-0000-0000-00005D050000}"/>
    <cellStyle name="一般 49" xfId="1373" xr:uid="{00000000-0005-0000-0000-00005E050000}"/>
    <cellStyle name="一般 5" xfId="1374" xr:uid="{00000000-0005-0000-0000-00005F050000}"/>
    <cellStyle name="一般 5 2" xfId="1375" xr:uid="{00000000-0005-0000-0000-000060050000}"/>
    <cellStyle name="一般 5 3" xfId="1376" xr:uid="{00000000-0005-0000-0000-000061050000}"/>
    <cellStyle name="一般 5 4" xfId="1377" xr:uid="{00000000-0005-0000-0000-000062050000}"/>
    <cellStyle name="一般 5 5" xfId="1378" xr:uid="{00000000-0005-0000-0000-000063050000}"/>
    <cellStyle name="一般 5 5 2" xfId="1379" xr:uid="{00000000-0005-0000-0000-000064050000}"/>
    <cellStyle name="一般 5 6" xfId="1380" xr:uid="{00000000-0005-0000-0000-000065050000}"/>
    <cellStyle name="一般 50" xfId="1381" xr:uid="{00000000-0005-0000-0000-000066050000}"/>
    <cellStyle name="一般 51" xfId="1382" xr:uid="{00000000-0005-0000-0000-000067050000}"/>
    <cellStyle name="一般 52" xfId="1383" xr:uid="{00000000-0005-0000-0000-000068050000}"/>
    <cellStyle name="一般 53" xfId="1384" xr:uid="{00000000-0005-0000-0000-000069050000}"/>
    <cellStyle name="一般 54" xfId="1385" xr:uid="{00000000-0005-0000-0000-00006A050000}"/>
    <cellStyle name="一般 55" xfId="1386" xr:uid="{00000000-0005-0000-0000-00006B050000}"/>
    <cellStyle name="一般 55 2" xfId="1387" xr:uid="{00000000-0005-0000-0000-00006C050000}"/>
    <cellStyle name="一般 56" xfId="1388" xr:uid="{00000000-0005-0000-0000-00006D050000}"/>
    <cellStyle name="一般 56 2" xfId="1389" xr:uid="{00000000-0005-0000-0000-00006E050000}"/>
    <cellStyle name="一般 57" xfId="1390" xr:uid="{00000000-0005-0000-0000-00006F050000}"/>
    <cellStyle name="一般 57 2" xfId="1391" xr:uid="{00000000-0005-0000-0000-000070050000}"/>
    <cellStyle name="一般 58" xfId="1392" xr:uid="{00000000-0005-0000-0000-000071050000}"/>
    <cellStyle name="一般 58 2" xfId="1393" xr:uid="{00000000-0005-0000-0000-000072050000}"/>
    <cellStyle name="一般 59" xfId="1394" xr:uid="{00000000-0005-0000-0000-000073050000}"/>
    <cellStyle name="一般 59 2" xfId="1395" xr:uid="{00000000-0005-0000-0000-000074050000}"/>
    <cellStyle name="一般 6" xfId="1396" xr:uid="{00000000-0005-0000-0000-000075050000}"/>
    <cellStyle name="一般 6 2" xfId="1397" xr:uid="{00000000-0005-0000-0000-000076050000}"/>
    <cellStyle name="一般 6 3" xfId="1398" xr:uid="{00000000-0005-0000-0000-000077050000}"/>
    <cellStyle name="一般 6 3 2" xfId="1399" xr:uid="{00000000-0005-0000-0000-000078050000}"/>
    <cellStyle name="一般 6 4" xfId="1400" xr:uid="{00000000-0005-0000-0000-000079050000}"/>
    <cellStyle name="一般 6 5" xfId="1401" xr:uid="{00000000-0005-0000-0000-00007A050000}"/>
    <cellStyle name="一般 6 5 2" xfId="1402" xr:uid="{00000000-0005-0000-0000-00007B050000}"/>
    <cellStyle name="一般 60" xfId="1403" xr:uid="{00000000-0005-0000-0000-00007C050000}"/>
    <cellStyle name="一般 61" xfId="1404" xr:uid="{00000000-0005-0000-0000-00007D050000}"/>
    <cellStyle name="一般 62" xfId="1405" xr:uid="{00000000-0005-0000-0000-00007E050000}"/>
    <cellStyle name="一般 63" xfId="1406" xr:uid="{00000000-0005-0000-0000-00007F050000}"/>
    <cellStyle name="一般 64" xfId="2220" xr:uid="{00000000-0005-0000-0000-000080050000}"/>
    <cellStyle name="一般 65" xfId="2227" xr:uid="{D72612EC-F490-4C85-A1E6-77E060B03CF7}"/>
    <cellStyle name="一般 65 2" xfId="2223" xr:uid="{00000000-0005-0000-0000-000081050000}"/>
    <cellStyle name="一般 65 3" xfId="2239" xr:uid="{888837A6-0F83-4C18-A416-D0C2A6257381}"/>
    <cellStyle name="一般 66" xfId="2240" xr:uid="{554F473E-234B-47D3-BD1C-F6D62AA4DEA6}"/>
    <cellStyle name="一般 67" xfId="2241" xr:uid="{B3C7DE37-204A-49C3-B11B-43BE5F356D08}"/>
    <cellStyle name="一般 68" xfId="2242" xr:uid="{3B293990-C4DD-4EE7-AD11-4E2E3FD01350}"/>
    <cellStyle name="一般 69" xfId="2243" xr:uid="{895DD8CF-2AE6-4E93-800A-80AA6624A4CA}"/>
    <cellStyle name="一般 7" xfId="1407" xr:uid="{00000000-0005-0000-0000-000082050000}"/>
    <cellStyle name="一般 7 2" xfId="1408" xr:uid="{00000000-0005-0000-0000-000083050000}"/>
    <cellStyle name="一般 7 3" xfId="1409" xr:uid="{00000000-0005-0000-0000-000084050000}"/>
    <cellStyle name="一般 7 3 2" xfId="1410" xr:uid="{00000000-0005-0000-0000-000085050000}"/>
    <cellStyle name="一般 7 4" xfId="1411" xr:uid="{00000000-0005-0000-0000-000086050000}"/>
    <cellStyle name="一般 7 4 2" xfId="1412" xr:uid="{00000000-0005-0000-0000-000087050000}"/>
    <cellStyle name="一般 71" xfId="2233" xr:uid="{3C149AEA-A3CC-4B9B-A1F5-5753C19AE8B4}"/>
    <cellStyle name="一般 73" xfId="2234" xr:uid="{17658DF3-1659-4901-AD8A-C48E33C2BA88}"/>
    <cellStyle name="一般 74" xfId="2226" xr:uid="{00000000-0005-0000-0000-000088050000}"/>
    <cellStyle name="一般 74 2" xfId="2235" xr:uid="{2B9CB30C-C5A1-4D90-88A1-8FEDBF12ECC6}"/>
    <cellStyle name="一般 75" xfId="2236" xr:uid="{566154B2-BCD7-4DBE-A69E-0BA795A5C7EF}"/>
    <cellStyle name="一般 78" xfId="2225" xr:uid="{00000000-0005-0000-0000-000089050000}"/>
    <cellStyle name="一般 79" xfId="2222" xr:uid="{00000000-0005-0000-0000-00008A050000}"/>
    <cellStyle name="一般 8" xfId="1413" xr:uid="{00000000-0005-0000-0000-00008B050000}"/>
    <cellStyle name="一般 8 2" xfId="1414" xr:uid="{00000000-0005-0000-0000-00008C050000}"/>
    <cellStyle name="一般 8 2 2" xfId="1415" xr:uid="{00000000-0005-0000-0000-00008D050000}"/>
    <cellStyle name="一般 8 3" xfId="1416" xr:uid="{00000000-0005-0000-0000-00008E050000}"/>
    <cellStyle name="一般 8 4" xfId="1417" xr:uid="{00000000-0005-0000-0000-00008F050000}"/>
    <cellStyle name="一般 8 4 2" xfId="1418" xr:uid="{00000000-0005-0000-0000-000090050000}"/>
    <cellStyle name="一般 8 5" xfId="1419" xr:uid="{00000000-0005-0000-0000-000091050000}"/>
    <cellStyle name="一般 80" xfId="2224" xr:uid="{00000000-0005-0000-0000-000092050000}"/>
    <cellStyle name="一般 9" xfId="1420" xr:uid="{00000000-0005-0000-0000-000093050000}"/>
    <cellStyle name="一般 9 2" xfId="1421" xr:uid="{00000000-0005-0000-0000-000094050000}"/>
    <cellStyle name="一般 9 2 2" xfId="1422" xr:uid="{00000000-0005-0000-0000-000095050000}"/>
    <cellStyle name="一般 9 3" xfId="1423" xr:uid="{00000000-0005-0000-0000-000096050000}"/>
    <cellStyle name="一般 9 4" xfId="1424" xr:uid="{00000000-0005-0000-0000-000097050000}"/>
    <cellStyle name="一般 9 4 2" xfId="1425" xr:uid="{00000000-0005-0000-0000-000098050000}"/>
    <cellStyle name="千分位" xfId="1" builtinId="3"/>
    <cellStyle name="千分位 10" xfId="1426" xr:uid="{00000000-0005-0000-0000-00009A050000}"/>
    <cellStyle name="千分位 10 2" xfId="1427" xr:uid="{00000000-0005-0000-0000-00009B050000}"/>
    <cellStyle name="千分位 11" xfId="1428" xr:uid="{00000000-0005-0000-0000-00009C050000}"/>
    <cellStyle name="千分位 11 2" xfId="1429" xr:uid="{00000000-0005-0000-0000-00009D050000}"/>
    <cellStyle name="千分位 11 3" xfId="1430" xr:uid="{00000000-0005-0000-0000-00009E050000}"/>
    <cellStyle name="千分位 11 3 2" xfId="1431" xr:uid="{00000000-0005-0000-0000-00009F050000}"/>
    <cellStyle name="千分位 11 3 3" xfId="1432" xr:uid="{00000000-0005-0000-0000-0000A0050000}"/>
    <cellStyle name="千分位 11 3 3 2" xfId="1433" xr:uid="{00000000-0005-0000-0000-0000A1050000}"/>
    <cellStyle name="千分位 11 4" xfId="1434" xr:uid="{00000000-0005-0000-0000-0000A2050000}"/>
    <cellStyle name="千分位 11 4 2" xfId="1435" xr:uid="{00000000-0005-0000-0000-0000A3050000}"/>
    <cellStyle name="千分位 11 5" xfId="1436" xr:uid="{00000000-0005-0000-0000-0000A4050000}"/>
    <cellStyle name="千分位 11 5 2" xfId="1437" xr:uid="{00000000-0005-0000-0000-0000A5050000}"/>
    <cellStyle name="千分位 11 6" xfId="1438" xr:uid="{00000000-0005-0000-0000-0000A6050000}"/>
    <cellStyle name="千分位 12" xfId="1439" xr:uid="{00000000-0005-0000-0000-0000A7050000}"/>
    <cellStyle name="千分位 12 2" xfId="1440" xr:uid="{00000000-0005-0000-0000-0000A8050000}"/>
    <cellStyle name="千分位 12 3" xfId="1441" xr:uid="{00000000-0005-0000-0000-0000A9050000}"/>
    <cellStyle name="千分位 12 3 2" xfId="1442" xr:uid="{00000000-0005-0000-0000-0000AA050000}"/>
    <cellStyle name="千分位 13" xfId="1443" xr:uid="{00000000-0005-0000-0000-0000AB050000}"/>
    <cellStyle name="千分位 13 2" xfId="1444" xr:uid="{00000000-0005-0000-0000-0000AC050000}"/>
    <cellStyle name="千分位 13 2 2" xfId="1445" xr:uid="{00000000-0005-0000-0000-0000AD050000}"/>
    <cellStyle name="千分位 13 3" xfId="1446" xr:uid="{00000000-0005-0000-0000-0000AE050000}"/>
    <cellStyle name="千分位 14" xfId="1447" xr:uid="{00000000-0005-0000-0000-0000AF050000}"/>
    <cellStyle name="千分位 14 2" xfId="1448" xr:uid="{00000000-0005-0000-0000-0000B0050000}"/>
    <cellStyle name="千分位 15" xfId="2229" xr:uid="{C91AE8E1-102D-44E8-9E2E-AB611AD5600B}"/>
    <cellStyle name="千分位 15 2" xfId="2238" xr:uid="{BB113C0B-735D-4AF8-872D-5343F7160747}"/>
    <cellStyle name="千分位 16" xfId="2230" xr:uid="{E6A49CA7-D64A-4099-9A78-EAE722E1A1C2}"/>
    <cellStyle name="千分位 17" xfId="2237" xr:uid="{C71CA90F-99E5-4DB5-9F9C-A487AAC3444D}"/>
    <cellStyle name="千分位 2" xfId="1449" xr:uid="{00000000-0005-0000-0000-0000B1050000}"/>
    <cellStyle name="千分位 2 2" xfId="1450" xr:uid="{00000000-0005-0000-0000-0000B2050000}"/>
    <cellStyle name="千分位 2 2 2" xfId="1451" xr:uid="{00000000-0005-0000-0000-0000B3050000}"/>
    <cellStyle name="千分位 2 2 3" xfId="1452" xr:uid="{00000000-0005-0000-0000-0000B4050000}"/>
    <cellStyle name="千分位 2 2 3 2" xfId="1453" xr:uid="{00000000-0005-0000-0000-0000B5050000}"/>
    <cellStyle name="千分位 2 2 3 2 2" xfId="1454" xr:uid="{00000000-0005-0000-0000-0000B6050000}"/>
    <cellStyle name="千分位 2 2 3 3" xfId="1455" xr:uid="{00000000-0005-0000-0000-0000B7050000}"/>
    <cellStyle name="千分位 2 2 4" xfId="2231" xr:uid="{C9BE366F-D778-4189-9F9E-632F92030FA6}"/>
    <cellStyle name="千分位 2 3" xfId="1456" xr:uid="{00000000-0005-0000-0000-0000B8050000}"/>
    <cellStyle name="千分位 2 3 2" xfId="1457" xr:uid="{00000000-0005-0000-0000-0000B9050000}"/>
    <cellStyle name="千分位 2 3 2 2" xfId="1458" xr:uid="{00000000-0005-0000-0000-0000BA050000}"/>
    <cellStyle name="千分位 2 3 3" xfId="1459" xr:uid="{00000000-0005-0000-0000-0000BB050000}"/>
    <cellStyle name="千分位 2 3 3 2" xfId="1460" xr:uid="{00000000-0005-0000-0000-0000BC050000}"/>
    <cellStyle name="千分位 2 4" xfId="1461" xr:uid="{00000000-0005-0000-0000-0000BD050000}"/>
    <cellStyle name="千分位 2 4 2" xfId="1462" xr:uid="{00000000-0005-0000-0000-0000BE050000}"/>
    <cellStyle name="千分位 2 5" xfId="1463" xr:uid="{00000000-0005-0000-0000-0000BF050000}"/>
    <cellStyle name="千分位 2 5 2" xfId="1464" xr:uid="{00000000-0005-0000-0000-0000C0050000}"/>
    <cellStyle name="千分位 2 5 3" xfId="1465" xr:uid="{00000000-0005-0000-0000-0000C1050000}"/>
    <cellStyle name="千分位 2 5 3 2" xfId="1466" xr:uid="{00000000-0005-0000-0000-0000C2050000}"/>
    <cellStyle name="千分位 2 5 4" xfId="1467" xr:uid="{00000000-0005-0000-0000-0000C3050000}"/>
    <cellStyle name="千分位 2 5 5" xfId="1468" xr:uid="{00000000-0005-0000-0000-0000C4050000}"/>
    <cellStyle name="千分位 2 5 5 2" xfId="1469" xr:uid="{00000000-0005-0000-0000-0000C5050000}"/>
    <cellStyle name="千分位 2 5 6" xfId="1470" xr:uid="{00000000-0005-0000-0000-0000C6050000}"/>
    <cellStyle name="千分位 2 6" xfId="1471" xr:uid="{00000000-0005-0000-0000-0000C7050000}"/>
    <cellStyle name="千分位 2 6 2" xfId="1472" xr:uid="{00000000-0005-0000-0000-0000C8050000}"/>
    <cellStyle name="千分位 2 6 3" xfId="1473" xr:uid="{00000000-0005-0000-0000-0000C9050000}"/>
    <cellStyle name="千分位 2 6 3 2" xfId="1474" xr:uid="{00000000-0005-0000-0000-0000CA050000}"/>
    <cellStyle name="千分位 2 7" xfId="1475" xr:uid="{00000000-0005-0000-0000-0000CB050000}"/>
    <cellStyle name="千分位 2 7 2" xfId="1476" xr:uid="{00000000-0005-0000-0000-0000CC050000}"/>
    <cellStyle name="千分位 2 7 3" xfId="1477" xr:uid="{00000000-0005-0000-0000-0000CD050000}"/>
    <cellStyle name="千分位 2 7 3 2" xfId="1478" xr:uid="{00000000-0005-0000-0000-0000CE050000}"/>
    <cellStyle name="千分位 3" xfId="1479" xr:uid="{00000000-0005-0000-0000-0000CF050000}"/>
    <cellStyle name="千分位 3 2" xfId="1480" xr:uid="{00000000-0005-0000-0000-0000D0050000}"/>
    <cellStyle name="千分位 3 3" xfId="1481" xr:uid="{00000000-0005-0000-0000-0000D1050000}"/>
    <cellStyle name="千分位 3 3 2" xfId="1482" xr:uid="{00000000-0005-0000-0000-0000D2050000}"/>
    <cellStyle name="千分位 3 4" xfId="1483" xr:uid="{00000000-0005-0000-0000-0000D3050000}"/>
    <cellStyle name="千分位 3 5" xfId="1484" xr:uid="{00000000-0005-0000-0000-0000D4050000}"/>
    <cellStyle name="千分位 3 5 2" xfId="1485" xr:uid="{00000000-0005-0000-0000-0000D5050000}"/>
    <cellStyle name="千分位 3 5 3" xfId="1486" xr:uid="{00000000-0005-0000-0000-0000D6050000}"/>
    <cellStyle name="千分位 3 5 4" xfId="1487" xr:uid="{00000000-0005-0000-0000-0000D7050000}"/>
    <cellStyle name="千分位 3 6" xfId="1488" xr:uid="{00000000-0005-0000-0000-0000D8050000}"/>
    <cellStyle name="千分位 3 6 2" xfId="1489" xr:uid="{00000000-0005-0000-0000-0000D9050000}"/>
    <cellStyle name="千分位 3 6 3" xfId="1490" xr:uid="{00000000-0005-0000-0000-0000DA050000}"/>
    <cellStyle name="千分位 3 7" xfId="1491" xr:uid="{00000000-0005-0000-0000-0000DB050000}"/>
    <cellStyle name="千分位 4" xfId="1492" xr:uid="{00000000-0005-0000-0000-0000DC050000}"/>
    <cellStyle name="千分位 4 2" xfId="1493" xr:uid="{00000000-0005-0000-0000-0000DD050000}"/>
    <cellStyle name="千分位 4 3" xfId="1494" xr:uid="{00000000-0005-0000-0000-0000DE050000}"/>
    <cellStyle name="千分位 4 3 2" xfId="1495" xr:uid="{00000000-0005-0000-0000-0000DF050000}"/>
    <cellStyle name="千分位 4 4" xfId="1496" xr:uid="{00000000-0005-0000-0000-0000E0050000}"/>
    <cellStyle name="千分位 5" xfId="1497" xr:uid="{00000000-0005-0000-0000-0000E1050000}"/>
    <cellStyle name="千分位 5 2" xfId="1498" xr:uid="{00000000-0005-0000-0000-0000E2050000}"/>
    <cellStyle name="千分位 6" xfId="1499" xr:uid="{00000000-0005-0000-0000-0000E3050000}"/>
    <cellStyle name="千分位 6 2" xfId="1500" xr:uid="{00000000-0005-0000-0000-0000E4050000}"/>
    <cellStyle name="千分位 6 2 2" xfId="1501" xr:uid="{00000000-0005-0000-0000-0000E5050000}"/>
    <cellStyle name="千分位 7" xfId="1502" xr:uid="{00000000-0005-0000-0000-0000E6050000}"/>
    <cellStyle name="千分位 7 2" xfId="1503" xr:uid="{00000000-0005-0000-0000-0000E7050000}"/>
    <cellStyle name="千分位 7 2 2" xfId="1504" xr:uid="{00000000-0005-0000-0000-0000E8050000}"/>
    <cellStyle name="千分位 7 2 2 2" xfId="1505" xr:uid="{00000000-0005-0000-0000-0000E9050000}"/>
    <cellStyle name="千分位 7 3" xfId="1506" xr:uid="{00000000-0005-0000-0000-0000EA050000}"/>
    <cellStyle name="千分位 7 3 2" xfId="1507" xr:uid="{00000000-0005-0000-0000-0000EB050000}"/>
    <cellStyle name="千分位 7 4" xfId="1508" xr:uid="{00000000-0005-0000-0000-0000EC050000}"/>
    <cellStyle name="千分位 7 4 2" xfId="1509" xr:uid="{00000000-0005-0000-0000-0000ED050000}"/>
    <cellStyle name="千分位 8" xfId="1510" xr:uid="{00000000-0005-0000-0000-0000EE050000}"/>
    <cellStyle name="千分位 8 2" xfId="1511" xr:uid="{00000000-0005-0000-0000-0000EF050000}"/>
    <cellStyle name="千分位 8 3" xfId="1512" xr:uid="{00000000-0005-0000-0000-0000F0050000}"/>
    <cellStyle name="千分位 9" xfId="1513" xr:uid="{00000000-0005-0000-0000-0000F1050000}"/>
    <cellStyle name="千分位 9 2" xfId="1514" xr:uid="{00000000-0005-0000-0000-0000F2050000}"/>
    <cellStyle name="千分位 9 3" xfId="1515" xr:uid="{00000000-0005-0000-0000-0000F3050000}"/>
    <cellStyle name="千分位 9 3 2" xfId="1516" xr:uid="{00000000-0005-0000-0000-0000F4050000}"/>
    <cellStyle name="千分位[0] 2" xfId="1517" xr:uid="{00000000-0005-0000-0000-0000F5050000}"/>
    <cellStyle name="计算" xfId="1835" xr:uid="{00000000-0005-0000-0000-0000F6050000}"/>
    <cellStyle name="计算 2" xfId="1836" xr:uid="{00000000-0005-0000-0000-0000F7050000}"/>
    <cellStyle name="汇总" xfId="1716" xr:uid="{00000000-0005-0000-0000-0000F8050000}"/>
    <cellStyle name="汇总 2" xfId="1717" xr:uid="{00000000-0005-0000-0000-0000F9050000}"/>
    <cellStyle name="好_~2579226" xfId="1519" xr:uid="{00000000-0005-0000-0000-0000FA050000}"/>
    <cellStyle name="百分比 2" xfId="1797" xr:uid="{00000000-0005-0000-0000-0000FB050000}"/>
    <cellStyle name="百分比 2 2" xfId="1798" xr:uid="{00000000-0005-0000-0000-0000FC050000}"/>
    <cellStyle name="百分比 2 3" xfId="1799" xr:uid="{00000000-0005-0000-0000-0000FD050000}"/>
    <cellStyle name="百分比 2 3 2" xfId="1800" xr:uid="{00000000-0005-0000-0000-0000FE050000}"/>
    <cellStyle name="百分比 2 3 2 2" xfId="1801" xr:uid="{00000000-0005-0000-0000-0000FF050000}"/>
    <cellStyle name="百分比 2 4" xfId="1802" xr:uid="{00000000-0005-0000-0000-000000060000}"/>
    <cellStyle name="百分比 2 5" xfId="1803" xr:uid="{00000000-0005-0000-0000-000001060000}"/>
    <cellStyle name="百分比 2 5 2" xfId="1804" xr:uid="{00000000-0005-0000-0000-000002060000}"/>
    <cellStyle name="百分比 2 5 3" xfId="1805" xr:uid="{00000000-0005-0000-0000-000003060000}"/>
    <cellStyle name="百分比 2 6" xfId="1806" xr:uid="{00000000-0005-0000-0000-000004060000}"/>
    <cellStyle name="百分比 2 6 2" xfId="1807" xr:uid="{00000000-0005-0000-0000-000005060000}"/>
    <cellStyle name="百分比 2 6 3" xfId="1808" xr:uid="{00000000-0005-0000-0000-000006060000}"/>
    <cellStyle name="百分比 2 6 3 2" xfId="1809" xr:uid="{00000000-0005-0000-0000-000007060000}"/>
    <cellStyle name="百分比 2 7" xfId="1810" xr:uid="{00000000-0005-0000-0000-000008060000}"/>
    <cellStyle name="百分比 2 7 2" xfId="1811" xr:uid="{00000000-0005-0000-0000-000009060000}"/>
    <cellStyle name="百分比 3" xfId="1812" xr:uid="{00000000-0005-0000-0000-00000A060000}"/>
    <cellStyle name="百分比 3 2" xfId="1813" xr:uid="{00000000-0005-0000-0000-00000B060000}"/>
    <cellStyle name="百分比 3 3" xfId="1814" xr:uid="{00000000-0005-0000-0000-00000C060000}"/>
    <cellStyle name="百分比 4" xfId="1815" xr:uid="{00000000-0005-0000-0000-00000D060000}"/>
    <cellStyle name="百分比 4 2" xfId="1816" xr:uid="{00000000-0005-0000-0000-00000E060000}"/>
    <cellStyle name="百分比 4 2 2" xfId="1817" xr:uid="{00000000-0005-0000-0000-00000F060000}"/>
    <cellStyle name="百分比 5" xfId="1818" xr:uid="{00000000-0005-0000-0000-000010060000}"/>
    <cellStyle name="百分比 6" xfId="1819" xr:uid="{00000000-0005-0000-0000-000011060000}"/>
    <cellStyle name="百分比 6 2" xfId="1820" xr:uid="{00000000-0005-0000-0000-000012060000}"/>
    <cellStyle name="百分比 6 2 2" xfId="1821" xr:uid="{00000000-0005-0000-0000-000013060000}"/>
    <cellStyle name="百分比 6 2 2 2" xfId="1822" xr:uid="{00000000-0005-0000-0000-000014060000}"/>
    <cellStyle name="百分比 6 3" xfId="1823" xr:uid="{00000000-0005-0000-0000-000015060000}"/>
    <cellStyle name="百分比 6 3 2" xfId="1824" xr:uid="{00000000-0005-0000-0000-000016060000}"/>
    <cellStyle name="百分比 6 4" xfId="1825" xr:uid="{00000000-0005-0000-0000-000017060000}"/>
    <cellStyle name="百分比 6 4 2" xfId="1826" xr:uid="{00000000-0005-0000-0000-000018060000}"/>
    <cellStyle name="百分比 7" xfId="1827" xr:uid="{00000000-0005-0000-0000-000019060000}"/>
    <cellStyle name="百分比 7 2" xfId="1828" xr:uid="{00000000-0005-0000-0000-00001A060000}"/>
    <cellStyle name="百分比 8" xfId="1829" xr:uid="{00000000-0005-0000-0000-00001B060000}"/>
    <cellStyle name="百分比 8 2" xfId="1830" xr:uid="{00000000-0005-0000-0000-00001C060000}"/>
    <cellStyle name="注释" xfId="1718" xr:uid="{00000000-0005-0000-0000-00001D060000}"/>
    <cellStyle name="注释 2" xfId="1719" xr:uid="{00000000-0005-0000-0000-00001E060000}"/>
    <cellStyle name="注释 2 2" xfId="1720" xr:uid="{00000000-0005-0000-0000-00001F060000}"/>
    <cellStyle name="注释 2 2 2" xfId="1721" xr:uid="{00000000-0005-0000-0000-000020060000}"/>
    <cellStyle name="注释 2 2 2 2" xfId="1722" xr:uid="{00000000-0005-0000-0000-000021060000}"/>
    <cellStyle name="注释 2 2 2 2 2" xfId="1723" xr:uid="{00000000-0005-0000-0000-000022060000}"/>
    <cellStyle name="注释 2 2 2 2 2 2" xfId="1724" xr:uid="{00000000-0005-0000-0000-000023060000}"/>
    <cellStyle name="注释 2 2 2 2 2 3" xfId="1725" xr:uid="{00000000-0005-0000-0000-000024060000}"/>
    <cellStyle name="注释 2 2 2 2 3" xfId="1726" xr:uid="{00000000-0005-0000-0000-000025060000}"/>
    <cellStyle name="注释 2 2 2 2 3 2" xfId="1727" xr:uid="{00000000-0005-0000-0000-000026060000}"/>
    <cellStyle name="注释 2 2 2 2 3 3" xfId="1728" xr:uid="{00000000-0005-0000-0000-000027060000}"/>
    <cellStyle name="注释 2 2 2 3" xfId="1729" xr:uid="{00000000-0005-0000-0000-000028060000}"/>
    <cellStyle name="注释 2 2 2 4" xfId="1730" xr:uid="{00000000-0005-0000-0000-000029060000}"/>
    <cellStyle name="注释 2 2 2 4 2" xfId="1731" xr:uid="{00000000-0005-0000-0000-00002A060000}"/>
    <cellStyle name="注释 2 2 2 5" xfId="1732" xr:uid="{00000000-0005-0000-0000-00002B060000}"/>
    <cellStyle name="注释 2 2 3" xfId="1733" xr:uid="{00000000-0005-0000-0000-00002C060000}"/>
    <cellStyle name="注释 2 2 3 2" xfId="1734" xr:uid="{00000000-0005-0000-0000-00002D060000}"/>
    <cellStyle name="注释 2 2 3 2 2" xfId="1735" xr:uid="{00000000-0005-0000-0000-00002E060000}"/>
    <cellStyle name="注释 2 2 3 2 3" xfId="1736" xr:uid="{00000000-0005-0000-0000-00002F060000}"/>
    <cellStyle name="注释 2 2 3 3" xfId="1737" xr:uid="{00000000-0005-0000-0000-000030060000}"/>
    <cellStyle name="注释 2 2 3 3 2" xfId="1738" xr:uid="{00000000-0005-0000-0000-000031060000}"/>
    <cellStyle name="注释 2 2 3 3 3" xfId="1739" xr:uid="{00000000-0005-0000-0000-000032060000}"/>
    <cellStyle name="注释 2 2 4" xfId="1740" xr:uid="{00000000-0005-0000-0000-000033060000}"/>
    <cellStyle name="注释 2 2 5" xfId="1741" xr:uid="{00000000-0005-0000-0000-000034060000}"/>
    <cellStyle name="注释 2 2 5 2" xfId="1742" xr:uid="{00000000-0005-0000-0000-000035060000}"/>
    <cellStyle name="注释 2 2 6" xfId="1743" xr:uid="{00000000-0005-0000-0000-000036060000}"/>
    <cellStyle name="注释 2 3" xfId="1744" xr:uid="{00000000-0005-0000-0000-000037060000}"/>
    <cellStyle name="注释 2 3 2" xfId="1745" xr:uid="{00000000-0005-0000-0000-000038060000}"/>
    <cellStyle name="注释 2 3 2 2" xfId="1746" xr:uid="{00000000-0005-0000-0000-000039060000}"/>
    <cellStyle name="注释 2 3 2 3" xfId="1747" xr:uid="{00000000-0005-0000-0000-00003A060000}"/>
    <cellStyle name="注释 2 3 3" xfId="1748" xr:uid="{00000000-0005-0000-0000-00003B060000}"/>
    <cellStyle name="注释 2 3 3 2" xfId="1749" xr:uid="{00000000-0005-0000-0000-00003C060000}"/>
    <cellStyle name="注释 2 3 3 3" xfId="1750" xr:uid="{00000000-0005-0000-0000-00003D060000}"/>
    <cellStyle name="注释 2 4" xfId="1751" xr:uid="{00000000-0005-0000-0000-00003E060000}"/>
    <cellStyle name="注释 2 4 2" xfId="1752" xr:uid="{00000000-0005-0000-0000-00003F060000}"/>
    <cellStyle name="注释 2 5" xfId="1753" xr:uid="{00000000-0005-0000-0000-000040060000}"/>
    <cellStyle name="注释 2 5 2" xfId="1754" xr:uid="{00000000-0005-0000-0000-000041060000}"/>
    <cellStyle name="注释 2 6" xfId="1755" xr:uid="{00000000-0005-0000-0000-000042060000}"/>
    <cellStyle name="注释 2 6 2" xfId="1756" xr:uid="{00000000-0005-0000-0000-000043060000}"/>
    <cellStyle name="注释 2 7" xfId="1757" xr:uid="{00000000-0005-0000-0000-000044060000}"/>
    <cellStyle name="注释 3" xfId="1758" xr:uid="{00000000-0005-0000-0000-000045060000}"/>
    <cellStyle name="注释 3 2" xfId="1759" xr:uid="{00000000-0005-0000-0000-000046060000}"/>
    <cellStyle name="注释 3 2 2" xfId="1760" xr:uid="{00000000-0005-0000-0000-000047060000}"/>
    <cellStyle name="注释 3 2 2 2" xfId="1761" xr:uid="{00000000-0005-0000-0000-000048060000}"/>
    <cellStyle name="注释 3 2 2 2 2" xfId="1762" xr:uid="{00000000-0005-0000-0000-000049060000}"/>
    <cellStyle name="注释 3 2 2 2 3" xfId="1763" xr:uid="{00000000-0005-0000-0000-00004A060000}"/>
    <cellStyle name="注释 3 2 2 3" xfId="1764" xr:uid="{00000000-0005-0000-0000-00004B060000}"/>
    <cellStyle name="注释 3 2 2 3 2" xfId="1765" xr:uid="{00000000-0005-0000-0000-00004C060000}"/>
    <cellStyle name="注释 3 2 2 3 3" xfId="1766" xr:uid="{00000000-0005-0000-0000-00004D060000}"/>
    <cellStyle name="注释 3 2 3" xfId="1767" xr:uid="{00000000-0005-0000-0000-00004E060000}"/>
    <cellStyle name="注释 3 2 4" xfId="1768" xr:uid="{00000000-0005-0000-0000-00004F060000}"/>
    <cellStyle name="注释 3 2 4 2" xfId="1769" xr:uid="{00000000-0005-0000-0000-000050060000}"/>
    <cellStyle name="注释 3 2 5" xfId="1770" xr:uid="{00000000-0005-0000-0000-000051060000}"/>
    <cellStyle name="注释 3 3" xfId="1771" xr:uid="{00000000-0005-0000-0000-000052060000}"/>
    <cellStyle name="注释 3 3 2" xfId="1772" xr:uid="{00000000-0005-0000-0000-000053060000}"/>
    <cellStyle name="注释 3 3 2 2" xfId="1773" xr:uid="{00000000-0005-0000-0000-000054060000}"/>
    <cellStyle name="注释 3 3 2 3" xfId="1774" xr:uid="{00000000-0005-0000-0000-000055060000}"/>
    <cellStyle name="注释 3 3 3" xfId="1775" xr:uid="{00000000-0005-0000-0000-000056060000}"/>
    <cellStyle name="注释 3 3 3 2" xfId="1776" xr:uid="{00000000-0005-0000-0000-000057060000}"/>
    <cellStyle name="注释 3 3 3 3" xfId="1777" xr:uid="{00000000-0005-0000-0000-000058060000}"/>
    <cellStyle name="注释 3 4" xfId="1778" xr:uid="{00000000-0005-0000-0000-000059060000}"/>
    <cellStyle name="注释 3 5" xfId="1779" xr:uid="{00000000-0005-0000-0000-00005A060000}"/>
    <cellStyle name="注释 3 5 2" xfId="1780" xr:uid="{00000000-0005-0000-0000-00005B060000}"/>
    <cellStyle name="注释 3 6" xfId="1781" xr:uid="{00000000-0005-0000-0000-00005C060000}"/>
    <cellStyle name="注释 4" xfId="1782" xr:uid="{00000000-0005-0000-0000-00005D060000}"/>
    <cellStyle name="注释 4 2" xfId="1783" xr:uid="{00000000-0005-0000-0000-00005E060000}"/>
    <cellStyle name="注释 4 2 2" xfId="1784" xr:uid="{00000000-0005-0000-0000-00005F060000}"/>
    <cellStyle name="注释 4 2 3" xfId="1785" xr:uid="{00000000-0005-0000-0000-000060060000}"/>
    <cellStyle name="注释 4 3" xfId="1786" xr:uid="{00000000-0005-0000-0000-000061060000}"/>
    <cellStyle name="注释 4 3 2" xfId="1787" xr:uid="{00000000-0005-0000-0000-000062060000}"/>
    <cellStyle name="注释 4 3 3" xfId="1788" xr:uid="{00000000-0005-0000-0000-000063060000}"/>
    <cellStyle name="注释 4 3 4" xfId="1789" xr:uid="{00000000-0005-0000-0000-000064060000}"/>
    <cellStyle name="注释 5" xfId="1790" xr:uid="{00000000-0005-0000-0000-000065060000}"/>
    <cellStyle name="注释 5 2" xfId="1791" xr:uid="{00000000-0005-0000-0000-000066060000}"/>
    <cellStyle name="注释 6" xfId="1792" xr:uid="{00000000-0005-0000-0000-000067060000}"/>
    <cellStyle name="注释 6 2" xfId="1793" xr:uid="{00000000-0005-0000-0000-000068060000}"/>
    <cellStyle name="注释 7" xfId="1794" xr:uid="{00000000-0005-0000-0000-000069060000}"/>
    <cellStyle name="注释 7 2" xfId="1795" xr:uid="{00000000-0005-0000-0000-00006A060000}"/>
    <cellStyle name="注释 8" xfId="1796" xr:uid="{00000000-0005-0000-0000-00006B060000}"/>
    <cellStyle name="标题" xfId="1694" xr:uid="{00000000-0005-0000-0000-00006C060000}"/>
    <cellStyle name="标题 1" xfId="1695" xr:uid="{00000000-0005-0000-0000-00006D060000}"/>
    <cellStyle name="标题 1 2" xfId="1696" xr:uid="{00000000-0005-0000-0000-00006E060000}"/>
    <cellStyle name="标题 2" xfId="1697" xr:uid="{00000000-0005-0000-0000-00006F060000}"/>
    <cellStyle name="标题 2 2" xfId="1698" xr:uid="{00000000-0005-0000-0000-000070060000}"/>
    <cellStyle name="标题 3" xfId="1699" xr:uid="{00000000-0005-0000-0000-000071060000}"/>
    <cellStyle name="标题 3 2" xfId="1700" xr:uid="{00000000-0005-0000-0000-000072060000}"/>
    <cellStyle name="标题 4" xfId="1701" xr:uid="{00000000-0005-0000-0000-000073060000}"/>
    <cellStyle name="标题 4 2" xfId="1702" xr:uid="{00000000-0005-0000-0000-000074060000}"/>
    <cellStyle name="标题 5" xfId="1703" xr:uid="{00000000-0005-0000-0000-000075060000}"/>
    <cellStyle name="差" xfId="1520" xr:uid="{00000000-0005-0000-0000-000076060000}"/>
    <cellStyle name="差 2" xfId="1521" xr:uid="{00000000-0005-0000-0000-000077060000}"/>
    <cellStyle name="样式 1" xfId="1704" xr:uid="{00000000-0005-0000-0000-000078060000}"/>
    <cellStyle name="适中" xfId="2210" xr:uid="{00000000-0005-0000-0000-000079060000}"/>
    <cellStyle name="适中 2" xfId="2211" xr:uid="{00000000-0005-0000-0000-00007A060000}"/>
    <cellStyle name="常规 2" xfId="1522" xr:uid="{00000000-0005-0000-0000-00007B060000}"/>
    <cellStyle name="常规 2 2" xfId="1523" xr:uid="{00000000-0005-0000-0000-00007C060000}"/>
    <cellStyle name="常规 2 2 2" xfId="1524" xr:uid="{00000000-0005-0000-0000-00007D060000}"/>
    <cellStyle name="常规 2 2 2 2" xfId="1525" xr:uid="{00000000-0005-0000-0000-00007E060000}"/>
    <cellStyle name="常规 2 2 2 2 2" xfId="1526" xr:uid="{00000000-0005-0000-0000-00007F060000}"/>
    <cellStyle name="常规 2 2 2 2 2 2" xfId="1527" xr:uid="{00000000-0005-0000-0000-000080060000}"/>
    <cellStyle name="常规 2 2 2 2 2 2 2" xfId="1528" xr:uid="{00000000-0005-0000-0000-000081060000}"/>
    <cellStyle name="常规 2 2 2 2 2 2 3" xfId="1529" xr:uid="{00000000-0005-0000-0000-000082060000}"/>
    <cellStyle name="常规 2 2 2 2 2 3" xfId="1530" xr:uid="{00000000-0005-0000-0000-000083060000}"/>
    <cellStyle name="常规 2 2 2 2 2 3 2" xfId="1531" xr:uid="{00000000-0005-0000-0000-000084060000}"/>
    <cellStyle name="常规 2 2 2 2 2 3 3" xfId="1532" xr:uid="{00000000-0005-0000-0000-000085060000}"/>
    <cellStyle name="常规 2 2 2 2 3" xfId="1533" xr:uid="{00000000-0005-0000-0000-000086060000}"/>
    <cellStyle name="常规 2 2 2 2 4" xfId="1534" xr:uid="{00000000-0005-0000-0000-000087060000}"/>
    <cellStyle name="常规 2 2 2 2 4 2" xfId="1535" xr:uid="{00000000-0005-0000-0000-000088060000}"/>
    <cellStyle name="常规 2 2 2 2 5" xfId="1536" xr:uid="{00000000-0005-0000-0000-000089060000}"/>
    <cellStyle name="常规 2 2 2 3" xfId="1537" xr:uid="{00000000-0005-0000-0000-00008A060000}"/>
    <cellStyle name="常规 2 2 2 3 2" xfId="1538" xr:uid="{00000000-0005-0000-0000-00008B060000}"/>
    <cellStyle name="常规 2 2 2 3 2 2" xfId="1539" xr:uid="{00000000-0005-0000-0000-00008C060000}"/>
    <cellStyle name="常规 2 2 2 3 2 3" xfId="1540" xr:uid="{00000000-0005-0000-0000-00008D060000}"/>
    <cellStyle name="常规 2 2 2 3 3" xfId="1541" xr:uid="{00000000-0005-0000-0000-00008E060000}"/>
    <cellStyle name="常规 2 2 2 3 3 2" xfId="1542" xr:uid="{00000000-0005-0000-0000-00008F060000}"/>
    <cellStyle name="常规 2 2 2 3 3 3" xfId="1543" xr:uid="{00000000-0005-0000-0000-000090060000}"/>
    <cellStyle name="常规 2 2 2 4" xfId="1544" xr:uid="{00000000-0005-0000-0000-000091060000}"/>
    <cellStyle name="常规 2 2 2 5" xfId="1545" xr:uid="{00000000-0005-0000-0000-000092060000}"/>
    <cellStyle name="常规 2 2 2 5 2" xfId="1546" xr:uid="{00000000-0005-0000-0000-000093060000}"/>
    <cellStyle name="常规 2 2 2 6" xfId="1547" xr:uid="{00000000-0005-0000-0000-000094060000}"/>
    <cellStyle name="常规 2 2 3" xfId="1548" xr:uid="{00000000-0005-0000-0000-000095060000}"/>
    <cellStyle name="常规 2 2 3 2" xfId="1549" xr:uid="{00000000-0005-0000-0000-000096060000}"/>
    <cellStyle name="常规 2 2 3 2 2" xfId="1550" xr:uid="{00000000-0005-0000-0000-000097060000}"/>
    <cellStyle name="常规 2 2 3 2 3" xfId="1551" xr:uid="{00000000-0005-0000-0000-000098060000}"/>
    <cellStyle name="常规 2 2 3 3" xfId="1552" xr:uid="{00000000-0005-0000-0000-000099060000}"/>
    <cellStyle name="常规 2 2 3 3 2" xfId="1553" xr:uid="{00000000-0005-0000-0000-00009A060000}"/>
    <cellStyle name="常规 2 2 3 3 3" xfId="1554" xr:uid="{00000000-0005-0000-0000-00009B060000}"/>
    <cellStyle name="常规 2 2 4" xfId="1555" xr:uid="{00000000-0005-0000-0000-00009C060000}"/>
    <cellStyle name="常规 2 2 4 2" xfId="1556" xr:uid="{00000000-0005-0000-0000-00009D060000}"/>
    <cellStyle name="常规 2 2 5" xfId="1557" xr:uid="{00000000-0005-0000-0000-00009E060000}"/>
    <cellStyle name="常规 2 2 5 2" xfId="1558" xr:uid="{00000000-0005-0000-0000-00009F060000}"/>
    <cellStyle name="常规 2 2 6" xfId="1559" xr:uid="{00000000-0005-0000-0000-0000A0060000}"/>
    <cellStyle name="常规 2 2 6 2" xfId="1560" xr:uid="{00000000-0005-0000-0000-0000A1060000}"/>
    <cellStyle name="常规 2 2 7" xfId="1561" xr:uid="{00000000-0005-0000-0000-0000A2060000}"/>
    <cellStyle name="常规 2 3" xfId="1562" xr:uid="{00000000-0005-0000-0000-0000A3060000}"/>
    <cellStyle name="常规 2 3 2" xfId="1563" xr:uid="{00000000-0005-0000-0000-0000A4060000}"/>
    <cellStyle name="常规 2 3 2 2" xfId="1564" xr:uid="{00000000-0005-0000-0000-0000A5060000}"/>
    <cellStyle name="常规 2 3 2 2 2" xfId="1565" xr:uid="{00000000-0005-0000-0000-0000A6060000}"/>
    <cellStyle name="常规 2 3 2 2 2 2" xfId="1566" xr:uid="{00000000-0005-0000-0000-0000A7060000}"/>
    <cellStyle name="常规 2 3 2 2 2 3" xfId="1567" xr:uid="{00000000-0005-0000-0000-0000A8060000}"/>
    <cellStyle name="常规 2 3 2 2 3" xfId="1568" xr:uid="{00000000-0005-0000-0000-0000A9060000}"/>
    <cellStyle name="常规 2 3 2 2 3 2" xfId="1569" xr:uid="{00000000-0005-0000-0000-0000AA060000}"/>
    <cellStyle name="常规 2 3 2 2 3 3" xfId="1570" xr:uid="{00000000-0005-0000-0000-0000AB060000}"/>
    <cellStyle name="常规 2 3 2 3" xfId="1571" xr:uid="{00000000-0005-0000-0000-0000AC060000}"/>
    <cellStyle name="常规 2 3 2 4" xfId="1572" xr:uid="{00000000-0005-0000-0000-0000AD060000}"/>
    <cellStyle name="常规 2 3 2 4 2" xfId="1573" xr:uid="{00000000-0005-0000-0000-0000AE060000}"/>
    <cellStyle name="常规 2 3 2 5" xfId="1574" xr:uid="{00000000-0005-0000-0000-0000AF060000}"/>
    <cellStyle name="常规 2 3 3" xfId="1575" xr:uid="{00000000-0005-0000-0000-0000B0060000}"/>
    <cellStyle name="常规 2 3 3 2" xfId="1576" xr:uid="{00000000-0005-0000-0000-0000B1060000}"/>
    <cellStyle name="常规 2 3 3 2 2" xfId="1577" xr:uid="{00000000-0005-0000-0000-0000B2060000}"/>
    <cellStyle name="常规 2 3 3 2 3" xfId="1578" xr:uid="{00000000-0005-0000-0000-0000B3060000}"/>
    <cellStyle name="常规 2 3 3 3" xfId="1579" xr:uid="{00000000-0005-0000-0000-0000B4060000}"/>
    <cellStyle name="常规 2 3 3 3 2" xfId="1580" xr:uid="{00000000-0005-0000-0000-0000B5060000}"/>
    <cellStyle name="常规 2 3 3 3 3" xfId="1581" xr:uid="{00000000-0005-0000-0000-0000B6060000}"/>
    <cellStyle name="常规 2 3 4" xfId="1582" xr:uid="{00000000-0005-0000-0000-0000B7060000}"/>
    <cellStyle name="常规 2 3 5" xfId="1583" xr:uid="{00000000-0005-0000-0000-0000B8060000}"/>
    <cellStyle name="常规 2 3 5 2" xfId="1584" xr:uid="{00000000-0005-0000-0000-0000B9060000}"/>
    <cellStyle name="常规 2 3 6" xfId="1585" xr:uid="{00000000-0005-0000-0000-0000BA060000}"/>
    <cellStyle name="常规 2 4" xfId="1586" xr:uid="{00000000-0005-0000-0000-0000BB060000}"/>
    <cellStyle name="常规 2 4 2" xfId="1587" xr:uid="{00000000-0005-0000-0000-0000BC060000}"/>
    <cellStyle name="常规 2 4 2 2" xfId="1588" xr:uid="{00000000-0005-0000-0000-0000BD060000}"/>
    <cellStyle name="常规 2 4 2 3" xfId="1589" xr:uid="{00000000-0005-0000-0000-0000BE060000}"/>
    <cellStyle name="常规 2 4 3" xfId="1590" xr:uid="{00000000-0005-0000-0000-0000BF060000}"/>
    <cellStyle name="常规 2 4 3 2" xfId="1591" xr:uid="{00000000-0005-0000-0000-0000C0060000}"/>
    <cellStyle name="常规 2 4 3 3" xfId="1592" xr:uid="{00000000-0005-0000-0000-0000C1060000}"/>
    <cellStyle name="常规 2 4 3 4" xfId="1593" xr:uid="{00000000-0005-0000-0000-0000C2060000}"/>
    <cellStyle name="常规 2 5" xfId="1594" xr:uid="{00000000-0005-0000-0000-0000C3060000}"/>
    <cellStyle name="常规 2 5 2" xfId="1595" xr:uid="{00000000-0005-0000-0000-0000C4060000}"/>
    <cellStyle name="常规 2 6" xfId="1596" xr:uid="{00000000-0005-0000-0000-0000C5060000}"/>
    <cellStyle name="常规 2 6 2" xfId="1597" xr:uid="{00000000-0005-0000-0000-0000C6060000}"/>
    <cellStyle name="常规 2 7" xfId="1598" xr:uid="{00000000-0005-0000-0000-0000C7060000}"/>
    <cellStyle name="常规 2 7 2" xfId="1599" xr:uid="{00000000-0005-0000-0000-0000C8060000}"/>
    <cellStyle name="常规 2 8" xfId="1600" xr:uid="{00000000-0005-0000-0000-0000C9060000}"/>
    <cellStyle name="常规 29" xfId="1601" xr:uid="{00000000-0005-0000-0000-0000CA060000}"/>
    <cellStyle name="常规 3" xfId="1602" xr:uid="{00000000-0005-0000-0000-0000CB060000}"/>
    <cellStyle name="常规 3 2" xfId="1603" xr:uid="{00000000-0005-0000-0000-0000CC060000}"/>
    <cellStyle name="常规 3 2 2" xfId="1604" xr:uid="{00000000-0005-0000-0000-0000CD060000}"/>
    <cellStyle name="常规 3 2 2 2" xfId="1605" xr:uid="{00000000-0005-0000-0000-0000CE060000}"/>
    <cellStyle name="常规 3 2 2 2 2" xfId="1606" xr:uid="{00000000-0005-0000-0000-0000CF060000}"/>
    <cellStyle name="常规 3 2 2 2 2 2" xfId="1607" xr:uid="{00000000-0005-0000-0000-0000D0060000}"/>
    <cellStyle name="常规 3 2 2 2 2 2 2" xfId="1608" xr:uid="{00000000-0005-0000-0000-0000D1060000}"/>
    <cellStyle name="常规 3 2 2 2 2 2 3" xfId="1609" xr:uid="{00000000-0005-0000-0000-0000D2060000}"/>
    <cellStyle name="常规 3 2 2 2 2 3" xfId="1610" xr:uid="{00000000-0005-0000-0000-0000D3060000}"/>
    <cellStyle name="常规 3 2 2 2 2 3 2" xfId="1611" xr:uid="{00000000-0005-0000-0000-0000D4060000}"/>
    <cellStyle name="常规 3 2 2 2 2 3 3" xfId="1612" xr:uid="{00000000-0005-0000-0000-0000D5060000}"/>
    <cellStyle name="常规 3 2 2 2 3" xfId="1613" xr:uid="{00000000-0005-0000-0000-0000D6060000}"/>
    <cellStyle name="常规 3 2 2 2 4" xfId="1614" xr:uid="{00000000-0005-0000-0000-0000D7060000}"/>
    <cellStyle name="常规 3 2 2 2 4 2" xfId="1615" xr:uid="{00000000-0005-0000-0000-0000D8060000}"/>
    <cellStyle name="常规 3 2 2 2 5" xfId="1616" xr:uid="{00000000-0005-0000-0000-0000D9060000}"/>
    <cellStyle name="常规 3 2 2 3" xfId="1617" xr:uid="{00000000-0005-0000-0000-0000DA060000}"/>
    <cellStyle name="常规 3 2 2 3 2" xfId="1618" xr:uid="{00000000-0005-0000-0000-0000DB060000}"/>
    <cellStyle name="常规 3 2 2 3 2 2" xfId="1619" xr:uid="{00000000-0005-0000-0000-0000DC060000}"/>
    <cellStyle name="常规 3 2 2 3 2 3" xfId="1620" xr:uid="{00000000-0005-0000-0000-0000DD060000}"/>
    <cellStyle name="常规 3 2 2 3 3" xfId="1621" xr:uid="{00000000-0005-0000-0000-0000DE060000}"/>
    <cellStyle name="常规 3 2 2 3 3 2" xfId="1622" xr:uid="{00000000-0005-0000-0000-0000DF060000}"/>
    <cellStyle name="常规 3 2 2 3 3 3" xfId="1623" xr:uid="{00000000-0005-0000-0000-0000E0060000}"/>
    <cellStyle name="常规 3 2 2 4" xfId="1624" xr:uid="{00000000-0005-0000-0000-0000E1060000}"/>
    <cellStyle name="常规 3 2 2 5" xfId="1625" xr:uid="{00000000-0005-0000-0000-0000E2060000}"/>
    <cellStyle name="常规 3 2 2 5 2" xfId="1626" xr:uid="{00000000-0005-0000-0000-0000E3060000}"/>
    <cellStyle name="常规 3 2 2 6" xfId="1627" xr:uid="{00000000-0005-0000-0000-0000E4060000}"/>
    <cellStyle name="常规 3 2 3" xfId="1628" xr:uid="{00000000-0005-0000-0000-0000E5060000}"/>
    <cellStyle name="常规 3 2 3 2" xfId="1629" xr:uid="{00000000-0005-0000-0000-0000E6060000}"/>
    <cellStyle name="常规 3 2 3 2 2" xfId="1630" xr:uid="{00000000-0005-0000-0000-0000E7060000}"/>
    <cellStyle name="常规 3 2 3 2 3" xfId="1631" xr:uid="{00000000-0005-0000-0000-0000E8060000}"/>
    <cellStyle name="常规 3 2 3 3" xfId="1632" xr:uid="{00000000-0005-0000-0000-0000E9060000}"/>
    <cellStyle name="常规 3 2 3 3 2" xfId="1633" xr:uid="{00000000-0005-0000-0000-0000EA060000}"/>
    <cellStyle name="常规 3 2 3 3 3" xfId="1634" xr:uid="{00000000-0005-0000-0000-0000EB060000}"/>
    <cellStyle name="常规 3 2 4" xfId="1635" xr:uid="{00000000-0005-0000-0000-0000EC060000}"/>
    <cellStyle name="常规 3 2 4 2" xfId="1636" xr:uid="{00000000-0005-0000-0000-0000ED060000}"/>
    <cellStyle name="常规 3 2 5" xfId="1637" xr:uid="{00000000-0005-0000-0000-0000EE060000}"/>
    <cellStyle name="常规 3 2 5 2" xfId="1638" xr:uid="{00000000-0005-0000-0000-0000EF060000}"/>
    <cellStyle name="常规 3 2 6" xfId="1639" xr:uid="{00000000-0005-0000-0000-0000F0060000}"/>
    <cellStyle name="常规 3 2 6 2" xfId="1640" xr:uid="{00000000-0005-0000-0000-0000F1060000}"/>
    <cellStyle name="常规 3 2 7" xfId="1641" xr:uid="{00000000-0005-0000-0000-0000F2060000}"/>
    <cellStyle name="常规 3 3" xfId="1642" xr:uid="{00000000-0005-0000-0000-0000F3060000}"/>
    <cellStyle name="常规 3 3 2" xfId="1643" xr:uid="{00000000-0005-0000-0000-0000F4060000}"/>
    <cellStyle name="常规 3 3 2 2" xfId="1644" xr:uid="{00000000-0005-0000-0000-0000F5060000}"/>
    <cellStyle name="常规 3 3 2 2 2" xfId="1645" xr:uid="{00000000-0005-0000-0000-0000F6060000}"/>
    <cellStyle name="常规 3 3 2 2 2 2" xfId="1646" xr:uid="{00000000-0005-0000-0000-0000F7060000}"/>
    <cellStyle name="常规 3 3 2 2 2 3" xfId="1647" xr:uid="{00000000-0005-0000-0000-0000F8060000}"/>
    <cellStyle name="常规 3 3 2 2 3" xfId="1648" xr:uid="{00000000-0005-0000-0000-0000F9060000}"/>
    <cellStyle name="常规 3 3 2 2 3 2" xfId="1649" xr:uid="{00000000-0005-0000-0000-0000FA060000}"/>
    <cellStyle name="常规 3 3 2 2 3 3" xfId="1650" xr:uid="{00000000-0005-0000-0000-0000FB060000}"/>
    <cellStyle name="常规 3 3 2 3" xfId="1651" xr:uid="{00000000-0005-0000-0000-0000FC060000}"/>
    <cellStyle name="常规 3 3 2 4" xfId="1652" xr:uid="{00000000-0005-0000-0000-0000FD060000}"/>
    <cellStyle name="常规 3 3 2 4 2" xfId="1653" xr:uid="{00000000-0005-0000-0000-0000FE060000}"/>
    <cellStyle name="常规 3 3 2 5" xfId="1654" xr:uid="{00000000-0005-0000-0000-0000FF060000}"/>
    <cellStyle name="常规 3 3 3" xfId="1655" xr:uid="{00000000-0005-0000-0000-000000070000}"/>
    <cellStyle name="常规 3 3 3 2" xfId="1656" xr:uid="{00000000-0005-0000-0000-000001070000}"/>
    <cellStyle name="常规 3 3 3 2 2" xfId="1657" xr:uid="{00000000-0005-0000-0000-000002070000}"/>
    <cellStyle name="常规 3 3 3 2 3" xfId="1658" xr:uid="{00000000-0005-0000-0000-000003070000}"/>
    <cellStyle name="常规 3 3 3 3" xfId="1659" xr:uid="{00000000-0005-0000-0000-000004070000}"/>
    <cellStyle name="常规 3 3 3 3 2" xfId="1660" xr:uid="{00000000-0005-0000-0000-000005070000}"/>
    <cellStyle name="常规 3 3 3 3 3" xfId="1661" xr:uid="{00000000-0005-0000-0000-000006070000}"/>
    <cellStyle name="常规 3 3 4" xfId="1662" xr:uid="{00000000-0005-0000-0000-000007070000}"/>
    <cellStyle name="常规 3 3 5" xfId="1663" xr:uid="{00000000-0005-0000-0000-000008070000}"/>
    <cellStyle name="常规 3 3 5 2" xfId="1664" xr:uid="{00000000-0005-0000-0000-000009070000}"/>
    <cellStyle name="常规 3 3 6" xfId="1665" xr:uid="{00000000-0005-0000-0000-00000A070000}"/>
    <cellStyle name="常规 3 4" xfId="1666" xr:uid="{00000000-0005-0000-0000-00000B070000}"/>
    <cellStyle name="常规 3 4 2" xfId="1667" xr:uid="{00000000-0005-0000-0000-00000C070000}"/>
    <cellStyle name="常规 3 4 2 2" xfId="1668" xr:uid="{00000000-0005-0000-0000-00000D070000}"/>
    <cellStyle name="常规 3 4 2 3" xfId="1669" xr:uid="{00000000-0005-0000-0000-00000E070000}"/>
    <cellStyle name="常规 3 4 3" xfId="1670" xr:uid="{00000000-0005-0000-0000-00000F070000}"/>
    <cellStyle name="常规 3 4 3 2" xfId="1671" xr:uid="{00000000-0005-0000-0000-000010070000}"/>
    <cellStyle name="常规 3 4 3 3" xfId="1672" xr:uid="{00000000-0005-0000-0000-000011070000}"/>
    <cellStyle name="常规 3 4 3 4" xfId="1673" xr:uid="{00000000-0005-0000-0000-000012070000}"/>
    <cellStyle name="常规 3 5" xfId="1674" xr:uid="{00000000-0005-0000-0000-000013070000}"/>
    <cellStyle name="常规 3 5 2" xfId="1675" xr:uid="{00000000-0005-0000-0000-000014070000}"/>
    <cellStyle name="常规 3 6" xfId="1676" xr:uid="{00000000-0005-0000-0000-000015070000}"/>
    <cellStyle name="常规 3 6 2" xfId="1677" xr:uid="{00000000-0005-0000-0000-000016070000}"/>
    <cellStyle name="常规 3 7" xfId="1678" xr:uid="{00000000-0005-0000-0000-000017070000}"/>
    <cellStyle name="常规 3 7 2" xfId="1679" xr:uid="{00000000-0005-0000-0000-000018070000}"/>
    <cellStyle name="常规 3 8" xfId="1680" xr:uid="{00000000-0005-0000-0000-000019070000}"/>
    <cellStyle name="常规_AMSNB_RMP_0510_Marcom_meeting" xfId="1681" xr:uid="{00000000-0005-0000-0000-00001A070000}"/>
    <cellStyle name="检查单元格" xfId="1705" xr:uid="{00000000-0005-0000-0000-00001B070000}"/>
    <cellStyle name="检查单元格 2" xfId="1706" xr:uid="{00000000-0005-0000-0000-00001C070000}"/>
    <cellStyle name="貨幣" xfId="2" builtinId="4"/>
    <cellStyle name="貨幣 [0] 10" xfId="2169" xr:uid="{00000000-0005-0000-0000-00001E070000}"/>
    <cellStyle name="貨幣 [0] 10 2" xfId="2170" xr:uid="{00000000-0005-0000-0000-00001F070000}"/>
    <cellStyle name="貨幣 [0] 10 3" xfId="2171" xr:uid="{00000000-0005-0000-0000-000020070000}"/>
    <cellStyle name="貨幣 [0] 10 4" xfId="2172" xr:uid="{00000000-0005-0000-0000-000021070000}"/>
    <cellStyle name="貨幣 [0] 10 4 2" xfId="2173" xr:uid="{00000000-0005-0000-0000-000022070000}"/>
    <cellStyle name="貨幣 [0] 11" xfId="2174" xr:uid="{00000000-0005-0000-0000-000023070000}"/>
    <cellStyle name="貨幣 [0] 12" xfId="2175" xr:uid="{00000000-0005-0000-0000-000024070000}"/>
    <cellStyle name="貨幣 [0] 12 2" xfId="2176" xr:uid="{00000000-0005-0000-0000-000025070000}"/>
    <cellStyle name="貨幣 [0] 13" xfId="2177" xr:uid="{00000000-0005-0000-0000-000026070000}"/>
    <cellStyle name="貨幣 [0] 13 2" xfId="2178" xr:uid="{00000000-0005-0000-0000-000027070000}"/>
    <cellStyle name="貨幣 [0] 2" xfId="2179" xr:uid="{00000000-0005-0000-0000-000028070000}"/>
    <cellStyle name="貨幣 [0] 3" xfId="2180" xr:uid="{00000000-0005-0000-0000-000029070000}"/>
    <cellStyle name="貨幣 [0] 4" xfId="2181" xr:uid="{00000000-0005-0000-0000-00002A070000}"/>
    <cellStyle name="貨幣 [0] 4 2" xfId="2182" xr:uid="{00000000-0005-0000-0000-00002B070000}"/>
    <cellStyle name="貨幣 [0] 4 3" xfId="2183" xr:uid="{00000000-0005-0000-0000-00002C070000}"/>
    <cellStyle name="貨幣 [0] 4 4" xfId="2184" xr:uid="{00000000-0005-0000-0000-00002D070000}"/>
    <cellStyle name="貨幣 [0] 5" xfId="2185" xr:uid="{00000000-0005-0000-0000-00002E070000}"/>
    <cellStyle name="貨幣 [0] 5 2" xfId="2186" xr:uid="{00000000-0005-0000-0000-00002F070000}"/>
    <cellStyle name="貨幣 [0] 6" xfId="2187" xr:uid="{00000000-0005-0000-0000-000030070000}"/>
    <cellStyle name="貨幣 [0] 6 2" xfId="2188" xr:uid="{00000000-0005-0000-0000-000031070000}"/>
    <cellStyle name="貨幣 [0] 7" xfId="2189" xr:uid="{00000000-0005-0000-0000-000032070000}"/>
    <cellStyle name="貨幣 [0] 7 2" xfId="2190" xr:uid="{00000000-0005-0000-0000-000033070000}"/>
    <cellStyle name="貨幣 [0] 8" xfId="2191" xr:uid="{00000000-0005-0000-0000-000034070000}"/>
    <cellStyle name="貨幣 [0] 9" xfId="2192" xr:uid="{00000000-0005-0000-0000-000035070000}"/>
    <cellStyle name="貨幣 [0] 9 2" xfId="2193" xr:uid="{00000000-0005-0000-0000-000036070000}"/>
    <cellStyle name="貨幣 [0] 9 3" xfId="2194" xr:uid="{00000000-0005-0000-0000-000037070000}"/>
    <cellStyle name="貨幣 [0] 9 3 2" xfId="2195" xr:uid="{00000000-0005-0000-0000-000038070000}"/>
    <cellStyle name="貨幣 [0] 9 4" xfId="2196" xr:uid="{00000000-0005-0000-0000-000039070000}"/>
    <cellStyle name="貨幣 [0] 9 4 2" xfId="2197" xr:uid="{00000000-0005-0000-0000-00003A070000}"/>
    <cellStyle name="貨幣 [0] 9 5" xfId="2198" xr:uid="{00000000-0005-0000-0000-00003B070000}"/>
    <cellStyle name="貨幣 [0] 9 5 2" xfId="2199" xr:uid="{00000000-0005-0000-0000-00003C070000}"/>
    <cellStyle name="貨幣 [0] 9 6" xfId="2200" xr:uid="{00000000-0005-0000-0000-00003D070000}"/>
    <cellStyle name="貨幣 10" xfId="1837" xr:uid="{00000000-0005-0000-0000-00003E070000}"/>
    <cellStyle name="貨幣 100" xfId="1838" xr:uid="{00000000-0005-0000-0000-00003F070000}"/>
    <cellStyle name="貨幣 100 2" xfId="1839" xr:uid="{00000000-0005-0000-0000-000040070000}"/>
    <cellStyle name="貨幣 101" xfId="1840" xr:uid="{00000000-0005-0000-0000-000041070000}"/>
    <cellStyle name="貨幣 101 2" xfId="1841" xr:uid="{00000000-0005-0000-0000-000042070000}"/>
    <cellStyle name="貨幣 102" xfId="1842" xr:uid="{00000000-0005-0000-0000-000043070000}"/>
    <cellStyle name="貨幣 102 2" xfId="1843" xr:uid="{00000000-0005-0000-0000-000044070000}"/>
    <cellStyle name="貨幣 103" xfId="1844" xr:uid="{00000000-0005-0000-0000-000045070000}"/>
    <cellStyle name="貨幣 103 2" xfId="1845" xr:uid="{00000000-0005-0000-0000-000046070000}"/>
    <cellStyle name="貨幣 104" xfId="1846" xr:uid="{00000000-0005-0000-0000-000047070000}"/>
    <cellStyle name="貨幣 104 2" xfId="1847" xr:uid="{00000000-0005-0000-0000-000048070000}"/>
    <cellStyle name="貨幣 105" xfId="1848" xr:uid="{00000000-0005-0000-0000-000049070000}"/>
    <cellStyle name="貨幣 105 2" xfId="1849" xr:uid="{00000000-0005-0000-0000-00004A070000}"/>
    <cellStyle name="貨幣 106" xfId="1850" xr:uid="{00000000-0005-0000-0000-00004B070000}"/>
    <cellStyle name="貨幣 106 2" xfId="1851" xr:uid="{00000000-0005-0000-0000-00004C070000}"/>
    <cellStyle name="貨幣 107" xfId="1852" xr:uid="{00000000-0005-0000-0000-00004D070000}"/>
    <cellStyle name="貨幣 108" xfId="1853" xr:uid="{00000000-0005-0000-0000-00004E070000}"/>
    <cellStyle name="貨幣 109" xfId="1854" xr:uid="{00000000-0005-0000-0000-00004F070000}"/>
    <cellStyle name="貨幣 11" xfId="1855" xr:uid="{00000000-0005-0000-0000-000050070000}"/>
    <cellStyle name="貨幣 11 2" xfId="1856" xr:uid="{00000000-0005-0000-0000-000051070000}"/>
    <cellStyle name="貨幣 11 3" xfId="1857" xr:uid="{00000000-0005-0000-0000-000052070000}"/>
    <cellStyle name="貨幣 110" xfId="1858" xr:uid="{00000000-0005-0000-0000-000053070000}"/>
    <cellStyle name="貨幣 111" xfId="1859" xr:uid="{00000000-0005-0000-0000-000054070000}"/>
    <cellStyle name="貨幣 112" xfId="1860" xr:uid="{00000000-0005-0000-0000-000055070000}"/>
    <cellStyle name="貨幣 112 2" xfId="1861" xr:uid="{00000000-0005-0000-0000-000056070000}"/>
    <cellStyle name="貨幣 113" xfId="1862" xr:uid="{00000000-0005-0000-0000-000057070000}"/>
    <cellStyle name="貨幣 113 2" xfId="1863" xr:uid="{00000000-0005-0000-0000-000058070000}"/>
    <cellStyle name="貨幣 114" xfId="1864" xr:uid="{00000000-0005-0000-0000-000059070000}"/>
    <cellStyle name="貨幣 114 2" xfId="1865" xr:uid="{00000000-0005-0000-0000-00005A070000}"/>
    <cellStyle name="貨幣 115" xfId="1866" xr:uid="{00000000-0005-0000-0000-00005B070000}"/>
    <cellStyle name="貨幣 116" xfId="1867" xr:uid="{00000000-0005-0000-0000-00005C070000}"/>
    <cellStyle name="貨幣 116 2" xfId="1868" xr:uid="{00000000-0005-0000-0000-00005D070000}"/>
    <cellStyle name="貨幣 117" xfId="1869" xr:uid="{00000000-0005-0000-0000-00005E070000}"/>
    <cellStyle name="貨幣 117 2" xfId="1870" xr:uid="{00000000-0005-0000-0000-00005F070000}"/>
    <cellStyle name="貨幣 118" xfId="1871" xr:uid="{00000000-0005-0000-0000-000060070000}"/>
    <cellStyle name="貨幣 119" xfId="1872" xr:uid="{00000000-0005-0000-0000-000061070000}"/>
    <cellStyle name="貨幣 12" xfId="1873" xr:uid="{00000000-0005-0000-0000-000062070000}"/>
    <cellStyle name="貨幣 12 2" xfId="1874" xr:uid="{00000000-0005-0000-0000-000063070000}"/>
    <cellStyle name="貨幣 12 3" xfId="1875" xr:uid="{00000000-0005-0000-0000-000064070000}"/>
    <cellStyle name="貨幣 120" xfId="1876" xr:uid="{00000000-0005-0000-0000-000065070000}"/>
    <cellStyle name="貨幣 120 2" xfId="1877" xr:uid="{00000000-0005-0000-0000-000066070000}"/>
    <cellStyle name="貨幣 121" xfId="1878" xr:uid="{00000000-0005-0000-0000-000067070000}"/>
    <cellStyle name="貨幣 121 2" xfId="1879" xr:uid="{00000000-0005-0000-0000-000068070000}"/>
    <cellStyle name="貨幣 122" xfId="1880" xr:uid="{00000000-0005-0000-0000-000069070000}"/>
    <cellStyle name="貨幣 122 2" xfId="1881" xr:uid="{00000000-0005-0000-0000-00006A070000}"/>
    <cellStyle name="貨幣 123" xfId="1882" xr:uid="{00000000-0005-0000-0000-00006B070000}"/>
    <cellStyle name="貨幣 123 2" xfId="1883" xr:uid="{00000000-0005-0000-0000-00006C070000}"/>
    <cellStyle name="貨幣 124" xfId="1884" xr:uid="{00000000-0005-0000-0000-00006D070000}"/>
    <cellStyle name="貨幣 124 2" xfId="1885" xr:uid="{00000000-0005-0000-0000-00006E070000}"/>
    <cellStyle name="貨幣 125" xfId="1886" xr:uid="{00000000-0005-0000-0000-00006F070000}"/>
    <cellStyle name="貨幣 126" xfId="1887" xr:uid="{00000000-0005-0000-0000-000070070000}"/>
    <cellStyle name="貨幣 127" xfId="2232" xr:uid="{6E727EBC-CD38-4D34-8665-535318CAA372}"/>
    <cellStyle name="貨幣 13" xfId="1888" xr:uid="{00000000-0005-0000-0000-000071070000}"/>
    <cellStyle name="貨幣 13 2" xfId="1889" xr:uid="{00000000-0005-0000-0000-000072070000}"/>
    <cellStyle name="貨幣 13 3" xfId="1890" xr:uid="{00000000-0005-0000-0000-000073070000}"/>
    <cellStyle name="貨幣 14" xfId="1891" xr:uid="{00000000-0005-0000-0000-000074070000}"/>
    <cellStyle name="貨幣 14 2" xfId="1892" xr:uid="{00000000-0005-0000-0000-000075070000}"/>
    <cellStyle name="貨幣 14 3" xfId="1893" xr:uid="{00000000-0005-0000-0000-000076070000}"/>
    <cellStyle name="貨幣 15" xfId="1894" xr:uid="{00000000-0005-0000-0000-000077070000}"/>
    <cellStyle name="貨幣 15 2" xfId="1895" xr:uid="{00000000-0005-0000-0000-000078070000}"/>
    <cellStyle name="貨幣 15 3" xfId="1896" xr:uid="{00000000-0005-0000-0000-000079070000}"/>
    <cellStyle name="貨幣 16" xfId="1897" xr:uid="{00000000-0005-0000-0000-00007A070000}"/>
    <cellStyle name="貨幣 17" xfId="1898" xr:uid="{00000000-0005-0000-0000-00007B070000}"/>
    <cellStyle name="貨幣 18" xfId="1899" xr:uid="{00000000-0005-0000-0000-00007C070000}"/>
    <cellStyle name="貨幣 19" xfId="1900" xr:uid="{00000000-0005-0000-0000-00007D070000}"/>
    <cellStyle name="貨幣 2" xfId="1901" xr:uid="{00000000-0005-0000-0000-00007E070000}"/>
    <cellStyle name="貨幣 2 10" xfId="1902" xr:uid="{00000000-0005-0000-0000-00007F070000}"/>
    <cellStyle name="貨幣 2 10 2" xfId="1903" xr:uid="{00000000-0005-0000-0000-000080070000}"/>
    <cellStyle name="貨幣 2 10 2 2 2" xfId="2219" xr:uid="{00000000-0005-0000-0000-000081070000}"/>
    <cellStyle name="貨幣 2 2" xfId="1904" xr:uid="{00000000-0005-0000-0000-000082070000}"/>
    <cellStyle name="貨幣 2 2 2" xfId="1905" xr:uid="{00000000-0005-0000-0000-000083070000}"/>
    <cellStyle name="貨幣 2 2 3" xfId="1906" xr:uid="{00000000-0005-0000-0000-000084070000}"/>
    <cellStyle name="貨幣 2 2 3 2" xfId="1907" xr:uid="{00000000-0005-0000-0000-000085070000}"/>
    <cellStyle name="貨幣 2 2 4" xfId="1908" xr:uid="{00000000-0005-0000-0000-000086070000}"/>
    <cellStyle name="貨幣 2 2 5" xfId="1909" xr:uid="{00000000-0005-0000-0000-000087070000}"/>
    <cellStyle name="貨幣 2 2 6" xfId="1910" xr:uid="{00000000-0005-0000-0000-000088070000}"/>
    <cellStyle name="貨幣 2 2 7" xfId="1911" xr:uid="{00000000-0005-0000-0000-000089070000}"/>
    <cellStyle name="貨幣 2 2 7 2" xfId="1912" xr:uid="{00000000-0005-0000-0000-00008A070000}"/>
    <cellStyle name="貨幣 2 2 7 2 2" xfId="1913" xr:uid="{00000000-0005-0000-0000-00008B070000}"/>
    <cellStyle name="貨幣 2 2 7 3" xfId="1914" xr:uid="{00000000-0005-0000-0000-00008C070000}"/>
    <cellStyle name="貨幣 2 3" xfId="1915" xr:uid="{00000000-0005-0000-0000-00008D070000}"/>
    <cellStyle name="貨幣 2 3 2" xfId="1916" xr:uid="{00000000-0005-0000-0000-00008E070000}"/>
    <cellStyle name="貨幣 2 4" xfId="1917" xr:uid="{00000000-0005-0000-0000-00008F070000}"/>
    <cellStyle name="貨幣 2 4 2" xfId="1918" xr:uid="{00000000-0005-0000-0000-000090070000}"/>
    <cellStyle name="貨幣 2 5" xfId="1919" xr:uid="{00000000-0005-0000-0000-000091070000}"/>
    <cellStyle name="貨幣 2 6" xfId="1920" xr:uid="{00000000-0005-0000-0000-000092070000}"/>
    <cellStyle name="貨幣 2 7" xfId="1921" xr:uid="{00000000-0005-0000-0000-000093070000}"/>
    <cellStyle name="貨幣 2 8" xfId="1922" xr:uid="{00000000-0005-0000-0000-000094070000}"/>
    <cellStyle name="貨幣 2 9" xfId="1923" xr:uid="{00000000-0005-0000-0000-000095070000}"/>
    <cellStyle name="貨幣 2 9 2" xfId="1924" xr:uid="{00000000-0005-0000-0000-000096070000}"/>
    <cellStyle name="貨幣 20" xfId="1925" xr:uid="{00000000-0005-0000-0000-000097070000}"/>
    <cellStyle name="貨幣 21" xfId="1926" xr:uid="{00000000-0005-0000-0000-000098070000}"/>
    <cellStyle name="貨幣 21 2" xfId="1927" xr:uid="{00000000-0005-0000-0000-000099070000}"/>
    <cellStyle name="貨幣 22" xfId="1928" xr:uid="{00000000-0005-0000-0000-00009A070000}"/>
    <cellStyle name="貨幣 22 2" xfId="1929" xr:uid="{00000000-0005-0000-0000-00009B070000}"/>
    <cellStyle name="貨幣 23" xfId="1930" xr:uid="{00000000-0005-0000-0000-00009C070000}"/>
    <cellStyle name="貨幣 23 2" xfId="1931" xr:uid="{00000000-0005-0000-0000-00009D070000}"/>
    <cellStyle name="貨幣 24" xfId="1932" xr:uid="{00000000-0005-0000-0000-00009E070000}"/>
    <cellStyle name="貨幣 24 2" xfId="1933" xr:uid="{00000000-0005-0000-0000-00009F070000}"/>
    <cellStyle name="貨幣 25" xfId="1934" xr:uid="{00000000-0005-0000-0000-0000A0070000}"/>
    <cellStyle name="貨幣 26" xfId="1935" xr:uid="{00000000-0005-0000-0000-0000A1070000}"/>
    <cellStyle name="貨幣 26 2" xfId="1936" xr:uid="{00000000-0005-0000-0000-0000A2070000}"/>
    <cellStyle name="貨幣 26 3" xfId="1937" xr:uid="{00000000-0005-0000-0000-0000A3070000}"/>
    <cellStyle name="貨幣 26 3 2" xfId="1938" xr:uid="{00000000-0005-0000-0000-0000A4070000}"/>
    <cellStyle name="貨幣 27" xfId="1939" xr:uid="{00000000-0005-0000-0000-0000A5070000}"/>
    <cellStyle name="貨幣 27 2" xfId="1940" xr:uid="{00000000-0005-0000-0000-0000A6070000}"/>
    <cellStyle name="貨幣 28" xfId="1941" xr:uid="{00000000-0005-0000-0000-0000A7070000}"/>
    <cellStyle name="貨幣 28 2" xfId="1942" xr:uid="{00000000-0005-0000-0000-0000A8070000}"/>
    <cellStyle name="貨幣 29" xfId="1943" xr:uid="{00000000-0005-0000-0000-0000A9070000}"/>
    <cellStyle name="貨幣 29 2" xfId="1944" xr:uid="{00000000-0005-0000-0000-0000AA070000}"/>
    <cellStyle name="貨幣 3" xfId="1945" xr:uid="{00000000-0005-0000-0000-0000AB070000}"/>
    <cellStyle name="貨幣 3 2" xfId="1946" xr:uid="{00000000-0005-0000-0000-0000AC070000}"/>
    <cellStyle name="貨幣 3 3" xfId="1947" xr:uid="{00000000-0005-0000-0000-0000AD070000}"/>
    <cellStyle name="貨幣 3 4" xfId="1948" xr:uid="{00000000-0005-0000-0000-0000AE070000}"/>
    <cellStyle name="貨幣 3 5" xfId="1949" xr:uid="{00000000-0005-0000-0000-0000AF070000}"/>
    <cellStyle name="貨幣 3 5 2" xfId="1950" xr:uid="{00000000-0005-0000-0000-0000B0070000}"/>
    <cellStyle name="貨幣 3 6" xfId="1951" xr:uid="{00000000-0005-0000-0000-0000B1070000}"/>
    <cellStyle name="貨幣 3 6 2" xfId="1952" xr:uid="{00000000-0005-0000-0000-0000B2070000}"/>
    <cellStyle name="貨幣 3 6 2 2" xfId="1953" xr:uid="{00000000-0005-0000-0000-0000B3070000}"/>
    <cellStyle name="貨幣 3 6 3" xfId="1954" xr:uid="{00000000-0005-0000-0000-0000B4070000}"/>
    <cellStyle name="貨幣 3 6 4" xfId="1955" xr:uid="{00000000-0005-0000-0000-0000B5070000}"/>
    <cellStyle name="貨幣 30" xfId="1956" xr:uid="{00000000-0005-0000-0000-0000B6070000}"/>
    <cellStyle name="貨幣 30 2" xfId="1957" xr:uid="{00000000-0005-0000-0000-0000B7070000}"/>
    <cellStyle name="貨幣 31" xfId="1958" xr:uid="{00000000-0005-0000-0000-0000B8070000}"/>
    <cellStyle name="貨幣 31 2" xfId="1959" xr:uid="{00000000-0005-0000-0000-0000B9070000}"/>
    <cellStyle name="貨幣 32" xfId="1960" xr:uid="{00000000-0005-0000-0000-0000BA070000}"/>
    <cellStyle name="貨幣 32 2" xfId="1961" xr:uid="{00000000-0005-0000-0000-0000BB070000}"/>
    <cellStyle name="貨幣 33" xfId="1962" xr:uid="{00000000-0005-0000-0000-0000BC070000}"/>
    <cellStyle name="貨幣 33 2" xfId="1963" xr:uid="{00000000-0005-0000-0000-0000BD070000}"/>
    <cellStyle name="貨幣 34" xfId="1964" xr:uid="{00000000-0005-0000-0000-0000BE070000}"/>
    <cellStyle name="貨幣 34 2" xfId="1965" xr:uid="{00000000-0005-0000-0000-0000BF070000}"/>
    <cellStyle name="貨幣 35" xfId="1966" xr:uid="{00000000-0005-0000-0000-0000C0070000}"/>
    <cellStyle name="貨幣 35 2" xfId="1967" xr:uid="{00000000-0005-0000-0000-0000C1070000}"/>
    <cellStyle name="貨幣 36" xfId="1968" xr:uid="{00000000-0005-0000-0000-0000C2070000}"/>
    <cellStyle name="貨幣 36 2" xfId="1969" xr:uid="{00000000-0005-0000-0000-0000C3070000}"/>
    <cellStyle name="貨幣 37" xfId="1970" xr:uid="{00000000-0005-0000-0000-0000C4070000}"/>
    <cellStyle name="貨幣 37 2" xfId="1971" xr:uid="{00000000-0005-0000-0000-0000C5070000}"/>
    <cellStyle name="貨幣 38" xfId="1972" xr:uid="{00000000-0005-0000-0000-0000C6070000}"/>
    <cellStyle name="貨幣 38 2" xfId="1973" xr:uid="{00000000-0005-0000-0000-0000C7070000}"/>
    <cellStyle name="貨幣 39" xfId="1974" xr:uid="{00000000-0005-0000-0000-0000C8070000}"/>
    <cellStyle name="貨幣 39 2" xfId="1975" xr:uid="{00000000-0005-0000-0000-0000C9070000}"/>
    <cellStyle name="貨幣 4" xfId="1976" xr:uid="{00000000-0005-0000-0000-0000CA070000}"/>
    <cellStyle name="貨幣 4 2" xfId="1977" xr:uid="{00000000-0005-0000-0000-0000CB070000}"/>
    <cellStyle name="貨幣 4 2 2" xfId="1978" xr:uid="{00000000-0005-0000-0000-0000CC070000}"/>
    <cellStyle name="貨幣 4 2 3" xfId="1979" xr:uid="{00000000-0005-0000-0000-0000CD070000}"/>
    <cellStyle name="貨幣 4 3" xfId="1980" xr:uid="{00000000-0005-0000-0000-0000CE070000}"/>
    <cellStyle name="貨幣 4 3 2" xfId="1981" xr:uid="{00000000-0005-0000-0000-0000CF070000}"/>
    <cellStyle name="貨幣 4 4" xfId="1982" xr:uid="{00000000-0005-0000-0000-0000D0070000}"/>
    <cellStyle name="貨幣 4 4 2" xfId="1983" xr:uid="{00000000-0005-0000-0000-0000D1070000}"/>
    <cellStyle name="貨幣 4 5" xfId="1984" xr:uid="{00000000-0005-0000-0000-0000D2070000}"/>
    <cellStyle name="貨幣 40" xfId="1985" xr:uid="{00000000-0005-0000-0000-0000D3070000}"/>
    <cellStyle name="貨幣 41" xfId="1986" xr:uid="{00000000-0005-0000-0000-0000D4070000}"/>
    <cellStyle name="貨幣 41 2" xfId="1987" xr:uid="{00000000-0005-0000-0000-0000D5070000}"/>
    <cellStyle name="貨幣 42" xfId="1988" xr:uid="{00000000-0005-0000-0000-0000D6070000}"/>
    <cellStyle name="貨幣 43" xfId="1989" xr:uid="{00000000-0005-0000-0000-0000D7070000}"/>
    <cellStyle name="貨幣 43 2" xfId="1990" xr:uid="{00000000-0005-0000-0000-0000D8070000}"/>
    <cellStyle name="貨幣 44" xfId="1991" xr:uid="{00000000-0005-0000-0000-0000D9070000}"/>
    <cellStyle name="貨幣 44 2" xfId="1992" xr:uid="{00000000-0005-0000-0000-0000DA070000}"/>
    <cellStyle name="貨幣 45" xfId="1993" xr:uid="{00000000-0005-0000-0000-0000DB070000}"/>
    <cellStyle name="貨幣 45 2" xfId="1994" xr:uid="{00000000-0005-0000-0000-0000DC070000}"/>
    <cellStyle name="貨幣 45 3" xfId="1995" xr:uid="{00000000-0005-0000-0000-0000DD070000}"/>
    <cellStyle name="貨幣 46" xfId="1996" xr:uid="{00000000-0005-0000-0000-0000DE070000}"/>
    <cellStyle name="貨幣 46 2" xfId="1997" xr:uid="{00000000-0005-0000-0000-0000DF070000}"/>
    <cellStyle name="貨幣 46 3" xfId="1998" xr:uid="{00000000-0005-0000-0000-0000E0070000}"/>
    <cellStyle name="貨幣 47" xfId="1999" xr:uid="{00000000-0005-0000-0000-0000E1070000}"/>
    <cellStyle name="貨幣 47 2" xfId="2000" xr:uid="{00000000-0005-0000-0000-0000E2070000}"/>
    <cellStyle name="貨幣 47 3" xfId="2001" xr:uid="{00000000-0005-0000-0000-0000E3070000}"/>
    <cellStyle name="貨幣 47 4" xfId="2002" xr:uid="{00000000-0005-0000-0000-0000E4070000}"/>
    <cellStyle name="貨幣 48" xfId="2003" xr:uid="{00000000-0005-0000-0000-0000E5070000}"/>
    <cellStyle name="貨幣 49" xfId="2004" xr:uid="{00000000-0005-0000-0000-0000E6070000}"/>
    <cellStyle name="貨幣 49 2" xfId="2005" xr:uid="{00000000-0005-0000-0000-0000E7070000}"/>
    <cellStyle name="貨幣 49 2 2" xfId="2006" xr:uid="{00000000-0005-0000-0000-0000E8070000}"/>
    <cellStyle name="貨幣 49 2 2 2" xfId="2007" xr:uid="{00000000-0005-0000-0000-0000E9070000}"/>
    <cellStyle name="貨幣 49 3" xfId="2008" xr:uid="{00000000-0005-0000-0000-0000EA070000}"/>
    <cellStyle name="貨幣 49 3 2" xfId="2009" xr:uid="{00000000-0005-0000-0000-0000EB070000}"/>
    <cellStyle name="貨幣 49 4" xfId="2010" xr:uid="{00000000-0005-0000-0000-0000EC070000}"/>
    <cellStyle name="貨幣 49 4 2" xfId="2011" xr:uid="{00000000-0005-0000-0000-0000ED070000}"/>
    <cellStyle name="貨幣 49 5" xfId="2012" xr:uid="{00000000-0005-0000-0000-0000EE070000}"/>
    <cellStyle name="貨幣 49 5 2" xfId="2013" xr:uid="{00000000-0005-0000-0000-0000EF070000}"/>
    <cellStyle name="貨幣 49 6" xfId="2014" xr:uid="{00000000-0005-0000-0000-0000F0070000}"/>
    <cellStyle name="貨幣 49 7" xfId="2015" xr:uid="{00000000-0005-0000-0000-0000F1070000}"/>
    <cellStyle name="貨幣 5" xfId="2016" xr:uid="{00000000-0005-0000-0000-0000F2070000}"/>
    <cellStyle name="貨幣 5 2" xfId="2017" xr:uid="{00000000-0005-0000-0000-0000F3070000}"/>
    <cellStyle name="貨幣 50" xfId="2018" xr:uid="{00000000-0005-0000-0000-0000F4070000}"/>
    <cellStyle name="貨幣 50 2" xfId="2019" xr:uid="{00000000-0005-0000-0000-0000F5070000}"/>
    <cellStyle name="貨幣 50 3" xfId="2020" xr:uid="{00000000-0005-0000-0000-0000F6070000}"/>
    <cellStyle name="貨幣 51" xfId="2021" xr:uid="{00000000-0005-0000-0000-0000F7070000}"/>
    <cellStyle name="貨幣 51 2" xfId="2022" xr:uid="{00000000-0005-0000-0000-0000F8070000}"/>
    <cellStyle name="貨幣 51 3" xfId="2023" xr:uid="{00000000-0005-0000-0000-0000F9070000}"/>
    <cellStyle name="貨幣 51 3 2" xfId="2024" xr:uid="{00000000-0005-0000-0000-0000FA070000}"/>
    <cellStyle name="貨幣 51 4" xfId="2025" xr:uid="{00000000-0005-0000-0000-0000FB070000}"/>
    <cellStyle name="貨幣 51 4 2" xfId="2026" xr:uid="{00000000-0005-0000-0000-0000FC070000}"/>
    <cellStyle name="貨幣 51 5" xfId="2027" xr:uid="{00000000-0005-0000-0000-0000FD070000}"/>
    <cellStyle name="貨幣 51 5 2" xfId="2028" xr:uid="{00000000-0005-0000-0000-0000FE070000}"/>
    <cellStyle name="貨幣 51 6" xfId="2029" xr:uid="{00000000-0005-0000-0000-0000FF070000}"/>
    <cellStyle name="貨幣 52" xfId="2030" xr:uid="{00000000-0005-0000-0000-000000080000}"/>
    <cellStyle name="貨幣 52 2" xfId="2031" xr:uid="{00000000-0005-0000-0000-000001080000}"/>
    <cellStyle name="貨幣 52 3" xfId="2032" xr:uid="{00000000-0005-0000-0000-000002080000}"/>
    <cellStyle name="貨幣 52 3 2" xfId="2033" xr:uid="{00000000-0005-0000-0000-000003080000}"/>
    <cellStyle name="貨幣 52 4" xfId="2034" xr:uid="{00000000-0005-0000-0000-000004080000}"/>
    <cellStyle name="貨幣 52 4 2" xfId="2035" xr:uid="{00000000-0005-0000-0000-000005080000}"/>
    <cellStyle name="貨幣 52 5" xfId="2036" xr:uid="{00000000-0005-0000-0000-000006080000}"/>
    <cellStyle name="貨幣 52 5 2" xfId="2037" xr:uid="{00000000-0005-0000-0000-000007080000}"/>
    <cellStyle name="貨幣 52 6" xfId="2038" xr:uid="{00000000-0005-0000-0000-000008080000}"/>
    <cellStyle name="貨幣 53" xfId="2039" xr:uid="{00000000-0005-0000-0000-000009080000}"/>
    <cellStyle name="貨幣 54" xfId="2040" xr:uid="{00000000-0005-0000-0000-00000A080000}"/>
    <cellStyle name="貨幣 54 2" xfId="2041" xr:uid="{00000000-0005-0000-0000-00000B080000}"/>
    <cellStyle name="貨幣 54 3" xfId="2042" xr:uid="{00000000-0005-0000-0000-00000C080000}"/>
    <cellStyle name="貨幣 54 3 2" xfId="2043" xr:uid="{00000000-0005-0000-0000-00000D080000}"/>
    <cellStyle name="貨幣 54 4" xfId="2044" xr:uid="{00000000-0005-0000-0000-00000E080000}"/>
    <cellStyle name="貨幣 54 4 2" xfId="2045" xr:uid="{00000000-0005-0000-0000-00000F080000}"/>
    <cellStyle name="貨幣 54 5" xfId="2046" xr:uid="{00000000-0005-0000-0000-000010080000}"/>
    <cellStyle name="貨幣 54 5 2" xfId="2047" xr:uid="{00000000-0005-0000-0000-000011080000}"/>
    <cellStyle name="貨幣 55" xfId="2048" xr:uid="{00000000-0005-0000-0000-000012080000}"/>
    <cellStyle name="貨幣 55 2" xfId="2049" xr:uid="{00000000-0005-0000-0000-000013080000}"/>
    <cellStyle name="貨幣 55 3" xfId="2050" xr:uid="{00000000-0005-0000-0000-000014080000}"/>
    <cellStyle name="貨幣 55 3 2" xfId="2051" xr:uid="{00000000-0005-0000-0000-000015080000}"/>
    <cellStyle name="貨幣 55 4" xfId="2052" xr:uid="{00000000-0005-0000-0000-000016080000}"/>
    <cellStyle name="貨幣 55 4 2" xfId="2053" xr:uid="{00000000-0005-0000-0000-000017080000}"/>
    <cellStyle name="貨幣 55 5" xfId="2054" xr:uid="{00000000-0005-0000-0000-000018080000}"/>
    <cellStyle name="貨幣 55 5 2" xfId="2055" xr:uid="{00000000-0005-0000-0000-000019080000}"/>
    <cellStyle name="貨幣 56" xfId="2056" xr:uid="{00000000-0005-0000-0000-00001A080000}"/>
    <cellStyle name="貨幣 56 2" xfId="2057" xr:uid="{00000000-0005-0000-0000-00001B080000}"/>
    <cellStyle name="貨幣 56 3" xfId="2058" xr:uid="{00000000-0005-0000-0000-00001C080000}"/>
    <cellStyle name="貨幣 56 3 2" xfId="2059" xr:uid="{00000000-0005-0000-0000-00001D080000}"/>
    <cellStyle name="貨幣 56 4" xfId="2060" xr:uid="{00000000-0005-0000-0000-00001E080000}"/>
    <cellStyle name="貨幣 56 4 2" xfId="2061" xr:uid="{00000000-0005-0000-0000-00001F080000}"/>
    <cellStyle name="貨幣 56 5" xfId="2062" xr:uid="{00000000-0005-0000-0000-000020080000}"/>
    <cellStyle name="貨幣 56 5 2" xfId="2063" xr:uid="{00000000-0005-0000-0000-000021080000}"/>
    <cellStyle name="貨幣 57" xfId="2064" xr:uid="{00000000-0005-0000-0000-000022080000}"/>
    <cellStyle name="貨幣 57 2" xfId="2065" xr:uid="{00000000-0005-0000-0000-000023080000}"/>
    <cellStyle name="貨幣 57 3" xfId="2066" xr:uid="{00000000-0005-0000-0000-000024080000}"/>
    <cellStyle name="貨幣 57 3 2" xfId="2067" xr:uid="{00000000-0005-0000-0000-000025080000}"/>
    <cellStyle name="貨幣 57 4" xfId="2068" xr:uid="{00000000-0005-0000-0000-000026080000}"/>
    <cellStyle name="貨幣 57 4 2" xfId="2069" xr:uid="{00000000-0005-0000-0000-000027080000}"/>
    <cellStyle name="貨幣 57 5" xfId="2070" xr:uid="{00000000-0005-0000-0000-000028080000}"/>
    <cellStyle name="貨幣 57 5 2" xfId="2071" xr:uid="{00000000-0005-0000-0000-000029080000}"/>
    <cellStyle name="貨幣 58" xfId="2072" xr:uid="{00000000-0005-0000-0000-00002A080000}"/>
    <cellStyle name="貨幣 58 2" xfId="2073" xr:uid="{00000000-0005-0000-0000-00002B080000}"/>
    <cellStyle name="貨幣 58 3" xfId="2074" xr:uid="{00000000-0005-0000-0000-00002C080000}"/>
    <cellStyle name="貨幣 58 3 2" xfId="2075" xr:uid="{00000000-0005-0000-0000-00002D080000}"/>
    <cellStyle name="貨幣 58 4" xfId="2076" xr:uid="{00000000-0005-0000-0000-00002E080000}"/>
    <cellStyle name="貨幣 58 4 2" xfId="2077" xr:uid="{00000000-0005-0000-0000-00002F080000}"/>
    <cellStyle name="貨幣 58 5" xfId="2078" xr:uid="{00000000-0005-0000-0000-000030080000}"/>
    <cellStyle name="貨幣 58 5 2" xfId="2079" xr:uid="{00000000-0005-0000-0000-000031080000}"/>
    <cellStyle name="貨幣 59" xfId="2080" xr:uid="{00000000-0005-0000-0000-000032080000}"/>
    <cellStyle name="貨幣 59 2" xfId="2081" xr:uid="{00000000-0005-0000-0000-000033080000}"/>
    <cellStyle name="貨幣 59 3" xfId="2082" xr:uid="{00000000-0005-0000-0000-000034080000}"/>
    <cellStyle name="貨幣 59 3 2" xfId="2083" xr:uid="{00000000-0005-0000-0000-000035080000}"/>
    <cellStyle name="貨幣 59 4" xfId="2084" xr:uid="{00000000-0005-0000-0000-000036080000}"/>
    <cellStyle name="貨幣 59 4 2" xfId="2085" xr:uid="{00000000-0005-0000-0000-000037080000}"/>
    <cellStyle name="貨幣 59 5" xfId="2086" xr:uid="{00000000-0005-0000-0000-000038080000}"/>
    <cellStyle name="貨幣 59 5 2" xfId="2087" xr:uid="{00000000-0005-0000-0000-000039080000}"/>
    <cellStyle name="貨幣 6" xfId="2088" xr:uid="{00000000-0005-0000-0000-00003A080000}"/>
    <cellStyle name="貨幣 6 2" xfId="2089" xr:uid="{00000000-0005-0000-0000-00003B080000}"/>
    <cellStyle name="貨幣 6 2 2" xfId="2090" xr:uid="{00000000-0005-0000-0000-00003C080000}"/>
    <cellStyle name="貨幣 6 2 3" xfId="2091" xr:uid="{00000000-0005-0000-0000-00003D080000}"/>
    <cellStyle name="貨幣 6 2 3 2" xfId="2092" xr:uid="{00000000-0005-0000-0000-00003E080000}"/>
    <cellStyle name="貨幣 6 2 4" xfId="2093" xr:uid="{00000000-0005-0000-0000-00003F080000}"/>
    <cellStyle name="貨幣 6 2 4 2" xfId="2094" xr:uid="{00000000-0005-0000-0000-000040080000}"/>
    <cellStyle name="貨幣 6 3" xfId="2095" xr:uid="{00000000-0005-0000-0000-000041080000}"/>
    <cellStyle name="貨幣 6 3 2" xfId="2096" xr:uid="{00000000-0005-0000-0000-000042080000}"/>
    <cellStyle name="貨幣 6 4" xfId="2097" xr:uid="{00000000-0005-0000-0000-000043080000}"/>
    <cellStyle name="貨幣 6 4 2" xfId="2098" xr:uid="{00000000-0005-0000-0000-000044080000}"/>
    <cellStyle name="貨幣 60" xfId="2099" xr:uid="{00000000-0005-0000-0000-000045080000}"/>
    <cellStyle name="貨幣 60 2" xfId="2100" xr:uid="{00000000-0005-0000-0000-000046080000}"/>
    <cellStyle name="貨幣 60 3" xfId="2101" xr:uid="{00000000-0005-0000-0000-000047080000}"/>
    <cellStyle name="貨幣 60 3 2" xfId="2102" xr:uid="{00000000-0005-0000-0000-000048080000}"/>
    <cellStyle name="貨幣 60 4" xfId="2103" xr:uid="{00000000-0005-0000-0000-000049080000}"/>
    <cellStyle name="貨幣 60 4 2" xfId="2104" xr:uid="{00000000-0005-0000-0000-00004A080000}"/>
    <cellStyle name="貨幣 60 5" xfId="2105" xr:uid="{00000000-0005-0000-0000-00004B080000}"/>
    <cellStyle name="貨幣 60 5 2" xfId="2106" xr:uid="{00000000-0005-0000-0000-00004C080000}"/>
    <cellStyle name="貨幣 61" xfId="2107" xr:uid="{00000000-0005-0000-0000-00004D080000}"/>
    <cellStyle name="貨幣 61 2" xfId="2108" xr:uid="{00000000-0005-0000-0000-00004E080000}"/>
    <cellStyle name="貨幣 62" xfId="2109" xr:uid="{00000000-0005-0000-0000-00004F080000}"/>
    <cellStyle name="貨幣 63" xfId="2110" xr:uid="{00000000-0005-0000-0000-000050080000}"/>
    <cellStyle name="貨幣 64" xfId="2111" xr:uid="{00000000-0005-0000-0000-000051080000}"/>
    <cellStyle name="貨幣 65" xfId="2112" xr:uid="{00000000-0005-0000-0000-000052080000}"/>
    <cellStyle name="貨幣 66" xfId="2113" xr:uid="{00000000-0005-0000-0000-000053080000}"/>
    <cellStyle name="貨幣 67" xfId="2114" xr:uid="{00000000-0005-0000-0000-000054080000}"/>
    <cellStyle name="貨幣 67 2" xfId="2115" xr:uid="{00000000-0005-0000-0000-000055080000}"/>
    <cellStyle name="貨幣 68" xfId="2116" xr:uid="{00000000-0005-0000-0000-000056080000}"/>
    <cellStyle name="貨幣 68 2" xfId="2117" xr:uid="{00000000-0005-0000-0000-000057080000}"/>
    <cellStyle name="貨幣 69" xfId="2118" xr:uid="{00000000-0005-0000-0000-000058080000}"/>
    <cellStyle name="貨幣 69 2" xfId="2119" xr:uid="{00000000-0005-0000-0000-000059080000}"/>
    <cellStyle name="貨幣 7" xfId="2120" xr:uid="{00000000-0005-0000-0000-00005A080000}"/>
    <cellStyle name="貨幣 70" xfId="2121" xr:uid="{00000000-0005-0000-0000-00005B080000}"/>
    <cellStyle name="貨幣 70 2" xfId="2122" xr:uid="{00000000-0005-0000-0000-00005C080000}"/>
    <cellStyle name="貨幣 71" xfId="2123" xr:uid="{00000000-0005-0000-0000-00005D080000}"/>
    <cellStyle name="貨幣 71 2" xfId="2124" xr:uid="{00000000-0005-0000-0000-00005E080000}"/>
    <cellStyle name="貨幣 72" xfId="2125" xr:uid="{00000000-0005-0000-0000-00005F080000}"/>
    <cellStyle name="貨幣 73" xfId="2126" xr:uid="{00000000-0005-0000-0000-000060080000}"/>
    <cellStyle name="貨幣 74" xfId="2127" xr:uid="{00000000-0005-0000-0000-000061080000}"/>
    <cellStyle name="貨幣 75" xfId="2128" xr:uid="{00000000-0005-0000-0000-000062080000}"/>
    <cellStyle name="貨幣 76" xfId="2129" xr:uid="{00000000-0005-0000-0000-000063080000}"/>
    <cellStyle name="貨幣 77" xfId="2130" xr:uid="{00000000-0005-0000-0000-000064080000}"/>
    <cellStyle name="貨幣 78" xfId="2131" xr:uid="{00000000-0005-0000-0000-000065080000}"/>
    <cellStyle name="貨幣 78 2" xfId="2132" xr:uid="{00000000-0005-0000-0000-000066080000}"/>
    <cellStyle name="貨幣 79" xfId="2133" xr:uid="{00000000-0005-0000-0000-000067080000}"/>
    <cellStyle name="貨幣 79 2" xfId="2134" xr:uid="{00000000-0005-0000-0000-000068080000}"/>
    <cellStyle name="貨幣 8" xfId="2135" xr:uid="{00000000-0005-0000-0000-000069080000}"/>
    <cellStyle name="貨幣 8 2" xfId="2136" xr:uid="{00000000-0005-0000-0000-00006A080000}"/>
    <cellStyle name="貨幣 8 2 2" xfId="2137" xr:uid="{00000000-0005-0000-0000-00006B080000}"/>
    <cellStyle name="貨幣 80" xfId="2138" xr:uid="{00000000-0005-0000-0000-00006C080000}"/>
    <cellStyle name="貨幣 80 2" xfId="2139" xr:uid="{00000000-0005-0000-0000-00006D080000}"/>
    <cellStyle name="貨幣 81" xfId="2140" xr:uid="{00000000-0005-0000-0000-00006E080000}"/>
    <cellStyle name="貨幣 81 2" xfId="2141" xr:uid="{00000000-0005-0000-0000-00006F080000}"/>
    <cellStyle name="貨幣 82" xfId="2142" xr:uid="{00000000-0005-0000-0000-000070080000}"/>
    <cellStyle name="貨幣 83" xfId="2143" xr:uid="{00000000-0005-0000-0000-000071080000}"/>
    <cellStyle name="貨幣 84" xfId="2144" xr:uid="{00000000-0005-0000-0000-000072080000}"/>
    <cellStyle name="貨幣 85" xfId="2145" xr:uid="{00000000-0005-0000-0000-000073080000}"/>
    <cellStyle name="貨幣 86" xfId="2146" xr:uid="{00000000-0005-0000-0000-000074080000}"/>
    <cellStyle name="貨幣 86 2" xfId="2147" xr:uid="{00000000-0005-0000-0000-000075080000}"/>
    <cellStyle name="貨幣 87" xfId="2148" xr:uid="{00000000-0005-0000-0000-000076080000}"/>
    <cellStyle name="貨幣 87 2" xfId="2149" xr:uid="{00000000-0005-0000-0000-000077080000}"/>
    <cellStyle name="貨幣 88" xfId="2150" xr:uid="{00000000-0005-0000-0000-000078080000}"/>
    <cellStyle name="貨幣 88 2" xfId="2151" xr:uid="{00000000-0005-0000-0000-000079080000}"/>
    <cellStyle name="貨幣 89" xfId="2152" xr:uid="{00000000-0005-0000-0000-00007A080000}"/>
    <cellStyle name="貨幣 89 2" xfId="2153" xr:uid="{00000000-0005-0000-0000-00007B080000}"/>
    <cellStyle name="貨幣 9" xfId="2154" xr:uid="{00000000-0005-0000-0000-00007C080000}"/>
    <cellStyle name="貨幣 9 2" xfId="2155" xr:uid="{00000000-0005-0000-0000-00007D080000}"/>
    <cellStyle name="貨幣 9 2 2" xfId="2156" xr:uid="{00000000-0005-0000-0000-00007E080000}"/>
    <cellStyle name="貨幣 90" xfId="2157" xr:uid="{00000000-0005-0000-0000-00007F080000}"/>
    <cellStyle name="貨幣 90 2" xfId="2158" xr:uid="{00000000-0005-0000-0000-000080080000}"/>
    <cellStyle name="貨幣 91" xfId="2159" xr:uid="{00000000-0005-0000-0000-000081080000}"/>
    <cellStyle name="貨幣 91 2" xfId="2160" xr:uid="{00000000-0005-0000-0000-000082080000}"/>
    <cellStyle name="貨幣 92" xfId="2161" xr:uid="{00000000-0005-0000-0000-000083080000}"/>
    <cellStyle name="貨幣 93" xfId="2162" xr:uid="{00000000-0005-0000-0000-000084080000}"/>
    <cellStyle name="貨幣 94" xfId="2163" xr:uid="{00000000-0005-0000-0000-000085080000}"/>
    <cellStyle name="貨幣 95" xfId="2164" xr:uid="{00000000-0005-0000-0000-000086080000}"/>
    <cellStyle name="貨幣 96" xfId="2165" xr:uid="{00000000-0005-0000-0000-000087080000}"/>
    <cellStyle name="貨幣 97" xfId="2166" xr:uid="{00000000-0005-0000-0000-000088080000}"/>
    <cellStyle name="貨幣 98" xfId="2167" xr:uid="{00000000-0005-0000-0000-000089080000}"/>
    <cellStyle name="貨幣 99" xfId="2168" xr:uid="{00000000-0005-0000-0000-00008A080000}"/>
    <cellStyle name="貨幣[0]_0929-" xfId="2201" xr:uid="{00000000-0005-0000-0000-00008B080000}"/>
    <cellStyle name="强调文字颜色 1" xfId="1682" xr:uid="{00000000-0005-0000-0000-00008C080000}"/>
    <cellStyle name="强调文字颜色 1 2" xfId="1683" xr:uid="{00000000-0005-0000-0000-00008D080000}"/>
    <cellStyle name="强调文字颜色 2" xfId="1684" xr:uid="{00000000-0005-0000-0000-00008E080000}"/>
    <cellStyle name="强调文字颜色 2 2" xfId="1685" xr:uid="{00000000-0005-0000-0000-00008F080000}"/>
    <cellStyle name="强调文字颜色 3" xfId="1686" xr:uid="{00000000-0005-0000-0000-000090080000}"/>
    <cellStyle name="强调文字颜色 3 2" xfId="1687" xr:uid="{00000000-0005-0000-0000-000091080000}"/>
    <cellStyle name="强调文字颜色 4" xfId="1688" xr:uid="{00000000-0005-0000-0000-000092080000}"/>
    <cellStyle name="强调文字颜色 4 2" xfId="1689" xr:uid="{00000000-0005-0000-0000-000093080000}"/>
    <cellStyle name="强调文字颜色 5" xfId="1690" xr:uid="{00000000-0005-0000-0000-000094080000}"/>
    <cellStyle name="强调文字颜色 5 2" xfId="1691" xr:uid="{00000000-0005-0000-0000-000095080000}"/>
    <cellStyle name="强调文字颜色 6" xfId="1692" xr:uid="{00000000-0005-0000-0000-000096080000}"/>
    <cellStyle name="强调文字颜色 6 2" xfId="1693" xr:uid="{00000000-0005-0000-0000-000097080000}"/>
    <cellStyle name="超連結 2" xfId="2202" xr:uid="{00000000-0005-0000-0000-000098080000}"/>
    <cellStyle name="超連結 2 2" xfId="2203" xr:uid="{00000000-0005-0000-0000-000099080000}"/>
    <cellStyle name="超連結 2 3" xfId="2204" xr:uid="{00000000-0005-0000-0000-00009A080000}"/>
    <cellStyle name="超連結 3" xfId="2205" xr:uid="{00000000-0005-0000-0000-00009B080000}"/>
    <cellStyle name="超連結 4" xfId="2228" xr:uid="{857A215F-7893-4BCE-9380-FEC16B233BF0}"/>
    <cellStyle name="链接单元格" xfId="2212" xr:uid="{00000000-0005-0000-0000-00009C080000}"/>
    <cellStyle name="链接单元格 2" xfId="2213" xr:uid="{00000000-0005-0000-0000-00009D080000}"/>
    <cellStyle name="解释性文本" xfId="1831" xr:uid="{00000000-0005-0000-0000-00009E080000}"/>
    <cellStyle name="解释性文本 2" xfId="1832" xr:uid="{00000000-0005-0000-0000-00009F080000}"/>
    <cellStyle name="输入" xfId="2206" xr:uid="{00000000-0005-0000-0000-0000A0080000}"/>
    <cellStyle name="输入 2" xfId="2207" xr:uid="{00000000-0005-0000-0000-0000A1080000}"/>
    <cellStyle name="输出" xfId="2208" xr:uid="{00000000-0005-0000-0000-0000A2080000}"/>
    <cellStyle name="输出 2" xfId="2209" xr:uid="{00000000-0005-0000-0000-0000A3080000}"/>
    <cellStyle name="標準_CTO Parts and Options" xfId="1707" xr:uid="{00000000-0005-0000-0000-0000A4080000}"/>
    <cellStyle name="標題 1 1" xfId="1708" xr:uid="{00000000-0005-0000-0000-0000A5080000}"/>
    <cellStyle name="標題 1 1 1" xfId="1709" xr:uid="{00000000-0005-0000-0000-0000A6080000}"/>
    <cellStyle name="標題 1 1 1 1" xfId="1710" xr:uid="{00000000-0005-0000-0000-0000A7080000}"/>
    <cellStyle name="標題 2 1" xfId="1711" xr:uid="{00000000-0005-0000-0000-0000A8080000}"/>
    <cellStyle name="標題 2 1 1" xfId="1712" xr:uid="{00000000-0005-0000-0000-0000A9080000}"/>
    <cellStyle name="標題 2 1 1 1" xfId="1713" xr:uid="{00000000-0005-0000-0000-0000AA080000}"/>
    <cellStyle name="樣式 1" xfId="1714" xr:uid="{00000000-0005-0000-0000-0000AB080000}"/>
    <cellStyle name="樣式 1 2" xfId="1715" xr:uid="{00000000-0005-0000-0000-0000AC080000}"/>
    <cellStyle name="隨後的超連結" xfId="2214" xr:uid="{00000000-0005-0000-0000-0000AD080000}"/>
    <cellStyle name="隨後的超連結 2" xfId="2215" xr:uid="{00000000-0005-0000-0000-0000AE080000}"/>
    <cellStyle name="壞_~2579226" xfId="1518" xr:uid="{00000000-0005-0000-0000-0000AF080000}"/>
    <cellStyle name="警告文本" xfId="1833" xr:uid="{00000000-0005-0000-0000-0000B0080000}"/>
    <cellStyle name="警告文本 2" xfId="1834" xr:uid="{00000000-0005-0000-0000-0000B1080000}"/>
    <cellStyle name="표준_June 02 sku label1" xfId="2216" xr:uid="{00000000-0005-0000-0000-0000B2080000}"/>
  </cellStyles>
  <dxfs count="455"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ill>
        <patternFill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1" tint="0.499984740745262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/>
        <color rgb="FF7030A0"/>
      </font>
      <fill>
        <patternFill>
          <bgColor theme="2" tint="-9.9948118533890809E-2"/>
        </patternFill>
      </fill>
    </dxf>
    <dxf>
      <fill>
        <patternFill>
          <bgColor rgb="FFFF0000"/>
        </patternFill>
      </fill>
    </dxf>
    <dxf>
      <fill>
        <patternFill patternType="solid"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A6A6A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BFBFBF"/>
      </font>
      <fill>
        <patternFill>
          <bgColor rgb="FFBFBFBF"/>
        </patternFill>
      </fill>
    </dxf>
    <dxf>
      <fill>
        <patternFill>
          <bgColor rgb="FF7F7F7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theme="1" tint="0.499984740745262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lor theme="0" tint="-0.34998626667073579"/>
      </font>
      <fill>
        <patternFill>
          <bgColor theme="0" tint="-0.34998626667073579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1" tint="0.499984740745262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187" formatCode="_(* #,##0.00_);_(* \(#,##0.00\);_(* \-??_);_(@_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0" formatCode="_(* #,##0_);_(* \(#,##0\);_(* \-??_);_(@_)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1" formatCode="d\-mmm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6" formatCode="0_);[Red]\(0\)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6" formatCode="0_);[Red]\(0\)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fill>
        <patternFill patternType="solid">
          <fgColor theme="6"/>
          <bgColor theme="6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新細明體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20"/>
        <family val="2"/>
      </font>
      <numFmt numFmtId="0" formatCode="General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20"/>
        <family val="2"/>
      </font>
      <numFmt numFmtId="199" formatCode="_(&quot;HK$&quot;* #,##0_);_(&quot;HK$&quot;* \(#,##0\);_(&quot;HK$&quot;* \-_);_(@_)"/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20"/>
        <family val="2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20"/>
        <family val="2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199" formatCode="_(&quot;HK$&quot;* #,##0_);_(&quot;HK$&quot;* \(#,##0\);_(&quot;HK$&quot;* \-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199" formatCode="_(&quot;HK$&quot;* #,##0_);_(&quot;HK$&quot;* \(#,##0\);_(&quot;HK$&quot;* \-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5" formatCode="_(&quot;HK$&quot;* #,##0.0_);_(&quot;HK$&quot;* \(#,##0.0\);_(&quot;HK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5" formatCode="_(&quot;HK$&quot;* #,##0.0_);_(&quot;HK$&quot;* \(#,##0.0\);_(&quot;HK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5" formatCode="_(&quot;HK$&quot;* #,##0.0_);_(&quot;HK$&quot;* \(#,##0.0\);_(&quot;HK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5" formatCode="_(&quot;HK$&quot;* #,##0.0_);_(&quot;HK$&quot;* \(#,##0.0\);_(&quot;HK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177" formatCode="_(&quot;HK$&quot;* #,##0.00_);_(&quot;HK$&quot;* \(#,##0.00\);_(&quot;HK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5" formatCode="_(&quot;HK$&quot;* #,##0.0_);_(&quot;HK$&quot;* \(#,##0.0\);_(&quot;HK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177" formatCode="_(&quot;HK$&quot;* #,##0.00_);_(&quot;HK$&quot;* \(#,##0.00\);_(&quot;HK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177" formatCode="_(&quot;HK$&quot;* #,##0.00_);_(&quot;HK$&quot;* \(#,##0.00\);_(&quot;HK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3" formatCode="_(&quot;HK$&quot;* #,##0.00_);_(&quot;HK$&quot;* \(#,##0.00\);_(&quot;HK$&quot;* \-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177" formatCode="_(&quot;HK$&quot;* #,##0.00_);_(&quot;HK$&quot;* \(#,##0.00\);_(&quot;HK$&quot;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177" formatCode="_(&quot;HK$&quot;* #,##0.00_);_(&quot;HK$&quot;* \(#,##0.00\);_(&quot;HK$&quot;* &quot;-&quot;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0" formatCode="_(* #,##0_);_(* \(#,##0\);_(* \-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0" formatCode="_(* #,##0_);_(* \(#,##0\);_(* \-??_);_(@_)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0" formatCode="_(* #,##0_);_(* \(#,##0\);_(* \-??_);_(@_)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1" formatCode="d\-mmm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6" formatCode="0_);[Red]\(0\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numFmt numFmtId="206" formatCode="0_);[Red]\(0\)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20"/>
        <family val="2"/>
      </font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sz val="28"/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1" defaultTableStyle="TableStyleMedium2" defaultPivotStyle="PivotStyleLight16">
    <tableStyle name="SlicerStyleLight6 2" pivot="0" table="0" count="10" xr9:uid="{8DB73333-53B7-4A2E-9D00-6FBB294BEB25}">
      <tableStyleElement type="wholeTable" dxfId="454"/>
      <tableStyleElement type="headerRow" dxfId="453"/>
    </tableStyle>
  </tableStyles>
  <colors>
    <indexedColors>
      <rgbColor rgb="FF000000"/>
      <rgbColor rgb="FFFFFFFF"/>
      <rgbColor rgb="FFFF0000"/>
      <rgbColor rgb="FF00FF00"/>
      <rgbColor rgb="FF0000FF"/>
      <rgbColor rgb="FFFFEB9C"/>
      <rgbColor rgb="FFFF9F9F"/>
      <rgbColor rgb="FFCFCFCF"/>
      <rgbColor rgb="FF800000"/>
      <rgbColor rgb="FF008000"/>
      <rgbColor rgb="FF000080"/>
      <rgbColor rgb="FF9C6500"/>
      <rgbColor rgb="FF800080"/>
      <rgbColor rgb="FF008080"/>
      <rgbColor rgb="FFC0C0C0"/>
      <rgbColor rgb="FF808080"/>
      <rgbColor rgb="FFA6A6A6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C6EFCE"/>
      <rgbColor rgb="FFFFC7CE"/>
      <rgbColor rgb="FF800080"/>
      <rgbColor rgb="FF9C0006"/>
      <rgbColor rgb="FF008080"/>
      <rgbColor rgb="FF0000FF"/>
      <rgbColor rgb="FF00B0F0"/>
      <rgbColor rgb="FFDBEEF4"/>
      <rgbColor rgb="FFCCFFCC"/>
      <rgbColor rgb="FFFFFF99"/>
      <rgbColor rgb="FF99CCFF"/>
      <rgbColor rgb="FFFF99CC"/>
      <rgbColor rgb="FFCC99FF"/>
      <rgbColor rgb="FFFFCC99"/>
      <rgbColor rgb="FFBFBFB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6100"/>
      <rgbColor rgb="FF333300"/>
      <rgbColor rgb="FF993300"/>
      <rgbColor rgb="FF7F7F7F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6 2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142875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9701" y="114913"/>
          <a:ext cx="566210" cy="60490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38</xdr:row>
      <xdr:rowOff>114913</xdr:rowOff>
    </xdr:from>
    <xdr:to>
      <xdr:col>1</xdr:col>
      <xdr:colOff>656168</xdr:colOff>
      <xdr:row>40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83159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76</xdr:row>
      <xdr:rowOff>114913</xdr:rowOff>
    </xdr:from>
    <xdr:to>
      <xdr:col>1</xdr:col>
      <xdr:colOff>656168</xdr:colOff>
      <xdr:row>78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65169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114</xdr:row>
      <xdr:rowOff>114913</xdr:rowOff>
    </xdr:from>
    <xdr:to>
      <xdr:col>1</xdr:col>
      <xdr:colOff>656168</xdr:colOff>
      <xdr:row>116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247179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304</xdr:row>
      <xdr:rowOff>114913</xdr:rowOff>
    </xdr:from>
    <xdr:to>
      <xdr:col>1</xdr:col>
      <xdr:colOff>656168</xdr:colOff>
      <xdr:row>306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342</xdr:row>
      <xdr:rowOff>114913</xdr:rowOff>
    </xdr:from>
    <xdr:to>
      <xdr:col>1</xdr:col>
      <xdr:colOff>656168</xdr:colOff>
      <xdr:row>344</xdr:row>
      <xdr:rowOff>248708</xdr:rowOff>
    </xdr:to>
    <xdr:pic>
      <xdr:nvPicPr>
        <xdr:cNvPr id="18" name="Picture 5" descr="I%20Wall%20log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152</xdr:row>
      <xdr:rowOff>114913</xdr:rowOff>
    </xdr:from>
    <xdr:to>
      <xdr:col>1</xdr:col>
      <xdr:colOff>656168</xdr:colOff>
      <xdr:row>154</xdr:row>
      <xdr:rowOff>248708</xdr:rowOff>
    </xdr:to>
    <xdr:pic>
      <xdr:nvPicPr>
        <xdr:cNvPr id="21" name="Picture 5" descr="I%20Wall%20log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00794" y="32423713"/>
          <a:ext cx="566210" cy="70183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190</xdr:row>
      <xdr:rowOff>114913</xdr:rowOff>
    </xdr:from>
    <xdr:to>
      <xdr:col>1</xdr:col>
      <xdr:colOff>656168</xdr:colOff>
      <xdr:row>192</xdr:row>
      <xdr:rowOff>248708</xdr:rowOff>
    </xdr:to>
    <xdr:pic>
      <xdr:nvPicPr>
        <xdr:cNvPr id="24" name="Picture 5" descr="I%20Wall%20log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228</xdr:row>
      <xdr:rowOff>114913</xdr:rowOff>
    </xdr:from>
    <xdr:to>
      <xdr:col>1</xdr:col>
      <xdr:colOff>656168</xdr:colOff>
      <xdr:row>230</xdr:row>
      <xdr:rowOff>248708</xdr:rowOff>
    </xdr:to>
    <xdr:pic>
      <xdr:nvPicPr>
        <xdr:cNvPr id="27" name="Picture 5" descr="I%20Wall%20log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266</xdr:row>
      <xdr:rowOff>114913</xdr:rowOff>
    </xdr:from>
    <xdr:to>
      <xdr:col>1</xdr:col>
      <xdr:colOff>656168</xdr:colOff>
      <xdr:row>268</xdr:row>
      <xdr:rowOff>248708</xdr:rowOff>
    </xdr:to>
    <xdr:pic>
      <xdr:nvPicPr>
        <xdr:cNvPr id="30" name="Picture 5" descr="I%20Wall%20log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342</xdr:row>
      <xdr:rowOff>114913</xdr:rowOff>
    </xdr:from>
    <xdr:to>
      <xdr:col>1</xdr:col>
      <xdr:colOff>656168</xdr:colOff>
      <xdr:row>344</xdr:row>
      <xdr:rowOff>248708</xdr:rowOff>
    </xdr:to>
    <xdr:pic>
      <xdr:nvPicPr>
        <xdr:cNvPr id="32" name="Picture 5" descr="I%20Wall%20log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6958" y="24546538"/>
          <a:ext cx="566210" cy="689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152</xdr:row>
      <xdr:rowOff>114913</xdr:rowOff>
    </xdr:from>
    <xdr:to>
      <xdr:col>1</xdr:col>
      <xdr:colOff>656168</xdr:colOff>
      <xdr:row>154</xdr:row>
      <xdr:rowOff>248708</xdr:rowOff>
    </xdr:to>
    <xdr:pic>
      <xdr:nvPicPr>
        <xdr:cNvPr id="33" name="Picture 5" descr="I%20Wall%20log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6958" y="24546538"/>
          <a:ext cx="566210" cy="689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190</xdr:row>
      <xdr:rowOff>114913</xdr:rowOff>
    </xdr:from>
    <xdr:to>
      <xdr:col>1</xdr:col>
      <xdr:colOff>656168</xdr:colOff>
      <xdr:row>192</xdr:row>
      <xdr:rowOff>248708</xdr:rowOff>
    </xdr:to>
    <xdr:pic>
      <xdr:nvPicPr>
        <xdr:cNvPr id="34" name="Picture 5" descr="I%20Wall%20log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6958" y="24546538"/>
          <a:ext cx="566210" cy="689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228</xdr:row>
      <xdr:rowOff>114913</xdr:rowOff>
    </xdr:from>
    <xdr:to>
      <xdr:col>1</xdr:col>
      <xdr:colOff>656168</xdr:colOff>
      <xdr:row>230</xdr:row>
      <xdr:rowOff>248708</xdr:rowOff>
    </xdr:to>
    <xdr:pic>
      <xdr:nvPicPr>
        <xdr:cNvPr id="35" name="Picture 5" descr="I%20Wall%20logo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6958" y="24546538"/>
          <a:ext cx="566210" cy="689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266</xdr:row>
      <xdr:rowOff>114913</xdr:rowOff>
    </xdr:from>
    <xdr:to>
      <xdr:col>1</xdr:col>
      <xdr:colOff>656168</xdr:colOff>
      <xdr:row>268</xdr:row>
      <xdr:rowOff>248708</xdr:rowOff>
    </xdr:to>
    <xdr:pic>
      <xdr:nvPicPr>
        <xdr:cNvPr id="36" name="Picture 5" descr="I%20Wall%20log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6958" y="24546538"/>
          <a:ext cx="566210" cy="689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304</xdr:row>
      <xdr:rowOff>114913</xdr:rowOff>
    </xdr:from>
    <xdr:to>
      <xdr:col>1</xdr:col>
      <xdr:colOff>656168</xdr:colOff>
      <xdr:row>306</xdr:row>
      <xdr:rowOff>248708</xdr:rowOff>
    </xdr:to>
    <xdr:pic>
      <xdr:nvPicPr>
        <xdr:cNvPr id="37" name="Picture 5" descr="I%20Wall%20logo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6958" y="24546538"/>
          <a:ext cx="566210" cy="6894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304</xdr:row>
      <xdr:rowOff>114913</xdr:rowOff>
    </xdr:from>
    <xdr:to>
      <xdr:col>1</xdr:col>
      <xdr:colOff>656168</xdr:colOff>
      <xdr:row>306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F8253231-4656-40E7-9C9F-9D13A0305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2422" y="57659520"/>
          <a:ext cx="566210" cy="6916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304</xdr:row>
      <xdr:rowOff>114913</xdr:rowOff>
    </xdr:from>
    <xdr:to>
      <xdr:col>1</xdr:col>
      <xdr:colOff>656168</xdr:colOff>
      <xdr:row>306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A7AFD75C-157C-4CCF-9DA1-0FD38E7B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2422" y="57659520"/>
          <a:ext cx="566210" cy="69168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89958</xdr:colOff>
      <xdr:row>0</xdr:row>
      <xdr:rowOff>114913</xdr:rowOff>
    </xdr:from>
    <xdr:to>
      <xdr:col>1</xdr:col>
      <xdr:colOff>656168</xdr:colOff>
      <xdr:row>2</xdr:row>
      <xdr:rowOff>248708</xdr:rowOff>
    </xdr:to>
    <xdr:pic>
      <xdr:nvPicPr>
        <xdr:cNvPr id="2" name="Picture 5" descr="I%20Wall%20logo">
          <a:extLst>
            <a:ext uri="{FF2B5EF4-FFF2-40B4-BE49-F238E27FC236}">
              <a16:creationId xmlns:a16="http://schemas.microsoft.com/office/drawing/2014/main" id="{ADD0801D-2CAB-482A-A896-50A638CDA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149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37</xdr:row>
      <xdr:rowOff>114913</xdr:rowOff>
    </xdr:from>
    <xdr:to>
      <xdr:col>1</xdr:col>
      <xdr:colOff>656168</xdr:colOff>
      <xdr:row>39</xdr:row>
      <xdr:rowOff>248708</xdr:rowOff>
    </xdr:to>
    <xdr:pic>
      <xdr:nvPicPr>
        <xdr:cNvPr id="3" name="Picture 5" descr="I%20Wall%20logo">
          <a:extLst>
            <a:ext uri="{FF2B5EF4-FFF2-40B4-BE49-F238E27FC236}">
              <a16:creationId xmlns:a16="http://schemas.microsoft.com/office/drawing/2014/main" id="{731E4637-8945-4B7E-949B-E9672E55F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83159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74</xdr:row>
      <xdr:rowOff>114913</xdr:rowOff>
    </xdr:from>
    <xdr:to>
      <xdr:col>1</xdr:col>
      <xdr:colOff>656168</xdr:colOff>
      <xdr:row>76</xdr:row>
      <xdr:rowOff>248708</xdr:rowOff>
    </xdr:to>
    <xdr:pic>
      <xdr:nvPicPr>
        <xdr:cNvPr id="4" name="Picture 5" descr="I%20Wall%20logo">
          <a:extLst>
            <a:ext uri="{FF2B5EF4-FFF2-40B4-BE49-F238E27FC236}">
              <a16:creationId xmlns:a16="http://schemas.microsoft.com/office/drawing/2014/main" id="{6FCF66BD-2106-4DBB-A98B-EC440CECF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165169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111</xdr:row>
      <xdr:rowOff>114913</xdr:rowOff>
    </xdr:from>
    <xdr:to>
      <xdr:col>1</xdr:col>
      <xdr:colOff>656168</xdr:colOff>
      <xdr:row>113</xdr:row>
      <xdr:rowOff>248708</xdr:rowOff>
    </xdr:to>
    <xdr:pic>
      <xdr:nvPicPr>
        <xdr:cNvPr id="5" name="Picture 5" descr="I%20Wall%20logo">
          <a:extLst>
            <a:ext uri="{FF2B5EF4-FFF2-40B4-BE49-F238E27FC236}">
              <a16:creationId xmlns:a16="http://schemas.microsoft.com/office/drawing/2014/main" id="{4C03E7AD-45EC-44BA-92A0-32E1A0BFB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247179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6" name="Picture 5" descr="I%20Wall%20logo">
          <a:extLst>
            <a:ext uri="{FF2B5EF4-FFF2-40B4-BE49-F238E27FC236}">
              <a16:creationId xmlns:a16="http://schemas.microsoft.com/office/drawing/2014/main" id="{459A62FC-8CD6-431D-957C-EF0F50767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7" name="Picture 5" descr="I%20Wall%20logo">
          <a:extLst>
            <a:ext uri="{FF2B5EF4-FFF2-40B4-BE49-F238E27FC236}">
              <a16:creationId xmlns:a16="http://schemas.microsoft.com/office/drawing/2014/main" id="{45C24313-CA1C-4559-ACF2-95AE72559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8" name="Picture 5" descr="I%20Wall%20logo">
          <a:extLst>
            <a:ext uri="{FF2B5EF4-FFF2-40B4-BE49-F238E27FC236}">
              <a16:creationId xmlns:a16="http://schemas.microsoft.com/office/drawing/2014/main" id="{8DA715C6-5C60-4AF3-A37B-968F3C2D5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9" name="Picture 5" descr="I%20Wall%20logo">
          <a:extLst>
            <a:ext uri="{FF2B5EF4-FFF2-40B4-BE49-F238E27FC236}">
              <a16:creationId xmlns:a16="http://schemas.microsoft.com/office/drawing/2014/main" id="{29072FB9-B215-4A52-9E94-0A5BDB361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0" name="Picture 5" descr="I%20Wall%20logo">
          <a:extLst>
            <a:ext uri="{FF2B5EF4-FFF2-40B4-BE49-F238E27FC236}">
              <a16:creationId xmlns:a16="http://schemas.microsoft.com/office/drawing/2014/main" id="{3EF7F1C1-24E1-4679-BF95-A93525089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1" name="Picture 5" descr="I%20Wall%20logo">
          <a:extLst>
            <a:ext uri="{FF2B5EF4-FFF2-40B4-BE49-F238E27FC236}">
              <a16:creationId xmlns:a16="http://schemas.microsoft.com/office/drawing/2014/main" id="{B883E168-13AF-4F1E-9CEA-FC3446C80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333</xdr:row>
      <xdr:rowOff>114913</xdr:rowOff>
    </xdr:from>
    <xdr:to>
      <xdr:col>1</xdr:col>
      <xdr:colOff>656168</xdr:colOff>
      <xdr:row>335</xdr:row>
      <xdr:rowOff>248708</xdr:rowOff>
    </xdr:to>
    <xdr:pic>
      <xdr:nvPicPr>
        <xdr:cNvPr id="12" name="Picture 5" descr="I%20Wall%20logo">
          <a:extLst>
            <a:ext uri="{FF2B5EF4-FFF2-40B4-BE49-F238E27FC236}">
              <a16:creationId xmlns:a16="http://schemas.microsoft.com/office/drawing/2014/main" id="{7B91040B-C46C-47A2-A301-DE81B70D2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739241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148</xdr:row>
      <xdr:rowOff>114913</xdr:rowOff>
    </xdr:from>
    <xdr:to>
      <xdr:col>1</xdr:col>
      <xdr:colOff>656168</xdr:colOff>
      <xdr:row>150</xdr:row>
      <xdr:rowOff>248708</xdr:rowOff>
    </xdr:to>
    <xdr:pic>
      <xdr:nvPicPr>
        <xdr:cNvPr id="13" name="Picture 5" descr="I%20Wall%20logo">
          <a:extLst>
            <a:ext uri="{FF2B5EF4-FFF2-40B4-BE49-F238E27FC236}">
              <a16:creationId xmlns:a16="http://schemas.microsoft.com/office/drawing/2014/main" id="{6CE898E6-12F1-4833-B38F-4420CB231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329190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185</xdr:row>
      <xdr:rowOff>114913</xdr:rowOff>
    </xdr:from>
    <xdr:to>
      <xdr:col>1</xdr:col>
      <xdr:colOff>656168</xdr:colOff>
      <xdr:row>187</xdr:row>
      <xdr:rowOff>248708</xdr:rowOff>
    </xdr:to>
    <xdr:pic>
      <xdr:nvPicPr>
        <xdr:cNvPr id="14" name="Picture 5" descr="I%20Wall%20logo">
          <a:extLst>
            <a:ext uri="{FF2B5EF4-FFF2-40B4-BE49-F238E27FC236}">
              <a16:creationId xmlns:a16="http://schemas.microsoft.com/office/drawing/2014/main" id="{9F416520-2CA7-469F-9221-1FCB3B2F3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112003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222</xdr:row>
      <xdr:rowOff>114913</xdr:rowOff>
    </xdr:from>
    <xdr:to>
      <xdr:col>1</xdr:col>
      <xdr:colOff>656168</xdr:colOff>
      <xdr:row>224</xdr:row>
      <xdr:rowOff>248708</xdr:rowOff>
    </xdr:to>
    <xdr:pic>
      <xdr:nvPicPr>
        <xdr:cNvPr id="15" name="Picture 5" descr="I%20Wall%20logo">
          <a:extLst>
            <a:ext uri="{FF2B5EF4-FFF2-40B4-BE49-F238E27FC236}">
              <a16:creationId xmlns:a16="http://schemas.microsoft.com/office/drawing/2014/main" id="{307321C5-6B98-48FD-A28A-DA56CBF79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4932106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259</xdr:row>
      <xdr:rowOff>114913</xdr:rowOff>
    </xdr:from>
    <xdr:to>
      <xdr:col>1</xdr:col>
      <xdr:colOff>656168</xdr:colOff>
      <xdr:row>261</xdr:row>
      <xdr:rowOff>248708</xdr:rowOff>
    </xdr:to>
    <xdr:pic>
      <xdr:nvPicPr>
        <xdr:cNvPr id="16" name="Picture 5" descr="I%20Wall%20logo">
          <a:extLst>
            <a:ext uri="{FF2B5EF4-FFF2-40B4-BE49-F238E27FC236}">
              <a16:creationId xmlns:a16="http://schemas.microsoft.com/office/drawing/2014/main" id="{42316C10-1FEF-44C7-AC69-BE4BEEC50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57522088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89958</xdr:colOff>
      <xdr:row>296</xdr:row>
      <xdr:rowOff>114913</xdr:rowOff>
    </xdr:from>
    <xdr:to>
      <xdr:col>1</xdr:col>
      <xdr:colOff>656168</xdr:colOff>
      <xdr:row>298</xdr:row>
      <xdr:rowOff>248708</xdr:rowOff>
    </xdr:to>
    <xdr:pic>
      <xdr:nvPicPr>
        <xdr:cNvPr id="17" name="Picture 5" descr="I%20Wall%20logo">
          <a:extLst>
            <a:ext uri="{FF2B5EF4-FFF2-40B4-BE49-F238E27FC236}">
              <a16:creationId xmlns:a16="http://schemas.microsoft.com/office/drawing/2014/main" id="{B3CF0F98-1A54-4AB8-9987-57ED1DAD5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3783" y="65723113"/>
          <a:ext cx="566210" cy="6957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34</xdr:col>
      <xdr:colOff>2024061</xdr:colOff>
      <xdr:row>82</xdr:row>
      <xdr:rowOff>156204</xdr:rowOff>
    </xdr:from>
    <xdr:to>
      <xdr:col>35</xdr:col>
      <xdr:colOff>1523998</xdr:colOff>
      <xdr:row>115</xdr:row>
      <xdr:rowOff>190330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Name.">
              <a:extLst>
                <a:ext uri="{FF2B5EF4-FFF2-40B4-BE49-F238E27FC236}">
                  <a16:creationId xmlns:a16="http://schemas.microsoft.com/office/drawing/2014/main" id="{51E92476-4F07-C219-63C2-A4072C75D03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ame.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3461561" y="7680954"/>
              <a:ext cx="3381375" cy="81303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此圖形代表表格交叉分析篩選器。此版本的 Excel 不支援表格交叉分析篩選器。
如果圖形在舊版 Excel 中修改，或如果活頁簿在 Excel 2007 或較舊版本中儲存，則無法使用交叉分析篩選器。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15</xdr:col>
      <xdr:colOff>438150</xdr:colOff>
      <xdr:row>4</xdr:row>
      <xdr:rowOff>114300</xdr:rowOff>
    </xdr:from>
    <xdr:to>
      <xdr:col>20</xdr:col>
      <xdr:colOff>400050</xdr:colOff>
      <xdr:row>27</xdr:row>
      <xdr:rowOff>104775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Full Name1">
              <a:extLst>
                <a:ext uri="{FF2B5EF4-FFF2-40B4-BE49-F238E27FC236}">
                  <a16:creationId xmlns:a16="http://schemas.microsoft.com/office/drawing/2014/main" id="{69E8812F-D555-5EBF-8E13-EC13EBBA10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ull Name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310757" y="930729"/>
              <a:ext cx="3363686" cy="46849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此圖形代表表格交叉分析篩選器。此版本的 Excel 不支援表格交叉分析篩選器。
如果圖形在舊版 Excel 中修改，或如果活頁簿在 Excel 2007 或較舊版本中儲存，則無法使用交叉分析篩選器。</a:t>
              </a:r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10630" id="{ED939364-FCE5-4D35-9083-D9E136512DF6}" userId="S::a10630@3651.pro::f2042b8b-d5a9-4a29-b288-4f566cc07d3b" providerId="AD"/>
  <person displayName="A5413" id="{54021CFC-0A3B-40F7-BF67-04CBB3E198B1}" userId="S::A5413@pooiu.onmicrosoft.com::47bd6388-52ba-4963-9f16-6e7d15eaa20c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w Alice" refreshedDate="46154.470870833335" createdVersion="8" refreshedVersion="8" minRefreshableVersion="3" recordCount="184" xr:uid="{A33D6510-2FB6-44C1-8EB8-7D6A3307004B}">
  <cacheSource type="worksheet">
    <worksheetSource name="表格3"/>
  </cacheSource>
  <cacheFields count="11">
    <cacheField name="No." numFmtId="206">
      <sharedItems containsString="0" containsBlank="1" containsNumber="1" containsInteger="1" minValue="1" maxValue="64"/>
    </cacheField>
    <cacheField name="欄1" numFmtId="0">
      <sharedItems containsBlank="1"/>
    </cacheField>
    <cacheField name="Name." numFmtId="0">
      <sharedItems/>
    </cacheField>
    <cacheField name="Full Name." numFmtId="0">
      <sharedItems count="52">
        <s v="Cheng Muk Kiu"/>
        <s v="Wong Wai Chu"/>
        <s v="Leung Ching"/>
        <s v="Lo Muk Chun"/>
        <s v="Chiu Kan"/>
        <s v="Yeung Lai Shan"/>
        <s v="Cheung Yin Ping"/>
        <s v="Or Sim Kiu"/>
        <s v="Cheung Sau Kwan"/>
        <s v="Chiu Fung Shan"/>
        <s v="Wong Lai Ying"/>
        <s v="Chan Mei Sim"/>
        <s v="Ka Kui,Jaco"/>
        <s v="Lau Kwan Wai"/>
        <s v="Yeung Kwai Lin"/>
        <s v="Tam Wing Lam"/>
        <s v="Ng Nga Fong"/>
        <s v="Hon Lily"/>
        <s v="Hon Suet Mui"/>
        <s v="Ho Lai Kuen"/>
        <s v="Tsang Tak Kin"/>
        <s v="Sin Hoi Yam"/>
        <s v="Hui Man Hung"/>
        <s v="Lam King Chung"/>
        <s v="Li Wenjie"/>
        <s v="Kwan Tit Ho"/>
        <s v="Cheung Yu Wing Yee"/>
        <s v="Ho Wai Ling"/>
        <s v="Chun Yin Ling"/>
        <s v="Yuen Lai Ying"/>
        <s v="Man Wai Han"/>
        <s v="Chan Siu Mui "/>
        <s v="Kwok Chun Wah"/>
        <s v="Wong Miu Yu"/>
        <s v="Yu Shing Hin"/>
        <s v="Yip Mei King"/>
        <s v="Ng Yuk Ying"/>
        <s v="Yeung Chor Mui"/>
        <s v="Wong Tak Chung"/>
        <s v="Sit Kwok Fong"/>
        <s v="Chan Siu Kuen"/>
        <s v="Ng Po Wan"/>
        <s v="Yau Shuk Kuen"/>
        <s v="Lee Yee Wan"/>
        <s v="Ngai Kong Ying"/>
        <s v="Tan Xingfang"/>
        <s v="Ip Sau King"/>
        <s v="Ho Lai Sim"/>
        <s v="Chan So Mui"/>
        <s v="Chan Chi Tim"/>
        <s v="Pang Kam Chun"/>
        <s v="Chan Wan Wah"/>
      </sharedItems>
    </cacheField>
    <cacheField name="CQ No." numFmtId="206">
      <sharedItems containsBlank="1" containsMixedTypes="1" containsNumber="1" containsInteger="1" minValue="20640" maxValue="20907"/>
    </cacheField>
    <cacheField name="Shop" numFmtId="0">
      <sharedItems containsBlank="1" count="106">
        <s v="Kornhill Aeon"/>
        <s v="Vcity Fortress"/>
        <s v="Diamond Hill Fortress"/>
        <s v="Good Hope Fortress"/>
        <s v="Whampoa Aeon"/>
        <s v="TKW_1 Suning"/>
        <s v="TKW_2 Suning"/>
        <s v="Tai koo Broadway"/>
        <s v="Diamond Hill Broadway"/>
        <s v="TW_1 Citistore"/>
        <s v="TW_2 Citistore"/>
        <s v="Tai Koo Fortress"/>
        <s v="Tung Chun_1 Fortress"/>
        <s v="Tung Chun_2 Fortress"/>
        <s v="TM Suning"/>
        <s v="Mos Citistore"/>
        <s v="Mos RS Citistore"/>
        <s v="TM_1 Aeon"/>
        <s v="TM_2 Aeon"/>
        <s v="TW_1 Fortress"/>
        <s v="TW_2 Fortress"/>
        <s v="TW_3 Fortress"/>
        <s v="TW Suning"/>
        <s v="Yoho Suning"/>
        <s v="YL_1 Citistore"/>
        <s v="YL_2 Citistore"/>
        <s v="YL_3 Citistore"/>
        <s v="TM Citistore"/>
        <s v="APM Broadway"/>
        <s v="APM_1 Fortress"/>
        <s v="APM_2 Fortress"/>
        <s v="Aberdeen Fortress"/>
        <s v="TKO Suning"/>
        <s v="CSW Yoho"/>
        <s v="Times Fortress"/>
        <s v="East Point City_1 Fortress"/>
        <s v="East Point City_2 Fortress"/>
        <s v="Shatin_1 Yata"/>
        <s v="Shatin_2 Yata"/>
        <s v="TP_1 Yata"/>
        <s v="TP_2 Yata"/>
        <s v="TP_3 Yata"/>
        <s v="Kai Tak_1 Sogo"/>
        <s v="Kai Tak_2 Sogo"/>
        <s v="Kai Tak_3 Sogo"/>
        <s v="Tsing Yi Demo Broadway"/>
        <s v="F613 Demo_1 Fortress"/>
        <s v="F613 Demo_2 Fortress"/>
        <s v="F613 Demo_3 Fortress"/>
        <s v="TM_1 Broadway"/>
        <s v="TM_2 Broadway"/>
        <s v="Tsuen Wan Aeon"/>
        <s v="Panda Aeon"/>
        <s v="LCK Aeon"/>
        <s v="Megabox_1 Aeon"/>
        <s v="Megabox_2 Aeon"/>
        <s v="Yau Tong Aeon"/>
        <s v="TKO Aeon"/>
        <s v="Training"/>
        <s v="TKW Suning"/>
        <s v="TW_3 Citistore"/>
        <s v="TW_4 Citistore"/>
        <s v="Tung Chun Fortress"/>
        <s v="TW Fortress"/>
        <s v="APM Fortress"/>
        <s v="Kai Tak RS Sogo"/>
        <s v="Tai Koo_1 Apita"/>
        <s v="Tai Koo_2 Apita"/>
        <s v="Kln Bay_1 Broadway"/>
        <s v="Kln Bay_2 Broadway"/>
        <s v="Kln Bay Demo_1 Broadway"/>
        <s v="Kln Bay Demo_2 Broadway"/>
        <s v="Kln Bay Demo_3 Broadway"/>
        <s v="LCK_1 Aeon"/>
        <s v="LCK_2 Aeon"/>
        <s v="Megabox Aeon"/>
        <s v="Yau Tong_1 Aeon"/>
        <s v="Yau Tong_2 Aeon"/>
        <s v="Vcity_1 Fortress"/>
        <s v="Vcity_2 Fortress"/>
        <s v="Diamond Hill_1 Broadway"/>
        <s v="Diamond Hill_2 Broadway"/>
        <s v="TW RS_1 Citistore"/>
        <s v="TW RS_2 Citistore"/>
        <s v="Mos_1 Citistore"/>
        <s v="Mos_2 Citistore"/>
        <s v="YL Citistore"/>
        <s v="Shatin_3 Yata"/>
        <s v="Shatin_4 Yata"/>
        <s v="Kai Tak_4 Sogo"/>
        <s v="Kai Tak_5 Sogo"/>
        <s v="Kai Tak RS_1 Sogo"/>
        <s v="Kai Tak RS_2 Sogo"/>
        <s v="Mongkok_1 BBE"/>
        <s v="Mongkok_2 BBE"/>
        <s v="Tai Koo_3 Apita"/>
        <s v="Kln Bay Demo Broadway"/>
        <s v="CWB Sogo"/>
        <s v="TSW RS Tung Yuen"/>
        <s v="TC RS Tung Yuen"/>
        <s v="TM RS Fortress"/>
        <s v="Training_1"/>
        <s v="Training_2"/>
        <s v="Training_3"/>
        <m/>
        <s v="補差價"/>
      </sharedItems>
    </cacheField>
    <cacheField name="Period" numFmtId="16">
      <sharedItems containsBlank="1" count="169">
        <s v="1-4,7-11,13-18,20-25,27-28,30-31/Jan"/>
        <s v="2-4,10-11,24-25,31/Jan"/>
        <s v="1,3-8,10-11,13-15,17-22,24-27,29,31/Jan"/>
        <s v="1-4,6-11,14-18,21-25,28-31/Jan"/>
        <s v="1-4,8-12,14-20,22-26,28-31/Jan"/>
        <s v="7-8,10-15,17-22,24-29/Jan"/>
        <s v="1-4,6/Jan"/>
        <s v="1-4,10-11,17,25/Jan"/>
        <s v="1-4,10-11,24-25/Jan"/>
        <s v="1-5,8-12,15-19,22-26,29-31/Jan"/>
        <s v="6-7,13-14,20-21,27-28/Jan"/>
        <s v="3-7,10-14,17-22,25-27,31/Jan"/>
        <s v="7-8,10-12,14-15,17-22,24-29/Jan"/>
        <s v="1-2,4-7,10-13,16-20,23-28,30-31/Jan"/>
        <s v="1-5,7-11,13-15,18-20,22-25,27-28,30-31/Jan"/>
        <s v="6,12/Jan"/>
        <s v="1-3,5,7-9,11-12,14-15,17-20,25-27,30-31/Jan"/>
        <s v="23-24,29/Jan"/>
        <s v="2-4/Jan"/>
        <s v="10-11/Jan"/>
        <s v="31/Jan"/>
        <s v="2-6,8-11,17-22,24-29,31/Jan"/>
        <s v="2-6,8,10-13,15,18-20,22-24,26-27,29-31/Jan"/>
        <s v="8-13,15-31/Jan"/>
        <s v="1-7/Jan"/>
        <s v="30/Jan"/>
        <s v="1-12,14-15,17-20,22-26,28-29,31/Jan"/>
        <s v="1-2,4-5,7-8,10-12,14,17-18,21-22,24-29,31/Jan"/>
        <s v="1-2,4-8/Jan"/>
        <s v="29/Jan"/>
        <s v="2-5,8-11,13,15-18,22-25,29-31/Jan"/>
        <s v="12-14,17-18,20-22,24-25,27,29,31/Jan"/>
        <s v="1-4,8-12,15-18,22/Jan"/>
        <s v="16-19,21,23-29,31/Jan"/>
        <s v="3-10,12-16,21-24,26-28,30-31/Jan"/>
        <s v="1,11/Jan"/>
        <s v="1-2,4-6,8-12,15-19,21-25,28-31/Jan"/>
        <s v="3,7,13-14,20,26-27/Jan"/>
        <s v="1-4,7-11,14-18,21-25,28-31/Jan"/>
        <s v="12-13,19-20/Jan"/>
        <s v="5-6,26-27/Jan"/>
        <s v="1-3,5-8,11-13,15-16,23-25,27-29,31/Jan"/>
        <s v="10/Jan"/>
        <s v="4,9,14,17-22,26,30/Jan"/>
        <s v="1/Jan"/>
        <s v="9-15,17-18,20-23/Jan"/>
        <s v="16,19,24-29,31/Jan"/>
        <s v="15/Jan"/>
        <s v="16-18/Jan"/>
        <s v="9-15,17-26,28-31/Jan"/>
        <s v="9-12,14-20,22-27,29-31/Jan"/>
        <s v="9-13,15-20,22-27,29-31/Jan"/>
        <s v="9-14,24-26,28-31/Jan"/>
        <s v="15,17-18,21-22/Jan"/>
        <s v="9-14,16-21,23-29,31/Jan"/>
        <s v="9-14,16-19,21-25,27-31/Jan"/>
        <s v="Feb/1-2,4-8,10-15,22-24,26-28"/>
        <s v="Feb/1,7-8,14-15,22,28"/>
        <s v="Feb/1-5,7-9,11-12,14-16,20-26,28"/>
        <s v="Feb/1,3-8,10-16,23-27"/>
        <s v="Feb/1-2,4,6-9,11,13-15,20-22,24-28"/>
        <s v="Feb/1-5,7-12,14-16,20-24,26-28"/>
        <s v="Feb/1,7-8,14,21-22,28"/>
        <s v="Feb/1,7-8,14-15,21-22,28"/>
        <s v="Feb/1-3,5-9,11-12,14-15,21-24,26-28"/>
        <s v="Feb/10,13,20,25"/>
        <s v="Feb/4"/>
        <s v="Feb/16"/>
        <s v="Feb/1-5,7-15,25-28"/>
        <s v="Feb/1,3-5,7-12,15-16,19-24,27-28"/>
        <s v="Feb/1-5,11-15,22-25,27-28"/>
        <s v="Feb/1-2,4-6,8-9,11-12,14-16,20-24,26-28"/>
        <s v="Feb/1-2,4-5,7-8,11-12,14,16,20-22,25-26,28"/>
        <s v="Feb/6,24"/>
        <s v="Feb/1,14,28"/>
        <s v="Feb/1-5,7-12,14-16,20-22,24-25,27-28"/>
        <s v="Feb/1-3,5-10,12-13,15,22-24,26-28"/>
        <s v="Feb/1-2,5-9,12-15,21-24,26-28"/>
        <s v="Feb/3,10"/>
        <s v="Feb/1-2,4-10,13-16,20-24,26-28"/>
        <s v="Feb/1-8,10-12,21-24,26-28"/>
        <s v="Feb/1-2,4-6,9,11-12,14-15,21-22,24-28"/>
        <s v="Feb/1,3,5-8,11-12,19-22,26"/>
        <s v="Feb/1,3-5,7-8,10-12,14-15,21-22,24-28"/>
        <s v="Feb/1-5,7-8,10-12,14-16,21-26,28"/>
        <s v="Feb/1-3,6-9,12-15,21-24,26-28"/>
        <s v="Feb/4-5,10-11,16,20,25"/>
        <s v="Feb/1-2,4-8,10-15,24-28"/>
        <s v="Feb/16,20-23"/>
        <s v="Feb/3,9"/>
        <s v="Feb/1-3,5-8,10-12,14-15,20-22,24-26,28"/>
        <s v="Feb/27"/>
        <s v="Feb/28"/>
        <s v="Feb/1,3-8,10-16,22-23"/>
        <s v="Feb/2,9,20-21"/>
        <s v="Feb/4-5,7-12,14,16,21-23,26,28"/>
        <s v="Feb/6,13,15"/>
        <s v="Feb/9"/>
        <s v="Feb/24-25"/>
        <s v="Feb/6-15,22-25,27-28"/>
        <s v="Feb/4-5,16,26"/>
        <s v="Feb/20-21"/>
        <s v="Feb/1-2,4-10,12-16,20-28"/>
        <s v="Feb/1-3,5-10,12-15,20-24,26-28"/>
        <s v="Feb/1-2,4-5,7-10,12-16,20,23-25,27-28"/>
        <s v="Feb/21-22"/>
        <s v="Feb/1-4,6-11,13-16,20-26,28"/>
        <s v="Feb/1-4,6-13"/>
        <s v="Feb/14-15,20-23,25,27-28"/>
        <s v="Feb/1-2,4-8,10-11,13-15,22-23,25-28"/>
        <m/>
        <s v="Mar/1-3,5-8,10-13,15-17,20-23,26-29"/>
        <s v="Mar/1,14-15,21-22,25,28"/>
        <s v="Mar/7-8"/>
        <s v="Mar/1-2,4,6-8,13-19,21-31"/>
        <s v="Mar/1,5-8,11-15,17-22,25-29,31"/>
        <s v="Mar/1-3,6-9,12-15,19-24,27-28,31"/>
        <s v="Mar/1-4,7-11,14-17,21-25,28-31"/>
        <s v="Mar/1,7,28-29"/>
        <s v="Mar/1,7-8,14-15,28-29"/>
        <s v="Mar/21-22"/>
        <s v="Mar/1-2,5-10,14-17,20-23"/>
        <s v="Mar/3-4,11,13,18-19,24"/>
        <s v="Mar/12"/>
        <s v="Mar/25-31"/>
        <s v="Mar/27-29"/>
        <s v="Mar/1-3,7-11,14-18,21-25,28-31"/>
        <s v="Mar/2-5,7-11,14-17,20-25,29-31"/>
        <s v="Mar/1-4,7-10,14-18,20-25,28-31"/>
        <s v="Mar/1,3-5,7-10,12-16,18,24-26,28-31"/>
        <s v="Mar/1-2,4,6,8-9,11,13,22-25,27-29,31"/>
        <s v="Mar/17-18,26,30"/>
        <s v="Mar/1,7-8,21-22,28-29"/>
        <s v="Mar/1-4,6-12,14-18,20-25"/>
        <s v="Mar/2-3,5,7-10,12-17,19-24,26,29-31"/>
        <s v="Mar/1,5-9,12-16,19-22,26-30"/>
        <s v="Mar/1,3-4,6-9,11-12,14-17,20-24,26-31"/>
        <s v="Mar/1,3-5,7-9,11-12,15-16,19-22,25-31"/>
        <s v="Mar/1,5-6,8-9,11-12,14,16,19-22,24-26,29,31"/>
        <s v="Mar/1,3-5,7-8,11-12,14-15,17-19,24-26,28-31"/>
        <s v="Mar/1-5,7,9-12,15-18,21-26,28-31"/>
        <s v="Mar/1-2,5-10,14-17,20-24,27-31"/>
        <s v="Mar/3-4,18-19"/>
        <s v="Mar/25-26"/>
        <s v="Mar/11-13"/>
        <s v="Mar/1,4-8,11-15,18-22,25-29"/>
        <s v="Mar/9-10,23-24,30-31"/>
        <s v="Mar/2-3,16-17"/>
        <s v="Mar/21-22,31"/>
        <s v="Mar/1-4,7-8"/>
        <s v="Mar/5,9-19,24-26"/>
        <s v="Mar/6"/>
        <s v="Mar/28-29"/>
        <s v="Mar/1,7-8"/>
        <s v="Mar/14-15"/>
        <s v="Mar/26-29"/>
        <s v="Mar/14-15,19-22"/>
        <s v="Mar/1,7-8,14,21-24,28-29"/>
        <s v="Mar/15"/>
        <s v="Mar/19-20,25"/>
        <s v="Mar/1-9"/>
        <s v="Mar/16-17,20-21,23-24,26-27"/>
        <s v="Mar/6-9"/>
        <s v="Mar/20-23"/>
        <s v="Mar/27-30"/>
        <s v="Mar/1-3,5-12,14-15"/>
        <s v="Mar/1,7-8,14-15"/>
        <s v="Mar/1-4,6-10,12-15"/>
        <s v="Mar/24"/>
      </sharedItems>
    </cacheField>
    <cacheField name="Days" numFmtId="200">
      <sharedItems containsString="0" containsBlank="1" containsNumber="1" containsInteger="1" minValue="1" maxValue="26"/>
    </cacheField>
    <cacheField name="Reg.Hrs" numFmtId="0">
      <sharedItems containsString="0" containsBlank="1" containsNumber="1" minValue="7" maxValue="208"/>
    </cacheField>
    <cacheField name="$" numFmtId="0">
      <sharedItems containsString="0" containsBlank="1" containsNumber="1" containsInteger="1" minValue="5" maxValue="80"/>
    </cacheField>
    <cacheField name="DAy." numFmtId="0" formula="Days&lt;38" databaseField="0"/>
  </cacheFields>
  <extLst>
    <ext xmlns:x14="http://schemas.microsoft.com/office/spreadsheetml/2009/9/main" uri="{725AE2AE-9491-48be-B2B4-4EB974FC3084}">
      <x14:pivotCacheDefinition pivotCacheId="2429801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4">
  <r>
    <n v="1"/>
    <s v="OK"/>
    <s v="May C"/>
    <x v="0"/>
    <n v="20640"/>
    <x v="0"/>
    <x v="0"/>
    <n v="25"/>
    <n v="200"/>
    <n v="55"/>
  </r>
  <r>
    <n v="2"/>
    <s v="OK"/>
    <s v="Ivy Wong"/>
    <x v="1"/>
    <s v="Autopay"/>
    <x v="1"/>
    <x v="1"/>
    <n v="8"/>
    <n v="64"/>
    <n v="60"/>
  </r>
  <r>
    <n v="3"/>
    <s v="OK"/>
    <s v="Vicky L"/>
    <x v="2"/>
    <n v="20641"/>
    <x v="2"/>
    <x v="2"/>
    <n v="24"/>
    <n v="192"/>
    <n v="60"/>
  </r>
  <r>
    <n v="4"/>
    <s v="OK"/>
    <s v="Michelle"/>
    <x v="3"/>
    <s v="Autopay"/>
    <x v="3"/>
    <x v="3"/>
    <n v="24"/>
    <n v="192"/>
    <n v="60"/>
  </r>
  <r>
    <n v="5"/>
    <s v="OK"/>
    <s v="Jessica"/>
    <x v="4"/>
    <s v="Autopay"/>
    <x v="4"/>
    <x v="4"/>
    <n v="25"/>
    <n v="200"/>
    <n v="55"/>
  </r>
  <r>
    <n v="6"/>
    <s v="OK"/>
    <s v="Kitty Yeung"/>
    <x v="5"/>
    <n v="20642"/>
    <x v="5"/>
    <x v="5"/>
    <n v="20"/>
    <n v="160"/>
    <n v="60"/>
  </r>
  <r>
    <n v="7"/>
    <s v="OK"/>
    <s v="Pinky"/>
    <x v="6"/>
    <s v="Autopay"/>
    <x v="6"/>
    <x v="6"/>
    <n v="5"/>
    <n v="40"/>
    <n v="60"/>
  </r>
  <r>
    <n v="8"/>
    <s v="OK"/>
    <s v="Amy Or"/>
    <x v="7"/>
    <n v="20643"/>
    <x v="7"/>
    <x v="7"/>
    <n v="8"/>
    <n v="64"/>
    <n v="55"/>
  </r>
  <r>
    <n v="9"/>
    <s v="OK"/>
    <s v="Sau Kwan_1"/>
    <x v="8"/>
    <s v="Autopay"/>
    <x v="8"/>
    <x v="8"/>
    <n v="8"/>
    <n v="64"/>
    <n v="60"/>
  </r>
  <r>
    <n v="10"/>
    <s v="OK"/>
    <s v="Shan"/>
    <x v="9"/>
    <n v="20644"/>
    <x v="9"/>
    <x v="9"/>
    <n v="23"/>
    <n v="207"/>
    <n v="60"/>
  </r>
  <r>
    <n v="11"/>
    <s v="OK"/>
    <s v="Wendy Wong_1"/>
    <x v="10"/>
    <s v="Autopay"/>
    <x v="10"/>
    <x v="10"/>
    <n v="8"/>
    <n v="72"/>
    <n v="60"/>
  </r>
  <r>
    <n v="12"/>
    <s v="OK"/>
    <s v="Kiko"/>
    <x v="11"/>
    <s v="Autopay"/>
    <x v="11"/>
    <x v="11"/>
    <n v="20"/>
    <n v="160"/>
    <n v="60"/>
  </r>
  <r>
    <n v="13"/>
    <s v="OK"/>
    <s v="Jaco"/>
    <x v="12"/>
    <n v="20645"/>
    <x v="12"/>
    <x v="12"/>
    <n v="19"/>
    <n v="152"/>
    <n v="60"/>
  </r>
  <r>
    <n v="14"/>
    <s v="OK"/>
    <s v="Wendy Lau_1"/>
    <x v="13"/>
    <n v="20646"/>
    <x v="13"/>
    <x v="6"/>
    <n v="5"/>
    <n v="40"/>
    <n v="60"/>
  </r>
  <r>
    <n v="15"/>
    <s v="OK"/>
    <s v="Daisy"/>
    <x v="14"/>
    <s v="Autopay"/>
    <x v="14"/>
    <x v="13"/>
    <n v="23"/>
    <n v="184"/>
    <n v="60"/>
  </r>
  <r>
    <n v="16"/>
    <s v="OK"/>
    <s v="Pam"/>
    <x v="15"/>
    <s v="Autopay"/>
    <x v="15"/>
    <x v="14"/>
    <n v="24"/>
    <n v="195.5"/>
    <n v="55"/>
  </r>
  <r>
    <n v="17"/>
    <s v="OK"/>
    <s v="Fong_2"/>
    <x v="16"/>
    <s v="Autopay"/>
    <x v="16"/>
    <x v="15"/>
    <n v="2"/>
    <n v="16"/>
    <n v="60"/>
  </r>
  <r>
    <n v="18"/>
    <s v="OK"/>
    <s v="Lily Hon"/>
    <x v="17"/>
    <n v="20647"/>
    <x v="17"/>
    <x v="16"/>
    <n v="20"/>
    <n v="156.5"/>
    <n v="55"/>
  </r>
  <r>
    <n v="19"/>
    <s v="OK"/>
    <s v="Mui Hon"/>
    <x v="18"/>
    <n v="20648"/>
    <x v="18"/>
    <x v="17"/>
    <n v="3"/>
    <n v="24"/>
    <n v="55"/>
  </r>
  <r>
    <n v="20"/>
    <s v="OK"/>
    <s v="Maggie Ho_2"/>
    <x v="19"/>
    <n v="20673"/>
    <x v="19"/>
    <x v="18"/>
    <n v="3"/>
    <n v="24"/>
    <n v="65"/>
  </r>
  <r>
    <n v="21"/>
    <s v="OK"/>
    <s v="Terence_1"/>
    <x v="20"/>
    <n v="20650"/>
    <x v="20"/>
    <x v="19"/>
    <n v="2"/>
    <n v="16"/>
    <n v="60"/>
  </r>
  <r>
    <n v="22"/>
    <s v="OK"/>
    <s v="Kandy_2"/>
    <x v="21"/>
    <s v="Autopay"/>
    <x v="21"/>
    <x v="20"/>
    <n v="1"/>
    <n v="8"/>
    <n v="60"/>
  </r>
  <r>
    <n v="23"/>
    <s v="OK"/>
    <s v="Hung"/>
    <x v="22"/>
    <n v="20651"/>
    <x v="22"/>
    <x v="21"/>
    <n v="22"/>
    <n v="176"/>
    <n v="60"/>
  </r>
  <r>
    <n v="24"/>
    <s v="OK"/>
    <s v="Leo"/>
    <x v="23"/>
    <s v="Autopay"/>
    <x v="23"/>
    <x v="22"/>
    <n v="22"/>
    <n v="176"/>
    <n v="55"/>
  </r>
  <r>
    <n v="25"/>
    <s v="OK"/>
    <s v="Kit"/>
    <x v="24"/>
    <s v="Autopay"/>
    <x v="24"/>
    <x v="23"/>
    <n v="23"/>
    <n v="184"/>
    <n v="60"/>
  </r>
  <r>
    <n v="26"/>
    <s v="OK"/>
    <s v="Ho_2"/>
    <x v="25"/>
    <n v="20652"/>
    <x v="25"/>
    <x v="24"/>
    <n v="7"/>
    <n v="56"/>
    <n v="60"/>
  </r>
  <r>
    <n v="27"/>
    <s v="OK"/>
    <s v="Yee_2"/>
    <x v="26"/>
    <n v="20653"/>
    <x v="26"/>
    <x v="25"/>
    <n v="1"/>
    <n v="8"/>
    <n v="60"/>
  </r>
  <r>
    <n v="28"/>
    <s v="OK"/>
    <s v="Ling Ho"/>
    <x v="27"/>
    <s v="Autopay"/>
    <x v="27"/>
    <x v="26"/>
    <n v="26"/>
    <n v="208"/>
    <n v="60"/>
  </r>
  <r>
    <n v="29"/>
    <s v="OK"/>
    <s v="Happy"/>
    <x v="28"/>
    <n v="20654"/>
    <x v="28"/>
    <x v="27"/>
    <n v="21"/>
    <n v="168"/>
    <n v="60"/>
  </r>
  <r>
    <n v="30"/>
    <s v="OK"/>
    <s v="Coco_1"/>
    <x v="29"/>
    <n v="20655"/>
    <x v="29"/>
    <x v="28"/>
    <n v="7"/>
    <n v="56"/>
    <n v="60"/>
  </r>
  <r>
    <n v="31"/>
    <s v="OK"/>
    <s v="Tiffany"/>
    <x v="30"/>
    <s v="Autopay"/>
    <x v="30"/>
    <x v="29"/>
    <n v="1"/>
    <n v="8"/>
    <n v="60"/>
  </r>
  <r>
    <n v="32"/>
    <s v="OK"/>
    <s v="Connie"/>
    <x v="31"/>
    <n v="20656"/>
    <x v="31"/>
    <x v="30"/>
    <n v="20"/>
    <n v="160"/>
    <n v="60"/>
  </r>
  <r>
    <n v="33"/>
    <s v="OK"/>
    <s v="Coco_2"/>
    <x v="29"/>
    <n v="20657"/>
    <x v="32"/>
    <x v="31"/>
    <n v="13"/>
    <n v="102"/>
    <n v="60"/>
  </r>
  <r>
    <n v="34"/>
    <s v="OK"/>
    <s v="Yee_1"/>
    <x v="26"/>
    <n v="20658"/>
    <x v="33"/>
    <x v="32"/>
    <n v="14"/>
    <n v="112"/>
    <n v="60"/>
  </r>
  <r>
    <n v="35"/>
    <s v="OK"/>
    <s v="Raymond"/>
    <x v="32"/>
    <n v="20659"/>
    <x v="34"/>
    <x v="33"/>
    <n v="13"/>
    <n v="98.5"/>
    <n v="60"/>
  </r>
  <r>
    <n v="36"/>
    <s v="OK"/>
    <s v="Miuyu"/>
    <x v="33"/>
    <s v="Autopay"/>
    <x v="35"/>
    <x v="34"/>
    <n v="22"/>
    <n v="176"/>
    <n v="60"/>
  </r>
  <r>
    <n v="37"/>
    <s v="OK"/>
    <s v="Jason Yu"/>
    <x v="34"/>
    <s v="Autopay"/>
    <x v="36"/>
    <x v="35"/>
    <n v="2"/>
    <n v="16"/>
    <n v="60"/>
  </r>
  <r>
    <n v="38"/>
    <s v="OK"/>
    <s v="Maggie Yip"/>
    <x v="35"/>
    <n v="20660"/>
    <x v="37"/>
    <x v="36"/>
    <n v="24"/>
    <n v="192"/>
    <n v="60"/>
  </r>
  <r>
    <n v="39"/>
    <s v="OK"/>
    <s v="Emma"/>
    <x v="36"/>
    <s v="Autopay"/>
    <x v="38"/>
    <x v="37"/>
    <n v="7"/>
    <n v="56"/>
    <n v="60"/>
  </r>
  <r>
    <n v="40"/>
    <s v="OK"/>
    <s v="Gloria"/>
    <x v="37"/>
    <n v="20661"/>
    <x v="39"/>
    <x v="38"/>
    <n v="23"/>
    <n v="184"/>
    <n v="60"/>
  </r>
  <r>
    <n v="41"/>
    <s v="OK"/>
    <s v="Tony"/>
    <x v="38"/>
    <s v="Autopay"/>
    <x v="40"/>
    <x v="39"/>
    <n v="4"/>
    <n v="32"/>
    <n v="60"/>
  </r>
  <r>
    <n v="42"/>
    <s v="OK"/>
    <s v="Shirley"/>
    <x v="39"/>
    <n v="20662"/>
    <x v="41"/>
    <x v="40"/>
    <n v="4"/>
    <n v="32"/>
    <n v="60"/>
  </r>
  <r>
    <n v="43"/>
    <s v="OK"/>
    <s v="Anita"/>
    <x v="40"/>
    <s v="Autopay"/>
    <x v="42"/>
    <x v="41"/>
    <n v="19"/>
    <n v="152"/>
    <n v="60"/>
  </r>
  <r>
    <n v="44"/>
    <s v="OK"/>
    <s v="Wendy Wong_2"/>
    <x v="10"/>
    <s v="Autopay"/>
    <x v="43"/>
    <x v="42"/>
    <n v="1"/>
    <n v="8"/>
    <n v="60"/>
  </r>
  <r>
    <n v="45"/>
    <s v="OK"/>
    <s v="Fong_1"/>
    <x v="16"/>
    <s v="Autopay"/>
    <x v="44"/>
    <x v="43"/>
    <n v="11"/>
    <n v="88"/>
    <n v="60"/>
  </r>
  <r>
    <n v="46"/>
    <s v="OK"/>
    <s v="PoWan_1"/>
    <x v="41"/>
    <n v="20663"/>
    <x v="45"/>
    <x v="44"/>
    <n v="1"/>
    <n v="8"/>
    <n v="80"/>
  </r>
  <r>
    <n v="47"/>
    <s v="OK"/>
    <s v="PoWan_2"/>
    <x v="41"/>
    <n v="20664"/>
    <x v="46"/>
    <x v="45"/>
    <n v="13"/>
    <n v="104"/>
    <n v="80"/>
  </r>
  <r>
    <n v="48"/>
    <s v="OK"/>
    <s v="Terence_2"/>
    <x v="20"/>
    <n v="20665"/>
    <x v="47"/>
    <x v="46"/>
    <n v="9"/>
    <n v="72"/>
    <n v="80"/>
  </r>
  <r>
    <n v="49"/>
    <s v="OK"/>
    <s v="Kandy_1"/>
    <x v="21"/>
    <s v="Autopay"/>
    <x v="48"/>
    <x v="25"/>
    <n v="1"/>
    <n v="8"/>
    <n v="80"/>
  </r>
  <r>
    <n v="50"/>
    <s v="OK"/>
    <s v="Kuen"/>
    <x v="42"/>
    <n v="20666"/>
    <x v="49"/>
    <x v="47"/>
    <n v="1"/>
    <n v="8"/>
    <n v="60"/>
  </r>
  <r>
    <n v="51"/>
    <s v="OK"/>
    <s v="Sau Kwan_2"/>
    <x v="8"/>
    <s v="Autopay"/>
    <x v="50"/>
    <x v="48"/>
    <n v="3"/>
    <n v="33"/>
    <n v="60"/>
  </r>
  <r>
    <n v="52"/>
    <s v="OK"/>
    <s v="Ho_1"/>
    <x v="25"/>
    <n v="20667"/>
    <x v="51"/>
    <x v="49"/>
    <n v="21"/>
    <n v="168"/>
    <n v="60"/>
  </r>
  <r>
    <n v="53"/>
    <s v="OK"/>
    <s v="Winnie"/>
    <x v="43"/>
    <n v="20668"/>
    <x v="52"/>
    <x v="50"/>
    <n v="20"/>
    <n v="160"/>
    <n v="60"/>
  </r>
  <r>
    <n v="54"/>
    <s v="OK"/>
    <s v="Wendy Lau_2"/>
    <x v="13"/>
    <n v="20669"/>
    <x v="53"/>
    <x v="51"/>
    <n v="20"/>
    <n v="160"/>
    <n v="60"/>
  </r>
  <r>
    <n v="55"/>
    <s v="OK"/>
    <s v="Me"/>
    <x v="44"/>
    <s v="Autopay"/>
    <x v="54"/>
    <x v="52"/>
    <n v="13"/>
    <n v="104"/>
    <n v="60"/>
  </r>
  <r>
    <n v="56"/>
    <s v="OK"/>
    <s v="Terence_3"/>
    <x v="20"/>
    <n v="20670"/>
    <x v="55"/>
    <x v="53"/>
    <n v="5"/>
    <n v="40"/>
    <n v="60"/>
  </r>
  <r>
    <n v="57"/>
    <s v="OK"/>
    <s v="Hazel"/>
    <x v="45"/>
    <n v="20671"/>
    <x v="56"/>
    <x v="54"/>
    <n v="20"/>
    <n v="161"/>
    <n v="65"/>
  </r>
  <r>
    <n v="58"/>
    <s v="OK"/>
    <s v="Maggie Ho_1"/>
    <x v="19"/>
    <n v="20672"/>
    <x v="57"/>
    <x v="55"/>
    <n v="20"/>
    <n v="160"/>
    <n v="65"/>
  </r>
  <r>
    <n v="59"/>
    <s v="OK"/>
    <s v="SK"/>
    <x v="46"/>
    <s v="Autopay"/>
    <x v="58"/>
    <x v="29"/>
    <n v="1"/>
    <n v="8"/>
    <n v="50"/>
  </r>
  <r>
    <n v="1"/>
    <s v="OK"/>
    <s v="May C"/>
    <x v="0"/>
    <n v="20727"/>
    <x v="0"/>
    <x v="56"/>
    <n v="19"/>
    <n v="152"/>
    <n v="55"/>
  </r>
  <r>
    <n v="2"/>
    <s v="OK"/>
    <s v="Ivy Wong_1"/>
    <x v="1"/>
    <s v="Autopay"/>
    <x v="1"/>
    <x v="57"/>
    <n v="7"/>
    <n v="56"/>
    <n v="60"/>
  </r>
  <r>
    <n v="3"/>
    <s v="OK"/>
    <s v="Vicky L"/>
    <x v="2"/>
    <n v="20758"/>
    <x v="2"/>
    <x v="58"/>
    <n v="21"/>
    <n v="167.5"/>
    <n v="60"/>
  </r>
  <r>
    <n v="4"/>
    <s v="OK"/>
    <s v="Michelle"/>
    <x v="3"/>
    <s v="Autopay"/>
    <x v="3"/>
    <x v="59"/>
    <n v="19"/>
    <n v="150"/>
    <n v="60"/>
  </r>
  <r>
    <n v="5"/>
    <s v="OK"/>
    <s v="Jessica"/>
    <x v="4"/>
    <s v="Autopay"/>
    <x v="4"/>
    <x v="60"/>
    <n v="19"/>
    <n v="152"/>
    <n v="55"/>
  </r>
  <r>
    <n v="6"/>
    <s v="OK"/>
    <s v="Kitty Yeung"/>
    <x v="5"/>
    <n v="20729"/>
    <x v="59"/>
    <x v="61"/>
    <n v="22"/>
    <n v="176"/>
    <n v="60"/>
  </r>
  <r>
    <n v="7"/>
    <s v="OK"/>
    <s v="Amy Or_1"/>
    <x v="7"/>
    <n v="20759"/>
    <x v="7"/>
    <x v="62"/>
    <n v="7"/>
    <n v="56"/>
    <n v="55"/>
  </r>
  <r>
    <n v="8"/>
    <s v="OK"/>
    <s v="Fong_1"/>
    <x v="16"/>
    <s v="Autopay"/>
    <x v="8"/>
    <x v="63"/>
    <n v="8"/>
    <n v="64"/>
    <n v="60"/>
  </r>
  <r>
    <n v="9"/>
    <s v="OK"/>
    <s v="Shan"/>
    <x v="9"/>
    <n v="20731"/>
    <x v="9"/>
    <x v="64"/>
    <n v="19"/>
    <n v="171"/>
    <n v="60"/>
  </r>
  <r>
    <n v="10"/>
    <s v="OK"/>
    <s v="Wendy Wong_1"/>
    <x v="10"/>
    <s v="Autopay"/>
    <x v="10"/>
    <x v="65"/>
    <n v="4"/>
    <n v="36"/>
    <n v="60"/>
  </r>
  <r>
    <n v="11"/>
    <s v="OK"/>
    <s v="Shirley_1"/>
    <x v="39"/>
    <n v="20753"/>
    <x v="60"/>
    <x v="66"/>
    <n v="1"/>
    <n v="9"/>
    <n v="60"/>
  </r>
  <r>
    <n v="12"/>
    <s v="OK"/>
    <s v="Mandy"/>
    <x v="47"/>
    <s v="Autopay"/>
    <x v="61"/>
    <x v="67"/>
    <n v="1"/>
    <n v="9"/>
    <n v="60"/>
  </r>
  <r>
    <n v="13"/>
    <s v="OK"/>
    <s v="Kiko"/>
    <x v="11"/>
    <s v="Autopay"/>
    <x v="11"/>
    <x v="68"/>
    <n v="18"/>
    <n v="144"/>
    <n v="60"/>
  </r>
  <r>
    <n v="14"/>
    <s v="OK"/>
    <s v="Jaco"/>
    <x v="12"/>
    <n v="20760"/>
    <x v="62"/>
    <x v="69"/>
    <n v="20"/>
    <n v="160"/>
    <n v="60"/>
  </r>
  <r>
    <n v="15"/>
    <s v="OK"/>
    <s v="Daisy"/>
    <x v="14"/>
    <s v="Autopay"/>
    <x v="14"/>
    <x v="70"/>
    <n v="16"/>
    <n v="128"/>
    <n v="60"/>
  </r>
  <r>
    <n v="16"/>
    <s v="OK"/>
    <s v="Pam"/>
    <x v="15"/>
    <s v="Autopay"/>
    <x v="15"/>
    <x v="71"/>
    <n v="20"/>
    <n v="160"/>
    <n v="55"/>
  </r>
  <r>
    <n v="17"/>
    <s v="OK"/>
    <s v="Lily Hon"/>
    <x v="17"/>
    <n v="20761"/>
    <x v="17"/>
    <x v="72"/>
    <n v="16"/>
    <n v="128"/>
    <n v="55"/>
  </r>
  <r>
    <n v="18"/>
    <s v="OK"/>
    <s v="Mui Hon"/>
    <x v="18"/>
    <n v="20762"/>
    <x v="18"/>
    <x v="73"/>
    <n v="2"/>
    <n v="16"/>
    <n v="55"/>
  </r>
  <r>
    <n v="19"/>
    <s v="OK"/>
    <s v="Kandy"/>
    <x v="21"/>
    <n v="20735"/>
    <x v="63"/>
    <x v="74"/>
    <n v="3"/>
    <n v="24"/>
    <n v="55"/>
  </r>
  <r>
    <n v="20"/>
    <s v="OK"/>
    <s v="Hung"/>
    <x v="22"/>
    <n v="20736"/>
    <x v="22"/>
    <x v="75"/>
    <n v="21"/>
    <n v="168"/>
    <n v="60"/>
  </r>
  <r>
    <n v="21"/>
    <s v="OK"/>
    <s v="Leo"/>
    <x v="23"/>
    <s v="Autopay"/>
    <x v="23"/>
    <x v="76"/>
    <n v="18"/>
    <n v="144"/>
    <n v="55"/>
  </r>
  <r>
    <n v="22"/>
    <s v="OK"/>
    <s v="Yee"/>
    <x v="26"/>
    <n v="20763"/>
    <x v="24"/>
    <x v="77"/>
    <n v="18"/>
    <n v="144"/>
    <n v="60"/>
  </r>
  <r>
    <n v="23"/>
    <s v="OK"/>
    <s v="Tony_1"/>
    <x v="38"/>
    <s v="Autopay"/>
    <x v="25"/>
    <x v="78"/>
    <n v="2"/>
    <n v="16"/>
    <n v="60"/>
  </r>
  <r>
    <n v="24"/>
    <s v="OK"/>
    <s v="Ling Ho"/>
    <x v="27"/>
    <s v="Autopay"/>
    <x v="27"/>
    <x v="79"/>
    <n v="21"/>
    <n v="168"/>
    <n v="60"/>
  </r>
  <r>
    <n v="25"/>
    <s v="OK"/>
    <s v="Happy"/>
    <x v="28"/>
    <n v="20764"/>
    <x v="28"/>
    <x v="80"/>
    <n v="18"/>
    <n v="144"/>
    <n v="60"/>
  </r>
  <r>
    <n v="26"/>
    <s v="OK"/>
    <s v="Tiffany"/>
    <x v="30"/>
    <s v="Autopay"/>
    <x v="64"/>
    <x v="81"/>
    <n v="17"/>
    <n v="136"/>
    <n v="60"/>
  </r>
  <r>
    <n v="27"/>
    <s v="OK"/>
    <s v="Connie"/>
    <x v="31"/>
    <n v="20765"/>
    <x v="31"/>
    <x v="82"/>
    <n v="13"/>
    <n v="104"/>
    <n v="60"/>
  </r>
  <r>
    <n v="28"/>
    <s v="OK"/>
    <s v="Coco"/>
    <x v="29"/>
    <n v="20766"/>
    <x v="32"/>
    <x v="83"/>
    <n v="18"/>
    <n v="144"/>
    <n v="60"/>
  </r>
  <r>
    <n v="29"/>
    <s v="OK"/>
    <s v="Raymond"/>
    <x v="32"/>
    <n v="20767"/>
    <x v="34"/>
    <x v="84"/>
    <n v="20"/>
    <n v="158"/>
    <n v="60"/>
  </r>
  <r>
    <n v="30"/>
    <s v="OK"/>
    <s v="Maggie Yip"/>
    <x v="35"/>
    <n v="20768"/>
    <x v="37"/>
    <x v="85"/>
    <n v="18"/>
    <n v="144"/>
    <n v="60"/>
  </r>
  <r>
    <n v="31"/>
    <s v="OK"/>
    <s v="Emma"/>
    <x v="36"/>
    <s v="Autopay"/>
    <x v="38"/>
    <x v="86"/>
    <n v="7"/>
    <n v="56"/>
    <n v="60"/>
  </r>
  <r>
    <n v="32"/>
    <s v="OK"/>
    <s v="Gloria"/>
    <x v="37"/>
    <n v="20769"/>
    <x v="39"/>
    <x v="87"/>
    <n v="18"/>
    <n v="141"/>
    <n v="60"/>
  </r>
  <r>
    <n v="33"/>
    <s v="OK"/>
    <s v="Tony_2"/>
    <x v="38"/>
    <s v="Autopay"/>
    <x v="40"/>
    <x v="88"/>
    <n v="5"/>
    <n v="40"/>
    <n v="60"/>
  </r>
  <r>
    <n v="34"/>
    <s v="OK"/>
    <s v="Shirley_2"/>
    <x v="39"/>
    <n v="20755"/>
    <x v="41"/>
    <x v="89"/>
    <n v="2"/>
    <n v="16"/>
    <n v="60"/>
  </r>
  <r>
    <n v="35"/>
    <s v="OK"/>
    <s v="Anita"/>
    <x v="40"/>
    <s v="Autopay"/>
    <x v="42"/>
    <x v="90"/>
    <n v="19"/>
    <n v="152"/>
    <n v="60"/>
  </r>
  <r>
    <n v="36"/>
    <s v="OK"/>
    <s v="Fong_2"/>
    <x v="16"/>
    <s v="Autopay"/>
    <x v="43"/>
    <x v="91"/>
    <n v="1"/>
    <n v="8"/>
    <n v="60"/>
  </r>
  <r>
    <n v="37"/>
    <s v="OK"/>
    <s v="Wendy Wong_2"/>
    <x v="10"/>
    <s v="Autopay"/>
    <x v="65"/>
    <x v="92"/>
    <n v="1"/>
    <n v="8"/>
    <n v="60"/>
  </r>
  <r>
    <n v="38"/>
    <s v="OK"/>
    <s v="Terence"/>
    <x v="20"/>
    <n v="20744"/>
    <x v="46"/>
    <x v="93"/>
    <n v="16"/>
    <n v="128"/>
    <n v="80"/>
  </r>
  <r>
    <n v="39"/>
    <s v="OK"/>
    <s v="Mui Chan_1"/>
    <x v="48"/>
    <s v="Autopay"/>
    <x v="47"/>
    <x v="94"/>
    <n v="4"/>
    <n v="32"/>
    <n v="80"/>
  </r>
  <r>
    <n v="40"/>
    <s v="OK"/>
    <s v="SK"/>
    <x v="46"/>
    <s v="Autopay"/>
    <x v="66"/>
    <x v="95"/>
    <n v="15"/>
    <n v="120"/>
    <n v="60"/>
  </r>
  <r>
    <n v="41"/>
    <s v="OK"/>
    <s v="Tony_3"/>
    <x v="38"/>
    <s v="Autopay"/>
    <x v="67"/>
    <x v="96"/>
    <n v="3"/>
    <n v="24"/>
    <n v="60"/>
  </r>
  <r>
    <n v="42"/>
    <s v="OK"/>
    <s v="Ivy Wong_2"/>
    <x v="1"/>
    <s v="Autopay"/>
    <x v="68"/>
    <x v="97"/>
    <n v="1"/>
    <n v="8"/>
    <n v="60"/>
  </r>
  <r>
    <n v="43"/>
    <s v="OK"/>
    <s v="Amy Or_2"/>
    <x v="7"/>
    <n v="20745"/>
    <x v="69"/>
    <x v="98"/>
    <n v="2"/>
    <n v="16"/>
    <n v="55"/>
  </r>
  <r>
    <n v="44"/>
    <s v="OK"/>
    <s v="PoWan"/>
    <x v="41"/>
    <n v="20746"/>
    <x v="70"/>
    <x v="99"/>
    <n v="16"/>
    <n v="128"/>
    <n v="80"/>
  </r>
  <r>
    <n v="45"/>
    <s v="OK"/>
    <s v="Mui Chan_2"/>
    <x v="48"/>
    <s v="Autopay"/>
    <x v="71"/>
    <x v="100"/>
    <n v="4"/>
    <n v="32"/>
    <n v="80"/>
  </r>
  <r>
    <n v="46"/>
    <s v="OK"/>
    <s v="Maggie Ho_2"/>
    <x v="19"/>
    <n v="20747"/>
    <x v="72"/>
    <x v="101"/>
    <n v="2"/>
    <n v="16"/>
    <n v="80"/>
  </r>
  <r>
    <n v="47"/>
    <s v="OK"/>
    <s v="Ho"/>
    <x v="25"/>
    <n v="20748"/>
    <x v="51"/>
    <x v="102"/>
    <n v="23"/>
    <n v="184"/>
    <n v="60"/>
  </r>
  <r>
    <n v="48"/>
    <s v="OK"/>
    <s v="Winnie"/>
    <x v="43"/>
    <n v="20749"/>
    <x v="52"/>
    <x v="103"/>
    <n v="21"/>
    <n v="168"/>
    <n v="60"/>
  </r>
  <r>
    <n v="49"/>
    <s v="OK"/>
    <s v="Wendy Lau"/>
    <x v="13"/>
    <n v="20750"/>
    <x v="73"/>
    <x v="104"/>
    <n v="19"/>
    <n v="152"/>
    <n v="60"/>
  </r>
  <r>
    <n v="50"/>
    <s v="OK"/>
    <s v="Jason Yu"/>
    <x v="34"/>
    <s v="Autopay"/>
    <x v="74"/>
    <x v="105"/>
    <n v="2"/>
    <n v="16"/>
    <n v="60"/>
  </r>
  <r>
    <n v="51"/>
    <s v="OK"/>
    <s v="Me"/>
    <x v="44"/>
    <s v="Autopay"/>
    <x v="75"/>
    <x v="106"/>
    <n v="22"/>
    <n v="176"/>
    <n v="60"/>
  </r>
  <r>
    <n v="52"/>
    <s v="OK"/>
    <s v="Hazel"/>
    <x v="45"/>
    <n v="20770"/>
    <x v="76"/>
    <x v="107"/>
    <n v="12"/>
    <n v="96"/>
    <n v="65"/>
  </r>
  <r>
    <n v="53"/>
    <s v="OK"/>
    <s v="Pinky"/>
    <x v="6"/>
    <s v="Autopay"/>
    <x v="77"/>
    <x v="108"/>
    <n v="9"/>
    <n v="72"/>
    <n v="60"/>
  </r>
  <r>
    <n v="54"/>
    <s v="OK"/>
    <s v="Maggie Ho_1"/>
    <x v="19"/>
    <n v="20752"/>
    <x v="57"/>
    <x v="109"/>
    <n v="18"/>
    <n v="144"/>
    <n v="65"/>
  </r>
  <r>
    <n v="55"/>
    <m/>
    <s v="Maggie Yip"/>
    <x v="35"/>
    <n v="20756"/>
    <x v="37"/>
    <x v="110"/>
    <m/>
    <m/>
    <m/>
  </r>
  <r>
    <n v="56"/>
    <m/>
    <s v="Shan"/>
    <x v="9"/>
    <n v="20757"/>
    <x v="9"/>
    <x v="110"/>
    <m/>
    <m/>
    <m/>
  </r>
  <r>
    <n v="1"/>
    <m/>
    <s v="May C"/>
    <x v="0"/>
    <n v="20850"/>
    <x v="0"/>
    <x v="111"/>
    <n v="22"/>
    <n v="176"/>
    <n v="55"/>
  </r>
  <r>
    <n v="2"/>
    <m/>
    <s v="Ivy Wong_1"/>
    <x v="1"/>
    <s v="Autopay"/>
    <x v="78"/>
    <x v="112"/>
    <n v="7"/>
    <n v="56"/>
    <n v="60"/>
  </r>
  <r>
    <n v="3"/>
    <m/>
    <s v="Kit_3"/>
    <x v="24"/>
    <s v="Autopay"/>
    <x v="79"/>
    <x v="113"/>
    <n v="2"/>
    <n v="16"/>
    <n v="60"/>
  </r>
  <r>
    <n v="4"/>
    <m/>
    <s v="Vicky L"/>
    <x v="2"/>
    <n v="20851"/>
    <x v="2"/>
    <x v="114"/>
    <n v="24"/>
    <n v="192"/>
    <n v="60"/>
  </r>
  <r>
    <n v="5"/>
    <m/>
    <s v="Michelle"/>
    <x v="3"/>
    <s v="Autopay"/>
    <x v="3"/>
    <x v="115"/>
    <n v="22"/>
    <n v="176"/>
    <n v="60"/>
  </r>
  <r>
    <n v="6"/>
    <m/>
    <s v="Jessica"/>
    <x v="4"/>
    <n v="20852"/>
    <x v="4"/>
    <x v="116"/>
    <n v="20"/>
    <n v="160"/>
    <n v="55"/>
  </r>
  <r>
    <n v="7"/>
    <m/>
    <s v="Kitty Yeung"/>
    <x v="5"/>
    <n v="20853"/>
    <x v="59"/>
    <x v="117"/>
    <n v="22"/>
    <n v="176"/>
    <n v="60"/>
  </r>
  <r>
    <n v="8"/>
    <m/>
    <s v="Amy Or_1"/>
    <x v="7"/>
    <n v="20854"/>
    <x v="7"/>
    <x v="118"/>
    <n v="4"/>
    <n v="32"/>
    <n v="55"/>
  </r>
  <r>
    <n v="9"/>
    <m/>
    <s v="Fong_1"/>
    <x v="16"/>
    <s v="Autopay"/>
    <x v="80"/>
    <x v="119"/>
    <n v="7"/>
    <n v="56"/>
    <n v="60"/>
  </r>
  <r>
    <n v="10"/>
    <m/>
    <s v="Mui Chan_2"/>
    <x v="48"/>
    <s v="Autopay"/>
    <x v="81"/>
    <x v="120"/>
    <n v="2"/>
    <n v="16"/>
    <n v="60"/>
  </r>
  <r>
    <n v="11"/>
    <m/>
    <s v="Shan_1"/>
    <x v="9"/>
    <n v="20855"/>
    <x v="9"/>
    <x v="121"/>
    <n v="16"/>
    <n v="144"/>
    <n v="60"/>
  </r>
  <r>
    <n v="12"/>
    <m/>
    <s v="Wendy Wong_1"/>
    <x v="10"/>
    <s v="Autopay"/>
    <x v="10"/>
    <x v="122"/>
    <n v="7"/>
    <n v="63"/>
    <n v="60"/>
  </r>
  <r>
    <n v="13"/>
    <m/>
    <s v="Mandy"/>
    <x v="47"/>
    <s v="Autopay"/>
    <x v="60"/>
    <x v="123"/>
    <n v="1"/>
    <n v="9"/>
    <n v="60"/>
  </r>
  <r>
    <n v="14"/>
    <m/>
    <s v="Shan_2"/>
    <x v="9"/>
    <n v="20856"/>
    <x v="82"/>
    <x v="124"/>
    <n v="7"/>
    <n v="56"/>
    <n v="60"/>
  </r>
  <r>
    <n v="15"/>
    <m/>
    <s v="Wendy Wong_2"/>
    <x v="10"/>
    <s v="Autopay"/>
    <x v="83"/>
    <x v="125"/>
    <n v="3"/>
    <n v="24"/>
    <n v="60"/>
  </r>
  <r>
    <n v="16"/>
    <m/>
    <s v="Kiko"/>
    <x v="11"/>
    <s v="Autopay"/>
    <x v="11"/>
    <x v="126"/>
    <n v="22"/>
    <n v="176"/>
    <n v="60"/>
  </r>
  <r>
    <n v="17"/>
    <m/>
    <s v="Jaco"/>
    <x v="12"/>
    <n v="20857"/>
    <x v="62"/>
    <x v="127"/>
    <n v="22"/>
    <n v="170"/>
    <n v="60"/>
  </r>
  <r>
    <n v="18"/>
    <m/>
    <s v="Daisy"/>
    <x v="14"/>
    <s v="Autopay"/>
    <x v="14"/>
    <x v="128"/>
    <n v="23"/>
    <n v="184"/>
    <n v="60"/>
  </r>
  <r>
    <n v="19"/>
    <m/>
    <s v="Pam"/>
    <x v="15"/>
    <s v="Autopay"/>
    <x v="84"/>
    <x v="129"/>
    <n v="21"/>
    <n v="168"/>
    <n v="55"/>
  </r>
  <r>
    <n v="20"/>
    <m/>
    <s v="Tony_4"/>
    <x v="38"/>
    <s v="Autopay"/>
    <x v="85"/>
    <x v="120"/>
    <n v="2"/>
    <n v="16"/>
    <n v="60"/>
  </r>
  <r>
    <n v="21"/>
    <m/>
    <s v="Lily Hon"/>
    <x v="17"/>
    <n v="20858"/>
    <x v="17"/>
    <x v="130"/>
    <n v="16"/>
    <n v="128"/>
    <n v="55"/>
  </r>
  <r>
    <n v="22"/>
    <m/>
    <s v="Ho_3"/>
    <x v="25"/>
    <n v="20859"/>
    <x v="18"/>
    <x v="131"/>
    <n v="4"/>
    <n v="32"/>
    <n v="55"/>
  </r>
  <r>
    <n v="23"/>
    <m/>
    <s v="Kandy"/>
    <x v="21"/>
    <n v="20860"/>
    <x v="63"/>
    <x v="132"/>
    <n v="7"/>
    <n v="56"/>
    <n v="55"/>
  </r>
  <r>
    <n v="24"/>
    <m/>
    <s v="Hung"/>
    <x v="22"/>
    <n v="20861"/>
    <x v="22"/>
    <x v="133"/>
    <n v="22"/>
    <n v="176"/>
    <n v="60"/>
  </r>
  <r>
    <n v="25"/>
    <m/>
    <s v="Leo"/>
    <x v="23"/>
    <s v="Autopay"/>
    <x v="23"/>
    <x v="134"/>
    <n v="23"/>
    <n v="184"/>
    <n v="55"/>
  </r>
  <r>
    <n v="26"/>
    <m/>
    <s v="Yee"/>
    <x v="26"/>
    <n v="20862"/>
    <x v="86"/>
    <x v="135"/>
    <n v="20"/>
    <n v="160"/>
    <n v="60"/>
  </r>
  <r>
    <n v="27"/>
    <m/>
    <s v="Ling Ho"/>
    <x v="27"/>
    <s v="Autopay"/>
    <x v="27"/>
    <x v="136"/>
    <n v="24"/>
    <n v="192"/>
    <n v="60"/>
  </r>
  <r>
    <n v="28"/>
    <m/>
    <s v="Happy"/>
    <x v="28"/>
    <n v="20863"/>
    <x v="28"/>
    <x v="137"/>
    <n v="22"/>
    <n v="176"/>
    <n v="60"/>
  </r>
  <r>
    <n v="29"/>
    <m/>
    <s v="Tiffany"/>
    <x v="30"/>
    <s v="Autopay"/>
    <x v="64"/>
    <x v="138"/>
    <n v="18"/>
    <n v="144"/>
    <n v="60"/>
  </r>
  <r>
    <n v="30"/>
    <m/>
    <s v="Coco"/>
    <x v="29"/>
    <n v="20864"/>
    <x v="32"/>
    <x v="139"/>
    <n v="20"/>
    <n v="160"/>
    <n v="60"/>
  </r>
  <r>
    <n v="31"/>
    <m/>
    <s v="Raymond"/>
    <x v="32"/>
    <n v="20865"/>
    <x v="34"/>
    <x v="140"/>
    <n v="24"/>
    <n v="192"/>
    <n v="60"/>
  </r>
  <r>
    <n v="32"/>
    <m/>
    <s v="Maggie Yip"/>
    <x v="35"/>
    <n v="20866"/>
    <x v="37"/>
    <x v="141"/>
    <n v="22"/>
    <n v="176"/>
    <n v="60"/>
  </r>
  <r>
    <n v="33"/>
    <m/>
    <s v="Emma"/>
    <x v="36"/>
    <s v="Autopay"/>
    <x v="38"/>
    <x v="142"/>
    <n v="4"/>
    <n v="32"/>
    <n v="60"/>
  </r>
  <r>
    <n v="34"/>
    <m/>
    <s v="Tony_1"/>
    <x v="38"/>
    <s v="Autopay"/>
    <x v="87"/>
    <x v="143"/>
    <n v="2"/>
    <n v="16"/>
    <n v="60"/>
  </r>
  <r>
    <n v="35"/>
    <m/>
    <s v="Kit_1"/>
    <x v="24"/>
    <s v="Autopay"/>
    <x v="88"/>
    <x v="144"/>
    <n v="3"/>
    <n v="24"/>
    <n v="60"/>
  </r>
  <r>
    <n v="36"/>
    <m/>
    <s v="Gloria"/>
    <x v="37"/>
    <n v="20867"/>
    <x v="39"/>
    <x v="145"/>
    <n v="21"/>
    <n v="168"/>
    <n v="60"/>
  </r>
  <r>
    <n v="37"/>
    <m/>
    <s v="Tony_2"/>
    <x v="38"/>
    <s v="Autopay"/>
    <x v="40"/>
    <x v="146"/>
    <n v="6"/>
    <n v="48"/>
    <n v="60"/>
  </r>
  <r>
    <n v="38"/>
    <m/>
    <s v="Kit_2"/>
    <x v="24"/>
    <s v="Autopay"/>
    <x v="41"/>
    <x v="147"/>
    <n v="4"/>
    <n v="32"/>
    <n v="60"/>
  </r>
  <r>
    <n v="39"/>
    <m/>
    <s v="Anita_1"/>
    <x v="40"/>
    <s v="Autopay"/>
    <x v="42"/>
    <x v="148"/>
    <n v="3"/>
    <n v="24"/>
    <n v="60"/>
  </r>
  <r>
    <n v="40"/>
    <m/>
    <s v="Hazel"/>
    <x v="45"/>
    <n v="20868"/>
    <x v="43"/>
    <x v="149"/>
    <n v="6"/>
    <n v="48"/>
    <n v="65"/>
  </r>
  <r>
    <n v="41"/>
    <m/>
    <s v="Mui Chan_1"/>
    <x v="48"/>
    <s v="Autopay"/>
    <x v="44"/>
    <x v="150"/>
    <n v="15"/>
    <n v="120"/>
    <n v="60"/>
  </r>
  <r>
    <n v="42"/>
    <m/>
    <s v="Fong_2"/>
    <x v="16"/>
    <s v="Autopay"/>
    <x v="89"/>
    <x v="151"/>
    <n v="1"/>
    <n v="8"/>
    <n v="60"/>
  </r>
  <r>
    <n v="43"/>
    <m/>
    <s v="Shirley"/>
    <x v="39"/>
    <n v="20869"/>
    <x v="90"/>
    <x v="152"/>
    <n v="2"/>
    <n v="16"/>
    <n v="60"/>
  </r>
  <r>
    <n v="44"/>
    <m/>
    <s v="Wendy Wong_3"/>
    <x v="10"/>
    <s v="Autopay"/>
    <x v="91"/>
    <x v="153"/>
    <n v="3"/>
    <n v="24"/>
    <n v="60"/>
  </r>
  <r>
    <n v="45"/>
    <m/>
    <s v="Anita_2"/>
    <x v="40"/>
    <s v="Autopay"/>
    <x v="92"/>
    <x v="154"/>
    <n v="2"/>
    <n v="16"/>
    <n v="60"/>
  </r>
  <r>
    <n v="46"/>
    <m/>
    <s v="Connie"/>
    <x v="31"/>
    <n v="20870"/>
    <x v="93"/>
    <x v="155"/>
    <n v="4"/>
    <n v="32"/>
    <n v="60"/>
  </r>
  <r>
    <n v="47"/>
    <m/>
    <s v="Amy Or_2"/>
    <x v="7"/>
    <n v="20871"/>
    <x v="94"/>
    <x v="156"/>
    <n v="6"/>
    <n v="48"/>
    <n v="55"/>
  </r>
  <r>
    <n v="48"/>
    <m/>
    <s v="SK"/>
    <x v="46"/>
    <s v="Autopay"/>
    <x v="66"/>
    <x v="157"/>
    <n v="10"/>
    <n v="80"/>
    <n v="60"/>
  </r>
  <r>
    <n v="49"/>
    <m/>
    <s v="Tony_3"/>
    <x v="38"/>
    <s v="Autopay"/>
    <x v="67"/>
    <x v="158"/>
    <n v="1"/>
    <n v="8"/>
    <n v="60"/>
  </r>
  <r>
    <n v="50"/>
    <m/>
    <s v="Terence_1"/>
    <x v="20"/>
    <n v="20872"/>
    <x v="95"/>
    <x v="159"/>
    <n v="3"/>
    <n v="24"/>
    <n v="60"/>
  </r>
  <r>
    <n v="51"/>
    <m/>
    <s v="PoWan"/>
    <x v="41"/>
    <n v="20873"/>
    <x v="96"/>
    <x v="160"/>
    <n v="9"/>
    <n v="72"/>
    <n v="80"/>
  </r>
  <r>
    <n v="52"/>
    <m/>
    <s v="Maggie Ho_2"/>
    <x v="19"/>
    <n v="20874"/>
    <x v="97"/>
    <x v="161"/>
    <n v="8"/>
    <n v="64"/>
    <n v="65"/>
  </r>
  <r>
    <n v="53"/>
    <m/>
    <s v="Ivy Wong_2"/>
    <x v="1"/>
    <s v="Autopay"/>
    <x v="98"/>
    <x v="162"/>
    <n v="4"/>
    <n v="35.5"/>
    <n v="60"/>
  </r>
  <r>
    <n v="54"/>
    <m/>
    <s v="Ho_2"/>
    <x v="25"/>
    <n v="20875"/>
    <x v="99"/>
    <x v="163"/>
    <n v="4"/>
    <n v="32"/>
    <n v="60"/>
  </r>
  <r>
    <n v="55"/>
    <m/>
    <s v="Terence_2"/>
    <x v="20"/>
    <n v="20876"/>
    <x v="100"/>
    <x v="164"/>
    <n v="4"/>
    <n v="40"/>
    <n v="60"/>
  </r>
  <r>
    <n v="56"/>
    <m/>
    <s v="Ho_1"/>
    <x v="25"/>
    <n v="20877"/>
    <x v="51"/>
    <x v="165"/>
    <n v="13"/>
    <n v="104"/>
    <n v="60"/>
  </r>
  <r>
    <n v="57"/>
    <m/>
    <s v="Winnie"/>
    <x v="43"/>
    <n v="20878"/>
    <x v="52"/>
    <x v="166"/>
    <n v="5"/>
    <n v="40"/>
    <n v="60"/>
  </r>
  <r>
    <n v="58"/>
    <m/>
    <s v="Wendy Lau"/>
    <x v="13"/>
    <n v="20879"/>
    <x v="53"/>
    <x v="166"/>
    <n v="5"/>
    <n v="40"/>
    <n v="60"/>
  </r>
  <r>
    <n v="59"/>
    <m/>
    <s v="Me"/>
    <x v="44"/>
    <s v="Autopay"/>
    <x v="75"/>
    <x v="167"/>
    <n v="13"/>
    <n v="104"/>
    <n v="60"/>
  </r>
  <r>
    <n v="60"/>
    <m/>
    <s v="Pinky"/>
    <x v="6"/>
    <s v="Autopay"/>
    <x v="56"/>
    <x v="166"/>
    <n v="5"/>
    <n v="40"/>
    <n v="60"/>
  </r>
  <r>
    <n v="61"/>
    <m/>
    <s v="Maggie Ho_1"/>
    <x v="19"/>
    <n v="20880"/>
    <x v="57"/>
    <x v="166"/>
    <n v="5"/>
    <n v="40"/>
    <n v="65"/>
  </r>
  <r>
    <n v="62"/>
    <m/>
    <s v="Eddy"/>
    <x v="49"/>
    <n v="20881"/>
    <x v="101"/>
    <x v="168"/>
    <n v="1"/>
    <n v="7"/>
    <n v="50"/>
  </r>
  <r>
    <n v="63"/>
    <m/>
    <s v="Jenny"/>
    <x v="50"/>
    <s v="Autopay"/>
    <x v="102"/>
    <x v="168"/>
    <n v="1"/>
    <n v="7"/>
    <n v="50"/>
  </r>
  <r>
    <n v="64"/>
    <m/>
    <s v="WanWah"/>
    <x v="51"/>
    <n v="20882"/>
    <x v="103"/>
    <x v="168"/>
    <n v="1"/>
    <n v="7"/>
    <n v="50"/>
  </r>
  <r>
    <n v="24"/>
    <m/>
    <s v="Hung"/>
    <x v="22"/>
    <n v="20889"/>
    <x v="104"/>
    <x v="110"/>
    <m/>
    <m/>
    <m/>
  </r>
  <r>
    <n v="46"/>
    <m/>
    <s v="Connie"/>
    <x v="31"/>
    <n v="20890"/>
    <x v="104"/>
    <x v="110"/>
    <m/>
    <m/>
    <m/>
  </r>
  <r>
    <n v="24"/>
    <m/>
    <s v="Hung"/>
    <x v="22"/>
    <n v="20891"/>
    <x v="104"/>
    <x v="110"/>
    <m/>
    <m/>
    <m/>
  </r>
  <r>
    <m/>
    <m/>
    <s v="Kandy"/>
    <x v="21"/>
    <n v="20907"/>
    <x v="63"/>
    <x v="132"/>
    <m/>
    <n v="56"/>
    <n v="5"/>
  </r>
  <r>
    <m/>
    <m/>
    <s v="Ho_3"/>
    <x v="25"/>
    <m/>
    <x v="105"/>
    <x v="110"/>
    <m/>
    <n v="32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601EB6-2D2B-4F6F-BEDA-564D7BE7D2C7}" name="樞紐分析表2" cacheId="5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fieldListSortAscending="1">
  <location ref="Q2:V12" firstHeaderRow="1" firstDataRow="2" firstDataCol="3"/>
  <pivotFields count="11">
    <pivotField compact="0" numFmtId="206" outline="0" showAll="0"/>
    <pivotField compact="0" outline="0" showAll="0"/>
    <pivotField compact="0" outline="0" showAll="0"/>
    <pivotField axis="axisRow" compact="0" showAll="0" insertBlankRow="1">
      <items count="53">
        <item h="1" x="11"/>
        <item h="1" x="40"/>
        <item h="1" x="31"/>
        <item h="1" x="48"/>
        <item h="1" x="0"/>
        <item h="1" x="8"/>
        <item h="1" x="6"/>
        <item h="1" x="26"/>
        <item h="1" x="9"/>
        <item h="1" x="4"/>
        <item h="1" x="28"/>
        <item h="1" x="19"/>
        <item h="1" x="47"/>
        <item h="1" x="27"/>
        <item h="1" x="17"/>
        <item h="1" x="18"/>
        <item h="1" x="22"/>
        <item h="1" x="46"/>
        <item h="1" x="12"/>
        <item h="1" x="25"/>
        <item h="1" x="32"/>
        <item h="1" x="23"/>
        <item h="1" x="13"/>
        <item h="1" x="43"/>
        <item h="1" x="2"/>
        <item h="1" x="24"/>
        <item h="1" x="3"/>
        <item h="1" x="30"/>
        <item h="1" x="16"/>
        <item h="1" x="41"/>
        <item h="1" x="36"/>
        <item h="1" x="44"/>
        <item h="1" x="7"/>
        <item h="1" x="21"/>
        <item h="1" x="39"/>
        <item h="1" x="15"/>
        <item h="1" x="45"/>
        <item x="20"/>
        <item h="1" x="10"/>
        <item h="1" x="33"/>
        <item h="1" x="38"/>
        <item h="1" x="1"/>
        <item h="1" x="42"/>
        <item h="1" x="37"/>
        <item h="1" x="14"/>
        <item h="1" x="5"/>
        <item h="1" x="35"/>
        <item h="1" x="34"/>
        <item h="1" x="29"/>
        <item h="1" x="49"/>
        <item h="1" x="50"/>
        <item h="1" x="51"/>
        <item t="default"/>
      </items>
    </pivotField>
    <pivotField compact="0" outline="0" showAll="0"/>
    <pivotField axis="axisRow" compact="0" outline="0" showAll="0" defaultSubtotal="0">
      <items count="106">
        <item x="31"/>
        <item x="28"/>
        <item x="64"/>
        <item x="29"/>
        <item x="30"/>
        <item x="33"/>
        <item x="8"/>
        <item x="2"/>
        <item x="35"/>
        <item x="36"/>
        <item x="46"/>
        <item sd="0" x="47"/>
        <item x="48"/>
        <item x="3"/>
        <item x="65"/>
        <item x="42"/>
        <item x="43"/>
        <item x="44"/>
        <item x="70"/>
        <item x="71"/>
        <item x="72"/>
        <item x="68"/>
        <item x="69"/>
        <item x="0"/>
        <item x="53"/>
        <item x="73"/>
        <item x="74"/>
        <item x="75"/>
        <item x="54"/>
        <item x="55"/>
        <item x="15"/>
        <item x="16"/>
        <item x="52"/>
        <item x="37"/>
        <item x="38"/>
        <item x="7"/>
        <item x="11"/>
        <item x="66"/>
        <item x="67"/>
        <item x="34"/>
        <item x="57"/>
        <item x="32"/>
        <item x="59"/>
        <item x="5"/>
        <item x="6"/>
        <item x="27"/>
        <item x="14"/>
        <item x="17"/>
        <item x="49"/>
        <item x="18"/>
        <item x="50"/>
        <item x="39"/>
        <item x="40"/>
        <item x="41"/>
        <item x="58"/>
        <item x="45"/>
        <item x="51"/>
        <item x="62"/>
        <item x="12"/>
        <item x="13"/>
        <item x="63"/>
        <item x="22"/>
        <item x="9"/>
        <item x="19"/>
        <item x="10"/>
        <item x="20"/>
        <item x="60"/>
        <item x="21"/>
        <item x="61"/>
        <item x="1"/>
        <item x="4"/>
        <item x="56"/>
        <item x="76"/>
        <item x="77"/>
        <item x="24"/>
        <item x="25"/>
        <item x="26"/>
        <item x="23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</items>
    </pivotField>
    <pivotField axis="axisRow" compact="0" outline="0" showAll="0" defaultSubtotal="0">
      <items count="169">
        <item x="35"/>
        <item x="2"/>
        <item x="44"/>
        <item x="42"/>
        <item x="19"/>
        <item x="26"/>
        <item x="27"/>
        <item x="36"/>
        <item x="13"/>
        <item x="28"/>
        <item x="39"/>
        <item x="31"/>
        <item x="16"/>
        <item x="41"/>
        <item x="7"/>
        <item x="8"/>
        <item x="6"/>
        <item x="3"/>
        <item x="0"/>
        <item x="38"/>
        <item x="4"/>
        <item x="32"/>
        <item x="53"/>
        <item x="14"/>
        <item x="9"/>
        <item x="47"/>
        <item x="46"/>
        <item x="48"/>
        <item x="33"/>
        <item x="24"/>
        <item x="17"/>
        <item x="1"/>
        <item x="18"/>
        <item x="30"/>
        <item x="22"/>
        <item x="21"/>
        <item x="29"/>
        <item x="37"/>
        <item x="25"/>
        <item x="20"/>
        <item x="34"/>
        <item sd="0" x="11"/>
        <item x="43"/>
        <item x="40"/>
        <item x="15"/>
        <item x="10"/>
        <item x="12"/>
        <item x="5"/>
        <item x="23"/>
        <item x="50"/>
        <item x="51"/>
        <item x="55"/>
        <item x="54"/>
        <item x="52"/>
        <item x="45"/>
        <item x="49"/>
        <item x="74"/>
        <item x="82"/>
        <item x="69"/>
        <item x="83"/>
        <item x="93"/>
        <item x="59"/>
        <item x="62"/>
        <item x="63"/>
        <item x="57"/>
        <item x="65"/>
        <item x="60"/>
        <item x="102"/>
        <item x="79"/>
        <item x="104"/>
        <item x="72"/>
        <item x="71"/>
        <item x="81"/>
        <item x="109"/>
        <item x="56"/>
        <item x="87"/>
        <item x="77"/>
        <item x="76"/>
        <item x="103"/>
        <item x="90"/>
        <item x="64"/>
        <item x="85"/>
        <item x="106"/>
        <item x="107"/>
        <item x="108"/>
        <item x="70"/>
        <item x="75"/>
        <item x="61"/>
        <item sd="0" x="68"/>
        <item x="84"/>
        <item x="58"/>
        <item x="67"/>
        <item x="88"/>
        <item x="80"/>
        <item x="94"/>
        <item x="101"/>
        <item x="105"/>
        <item x="98"/>
        <item x="91"/>
        <item x="92"/>
        <item x="78"/>
        <item x="89"/>
        <item x="66"/>
        <item x="86"/>
        <item x="100"/>
        <item x="95"/>
        <item x="96"/>
        <item x="73"/>
        <item x="99"/>
        <item x="97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sd="0"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</items>
    </pivotField>
    <pivotField dataField="1" compact="0" outline="0" showAll="0"/>
    <pivotField compact="0" outline="0" showAll="0"/>
    <pivotField dataField="1" compact="0" outline="0" showAll="0"/>
    <pivotField dataField="1" compact="0" outline="0" dragToRow="0" dragToCol="0" dragToPage="0" showAll="0" defaultSubtotal="0"/>
  </pivotFields>
  <rowFields count="3">
    <field x="3"/>
    <field x="5"/>
    <field x="6"/>
  </rowFields>
  <rowItems count="9">
    <i>
      <x v="37"/>
    </i>
    <i r="1">
      <x v="10"/>
      <x v="60"/>
    </i>
    <i r="1">
      <x v="11"/>
    </i>
    <i r="1">
      <x v="29"/>
      <x v="22"/>
    </i>
    <i r="1">
      <x v="65"/>
      <x v="4"/>
    </i>
    <i r="1">
      <x v="95"/>
      <x v="159"/>
    </i>
    <i r="1">
      <x v="100"/>
      <x v="164"/>
    </i>
    <i t="blank">
      <x v="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加總 - Days" fld="7" baseField="0" baseItem="0"/>
    <dataField name="平均值 - $" fld="9" subtotal="average" baseField="5" baseItem="36"/>
    <dataField name="計數 - DAy." fld="10" subtotal="count" baseField="3" baseItem="0"/>
  </dataFields>
  <formats count="147">
    <format dxfId="406">
      <pivotArea type="all" dataOnly="0" outline="0" fieldPosition="0"/>
    </format>
    <format dxfId="405">
      <pivotArea outline="0" collapsedLevelsAreSubtotals="1" fieldPosition="0"/>
    </format>
    <format dxfId="404">
      <pivotArea type="origin" dataOnly="0" labelOnly="1" outline="0" fieldPosition="0"/>
    </format>
    <format dxfId="403">
      <pivotArea field="3" type="button" dataOnly="0" labelOnly="1" outline="0" axis="axisRow" fieldPosition="0"/>
    </format>
    <format dxfId="402">
      <pivotArea field="5" type="button" dataOnly="0" labelOnly="1" outline="0" axis="axisRow" fieldPosition="1"/>
    </format>
    <format dxfId="401">
      <pivotArea field="6" type="button" dataOnly="0" labelOnly="1" outline="0" axis="axisRow" fieldPosition="2"/>
    </format>
    <format dxfId="400">
      <pivotArea dataOnly="0" labelOnly="1" outline="0" fieldPosition="0">
        <references count="1">
          <reference field="3" count="17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399">
      <pivotArea dataOnly="0" labelOnly="1" outline="0" fieldPosition="0">
        <references count="1">
          <reference field="3" count="17" defaultSubtotal="1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</reference>
        </references>
      </pivotArea>
    </format>
    <format dxfId="398">
      <pivotArea dataOnly="0" labelOnly="1" outline="0" fieldPosition="0">
        <references count="1">
          <reference field="3" count="17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  <format dxfId="397">
      <pivotArea dataOnly="0" labelOnly="1" outline="0" fieldPosition="0">
        <references count="1">
          <reference field="3" count="16" defaultSubtotal="1"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396">
      <pivotArea dataOnly="0" labelOnly="1" outline="0" fieldPosition="0">
        <references count="1">
          <reference field="3" count="15"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395">
      <pivotArea dataOnly="0" labelOnly="1" outline="0" fieldPosition="0">
        <references count="1">
          <reference field="3" count="16" defaultSubtotal="1"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</reference>
        </references>
      </pivotArea>
    </format>
    <format dxfId="394">
      <pivotArea dataOnly="0" labelOnly="1" grandRow="1" outline="0" fieldPosition="0"/>
    </format>
    <format dxfId="393">
      <pivotArea dataOnly="0" labelOnly="1" outline="0" fieldPosition="0">
        <references count="2">
          <reference field="3" count="1" selected="0">
            <x v="0"/>
          </reference>
          <reference field="5" count="1">
            <x v="36"/>
          </reference>
        </references>
      </pivotArea>
    </format>
    <format dxfId="392">
      <pivotArea dataOnly="0" labelOnly="1" outline="0" fieldPosition="0">
        <references count="2">
          <reference field="3" count="1" selected="0">
            <x v="1"/>
          </reference>
          <reference field="5" count="1">
            <x v="15"/>
          </reference>
        </references>
      </pivotArea>
    </format>
    <format dxfId="391">
      <pivotArea dataOnly="0" labelOnly="1" outline="0" fieldPosition="0">
        <references count="2">
          <reference field="3" count="1" selected="0">
            <x v="2"/>
          </reference>
          <reference field="5" count="1">
            <x v="0"/>
          </reference>
        </references>
      </pivotArea>
    </format>
    <format dxfId="390">
      <pivotArea dataOnly="0" labelOnly="1" outline="0" fieldPosition="0">
        <references count="2">
          <reference field="3" count="1" selected="0">
            <x v="3"/>
          </reference>
          <reference field="5" count="2">
            <x v="11"/>
            <x v="19"/>
          </reference>
        </references>
      </pivotArea>
    </format>
    <format dxfId="389">
      <pivotArea dataOnly="0" labelOnly="1" outline="0" fieldPosition="0">
        <references count="2">
          <reference field="3" count="1" selected="0">
            <x v="4"/>
          </reference>
          <reference field="5" count="1">
            <x v="23"/>
          </reference>
        </references>
      </pivotArea>
    </format>
    <format dxfId="388">
      <pivotArea dataOnly="0" labelOnly="1" outline="0" fieldPosition="0">
        <references count="2">
          <reference field="3" count="1" selected="0">
            <x v="5"/>
          </reference>
          <reference field="5" count="2">
            <x v="6"/>
            <x v="50"/>
          </reference>
        </references>
      </pivotArea>
    </format>
    <format dxfId="387">
      <pivotArea dataOnly="0" labelOnly="1" outline="0" fieldPosition="0">
        <references count="2">
          <reference field="3" count="1" selected="0">
            <x v="6"/>
          </reference>
          <reference field="5" count="2">
            <x v="44"/>
            <x v="73"/>
          </reference>
        </references>
      </pivotArea>
    </format>
    <format dxfId="386">
      <pivotArea dataOnly="0" labelOnly="1" outline="0" fieldPosition="0">
        <references count="2">
          <reference field="3" count="1" selected="0">
            <x v="7"/>
          </reference>
          <reference field="5" count="3">
            <x v="5"/>
            <x v="74"/>
            <x v="76"/>
          </reference>
        </references>
      </pivotArea>
    </format>
    <format dxfId="385">
      <pivotArea dataOnly="0" labelOnly="1" outline="0" fieldPosition="0">
        <references count="2">
          <reference field="3" count="1" selected="0">
            <x v="8"/>
          </reference>
          <reference field="5" count="1">
            <x v="62"/>
          </reference>
        </references>
      </pivotArea>
    </format>
    <format dxfId="384">
      <pivotArea dataOnly="0" labelOnly="1" outline="0" fieldPosition="0">
        <references count="2">
          <reference field="3" count="1" selected="0">
            <x v="9"/>
          </reference>
          <reference field="5" count="1">
            <x v="70"/>
          </reference>
        </references>
      </pivotArea>
    </format>
    <format dxfId="383">
      <pivotArea dataOnly="0" labelOnly="1" outline="0" fieldPosition="0">
        <references count="2">
          <reference field="3" count="1" selected="0">
            <x v="10"/>
          </reference>
          <reference field="5" count="1">
            <x v="1"/>
          </reference>
        </references>
      </pivotArea>
    </format>
    <format dxfId="382">
      <pivotArea dataOnly="0" labelOnly="1" outline="0" fieldPosition="0">
        <references count="2">
          <reference field="3" count="1" selected="0">
            <x v="11"/>
          </reference>
          <reference field="5" count="3">
            <x v="20"/>
            <x v="40"/>
            <x v="63"/>
          </reference>
        </references>
      </pivotArea>
    </format>
    <format dxfId="381">
      <pivotArea dataOnly="0" labelOnly="1" outline="0" fieldPosition="0">
        <references count="2">
          <reference field="3" count="1" selected="0">
            <x v="12"/>
          </reference>
          <reference field="5" count="1">
            <x v="68"/>
          </reference>
        </references>
      </pivotArea>
    </format>
    <format dxfId="380">
      <pivotArea dataOnly="0" labelOnly="1" outline="0" fieldPosition="0">
        <references count="2">
          <reference field="3" count="1" selected="0">
            <x v="13"/>
          </reference>
          <reference field="5" count="1">
            <x v="45"/>
          </reference>
        </references>
      </pivotArea>
    </format>
    <format dxfId="379">
      <pivotArea dataOnly="0" labelOnly="1" outline="0" fieldPosition="0">
        <references count="2">
          <reference field="3" count="1" selected="0">
            <x v="14"/>
          </reference>
          <reference field="5" count="1">
            <x v="47"/>
          </reference>
        </references>
      </pivotArea>
    </format>
    <format dxfId="378">
      <pivotArea dataOnly="0" labelOnly="1" outline="0" fieldPosition="0">
        <references count="2">
          <reference field="3" count="1" selected="0">
            <x v="15"/>
          </reference>
          <reference field="5" count="1">
            <x v="49"/>
          </reference>
        </references>
      </pivotArea>
    </format>
    <format dxfId="377">
      <pivotArea dataOnly="0" labelOnly="1" outline="0" fieldPosition="0">
        <references count="2">
          <reference field="3" count="1" selected="0">
            <x v="16"/>
          </reference>
          <reference field="5" count="1">
            <x v="61"/>
          </reference>
        </references>
      </pivotArea>
    </format>
    <format dxfId="376">
      <pivotArea dataOnly="0" labelOnly="1" outline="0" fieldPosition="0">
        <references count="2">
          <reference field="3" count="1" selected="0">
            <x v="17"/>
          </reference>
          <reference field="5" count="2">
            <x v="37"/>
            <x v="54"/>
          </reference>
        </references>
      </pivotArea>
    </format>
    <format dxfId="375">
      <pivotArea dataOnly="0" labelOnly="1" outline="0" fieldPosition="0">
        <references count="2">
          <reference field="3" count="1" selected="0">
            <x v="18"/>
          </reference>
          <reference field="5" count="2">
            <x v="57"/>
            <x v="58"/>
          </reference>
        </references>
      </pivotArea>
    </format>
    <format dxfId="374">
      <pivotArea dataOnly="0" labelOnly="1" outline="0" fieldPosition="0">
        <references count="2">
          <reference field="3" count="1" selected="0">
            <x v="19"/>
          </reference>
          <reference field="5" count="2">
            <x v="56"/>
            <x v="75"/>
          </reference>
        </references>
      </pivotArea>
    </format>
    <format dxfId="373">
      <pivotArea dataOnly="0" labelOnly="1" outline="0" fieldPosition="0">
        <references count="2">
          <reference field="3" count="1" selected="0">
            <x v="20"/>
          </reference>
          <reference field="5" count="1">
            <x v="39"/>
          </reference>
        </references>
      </pivotArea>
    </format>
    <format dxfId="372">
      <pivotArea dataOnly="0" labelOnly="1" outline="0" fieldPosition="0">
        <references count="2">
          <reference field="3" count="1" selected="0">
            <x v="21"/>
          </reference>
          <reference field="5" count="1">
            <x v="77"/>
          </reference>
        </references>
      </pivotArea>
    </format>
    <format dxfId="371">
      <pivotArea dataOnly="0" labelOnly="1" outline="0" fieldPosition="0">
        <references count="2">
          <reference field="3" count="1" selected="0">
            <x v="22"/>
          </reference>
          <reference field="5" count="3">
            <x v="24"/>
            <x v="25"/>
            <x v="59"/>
          </reference>
        </references>
      </pivotArea>
    </format>
    <format dxfId="370">
      <pivotArea dataOnly="0" labelOnly="1" outline="0" fieldPosition="0">
        <references count="2">
          <reference field="3" count="1" selected="0">
            <x v="23"/>
          </reference>
          <reference field="5" count="1">
            <x v="32"/>
          </reference>
        </references>
      </pivotArea>
    </format>
    <format dxfId="369">
      <pivotArea dataOnly="0" labelOnly="1" outline="0" fieldPosition="0">
        <references count="2">
          <reference field="3" count="1" selected="0">
            <x v="24"/>
          </reference>
          <reference field="5" count="1">
            <x v="7"/>
          </reference>
        </references>
      </pivotArea>
    </format>
    <format dxfId="368">
      <pivotArea dataOnly="0" labelOnly="1" outline="0" fieldPosition="0">
        <references count="2">
          <reference field="3" count="1" selected="0">
            <x v="25"/>
          </reference>
          <reference field="5" count="1">
            <x v="74"/>
          </reference>
        </references>
      </pivotArea>
    </format>
    <format dxfId="367">
      <pivotArea dataOnly="0" labelOnly="1" outline="0" fieldPosition="0">
        <references count="2">
          <reference field="3" count="1" selected="0">
            <x v="26"/>
          </reference>
          <reference field="5" count="1">
            <x v="13"/>
          </reference>
        </references>
      </pivotArea>
    </format>
    <format dxfId="366">
      <pivotArea dataOnly="0" labelOnly="1" outline="0" fieldPosition="0">
        <references count="2">
          <reference field="3" count="1" selected="0">
            <x v="27"/>
          </reference>
          <reference field="5" count="2">
            <x v="2"/>
            <x v="4"/>
          </reference>
        </references>
      </pivotArea>
    </format>
    <format dxfId="365">
      <pivotArea dataOnly="0" labelOnly="1" outline="0" fieldPosition="0">
        <references count="2">
          <reference field="3" count="1" selected="0">
            <x v="28"/>
          </reference>
          <reference field="5" count="4">
            <x v="6"/>
            <x v="16"/>
            <x v="17"/>
            <x v="31"/>
          </reference>
        </references>
      </pivotArea>
    </format>
    <format dxfId="364">
      <pivotArea dataOnly="0" labelOnly="1" outline="0" fieldPosition="0">
        <references count="2">
          <reference field="3" count="1" selected="0">
            <x v="29"/>
          </reference>
          <reference field="5" count="3">
            <x v="10"/>
            <x v="18"/>
            <x v="55"/>
          </reference>
        </references>
      </pivotArea>
    </format>
    <format dxfId="363">
      <pivotArea dataOnly="0" labelOnly="1" outline="0" fieldPosition="0">
        <references count="2">
          <reference field="3" count="1" selected="0">
            <x v="30"/>
          </reference>
          <reference field="5" count="1">
            <x v="34"/>
          </reference>
        </references>
      </pivotArea>
    </format>
    <format dxfId="362">
      <pivotArea dataOnly="0" labelOnly="1" outline="0" fieldPosition="0">
        <references count="2">
          <reference field="3" count="1" selected="0">
            <x v="31"/>
          </reference>
          <reference field="5" count="2">
            <x v="27"/>
            <x v="28"/>
          </reference>
        </references>
      </pivotArea>
    </format>
    <format dxfId="361">
      <pivotArea dataOnly="0" labelOnly="1" outline="0" fieldPosition="0">
        <references count="2">
          <reference field="3" count="1" selected="0">
            <x v="32"/>
          </reference>
          <reference field="5" count="2">
            <x v="22"/>
            <x v="35"/>
          </reference>
        </references>
      </pivotArea>
    </format>
    <format dxfId="360">
      <pivotArea dataOnly="0" labelOnly="1" outline="0" fieldPosition="0">
        <references count="2">
          <reference field="3" count="1" selected="0">
            <x v="33"/>
          </reference>
          <reference field="5" count="3">
            <x v="12"/>
            <x v="60"/>
            <x v="67"/>
          </reference>
        </references>
      </pivotArea>
    </format>
    <format dxfId="359">
      <pivotArea dataOnly="0" labelOnly="1" outline="0" fieldPosition="0">
        <references count="2">
          <reference field="3" count="1" selected="0">
            <x v="34"/>
          </reference>
          <reference field="5" count="2">
            <x v="53"/>
            <x v="66"/>
          </reference>
        </references>
      </pivotArea>
    </format>
    <format dxfId="358">
      <pivotArea dataOnly="0" labelOnly="1" outline="0" fieldPosition="0">
        <references count="2">
          <reference field="3" count="1" selected="0">
            <x v="35"/>
          </reference>
          <reference field="5" count="1">
            <x v="30"/>
          </reference>
        </references>
      </pivotArea>
    </format>
    <format dxfId="357">
      <pivotArea dataOnly="0" labelOnly="1" outline="0" fieldPosition="0">
        <references count="2">
          <reference field="3" count="1" selected="0">
            <x v="36"/>
          </reference>
          <reference field="5" count="2">
            <x v="71"/>
            <x v="72"/>
          </reference>
        </references>
      </pivotArea>
    </format>
    <format dxfId="356">
      <pivotArea dataOnly="0" labelOnly="1" outline="0" fieldPosition="0">
        <references count="2">
          <reference field="3" count="1" selected="0">
            <x v="37"/>
          </reference>
          <reference field="5" count="4">
            <x v="10"/>
            <x v="11"/>
            <x v="29"/>
            <x v="65"/>
          </reference>
        </references>
      </pivotArea>
    </format>
    <format dxfId="355">
      <pivotArea dataOnly="0" labelOnly="1" outline="0" fieldPosition="0">
        <references count="2">
          <reference field="3" count="1" selected="0">
            <x v="38"/>
          </reference>
          <reference field="5" count="3">
            <x v="14"/>
            <x v="16"/>
            <x v="64"/>
          </reference>
        </references>
      </pivotArea>
    </format>
    <format dxfId="354">
      <pivotArea dataOnly="0" labelOnly="1" outline="0" fieldPosition="0">
        <references count="2">
          <reference field="3" count="1" selected="0">
            <x v="39"/>
          </reference>
          <reference field="5" count="1">
            <x v="8"/>
          </reference>
        </references>
      </pivotArea>
    </format>
    <format dxfId="353">
      <pivotArea dataOnly="0" labelOnly="1" outline="0" fieldPosition="0">
        <references count="2">
          <reference field="3" count="1" selected="0">
            <x v="40"/>
          </reference>
          <reference field="5" count="3">
            <x v="38"/>
            <x v="52"/>
            <x v="75"/>
          </reference>
        </references>
      </pivotArea>
    </format>
    <format dxfId="352">
      <pivotArea dataOnly="0" labelOnly="1" outline="0" fieldPosition="0">
        <references count="2">
          <reference field="3" count="1" selected="0">
            <x v="41"/>
          </reference>
          <reference field="5" count="2">
            <x v="21"/>
            <x v="69"/>
          </reference>
        </references>
      </pivotArea>
    </format>
    <format dxfId="351">
      <pivotArea dataOnly="0" labelOnly="1" outline="0" fieldPosition="0">
        <references count="2">
          <reference field="3" count="1" selected="0">
            <x v="42"/>
          </reference>
          <reference field="5" count="1">
            <x v="48"/>
          </reference>
        </references>
      </pivotArea>
    </format>
    <format dxfId="350">
      <pivotArea dataOnly="0" labelOnly="1" outline="0" fieldPosition="0">
        <references count="2">
          <reference field="3" count="1" selected="0">
            <x v="43"/>
          </reference>
          <reference field="5" count="1">
            <x v="51"/>
          </reference>
        </references>
      </pivotArea>
    </format>
    <format dxfId="349">
      <pivotArea dataOnly="0" labelOnly="1" outline="0" fieldPosition="0">
        <references count="2">
          <reference field="3" count="1" selected="0">
            <x v="44"/>
          </reference>
          <reference field="5" count="1">
            <x v="46"/>
          </reference>
        </references>
      </pivotArea>
    </format>
    <format dxfId="348">
      <pivotArea dataOnly="0" labelOnly="1" outline="0" fieldPosition="0">
        <references count="2">
          <reference field="3" count="1" selected="0">
            <x v="45"/>
          </reference>
          <reference field="5" count="2">
            <x v="42"/>
            <x v="43"/>
          </reference>
        </references>
      </pivotArea>
    </format>
    <format dxfId="347">
      <pivotArea dataOnly="0" labelOnly="1" outline="0" fieldPosition="0">
        <references count="2">
          <reference field="3" count="1" selected="0">
            <x v="46"/>
          </reference>
          <reference field="5" count="1">
            <x v="33"/>
          </reference>
        </references>
      </pivotArea>
    </format>
    <format dxfId="346">
      <pivotArea dataOnly="0" labelOnly="1" outline="0" fieldPosition="0">
        <references count="2">
          <reference field="3" count="1" selected="0">
            <x v="47"/>
          </reference>
          <reference field="5" count="2">
            <x v="9"/>
            <x v="26"/>
          </reference>
        </references>
      </pivotArea>
    </format>
    <format dxfId="345">
      <pivotArea dataOnly="0" labelOnly="1" outline="0" fieldPosition="0">
        <references count="2">
          <reference field="3" count="1" selected="0">
            <x v="48"/>
          </reference>
          <reference field="5" count="2">
            <x v="3"/>
            <x v="41"/>
          </reference>
        </references>
      </pivotArea>
    </format>
    <format dxfId="344">
      <pivotArea dataOnly="0" labelOnly="1" outline="0" fieldPosition="0">
        <references count="3">
          <reference field="3" count="1" selected="0">
            <x v="0"/>
          </reference>
          <reference field="5" count="1" selected="0">
            <x v="36"/>
          </reference>
          <reference field="6" count="2">
            <x v="41"/>
            <x v="88"/>
          </reference>
        </references>
      </pivotArea>
    </format>
    <format dxfId="343">
      <pivotArea dataOnly="0" labelOnly="1" outline="0" fieldPosition="0">
        <references count="3">
          <reference field="3" count="1" selected="0">
            <x v="1"/>
          </reference>
          <reference field="5" count="1" selected="0">
            <x v="15"/>
          </reference>
          <reference field="6" count="2">
            <x v="13"/>
            <x v="79"/>
          </reference>
        </references>
      </pivotArea>
    </format>
    <format dxfId="342">
      <pivotArea dataOnly="0" labelOnly="1" outline="0" fieldPosition="0">
        <references count="3">
          <reference field="3" count="1" selected="0">
            <x v="2"/>
          </reference>
          <reference field="5" count="1" selected="0">
            <x v="0"/>
          </reference>
          <reference field="6" count="2">
            <x v="33"/>
            <x v="57"/>
          </reference>
        </references>
      </pivotArea>
    </format>
    <format dxfId="341">
      <pivotArea dataOnly="0" labelOnly="1" outline="0" fieldPosition="0">
        <references count="3">
          <reference field="3" count="1" selected="0">
            <x v="3"/>
          </reference>
          <reference field="5" count="1" selected="0">
            <x v="11"/>
          </reference>
          <reference field="6" count="1">
            <x v="94"/>
          </reference>
        </references>
      </pivotArea>
    </format>
    <format dxfId="340">
      <pivotArea dataOnly="0" labelOnly="1" outline="0" fieldPosition="0">
        <references count="3">
          <reference field="3" count="1" selected="0">
            <x v="3"/>
          </reference>
          <reference field="5" count="1" selected="0">
            <x v="19"/>
          </reference>
          <reference field="6" count="1">
            <x v="104"/>
          </reference>
        </references>
      </pivotArea>
    </format>
    <format dxfId="339">
      <pivotArea dataOnly="0" labelOnly="1" outline="0" fieldPosition="0">
        <references count="3">
          <reference field="3" count="1" selected="0">
            <x v="4"/>
          </reference>
          <reference field="5" count="1" selected="0">
            <x v="23"/>
          </reference>
          <reference field="6" count="2">
            <x v="18"/>
            <x v="74"/>
          </reference>
        </references>
      </pivotArea>
    </format>
    <format dxfId="338">
      <pivotArea dataOnly="0" labelOnly="1" outline="0" fieldPosition="0">
        <references count="3">
          <reference field="3" count="1" selected="0">
            <x v="5"/>
          </reference>
          <reference field="5" count="1" selected="0">
            <x v="6"/>
          </reference>
          <reference field="6" count="1">
            <x v="15"/>
          </reference>
        </references>
      </pivotArea>
    </format>
    <format dxfId="337">
      <pivotArea dataOnly="0" labelOnly="1" outline="0" fieldPosition="0">
        <references count="3">
          <reference field="3" count="1" selected="0">
            <x v="5"/>
          </reference>
          <reference field="5" count="1" selected="0">
            <x v="50"/>
          </reference>
          <reference field="6" count="1">
            <x v="27"/>
          </reference>
        </references>
      </pivotArea>
    </format>
    <format dxfId="336">
      <pivotArea dataOnly="0" labelOnly="1" outline="0" fieldPosition="0">
        <references count="3">
          <reference field="3" count="1" selected="0">
            <x v="6"/>
          </reference>
          <reference field="5" count="1" selected="0">
            <x v="44"/>
          </reference>
          <reference field="6" count="1">
            <x v="16"/>
          </reference>
        </references>
      </pivotArea>
    </format>
    <format dxfId="335">
      <pivotArea dataOnly="0" labelOnly="1" outline="0" fieldPosition="0">
        <references count="3">
          <reference field="3" count="1" selected="0">
            <x v="6"/>
          </reference>
          <reference field="5" count="1" selected="0">
            <x v="73"/>
          </reference>
          <reference field="6" count="1">
            <x v="84"/>
          </reference>
        </references>
      </pivotArea>
    </format>
    <format dxfId="334">
      <pivotArea dataOnly="0" labelOnly="1" outline="0" fieldPosition="0">
        <references count="3">
          <reference field="3" count="1" selected="0">
            <x v="7"/>
          </reference>
          <reference field="5" count="1" selected="0">
            <x v="5"/>
          </reference>
          <reference field="6" count="1">
            <x v="21"/>
          </reference>
        </references>
      </pivotArea>
    </format>
    <format dxfId="333">
      <pivotArea dataOnly="0" labelOnly="1" outline="0" fieldPosition="0">
        <references count="3">
          <reference field="3" count="1" selected="0">
            <x v="7"/>
          </reference>
          <reference field="5" count="1" selected="0">
            <x v="74"/>
          </reference>
          <reference field="6" count="1">
            <x v="76"/>
          </reference>
        </references>
      </pivotArea>
    </format>
    <format dxfId="332">
      <pivotArea dataOnly="0" labelOnly="1" outline="0" fieldPosition="0">
        <references count="3">
          <reference field="3" count="1" selected="0">
            <x v="7"/>
          </reference>
          <reference field="5" count="1" selected="0">
            <x v="76"/>
          </reference>
          <reference field="6" count="1">
            <x v="38"/>
          </reference>
        </references>
      </pivotArea>
    </format>
    <format dxfId="331">
      <pivotArea dataOnly="0" labelOnly="1" outline="0" fieldPosition="0">
        <references count="3">
          <reference field="3" count="1" selected="0">
            <x v="8"/>
          </reference>
          <reference field="5" count="1" selected="0">
            <x v="62"/>
          </reference>
          <reference field="6" count="3">
            <x v="24"/>
            <x v="80"/>
            <x v="110"/>
          </reference>
        </references>
      </pivotArea>
    </format>
    <format dxfId="330">
      <pivotArea dataOnly="0" labelOnly="1" outline="0" fieldPosition="0">
        <references count="3">
          <reference field="3" count="1" selected="0">
            <x v="9"/>
          </reference>
          <reference field="5" count="1" selected="0">
            <x v="70"/>
          </reference>
          <reference field="6" count="2">
            <x v="20"/>
            <x v="66"/>
          </reference>
        </references>
      </pivotArea>
    </format>
    <format dxfId="329">
      <pivotArea dataOnly="0" labelOnly="1" outline="0" fieldPosition="0">
        <references count="3">
          <reference field="3" count="1" selected="0">
            <x v="10"/>
          </reference>
          <reference field="5" count="1" selected="0">
            <x v="1"/>
          </reference>
          <reference field="6" count="2">
            <x v="6"/>
            <x v="93"/>
          </reference>
        </references>
      </pivotArea>
    </format>
    <format dxfId="328">
      <pivotArea dataOnly="0" labelOnly="1" outline="0" fieldPosition="0">
        <references count="3">
          <reference field="3" count="1" selected="0">
            <x v="11"/>
          </reference>
          <reference field="5" count="1" selected="0">
            <x v="20"/>
          </reference>
          <reference field="6" count="1">
            <x v="95"/>
          </reference>
        </references>
      </pivotArea>
    </format>
    <format dxfId="327">
      <pivotArea dataOnly="0" labelOnly="1" outline="0" fieldPosition="0">
        <references count="3">
          <reference field="3" count="1" selected="0">
            <x v="11"/>
          </reference>
          <reference field="5" count="1" selected="0">
            <x v="40"/>
          </reference>
          <reference field="6" count="2">
            <x v="51"/>
            <x v="73"/>
          </reference>
        </references>
      </pivotArea>
    </format>
    <format dxfId="326">
      <pivotArea dataOnly="0" labelOnly="1" outline="0" fieldPosition="0">
        <references count="3">
          <reference field="3" count="1" selected="0">
            <x v="11"/>
          </reference>
          <reference field="5" count="1" selected="0">
            <x v="63"/>
          </reference>
          <reference field="6" count="1">
            <x v="32"/>
          </reference>
        </references>
      </pivotArea>
    </format>
    <format dxfId="325">
      <pivotArea dataOnly="0" labelOnly="1" outline="0" fieldPosition="0">
        <references count="3">
          <reference field="3" count="1" selected="0">
            <x v="12"/>
          </reference>
          <reference field="5" count="1" selected="0">
            <x v="68"/>
          </reference>
          <reference field="6" count="1">
            <x v="91"/>
          </reference>
        </references>
      </pivotArea>
    </format>
    <format dxfId="324">
      <pivotArea dataOnly="0" labelOnly="1" outline="0" fieldPosition="0">
        <references count="3">
          <reference field="3" count="1" selected="0">
            <x v="13"/>
          </reference>
          <reference field="5" count="1" selected="0">
            <x v="45"/>
          </reference>
          <reference field="6" count="2">
            <x v="5"/>
            <x v="68"/>
          </reference>
        </references>
      </pivotArea>
    </format>
    <format dxfId="323">
      <pivotArea dataOnly="0" labelOnly="1" outline="0" fieldPosition="0">
        <references count="3">
          <reference field="3" count="1" selected="0">
            <x v="14"/>
          </reference>
          <reference field="5" count="1" selected="0">
            <x v="47"/>
          </reference>
          <reference field="6" count="2">
            <x v="12"/>
            <x v="70"/>
          </reference>
        </references>
      </pivotArea>
    </format>
    <format dxfId="322">
      <pivotArea dataOnly="0" labelOnly="1" outline="0" fieldPosition="0">
        <references count="3">
          <reference field="3" count="1" selected="0">
            <x v="15"/>
          </reference>
          <reference field="5" count="1" selected="0">
            <x v="49"/>
          </reference>
          <reference field="6" count="2">
            <x v="30"/>
            <x v="107"/>
          </reference>
        </references>
      </pivotArea>
    </format>
    <format dxfId="321">
      <pivotArea dataOnly="0" labelOnly="1" outline="0" fieldPosition="0">
        <references count="3">
          <reference field="3" count="1" selected="0">
            <x v="16"/>
          </reference>
          <reference field="5" count="1" selected="0">
            <x v="61"/>
          </reference>
          <reference field="6" count="2">
            <x v="35"/>
            <x v="86"/>
          </reference>
        </references>
      </pivotArea>
    </format>
    <format dxfId="320">
      <pivotArea dataOnly="0" labelOnly="1" outline="0" fieldPosition="0">
        <references count="3">
          <reference field="3" count="1" selected="0">
            <x v="17"/>
          </reference>
          <reference field="5" count="1" selected="0">
            <x v="37"/>
          </reference>
          <reference field="6" count="1">
            <x v="105"/>
          </reference>
        </references>
      </pivotArea>
    </format>
    <format dxfId="319">
      <pivotArea dataOnly="0" labelOnly="1" outline="0" fieldPosition="0">
        <references count="3">
          <reference field="3" count="1" selected="0">
            <x v="17"/>
          </reference>
          <reference field="5" count="1" selected="0">
            <x v="54"/>
          </reference>
          <reference field="6" count="1">
            <x v="36"/>
          </reference>
        </references>
      </pivotArea>
    </format>
    <format dxfId="318">
      <pivotArea dataOnly="0" labelOnly="1" outline="0" fieldPosition="0">
        <references count="3">
          <reference field="3" count="1" selected="0">
            <x v="18"/>
          </reference>
          <reference field="5" count="1" selected="0">
            <x v="57"/>
          </reference>
          <reference field="6" count="1">
            <x v="58"/>
          </reference>
        </references>
      </pivotArea>
    </format>
    <format dxfId="317">
      <pivotArea dataOnly="0" labelOnly="1" outline="0" fieldPosition="0">
        <references count="3">
          <reference field="3" count="1" selected="0">
            <x v="18"/>
          </reference>
          <reference field="5" count="1" selected="0">
            <x v="58"/>
          </reference>
          <reference field="6" count="1">
            <x v="46"/>
          </reference>
        </references>
      </pivotArea>
    </format>
    <format dxfId="316">
      <pivotArea dataOnly="0" labelOnly="1" outline="0" fieldPosition="0">
        <references count="3">
          <reference field="3" count="1" selected="0">
            <x v="19"/>
          </reference>
          <reference field="5" count="1" selected="0">
            <x v="56"/>
          </reference>
          <reference field="6" count="2">
            <x v="55"/>
            <x v="67"/>
          </reference>
        </references>
      </pivotArea>
    </format>
    <format dxfId="315">
      <pivotArea dataOnly="0" labelOnly="1" outline="0" fieldPosition="0">
        <references count="3">
          <reference field="3" count="1" selected="0">
            <x v="19"/>
          </reference>
          <reference field="5" count="1" selected="0">
            <x v="75"/>
          </reference>
          <reference field="6" count="1">
            <x v="29"/>
          </reference>
        </references>
      </pivotArea>
    </format>
    <format dxfId="314">
      <pivotArea dataOnly="0" labelOnly="1" outline="0" fieldPosition="0">
        <references count="3">
          <reference field="3" count="1" selected="0">
            <x v="20"/>
          </reference>
          <reference field="5" count="1" selected="0">
            <x v="39"/>
          </reference>
          <reference field="6" count="2">
            <x v="28"/>
            <x v="89"/>
          </reference>
        </references>
      </pivotArea>
    </format>
    <format dxfId="313">
      <pivotArea dataOnly="0" labelOnly="1" outline="0" fieldPosition="0">
        <references count="3">
          <reference field="3" count="1" selected="0">
            <x v="21"/>
          </reference>
          <reference field="5" count="1" selected="0">
            <x v="77"/>
          </reference>
          <reference field="6" count="2">
            <x v="34"/>
            <x v="77"/>
          </reference>
        </references>
      </pivotArea>
    </format>
    <format dxfId="312">
      <pivotArea dataOnly="0" labelOnly="1" outline="0" fieldPosition="0">
        <references count="3">
          <reference field="3" count="1" selected="0">
            <x v="22"/>
          </reference>
          <reference field="5" count="1" selected="0">
            <x v="24"/>
          </reference>
          <reference field="6" count="1">
            <x v="50"/>
          </reference>
        </references>
      </pivotArea>
    </format>
    <format dxfId="311">
      <pivotArea dataOnly="0" labelOnly="1" outline="0" fieldPosition="0">
        <references count="3">
          <reference field="3" count="1" selected="0">
            <x v="22"/>
          </reference>
          <reference field="5" count="1" selected="0">
            <x v="25"/>
          </reference>
          <reference field="6" count="1">
            <x v="69"/>
          </reference>
        </references>
      </pivotArea>
    </format>
    <format dxfId="310">
      <pivotArea dataOnly="0" labelOnly="1" outline="0" fieldPosition="0">
        <references count="3">
          <reference field="3" count="1" selected="0">
            <x v="22"/>
          </reference>
          <reference field="5" count="1" selected="0">
            <x v="59"/>
          </reference>
          <reference field="6" count="1">
            <x v="16"/>
          </reference>
        </references>
      </pivotArea>
    </format>
    <format dxfId="309">
      <pivotArea dataOnly="0" labelOnly="1" outline="0" fieldPosition="0">
        <references count="3">
          <reference field="3" count="1" selected="0">
            <x v="23"/>
          </reference>
          <reference field="5" count="1" selected="0">
            <x v="32"/>
          </reference>
          <reference field="6" count="2">
            <x v="49"/>
            <x v="78"/>
          </reference>
        </references>
      </pivotArea>
    </format>
    <format dxfId="308">
      <pivotArea dataOnly="0" labelOnly="1" outline="0" fieldPosition="0">
        <references count="3">
          <reference field="3" count="1" selected="0">
            <x v="24"/>
          </reference>
          <reference field="5" count="1" selected="0">
            <x v="7"/>
          </reference>
          <reference field="6" count="2">
            <x v="1"/>
            <x v="90"/>
          </reference>
        </references>
      </pivotArea>
    </format>
    <format dxfId="307">
      <pivotArea dataOnly="0" labelOnly="1" outline="0" fieldPosition="0">
        <references count="3">
          <reference field="3" count="1" selected="0">
            <x v="25"/>
          </reference>
          <reference field="5" count="1" selected="0">
            <x v="74"/>
          </reference>
          <reference field="6" count="1">
            <x v="48"/>
          </reference>
        </references>
      </pivotArea>
    </format>
    <format dxfId="306">
      <pivotArea dataOnly="0" labelOnly="1" outline="0" fieldPosition="0">
        <references count="3">
          <reference field="3" count="1" selected="0">
            <x v="26"/>
          </reference>
          <reference field="5" count="1" selected="0">
            <x v="13"/>
          </reference>
          <reference field="6" count="2">
            <x v="17"/>
            <x v="61"/>
          </reference>
        </references>
      </pivotArea>
    </format>
    <format dxfId="305">
      <pivotArea dataOnly="0" labelOnly="1" outline="0" fieldPosition="0">
        <references count="3">
          <reference field="3" count="1" selected="0">
            <x v="27"/>
          </reference>
          <reference field="5" count="1" selected="0">
            <x v="2"/>
          </reference>
          <reference field="6" count="1">
            <x v="72"/>
          </reference>
        </references>
      </pivotArea>
    </format>
    <format dxfId="304">
      <pivotArea dataOnly="0" labelOnly="1" outline="0" fieldPosition="0">
        <references count="3">
          <reference field="3" count="1" selected="0">
            <x v="27"/>
          </reference>
          <reference field="5" count="1" selected="0">
            <x v="4"/>
          </reference>
          <reference field="6" count="1">
            <x v="36"/>
          </reference>
        </references>
      </pivotArea>
    </format>
    <format dxfId="303">
      <pivotArea dataOnly="0" labelOnly="1" outline="0" fieldPosition="0">
        <references count="3">
          <reference field="3" count="1" selected="0">
            <x v="28"/>
          </reference>
          <reference field="5" count="1" selected="0">
            <x v="6"/>
          </reference>
          <reference field="6" count="1">
            <x v="63"/>
          </reference>
        </references>
      </pivotArea>
    </format>
    <format dxfId="302">
      <pivotArea dataOnly="0" labelOnly="1" outline="0" fieldPosition="0">
        <references count="3">
          <reference field="3" count="1" selected="0">
            <x v="28"/>
          </reference>
          <reference field="5" count="1" selected="0">
            <x v="16"/>
          </reference>
          <reference field="6" count="1">
            <x v="98"/>
          </reference>
        </references>
      </pivotArea>
    </format>
    <format dxfId="301">
      <pivotArea dataOnly="0" labelOnly="1" outline="0" fieldPosition="0">
        <references count="3">
          <reference field="3" count="1" selected="0">
            <x v="28"/>
          </reference>
          <reference field="5" count="1" selected="0">
            <x v="17"/>
          </reference>
          <reference field="6" count="1">
            <x v="42"/>
          </reference>
        </references>
      </pivotArea>
    </format>
    <format dxfId="300">
      <pivotArea dataOnly="0" labelOnly="1" outline="0" fieldPosition="0">
        <references count="3">
          <reference field="3" count="1" selected="0">
            <x v="28"/>
          </reference>
          <reference field="5" count="1" selected="0">
            <x v="31"/>
          </reference>
          <reference field="6" count="1">
            <x v="44"/>
          </reference>
        </references>
      </pivotArea>
    </format>
    <format dxfId="299">
      <pivotArea dataOnly="0" labelOnly="1" outline="0" fieldPosition="0">
        <references count="3">
          <reference field="3" count="1" selected="0">
            <x v="29"/>
          </reference>
          <reference field="5" count="1" selected="0">
            <x v="10"/>
          </reference>
          <reference field="6" count="1">
            <x v="54"/>
          </reference>
        </references>
      </pivotArea>
    </format>
    <format dxfId="298">
      <pivotArea dataOnly="0" labelOnly="1" outline="0" fieldPosition="0">
        <references count="3">
          <reference field="3" count="1" selected="0">
            <x v="29"/>
          </reference>
          <reference field="5" count="1" selected="0">
            <x v="18"/>
          </reference>
          <reference field="6" count="1">
            <x v="108"/>
          </reference>
        </references>
      </pivotArea>
    </format>
    <format dxfId="297">
      <pivotArea dataOnly="0" labelOnly="1" outline="0" fieldPosition="0">
        <references count="3">
          <reference field="3" count="1" selected="0">
            <x v="29"/>
          </reference>
          <reference field="5" count="1" selected="0">
            <x v="55"/>
          </reference>
          <reference field="6" count="1">
            <x v="2"/>
          </reference>
        </references>
      </pivotArea>
    </format>
    <format dxfId="296">
      <pivotArea dataOnly="0" labelOnly="1" outline="0" fieldPosition="0">
        <references count="3">
          <reference field="3" count="1" selected="0">
            <x v="30"/>
          </reference>
          <reference field="5" count="1" selected="0">
            <x v="34"/>
          </reference>
          <reference field="6" count="2">
            <x v="37"/>
            <x v="103"/>
          </reference>
        </references>
      </pivotArea>
    </format>
    <format dxfId="295">
      <pivotArea dataOnly="0" labelOnly="1" outline="0" fieldPosition="0">
        <references count="3">
          <reference field="3" count="1" selected="0">
            <x v="31"/>
          </reference>
          <reference field="5" count="1" selected="0">
            <x v="27"/>
          </reference>
          <reference field="6" count="1">
            <x v="82"/>
          </reference>
        </references>
      </pivotArea>
    </format>
    <format dxfId="294">
      <pivotArea dataOnly="0" labelOnly="1" outline="0" fieldPosition="0">
        <references count="3">
          <reference field="3" count="1" selected="0">
            <x v="31"/>
          </reference>
          <reference field="5" count="1" selected="0">
            <x v="28"/>
          </reference>
          <reference field="6" count="1">
            <x v="53"/>
          </reference>
        </references>
      </pivotArea>
    </format>
    <format dxfId="293">
      <pivotArea dataOnly="0" labelOnly="1" outline="0" fieldPosition="0">
        <references count="3">
          <reference field="3" count="1" selected="0">
            <x v="32"/>
          </reference>
          <reference field="5" count="1" selected="0">
            <x v="22"/>
          </reference>
          <reference field="6" count="1">
            <x v="97"/>
          </reference>
        </references>
      </pivotArea>
    </format>
    <format dxfId="292">
      <pivotArea dataOnly="0" labelOnly="1" outline="0" fieldPosition="0">
        <references count="3">
          <reference field="3" count="1" selected="0">
            <x v="32"/>
          </reference>
          <reference field="5" count="1" selected="0">
            <x v="35"/>
          </reference>
          <reference field="6" count="2">
            <x v="14"/>
            <x v="62"/>
          </reference>
        </references>
      </pivotArea>
    </format>
    <format dxfId="291">
      <pivotArea dataOnly="0" labelOnly="1" outline="0" fieldPosition="0">
        <references count="3">
          <reference field="3" count="1" selected="0">
            <x v="33"/>
          </reference>
          <reference field="5" count="1" selected="0">
            <x v="12"/>
          </reference>
          <reference field="6" count="1">
            <x v="38"/>
          </reference>
        </references>
      </pivotArea>
    </format>
    <format dxfId="290">
      <pivotArea dataOnly="0" labelOnly="1" outline="0" fieldPosition="0">
        <references count="3">
          <reference field="3" count="1" selected="0">
            <x v="33"/>
          </reference>
          <reference field="5" count="1" selected="0">
            <x v="60"/>
          </reference>
          <reference field="6" count="1">
            <x v="56"/>
          </reference>
        </references>
      </pivotArea>
    </format>
    <format dxfId="289">
      <pivotArea dataOnly="0" labelOnly="1" outline="0" fieldPosition="0">
        <references count="3">
          <reference field="3" count="1" selected="0">
            <x v="33"/>
          </reference>
          <reference field="5" count="1" selected="0">
            <x v="67"/>
          </reference>
          <reference field="6" count="1">
            <x v="39"/>
          </reference>
        </references>
      </pivotArea>
    </format>
    <format dxfId="288">
      <pivotArea dataOnly="0" labelOnly="1" outline="0" fieldPosition="0">
        <references count="3">
          <reference field="3" count="1" selected="0">
            <x v="34"/>
          </reference>
          <reference field="5" count="1" selected="0">
            <x v="53"/>
          </reference>
          <reference field="6" count="2">
            <x v="43"/>
            <x v="101"/>
          </reference>
        </references>
      </pivotArea>
    </format>
    <format dxfId="287">
      <pivotArea dataOnly="0" labelOnly="1" outline="0" fieldPosition="0">
        <references count="3">
          <reference field="3" count="1" selected="0">
            <x v="34"/>
          </reference>
          <reference field="5" count="1" selected="0">
            <x v="66"/>
          </reference>
          <reference field="6" count="1">
            <x v="102"/>
          </reference>
        </references>
      </pivotArea>
    </format>
    <format dxfId="286">
      <pivotArea dataOnly="0" labelOnly="1" outline="0" fieldPosition="0">
        <references count="3">
          <reference field="3" count="1" selected="0">
            <x v="35"/>
          </reference>
          <reference field="5" count="1" selected="0">
            <x v="30"/>
          </reference>
          <reference field="6" count="2">
            <x v="23"/>
            <x v="71"/>
          </reference>
        </references>
      </pivotArea>
    </format>
    <format dxfId="285">
      <pivotArea dataOnly="0" labelOnly="1" outline="0" fieldPosition="0">
        <references count="3">
          <reference field="3" count="1" selected="0">
            <x v="36"/>
          </reference>
          <reference field="5" count="1" selected="0">
            <x v="71"/>
          </reference>
          <reference field="6" count="1">
            <x v="52"/>
          </reference>
        </references>
      </pivotArea>
    </format>
    <format dxfId="284">
      <pivotArea dataOnly="0" labelOnly="1" outline="0" fieldPosition="0">
        <references count="3">
          <reference field="3" count="1" selected="0">
            <x v="36"/>
          </reference>
          <reference field="5" count="1" selected="0">
            <x v="72"/>
          </reference>
          <reference field="6" count="1">
            <x v="83"/>
          </reference>
        </references>
      </pivotArea>
    </format>
    <format dxfId="283">
      <pivotArea dataOnly="0" labelOnly="1" outline="0" fieldPosition="0">
        <references count="3">
          <reference field="3" count="1" selected="0">
            <x v="37"/>
          </reference>
          <reference field="5" count="1" selected="0">
            <x v="10"/>
          </reference>
          <reference field="6" count="1">
            <x v="60"/>
          </reference>
        </references>
      </pivotArea>
    </format>
    <format dxfId="282">
      <pivotArea dataOnly="0" labelOnly="1" outline="0" fieldPosition="0">
        <references count="3">
          <reference field="3" count="1" selected="0">
            <x v="37"/>
          </reference>
          <reference field="5" count="1" selected="0">
            <x v="11"/>
          </reference>
          <reference field="6" count="1">
            <x v="26"/>
          </reference>
        </references>
      </pivotArea>
    </format>
    <format dxfId="281">
      <pivotArea dataOnly="0" labelOnly="1" outline="0" fieldPosition="0">
        <references count="3">
          <reference field="3" count="1" selected="0">
            <x v="37"/>
          </reference>
          <reference field="5" count="1" selected="0">
            <x v="29"/>
          </reference>
          <reference field="6" count="1">
            <x v="22"/>
          </reference>
        </references>
      </pivotArea>
    </format>
    <format dxfId="280">
      <pivotArea dataOnly="0" labelOnly="1" outline="0" fieldPosition="0">
        <references count="3">
          <reference field="3" count="1" selected="0">
            <x v="37"/>
          </reference>
          <reference field="5" count="1" selected="0">
            <x v="65"/>
          </reference>
          <reference field="6" count="1">
            <x v="4"/>
          </reference>
        </references>
      </pivotArea>
    </format>
    <format dxfId="279">
      <pivotArea dataOnly="0" labelOnly="1" outline="0" fieldPosition="0">
        <references count="3">
          <reference field="3" count="1" selected="0">
            <x v="38"/>
          </reference>
          <reference field="5" count="1" selected="0">
            <x v="14"/>
          </reference>
          <reference field="6" count="1">
            <x v="99"/>
          </reference>
        </references>
      </pivotArea>
    </format>
    <format dxfId="278">
      <pivotArea dataOnly="0" labelOnly="1" outline="0" fieldPosition="0">
        <references count="3">
          <reference field="3" count="1" selected="0">
            <x v="38"/>
          </reference>
          <reference field="5" count="1" selected="0">
            <x v="16"/>
          </reference>
          <reference field="6" count="1">
            <x v="3"/>
          </reference>
        </references>
      </pivotArea>
    </format>
    <format dxfId="277">
      <pivotArea dataOnly="0" labelOnly="1" outline="0" fieldPosition="0">
        <references count="3">
          <reference field="3" count="1" selected="0">
            <x v="38"/>
          </reference>
          <reference field="5" count="1" selected="0">
            <x v="64"/>
          </reference>
          <reference field="6" count="2">
            <x v="45"/>
            <x v="65"/>
          </reference>
        </references>
      </pivotArea>
    </format>
    <format dxfId="276">
      <pivotArea dataOnly="0" labelOnly="1" outline="0" fieldPosition="0">
        <references count="3">
          <reference field="3" count="1" selected="0">
            <x v="39"/>
          </reference>
          <reference field="5" count="1" selected="0">
            <x v="8"/>
          </reference>
          <reference field="6" count="1">
            <x v="40"/>
          </reference>
        </references>
      </pivotArea>
    </format>
    <format dxfId="275">
      <pivotArea dataOnly="0" labelOnly="1" outline="0" fieldPosition="0">
        <references count="3">
          <reference field="3" count="1" selected="0">
            <x v="40"/>
          </reference>
          <reference field="5" count="1" selected="0">
            <x v="38"/>
          </reference>
          <reference field="6" count="1">
            <x v="106"/>
          </reference>
        </references>
      </pivotArea>
    </format>
    <format dxfId="274">
      <pivotArea dataOnly="0" labelOnly="1" outline="0" fieldPosition="0">
        <references count="3">
          <reference field="3" count="1" selected="0">
            <x v="40"/>
          </reference>
          <reference field="5" count="1" selected="0">
            <x v="52"/>
          </reference>
          <reference field="6" count="2">
            <x v="10"/>
            <x v="92"/>
          </reference>
        </references>
      </pivotArea>
    </format>
    <format dxfId="273">
      <pivotArea dataOnly="0" labelOnly="1" outline="0" fieldPosition="0">
        <references count="3">
          <reference field="3" count="1" selected="0">
            <x v="40"/>
          </reference>
          <reference field="5" count="1" selected="0">
            <x v="75"/>
          </reference>
          <reference field="6" count="1">
            <x v="100"/>
          </reference>
        </references>
      </pivotArea>
    </format>
    <format dxfId="272">
      <pivotArea dataOnly="0" labelOnly="1" outline="0" fieldPosition="0">
        <references count="3">
          <reference field="3" count="1" selected="0">
            <x v="41"/>
          </reference>
          <reference field="5" count="1" selected="0">
            <x v="21"/>
          </reference>
          <reference field="6" count="1">
            <x v="109"/>
          </reference>
        </references>
      </pivotArea>
    </format>
    <format dxfId="271">
      <pivotArea dataOnly="0" labelOnly="1" outline="0" fieldPosition="0">
        <references count="3">
          <reference field="3" count="1" selected="0">
            <x v="41"/>
          </reference>
          <reference field="5" count="1" selected="0">
            <x v="69"/>
          </reference>
          <reference field="6" count="2">
            <x v="31"/>
            <x v="64"/>
          </reference>
        </references>
      </pivotArea>
    </format>
    <format dxfId="270">
      <pivotArea dataOnly="0" labelOnly="1" outline="0" fieldPosition="0">
        <references count="3">
          <reference field="3" count="1" selected="0">
            <x v="42"/>
          </reference>
          <reference field="5" count="1" selected="0">
            <x v="48"/>
          </reference>
          <reference field="6" count="1">
            <x v="25"/>
          </reference>
        </references>
      </pivotArea>
    </format>
    <format dxfId="269">
      <pivotArea dataOnly="0" labelOnly="1" outline="0" fieldPosition="0">
        <references count="3">
          <reference field="3" count="1" selected="0">
            <x v="43"/>
          </reference>
          <reference field="5" count="1" selected="0">
            <x v="51"/>
          </reference>
          <reference field="6" count="2">
            <x v="19"/>
            <x v="75"/>
          </reference>
        </references>
      </pivotArea>
    </format>
    <format dxfId="268">
      <pivotArea dataOnly="0" labelOnly="1" outline="0" fieldPosition="0">
        <references count="3">
          <reference field="3" count="1" selected="0">
            <x v="44"/>
          </reference>
          <reference field="5" count="1" selected="0">
            <x v="46"/>
          </reference>
          <reference field="6" count="2">
            <x v="8"/>
            <x v="85"/>
          </reference>
        </references>
      </pivotArea>
    </format>
    <format dxfId="267">
      <pivotArea dataOnly="0" labelOnly="1" outline="0" fieldPosition="0">
        <references count="3">
          <reference field="3" count="1" selected="0">
            <x v="45"/>
          </reference>
          <reference field="5" count="1" selected="0">
            <x v="42"/>
          </reference>
          <reference field="6" count="1">
            <x v="87"/>
          </reference>
        </references>
      </pivotArea>
    </format>
    <format dxfId="266">
      <pivotArea dataOnly="0" labelOnly="1" outline="0" fieldPosition="0">
        <references count="3">
          <reference field="3" count="1" selected="0">
            <x v="45"/>
          </reference>
          <reference field="5" count="1" selected="0">
            <x v="43"/>
          </reference>
          <reference field="6" count="1">
            <x v="47"/>
          </reference>
        </references>
      </pivotArea>
    </format>
    <format dxfId="265">
      <pivotArea dataOnly="0" labelOnly="1" outline="0" fieldPosition="0">
        <references count="3">
          <reference field="3" count="1" selected="0">
            <x v="46"/>
          </reference>
          <reference field="5" count="1" selected="0">
            <x v="33"/>
          </reference>
          <reference field="6" count="3">
            <x v="7"/>
            <x v="81"/>
            <x v="110"/>
          </reference>
        </references>
      </pivotArea>
    </format>
    <format dxfId="264">
      <pivotArea dataOnly="0" labelOnly="1" outline="0" fieldPosition="0">
        <references count="3">
          <reference field="3" count="1" selected="0">
            <x v="47"/>
          </reference>
          <reference field="5" count="1" selected="0">
            <x v="9"/>
          </reference>
          <reference field="6" count="1">
            <x v="0"/>
          </reference>
        </references>
      </pivotArea>
    </format>
    <format dxfId="263">
      <pivotArea dataOnly="0" labelOnly="1" outline="0" fieldPosition="0">
        <references count="3">
          <reference field="3" count="1" selected="0">
            <x v="47"/>
          </reference>
          <reference field="5" count="1" selected="0">
            <x v="26"/>
          </reference>
          <reference field="6" count="1">
            <x v="96"/>
          </reference>
        </references>
      </pivotArea>
    </format>
    <format dxfId="262">
      <pivotArea dataOnly="0" labelOnly="1" outline="0" fieldPosition="0">
        <references count="3">
          <reference field="3" count="1" selected="0">
            <x v="48"/>
          </reference>
          <reference field="5" count="1" selected="0">
            <x v="3"/>
          </reference>
          <reference field="6" count="1">
            <x v="9"/>
          </reference>
        </references>
      </pivotArea>
    </format>
    <format dxfId="261">
      <pivotArea dataOnly="0" labelOnly="1" outline="0" fieldPosition="0">
        <references count="3">
          <reference field="3" count="1" selected="0">
            <x v="48"/>
          </reference>
          <reference field="5" count="1" selected="0">
            <x v="41"/>
          </reference>
          <reference field="6" count="2">
            <x v="11"/>
            <x v="59"/>
          </reference>
        </references>
      </pivotArea>
    </format>
    <format dxfId="260">
      <pivotArea type="topRight" dataOnly="0" labelOnly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">
  <rv s="0">
    <v>0</v>
    <v>8</v>
    <v>1</v>
    <v>5</v>
  </rv>
  <rv s="1">
    <v>8</v>
    <v>1</v>
  </rv>
  <rv s="0">
    <v>0</v>
    <v>8</v>
    <v>2</v>
    <v>5</v>
  </rv>
  <rv s="0">
    <v>0</v>
    <v>8</v>
    <v>11</v>
    <v>5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Name." xr10:uid="{77793EE0-F596-443B-AEC9-C2688B962763}" sourceName="Name.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Full_Name1" xr10:uid="{E8026279-98DA-45BF-AF72-EF24CC160CDD}" sourceName="Full Name1">
  <extLst>
    <x:ext xmlns:x15="http://schemas.microsoft.com/office/spreadsheetml/2010/11/main" uri="{2F2917AC-EB37-4324-AD4E-5DD8C200BD13}">
      <x15:tableSlicerCache tableId="4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Name." xr10:uid="{D69BF2C3-E330-42A8-9BA2-BD344609A1F4}" cache="Slicer_Name." caption="Name." startItem="25" rowHeight="495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ull Name1" xr10:uid="{33A15CE3-31B5-4FEC-B6A1-1A850D131F6E}" cache="Slicer_Full_Name1" caption="Full Name1" rowHeight="495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883281-CE3D-45FB-B4D7-6D33585A11A4}" name="表格1" displayName="表格1" ref="A7:AL89" totalsRowShown="0" headerRowDxfId="452" dataDxfId="450" headerRowBorderDxfId="451" tableBorderDxfId="449" headerRowCellStyle="常规 2 2 2 3 2 2">
  <autoFilter ref="A7:AL89" xr:uid="{EF883281-CE3D-45FB-B4D7-6D33585A11A4}">
    <filterColumn colId="3">
      <filters blank="1">
        <filter val="Tam Wing Lam"/>
        <filter val="Tan Xingfang"/>
        <filter val="Tsang Tak Kin"/>
        <filter val="Wong Tak Chung"/>
      </filters>
    </filterColumn>
  </autoFilter>
  <sortState xmlns:xlrd2="http://schemas.microsoft.com/office/spreadsheetml/2017/richdata2" ref="A8:AL89">
    <sortCondition ref="A7:A89"/>
  </sortState>
  <tableColumns count="38">
    <tableColumn id="1" xr3:uid="{D3402AA5-349B-4CA4-9419-B8BB6B99262F}" name="No." dataDxfId="448" dataCellStyle="常规 2 2 2 3 2 2"/>
    <tableColumn id="2" xr3:uid="{0B8939E8-A388-466F-9448-2DFAFE092775}" name="欄1" dataDxfId="447" dataCellStyle="常规 2 2 2 3 2 2">
      <calculatedColumnFormula>IF(表格1[[#This Row],[Full Name.]]=工作表1!F2,"OK")</calculatedColumnFormula>
    </tableColumn>
    <tableColumn id="3" xr3:uid="{6BE69E08-8937-48AD-87A7-0F56674C554B}" name="Name." dataDxfId="446" dataCellStyle="常规 2 2 2 3 2 2"/>
    <tableColumn id="4" xr3:uid="{95363D5E-BC3C-4539-B84A-675E7E70AB3F}" name="Full Name." dataDxfId="445" dataCellStyle="常规 2 2 2 3 2 2"/>
    <tableColumn id="5" xr3:uid="{84720BA2-C3D8-455F-88C5-D5528F47FB69}" name="CQ No." dataDxfId="444" dataCellStyle="常规 2 2 2 3 2 2"/>
    <tableColumn id="6" xr3:uid="{54A32B9B-8136-4048-AB56-C6E2281BA271}" name="Shop" dataDxfId="443" dataCellStyle="常规 2 2 2 3 2 2"/>
    <tableColumn id="7" xr3:uid="{5619A12F-EBED-4FE7-B8D8-F1951B5A5562}" name="Period" dataDxfId="442" dataCellStyle="常规 2 2 2 3 2 2"/>
    <tableColumn id="8" xr3:uid="{54D97A6D-BCC0-4BA3-9640-54D020618416}" name="Days" dataDxfId="441" dataCellStyle="千分位"/>
    <tableColumn id="9" xr3:uid="{DCC0BE37-01C0-42E7-A8A1-378244BC39F4}" name="Reg.Hrs" dataDxfId="440" dataCellStyle="千分位"/>
    <tableColumn id="10" xr3:uid="{A8F6DDC8-5803-4D5B-A7ED-D0DA9C547FBC}" name="$" dataDxfId="439" dataCellStyle="千分位"/>
    <tableColumn id="11" xr3:uid="{7F120971-35C6-4AA5-A25B-CD89F728B364}" name="Basic" dataDxfId="438" dataCellStyle="常规 2 2 2 3 2 2">
      <calculatedColumnFormula>表格1[[#This Row],[Reg.Hrs]]*表格1[[#This Row],[$]]</calculatedColumnFormula>
    </tableColumn>
    <tableColumn id="12" xr3:uid="{9ECC51F4-62BA-4677-A25B-6117CEA7E403}" name="Sales" dataDxfId="437" dataCellStyle="常规 2 2 2 3 2 2"/>
    <tableColumn id="13" xr3:uid="{C4ED7273-C448-42FF-96AB-D0B347A6B05D}" name="QTY" dataDxfId="436" dataCellStyle="常规 2 2 2 3 2 2"/>
    <tableColumn id="14" xr3:uid="{CF2AC0DC-317E-4C1E-B67D-4FA7BB5635C0}" name="Commission (1% OR 2%)" dataDxfId="435" dataCellStyle="常规 2 2 2 3 2 2">
      <calculatedColumnFormula>IFERROR((IF(表格1[[#This Row],[Name.]]=工作表1!$E2,工作表1!$K2," ")*表格1[[#This Row],[Sales]])," ")</calculatedColumnFormula>
    </tableColumn>
    <tableColumn id="16" xr3:uid="{70808664-3564-4877-A340-6B07B4098C88}" name="Allowance" dataDxfId="434" dataCellStyle="常规 2 2 2 3 2 2"/>
    <tableColumn id="17" xr3:uid="{D8001AE4-2D42-442B-8D56-1907AA9B0963}" name="日本飯煲 RC-DS10K/18K" dataDxfId="433" dataCellStyle="常规 2 2 2 3 2 2"/>
    <tableColumn id="30" xr3:uid="{EBB0BC81-E21D-4DD0-8F6E-FD32C52776B2}" name="酵活炊電飯煲特佣 RC-18AMXH(W)" dataDxfId="432" dataCellStyle="常规 2 2 2 3 2 2"/>
    <tableColumn id="18" xr3:uid="{EEC01BC6-F0A7-4EFC-A012-B5133BE62C4D}" name="嵌入式微波氣炸蒸焗爐特佣 EB-T500APW" dataDxfId="431"/>
    <tableColumn id="19" xr3:uid="{1B50C50E-AB4B-4430-AEB5-6ABA2983D05A}" name="蒸氣烤焗水波爐特佣 ER-VD7000HK(XK)" dataDxfId="430" dataCellStyle="常规 2 2 2 3 2 2"/>
    <tableColumn id="20" xr3:uid="{ADD5B030-4BB5-46E6-929E-2CE98F250434}" name="TWDT21BU95 " dataDxfId="429" dataCellStyle="常规 2 2 2 3 2 2"/>
    <tableColumn id="29" xr3:uid="{65D0C31D-1542-46E5-B116-C351760D5FF0}" name="日式洗衣機一特佣 AW-Q800APH(WW)" dataDxfId="428" dataCellStyle="常规 2 2 2 3 2 2"/>
    <tableColumn id="22" xr3:uid="{EC6B4088-A46B-47DD-A0E0-D53C0C7D4EAD}" name="日式洗衣機二特佣 AW-Q801APH(WW)" dataDxfId="427" dataCellStyle="常规 2 2 2 3 2 2"/>
    <tableColumn id="15" xr3:uid="{1F8BC68D-03D8-40B7-8E9B-4FA7DEAE5D5E}" name="三門雪櫃特佣 GR-RM469WE-PGA(B3)" dataDxfId="426" dataCellStyle="常规 2 2 2 3 2 2"/>
    <tableColumn id="31" xr3:uid="{C6C3AF36-A9E7-45FE-9089-A9144F90D608}" name="雙門雪櫃一特佣 GR-RB449WE-PMA(57)" dataDxfId="425"/>
    <tableColumn id="32" xr3:uid="{822CC424-1513-4FCD-840E-411AE9ADE311}" name="雙門雪櫃一特佣 GR-RB410WE-PMA(06)" dataDxfId="424"/>
    <tableColumn id="21" xr3:uid="{9D2591ED-E0F1-4C01-9AF1-36ED167ACECC}" name="十字門雪櫃 GR-RF698WI" dataDxfId="423" dataCellStyle="常规 2 2 2 3 2 2"/>
    <tableColumn id="35" xr3:uid="{2D25D859-0C3D-4D54-B859-249EAAE2C2F1}" name="水機 TWP-W2265THK(W)"/>
    <tableColumn id="38" xr3:uid="{97F2F33C-6AE8-4FAA-9EEA-144439C61779}" name="抽濕機特佣"/>
    <tableColumn id="37" xr3:uid="{EBEBC861-16E5-49B1-953A-72B7B36C6A27}" name="(Fortress ONLY)TW-T25BZU115MWH(MG) "/>
    <tableColumn id="36" xr3:uid="{3FD96D7E-A40E-447C-BB82-1FA03C3687FD}" name="開門紅(三月)"/>
    <tableColumn id="34" xr3:uid="{792472E0-9C00-4781-AAC5-CA16935635B7}" name="開門紅(第一季)"/>
    <tableColumn id="33" xr3:uid="{14CEF839-2208-45F0-A53B-E4982FE5E547}" name="Expenses/支出"/>
    <tableColumn id="23" xr3:uid="{BB03FAE8-0BF0-4956-A5E6-4A0201E3CF37}" name="Total" dataDxfId="422" dataCellStyle="常规 2 2 2 3 2 2">
      <calculatedColumnFormula>SUM(表格1[[#This Row],[Commission (1% OR 2%)]:[Expenses/支出]])+表格1[[#This Row],[Basic]]</calculatedColumnFormula>
    </tableColumn>
    <tableColumn id="24" xr3:uid="{2BF26F46-45EB-4BFA-A5A7-2EF6CF678C41}" name="Input" dataDxfId="421" dataCellStyle="常规 2 2 2 3 2 2">
      <calculatedColumnFormula>ROUND(AG8,0)</calculatedColumnFormula>
    </tableColumn>
    <tableColumn id="25" xr3:uid="{158DFA20-E69D-4118-8BCF-5E45C614A3DC}" name="欄2" dataDxfId="420"/>
    <tableColumn id="26" xr3:uid="{5F13C2A8-19CD-4424-89CF-A9106CDCBBDC}" name="Double check" dataDxfId="419"/>
    <tableColumn id="27" xr3:uid="{AEB26040-CADE-4497-93A1-24A63F527148}" name="Double check2" dataDxfId="418">
      <calculatedColumnFormula>表格1[[#This Row],[Input]]-表格1[[#This Row],[Double check]]</calculatedColumnFormula>
    </tableColumn>
    <tableColumn id="28" xr3:uid="{7F121261-EFE7-49C0-855E-3FCFD64B8F10}" name="欄5" dataDxfId="417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930481-87FA-4EC8-9F20-EA46AA5950B8}" name="namelist" displayName="namelist" ref="A1:B55" totalsRowShown="0">
  <autoFilter ref="A1:B55" xr:uid="{CF930481-87FA-4EC8-9F20-EA46AA5950B8}"/>
  <tableColumns count="2">
    <tableColumn id="1" xr3:uid="{882669E1-1578-43B7-90FC-DEFC052B6145}" name="Name"/>
    <tableColumn id="2" xr3:uid="{32972083-ADFB-4CD2-993A-6E774580AEEE}" name="Full Name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E8C0B5-479C-4F78-B33C-5FD38F56DD3D}" name="表格4" displayName="表格4" ref="E1:N80" totalsRowShown="0">
  <autoFilter ref="E1:N80" xr:uid="{60E8C0B5-479C-4F78-B33C-5FD38F56DD3D}"/>
  <sortState xmlns:xlrd2="http://schemas.microsoft.com/office/spreadsheetml/2017/richdata2" ref="E2:M72">
    <sortCondition ref="H1:H72"/>
  </sortState>
  <tableColumns count="10">
    <tableColumn id="1" xr3:uid="{E2B87E5D-190C-4BFB-93AB-D9BE915352FA}" name="Name1" dataDxfId="416"/>
    <tableColumn id="2" xr3:uid="{46C8DBB0-FA06-462F-8006-32EFF1ECD3C4}" name="Full Name1" dataDxfId="415"/>
    <tableColumn id="6" xr3:uid="{F34CB589-E573-4301-8E02-6E358D675838}" name="Shop" dataDxfId="414"/>
    <tableColumn id="3" xr3:uid="{9F09CD50-517A-42C5-910F-796995DD0FDA}" name="No" dataDxfId="413"/>
    <tableColumn id="5" xr3:uid="{BF5EAD18-A219-437D-BCA0-35DC121314E7}" name="$$$" dataDxfId="412"/>
    <tableColumn id="7" xr3:uid="{E1AF5965-395C-4549-B7D1-85532F58D7B2}" name="Allowance" dataDxfId="411"/>
    <tableColumn id="10" xr3:uid="{B7B428D9-4391-4ABE-BAAB-EEF501DE7884}" name="%" dataDxfId="410"/>
    <tableColumn id="4" xr3:uid="{794FD784-54BC-4FA3-AF94-F2BAE5880521}" name="&quot;Total&quot; No." dataDxfId="409">
      <calculatedColumnFormula array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calculatedColumnFormula>
    </tableColumn>
    <tableColumn id="8" xr3:uid="{29E56A7E-65E2-4FDE-98F4-7EE6BD520BEB}" name="欄2" dataDxfId="408">
      <calculatedColumnFormula>IF(表格4[[#This Row],["Total" No.]]=表格4[[#This Row],[No]],表格4[[#This Row],[No]],"F")</calculatedColumnFormula>
    </tableColumn>
    <tableColumn id="9" xr3:uid="{EDAF029A-2297-48A5-B270-09674B7395E2}" name="欄3" dataDxfId="407">
      <calculatedColumnFormula>COUNTIF(表格1[No.],表格4[[#This Row],["Total" No.]])</calculatedColumnFormula>
    </tableColumn>
  </tableColumns>
  <tableStyleInfo name="TableStyleMedium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2D693D0-3862-45C2-B51C-4FAE47006957}" name="表格3" displayName="表格3" ref="A2:J186" totalsRowShown="0" headerRowDxfId="259" headerRowBorderDxfId="258" tableBorderDxfId="257" totalsRowBorderDxfId="256" headerRowCellStyle="常规 2 2 2 3 2 2">
  <autoFilter ref="A2:J186" xr:uid="{42D693D0-3862-45C2-B51C-4FAE47006957}"/>
  <tableColumns count="10">
    <tableColumn id="1" xr3:uid="{E74DEE35-2B49-4D99-B470-103E00525773}" name="No." dataDxfId="255" dataCellStyle="常规 2 2 2 3 2 2"/>
    <tableColumn id="2" xr3:uid="{15CA7420-C948-4443-B3F5-3AF883EDDE46}" name="欄1" dataDxfId="254" dataCellStyle="常规 2 2 2 3 2 2"/>
    <tableColumn id="3" xr3:uid="{929DAC9D-3B80-4A90-9D50-C520A26D386D}" name="Name." dataDxfId="253" dataCellStyle="常规 2 2 2 3 2 2"/>
    <tableColumn id="4" xr3:uid="{14819C55-A63C-4192-BA28-D7681D3376E5}" name="Full Name." dataDxfId="252" dataCellStyle="常规 2 2 2 3 2 2"/>
    <tableColumn id="5" xr3:uid="{B5F4FE97-8999-4FB4-A8F9-B4716174F5E5}" name="CQ No." dataDxfId="251" dataCellStyle="常规 2 2 2 3 2 2"/>
    <tableColumn id="6" xr3:uid="{47F8AA06-C22C-42E9-9790-BDBFA667E20D}" name="Shop" dataDxfId="250"/>
    <tableColumn id="7" xr3:uid="{2618014F-DC69-4EF9-80B9-8BDE3CC6FFFD}" name="Period" dataDxfId="249" dataCellStyle="常规 2 2 2 3 2 2"/>
    <tableColumn id="8" xr3:uid="{05A4A108-BF86-470E-ABFB-5863C0C9911A}" name="Days" dataDxfId="248" dataCellStyle="千分位"/>
    <tableColumn id="9" xr3:uid="{A0C6386E-DEAA-4F4C-BD5C-3B412AB50043}" name="Reg.Hrs" dataDxfId="247" dataCellStyle="千分位"/>
    <tableColumn id="10" xr3:uid="{D465F92F-5935-4223-A5DC-E6461F38E119}" name="$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9" dT="2024-05-09T08:48:08.42" personId="{54021CFC-0A3B-40F7-BF67-04CBB3E198B1}" id="{4683D917-09CD-4EB8-9476-C8AE5F1964C8}">
    <text xml:space="preserve">25/4 人工不上單
</text>
  </threadedComment>
  <threadedComment ref="O12" dT="2023-06-15T09:03:06.14" personId="{54021CFC-0A3B-40F7-BF67-04CBB3E198B1}" id="{D6B4C25E-FFB5-475F-BFEB-1ADED83D71F1}">
    <text xml:space="preserve">Whompoa Aeon +80/D
</text>
  </threadedComment>
  <threadedComment ref="O14" dT="2023-06-15T09:03:06.14" personId="{54021CFC-0A3B-40F7-BF67-04CBB3E198B1}" id="{3134054A-8B98-4E60-99FC-936BAD2169E4}">
    <text xml:space="preserve">Whompoa Aeon +80/D
</text>
  </threadedComment>
  <threadedComment ref="O37" dT="2023-06-15T09:03:06.14" personId="{54021CFC-0A3B-40F7-BF67-04CBB3E198B1}" id="{5E68E17D-0957-4BAA-B95E-86434C807A91}">
    <text xml:space="preserve">Whompoa Aeon +80/D
</text>
  </threadedComment>
  <threadedComment ref="O45" dT="2025-08-12T03:52:09.47" personId="{ED939364-FCE5-4D35-9083-D9E136512DF6}" id="{6D91C830-B61D-4E91-8022-B9236526A464}">
    <text>扣返美的6月份出多$180</text>
  </threadedComment>
  <threadedComment ref="O76" dT="2023-06-15T09:03:06.14" personId="{54021CFC-0A3B-40F7-BF67-04CBB3E198B1}" id="{8741D615-F1AC-400E-8AD8-85BE72BAA722}">
    <text xml:space="preserve">Whompoa Aeon +80/D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microsoft.com/office/2017/10/relationships/threadedComment" Target="../threadedComments/threadedComment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1.xml"/><Relationship Id="rId5" Type="http://schemas.microsoft.com/office/2007/relationships/slicer" Target="../slicers/slicer1.xml"/><Relationship Id="rId4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4.xml"/><Relationship Id="rId4" Type="http://schemas.microsoft.com/office/2007/relationships/slicer" Target="../slicers/slicer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L380"/>
  <sheetViews>
    <sheetView workbookViewId="0">
      <selection sqref="A1:I1"/>
    </sheetView>
  </sheetViews>
  <sheetFormatPr defaultColWidth="9" defaultRowHeight="16.5"/>
  <cols>
    <col min="1" max="1" width="1.625" customWidth="1"/>
    <col min="2" max="2" width="17.125" customWidth="1"/>
    <col min="3" max="3" width="16.375" customWidth="1"/>
    <col min="4" max="4" width="11.5" customWidth="1"/>
    <col min="5" max="5" width="17.125" customWidth="1"/>
    <col min="6" max="6" width="11.75" customWidth="1"/>
    <col min="7" max="7" width="15.75" customWidth="1"/>
    <col min="8" max="8" width="1.875" customWidth="1"/>
    <col min="9" max="9" width="1.625" customWidth="1"/>
    <col min="10" max="10" width="12.25" bestFit="1" customWidth="1"/>
  </cols>
  <sheetData>
    <row r="1" spans="1:9">
      <c r="A1" s="266"/>
      <c r="B1" s="266"/>
      <c r="C1" s="266"/>
      <c r="D1" s="266"/>
      <c r="E1" s="266"/>
      <c r="F1" s="266"/>
      <c r="G1" s="266"/>
      <c r="H1" s="266"/>
      <c r="I1" s="266"/>
    </row>
    <row r="2" spans="1:9" ht="27.75">
      <c r="A2" s="267" t="s">
        <v>51</v>
      </c>
      <c r="B2" s="267"/>
      <c r="C2" s="267"/>
      <c r="D2" s="267"/>
      <c r="E2" s="267"/>
      <c r="F2" s="267"/>
      <c r="G2" s="267"/>
      <c r="H2" s="267"/>
      <c r="I2" s="267"/>
    </row>
    <row r="3" spans="1:9" ht="27.75">
      <c r="A3" s="267" t="s">
        <v>52</v>
      </c>
      <c r="B3" s="267"/>
      <c r="C3" s="267"/>
      <c r="D3" s="267"/>
      <c r="E3" s="267"/>
      <c r="F3" s="267"/>
      <c r="G3" s="267"/>
      <c r="H3" s="267"/>
      <c r="I3" s="267"/>
    </row>
    <row r="4" spans="1:9">
      <c r="A4" s="268" t="s">
        <v>53</v>
      </c>
      <c r="B4" s="268"/>
      <c r="C4" s="268"/>
      <c r="D4" s="268"/>
      <c r="E4" s="268"/>
      <c r="F4" s="268"/>
      <c r="G4" s="268"/>
      <c r="H4" s="268"/>
      <c r="I4" s="268"/>
    </row>
    <row r="5" spans="1:9">
      <c r="A5" s="269"/>
      <c r="B5" s="269"/>
      <c r="C5" s="269"/>
      <c r="D5" s="269"/>
      <c r="E5" s="269"/>
      <c r="F5" s="269"/>
      <c r="G5" s="269"/>
      <c r="H5" s="269"/>
      <c r="I5" s="269"/>
    </row>
    <row r="6" spans="1:9" ht="21" thickBot="1">
      <c r="A6" s="270"/>
      <c r="B6" s="271" t="s">
        <v>88</v>
      </c>
      <c r="C6" s="271"/>
      <c r="D6" s="271"/>
      <c r="E6" s="271"/>
      <c r="F6" s="271"/>
      <c r="G6" s="271"/>
      <c r="H6" s="271"/>
      <c r="I6" s="272"/>
    </row>
    <row r="7" spans="1:9" ht="17.25" customHeight="1" thickTop="1">
      <c r="A7" s="270"/>
      <c r="B7" s="273"/>
      <c r="C7" s="273"/>
      <c r="D7" s="273"/>
      <c r="E7" s="273"/>
      <c r="F7" s="273"/>
      <c r="G7" s="273"/>
      <c r="H7" s="5"/>
      <c r="I7" s="272"/>
    </row>
    <row r="8" spans="1:9" ht="16.5" customHeight="1">
      <c r="A8" s="270"/>
      <c r="B8" s="51" t="s">
        <v>20</v>
      </c>
      <c r="C8" s="6" t="str">
        <f>Total!$D$48</f>
        <v>Chan So Mui</v>
      </c>
      <c r="D8" s="6" t="str" cm="1">
        <f t="array" ref="D8">INDEX(Total!$C$8:$C$992,MATCH($C8&amp;$G8,Total!$D$8:$D$992&amp;Total!$E$8:$E$992,0))</f>
        <v>Mui Chan_2</v>
      </c>
      <c r="E8" s="52"/>
      <c r="F8" s="53" t="s">
        <v>21</v>
      </c>
      <c r="G8" s="99" t="str">
        <f>Total!$E$48</f>
        <v>Autopay</v>
      </c>
      <c r="H8" s="6"/>
      <c r="I8" s="272"/>
    </row>
    <row r="9" spans="1:9" ht="17.25" customHeight="1" thickBot="1">
      <c r="A9" s="270"/>
      <c r="B9" s="54"/>
      <c r="C9" s="54"/>
      <c r="D9" s="54"/>
      <c r="E9" s="7"/>
      <c r="F9" s="8"/>
      <c r="G9" s="9"/>
      <c r="H9" s="9"/>
      <c r="I9" s="272"/>
    </row>
    <row r="10" spans="1:9" ht="17.25" customHeight="1" thickBot="1">
      <c r="A10" s="270"/>
      <c r="B10" s="279" t="s">
        <v>22</v>
      </c>
      <c r="C10" s="280"/>
      <c r="D10" s="55"/>
      <c r="E10" s="56" t="s">
        <v>23</v>
      </c>
      <c r="F10" s="57"/>
      <c r="G10" s="9"/>
      <c r="H10" s="9"/>
      <c r="I10" s="272"/>
    </row>
    <row r="11" spans="1:9" ht="17.25" customHeight="1" thickTop="1">
      <c r="A11" s="270"/>
      <c r="B11" s="58" t="s">
        <v>24</v>
      </c>
      <c r="C11" s="10"/>
      <c r="D11" s="59"/>
      <c r="E11" s="60" t="s">
        <v>25</v>
      </c>
      <c r="F11" s="11"/>
      <c r="G11" s="9"/>
      <c r="H11" s="9"/>
      <c r="I11" s="272"/>
    </row>
    <row r="12" spans="1:9" ht="16.5" customHeight="1">
      <c r="A12" s="270"/>
      <c r="B12" s="61" t="s">
        <v>26</v>
      </c>
      <c r="C12" s="12"/>
      <c r="D12" s="13"/>
      <c r="E12" s="14" t="str" cm="1">
        <f t="array" ref="E12">INDEX(Total!$F$8:$F$891,MATCH($C8&amp;$G8,Total!$D$8:$D$891&amp;Total!$E$8:$E$891,0))</f>
        <v>Diamond Hill_2 Broadway</v>
      </c>
      <c r="F12" s="15"/>
      <c r="G12" s="9"/>
      <c r="H12" s="9"/>
      <c r="I12" s="272"/>
    </row>
    <row r="13" spans="1:9" ht="24" customHeight="1">
      <c r="A13" s="270"/>
      <c r="B13" s="61" t="s">
        <v>27</v>
      </c>
      <c r="C13" s="16"/>
      <c r="D13" s="13"/>
      <c r="E13" s="275" t="str" cm="1">
        <f t="array" ref="E13">INDEX(Total!$G$8:$G$891,MATCH($C8&amp;$G8,Total!$D$8:$D$891&amp;Total!$E$8:$E$891,0))</f>
        <v>Mar/21-22</v>
      </c>
      <c r="F13" s="276"/>
      <c r="G13" s="9"/>
      <c r="H13" s="9"/>
      <c r="I13" s="272"/>
    </row>
    <row r="14" spans="1:9" ht="16.5" customHeight="1">
      <c r="A14" s="270"/>
      <c r="B14" s="61" t="s">
        <v>28</v>
      </c>
      <c r="C14" s="16"/>
      <c r="D14" s="13"/>
      <c r="E14" s="62" cm="1">
        <f t="array" ref="E14">INDEX(Total!$H$8:$H$891,MATCH($C8&amp;$G8,Total!$D$8:$D$891&amp;Total!$E$8:$E$891,0))</f>
        <v>2</v>
      </c>
      <c r="F14" s="15"/>
      <c r="G14" s="8"/>
      <c r="H14" s="8"/>
      <c r="I14" s="272"/>
    </row>
    <row r="15" spans="1:9" ht="16.5" customHeight="1">
      <c r="A15" s="270"/>
      <c r="B15" s="61" t="s">
        <v>29</v>
      </c>
      <c r="C15" s="12"/>
      <c r="D15" s="17"/>
      <c r="E15" s="62" cm="1">
        <f t="array" ref="E15">INDEX(Total!$I$8:$I$891,MATCH($C8&amp;$G8,Total!$D$8:$D$891&amp;Total!$E$8:$E$891,0))</f>
        <v>16</v>
      </c>
      <c r="F15" s="18"/>
      <c r="G15" s="8"/>
      <c r="H15" s="8"/>
      <c r="I15" s="272"/>
    </row>
    <row r="16" spans="1:9" ht="16.5" customHeight="1">
      <c r="A16" s="270"/>
      <c r="B16" s="61" t="s">
        <v>30</v>
      </c>
      <c r="C16" s="12"/>
      <c r="D16" s="17"/>
      <c r="E16" s="62" cm="1">
        <f t="array" ref="E16">INDEX(Total!$J$8:$J$891,MATCH($C8&amp;$G8,Total!$D$8:$D$891&amp;Total!$E$8:$E$891,0))</f>
        <v>60</v>
      </c>
      <c r="F16" s="18"/>
      <c r="G16" s="8"/>
      <c r="H16" s="8"/>
      <c r="I16" s="272"/>
    </row>
    <row r="17" spans="1:10" ht="17.25" customHeight="1" thickBot="1">
      <c r="A17" s="270"/>
      <c r="B17" s="63" t="s">
        <v>31</v>
      </c>
      <c r="C17" s="19"/>
      <c r="D17" s="20"/>
      <c r="E17" s="41" cm="1">
        <f t="array" ref="E17">INDEX(Total!$L$8:$L$891,MATCH($C8&amp;$G8,Total!$D$8:$D$891&amp;Total!$E$8:$E$891,0))</f>
        <v>17304</v>
      </c>
      <c r="F17" s="21"/>
      <c r="G17" s="22"/>
      <c r="H17" s="22"/>
      <c r="I17" s="272"/>
    </row>
    <row r="18" spans="1:10" ht="17.25" customHeight="1" thickBot="1">
      <c r="A18" s="270"/>
      <c r="B18" s="23"/>
      <c r="C18" s="23"/>
      <c r="D18" s="23"/>
      <c r="E18" s="23"/>
      <c r="F18" s="23"/>
      <c r="G18" s="23"/>
      <c r="H18" s="23"/>
      <c r="I18" s="272"/>
    </row>
    <row r="19" spans="1:10" ht="17.25" customHeight="1" thickBot="1">
      <c r="A19" s="270"/>
      <c r="B19" s="64"/>
      <c r="C19" s="65" t="s">
        <v>32</v>
      </c>
      <c r="D19" s="66"/>
      <c r="E19" s="66"/>
      <c r="F19" s="283" t="s">
        <v>33</v>
      </c>
      <c r="G19" s="283"/>
      <c r="H19" s="24"/>
      <c r="I19" s="272"/>
    </row>
    <row r="20" spans="1:10" ht="17.25" customHeight="1" thickTop="1">
      <c r="A20" s="270"/>
      <c r="B20" s="67"/>
      <c r="C20" s="58" t="s">
        <v>34</v>
      </c>
      <c r="D20" s="68"/>
      <c r="E20" s="68"/>
      <c r="F20" s="69"/>
      <c r="G20" s="70" cm="1">
        <f t="array" ref="G20">INDEX(Total!$K$8:$K$891,MATCH($C8&amp;$G8,Total!$D$8:$D$891&amp;Total!$E$8:$E$891,0))</f>
        <v>960</v>
      </c>
      <c r="H20" s="25"/>
      <c r="I20" s="272"/>
    </row>
    <row r="21" spans="1:10" ht="16.5" customHeight="1">
      <c r="A21" s="270"/>
      <c r="B21" s="67"/>
      <c r="C21" s="61" t="str">
        <f>表格1[[#Headers],[三門雪櫃特佣 GR-RM469WE-PGA(B3)]]</f>
        <v>三門雪櫃特佣 GR-RM469WE-PGA(B3)</v>
      </c>
      <c r="D21" s="26"/>
      <c r="E21" s="26"/>
      <c r="F21" s="27"/>
      <c r="G21" s="71" cm="1">
        <f t="array" ref="G21">INDEX(Total!$AH$8:$AH$891,MATCH($C8&amp;$G8,Total!$D$8:$D$891&amp;Total!$E$8:$E$891,0))</f>
        <v>1336</v>
      </c>
      <c r="H21" s="28"/>
      <c r="I21" s="272"/>
    </row>
    <row r="22" spans="1:10" ht="16.5" customHeight="1">
      <c r="A22" s="270"/>
      <c r="B22" s="67"/>
      <c r="C22" s="61" t="s">
        <v>36</v>
      </c>
      <c r="D22" s="29"/>
      <c r="E22" s="29"/>
      <c r="F22" s="27"/>
      <c r="G22" s="71" cm="1">
        <f t="array" ref="G22">INDEX(Total!$N$8:$N$891,MATCH($C8&amp;$G8,Total!$D$8:$D$891&amp;Total!$E$8:$E$891,0))</f>
        <v>346.08</v>
      </c>
      <c r="H22" s="28"/>
      <c r="I22" s="272"/>
    </row>
    <row r="23" spans="1:10" ht="16.5" customHeight="1">
      <c r="A23" s="270"/>
      <c r="B23" s="67"/>
      <c r="C23" s="61" t="s">
        <v>37</v>
      </c>
      <c r="D23" s="30"/>
      <c r="E23" s="30"/>
      <c r="F23" s="27"/>
      <c r="G23" s="71" cm="1">
        <f t="array" ref="G23">INDEX(Total!$P$8:$P$891,MATCH($C8&amp;$G8,Total!$D$8:$D$891&amp;Total!$E$8:$E$891,0))</f>
        <v>0</v>
      </c>
      <c r="H23" s="28"/>
      <c r="I23" s="272"/>
    </row>
    <row r="24" spans="1:10" ht="16.5" customHeight="1">
      <c r="A24" s="270"/>
      <c r="B24" s="67"/>
      <c r="C24" s="61" t="str">
        <f>表格1[[#Headers],[嵌入式微波氣炸蒸焗爐特佣 EB-T500APW]]</f>
        <v>嵌入式微波氣炸蒸焗爐特佣 EB-T500APW</v>
      </c>
      <c r="D24" s="30"/>
      <c r="E24" s="30"/>
      <c r="F24" s="27"/>
      <c r="G24" s="71" cm="1">
        <f t="array" ref="G24">INDEX(Total!$S$8:$S$891,MATCH($C8&amp;$G8,Total!$D$8:$D$891&amp;Total!$E$8:$E$891,0))</f>
        <v>0</v>
      </c>
      <c r="H24" s="28"/>
      <c r="I24" s="272"/>
    </row>
    <row r="25" spans="1:10" ht="16.5" customHeight="1">
      <c r="A25" s="270"/>
      <c r="B25" s="67"/>
      <c r="C25" s="61" t="str">
        <f>表格1[[#Headers],[蒸氣烤焗水波爐特佣 ER-VD7000HK(XK)]]</f>
        <v>蒸氣烤焗水波爐特佣 ER-VD7000HK(XK)</v>
      </c>
      <c r="D25" s="26" t="s">
        <v>4</v>
      </c>
      <c r="E25" s="26"/>
      <c r="F25" s="27"/>
      <c r="G25" s="71" cm="1">
        <f t="array" ref="G25">INDEX(Total!$T$8:$T$891,MATCH($C8&amp;$G8,Total!$D$8:$D$891&amp;Total!$E$8:$E$891,0))</f>
        <v>0</v>
      </c>
      <c r="H25" s="28"/>
      <c r="I25" s="272"/>
    </row>
    <row r="26" spans="1:10" ht="16.5" customHeight="1">
      <c r="A26" s="270"/>
      <c r="B26" s="67"/>
      <c r="C26" s="61" t="str">
        <f>表格1[[#Headers],[日本飯煲 RC-DS10K/18K]]</f>
        <v>日本飯煲 RC-DS10K/18K</v>
      </c>
      <c r="D26" s="30"/>
      <c r="E26" s="30"/>
      <c r="F26" s="27"/>
      <c r="G26" s="71" cm="1">
        <f t="array" ref="G26">INDEX(Total!$Q$8:$Q$891,MATCH($C8&amp;$G8,Total!$D$8:$D$891&amp;Total!$E$8:$E$891,0))</f>
        <v>0</v>
      </c>
      <c r="H26" s="28"/>
      <c r="I26" s="272"/>
    </row>
    <row r="27" spans="1:10" ht="16.5" customHeight="1">
      <c r="A27" s="270"/>
      <c r="B27" s="67"/>
      <c r="C27" s="61" t="str">
        <f>表格1[[#Headers],[TWDT21BU95 ]]</f>
        <v xml:space="preserve">TWDT21BU95 </v>
      </c>
      <c r="D27" s="30"/>
      <c r="E27" s="30"/>
      <c r="F27" s="27"/>
      <c r="G27" s="71" cm="1">
        <f t="array" ref="G27">INDEX(Total!$U$8:$U$891,MATCH($C8&amp;$G8,Total!$D$8:$D$891&amp;Total!$E$8:$E$891,0))</f>
        <v>0</v>
      </c>
      <c r="H27" s="28"/>
      <c r="I27" s="272"/>
    </row>
    <row r="28" spans="1:10" ht="16.5" customHeight="1">
      <c r="A28" s="270"/>
      <c r="B28" s="67"/>
      <c r="C28" s="103" t="str">
        <f>表格1[[#Headers],[日式洗衣機二特佣 AW-Q801APH(WW)]]</f>
        <v>日式洗衣機二特佣 AW-Q801APH(WW)</v>
      </c>
      <c r="D28" s="30"/>
      <c r="E28" s="30"/>
      <c r="F28" s="27"/>
      <c r="G28" s="101" cm="1">
        <f t="array" ref="G28">INDEX(Total!$Z$8:$Z$1002,MATCH($C8&amp;$G8,Total!$D$8:$D$1002&amp;Total!$E$8:$E$1002,0))</f>
        <v>0</v>
      </c>
      <c r="H28" s="102"/>
      <c r="I28" s="272"/>
    </row>
    <row r="29" spans="1:10" ht="17.25" customHeight="1" thickBot="1">
      <c r="A29" s="270"/>
      <c r="B29" s="67"/>
      <c r="C29" s="72" t="s">
        <v>39</v>
      </c>
      <c r="D29" s="31"/>
      <c r="E29" s="31"/>
      <c r="F29" s="32"/>
      <c r="G29" s="73" cm="1">
        <f t="array" ref="G29">INDEX(Total!$W$8:$W$891,MATCH($C8&amp;$G8,Total!$D$8:$D$891&amp;Total!$E$8:$E$891,0))</f>
        <v>0</v>
      </c>
      <c r="H29" s="33"/>
      <c r="I29" s="272"/>
    </row>
    <row r="30" spans="1:10" ht="18" customHeight="1" thickTop="1" thickBot="1">
      <c r="A30" s="270"/>
      <c r="B30" s="74"/>
      <c r="C30" s="75"/>
      <c r="D30" s="34"/>
      <c r="E30" s="35" t="s">
        <v>43</v>
      </c>
      <c r="F30" s="274">
        <f>SUM($G20:$G29)</f>
        <v>2642.08</v>
      </c>
      <c r="G30" s="274"/>
      <c r="H30" s="36"/>
      <c r="I30" s="272"/>
      <c r="J30" s="37" cm="1">
        <f t="array" ref="J30">INDEX(Total!$AJ$8:$AJ$1002,MATCH($C8&amp;$G8,Total!$D$8:$D$1002&amp;Total!$E$8:$E$1002,0))</f>
        <v>1306.08</v>
      </c>
    </row>
    <row r="31" spans="1:10" ht="16.5" customHeight="1">
      <c r="A31" s="270"/>
      <c r="B31" s="54"/>
      <c r="C31" s="54"/>
      <c r="D31" s="54"/>
      <c r="E31" s="54"/>
      <c r="F31" s="262"/>
      <c r="G31" s="263"/>
      <c r="H31" s="9"/>
      <c r="I31" s="272"/>
    </row>
    <row r="32" spans="1:10" ht="16.5" customHeight="1">
      <c r="A32" s="270"/>
      <c r="B32" s="76" t="s">
        <v>44</v>
      </c>
      <c r="C32" s="54"/>
      <c r="D32" s="54"/>
      <c r="E32" s="54"/>
      <c r="F32" s="263"/>
      <c r="G32" s="263"/>
      <c r="H32" s="9"/>
      <c r="I32" s="272"/>
    </row>
    <row r="33" spans="1:9" ht="16.5" customHeight="1">
      <c r="A33" s="270"/>
      <c r="B33" s="76" t="s">
        <v>45</v>
      </c>
      <c r="C33" s="54"/>
      <c r="D33" s="264"/>
      <c r="E33" s="264"/>
      <c r="F33" s="263"/>
      <c r="G33" s="263"/>
      <c r="H33" s="9"/>
      <c r="I33" s="272"/>
    </row>
    <row r="34" spans="1:9" ht="16.5" customHeight="1">
      <c r="A34" s="270"/>
      <c r="B34" s="76" t="s">
        <v>46</v>
      </c>
      <c r="C34" s="54"/>
      <c r="D34" s="54"/>
      <c r="E34" s="54"/>
      <c r="F34" s="54"/>
      <c r="G34" s="54"/>
      <c r="H34" s="9"/>
      <c r="I34" s="272"/>
    </row>
    <row r="35" spans="1:9" ht="16.5" customHeight="1">
      <c r="A35" s="270"/>
      <c r="B35" s="77"/>
      <c r="C35" s="7"/>
      <c r="D35" s="78"/>
      <c r="E35" s="265" t="s">
        <v>47</v>
      </c>
      <c r="F35" s="265"/>
      <c r="G35" s="79"/>
      <c r="H35" s="38"/>
      <c r="I35" s="272"/>
    </row>
    <row r="36" spans="1:9" ht="16.5" customHeight="1">
      <c r="A36" s="270"/>
      <c r="B36" s="7"/>
      <c r="C36" s="7"/>
      <c r="D36" s="80"/>
      <c r="E36" s="80"/>
      <c r="F36" s="7"/>
      <c r="G36" s="7"/>
      <c r="H36" s="7"/>
      <c r="I36" s="272"/>
    </row>
    <row r="37" spans="1:9" ht="16.5" customHeight="1">
      <c r="A37" s="270"/>
      <c r="B37" s="7"/>
      <c r="C37" s="7"/>
      <c r="D37" s="80"/>
      <c r="E37" s="78"/>
      <c r="F37" s="81" t="s">
        <v>48</v>
      </c>
      <c r="G37" s="82"/>
      <c r="H37" s="39"/>
      <c r="I37" s="272"/>
    </row>
    <row r="38" spans="1:9" ht="16.5" customHeight="1"/>
    <row r="39" spans="1:9">
      <c r="A39" s="266"/>
      <c r="B39" s="266"/>
      <c r="C39" s="266"/>
      <c r="D39" s="266"/>
      <c r="E39" s="266"/>
      <c r="F39" s="266"/>
      <c r="G39" s="266"/>
      <c r="H39" s="266"/>
      <c r="I39" s="266"/>
    </row>
    <row r="40" spans="1:9" ht="27.75">
      <c r="A40" s="267" t="s">
        <v>49</v>
      </c>
      <c r="B40" s="267"/>
      <c r="C40" s="267"/>
      <c r="D40" s="267"/>
      <c r="E40" s="267"/>
      <c r="F40" s="267"/>
      <c r="G40" s="267"/>
      <c r="H40" s="267"/>
      <c r="I40" s="267"/>
    </row>
    <row r="41" spans="1:9" ht="27.75">
      <c r="A41" s="267" t="s">
        <v>50</v>
      </c>
      <c r="B41" s="267"/>
      <c r="C41" s="267"/>
      <c r="D41" s="267"/>
      <c r="E41" s="267"/>
      <c r="F41" s="267"/>
      <c r="G41" s="267"/>
      <c r="H41" s="267"/>
      <c r="I41" s="267"/>
    </row>
    <row r="42" spans="1:9">
      <c r="A42" s="268" t="s">
        <v>0</v>
      </c>
      <c r="B42" s="268"/>
      <c r="C42" s="268"/>
      <c r="D42" s="268"/>
      <c r="E42" s="268"/>
      <c r="F42" s="268"/>
      <c r="G42" s="268"/>
      <c r="H42" s="268"/>
      <c r="I42" s="268"/>
    </row>
    <row r="43" spans="1:9">
      <c r="A43" s="269"/>
      <c r="B43" s="269"/>
      <c r="C43" s="269"/>
      <c r="D43" s="269"/>
      <c r="E43" s="269"/>
      <c r="F43" s="269"/>
      <c r="G43" s="269"/>
      <c r="H43" s="269"/>
      <c r="I43" s="269"/>
    </row>
    <row r="44" spans="1:9" ht="21" thickBot="1">
      <c r="A44" s="270"/>
      <c r="B44" s="271" t="s">
        <v>88</v>
      </c>
      <c r="C44" s="271"/>
      <c r="D44" s="271"/>
      <c r="E44" s="271"/>
      <c r="F44" s="271"/>
      <c r="G44" s="271"/>
      <c r="H44" s="271"/>
      <c r="I44" s="272"/>
    </row>
    <row r="45" spans="1:9" ht="17.25" customHeight="1" thickTop="1">
      <c r="A45" s="270"/>
      <c r="B45" s="273"/>
      <c r="C45" s="273"/>
      <c r="D45" s="273"/>
      <c r="E45" s="273"/>
      <c r="F45" s="273"/>
      <c r="G45" s="273"/>
      <c r="H45" s="5"/>
      <c r="I45" s="272"/>
    </row>
    <row r="46" spans="1:9" ht="16.5" customHeight="1">
      <c r="A46" s="270"/>
      <c r="B46" s="51" t="s">
        <v>20</v>
      </c>
      <c r="C46" s="6" t="str">
        <f>Total!$D$9</f>
        <v>Wong Wai Chu</v>
      </c>
      <c r="D46" s="6" t="str" cm="1">
        <f t="array" ref="D46">INDEX(Total!$C$8:$C$1002,MATCH($C46&amp;$G46,Total!$D$8:$D$1002&amp;Total!$E$8:$E$1002,0))</f>
        <v>Ivy Wong_1</v>
      </c>
      <c r="E46" s="52"/>
      <c r="F46" s="53" t="s">
        <v>21</v>
      </c>
      <c r="G46" s="6" t="str">
        <f>Total!$E$9</f>
        <v>Autopay</v>
      </c>
      <c r="H46" s="6"/>
      <c r="I46" s="272"/>
    </row>
    <row r="47" spans="1:9" ht="17.25" customHeight="1" thickBot="1">
      <c r="A47" s="270"/>
      <c r="B47" s="54"/>
      <c r="C47" s="54"/>
      <c r="D47" s="54"/>
      <c r="E47" s="7"/>
      <c r="F47" s="8"/>
      <c r="G47" s="9"/>
      <c r="H47" s="9"/>
      <c r="I47" s="272"/>
    </row>
    <row r="48" spans="1:9" ht="17.25" customHeight="1" thickBot="1">
      <c r="A48" s="270"/>
      <c r="B48" s="83" t="s">
        <v>22</v>
      </c>
      <c r="C48" s="56"/>
      <c r="D48" s="55"/>
      <c r="E48" s="56" t="s">
        <v>23</v>
      </c>
      <c r="F48" s="57"/>
      <c r="G48" s="9"/>
      <c r="H48" s="9"/>
      <c r="I48" s="272"/>
    </row>
    <row r="49" spans="1:9" ht="17.25" customHeight="1" thickTop="1">
      <c r="A49" s="270"/>
      <c r="B49" s="58" t="s">
        <v>24</v>
      </c>
      <c r="C49" s="10"/>
      <c r="D49" s="59"/>
      <c r="E49" s="60" t="s">
        <v>25</v>
      </c>
      <c r="F49" s="11"/>
      <c r="G49" s="9"/>
      <c r="H49" s="9"/>
      <c r="I49" s="272"/>
    </row>
    <row r="50" spans="1:9" ht="16.5" customHeight="1">
      <c r="A50" s="270"/>
      <c r="B50" s="61" t="s">
        <v>26</v>
      </c>
      <c r="C50" s="12"/>
      <c r="D50" s="13"/>
      <c r="E50" s="14" t="str" cm="1">
        <f t="array" ref="E50">INDEX(Total!$F$8:$F$1002,MATCH($C46&amp;$G46,Total!$D$8:$D$1002&amp;Total!$E$8:$E$1002,0))</f>
        <v>Vcity_1 Fortress</v>
      </c>
      <c r="F50" s="15"/>
      <c r="G50" s="9"/>
      <c r="H50" s="9"/>
      <c r="I50" s="272"/>
    </row>
    <row r="51" spans="1:9" ht="31.5" customHeight="1">
      <c r="A51" s="270"/>
      <c r="B51" s="61" t="s">
        <v>27</v>
      </c>
      <c r="C51" s="16"/>
      <c r="D51" s="13"/>
      <c r="E51" s="275" t="str" cm="1">
        <f t="array" ref="E51">INDEX(Total!$G$8:$G$1002,MATCH($C46&amp;$G46,Total!$D$8:$D$1002&amp;Total!$E$8:$E$1002,0))</f>
        <v>Mar/1,14-15,21-22,25,28</v>
      </c>
      <c r="F51" s="276"/>
      <c r="G51" s="9"/>
      <c r="H51" s="9"/>
      <c r="I51" s="272"/>
    </row>
    <row r="52" spans="1:9" ht="16.5" customHeight="1">
      <c r="A52" s="270"/>
      <c r="B52" s="61" t="s">
        <v>28</v>
      </c>
      <c r="C52" s="16"/>
      <c r="D52" s="13"/>
      <c r="E52" s="62" cm="1">
        <f t="array" ref="E52">INDEX(Total!$H$8:$H$1002,MATCH($C46&amp;$G46,Total!$D$8:$D$1002&amp;Total!$E$8:$E$1002,0))</f>
        <v>7</v>
      </c>
      <c r="F52" s="15"/>
      <c r="G52" s="8"/>
      <c r="H52" s="8"/>
      <c r="I52" s="272"/>
    </row>
    <row r="53" spans="1:9" ht="16.5" customHeight="1">
      <c r="A53" s="270"/>
      <c r="B53" s="61" t="s">
        <v>29</v>
      </c>
      <c r="C53" s="12"/>
      <c r="D53" s="17"/>
      <c r="E53" s="62" cm="1">
        <f t="array" ref="E53">INDEX(Total!$I$8:$I$1002,MATCH($C46&amp;$G46,Total!$D$8:$D$1002&amp;Total!$E$8:$E$1002,0))</f>
        <v>56</v>
      </c>
      <c r="F53" s="18"/>
      <c r="G53" s="8"/>
      <c r="H53" s="8"/>
      <c r="I53" s="272"/>
    </row>
    <row r="54" spans="1:9" ht="16.5" customHeight="1">
      <c r="A54" s="270"/>
      <c r="B54" s="61" t="s">
        <v>30</v>
      </c>
      <c r="C54" s="12"/>
      <c r="D54" s="17"/>
      <c r="E54" s="62" cm="1">
        <f t="array" ref="E54">INDEX(Total!$J$8:$J$1002,MATCH($C46&amp;$G46,Total!$D$8:$D$1002&amp;Total!$E$8:$E$1002,0))</f>
        <v>60</v>
      </c>
      <c r="F54" s="18"/>
      <c r="G54" s="8"/>
      <c r="H54" s="8"/>
      <c r="I54" s="272"/>
    </row>
    <row r="55" spans="1:9" ht="17.25" customHeight="1" thickBot="1">
      <c r="A55" s="270"/>
      <c r="B55" s="63" t="s">
        <v>31</v>
      </c>
      <c r="C55" s="19"/>
      <c r="D55" s="20"/>
      <c r="E55" s="41" cm="1">
        <f t="array" ref="E55">INDEX(Total!$L$8:$L$1002,MATCH($C46&amp;$G46,Total!$D$8:$D$1002&amp;Total!$E$8:$E$1002,0))</f>
        <v>242326</v>
      </c>
      <c r="F55" s="21"/>
      <c r="G55" s="22"/>
      <c r="H55" s="22"/>
      <c r="I55" s="272"/>
    </row>
    <row r="56" spans="1:9" ht="17.25" customHeight="1" thickBot="1">
      <c r="A56" s="270"/>
      <c r="B56" s="23"/>
      <c r="C56" s="23"/>
      <c r="D56" s="23"/>
      <c r="E56" s="23"/>
      <c r="F56" s="23"/>
      <c r="G56" s="23"/>
      <c r="H56" s="23"/>
      <c r="I56" s="272"/>
    </row>
    <row r="57" spans="1:9" ht="17.25" customHeight="1" thickBot="1">
      <c r="A57" s="270"/>
      <c r="B57" s="64"/>
      <c r="C57" s="65" t="s">
        <v>32</v>
      </c>
      <c r="D57" s="66"/>
      <c r="E57" s="66"/>
      <c r="F57" s="84" t="s">
        <v>33</v>
      </c>
      <c r="G57" s="84"/>
      <c r="H57" s="24"/>
      <c r="I57" s="272"/>
    </row>
    <row r="58" spans="1:9" ht="17.25" customHeight="1" thickTop="1">
      <c r="A58" s="270"/>
      <c r="B58" s="67"/>
      <c r="C58" s="58" t="s">
        <v>34</v>
      </c>
      <c r="D58" s="68"/>
      <c r="E58" s="68"/>
      <c r="F58" s="69"/>
      <c r="G58" s="70" cm="1">
        <f t="array" ref="G58">INDEX(Total!$K$8:$K$1002,MATCH($C46&amp;$G46,Total!$D$8:$D$1002&amp;Total!$E$8:$E$1002,0))</f>
        <v>3360</v>
      </c>
      <c r="H58" s="25"/>
      <c r="I58" s="272"/>
    </row>
    <row r="59" spans="1:9" ht="16.5" customHeight="1">
      <c r="A59" s="270"/>
      <c r="B59" s="67"/>
      <c r="C59" s="61" t="str">
        <f>表格1[[#Headers],[三門雪櫃特佣 GR-RM469WE-PGA(B3)]]</f>
        <v>三門雪櫃特佣 GR-RM469WE-PGA(B3)</v>
      </c>
      <c r="D59" s="26"/>
      <c r="E59" s="26"/>
      <c r="F59" s="27"/>
      <c r="G59" s="71" cm="1">
        <f t="array" ref="G59">INDEX(Total!$AH$8:$AH$1002,MATCH($C46&amp;$G46,Total!$D$8:$D$1002&amp;Total!$E$8:$E$1002,0))</f>
        <v>8607</v>
      </c>
      <c r="H59" s="28"/>
      <c r="I59" s="272"/>
    </row>
    <row r="60" spans="1:9" ht="16.5" customHeight="1">
      <c r="A60" s="270"/>
      <c r="B60" s="67"/>
      <c r="C60" s="61" t="s">
        <v>36</v>
      </c>
      <c r="D60" s="29"/>
      <c r="E60" s="29"/>
      <c r="F60" s="27"/>
      <c r="G60" s="71" cm="1">
        <f t="array" ref="G60">INDEX(Total!$N$8:$N$1002,MATCH($C46&amp;$G46,Total!$D$8:$D$1002&amp;Total!$E$8:$E$1002,0))</f>
        <v>4846.5200000000004</v>
      </c>
      <c r="H60" s="28"/>
      <c r="I60" s="272"/>
    </row>
    <row r="61" spans="1:9" ht="16.5" customHeight="1">
      <c r="A61" s="270"/>
      <c r="B61" s="67"/>
      <c r="C61" s="61" t="s">
        <v>67</v>
      </c>
      <c r="D61" s="30"/>
      <c r="E61" s="30"/>
      <c r="F61" s="27"/>
      <c r="G61" s="71" cm="1">
        <f t="array" ref="G61">INDEX(Total!$P$8:$P$1002,MATCH($C46&amp;$G46,Total!$D$8:$D$1002&amp;Total!$E$8:$E$1002,0))</f>
        <v>0</v>
      </c>
      <c r="H61" s="28"/>
      <c r="I61" s="272"/>
    </row>
    <row r="62" spans="1:9" ht="16.5" customHeight="1">
      <c r="A62" s="270"/>
      <c r="B62" s="67"/>
      <c r="C62" s="61" t="str">
        <f>表格1[[#Headers],[嵌入式微波氣炸蒸焗爐特佣 EB-T500APW]]</f>
        <v>嵌入式微波氣炸蒸焗爐特佣 EB-T500APW</v>
      </c>
      <c r="D62" s="30"/>
      <c r="E62" s="30"/>
      <c r="F62" s="27"/>
      <c r="G62" s="71" cm="1">
        <f t="array" ref="G62">INDEX(Total!$S$8:$S$1002,MATCH($C46&amp;$G46,Total!$D$8:$D$1002&amp;Total!$E$8:$E$1002,0))</f>
        <v>0</v>
      </c>
      <c r="H62" s="28"/>
      <c r="I62" s="272"/>
    </row>
    <row r="63" spans="1:9" ht="16.5" customHeight="1">
      <c r="A63" s="270"/>
      <c r="B63" s="67"/>
      <c r="C63" s="61" t="str">
        <f>表格1[[#Headers],[蒸氣烤焗水波爐特佣 ER-VD7000HK(XK)]]</f>
        <v>蒸氣烤焗水波爐特佣 ER-VD7000HK(XK)</v>
      </c>
      <c r="D63" s="26" t="s">
        <v>4</v>
      </c>
      <c r="E63" s="26"/>
      <c r="F63" s="27"/>
      <c r="G63" s="71" cm="1">
        <f t="array" ref="G63">INDEX(Total!$T$8:$T$1002,MATCH($C46&amp;$G46,Total!$D$8:$D$1002&amp;Total!$E$8:$E$1002,0))</f>
        <v>0</v>
      </c>
      <c r="H63" s="28"/>
      <c r="I63" s="272"/>
    </row>
    <row r="64" spans="1:9" ht="16.5" customHeight="1">
      <c r="A64" s="270"/>
      <c r="B64" s="67"/>
      <c r="C64" s="61" t="str">
        <f>表格1[[#Headers],[日本飯煲 RC-DS10K/18K]]</f>
        <v>日本飯煲 RC-DS10K/18K</v>
      </c>
      <c r="D64" s="30"/>
      <c r="E64" s="30"/>
      <c r="F64" s="27"/>
      <c r="G64" s="71" cm="1">
        <f t="array" ref="G64">INDEX(Total!$Q$8:$Q$1002,MATCH($C46&amp;$G46,Total!$D$8:$D$1002&amp;Total!$E$8:$E$1002,0))</f>
        <v>0</v>
      </c>
      <c r="H64" s="28"/>
      <c r="I64" s="272"/>
    </row>
    <row r="65" spans="1:10" ht="16.5" customHeight="1">
      <c r="A65" s="270"/>
      <c r="B65" s="67"/>
      <c r="C65" s="61" t="str">
        <f>表格1[[#Headers],[TWDT21BU95 ]]</f>
        <v xml:space="preserve">TWDT21BU95 </v>
      </c>
      <c r="D65" s="30"/>
      <c r="E65" s="30"/>
      <c r="F65" s="27"/>
      <c r="G65" s="71" cm="1">
        <f t="array" ref="G65">INDEX(Total!$U$8:$U$1002,MATCH($C46&amp;$G46,Total!$D$8:$D$1002&amp;Total!$E$8:$E$1002,0))</f>
        <v>0</v>
      </c>
      <c r="H65" s="28"/>
      <c r="I65" s="272"/>
    </row>
    <row r="66" spans="1:10" ht="16.5" customHeight="1">
      <c r="A66" s="270"/>
      <c r="B66" s="67"/>
      <c r="C66" s="103" t="str">
        <f>表格1[[#Headers],[日式洗衣機二特佣 AW-Q801APH(WW)]]</f>
        <v>日式洗衣機二特佣 AW-Q801APH(WW)</v>
      </c>
      <c r="D66" s="30"/>
      <c r="E66" s="30"/>
      <c r="F66" s="27"/>
      <c r="G66" s="71" cm="1">
        <f t="array" ref="G66">INDEX(Total!$Z$8:$Z$1002,MATCH($C46&amp;$G46,Total!$D$8:$D$1002&amp;Total!$E$8:$E$1002,0))</f>
        <v>0</v>
      </c>
      <c r="H66" s="102"/>
      <c r="I66" s="272"/>
    </row>
    <row r="67" spans="1:10" ht="17.25" customHeight="1" thickBot="1">
      <c r="A67" s="270"/>
      <c r="B67" s="67"/>
      <c r="C67" s="72" t="s">
        <v>39</v>
      </c>
      <c r="D67" s="31"/>
      <c r="E67" s="31"/>
      <c r="F67" s="32"/>
      <c r="G67" s="73" cm="1">
        <f t="array" ref="G67">INDEX(Total!$W$8:$W$1002,MATCH($C46&amp;$G46,Total!$D$8:$D$1002&amp;Total!$E$8:$E$1002,0))</f>
        <v>0</v>
      </c>
      <c r="H67" s="33"/>
      <c r="I67" s="272"/>
    </row>
    <row r="68" spans="1:10" ht="18" customHeight="1" thickTop="1" thickBot="1">
      <c r="A68" s="270"/>
      <c r="B68" s="74"/>
      <c r="C68" s="75"/>
      <c r="D68" s="34"/>
      <c r="E68" s="35" t="s">
        <v>43</v>
      </c>
      <c r="F68" s="274">
        <f>SUM($G58:$G67)</f>
        <v>16813.52</v>
      </c>
      <c r="G68" s="274"/>
      <c r="H68" s="36"/>
      <c r="I68" s="272"/>
      <c r="J68" s="37" cm="1">
        <f t="array" ref="J68">INDEX(Total!$AJ$8:$AJ$1002,MATCH($C46&amp;$G46,Total!$D$8:$D$1002&amp;Total!$E$8:$E$1002,0))</f>
        <v>8606.52</v>
      </c>
    </row>
    <row r="69" spans="1:10" ht="16.5" customHeight="1">
      <c r="A69" s="270"/>
      <c r="B69" s="54"/>
      <c r="C69" s="54"/>
      <c r="D69" s="54"/>
      <c r="E69" s="54"/>
      <c r="F69" s="262"/>
      <c r="G69" s="263"/>
      <c r="H69" s="9"/>
      <c r="I69" s="272"/>
    </row>
    <row r="70" spans="1:10" ht="16.5" customHeight="1">
      <c r="A70" s="270"/>
      <c r="B70" s="76" t="s">
        <v>44</v>
      </c>
      <c r="C70" s="54"/>
      <c r="D70" s="54"/>
      <c r="E70" s="54"/>
      <c r="F70" s="263"/>
      <c r="G70" s="263"/>
      <c r="H70" s="9"/>
      <c r="I70" s="272"/>
    </row>
    <row r="71" spans="1:10" ht="16.5" customHeight="1">
      <c r="A71" s="270"/>
      <c r="B71" s="76" t="s">
        <v>45</v>
      </c>
      <c r="C71" s="54"/>
      <c r="D71" s="264"/>
      <c r="E71" s="264"/>
      <c r="F71" s="263"/>
      <c r="G71" s="263"/>
      <c r="H71" s="9"/>
      <c r="I71" s="272"/>
    </row>
    <row r="72" spans="1:10" ht="16.5" customHeight="1">
      <c r="A72" s="270"/>
      <c r="B72" s="76" t="s">
        <v>46</v>
      </c>
      <c r="C72" s="54"/>
      <c r="D72" s="54"/>
      <c r="E72" s="54"/>
      <c r="F72" s="54"/>
      <c r="G72" s="54"/>
      <c r="H72" s="9"/>
      <c r="I72" s="272"/>
    </row>
    <row r="73" spans="1:10" ht="16.5" customHeight="1">
      <c r="A73" s="270"/>
      <c r="B73" s="77"/>
      <c r="C73" s="7"/>
      <c r="D73" s="78"/>
      <c r="E73" s="265" t="s">
        <v>47</v>
      </c>
      <c r="F73" s="265"/>
      <c r="G73" s="79"/>
      <c r="H73" s="38"/>
      <c r="I73" s="272"/>
    </row>
    <row r="74" spans="1:10" ht="16.5" customHeight="1">
      <c r="A74" s="270"/>
      <c r="B74" s="7"/>
      <c r="C74" s="7"/>
      <c r="D74" s="80"/>
      <c r="E74" s="80"/>
      <c r="F74" s="7"/>
      <c r="G74" s="7"/>
      <c r="H74" s="7"/>
      <c r="I74" s="272"/>
    </row>
    <row r="75" spans="1:10" ht="16.5" customHeight="1">
      <c r="A75" s="270"/>
      <c r="B75" s="7"/>
      <c r="C75" s="7"/>
      <c r="D75" s="80"/>
      <c r="E75" s="78"/>
      <c r="F75" s="81" t="s">
        <v>48</v>
      </c>
      <c r="G75" s="82"/>
      <c r="H75" s="39"/>
      <c r="I75" s="272"/>
    </row>
    <row r="76" spans="1:10" ht="16.5" customHeight="1"/>
    <row r="77" spans="1:10">
      <c r="A77" s="266"/>
      <c r="B77" s="266"/>
      <c r="C77" s="266"/>
      <c r="D77" s="266"/>
      <c r="E77" s="266"/>
      <c r="F77" s="266"/>
      <c r="G77" s="266"/>
      <c r="H77" s="266"/>
      <c r="I77" s="266"/>
    </row>
    <row r="78" spans="1:10" ht="27.75">
      <c r="A78" s="267" t="s">
        <v>49</v>
      </c>
      <c r="B78" s="267"/>
      <c r="C78" s="267"/>
      <c r="D78" s="267"/>
      <c r="E78" s="267"/>
      <c r="F78" s="267"/>
      <c r="G78" s="267"/>
      <c r="H78" s="267"/>
      <c r="I78" s="267"/>
    </row>
    <row r="79" spans="1:10" ht="27.75">
      <c r="A79" s="267" t="s">
        <v>50</v>
      </c>
      <c r="B79" s="267"/>
      <c r="C79" s="267"/>
      <c r="D79" s="267"/>
      <c r="E79" s="267"/>
      <c r="F79" s="267"/>
      <c r="G79" s="267"/>
      <c r="H79" s="267"/>
      <c r="I79" s="267"/>
    </row>
    <row r="80" spans="1:10">
      <c r="A80" s="268" t="s">
        <v>0</v>
      </c>
      <c r="B80" s="268"/>
      <c r="C80" s="268"/>
      <c r="D80" s="268"/>
      <c r="E80" s="268"/>
      <c r="F80" s="268"/>
      <c r="G80" s="268"/>
      <c r="H80" s="268"/>
      <c r="I80" s="268"/>
    </row>
    <row r="81" spans="1:12">
      <c r="A81" s="269"/>
      <c r="B81" s="269"/>
      <c r="C81" s="269"/>
      <c r="D81" s="269"/>
      <c r="E81" s="269"/>
      <c r="F81" s="269"/>
      <c r="G81" s="269"/>
      <c r="H81" s="269"/>
      <c r="I81" s="269"/>
    </row>
    <row r="82" spans="1:12" ht="21" thickBot="1">
      <c r="A82" s="111"/>
      <c r="B82" s="271" t="s">
        <v>88</v>
      </c>
      <c r="C82" s="271"/>
      <c r="D82" s="271"/>
      <c r="E82" s="271"/>
      <c r="F82" s="271"/>
      <c r="G82" s="271"/>
      <c r="H82" s="271"/>
      <c r="I82" s="110"/>
    </row>
    <row r="83" spans="1:12" ht="17.25" customHeight="1" thickTop="1">
      <c r="A83" s="111"/>
      <c r="B83" s="273"/>
      <c r="C83" s="273"/>
      <c r="D83" s="273"/>
      <c r="E83" s="273"/>
      <c r="F83" s="273"/>
      <c r="G83" s="273"/>
      <c r="H83" s="5"/>
      <c r="I83" s="110"/>
    </row>
    <row r="84" spans="1:12" ht="16.5" customHeight="1">
      <c r="A84" s="111"/>
      <c r="B84" s="51" t="s">
        <v>20</v>
      </c>
      <c r="C84" s="6" t="str">
        <f>Total!$D$10</f>
        <v>Li Wenjie</v>
      </c>
      <c r="D84" s="6" t="str" cm="1">
        <f t="array" ref="D84">INDEX(Total!$C$8:$C$1002,MATCH($C84&amp;$G84,Total!$D$8:$D$1002&amp;Total!$E$8:$E$1002,0))</f>
        <v>Kit_3</v>
      </c>
      <c r="E84" s="52"/>
      <c r="F84" s="53" t="s">
        <v>21</v>
      </c>
      <c r="G84" s="6" t="str">
        <f>Total!$E$10</f>
        <v>Autopay</v>
      </c>
      <c r="H84" s="6"/>
      <c r="I84" s="110"/>
    </row>
    <row r="85" spans="1:12" ht="17.25" customHeight="1" thickBot="1">
      <c r="A85" s="111"/>
      <c r="B85" s="54"/>
      <c r="C85" s="54"/>
      <c r="D85" s="54"/>
      <c r="E85" s="7"/>
      <c r="F85" s="8"/>
      <c r="G85" s="9"/>
      <c r="H85" s="9"/>
      <c r="I85" s="110"/>
    </row>
    <row r="86" spans="1:12" ht="17.25" customHeight="1" thickBot="1">
      <c r="A86" s="111"/>
      <c r="B86" s="83" t="s">
        <v>22</v>
      </c>
      <c r="C86" s="56"/>
      <c r="D86" s="55"/>
      <c r="E86" s="56" t="s">
        <v>23</v>
      </c>
      <c r="F86" s="57"/>
      <c r="G86" s="9"/>
      <c r="H86" s="9"/>
      <c r="I86" s="110"/>
    </row>
    <row r="87" spans="1:12" ht="17.25" customHeight="1" thickTop="1">
      <c r="A87" s="111"/>
      <c r="B87" s="58" t="s">
        <v>24</v>
      </c>
      <c r="C87" s="10"/>
      <c r="D87" s="59"/>
      <c r="E87" s="60" t="s">
        <v>25</v>
      </c>
      <c r="F87" s="11"/>
      <c r="G87" s="9"/>
      <c r="H87" s="9"/>
      <c r="I87" s="110"/>
    </row>
    <row r="88" spans="1:12" ht="16.5" customHeight="1">
      <c r="A88" s="111"/>
      <c r="B88" s="61" t="s">
        <v>26</v>
      </c>
      <c r="C88" s="12"/>
      <c r="D88" s="13"/>
      <c r="E88" s="14" t="str" cm="1">
        <f t="array" ref="E88">INDEX(Total!$F$8:$F$1002,MATCH($C84&amp;$G84,Total!$D$8:$D$1002&amp;Total!$E$8:$E$1002,0))</f>
        <v>Vcity_2 Fortress</v>
      </c>
      <c r="F88" s="15"/>
      <c r="G88" s="9"/>
      <c r="H88" s="9"/>
      <c r="I88" s="110"/>
    </row>
    <row r="89" spans="1:12" ht="26.25" customHeight="1">
      <c r="A89" s="111"/>
      <c r="B89" s="61" t="s">
        <v>27</v>
      </c>
      <c r="C89" s="16"/>
      <c r="D89" s="13"/>
      <c r="E89" s="275" t="str" cm="1">
        <f t="array" ref="E89">INDEX(Total!$G$8:$G$1002,MATCH($C84&amp;$G84,Total!$D$8:$D$1002&amp;Total!$E$8:$E$1002,0))</f>
        <v>Mar/7-8</v>
      </c>
      <c r="F89" s="276"/>
      <c r="G89" s="9"/>
      <c r="H89" s="9"/>
      <c r="I89" s="110"/>
    </row>
    <row r="90" spans="1:12" ht="16.5" customHeight="1">
      <c r="A90" s="111"/>
      <c r="B90" s="61" t="s">
        <v>28</v>
      </c>
      <c r="C90" s="16"/>
      <c r="D90" s="13"/>
      <c r="E90" s="62" cm="1">
        <f t="array" ref="E90">INDEX(Total!$H$8:$H$1002,MATCH($C84&amp;$G84,Total!$D$8:$D$1002&amp;Total!$E$8:$E$1002,0))</f>
        <v>2</v>
      </c>
      <c r="F90" s="15"/>
      <c r="G90" s="8"/>
      <c r="H90" s="8"/>
      <c r="I90" s="110"/>
    </row>
    <row r="91" spans="1:12" ht="16.5" customHeight="1">
      <c r="A91" s="111"/>
      <c r="B91" s="61" t="s">
        <v>29</v>
      </c>
      <c r="C91" s="12"/>
      <c r="D91" s="17"/>
      <c r="E91" s="62" cm="1">
        <f t="array" ref="E91">INDEX(Total!$I$8:$I$1002,MATCH($C84&amp;$G84,Total!$D$8:$D$1002&amp;Total!$E$8:$E$1002,0))</f>
        <v>16</v>
      </c>
      <c r="F91" s="18"/>
      <c r="G91" s="8"/>
      <c r="H91" s="8"/>
      <c r="I91" s="110"/>
    </row>
    <row r="92" spans="1:12" ht="16.5" customHeight="1">
      <c r="A92" s="111"/>
      <c r="B92" s="61" t="s">
        <v>30</v>
      </c>
      <c r="C92" s="12"/>
      <c r="D92" s="17"/>
      <c r="E92" s="62" cm="1">
        <f t="array" ref="E92">INDEX(Total!$J$8:$J$1002,MATCH($C84&amp;$G84,Total!$D$8:$D$1002&amp;Total!$E$8:$E$1002,0))</f>
        <v>60</v>
      </c>
      <c r="F92" s="18"/>
      <c r="G92" s="8"/>
      <c r="H92" s="8"/>
      <c r="I92" s="110"/>
    </row>
    <row r="93" spans="1:12" ht="17.25" customHeight="1" thickBot="1">
      <c r="A93" s="111"/>
      <c r="B93" s="63" t="s">
        <v>31</v>
      </c>
      <c r="C93" s="19"/>
      <c r="D93" s="20"/>
      <c r="E93" s="41" cm="1">
        <f t="array" ref="E93">INDEX(Total!$L$8:$L$1002,MATCH($C84&amp;$G84,Total!$D$8:$D$1002&amp;Total!$E$8:$E$1002,0))</f>
        <v>7911</v>
      </c>
      <c r="F93" s="21"/>
      <c r="G93" s="22"/>
      <c r="H93" s="22"/>
      <c r="I93" s="110"/>
      <c r="L93" t="s">
        <v>70</v>
      </c>
    </row>
    <row r="94" spans="1:12" ht="17.25" customHeight="1" thickBot="1">
      <c r="A94" s="111"/>
      <c r="B94" s="23"/>
      <c r="C94" s="23"/>
      <c r="D94" s="23"/>
      <c r="E94" s="23"/>
      <c r="F94" s="23"/>
      <c r="G94" s="23"/>
      <c r="H94" s="23"/>
      <c r="I94" s="110"/>
      <c r="L94" t="s">
        <v>71</v>
      </c>
    </row>
    <row r="95" spans="1:12" ht="17.25" customHeight="1" thickBot="1">
      <c r="A95" s="111"/>
      <c r="B95" s="64"/>
      <c r="C95" s="65" t="s">
        <v>32</v>
      </c>
      <c r="D95" s="66"/>
      <c r="E95" s="66"/>
      <c r="F95" s="84" t="s">
        <v>33</v>
      </c>
      <c r="G95" s="84"/>
      <c r="H95" s="24"/>
      <c r="I95" s="110"/>
    </row>
    <row r="96" spans="1:12" ht="17.25" customHeight="1" thickTop="1">
      <c r="A96" s="111"/>
      <c r="B96" s="67"/>
      <c r="C96" s="58" t="s">
        <v>34</v>
      </c>
      <c r="D96" s="68"/>
      <c r="E96" s="68"/>
      <c r="F96" s="69"/>
      <c r="G96" s="70" cm="1">
        <f t="array" ref="G96">INDEX(Total!$K$8:$K$1002,MATCH($C84&amp;$G84,Total!$D$8:$D$1002&amp;Total!$E$8:$E$1002,0))</f>
        <v>960</v>
      </c>
      <c r="H96" s="25"/>
      <c r="I96" s="110"/>
    </row>
    <row r="97" spans="1:10" ht="16.5" customHeight="1">
      <c r="A97" s="111"/>
      <c r="B97" s="67"/>
      <c r="C97" s="61" t="str">
        <f>表格1[[#Headers],[三門雪櫃特佣 GR-RM469WE-PGA(B3)]]</f>
        <v>三門雪櫃特佣 GR-RM469WE-PGA(B3)</v>
      </c>
      <c r="D97" s="26"/>
      <c r="E97" s="26"/>
      <c r="F97" s="27"/>
      <c r="G97" s="71" cm="1">
        <f t="array" ref="G97">INDEX(Total!$AH$8:$AH$1002,MATCH($C84&amp;$G84,Total!$D$8:$D$1002&amp;Total!$E$8:$E$1002,0))</f>
        <v>1118</v>
      </c>
      <c r="H97" s="28"/>
      <c r="I97" s="110"/>
    </row>
    <row r="98" spans="1:10" ht="16.5" customHeight="1">
      <c r="A98" s="111"/>
      <c r="B98" s="67"/>
      <c r="C98" s="61" t="s">
        <v>36</v>
      </c>
      <c r="D98" s="29"/>
      <c r="E98" s="29"/>
      <c r="F98" s="27"/>
      <c r="G98" s="71" cm="1">
        <f t="array" ref="G98">INDEX(Total!$N$8:$N$1002,MATCH($C84&amp;$G84,Total!$D$8:$D$1002&amp;Total!$E$8:$E$1002,0))</f>
        <v>158.22</v>
      </c>
      <c r="H98" s="28"/>
      <c r="I98" s="110"/>
    </row>
    <row r="99" spans="1:10" ht="16.5" customHeight="1">
      <c r="A99" s="111"/>
      <c r="B99" s="67"/>
      <c r="C99" s="61" t="s">
        <v>67</v>
      </c>
      <c r="D99" s="30"/>
      <c r="E99" s="30"/>
      <c r="F99" s="27"/>
      <c r="G99" s="71" cm="1">
        <f t="array" ref="G99">INDEX(Total!$P$8:$P$1002,MATCH($C84&amp;$G84,Total!$D$8:$D$1002&amp;Total!$E$8:$E$1002,0))</f>
        <v>0</v>
      </c>
      <c r="H99" s="28"/>
      <c r="I99" s="110"/>
    </row>
    <row r="100" spans="1:10" ht="16.5" customHeight="1">
      <c r="A100" s="111"/>
      <c r="B100" s="67"/>
      <c r="C100" s="61" t="str">
        <f>表格1[[#Headers],[嵌入式微波氣炸蒸焗爐特佣 EB-T500APW]]</f>
        <v>嵌入式微波氣炸蒸焗爐特佣 EB-T500APW</v>
      </c>
      <c r="D100" s="30"/>
      <c r="E100" s="30"/>
      <c r="F100" s="27"/>
      <c r="G100" s="71" cm="1">
        <f t="array" ref="G100">INDEX(Total!$S$8:$S$1002,MATCH($C84&amp;$G84,Total!$D$8:$D$1002&amp;Total!$E$8:$E$1002,0))</f>
        <v>0</v>
      </c>
      <c r="H100" s="28"/>
      <c r="I100" s="110"/>
    </row>
    <row r="101" spans="1:10" ht="16.5" customHeight="1">
      <c r="A101" s="111"/>
      <c r="B101" s="67"/>
      <c r="C101" s="61" t="str">
        <f>表格1[[#Headers],[蒸氣烤焗水波爐特佣 ER-VD7000HK(XK)]]</f>
        <v>蒸氣烤焗水波爐特佣 ER-VD7000HK(XK)</v>
      </c>
      <c r="D101" s="26" t="s">
        <v>4</v>
      </c>
      <c r="E101" s="26"/>
      <c r="F101" s="27"/>
      <c r="G101" s="71" cm="1">
        <f t="array" ref="G101">INDEX(Total!$T$8:$T$1002,MATCH($C84&amp;$G84,Total!$D$8:$D$1002&amp;Total!$E$8:$E$1002,0))</f>
        <v>0</v>
      </c>
      <c r="H101" s="28"/>
      <c r="I101" s="110"/>
    </row>
    <row r="102" spans="1:10" ht="16.5" customHeight="1">
      <c r="A102" s="111"/>
      <c r="B102" s="67"/>
      <c r="C102" s="61" t="str">
        <f>表格1[[#Headers],[日本飯煲 RC-DS10K/18K]]</f>
        <v>日本飯煲 RC-DS10K/18K</v>
      </c>
      <c r="D102" s="30"/>
      <c r="E102" s="30"/>
      <c r="F102" s="27"/>
      <c r="G102" s="71" cm="1">
        <f t="array" ref="G102">INDEX(Total!$Q$8:$Q$1002,MATCH($C84&amp;$G84,Total!$D$8:$D$1002&amp;Total!$E$8:$E$1002,0))</f>
        <v>0</v>
      </c>
      <c r="H102" s="28"/>
      <c r="I102" s="110"/>
    </row>
    <row r="103" spans="1:10" ht="16.5" customHeight="1">
      <c r="A103" s="111"/>
      <c r="B103" s="67"/>
      <c r="C103" s="61" t="str">
        <f>表格1[[#Headers],[TWDT21BU95 ]]</f>
        <v xml:space="preserve">TWDT21BU95 </v>
      </c>
      <c r="D103" s="30"/>
      <c r="E103" s="30"/>
      <c r="F103" s="27"/>
      <c r="G103" s="71" cm="1">
        <f t="array" ref="G103">INDEX(Total!$U$8:$U$1002,MATCH($C84&amp;$G84,Total!$D$8:$D$1002&amp;Total!$E$8:$E$1002,0))</f>
        <v>0</v>
      </c>
      <c r="H103" s="28"/>
      <c r="I103" s="110"/>
    </row>
    <row r="104" spans="1:10" ht="16.5" customHeight="1">
      <c r="A104" s="111"/>
      <c r="B104" s="67"/>
      <c r="C104" s="103" t="str">
        <f>表格1[[#Headers],[日式洗衣機二特佣 AW-Q801APH(WW)]]</f>
        <v>日式洗衣機二特佣 AW-Q801APH(WW)</v>
      </c>
      <c r="D104" s="30"/>
      <c r="E104" s="30"/>
      <c r="F104" s="27"/>
      <c r="G104" s="71" cm="1">
        <f t="array" ref="G104">INDEX(Total!$Z$8:$Z$1002,MATCH($C84&amp;$G84,Total!$D$8:$D$1002&amp;Total!$E$8:$E$1002,0))</f>
        <v>0</v>
      </c>
      <c r="H104" s="102"/>
      <c r="I104" s="110"/>
    </row>
    <row r="105" spans="1:10" ht="17.25" customHeight="1" thickBot="1">
      <c r="A105" s="111"/>
      <c r="B105" s="67"/>
      <c r="C105" s="72" t="s">
        <v>39</v>
      </c>
      <c r="D105" s="31"/>
      <c r="E105" s="31"/>
      <c r="F105" s="32"/>
      <c r="G105" s="73" cm="1">
        <f t="array" ref="G105">INDEX(Total!$W$8:$W$1002,MATCH($C84&amp;$G84,Total!$D$8:$D$1002&amp;Total!$E$8:$E$1002,0))</f>
        <v>0</v>
      </c>
      <c r="H105" s="33"/>
      <c r="I105" s="110"/>
    </row>
    <row r="106" spans="1:10" ht="18" customHeight="1" thickTop="1" thickBot="1">
      <c r="A106" s="111"/>
      <c r="B106" s="74"/>
      <c r="C106" s="75"/>
      <c r="D106" s="34"/>
      <c r="E106" s="35" t="s">
        <v>43</v>
      </c>
      <c r="F106" s="274">
        <f>SUM($G96:$G105)</f>
        <v>2236.2199999999998</v>
      </c>
      <c r="G106" s="274"/>
      <c r="H106" s="36"/>
      <c r="I106" s="110"/>
      <c r="J106" s="37" cm="1">
        <f t="array" ref="J106">INDEX(Total!$AJ$8:$AJ$1002,MATCH($C84&amp;$G84,Total!$D$8:$D$1002&amp;Total!$E$8:$E$1002,0))</f>
        <v>1118.22</v>
      </c>
    </row>
    <row r="107" spans="1:10" ht="16.5" customHeight="1">
      <c r="A107" s="111"/>
      <c r="B107" s="54"/>
      <c r="C107" s="54"/>
      <c r="D107" s="54"/>
      <c r="E107" s="54"/>
      <c r="F107" s="262"/>
      <c r="G107" s="263"/>
      <c r="H107" s="9"/>
      <c r="I107" s="110"/>
    </row>
    <row r="108" spans="1:10" ht="16.5" customHeight="1">
      <c r="A108" s="111"/>
      <c r="B108" s="76" t="s">
        <v>44</v>
      </c>
      <c r="C108" s="54"/>
      <c r="D108" s="54"/>
      <c r="E108" s="54"/>
      <c r="F108" s="263"/>
      <c r="G108" s="263"/>
      <c r="H108" s="9"/>
      <c r="I108" s="110"/>
    </row>
    <row r="109" spans="1:10" ht="16.5" customHeight="1">
      <c r="A109" s="111"/>
      <c r="B109" s="76" t="s">
        <v>45</v>
      </c>
      <c r="C109" s="54"/>
      <c r="D109" s="264"/>
      <c r="E109" s="264"/>
      <c r="F109" s="263"/>
      <c r="G109" s="263"/>
      <c r="H109" s="9"/>
      <c r="I109" s="110"/>
    </row>
    <row r="110" spans="1:10" ht="16.5" customHeight="1">
      <c r="A110" s="111"/>
      <c r="B110" s="76" t="s">
        <v>46</v>
      </c>
      <c r="C110" s="54"/>
      <c r="D110" s="54"/>
      <c r="E110" s="54"/>
      <c r="F110" s="54"/>
      <c r="G110" s="54"/>
      <c r="H110" s="9"/>
      <c r="I110" s="110"/>
    </row>
    <row r="111" spans="1:10" ht="16.5" customHeight="1">
      <c r="A111" s="111"/>
      <c r="B111" s="77"/>
      <c r="C111" s="7"/>
      <c r="D111" s="78"/>
      <c r="E111" s="265" t="s">
        <v>47</v>
      </c>
      <c r="F111" s="265"/>
      <c r="G111" s="79"/>
      <c r="H111" s="38"/>
      <c r="I111" s="110"/>
    </row>
    <row r="112" spans="1:10" ht="16.5" customHeight="1">
      <c r="A112" s="111"/>
      <c r="B112" s="7"/>
      <c r="C112" s="7"/>
      <c r="D112" s="80"/>
      <c r="E112" s="80"/>
      <c r="F112" s="7"/>
      <c r="G112" s="7"/>
      <c r="H112" s="7"/>
      <c r="I112" s="110"/>
    </row>
    <row r="113" spans="1:9" ht="16.5" customHeight="1">
      <c r="A113" s="111"/>
      <c r="B113" s="7"/>
      <c r="C113" s="7"/>
      <c r="D113" s="80"/>
      <c r="E113" s="78"/>
      <c r="F113" s="81" t="s">
        <v>48</v>
      </c>
      <c r="G113" s="82"/>
      <c r="H113" s="39"/>
      <c r="I113" s="110"/>
    </row>
    <row r="114" spans="1:9" ht="16.5" customHeight="1"/>
    <row r="115" spans="1:9">
      <c r="A115" s="266"/>
      <c r="B115" s="266"/>
      <c r="C115" s="266"/>
      <c r="D115" s="266"/>
      <c r="E115" s="266"/>
      <c r="F115" s="266"/>
      <c r="G115" s="266"/>
      <c r="H115" s="266"/>
      <c r="I115" s="266"/>
    </row>
    <row r="116" spans="1:9" ht="27.75">
      <c r="A116" s="267" t="s">
        <v>49</v>
      </c>
      <c r="B116" s="267"/>
      <c r="C116" s="267"/>
      <c r="D116" s="267"/>
      <c r="E116" s="267"/>
      <c r="F116" s="267"/>
      <c r="G116" s="267"/>
      <c r="H116" s="267"/>
      <c r="I116" s="267"/>
    </row>
    <row r="117" spans="1:9" ht="27.75">
      <c r="A117" s="267" t="s">
        <v>50</v>
      </c>
      <c r="B117" s="267"/>
      <c r="C117" s="267"/>
      <c r="D117" s="267"/>
      <c r="E117" s="267"/>
      <c r="F117" s="267"/>
      <c r="G117" s="267"/>
      <c r="H117" s="267"/>
      <c r="I117" s="267"/>
    </row>
    <row r="118" spans="1:9">
      <c r="A118" s="268" t="s">
        <v>0</v>
      </c>
      <c r="B118" s="268"/>
      <c r="C118" s="268"/>
      <c r="D118" s="268"/>
      <c r="E118" s="268"/>
      <c r="F118" s="268"/>
      <c r="G118" s="268"/>
      <c r="H118" s="268"/>
      <c r="I118" s="268"/>
    </row>
    <row r="119" spans="1:9">
      <c r="A119" s="269"/>
      <c r="B119" s="269"/>
      <c r="C119" s="269"/>
      <c r="D119" s="269"/>
      <c r="E119" s="269"/>
      <c r="F119" s="269"/>
      <c r="G119" s="269"/>
      <c r="H119" s="269"/>
      <c r="I119" s="269"/>
    </row>
    <row r="120" spans="1:9" ht="21" thickBot="1">
      <c r="A120" s="270"/>
      <c r="B120" s="271" t="s">
        <v>88</v>
      </c>
      <c r="C120" s="271"/>
      <c r="D120" s="271"/>
      <c r="E120" s="271"/>
      <c r="F120" s="271"/>
      <c r="G120" s="271"/>
      <c r="H120" s="271"/>
      <c r="I120" s="272"/>
    </row>
    <row r="121" spans="1:9" ht="17.25" customHeight="1" thickTop="1">
      <c r="A121" s="270"/>
      <c r="B121" s="273"/>
      <c r="C121" s="273"/>
      <c r="D121" s="273"/>
      <c r="E121" s="273"/>
      <c r="F121" s="273"/>
      <c r="G121" s="273"/>
      <c r="H121" s="5"/>
      <c r="I121" s="272"/>
    </row>
    <row r="122" spans="1:9" ht="16.5" customHeight="1">
      <c r="A122" s="270"/>
      <c r="B122" s="51" t="s">
        <v>20</v>
      </c>
      <c r="C122" s="6" t="str">
        <f>Total!$D$11</f>
        <v>Leung Ching</v>
      </c>
      <c r="D122" s="6" t="str" cm="1">
        <f t="array" ref="D122">INDEX(Total!$C$8:$C$1002,MATCH($C122&amp;$G122,Total!$D$8:$D$1002&amp;Total!$E$8:$E$1002,0))</f>
        <v>Vicky L</v>
      </c>
      <c r="E122" s="52"/>
      <c r="F122" s="53" t="s">
        <v>21</v>
      </c>
      <c r="G122" s="6">
        <f>Total!$E$11</f>
        <v>20851</v>
      </c>
      <c r="H122" s="6"/>
      <c r="I122" s="272"/>
    </row>
    <row r="123" spans="1:9" ht="17.25" customHeight="1" thickBot="1">
      <c r="A123" s="270"/>
      <c r="B123" s="54"/>
      <c r="C123" s="54"/>
      <c r="D123" s="54"/>
      <c r="E123" s="7"/>
      <c r="F123" s="8"/>
      <c r="G123" s="9"/>
      <c r="H123" s="9"/>
      <c r="I123" s="272"/>
    </row>
    <row r="124" spans="1:9" ht="17.25" customHeight="1" thickBot="1">
      <c r="A124" s="270"/>
      <c r="B124" s="83" t="s">
        <v>22</v>
      </c>
      <c r="C124" s="56"/>
      <c r="D124" s="55"/>
      <c r="E124" s="56" t="s">
        <v>23</v>
      </c>
      <c r="F124" s="57"/>
      <c r="G124" s="9"/>
      <c r="H124" s="9"/>
      <c r="I124" s="272"/>
    </row>
    <row r="125" spans="1:9" ht="17.25" customHeight="1" thickTop="1">
      <c r="A125" s="270"/>
      <c r="B125" s="58" t="s">
        <v>24</v>
      </c>
      <c r="C125" s="10"/>
      <c r="D125" s="59"/>
      <c r="E125" s="60" t="s">
        <v>25</v>
      </c>
      <c r="F125" s="11"/>
      <c r="G125" s="9"/>
      <c r="H125" s="9"/>
      <c r="I125" s="272"/>
    </row>
    <row r="126" spans="1:9" ht="16.5" customHeight="1">
      <c r="A126" s="270"/>
      <c r="B126" s="61" t="s">
        <v>26</v>
      </c>
      <c r="C126" s="12"/>
      <c r="D126" s="13"/>
      <c r="E126" s="14" t="str" cm="1">
        <f t="array" ref="E126">INDEX(Total!$F$8:$F$1002,MATCH($C122&amp;$G122,Total!$D$8:$D$1002&amp;Total!$E$8:$E$1002,0))</f>
        <v>Diamond Hill Fortress</v>
      </c>
      <c r="F126" s="15"/>
      <c r="G126" s="9"/>
      <c r="H126" s="9"/>
      <c r="I126" s="272"/>
    </row>
    <row r="127" spans="1:9" ht="24.75" customHeight="1">
      <c r="A127" s="270"/>
      <c r="B127" s="61" t="s">
        <v>27</v>
      </c>
      <c r="C127" s="16"/>
      <c r="D127" s="13"/>
      <c r="E127" s="275" t="str" cm="1">
        <f t="array" ref="E127">INDEX(Total!$G$8:$G$1002,MATCH($C122&amp;$G122,Total!$D$8:$D$1002&amp;Total!$E$8:$E$1002,0))</f>
        <v>Mar/1-2,4,6-8,13-19,21-31</v>
      </c>
      <c r="F127" s="276"/>
      <c r="G127" s="9"/>
      <c r="H127" s="9"/>
      <c r="I127" s="272"/>
    </row>
    <row r="128" spans="1:9" ht="16.5" customHeight="1">
      <c r="A128" s="270"/>
      <c r="B128" s="61" t="s">
        <v>28</v>
      </c>
      <c r="C128" s="16"/>
      <c r="D128" s="13"/>
      <c r="E128" s="62" cm="1">
        <f t="array" ref="E128">INDEX(Total!$H$8:$H$1002,MATCH($C122&amp;$G122,Total!$D$8:$D$1002&amp;Total!$E$8:$E$1002,0))</f>
        <v>24</v>
      </c>
      <c r="F128" s="15"/>
      <c r="G128" s="8"/>
      <c r="H128" s="8"/>
      <c r="I128" s="272"/>
    </row>
    <row r="129" spans="1:10" ht="16.5" customHeight="1">
      <c r="A129" s="270"/>
      <c r="B129" s="61" t="s">
        <v>29</v>
      </c>
      <c r="C129" s="12"/>
      <c r="D129" s="17"/>
      <c r="E129" s="62" cm="1">
        <f t="array" ref="E129">INDEX(Total!$I$8:$I$1002,MATCH($C122&amp;$G122,Total!$D$8:$D$1002&amp;Total!$E$8:$E$1002,0))</f>
        <v>192</v>
      </c>
      <c r="F129" s="18"/>
      <c r="G129" s="8"/>
      <c r="H129" s="8"/>
      <c r="I129" s="272"/>
    </row>
    <row r="130" spans="1:10" ht="16.5" customHeight="1">
      <c r="A130" s="270"/>
      <c r="B130" s="61" t="s">
        <v>30</v>
      </c>
      <c r="C130" s="12"/>
      <c r="D130" s="17"/>
      <c r="E130" s="62" cm="1">
        <f t="array" ref="E130">INDEX(Total!$J$8:$J$1002,MATCH($C122&amp;$G122,Total!$D$8:$D$1002&amp;Total!$E$8:$E$1002,0))</f>
        <v>60</v>
      </c>
      <c r="F130" s="18"/>
      <c r="G130" s="8"/>
      <c r="H130" s="8"/>
      <c r="I130" s="272"/>
    </row>
    <row r="131" spans="1:10" ht="17.25" customHeight="1" thickBot="1">
      <c r="A131" s="270"/>
      <c r="B131" s="63" t="s">
        <v>31</v>
      </c>
      <c r="C131" s="19"/>
      <c r="D131" s="20"/>
      <c r="E131" s="41" cm="1">
        <f t="array" ref="E131">INDEX(Total!$L$8:$L$1002,MATCH($C122&amp;$G122,Total!$D$8:$D$1002&amp;Total!$E$8:$E$1002,0))</f>
        <v>503165</v>
      </c>
      <c r="F131" s="21"/>
      <c r="G131" s="22"/>
      <c r="H131" s="22"/>
      <c r="I131" s="272"/>
    </row>
    <row r="132" spans="1:10" ht="17.25" customHeight="1" thickBot="1">
      <c r="A132" s="270"/>
      <c r="B132" s="23"/>
      <c r="C132" s="23"/>
      <c r="D132" s="23"/>
      <c r="E132" s="23"/>
      <c r="F132" s="23"/>
      <c r="G132" s="23"/>
      <c r="H132" s="23"/>
      <c r="I132" s="272"/>
    </row>
    <row r="133" spans="1:10" ht="17.25" customHeight="1" thickBot="1">
      <c r="A133" s="270"/>
      <c r="B133" s="64"/>
      <c r="C133" s="65" t="s">
        <v>32</v>
      </c>
      <c r="D133" s="66"/>
      <c r="E133" s="66"/>
      <c r="F133" s="84" t="s">
        <v>33</v>
      </c>
      <c r="G133" s="84"/>
      <c r="H133" s="24"/>
      <c r="I133" s="272"/>
    </row>
    <row r="134" spans="1:10" ht="17.25" customHeight="1" thickTop="1">
      <c r="A134" s="270"/>
      <c r="B134" s="67"/>
      <c r="C134" s="58" t="s">
        <v>34</v>
      </c>
      <c r="D134" s="68"/>
      <c r="E134" s="68"/>
      <c r="F134" s="69"/>
      <c r="G134" s="70" cm="1">
        <f t="array" ref="G134">INDEX(Total!$K$8:$K$1002,MATCH($C122&amp;$G122,Total!$D$8:$D$1002&amp;Total!$E$8:$E$1002,0))</f>
        <v>11520</v>
      </c>
      <c r="H134" s="25"/>
      <c r="I134" s="272"/>
    </row>
    <row r="135" spans="1:10" ht="16.5" customHeight="1">
      <c r="A135" s="270"/>
      <c r="B135" s="67"/>
      <c r="C135" s="61" t="str">
        <f>表格1[[#Headers],[三門雪櫃特佣 GR-RM469WE-PGA(B3)]]</f>
        <v>三門雪櫃特佣 GR-RM469WE-PGA(B3)</v>
      </c>
      <c r="D135" s="26"/>
      <c r="E135" s="26"/>
      <c r="F135" s="27"/>
      <c r="G135" s="71" cm="1">
        <f t="array" ref="G135">INDEX(Total!$AH$8:$AH$1002,MATCH($C122&amp;$G122,Total!$D$8:$D$1002&amp;Total!$E$8:$E$1002,0))</f>
        <v>23963</v>
      </c>
      <c r="H135" s="28"/>
      <c r="I135" s="272"/>
    </row>
    <row r="136" spans="1:10" ht="16.5" customHeight="1">
      <c r="A136" s="270"/>
      <c r="B136" s="67"/>
      <c r="C136" s="61" t="s">
        <v>36</v>
      </c>
      <c r="D136" s="29"/>
      <c r="E136" s="29"/>
      <c r="F136" s="27"/>
      <c r="G136" s="71" cm="1">
        <f t="array" ref="G136">INDEX(Total!$N$8:$N$1002,MATCH($C122&amp;$G122,Total!$D$8:$D$1002&amp;Total!$E$8:$E$1002,0))</f>
        <v>10063.300000000001</v>
      </c>
      <c r="H136" s="28"/>
      <c r="I136" s="272"/>
    </row>
    <row r="137" spans="1:10" ht="16.5" customHeight="1">
      <c r="A137" s="270"/>
      <c r="B137" s="67"/>
      <c r="C137" s="61" t="s">
        <v>67</v>
      </c>
      <c r="D137" s="30"/>
      <c r="E137" s="30"/>
      <c r="F137" s="27"/>
      <c r="G137" s="71" cm="1">
        <f t="array" ref="G137">INDEX(Total!$P$8:$P$1002,MATCH($C122&amp;$G122,Total!$D$8:$D$1002&amp;Total!$E$8:$E$1002,0))</f>
        <v>0</v>
      </c>
      <c r="H137" s="28"/>
      <c r="I137" s="272"/>
    </row>
    <row r="138" spans="1:10" ht="16.5" customHeight="1">
      <c r="A138" s="270"/>
      <c r="B138" s="67"/>
      <c r="C138" s="61" t="str">
        <f>表格1[[#Headers],[嵌入式微波氣炸蒸焗爐特佣 EB-T500APW]]</f>
        <v>嵌入式微波氣炸蒸焗爐特佣 EB-T500APW</v>
      </c>
      <c r="D138" s="30"/>
      <c r="E138" s="30"/>
      <c r="F138" s="27"/>
      <c r="G138" s="71" cm="1">
        <f t="array" ref="G138">INDEX(Total!$S$8:$S$1002,MATCH($C122&amp;$G122,Total!$D$8:$D$1002&amp;Total!$E$8:$E$1002,0))</f>
        <v>0</v>
      </c>
      <c r="H138" s="28"/>
      <c r="I138" s="272"/>
    </row>
    <row r="139" spans="1:10" ht="16.5" customHeight="1">
      <c r="A139" s="270"/>
      <c r="B139" s="67"/>
      <c r="C139" s="61" t="str">
        <f>表格1[[#Headers],[蒸氣烤焗水波爐特佣 ER-VD7000HK(XK)]]</f>
        <v>蒸氣烤焗水波爐特佣 ER-VD7000HK(XK)</v>
      </c>
      <c r="D139" s="26" t="s">
        <v>4</v>
      </c>
      <c r="E139" s="26"/>
      <c r="F139" s="27"/>
      <c r="G139" s="71" cm="1">
        <f t="array" ref="G139">INDEX(Total!$T$8:$T$1002,MATCH($C122&amp;$G122,Total!$D$8:$D$1002&amp;Total!$E$8:$E$1002,0))</f>
        <v>880</v>
      </c>
      <c r="H139" s="28"/>
      <c r="I139" s="272"/>
    </row>
    <row r="140" spans="1:10" ht="16.5" customHeight="1">
      <c r="A140" s="270"/>
      <c r="B140" s="67"/>
      <c r="C140" s="61" t="str">
        <f>表格1[[#Headers],[日本飯煲 RC-DS10K/18K]]</f>
        <v>日本飯煲 RC-DS10K/18K</v>
      </c>
      <c r="D140" s="30"/>
      <c r="E140" s="30"/>
      <c r="F140" s="27"/>
      <c r="G140" s="71" cm="1">
        <f t="array" ref="G140">INDEX(Total!$Q$8:$Q$1002,MATCH($C122&amp;$G122,Total!$D$8:$D$1002&amp;Total!$E$8:$E$1002,0))</f>
        <v>0</v>
      </c>
      <c r="H140" s="28"/>
      <c r="I140" s="272"/>
    </row>
    <row r="141" spans="1:10" ht="16.5" customHeight="1">
      <c r="A141" s="270"/>
      <c r="B141" s="67"/>
      <c r="C141" s="61" t="str">
        <f>表格1[[#Headers],[TWDT21BU95 ]]</f>
        <v xml:space="preserve">TWDT21BU95 </v>
      </c>
      <c r="D141" s="30"/>
      <c r="E141" s="30"/>
      <c r="F141" s="27"/>
      <c r="G141" s="71" cm="1">
        <f t="array" ref="G141">INDEX(Total!$U$8:$U$1002,MATCH($C122&amp;$G122,Total!$D$8:$D$1002&amp;Total!$E$8:$E$1002,0))</f>
        <v>0</v>
      </c>
      <c r="H141" s="28"/>
      <c r="I141" s="272"/>
    </row>
    <row r="142" spans="1:10" ht="16.5" customHeight="1">
      <c r="A142" s="270"/>
      <c r="B142" s="67"/>
      <c r="C142" s="103" t="str">
        <f>表格1[[#Headers],[日式洗衣機二特佣 AW-Q801APH(WW)]]</f>
        <v>日式洗衣機二特佣 AW-Q801APH(WW)</v>
      </c>
      <c r="D142" s="30"/>
      <c r="E142" s="30"/>
      <c r="F142" s="27"/>
      <c r="G142" s="71" cm="1">
        <f t="array" ref="G142">INDEX(Total!$Z$8:$Z$1002,MATCH($C122&amp;$G122,Total!$D$8:$D$1002&amp;Total!$E$8:$E$1002,0))</f>
        <v>0</v>
      </c>
      <c r="H142" s="102"/>
      <c r="I142" s="272"/>
    </row>
    <row r="143" spans="1:10" ht="17.25" customHeight="1" thickBot="1">
      <c r="A143" s="270"/>
      <c r="B143" s="67"/>
      <c r="C143" s="72" t="s">
        <v>39</v>
      </c>
      <c r="D143" s="31"/>
      <c r="E143" s="31"/>
      <c r="F143" s="32"/>
      <c r="G143" s="73" cm="1">
        <f t="array" ref="G143">INDEX(Total!$W$8:$W$1002,MATCH($C122&amp;$G122,Total!$D$8:$D$1002&amp;Total!$E$8:$E$1002,0))</f>
        <v>0</v>
      </c>
      <c r="H143" s="33"/>
      <c r="I143" s="272"/>
    </row>
    <row r="144" spans="1:10" ht="18" customHeight="1" thickTop="1" thickBot="1">
      <c r="A144" s="270"/>
      <c r="B144" s="74"/>
      <c r="C144" s="75"/>
      <c r="D144" s="34"/>
      <c r="E144" s="35" t="s">
        <v>43</v>
      </c>
      <c r="F144" s="274">
        <f>SUM($G134:$G143)</f>
        <v>46426.3</v>
      </c>
      <c r="G144" s="274"/>
      <c r="H144" s="36"/>
      <c r="I144" s="272"/>
      <c r="J144" s="37" cm="1">
        <f t="array" ref="J144">INDEX(Total!$AJ$8:$AJ$1002,MATCH($C122&amp;$G122,Total!$D$8:$D$1002&amp;Total!$E$8:$E$1002,0))</f>
        <v>23963.300000000003</v>
      </c>
    </row>
    <row r="145" spans="1:9" ht="16.5" customHeight="1">
      <c r="A145" s="270"/>
      <c r="B145" s="54"/>
      <c r="C145" s="54"/>
      <c r="D145" s="54"/>
      <c r="E145" s="54"/>
      <c r="F145" s="262"/>
      <c r="G145" s="263"/>
      <c r="H145" s="9"/>
      <c r="I145" s="272"/>
    </row>
    <row r="146" spans="1:9" ht="16.5" customHeight="1">
      <c r="A146" s="270"/>
      <c r="B146" s="76" t="s">
        <v>44</v>
      </c>
      <c r="C146" s="54"/>
      <c r="D146" s="54"/>
      <c r="E146" s="54"/>
      <c r="F146" s="263"/>
      <c r="G146" s="263"/>
      <c r="H146" s="9"/>
      <c r="I146" s="272"/>
    </row>
    <row r="147" spans="1:9" ht="16.5" customHeight="1">
      <c r="A147" s="270"/>
      <c r="B147" s="76" t="s">
        <v>45</v>
      </c>
      <c r="C147" s="54"/>
      <c r="D147" s="264"/>
      <c r="E147" s="264"/>
      <c r="F147" s="263"/>
      <c r="G147" s="263"/>
      <c r="H147" s="9"/>
      <c r="I147" s="272"/>
    </row>
    <row r="148" spans="1:9" ht="16.5" customHeight="1">
      <c r="A148" s="270"/>
      <c r="B148" s="76" t="s">
        <v>46</v>
      </c>
      <c r="C148" s="54"/>
      <c r="D148" s="54"/>
      <c r="E148" s="54"/>
      <c r="F148" s="54"/>
      <c r="G148" s="54"/>
      <c r="H148" s="9"/>
      <c r="I148" s="272"/>
    </row>
    <row r="149" spans="1:9" ht="16.5" customHeight="1">
      <c r="A149" s="270"/>
      <c r="B149" s="77"/>
      <c r="C149" s="7"/>
      <c r="D149" s="78"/>
      <c r="E149" s="265" t="s">
        <v>47</v>
      </c>
      <c r="F149" s="265"/>
      <c r="G149" s="79"/>
      <c r="H149" s="38"/>
      <c r="I149" s="272"/>
    </row>
    <row r="150" spans="1:9" ht="16.5" customHeight="1">
      <c r="A150" s="270"/>
      <c r="B150" s="7"/>
      <c r="C150" s="7"/>
      <c r="D150" s="80"/>
      <c r="E150" s="80"/>
      <c r="F150" s="7"/>
      <c r="G150" s="7"/>
      <c r="H150" s="7"/>
      <c r="I150" s="272"/>
    </row>
    <row r="151" spans="1:9" ht="16.5" customHeight="1">
      <c r="A151" s="270"/>
      <c r="B151" s="7"/>
      <c r="C151" s="7"/>
      <c r="D151" s="80"/>
      <c r="E151" s="78"/>
      <c r="F151" s="81" t="s">
        <v>48</v>
      </c>
      <c r="G151" s="82"/>
      <c r="H151" s="39"/>
      <c r="I151" s="272"/>
    </row>
    <row r="152" spans="1:9" ht="16.5" customHeight="1"/>
    <row r="153" spans="1:9">
      <c r="A153" s="266"/>
      <c r="B153" s="266"/>
      <c r="C153" s="266"/>
      <c r="D153" s="266"/>
      <c r="E153" s="266"/>
      <c r="F153" s="266"/>
      <c r="G153" s="266"/>
      <c r="H153" s="266"/>
      <c r="I153" s="266"/>
    </row>
    <row r="154" spans="1:9" ht="27.75">
      <c r="A154" s="267" t="s">
        <v>49</v>
      </c>
      <c r="B154" s="267"/>
      <c r="C154" s="267"/>
      <c r="D154" s="267"/>
      <c r="E154" s="267"/>
      <c r="F154" s="267"/>
      <c r="G154" s="267"/>
      <c r="H154" s="267"/>
      <c r="I154" s="267"/>
    </row>
    <row r="155" spans="1:9" ht="27.75">
      <c r="A155" s="267" t="s">
        <v>50</v>
      </c>
      <c r="B155" s="267"/>
      <c r="C155" s="267"/>
      <c r="D155" s="267"/>
      <c r="E155" s="267"/>
      <c r="F155" s="267"/>
      <c r="G155" s="267"/>
      <c r="H155" s="267"/>
      <c r="I155" s="267"/>
    </row>
    <row r="156" spans="1:9">
      <c r="A156" s="268" t="s">
        <v>0</v>
      </c>
      <c r="B156" s="268"/>
      <c r="C156" s="268"/>
      <c r="D156" s="268"/>
      <c r="E156" s="268"/>
      <c r="F156" s="268"/>
      <c r="G156" s="268"/>
      <c r="H156" s="268"/>
      <c r="I156" s="268"/>
    </row>
    <row r="157" spans="1:9">
      <c r="A157" s="269"/>
      <c r="B157" s="269"/>
      <c r="C157" s="269"/>
      <c r="D157" s="269"/>
      <c r="E157" s="269"/>
      <c r="F157" s="269"/>
      <c r="G157" s="269"/>
      <c r="H157" s="269"/>
      <c r="I157" s="269"/>
    </row>
    <row r="158" spans="1:9" ht="21" thickBot="1">
      <c r="A158" s="270"/>
      <c r="B158" s="271" t="s">
        <v>88</v>
      </c>
      <c r="C158" s="271"/>
      <c r="D158" s="271"/>
      <c r="E158" s="271"/>
      <c r="F158" s="271"/>
      <c r="G158" s="271"/>
      <c r="H158" s="271"/>
      <c r="I158" s="272"/>
    </row>
    <row r="159" spans="1:9" ht="17.25" customHeight="1" thickTop="1">
      <c r="A159" s="270"/>
      <c r="B159" s="273"/>
      <c r="C159" s="273"/>
      <c r="D159" s="273"/>
      <c r="E159" s="273"/>
      <c r="F159" s="273"/>
      <c r="G159" s="273"/>
      <c r="H159" s="5"/>
      <c r="I159" s="272"/>
    </row>
    <row r="160" spans="1:9" ht="16.5" customHeight="1">
      <c r="A160" s="270"/>
      <c r="B160" s="51" t="s">
        <v>20</v>
      </c>
      <c r="C160" s="6" t="str">
        <f>Total!$D$12</f>
        <v>Lo Muk Chun</v>
      </c>
      <c r="D160" s="6" t="str" cm="1">
        <f t="array" ref="D160">INDEX(Total!$C$8:$C$1002,MATCH($C160&amp;$G160,Total!$D$8:$D$1002&amp;Total!$E$8:$E$1002,0))</f>
        <v>Michelle</v>
      </c>
      <c r="E160" s="52"/>
      <c r="F160" s="53" t="s">
        <v>21</v>
      </c>
      <c r="G160" s="6" t="str">
        <f>Total!$E$12</f>
        <v>Autopay</v>
      </c>
      <c r="H160" s="6"/>
      <c r="I160" s="272"/>
    </row>
    <row r="161" spans="1:9" ht="17.25" customHeight="1" thickBot="1">
      <c r="A161" s="270"/>
      <c r="B161" s="54"/>
      <c r="C161" s="54"/>
      <c r="D161" s="54"/>
      <c r="E161" s="7"/>
      <c r="F161" s="8"/>
      <c r="G161" s="9"/>
      <c r="H161" s="9"/>
      <c r="I161" s="272"/>
    </row>
    <row r="162" spans="1:9" ht="17.25" customHeight="1" thickBot="1">
      <c r="A162" s="270"/>
      <c r="B162" s="83" t="s">
        <v>22</v>
      </c>
      <c r="C162" s="56"/>
      <c r="D162" s="55"/>
      <c r="E162" s="56" t="s">
        <v>23</v>
      </c>
      <c r="F162" s="57"/>
      <c r="G162" s="9"/>
      <c r="H162" s="9"/>
      <c r="I162" s="272"/>
    </row>
    <row r="163" spans="1:9" ht="17.25" customHeight="1" thickTop="1">
      <c r="A163" s="270"/>
      <c r="B163" s="58" t="s">
        <v>24</v>
      </c>
      <c r="C163" s="10"/>
      <c r="D163" s="59"/>
      <c r="E163" s="60" t="s">
        <v>25</v>
      </c>
      <c r="F163" s="11"/>
      <c r="G163" s="9"/>
      <c r="H163" s="9"/>
      <c r="I163" s="272"/>
    </row>
    <row r="164" spans="1:9" ht="16.5" customHeight="1">
      <c r="A164" s="270"/>
      <c r="B164" s="61" t="s">
        <v>26</v>
      </c>
      <c r="C164" s="12"/>
      <c r="D164" s="13"/>
      <c r="E164" s="14" t="str" cm="1">
        <f t="array" ref="E164">INDEX(Total!$F$8:$F$1002,MATCH($C160&amp;$G160,Total!$D$8:$D$1002&amp;Total!$E$8:$E$1002,0))</f>
        <v>Good Hope Fortress</v>
      </c>
      <c r="F164" s="15"/>
      <c r="G164" s="9"/>
      <c r="H164" s="9"/>
      <c r="I164" s="272"/>
    </row>
    <row r="165" spans="1:9" ht="29.25" customHeight="1">
      <c r="A165" s="270"/>
      <c r="B165" s="61" t="s">
        <v>27</v>
      </c>
      <c r="C165" s="16"/>
      <c r="D165" s="13"/>
      <c r="E165" s="275" t="str" cm="1">
        <f t="array" ref="E165">INDEX(Total!$G$8:$G$1002,MATCH($C160&amp;$G160,Total!$D$8:$D$1002&amp;Total!$E$8:$E$1002,0))</f>
        <v>Mar/1,5-8,11-15,17-22,25-29,31</v>
      </c>
      <c r="F165" s="276"/>
      <c r="G165" s="9"/>
      <c r="H165" s="9"/>
      <c r="I165" s="272"/>
    </row>
    <row r="166" spans="1:9" ht="16.5" customHeight="1">
      <c r="A166" s="270"/>
      <c r="B166" s="61" t="s">
        <v>28</v>
      </c>
      <c r="C166" s="16"/>
      <c r="D166" s="13"/>
      <c r="E166" s="62" cm="1">
        <f t="array" ref="E166">INDEX(Total!$H$8:$H$1002,MATCH($C160&amp;$G160,Total!$D$8:$D$1002&amp;Total!$E$8:$E$1002,0))</f>
        <v>22</v>
      </c>
      <c r="F166" s="15"/>
      <c r="G166" s="8"/>
      <c r="H166" s="8"/>
      <c r="I166" s="272"/>
    </row>
    <row r="167" spans="1:9" ht="16.5" customHeight="1">
      <c r="A167" s="270"/>
      <c r="B167" s="61" t="s">
        <v>29</v>
      </c>
      <c r="C167" s="12"/>
      <c r="D167" s="17"/>
      <c r="E167" s="62" cm="1">
        <f t="array" ref="E167">INDEX(Total!$I$8:$I$1002,MATCH($C160&amp;$G160,Total!$D$8:$D$1002&amp;Total!$E$8:$E$1002,0))</f>
        <v>176</v>
      </c>
      <c r="F167" s="18"/>
      <c r="G167" s="8"/>
      <c r="H167" s="8"/>
      <c r="I167" s="272"/>
    </row>
    <row r="168" spans="1:9" ht="16.5" customHeight="1">
      <c r="A168" s="270"/>
      <c r="B168" s="61" t="s">
        <v>30</v>
      </c>
      <c r="C168" s="12"/>
      <c r="D168" s="17"/>
      <c r="E168" s="62" cm="1">
        <f t="array" ref="E168">INDEX(Total!$J$8:$J$1002,MATCH($C160&amp;$G160,Total!$D$8:$D$1002&amp;Total!$E$8:$E$1002,0))</f>
        <v>60</v>
      </c>
      <c r="F168" s="18"/>
      <c r="G168" s="8"/>
      <c r="H168" s="8"/>
      <c r="I168" s="272"/>
    </row>
    <row r="169" spans="1:9" ht="17.25" customHeight="1" thickBot="1">
      <c r="A169" s="270"/>
      <c r="B169" s="63" t="s">
        <v>31</v>
      </c>
      <c r="C169" s="19"/>
      <c r="D169" s="20"/>
      <c r="E169" s="41" cm="1">
        <f t="array" ref="E169">INDEX(Total!$L$8:$L$1002,MATCH($C160&amp;$G160,Total!$D$8:$D$1002&amp;Total!$E$8:$E$1002,0))</f>
        <v>442858</v>
      </c>
      <c r="F169" s="21"/>
      <c r="G169" s="22"/>
      <c r="H169" s="22"/>
      <c r="I169" s="272"/>
    </row>
    <row r="170" spans="1:9" ht="17.25" customHeight="1" thickBot="1">
      <c r="A170" s="270"/>
      <c r="B170" s="23"/>
      <c r="C170" s="23"/>
      <c r="D170" s="23"/>
      <c r="E170" s="23"/>
      <c r="F170" s="23"/>
      <c r="G170" s="23"/>
      <c r="H170" s="23"/>
      <c r="I170" s="272"/>
    </row>
    <row r="171" spans="1:9" ht="17.25" customHeight="1" thickBot="1">
      <c r="A171" s="270"/>
      <c r="B171" s="64"/>
      <c r="C171" s="65" t="s">
        <v>32</v>
      </c>
      <c r="D171" s="66"/>
      <c r="E171" s="66"/>
      <c r="F171" s="84" t="s">
        <v>33</v>
      </c>
      <c r="G171" s="84"/>
      <c r="H171" s="24"/>
      <c r="I171" s="272"/>
    </row>
    <row r="172" spans="1:9" ht="17.25" customHeight="1" thickTop="1">
      <c r="A172" s="270"/>
      <c r="B172" s="67"/>
      <c r="C172" s="58" t="s">
        <v>34</v>
      </c>
      <c r="D172" s="68"/>
      <c r="E172" s="68"/>
      <c r="F172" s="69"/>
      <c r="G172" s="70" cm="1">
        <f t="array" ref="G172">INDEX(Total!$K$8:$K$1002,MATCH($C160&amp;$G160,Total!$D$8:$D$1002&amp;Total!$E$8:$E$1002,0))</f>
        <v>10560</v>
      </c>
      <c r="H172" s="25"/>
      <c r="I172" s="272"/>
    </row>
    <row r="173" spans="1:9" ht="16.5" customHeight="1">
      <c r="A173" s="270"/>
      <c r="B173" s="67"/>
      <c r="C173" s="61" t="str">
        <f>表格1[[#Headers],[三門雪櫃特佣 GR-RM469WE-PGA(B3)]]</f>
        <v>三門雪櫃特佣 GR-RM469WE-PGA(B3)</v>
      </c>
      <c r="D173" s="26"/>
      <c r="E173" s="26"/>
      <c r="F173" s="27"/>
      <c r="G173" s="71" cm="1">
        <f t="array" ref="G173">INDEX(Total!$AH$8:$AH$1002,MATCH($C160&amp;$G160,Total!$D$8:$D$1002&amp;Total!$E$8:$E$1002,0))</f>
        <v>20397</v>
      </c>
      <c r="H173" s="28"/>
      <c r="I173" s="272"/>
    </row>
    <row r="174" spans="1:9" ht="16.5" customHeight="1">
      <c r="A174" s="270"/>
      <c r="B174" s="67"/>
      <c r="C174" s="61" t="s">
        <v>36</v>
      </c>
      <c r="D174" s="29"/>
      <c r="E174" s="29"/>
      <c r="F174" s="27"/>
      <c r="G174" s="71" cm="1">
        <f t="array" ref="G174">INDEX(Total!$N$8:$N$1002,MATCH($C160&amp;$G160,Total!$D$8:$D$1002&amp;Total!$E$8:$E$1002,0))</f>
        <v>8857.16</v>
      </c>
      <c r="H174" s="28"/>
      <c r="I174" s="272"/>
    </row>
    <row r="175" spans="1:9" ht="16.5" customHeight="1">
      <c r="A175" s="270"/>
      <c r="B175" s="67"/>
      <c r="C175" s="61" t="s">
        <v>67</v>
      </c>
      <c r="D175" s="30"/>
      <c r="E175" s="30"/>
      <c r="F175" s="27"/>
      <c r="G175" s="71" cm="1">
        <f t="array" ref="G175">INDEX(Total!$P$8:$P$1002,MATCH($C160&amp;$G160,Total!$D$8:$D$1002&amp;Total!$E$8:$E$1002,0))</f>
        <v>0</v>
      </c>
      <c r="H175" s="28"/>
      <c r="I175" s="272"/>
    </row>
    <row r="176" spans="1:9" ht="16.5" customHeight="1">
      <c r="A176" s="270"/>
      <c r="B176" s="67"/>
      <c r="C176" s="61" t="str">
        <f>表格1[[#Headers],[嵌入式微波氣炸蒸焗爐特佣 EB-T500APW]]</f>
        <v>嵌入式微波氣炸蒸焗爐特佣 EB-T500APW</v>
      </c>
      <c r="D176" s="30"/>
      <c r="E176" s="30"/>
      <c r="F176" s="27"/>
      <c r="G176" s="71" cm="1">
        <f t="array" ref="G176">INDEX(Total!$S$8:$S$1002,MATCH($C160&amp;$G160,Total!$D$8:$D$1002&amp;Total!$E$8:$E$1002,0))</f>
        <v>0</v>
      </c>
      <c r="H176" s="28"/>
      <c r="I176" s="272"/>
    </row>
    <row r="177" spans="1:10" ht="16.5" customHeight="1">
      <c r="A177" s="270"/>
      <c r="B177" s="67"/>
      <c r="C177" s="61" t="str">
        <f>表格1[[#Headers],[蒸氣烤焗水波爐特佣 ER-VD7000HK(XK)]]</f>
        <v>蒸氣烤焗水波爐特佣 ER-VD7000HK(XK)</v>
      </c>
      <c r="D177" s="26" t="s">
        <v>4</v>
      </c>
      <c r="E177" s="26"/>
      <c r="F177" s="27"/>
      <c r="G177" s="71" cm="1">
        <f t="array" ref="G177">INDEX(Total!$T$8:$T$1002,MATCH($C160&amp;$G160,Total!$D$8:$D$1002&amp;Total!$E$8:$E$1002,0))</f>
        <v>480</v>
      </c>
      <c r="H177" s="28"/>
      <c r="I177" s="272"/>
    </row>
    <row r="178" spans="1:10" ht="16.5" customHeight="1">
      <c r="A178" s="270"/>
      <c r="B178" s="67"/>
      <c r="C178" s="61" t="str">
        <f>表格1[[#Headers],[日本飯煲 RC-DS10K/18K]]</f>
        <v>日本飯煲 RC-DS10K/18K</v>
      </c>
      <c r="D178" s="30"/>
      <c r="E178" s="30"/>
      <c r="F178" s="27"/>
      <c r="G178" s="71" cm="1">
        <f t="array" ref="G178">INDEX(Total!$Q$8:$Q$1002,MATCH($C160&amp;$G160,Total!$D$8:$D$1002&amp;Total!$E$8:$E$1002,0))</f>
        <v>0</v>
      </c>
      <c r="H178" s="28"/>
      <c r="I178" s="272"/>
    </row>
    <row r="179" spans="1:10" ht="16.5" customHeight="1">
      <c r="A179" s="270"/>
      <c r="B179" s="67"/>
      <c r="C179" s="61" t="str">
        <f>表格1[[#Headers],[TWDT21BU95 ]]</f>
        <v xml:space="preserve">TWDT21BU95 </v>
      </c>
      <c r="D179" s="30"/>
      <c r="E179" s="30"/>
      <c r="F179" s="27"/>
      <c r="G179" s="71" cm="1">
        <f t="array" ref="G179">INDEX(Total!$U$8:$U$1002,MATCH($C160&amp;$G160,Total!$D$8:$D$1002&amp;Total!$E$8:$E$1002,0))</f>
        <v>0</v>
      </c>
      <c r="H179" s="28"/>
      <c r="I179" s="272"/>
    </row>
    <row r="180" spans="1:10" ht="16.5" customHeight="1">
      <c r="A180" s="270"/>
      <c r="B180" s="67"/>
      <c r="C180" s="103" t="str">
        <f>表格1[[#Headers],[日式洗衣機二特佣 AW-Q801APH(WW)]]</f>
        <v>日式洗衣機二特佣 AW-Q801APH(WW)</v>
      </c>
      <c r="D180" s="30"/>
      <c r="E180" s="30"/>
      <c r="F180" s="27"/>
      <c r="G180" s="71" cm="1">
        <f t="array" ref="G180">INDEX(Total!$Z$8:$Z$1002,MATCH($C160&amp;$G160,Total!$D$8:$D$1002&amp;Total!$E$8:$E$1002,0))</f>
        <v>0</v>
      </c>
      <c r="H180" s="102"/>
      <c r="I180" s="272"/>
    </row>
    <row r="181" spans="1:10" ht="17.25" customHeight="1" thickBot="1">
      <c r="A181" s="270"/>
      <c r="B181" s="67"/>
      <c r="C181" s="72" t="s">
        <v>39</v>
      </c>
      <c r="D181" s="31"/>
      <c r="E181" s="31"/>
      <c r="F181" s="32"/>
      <c r="G181" s="73" cm="1">
        <f t="array" ref="G181">INDEX(Total!$W$8:$W$1002,MATCH($C160&amp;$G160,Total!$D$8:$D$1002&amp;Total!$E$8:$E$1002,0))</f>
        <v>0</v>
      </c>
      <c r="H181" s="33"/>
      <c r="I181" s="272"/>
    </row>
    <row r="182" spans="1:10" ht="18" customHeight="1" thickTop="1" thickBot="1">
      <c r="A182" s="270"/>
      <c r="B182" s="74"/>
      <c r="C182" s="75"/>
      <c r="D182" s="34"/>
      <c r="E182" s="35" t="s">
        <v>43</v>
      </c>
      <c r="F182" s="274">
        <f>SUM($G172:$G181)</f>
        <v>40294.160000000003</v>
      </c>
      <c r="G182" s="274"/>
      <c r="H182" s="36"/>
      <c r="I182" s="272"/>
      <c r="J182" s="37" cm="1">
        <f t="array" ref="J182">INDEX(Total!$AJ$8:$AJ$1002,MATCH($C160&amp;$G160,Total!$D$8:$D$1002&amp;Total!$E$8:$E$1002,0))</f>
        <v>20397.16</v>
      </c>
    </row>
    <row r="183" spans="1:10" ht="16.5" customHeight="1">
      <c r="A183" s="270"/>
      <c r="B183" s="54"/>
      <c r="C183" s="54"/>
      <c r="D183" s="54"/>
      <c r="E183" s="54"/>
      <c r="F183" s="262"/>
      <c r="G183" s="263"/>
      <c r="H183" s="9"/>
      <c r="I183" s="272"/>
    </row>
    <row r="184" spans="1:10" ht="16.5" customHeight="1">
      <c r="A184" s="270"/>
      <c r="B184" s="76" t="s">
        <v>44</v>
      </c>
      <c r="C184" s="54"/>
      <c r="D184" s="54"/>
      <c r="E184" s="54"/>
      <c r="F184" s="263"/>
      <c r="G184" s="263"/>
      <c r="H184" s="9"/>
      <c r="I184" s="272"/>
    </row>
    <row r="185" spans="1:10" ht="16.5" customHeight="1">
      <c r="A185" s="270"/>
      <c r="B185" s="76" t="s">
        <v>45</v>
      </c>
      <c r="C185" s="54"/>
      <c r="D185" s="264"/>
      <c r="E185" s="264"/>
      <c r="F185" s="263"/>
      <c r="G185" s="263"/>
      <c r="H185" s="9"/>
      <c r="I185" s="272"/>
    </row>
    <row r="186" spans="1:10" ht="16.5" customHeight="1">
      <c r="A186" s="270"/>
      <c r="B186" s="76" t="s">
        <v>46</v>
      </c>
      <c r="C186" s="54"/>
      <c r="D186" s="54"/>
      <c r="E186" s="54"/>
      <c r="F186" s="54"/>
      <c r="G186" s="54"/>
      <c r="H186" s="9"/>
      <c r="I186" s="272"/>
    </row>
    <row r="187" spans="1:10" ht="16.5" customHeight="1">
      <c r="A187" s="270"/>
      <c r="B187" s="77"/>
      <c r="C187" s="7"/>
      <c r="D187" s="78"/>
      <c r="E187" s="265" t="s">
        <v>47</v>
      </c>
      <c r="F187" s="265"/>
      <c r="G187" s="79"/>
      <c r="H187" s="38"/>
      <c r="I187" s="272"/>
    </row>
    <row r="188" spans="1:10" ht="16.5" customHeight="1">
      <c r="A188" s="270"/>
      <c r="B188" s="7"/>
      <c r="C188" s="7"/>
      <c r="D188" s="80"/>
      <c r="E188" s="80"/>
      <c r="F188" s="7"/>
      <c r="G188" s="7"/>
      <c r="H188" s="7"/>
      <c r="I188" s="272"/>
    </row>
    <row r="189" spans="1:10" ht="16.5" customHeight="1">
      <c r="A189" s="270"/>
      <c r="B189" s="7"/>
      <c r="C189" s="7"/>
      <c r="D189" s="80"/>
      <c r="E189" s="78"/>
      <c r="F189" s="81" t="s">
        <v>48</v>
      </c>
      <c r="G189" s="82"/>
      <c r="H189" s="39"/>
      <c r="I189" s="272"/>
    </row>
    <row r="190" spans="1:10" ht="16.5" customHeight="1"/>
    <row r="191" spans="1:10">
      <c r="A191" s="266"/>
      <c r="B191" s="266"/>
      <c r="C191" s="266"/>
      <c r="D191" s="266"/>
      <c r="E191" s="266"/>
      <c r="F191" s="266"/>
      <c r="G191" s="266"/>
      <c r="H191" s="266"/>
      <c r="I191" s="266"/>
    </row>
    <row r="192" spans="1:10" ht="27.75">
      <c r="A192" s="267" t="s">
        <v>49</v>
      </c>
      <c r="B192" s="267"/>
      <c r="C192" s="267"/>
      <c r="D192" s="267"/>
      <c r="E192" s="267"/>
      <c r="F192" s="267"/>
      <c r="G192" s="267"/>
      <c r="H192" s="267"/>
      <c r="I192" s="267"/>
    </row>
    <row r="193" spans="1:9" ht="27.75">
      <c r="A193" s="267" t="s">
        <v>50</v>
      </c>
      <c r="B193" s="267"/>
      <c r="C193" s="267"/>
      <c r="D193" s="267"/>
      <c r="E193" s="267"/>
      <c r="F193" s="267"/>
      <c r="G193" s="267"/>
      <c r="H193" s="267"/>
      <c r="I193" s="267"/>
    </row>
    <row r="194" spans="1:9">
      <c r="A194" s="268" t="s">
        <v>0</v>
      </c>
      <c r="B194" s="268"/>
      <c r="C194" s="268"/>
      <c r="D194" s="268"/>
      <c r="E194" s="268"/>
      <c r="F194" s="268"/>
      <c r="G194" s="268"/>
      <c r="H194" s="268"/>
      <c r="I194" s="268"/>
    </row>
    <row r="195" spans="1:9">
      <c r="A195" s="269"/>
      <c r="B195" s="269"/>
      <c r="C195" s="269"/>
      <c r="D195" s="269"/>
      <c r="E195" s="269"/>
      <c r="F195" s="269"/>
      <c r="G195" s="269"/>
      <c r="H195" s="269"/>
      <c r="I195" s="269"/>
    </row>
    <row r="196" spans="1:9" ht="21" thickBot="1">
      <c r="A196" s="270"/>
      <c r="B196" s="271" t="s">
        <v>88</v>
      </c>
      <c r="C196" s="271"/>
      <c r="D196" s="271"/>
      <c r="E196" s="271"/>
      <c r="F196" s="271"/>
      <c r="G196" s="271"/>
      <c r="H196" s="271"/>
      <c r="I196" s="272"/>
    </row>
    <row r="197" spans="1:9" ht="17.25" customHeight="1" thickTop="1">
      <c r="A197" s="270"/>
      <c r="B197" s="273"/>
      <c r="C197" s="273"/>
      <c r="D197" s="273"/>
      <c r="E197" s="273"/>
      <c r="F197" s="273"/>
      <c r="G197" s="273"/>
      <c r="H197" s="5"/>
      <c r="I197" s="272"/>
    </row>
    <row r="198" spans="1:9" ht="16.5" customHeight="1">
      <c r="A198" s="270"/>
      <c r="B198" s="51" t="s">
        <v>20</v>
      </c>
      <c r="C198" s="6" t="str">
        <f>Total!$D$13</f>
        <v>Chiu Kan</v>
      </c>
      <c r="D198" s="6" t="str" cm="1">
        <f t="array" ref="D198">INDEX(Total!$C$8:$C$1002,MATCH($C198&amp;$G198,Total!$D$8:$D$1002&amp;Total!$E$8:$E$1002,0))</f>
        <v>Jessica</v>
      </c>
      <c r="E198" s="52"/>
      <c r="F198" s="53" t="s">
        <v>21</v>
      </c>
      <c r="G198" s="6">
        <f>Total!$E$13</f>
        <v>20852</v>
      </c>
      <c r="H198" s="6"/>
      <c r="I198" s="272"/>
    </row>
    <row r="199" spans="1:9" ht="17.25" customHeight="1" thickBot="1">
      <c r="A199" s="270"/>
      <c r="B199" s="54"/>
      <c r="C199" s="54"/>
      <c r="D199" s="54"/>
      <c r="E199" s="7"/>
      <c r="F199" s="8"/>
      <c r="G199" s="9"/>
      <c r="H199" s="9"/>
      <c r="I199" s="272"/>
    </row>
    <row r="200" spans="1:9" ht="17.25" customHeight="1" thickBot="1">
      <c r="A200" s="270"/>
      <c r="B200" s="83" t="s">
        <v>22</v>
      </c>
      <c r="C200" s="56"/>
      <c r="D200" s="55"/>
      <c r="E200" s="56" t="s">
        <v>23</v>
      </c>
      <c r="F200" s="57"/>
      <c r="G200" s="9"/>
      <c r="H200" s="9"/>
      <c r="I200" s="272"/>
    </row>
    <row r="201" spans="1:9" ht="17.25" customHeight="1" thickTop="1">
      <c r="A201" s="270"/>
      <c r="B201" s="58" t="s">
        <v>24</v>
      </c>
      <c r="C201" s="10"/>
      <c r="D201" s="59"/>
      <c r="E201" s="60" t="s">
        <v>25</v>
      </c>
      <c r="F201" s="11"/>
      <c r="G201" s="9"/>
      <c r="H201" s="9"/>
      <c r="I201" s="272"/>
    </row>
    <row r="202" spans="1:9" ht="16.5" customHeight="1">
      <c r="A202" s="270"/>
      <c r="B202" s="61" t="s">
        <v>26</v>
      </c>
      <c r="C202" s="12"/>
      <c r="D202" s="13"/>
      <c r="E202" s="14" t="str" cm="1">
        <f t="array" ref="E202">INDEX(Total!$F$8:$F$1002,MATCH($C198&amp;$G198,Total!$D$8:$D$1002&amp;Total!$E$8:$E$1002,0))</f>
        <v>Whampoa Aeon</v>
      </c>
      <c r="F202" s="15"/>
      <c r="G202" s="9"/>
      <c r="H202" s="9"/>
      <c r="I202" s="272"/>
    </row>
    <row r="203" spans="1:9" ht="28.5" customHeight="1">
      <c r="A203" s="270"/>
      <c r="B203" s="61" t="s">
        <v>27</v>
      </c>
      <c r="C203" s="16"/>
      <c r="D203" s="13"/>
      <c r="E203" s="275" t="str" cm="1">
        <f t="array" ref="E203">INDEX(Total!$G$8:$G$1002,MATCH($C198&amp;$G198,Total!$D$8:$D$1002&amp;Total!$E$8:$E$1002,0))</f>
        <v>Mar/1-3,6-9,12-15,19-24,27-28,31</v>
      </c>
      <c r="F203" s="276"/>
      <c r="G203" s="9"/>
      <c r="H203" s="9"/>
      <c r="I203" s="272"/>
    </row>
    <row r="204" spans="1:9" ht="16.5" customHeight="1">
      <c r="A204" s="270"/>
      <c r="B204" s="61" t="s">
        <v>28</v>
      </c>
      <c r="C204" s="16"/>
      <c r="D204" s="13"/>
      <c r="E204" s="62" cm="1">
        <f t="array" ref="E204">INDEX(Total!$H$8:$H$1002,MATCH($C198&amp;$G198,Total!$D$8:$D$1002&amp;Total!$E$8:$E$1002,0))</f>
        <v>20</v>
      </c>
      <c r="F204" s="15"/>
      <c r="G204" s="8"/>
      <c r="H204" s="8"/>
      <c r="I204" s="272"/>
    </row>
    <row r="205" spans="1:9" ht="16.5" customHeight="1">
      <c r="A205" s="270"/>
      <c r="B205" s="61" t="s">
        <v>29</v>
      </c>
      <c r="C205" s="12"/>
      <c r="D205" s="17"/>
      <c r="E205" s="62" cm="1">
        <f t="array" ref="E205">INDEX(Total!$I$8:$I$1002,MATCH($C198&amp;$G198,Total!$D$8:$D$1002&amp;Total!$E$8:$E$1002,0))</f>
        <v>160</v>
      </c>
      <c r="F205" s="18"/>
      <c r="G205" s="8"/>
      <c r="H205" s="8"/>
      <c r="I205" s="272"/>
    </row>
    <row r="206" spans="1:9" ht="16.5" customHeight="1">
      <c r="A206" s="270"/>
      <c r="B206" s="61" t="s">
        <v>30</v>
      </c>
      <c r="C206" s="12"/>
      <c r="D206" s="17"/>
      <c r="E206" s="62" cm="1">
        <f t="array" ref="E206">INDEX(Total!$J$8:$J$1002,MATCH($C198&amp;$G198,Total!$D$8:$D$1002&amp;Total!$E$8:$E$1002,0))</f>
        <v>55</v>
      </c>
      <c r="F206" s="18"/>
      <c r="G206" s="8"/>
      <c r="H206" s="8"/>
      <c r="I206" s="272"/>
    </row>
    <row r="207" spans="1:9" ht="17.25" customHeight="1" thickBot="1">
      <c r="A207" s="270"/>
      <c r="B207" s="63" t="s">
        <v>31</v>
      </c>
      <c r="C207" s="19"/>
      <c r="D207" s="20"/>
      <c r="E207" s="41" cm="1">
        <f t="array" ref="E207">INDEX(Total!$L$8:$L$1002,MATCH($C198&amp;$G198,Total!$D$8:$D$1002&amp;Total!$E$8:$E$1002,0))</f>
        <v>419085.20000000007</v>
      </c>
      <c r="F207" s="21"/>
      <c r="G207" s="22"/>
      <c r="H207" s="22"/>
      <c r="I207" s="272"/>
    </row>
    <row r="208" spans="1:9" ht="17.25" customHeight="1" thickBot="1">
      <c r="A208" s="270"/>
      <c r="B208" s="23"/>
      <c r="C208" s="23"/>
      <c r="D208" s="23"/>
      <c r="E208" s="23"/>
      <c r="F208" s="23"/>
      <c r="G208" s="23"/>
      <c r="H208" s="23"/>
      <c r="I208" s="272"/>
    </row>
    <row r="209" spans="1:10" ht="17.25" customHeight="1" thickBot="1">
      <c r="A209" s="270"/>
      <c r="B209" s="64"/>
      <c r="C209" s="65" t="s">
        <v>32</v>
      </c>
      <c r="D209" s="66"/>
      <c r="E209" s="66"/>
      <c r="F209" s="84" t="s">
        <v>33</v>
      </c>
      <c r="G209" s="84"/>
      <c r="H209" s="24"/>
      <c r="I209" s="272"/>
    </row>
    <row r="210" spans="1:10" ht="17.25" customHeight="1" thickTop="1">
      <c r="A210" s="270"/>
      <c r="B210" s="67"/>
      <c r="C210" s="58" t="s">
        <v>34</v>
      </c>
      <c r="D210" s="68"/>
      <c r="E210" s="68"/>
      <c r="F210" s="69"/>
      <c r="G210" s="70" cm="1">
        <f t="array" ref="G210">INDEX(Total!$K$8:$K$1002,MATCH($C198&amp;$G198,Total!$D$8:$D$1002&amp;Total!$E$8:$E$1002,0))</f>
        <v>8800</v>
      </c>
      <c r="H210" s="25"/>
      <c r="I210" s="272"/>
    </row>
    <row r="211" spans="1:10" ht="16.5" customHeight="1">
      <c r="A211" s="270"/>
      <c r="B211" s="67"/>
      <c r="C211" s="61" t="str">
        <f>表格1[[#Headers],[三門雪櫃特佣 GR-RM469WE-PGA(B3)]]</f>
        <v>三門雪櫃特佣 GR-RM469WE-PGA(B3)</v>
      </c>
      <c r="D211" s="26"/>
      <c r="E211" s="26"/>
      <c r="F211" s="27"/>
      <c r="G211" s="71" cm="1">
        <f t="array" ref="G211">INDEX(Total!$AH$8:$AH$1002,MATCH($C198&amp;$G198,Total!$D$8:$D$1002&amp;Total!$E$8:$E$1002,0))</f>
        <v>18982</v>
      </c>
      <c r="H211" s="28"/>
      <c r="I211" s="272"/>
    </row>
    <row r="212" spans="1:10" ht="16.5" customHeight="1">
      <c r="A212" s="270"/>
      <c r="B212" s="67"/>
      <c r="C212" s="61" t="s">
        <v>36</v>
      </c>
      <c r="D212" s="29"/>
      <c r="E212" s="29"/>
      <c r="F212" s="27"/>
      <c r="G212" s="71" cm="1">
        <f t="array" ref="G212">INDEX(Total!$N$8:$N$1002,MATCH($C198&amp;$G198,Total!$D$8:$D$1002&amp;Total!$E$8:$E$1002,0))</f>
        <v>8381.7040000000015</v>
      </c>
      <c r="H212" s="28"/>
      <c r="I212" s="272"/>
    </row>
    <row r="213" spans="1:10" ht="16.5" customHeight="1">
      <c r="A213" s="270"/>
      <c r="B213" s="67"/>
      <c r="C213" s="61" t="s">
        <v>67</v>
      </c>
      <c r="D213" s="30"/>
      <c r="E213" s="30"/>
      <c r="F213" s="27"/>
      <c r="G213" s="71" cm="1">
        <f t="array" ref="G213">INDEX(Total!$P$8:$P$1002,MATCH($C198&amp;$G198,Total!$D$8:$D$1002&amp;Total!$E$8:$E$1002,0))</f>
        <v>0</v>
      </c>
      <c r="H213" s="28"/>
      <c r="I213" s="272"/>
    </row>
    <row r="214" spans="1:10" ht="16.5" customHeight="1">
      <c r="A214" s="270"/>
      <c r="B214" s="67"/>
      <c r="C214" s="61" t="str">
        <f>表格1[[#Headers],[嵌入式微波氣炸蒸焗爐特佣 EB-T500APW]]</f>
        <v>嵌入式微波氣炸蒸焗爐特佣 EB-T500APW</v>
      </c>
      <c r="D214" s="30"/>
      <c r="E214" s="30"/>
      <c r="F214" s="27"/>
      <c r="G214" s="71" cm="1">
        <f t="array" ref="G214">INDEX(Total!$S$8:$S$1002,MATCH($C198&amp;$G198,Total!$D$8:$D$1002&amp;Total!$E$8:$E$1002,0))</f>
        <v>0</v>
      </c>
      <c r="H214" s="28"/>
      <c r="I214" s="272"/>
    </row>
    <row r="215" spans="1:10" ht="16.5" customHeight="1">
      <c r="A215" s="270"/>
      <c r="B215" s="67"/>
      <c r="C215" s="61" t="str">
        <f>表格1[[#Headers],[蒸氣烤焗水波爐特佣 ER-VD7000HK(XK)]]</f>
        <v>蒸氣烤焗水波爐特佣 ER-VD7000HK(XK)</v>
      </c>
      <c r="D215" s="26" t="s">
        <v>4</v>
      </c>
      <c r="E215" s="26"/>
      <c r="F215" s="27"/>
      <c r="G215" s="71" cm="1">
        <f t="array" ref="G215">INDEX(Total!$T$8:$T$1002,MATCH($C198&amp;$G198,Total!$D$8:$D$1002&amp;Total!$E$8:$E$1002,0))</f>
        <v>0</v>
      </c>
      <c r="H215" s="28"/>
      <c r="I215" s="272"/>
    </row>
    <row r="216" spans="1:10" ht="16.5" customHeight="1">
      <c r="A216" s="270"/>
      <c r="B216" s="67"/>
      <c r="C216" s="61" t="str">
        <f>表格1[[#Headers],[日本飯煲 RC-DS10K/18K]]</f>
        <v>日本飯煲 RC-DS10K/18K</v>
      </c>
      <c r="D216" s="30"/>
      <c r="E216" s="30"/>
      <c r="F216" s="27"/>
      <c r="G216" s="71" cm="1">
        <f t="array" ref="G216">INDEX(Total!$Q$8:$Q$1002,MATCH($C198&amp;$G198,Total!$D$8:$D$1002&amp;Total!$E$8:$E$1002,0))</f>
        <v>0</v>
      </c>
      <c r="H216" s="28"/>
      <c r="I216" s="272"/>
    </row>
    <row r="217" spans="1:10" ht="16.5" customHeight="1">
      <c r="A217" s="270"/>
      <c r="B217" s="67"/>
      <c r="C217" s="61" t="str">
        <f>表格1[[#Headers],[TWDT21BU95 ]]</f>
        <v xml:space="preserve">TWDT21BU95 </v>
      </c>
      <c r="D217" s="30"/>
      <c r="E217" s="30"/>
      <c r="F217" s="27"/>
      <c r="G217" s="71" cm="1">
        <f t="array" ref="G217">INDEX(Total!$U$8:$U$1002,MATCH($C198&amp;$G198,Total!$D$8:$D$1002&amp;Total!$E$8:$E$1002,0))</f>
        <v>0</v>
      </c>
      <c r="H217" s="28"/>
      <c r="I217" s="272"/>
    </row>
    <row r="218" spans="1:10" ht="16.5" customHeight="1">
      <c r="A218" s="270"/>
      <c r="B218" s="67"/>
      <c r="C218" s="103" t="str">
        <f>表格1[[#Headers],[日式洗衣機二特佣 AW-Q801APH(WW)]]</f>
        <v>日式洗衣機二特佣 AW-Q801APH(WW)</v>
      </c>
      <c r="D218" s="30"/>
      <c r="E218" s="30"/>
      <c r="F218" s="27"/>
      <c r="G218" s="71" cm="1">
        <f t="array" ref="G218">INDEX(Total!$Z$8:$Z$1002,MATCH($C198&amp;$G198,Total!$D$8:$D$1002&amp;Total!$E$8:$E$1002,0))</f>
        <v>0</v>
      </c>
      <c r="H218" s="102"/>
      <c r="I218" s="272"/>
    </row>
    <row r="219" spans="1:10" ht="17.25" customHeight="1" thickBot="1">
      <c r="A219" s="270"/>
      <c r="B219" s="67"/>
      <c r="C219" s="72" t="s">
        <v>39</v>
      </c>
      <c r="D219" s="31"/>
      <c r="E219" s="31"/>
      <c r="F219" s="32"/>
      <c r="G219" s="73" cm="1">
        <f t="array" ref="G219">INDEX(Total!$W$8:$W$1002,MATCH($C198&amp;$G198,Total!$D$8:$D$1002&amp;Total!$E$8:$E$1002,0))</f>
        <v>0</v>
      </c>
      <c r="H219" s="33"/>
      <c r="I219" s="272"/>
    </row>
    <row r="220" spans="1:10" ht="18" customHeight="1" thickTop="1" thickBot="1">
      <c r="A220" s="270"/>
      <c r="B220" s="74"/>
      <c r="C220" s="75"/>
      <c r="D220" s="34"/>
      <c r="E220" s="35" t="s">
        <v>43</v>
      </c>
      <c r="F220" s="274">
        <f>SUM($G210:$G219)</f>
        <v>36163.703999999998</v>
      </c>
      <c r="G220" s="274"/>
      <c r="H220" s="36"/>
      <c r="I220" s="272"/>
      <c r="J220" s="37" cm="1">
        <f t="array" ref="J220">INDEX(Total!$AJ$8:$AJ$1002,MATCH($C198&amp;$G198,Total!$D$8:$D$1002&amp;Total!$E$8:$E$1002,0))</f>
        <v>18981.704000000002</v>
      </c>
    </row>
    <row r="221" spans="1:10" ht="16.5" customHeight="1">
      <c r="A221" s="270"/>
      <c r="B221" s="54"/>
      <c r="C221" s="54"/>
      <c r="D221" s="54"/>
      <c r="E221" s="54"/>
      <c r="F221" s="262"/>
      <c r="G221" s="263"/>
      <c r="H221" s="9"/>
      <c r="I221" s="272"/>
    </row>
    <row r="222" spans="1:10" ht="16.5" customHeight="1">
      <c r="A222" s="270"/>
      <c r="B222" s="76" t="s">
        <v>44</v>
      </c>
      <c r="C222" s="54"/>
      <c r="D222" s="54"/>
      <c r="E222" s="54"/>
      <c r="F222" s="263"/>
      <c r="G222" s="263"/>
      <c r="H222" s="9"/>
      <c r="I222" s="272"/>
    </row>
    <row r="223" spans="1:10" ht="16.5" customHeight="1">
      <c r="A223" s="270"/>
      <c r="B223" s="76" t="s">
        <v>45</v>
      </c>
      <c r="C223" s="54"/>
      <c r="D223" s="264"/>
      <c r="E223" s="264"/>
      <c r="F223" s="263"/>
      <c r="G223" s="263"/>
      <c r="H223" s="9"/>
      <c r="I223" s="272"/>
    </row>
    <row r="224" spans="1:10" ht="16.5" customHeight="1">
      <c r="A224" s="270"/>
      <c r="B224" s="76" t="s">
        <v>46</v>
      </c>
      <c r="C224" s="54"/>
      <c r="D224" s="54"/>
      <c r="E224" s="54"/>
      <c r="F224" s="54"/>
      <c r="G224" s="54"/>
      <c r="H224" s="9"/>
      <c r="I224" s="272"/>
    </row>
    <row r="225" spans="1:9" ht="16.5" customHeight="1">
      <c r="A225" s="270"/>
      <c r="B225" s="77"/>
      <c r="C225" s="7"/>
      <c r="D225" s="78"/>
      <c r="E225" s="265" t="s">
        <v>47</v>
      </c>
      <c r="F225" s="265"/>
      <c r="G225" s="79"/>
      <c r="H225" s="38"/>
      <c r="I225" s="272"/>
    </row>
    <row r="226" spans="1:9" ht="16.5" customHeight="1">
      <c r="A226" s="270"/>
      <c r="B226" s="7"/>
      <c r="C226" s="7"/>
      <c r="D226" s="80"/>
      <c r="E226" s="80"/>
      <c r="F226" s="7"/>
      <c r="G226" s="7"/>
      <c r="H226" s="7"/>
      <c r="I226" s="272"/>
    </row>
    <row r="227" spans="1:9" ht="16.5" customHeight="1">
      <c r="A227" s="270"/>
      <c r="B227" s="7"/>
      <c r="C227" s="7"/>
      <c r="D227" s="80"/>
      <c r="E227" s="78"/>
      <c r="F227" s="81" t="s">
        <v>48</v>
      </c>
      <c r="G227" s="82"/>
      <c r="H227" s="39"/>
      <c r="I227" s="272"/>
    </row>
    <row r="228" spans="1:9" ht="16.5" customHeight="1"/>
    <row r="229" spans="1:9">
      <c r="A229" s="266"/>
      <c r="B229" s="266"/>
      <c r="C229" s="266"/>
      <c r="D229" s="266"/>
      <c r="E229" s="266"/>
      <c r="F229" s="266"/>
      <c r="G229" s="266"/>
      <c r="H229" s="266"/>
      <c r="I229" s="266"/>
    </row>
    <row r="230" spans="1:9" ht="27.75">
      <c r="A230" s="267" t="s">
        <v>49</v>
      </c>
      <c r="B230" s="267"/>
      <c r="C230" s="267"/>
      <c r="D230" s="267"/>
      <c r="E230" s="267"/>
      <c r="F230" s="267"/>
      <c r="G230" s="267"/>
      <c r="H230" s="267"/>
      <c r="I230" s="267"/>
    </row>
    <row r="231" spans="1:9" ht="27.75">
      <c r="A231" s="267" t="s">
        <v>50</v>
      </c>
      <c r="B231" s="267"/>
      <c r="C231" s="267"/>
      <c r="D231" s="267"/>
      <c r="E231" s="267"/>
      <c r="F231" s="267"/>
      <c r="G231" s="267"/>
      <c r="H231" s="267"/>
      <c r="I231" s="267"/>
    </row>
    <row r="232" spans="1:9">
      <c r="A232" s="268" t="s">
        <v>0</v>
      </c>
      <c r="B232" s="268"/>
      <c r="C232" s="268"/>
      <c r="D232" s="268"/>
      <c r="E232" s="268"/>
      <c r="F232" s="268"/>
      <c r="G232" s="268"/>
      <c r="H232" s="268"/>
      <c r="I232" s="268"/>
    </row>
    <row r="233" spans="1:9">
      <c r="A233" s="269"/>
      <c r="B233" s="269"/>
      <c r="C233" s="269"/>
      <c r="D233" s="269"/>
      <c r="E233" s="269"/>
      <c r="F233" s="269"/>
      <c r="G233" s="269"/>
      <c r="H233" s="269"/>
      <c r="I233" s="269"/>
    </row>
    <row r="234" spans="1:9" ht="21" thickBot="1">
      <c r="A234" s="270"/>
      <c r="B234" s="271" t="s">
        <v>88</v>
      </c>
      <c r="C234" s="271"/>
      <c r="D234" s="271"/>
      <c r="E234" s="271"/>
      <c r="F234" s="271"/>
      <c r="G234" s="271"/>
      <c r="H234" s="271"/>
      <c r="I234" s="272"/>
    </row>
    <row r="235" spans="1:9" ht="17.25" customHeight="1" thickTop="1">
      <c r="A235" s="270"/>
      <c r="B235" s="273"/>
      <c r="C235" s="273"/>
      <c r="D235" s="273"/>
      <c r="E235" s="273"/>
      <c r="F235" s="273"/>
      <c r="G235" s="273"/>
      <c r="H235" s="5"/>
      <c r="I235" s="272"/>
    </row>
    <row r="236" spans="1:9" ht="16.5" customHeight="1">
      <c r="A236" s="270"/>
      <c r="B236" s="51" t="s">
        <v>20</v>
      </c>
      <c r="C236" s="6" t="str">
        <f>Total!$D$14</f>
        <v>Yeung Lai Shan</v>
      </c>
      <c r="D236" s="6" t="str" cm="1">
        <f t="array" ref="D236">INDEX(Total!$C$8:$C$1002,MATCH($C236&amp;$G236,Total!$D$8:$D$1002&amp;Total!$E$8:$E$1002,0))</f>
        <v>Kitty Yeung</v>
      </c>
      <c r="E236" s="52"/>
      <c r="F236" s="53" t="s">
        <v>21</v>
      </c>
      <c r="G236" s="6">
        <f>Total!$E$14</f>
        <v>20853</v>
      </c>
      <c r="H236" s="6"/>
      <c r="I236" s="272"/>
    </row>
    <row r="237" spans="1:9" ht="17.25" customHeight="1" thickBot="1">
      <c r="A237" s="270"/>
      <c r="B237" s="54"/>
      <c r="C237" s="54"/>
      <c r="D237" s="54"/>
      <c r="E237" s="7"/>
      <c r="F237" s="8"/>
      <c r="G237" s="9"/>
      <c r="H237" s="9"/>
      <c r="I237" s="272"/>
    </row>
    <row r="238" spans="1:9" ht="17.25" customHeight="1" thickBot="1">
      <c r="A238" s="270"/>
      <c r="B238" s="83" t="s">
        <v>22</v>
      </c>
      <c r="C238" s="56"/>
      <c r="D238" s="55"/>
      <c r="E238" s="56" t="s">
        <v>23</v>
      </c>
      <c r="F238" s="57"/>
      <c r="G238" s="9"/>
      <c r="H238" s="9"/>
      <c r="I238" s="272"/>
    </row>
    <row r="239" spans="1:9" ht="17.25" customHeight="1" thickTop="1">
      <c r="A239" s="270"/>
      <c r="B239" s="58" t="s">
        <v>24</v>
      </c>
      <c r="C239" s="10"/>
      <c r="D239" s="59"/>
      <c r="E239" s="60" t="s">
        <v>25</v>
      </c>
      <c r="F239" s="11"/>
      <c r="G239" s="9"/>
      <c r="H239" s="9"/>
      <c r="I239" s="272"/>
    </row>
    <row r="240" spans="1:9" ht="16.5" customHeight="1">
      <c r="A240" s="270"/>
      <c r="B240" s="61" t="s">
        <v>26</v>
      </c>
      <c r="C240" s="12"/>
      <c r="D240" s="13"/>
      <c r="E240" s="14" t="str" cm="1">
        <f t="array" ref="E240">INDEX(Total!$F$8:$F$1002,MATCH($C236&amp;$G236,Total!$D$8:$D$1002&amp;Total!$E$8:$E$1002,0))</f>
        <v>TKW Suning</v>
      </c>
      <c r="F240" s="15"/>
      <c r="G240" s="9"/>
      <c r="H240" s="9"/>
      <c r="I240" s="272"/>
    </row>
    <row r="241" spans="1:9" ht="26.25" customHeight="1">
      <c r="A241" s="270"/>
      <c r="B241" s="61" t="s">
        <v>27</v>
      </c>
      <c r="C241" s="16"/>
      <c r="D241" s="13"/>
      <c r="E241" s="281" t="str" cm="1">
        <f t="array" ref="E241">INDEX(Total!$G$8:$G$1002,MATCH($C236&amp;$G236,Total!$D$8:$D$1002&amp;Total!$E$8:$E$1002,0))</f>
        <v>Mar/1-4,7-11,14-17,21-25,28-31</v>
      </c>
      <c r="F241" s="282"/>
      <c r="G241" s="9"/>
      <c r="H241" s="9"/>
      <c r="I241" s="272"/>
    </row>
    <row r="242" spans="1:9" ht="16.5" customHeight="1">
      <c r="A242" s="270"/>
      <c r="B242" s="61" t="s">
        <v>28</v>
      </c>
      <c r="C242" s="16"/>
      <c r="D242" s="13"/>
      <c r="E242" s="62" cm="1">
        <f t="array" ref="E242">INDEX(Total!$H$8:$H$1002,MATCH($C236&amp;$G236,Total!$D$8:$D$1002&amp;Total!$E$8:$E$1002,0))</f>
        <v>22</v>
      </c>
      <c r="F242" s="15"/>
      <c r="G242" s="8"/>
      <c r="H242" s="8"/>
      <c r="I242" s="272"/>
    </row>
    <row r="243" spans="1:9" ht="16.5" customHeight="1">
      <c r="A243" s="270"/>
      <c r="B243" s="61" t="s">
        <v>29</v>
      </c>
      <c r="C243" s="12"/>
      <c r="D243" s="17"/>
      <c r="E243" s="62" cm="1">
        <f t="array" ref="E243">INDEX(Total!$I$8:$I$1002,MATCH($C236&amp;$G236,Total!$D$8:$D$1002&amp;Total!$E$8:$E$1002,0))</f>
        <v>176</v>
      </c>
      <c r="F243" s="18"/>
      <c r="G243" s="8"/>
      <c r="H243" s="8"/>
      <c r="I243" s="272"/>
    </row>
    <row r="244" spans="1:9" ht="16.5" customHeight="1">
      <c r="A244" s="270"/>
      <c r="B244" s="61" t="s">
        <v>30</v>
      </c>
      <c r="C244" s="12"/>
      <c r="D244" s="17"/>
      <c r="E244" s="62" cm="1">
        <f t="array" ref="E244">INDEX(Total!$J$8:$J$1002,MATCH($C236&amp;$G236,Total!$D$8:$D$1002&amp;Total!$E$8:$E$1002,0))</f>
        <v>60</v>
      </c>
      <c r="F244" s="18"/>
      <c r="G244" s="8"/>
      <c r="H244" s="8"/>
      <c r="I244" s="272"/>
    </row>
    <row r="245" spans="1:9" ht="17.25" customHeight="1" thickBot="1">
      <c r="A245" s="270"/>
      <c r="B245" s="63" t="s">
        <v>31</v>
      </c>
      <c r="C245" s="19"/>
      <c r="D245" s="20"/>
      <c r="E245" s="41" cm="1">
        <f t="array" ref="E245">INDEX(Total!$L$8:$L$1002,MATCH($C236&amp;$G236,Total!$D$8:$D$1002&amp;Total!$E$8:$E$1002,0))</f>
        <v>234404</v>
      </c>
      <c r="F245" s="21"/>
      <c r="G245" s="22"/>
      <c r="H245" s="22"/>
      <c r="I245" s="272"/>
    </row>
    <row r="246" spans="1:9" ht="17.25" customHeight="1" thickBot="1">
      <c r="A246" s="270"/>
      <c r="B246" s="23"/>
      <c r="C246" s="23"/>
      <c r="D246" s="23"/>
      <c r="E246" s="23"/>
      <c r="F246" s="23"/>
      <c r="G246" s="23"/>
      <c r="H246" s="23"/>
      <c r="I246" s="272"/>
    </row>
    <row r="247" spans="1:9" ht="17.25" customHeight="1" thickBot="1">
      <c r="A247" s="270"/>
      <c r="B247" s="64"/>
      <c r="C247" s="65" t="s">
        <v>32</v>
      </c>
      <c r="D247" s="66"/>
      <c r="E247" s="66"/>
      <c r="F247" s="84" t="s">
        <v>33</v>
      </c>
      <c r="G247" s="84"/>
      <c r="H247" s="24"/>
      <c r="I247" s="272"/>
    </row>
    <row r="248" spans="1:9" ht="17.25" customHeight="1" thickTop="1">
      <c r="A248" s="270"/>
      <c r="B248" s="67"/>
      <c r="C248" s="58" t="s">
        <v>34</v>
      </c>
      <c r="D248" s="68"/>
      <c r="E248" s="68"/>
      <c r="F248" s="69"/>
      <c r="G248" s="70" cm="1">
        <f t="array" ref="G248">INDEX(Total!$K$8:$K$1002,MATCH($C236&amp;$G236,Total!$D$8:$D$1002&amp;Total!$E$8:$E$1002,0))</f>
        <v>10560</v>
      </c>
      <c r="H248" s="25"/>
      <c r="I248" s="272"/>
    </row>
    <row r="249" spans="1:9" ht="16.5" customHeight="1">
      <c r="A249" s="270"/>
      <c r="B249" s="67"/>
      <c r="C249" s="61" t="str">
        <f>表格1[[#Headers],[三門雪櫃特佣 GR-RM469WE-PGA(B3)]]</f>
        <v>三門雪櫃特佣 GR-RM469WE-PGA(B3)</v>
      </c>
      <c r="D249" s="26"/>
      <c r="E249" s="26"/>
      <c r="F249" s="27"/>
      <c r="G249" s="71" cm="1">
        <f t="array" ref="G249">INDEX(Total!$AH$8:$AH$1002,MATCH($C236&amp;$G236,Total!$D$8:$D$1002&amp;Total!$E$8:$E$1002,0))</f>
        <v>15998</v>
      </c>
      <c r="H249" s="28"/>
      <c r="I249" s="272"/>
    </row>
    <row r="250" spans="1:9" ht="16.5" customHeight="1">
      <c r="A250" s="270"/>
      <c r="B250" s="67"/>
      <c r="C250" s="61" t="s">
        <v>36</v>
      </c>
      <c r="D250" s="29"/>
      <c r="E250" s="29"/>
      <c r="F250" s="27"/>
      <c r="G250" s="71" cm="1">
        <f t="array" ref="G250">INDEX(Total!$N$8:$N$1002,MATCH($C236&amp;$G236,Total!$D$8:$D$1002&amp;Total!$E$8:$E$1002,0))</f>
        <v>4688.08</v>
      </c>
      <c r="H250" s="28"/>
      <c r="I250" s="272"/>
    </row>
    <row r="251" spans="1:9" ht="16.5" customHeight="1">
      <c r="A251" s="270"/>
      <c r="B251" s="67"/>
      <c r="C251" s="61" t="s">
        <v>67</v>
      </c>
      <c r="D251" s="30"/>
      <c r="E251" s="30"/>
      <c r="F251" s="27"/>
      <c r="G251" s="71" cm="1">
        <f t="array" ref="G251">INDEX(Total!$P$8:$P$1002,MATCH($C236&amp;$G236,Total!$D$8:$D$1002&amp;Total!$E$8:$E$1002,0))</f>
        <v>0</v>
      </c>
      <c r="H251" s="28"/>
      <c r="I251" s="272"/>
    </row>
    <row r="252" spans="1:9" ht="16.5" customHeight="1">
      <c r="A252" s="270"/>
      <c r="B252" s="67"/>
      <c r="C252" s="61" t="str">
        <f>表格1[[#Headers],[嵌入式微波氣炸蒸焗爐特佣 EB-T500APW]]</f>
        <v>嵌入式微波氣炸蒸焗爐特佣 EB-T500APW</v>
      </c>
      <c r="D252" s="30"/>
      <c r="E252" s="30"/>
      <c r="F252" s="27"/>
      <c r="G252" s="71" cm="1">
        <f t="array" ref="G252">INDEX(Total!$S$8:$S$1002,MATCH($C236&amp;$G236,Total!$D$8:$D$1002&amp;Total!$E$8:$E$1002,0))</f>
        <v>0</v>
      </c>
      <c r="H252" s="28"/>
      <c r="I252" s="272"/>
    </row>
    <row r="253" spans="1:9" ht="16.5" customHeight="1">
      <c r="A253" s="270"/>
      <c r="B253" s="67"/>
      <c r="C253" s="61" t="str">
        <f>表格1[[#Headers],[蒸氣烤焗水波爐特佣 ER-VD7000HK(XK)]]</f>
        <v>蒸氣烤焗水波爐特佣 ER-VD7000HK(XK)</v>
      </c>
      <c r="D253" s="26" t="s">
        <v>4</v>
      </c>
      <c r="E253" s="26"/>
      <c r="F253" s="27"/>
      <c r="G253" s="71" cm="1">
        <f t="array" ref="G253">INDEX(Total!$T$8:$T$1002,MATCH($C236&amp;$G236,Total!$D$8:$D$1002&amp;Total!$E$8:$E$1002,0))</f>
        <v>0</v>
      </c>
      <c r="H253" s="28"/>
      <c r="I253" s="272"/>
    </row>
    <row r="254" spans="1:9" ht="16.5" customHeight="1">
      <c r="A254" s="270"/>
      <c r="B254" s="67"/>
      <c r="C254" s="61" t="str">
        <f>表格1[[#Headers],[日本飯煲 RC-DS10K/18K]]</f>
        <v>日本飯煲 RC-DS10K/18K</v>
      </c>
      <c r="D254" s="30"/>
      <c r="E254" s="30"/>
      <c r="F254" s="27"/>
      <c r="G254" s="71" cm="1">
        <f t="array" ref="G254">INDEX(Total!$Q$8:$Q$1002,MATCH($C236&amp;$G236,Total!$D$8:$D$1002&amp;Total!$E$8:$E$1002,0))</f>
        <v>0</v>
      </c>
      <c r="H254" s="28"/>
      <c r="I254" s="272"/>
    </row>
    <row r="255" spans="1:9" ht="16.5" customHeight="1">
      <c r="A255" s="270"/>
      <c r="B255" s="67"/>
      <c r="C255" s="61" t="str">
        <f>表格1[[#Headers],[TWDT21BU95 ]]</f>
        <v xml:space="preserve">TWDT21BU95 </v>
      </c>
      <c r="D255" s="30"/>
      <c r="E255" s="30"/>
      <c r="F255" s="27"/>
      <c r="G255" s="71" cm="1">
        <f t="array" ref="G255">INDEX(Total!$U$8:$U$1002,MATCH($C236&amp;$G236,Total!$D$8:$D$1002&amp;Total!$E$8:$E$1002,0))</f>
        <v>0</v>
      </c>
      <c r="H255" s="28"/>
      <c r="I255" s="272"/>
    </row>
    <row r="256" spans="1:9" ht="16.5" customHeight="1">
      <c r="A256" s="270"/>
      <c r="B256" s="67"/>
      <c r="C256" s="103" t="str">
        <f>表格1[[#Headers],[日式洗衣機二特佣 AW-Q801APH(WW)]]</f>
        <v>日式洗衣機二特佣 AW-Q801APH(WW)</v>
      </c>
      <c r="D256" s="30"/>
      <c r="E256" s="30"/>
      <c r="F256" s="27"/>
      <c r="G256" s="71" cm="1">
        <f t="array" ref="G256">INDEX(Total!$Z$8:$Z$1002,MATCH($C236&amp;$G236,Total!$D$8:$D$1002&amp;Total!$E$8:$E$1002,0))</f>
        <v>0</v>
      </c>
      <c r="H256" s="102"/>
      <c r="I256" s="272"/>
    </row>
    <row r="257" spans="1:10" ht="17.25" customHeight="1" thickBot="1">
      <c r="A257" s="270"/>
      <c r="B257" s="67"/>
      <c r="C257" s="72" t="s">
        <v>39</v>
      </c>
      <c r="D257" s="31"/>
      <c r="E257" s="31"/>
      <c r="F257" s="32"/>
      <c r="G257" s="73" cm="1">
        <f t="array" ref="G257">INDEX(Total!$W$8:$W$1002,MATCH($C236&amp;$G236,Total!$D$8:$D$1002&amp;Total!$E$8:$E$1002,0))</f>
        <v>0</v>
      </c>
      <c r="H257" s="33"/>
      <c r="I257" s="272"/>
    </row>
    <row r="258" spans="1:10" ht="18" customHeight="1" thickTop="1" thickBot="1">
      <c r="A258" s="270"/>
      <c r="B258" s="74"/>
      <c r="C258" s="75"/>
      <c r="D258" s="34"/>
      <c r="E258" s="35" t="s">
        <v>43</v>
      </c>
      <c r="F258" s="277">
        <f>SUM($G248:$G257)</f>
        <v>31246.080000000002</v>
      </c>
      <c r="G258" s="277"/>
      <c r="H258" s="36"/>
      <c r="I258" s="272"/>
      <c r="J258" s="37" cm="1">
        <f t="array" ref="J258">INDEX(Total!$AJ$8:$AJ$1002,MATCH($C236&amp;$G236,Total!$D$8:$D$1002&amp;Total!$E$8:$E$1002,0))</f>
        <v>15998.08</v>
      </c>
    </row>
    <row r="259" spans="1:10" ht="16.5" customHeight="1">
      <c r="A259" s="270"/>
      <c r="B259" s="54"/>
      <c r="C259" s="54"/>
      <c r="D259" s="54"/>
      <c r="E259" s="54"/>
      <c r="F259" s="278"/>
      <c r="G259" s="278"/>
      <c r="H259" s="9"/>
      <c r="I259" s="272"/>
    </row>
    <row r="260" spans="1:10" ht="16.5" customHeight="1">
      <c r="A260" s="270"/>
      <c r="B260" s="76" t="s">
        <v>44</v>
      </c>
      <c r="C260" s="54"/>
      <c r="D260" s="54"/>
      <c r="E260" s="54"/>
      <c r="F260" s="262"/>
      <c r="G260" s="262"/>
      <c r="H260" s="9"/>
      <c r="I260" s="272"/>
    </row>
    <row r="261" spans="1:10" ht="16.5" customHeight="1">
      <c r="A261" s="270"/>
      <c r="B261" s="76" t="s">
        <v>45</v>
      </c>
      <c r="C261" s="54"/>
      <c r="D261" s="264"/>
      <c r="E261" s="264"/>
      <c r="F261" s="262"/>
      <c r="G261" s="262"/>
      <c r="H261" s="9"/>
      <c r="I261" s="272"/>
    </row>
    <row r="262" spans="1:10" ht="16.5" customHeight="1">
      <c r="A262" s="270"/>
      <c r="B262" s="76" t="s">
        <v>46</v>
      </c>
      <c r="C262" s="54"/>
      <c r="D262" s="54"/>
      <c r="E262" s="54"/>
      <c r="F262" s="54"/>
      <c r="G262" s="54"/>
      <c r="H262" s="9"/>
      <c r="I262" s="272"/>
    </row>
    <row r="263" spans="1:10" ht="16.5" customHeight="1">
      <c r="A263" s="270"/>
      <c r="B263" s="77"/>
      <c r="C263" s="7"/>
      <c r="D263" s="78"/>
      <c r="E263" s="265" t="s">
        <v>47</v>
      </c>
      <c r="F263" s="265"/>
      <c r="G263" s="79"/>
      <c r="H263" s="38"/>
      <c r="I263" s="272"/>
    </row>
    <row r="264" spans="1:10" ht="16.5" customHeight="1">
      <c r="A264" s="270"/>
      <c r="B264" s="7"/>
      <c r="C264" s="7"/>
      <c r="D264" s="80"/>
      <c r="E264" s="80"/>
      <c r="F264" s="7"/>
      <c r="G264" s="7"/>
      <c r="H264" s="7"/>
      <c r="I264" s="272"/>
    </row>
    <row r="265" spans="1:10" ht="16.5" customHeight="1">
      <c r="A265" s="270"/>
      <c r="B265" s="7"/>
      <c r="C265" s="7"/>
      <c r="D265" s="80"/>
      <c r="E265" s="78"/>
      <c r="F265" s="81" t="s">
        <v>48</v>
      </c>
      <c r="G265" s="82"/>
      <c r="H265" s="39"/>
      <c r="I265" s="272"/>
    </row>
    <row r="266" spans="1:10" ht="16.5" customHeight="1"/>
    <row r="267" spans="1:10">
      <c r="A267" s="266"/>
      <c r="B267" s="266"/>
      <c r="C267" s="266"/>
      <c r="D267" s="266"/>
      <c r="E267" s="266"/>
      <c r="F267" s="266"/>
      <c r="G267" s="266"/>
      <c r="H267" s="266"/>
      <c r="I267" s="266"/>
    </row>
    <row r="268" spans="1:10" ht="27.75">
      <c r="A268" s="267" t="s">
        <v>49</v>
      </c>
      <c r="B268" s="267"/>
      <c r="C268" s="267"/>
      <c r="D268" s="267"/>
      <c r="E268" s="267"/>
      <c r="F268" s="267"/>
      <c r="G268" s="267"/>
      <c r="H268" s="267"/>
      <c r="I268" s="267"/>
    </row>
    <row r="269" spans="1:10" ht="27.75">
      <c r="A269" s="267" t="s">
        <v>50</v>
      </c>
      <c r="B269" s="267"/>
      <c r="C269" s="267"/>
      <c r="D269" s="267"/>
      <c r="E269" s="267"/>
      <c r="F269" s="267"/>
      <c r="G269" s="267"/>
      <c r="H269" s="267"/>
      <c r="I269" s="267"/>
    </row>
    <row r="270" spans="1:10">
      <c r="A270" s="268" t="s">
        <v>0</v>
      </c>
      <c r="B270" s="268"/>
      <c r="C270" s="268"/>
      <c r="D270" s="268"/>
      <c r="E270" s="268"/>
      <c r="F270" s="268"/>
      <c r="G270" s="268"/>
      <c r="H270" s="268"/>
      <c r="I270" s="268"/>
    </row>
    <row r="271" spans="1:10">
      <c r="A271" s="269"/>
      <c r="B271" s="269"/>
      <c r="C271" s="269"/>
      <c r="D271" s="269"/>
      <c r="E271" s="269"/>
      <c r="F271" s="269"/>
      <c r="G271" s="269"/>
      <c r="H271" s="269"/>
      <c r="I271" s="269"/>
    </row>
    <row r="272" spans="1:10" ht="21" thickBot="1">
      <c r="A272" s="270"/>
      <c r="B272" s="271" t="s">
        <v>88</v>
      </c>
      <c r="C272" s="271"/>
      <c r="D272" s="271"/>
      <c r="E272" s="271"/>
      <c r="F272" s="271"/>
      <c r="G272" s="271"/>
      <c r="H272" s="271"/>
      <c r="I272" s="272"/>
    </row>
    <row r="273" spans="1:9" ht="17.25" customHeight="1" thickTop="1">
      <c r="A273" s="270"/>
      <c r="B273" s="273"/>
      <c r="C273" s="273"/>
      <c r="D273" s="273"/>
      <c r="E273" s="273"/>
      <c r="F273" s="273"/>
      <c r="G273" s="273"/>
      <c r="H273" s="5"/>
      <c r="I273" s="272"/>
    </row>
    <row r="274" spans="1:9" ht="16.5" customHeight="1">
      <c r="A274" s="270"/>
      <c r="B274" s="51" t="s">
        <v>20</v>
      </c>
      <c r="C274" s="6" t="str">
        <f>Total!$D$15</f>
        <v>Or Sim Kiu</v>
      </c>
      <c r="D274" s="6" t="str" cm="1">
        <f t="array" ref="D274">INDEX(Total!$C$8:$C$1002,MATCH($C274&amp;$G274,Total!$D$8:$D$1002&amp;Total!$E$8:$E$1002,0))</f>
        <v>Amy Or_1</v>
      </c>
      <c r="E274" s="52"/>
      <c r="F274" s="53" t="s">
        <v>21</v>
      </c>
      <c r="G274" s="6">
        <f>Total!$E$15</f>
        <v>20854</v>
      </c>
      <c r="H274" s="6"/>
      <c r="I274" s="272"/>
    </row>
    <row r="275" spans="1:9" ht="17.25" customHeight="1" thickBot="1">
      <c r="A275" s="270"/>
      <c r="B275" s="54"/>
      <c r="C275" s="54"/>
      <c r="D275" s="54"/>
      <c r="E275" s="7"/>
      <c r="F275" s="8"/>
      <c r="G275" s="9"/>
      <c r="H275" s="9"/>
      <c r="I275" s="272"/>
    </row>
    <row r="276" spans="1:9" ht="17.25" customHeight="1" thickBot="1">
      <c r="A276" s="270"/>
      <c r="B276" s="83" t="s">
        <v>22</v>
      </c>
      <c r="C276" s="56"/>
      <c r="D276" s="55"/>
      <c r="E276" s="56" t="s">
        <v>23</v>
      </c>
      <c r="F276" s="57"/>
      <c r="G276" s="9"/>
      <c r="H276" s="9"/>
      <c r="I276" s="272"/>
    </row>
    <row r="277" spans="1:9" ht="17.25" customHeight="1" thickTop="1">
      <c r="A277" s="270"/>
      <c r="B277" s="58" t="s">
        <v>24</v>
      </c>
      <c r="C277" s="10"/>
      <c r="D277" s="59"/>
      <c r="E277" s="60" t="s">
        <v>25</v>
      </c>
      <c r="F277" s="11"/>
      <c r="G277" s="9"/>
      <c r="H277" s="9"/>
      <c r="I277" s="272"/>
    </row>
    <row r="278" spans="1:9" ht="16.5" customHeight="1">
      <c r="A278" s="270"/>
      <c r="B278" s="61" t="s">
        <v>26</v>
      </c>
      <c r="C278" s="12"/>
      <c r="D278" s="13"/>
      <c r="E278" s="14" t="str" cm="1">
        <f t="array" ref="E278">INDEX(Total!$F$8:$F$1002,MATCH($C274&amp;$G274,Total!$D$8:$D$1002&amp;Total!$E$8:$E$1002,0))</f>
        <v>Tai koo Broadway</v>
      </c>
      <c r="F278" s="15"/>
      <c r="G278" s="9"/>
      <c r="H278" s="9"/>
      <c r="I278" s="272"/>
    </row>
    <row r="279" spans="1:9" ht="30" customHeight="1">
      <c r="A279" s="270"/>
      <c r="B279" s="61" t="s">
        <v>27</v>
      </c>
      <c r="C279" s="16"/>
      <c r="D279" s="13"/>
      <c r="E279" s="275" t="str" cm="1">
        <f t="array" ref="E279">INDEX(Total!$G$8:$G$1002,MATCH($C274&amp;$G274,Total!$D$8:$D$1002&amp;Total!$E$8:$E$1002,0))</f>
        <v>Mar/1,7,28-29</v>
      </c>
      <c r="F279" s="276"/>
      <c r="G279" s="9"/>
      <c r="H279" s="9"/>
      <c r="I279" s="272"/>
    </row>
    <row r="280" spans="1:9" ht="16.5" customHeight="1">
      <c r="A280" s="270"/>
      <c r="B280" s="61" t="s">
        <v>28</v>
      </c>
      <c r="C280" s="16"/>
      <c r="D280" s="13"/>
      <c r="E280" s="62" cm="1">
        <f t="array" ref="E280">INDEX(Total!$H$8:$H$1002,MATCH($C274&amp;$G274,Total!$D$8:$D$1002&amp;Total!$E$8:$E$1002,0))</f>
        <v>4</v>
      </c>
      <c r="F280" s="15"/>
      <c r="G280" s="8"/>
      <c r="H280" s="8"/>
      <c r="I280" s="272"/>
    </row>
    <row r="281" spans="1:9" ht="16.5" customHeight="1">
      <c r="A281" s="270"/>
      <c r="B281" s="61" t="s">
        <v>29</v>
      </c>
      <c r="C281" s="12"/>
      <c r="D281" s="17"/>
      <c r="E281" s="62" cm="1">
        <f t="array" ref="E281">INDEX(Total!$I$8:$I$1002,MATCH($C274&amp;$G274,Total!$D$8:$D$1002&amp;Total!$E$8:$E$1002,0))</f>
        <v>32</v>
      </c>
      <c r="F281" s="18"/>
      <c r="G281" s="8"/>
      <c r="H281" s="8"/>
      <c r="I281" s="272"/>
    </row>
    <row r="282" spans="1:9" ht="16.5" customHeight="1">
      <c r="A282" s="270"/>
      <c r="B282" s="61" t="s">
        <v>30</v>
      </c>
      <c r="C282" s="12"/>
      <c r="D282" s="17"/>
      <c r="E282" s="62" cm="1">
        <f t="array" ref="E282">INDEX(Total!$J$8:$J$1002,MATCH($C274&amp;$G274,Total!$D$8:$D$1002&amp;Total!$E$8:$E$1002,0))</f>
        <v>55</v>
      </c>
      <c r="F282" s="18"/>
      <c r="G282" s="8"/>
      <c r="H282" s="8"/>
      <c r="I282" s="272"/>
    </row>
    <row r="283" spans="1:9" ht="17.25" customHeight="1" thickBot="1">
      <c r="A283" s="270"/>
      <c r="B283" s="63" t="s">
        <v>31</v>
      </c>
      <c r="C283" s="19"/>
      <c r="D283" s="20"/>
      <c r="E283" s="41" cm="1">
        <f t="array" ref="E283">INDEX(Total!$L$8:$L$1002,MATCH($C274&amp;$G274,Total!$D$8:$D$1002&amp;Total!$E$8:$E$1002,0))</f>
        <v>82154</v>
      </c>
      <c r="F283" s="21"/>
      <c r="G283" s="22"/>
      <c r="H283" s="22"/>
      <c r="I283" s="272"/>
    </row>
    <row r="284" spans="1:9" ht="17.25" customHeight="1" thickBot="1">
      <c r="A284" s="270"/>
      <c r="B284" s="23"/>
      <c r="C284" s="23"/>
      <c r="D284" s="23"/>
      <c r="E284" s="23"/>
      <c r="F284" s="23"/>
      <c r="G284" s="23"/>
      <c r="H284" s="23"/>
      <c r="I284" s="272"/>
    </row>
    <row r="285" spans="1:9" ht="17.25" customHeight="1" thickBot="1">
      <c r="A285" s="270"/>
      <c r="B285" s="64"/>
      <c r="C285" s="65" t="s">
        <v>32</v>
      </c>
      <c r="D285" s="66"/>
      <c r="E285" s="66"/>
      <c r="F285" s="84" t="s">
        <v>33</v>
      </c>
      <c r="G285" s="84"/>
      <c r="H285" s="24"/>
      <c r="I285" s="272"/>
    </row>
    <row r="286" spans="1:9" ht="17.25" customHeight="1" thickTop="1">
      <c r="A286" s="270"/>
      <c r="B286" s="67"/>
      <c r="C286" s="58" t="s">
        <v>34</v>
      </c>
      <c r="D286" s="68"/>
      <c r="E286" s="68"/>
      <c r="F286" s="69"/>
      <c r="G286" s="70" cm="1">
        <f t="array" ref="G286">INDEX(Total!$K$8:$K$1002,MATCH($C274&amp;$G274,Total!$D$8:$D$1002&amp;Total!$E$8:$E$1002,0))</f>
        <v>1760</v>
      </c>
      <c r="H286" s="25"/>
      <c r="I286" s="272"/>
    </row>
    <row r="287" spans="1:9" ht="16.5" customHeight="1">
      <c r="A287" s="270"/>
      <c r="B287" s="67"/>
      <c r="C287" s="61" t="str">
        <f>表格1[[#Headers],[三門雪櫃特佣 GR-RM469WE-PGA(B3)]]</f>
        <v>三門雪櫃特佣 GR-RM469WE-PGA(B3)</v>
      </c>
      <c r="D287" s="26"/>
      <c r="E287" s="26"/>
      <c r="F287" s="27"/>
      <c r="G287" s="71" cm="1">
        <f t="array" ref="G287">INDEX(Total!$AH$8:$AH$1002,MATCH($C274&amp;$G274,Total!$D$8:$D$1002&amp;Total!$E$8:$E$1002,0))</f>
        <v>3763</v>
      </c>
      <c r="H287" s="28"/>
      <c r="I287" s="272"/>
    </row>
    <row r="288" spans="1:9" ht="16.5" customHeight="1">
      <c r="A288" s="270"/>
      <c r="B288" s="67"/>
      <c r="C288" s="61" t="s">
        <v>36</v>
      </c>
      <c r="D288" s="29"/>
      <c r="E288" s="29"/>
      <c r="F288" s="27"/>
      <c r="G288" s="71" cm="1">
        <f t="array" ref="G288">INDEX(Total!$N$8:$N$1002,MATCH($C274&amp;$G274,Total!$D$8:$D$1002&amp;Total!$E$8:$E$1002,0))</f>
        <v>1643.08</v>
      </c>
      <c r="H288" s="28"/>
      <c r="I288" s="272"/>
    </row>
    <row r="289" spans="1:10" ht="16.5" customHeight="1">
      <c r="A289" s="270"/>
      <c r="B289" s="67"/>
      <c r="C289" s="61" t="s">
        <v>67</v>
      </c>
      <c r="D289" s="30"/>
      <c r="E289" s="30"/>
      <c r="F289" s="27"/>
      <c r="G289" s="71" cm="1">
        <f t="array" ref="G289">INDEX(Total!$P$8:$P$1002,MATCH($C274&amp;$G274,Total!$D$8:$D$1002&amp;Total!$E$8:$E$1002,0))</f>
        <v>0</v>
      </c>
      <c r="H289" s="28"/>
      <c r="I289" s="272"/>
    </row>
    <row r="290" spans="1:10" ht="16.5" customHeight="1">
      <c r="A290" s="270"/>
      <c r="B290" s="67"/>
      <c r="C290" s="61" t="str">
        <f>表格1[[#Headers],[嵌入式微波氣炸蒸焗爐特佣 EB-T500APW]]</f>
        <v>嵌入式微波氣炸蒸焗爐特佣 EB-T500APW</v>
      </c>
      <c r="D290" s="30"/>
      <c r="E290" s="30"/>
      <c r="F290" s="27"/>
      <c r="G290" s="71" cm="1">
        <f t="array" ref="G290">INDEX(Total!$S$8:$S$1002,MATCH($C274&amp;$G274,Total!$D$8:$D$1002&amp;Total!$E$8:$E$1002,0))</f>
        <v>0</v>
      </c>
      <c r="H290" s="28"/>
      <c r="I290" s="272"/>
    </row>
    <row r="291" spans="1:10" ht="16.5" customHeight="1">
      <c r="A291" s="270"/>
      <c r="B291" s="67"/>
      <c r="C291" s="61" t="str">
        <f>表格1[[#Headers],[蒸氣烤焗水波爐特佣 ER-VD7000HK(XK)]]</f>
        <v>蒸氣烤焗水波爐特佣 ER-VD7000HK(XK)</v>
      </c>
      <c r="D291" s="26" t="s">
        <v>4</v>
      </c>
      <c r="E291" s="26"/>
      <c r="F291" s="27"/>
      <c r="G291" s="71" cm="1">
        <f t="array" ref="G291">INDEX(Total!$T$8:$T$1002,MATCH($C274&amp;$G274,Total!$D$8:$D$1002&amp;Total!$E$8:$E$1002,0))</f>
        <v>0</v>
      </c>
      <c r="H291" s="28"/>
      <c r="I291" s="272"/>
    </row>
    <row r="292" spans="1:10" ht="16.5" customHeight="1">
      <c r="A292" s="270"/>
      <c r="B292" s="67"/>
      <c r="C292" s="61" t="str">
        <f>表格1[[#Headers],[日本飯煲 RC-DS10K/18K]]</f>
        <v>日本飯煲 RC-DS10K/18K</v>
      </c>
      <c r="D292" s="30"/>
      <c r="E292" s="30"/>
      <c r="F292" s="27"/>
      <c r="G292" s="71" cm="1">
        <f t="array" ref="G292">INDEX(Total!$Q$8:$Q$1002,MATCH($C274&amp;$G274,Total!$D$8:$D$1002&amp;Total!$E$8:$E$1002,0))</f>
        <v>0</v>
      </c>
      <c r="H292" s="28"/>
      <c r="I292" s="272"/>
    </row>
    <row r="293" spans="1:10" ht="16.5" customHeight="1">
      <c r="A293" s="270"/>
      <c r="B293" s="67"/>
      <c r="C293" s="61" t="str">
        <f>表格1[[#Headers],[TWDT21BU95 ]]</f>
        <v xml:space="preserve">TWDT21BU95 </v>
      </c>
      <c r="D293" s="30"/>
      <c r="E293" s="30"/>
      <c r="F293" s="27"/>
      <c r="G293" s="71" cm="1">
        <f t="array" ref="G293">INDEX(Total!$U$8:$U$1002,MATCH($C274&amp;$G274,Total!$D$8:$D$1002&amp;Total!$E$8:$E$1002,0))</f>
        <v>0</v>
      </c>
      <c r="H293" s="28"/>
      <c r="I293" s="272"/>
    </row>
    <row r="294" spans="1:10" ht="16.5" customHeight="1">
      <c r="A294" s="270"/>
      <c r="B294" s="67"/>
      <c r="C294" s="103" t="str">
        <f>表格1[[#Headers],[日式洗衣機二特佣 AW-Q801APH(WW)]]</f>
        <v>日式洗衣機二特佣 AW-Q801APH(WW)</v>
      </c>
      <c r="D294" s="30"/>
      <c r="E294" s="30"/>
      <c r="F294" s="27"/>
      <c r="G294" s="71" cm="1">
        <f t="array" ref="G294">INDEX(Total!$Z$8:$Z$1002,MATCH($C274&amp;$G274,Total!$D$8:$D$1002&amp;Total!$E$8:$E$1002,0))</f>
        <v>0</v>
      </c>
      <c r="H294" s="102"/>
      <c r="I294" s="272"/>
    </row>
    <row r="295" spans="1:10" ht="17.25" customHeight="1" thickBot="1">
      <c r="A295" s="270"/>
      <c r="B295" s="67"/>
      <c r="C295" s="72" t="s">
        <v>39</v>
      </c>
      <c r="D295" s="31"/>
      <c r="E295" s="31"/>
      <c r="F295" s="32"/>
      <c r="G295" s="73" cm="1">
        <f t="array" ref="G295">INDEX(Total!$W$8:$W$1002,MATCH($C274&amp;$G274,Total!$D$8:$D$1002&amp;Total!$E$8:$E$1002,0))</f>
        <v>0</v>
      </c>
      <c r="H295" s="33"/>
      <c r="I295" s="272"/>
    </row>
    <row r="296" spans="1:10" ht="18" customHeight="1" thickTop="1" thickBot="1">
      <c r="A296" s="270"/>
      <c r="B296" s="74"/>
      <c r="C296" s="75"/>
      <c r="D296" s="34"/>
      <c r="E296" s="35" t="s">
        <v>43</v>
      </c>
      <c r="F296" s="274">
        <f>SUM($G286:$G295)</f>
        <v>7166.08</v>
      </c>
      <c r="G296" s="274"/>
      <c r="H296" s="36"/>
      <c r="I296" s="272"/>
      <c r="J296" s="37" cm="1">
        <f t="array" ref="J296">INDEX(Total!$AJ$8:$AJ$1002,MATCH($C274&amp;$G274,Total!$D$8:$D$1002&amp;Total!$E$8:$E$1002,0))</f>
        <v>3523.08</v>
      </c>
    </row>
    <row r="297" spans="1:10" ht="16.5" customHeight="1">
      <c r="A297" s="270"/>
      <c r="B297" s="54"/>
      <c r="C297" s="54"/>
      <c r="D297" s="54"/>
      <c r="E297" s="54"/>
      <c r="F297" s="262"/>
      <c r="G297" s="263"/>
      <c r="H297" s="9"/>
      <c r="I297" s="272"/>
    </row>
    <row r="298" spans="1:10" ht="16.5" customHeight="1">
      <c r="A298" s="270"/>
      <c r="B298" s="76" t="s">
        <v>44</v>
      </c>
      <c r="C298" s="54"/>
      <c r="D298" s="54"/>
      <c r="E298" s="54"/>
      <c r="F298" s="263"/>
      <c r="G298" s="263"/>
      <c r="H298" s="9"/>
      <c r="I298" s="272"/>
    </row>
    <row r="299" spans="1:10" ht="16.5" customHeight="1">
      <c r="A299" s="270"/>
      <c r="B299" s="76" t="s">
        <v>45</v>
      </c>
      <c r="C299" s="54"/>
      <c r="D299" s="264"/>
      <c r="E299" s="264"/>
      <c r="F299" s="263"/>
      <c r="G299" s="263"/>
      <c r="H299" s="9"/>
      <c r="I299" s="272"/>
    </row>
    <row r="300" spans="1:10" ht="16.5" customHeight="1">
      <c r="A300" s="270"/>
      <c r="B300" s="76" t="s">
        <v>46</v>
      </c>
      <c r="C300" s="54"/>
      <c r="D300" s="54"/>
      <c r="E300" s="54"/>
      <c r="F300" s="54"/>
      <c r="G300" s="54"/>
      <c r="H300" s="9"/>
      <c r="I300" s="272"/>
    </row>
    <row r="301" spans="1:10" ht="16.5" customHeight="1">
      <c r="A301" s="270"/>
      <c r="B301" s="77"/>
      <c r="C301" s="7"/>
      <c r="D301" s="78"/>
      <c r="E301" s="265" t="s">
        <v>47</v>
      </c>
      <c r="F301" s="265"/>
      <c r="G301" s="79"/>
      <c r="H301" s="38"/>
      <c r="I301" s="272"/>
    </row>
    <row r="302" spans="1:10" ht="16.5" customHeight="1">
      <c r="A302" s="270"/>
      <c r="B302" s="7"/>
      <c r="C302" s="7"/>
      <c r="D302" s="80"/>
      <c r="E302" s="80"/>
      <c r="F302" s="7"/>
      <c r="G302" s="7"/>
      <c r="H302" s="7"/>
      <c r="I302" s="272"/>
    </row>
    <row r="303" spans="1:10" ht="16.5" customHeight="1">
      <c r="A303" s="270"/>
      <c r="B303" s="7"/>
      <c r="C303" s="7"/>
      <c r="D303" s="80"/>
      <c r="E303" s="78"/>
      <c r="F303" s="81" t="s">
        <v>48</v>
      </c>
      <c r="G303" s="82"/>
      <c r="H303" s="39"/>
      <c r="I303" s="272"/>
    </row>
    <row r="304" spans="1:10" ht="16.5" customHeight="1"/>
    <row r="305" spans="1:9">
      <c r="A305" s="266"/>
      <c r="B305" s="266"/>
      <c r="C305" s="266"/>
      <c r="D305" s="266"/>
      <c r="E305" s="266"/>
      <c r="F305" s="266"/>
      <c r="G305" s="266"/>
      <c r="H305" s="266"/>
      <c r="I305" s="266"/>
    </row>
    <row r="306" spans="1:9" ht="27.75">
      <c r="A306" s="267" t="s">
        <v>49</v>
      </c>
      <c r="B306" s="267"/>
      <c r="C306" s="267"/>
      <c r="D306" s="267"/>
      <c r="E306" s="267"/>
      <c r="F306" s="267"/>
      <c r="G306" s="267"/>
      <c r="H306" s="267"/>
      <c r="I306" s="267"/>
    </row>
    <row r="307" spans="1:9" ht="27.75">
      <c r="A307" s="267" t="s">
        <v>50</v>
      </c>
      <c r="B307" s="267"/>
      <c r="C307" s="267"/>
      <c r="D307" s="267"/>
      <c r="E307" s="267"/>
      <c r="F307" s="267"/>
      <c r="G307" s="267"/>
      <c r="H307" s="267"/>
      <c r="I307" s="267"/>
    </row>
    <row r="308" spans="1:9">
      <c r="A308" s="268" t="s">
        <v>0</v>
      </c>
      <c r="B308" s="268"/>
      <c r="C308" s="268"/>
      <c r="D308" s="268"/>
      <c r="E308" s="268"/>
      <c r="F308" s="268"/>
      <c r="G308" s="268"/>
      <c r="H308" s="268"/>
      <c r="I308" s="268"/>
    </row>
    <row r="309" spans="1:9">
      <c r="A309" s="269"/>
      <c r="B309" s="269"/>
      <c r="C309" s="269"/>
      <c r="D309" s="269"/>
      <c r="E309" s="269"/>
      <c r="F309" s="269"/>
      <c r="G309" s="269"/>
      <c r="H309" s="269"/>
      <c r="I309" s="269"/>
    </row>
    <row r="310" spans="1:9" ht="21" thickBot="1">
      <c r="A310" s="270"/>
      <c r="B310" s="271" t="s">
        <v>88</v>
      </c>
      <c r="C310" s="271"/>
      <c r="D310" s="271"/>
      <c r="E310" s="271"/>
      <c r="F310" s="271"/>
      <c r="G310" s="271"/>
      <c r="H310" s="271"/>
      <c r="I310" s="272"/>
    </row>
    <row r="311" spans="1:9" ht="17.25" customHeight="1" thickTop="1">
      <c r="A311" s="270"/>
      <c r="B311" s="273"/>
      <c r="C311" s="273"/>
      <c r="D311" s="273"/>
      <c r="E311" s="273"/>
      <c r="F311" s="273"/>
      <c r="G311" s="273"/>
      <c r="H311" s="5"/>
      <c r="I311" s="272"/>
    </row>
    <row r="312" spans="1:9" ht="16.5" customHeight="1">
      <c r="A312" s="270"/>
      <c r="B312" s="51" t="s">
        <v>20</v>
      </c>
      <c r="C312" s="6" t="str">
        <f>Total!$D$16</f>
        <v>Ng Nga Fong</v>
      </c>
      <c r="D312" s="6" t="str" cm="1">
        <f t="array" ref="D312">INDEX(Total!$C$8:$C$1002,MATCH($C312&amp;$G312,Total!$D$8:$D$1002&amp;Total!$E$8:$E$1002,0))</f>
        <v>Fong_1</v>
      </c>
      <c r="E312" s="52"/>
      <c r="F312" s="53" t="s">
        <v>21</v>
      </c>
      <c r="G312" s="6" t="str">
        <f>Total!$E$16</f>
        <v>Autopay</v>
      </c>
      <c r="H312" s="6"/>
      <c r="I312" s="272"/>
    </row>
    <row r="313" spans="1:9" ht="17.25" customHeight="1" thickBot="1">
      <c r="A313" s="270"/>
      <c r="B313" s="54"/>
      <c r="C313" s="54"/>
      <c r="D313" s="54"/>
      <c r="E313" s="7"/>
      <c r="F313" s="8"/>
      <c r="G313" s="9"/>
      <c r="H313" s="9"/>
      <c r="I313" s="272"/>
    </row>
    <row r="314" spans="1:9" ht="17.25" customHeight="1" thickBot="1">
      <c r="A314" s="270"/>
      <c r="B314" s="83" t="s">
        <v>22</v>
      </c>
      <c r="C314" s="56"/>
      <c r="D314" s="55"/>
      <c r="E314" s="56" t="s">
        <v>23</v>
      </c>
      <c r="F314" s="57"/>
      <c r="G314" s="9"/>
      <c r="H314" s="9"/>
      <c r="I314" s="272"/>
    </row>
    <row r="315" spans="1:9" ht="17.25" customHeight="1" thickTop="1">
      <c r="A315" s="270"/>
      <c r="B315" s="58" t="s">
        <v>24</v>
      </c>
      <c r="C315" s="10"/>
      <c r="D315" s="59"/>
      <c r="E315" s="60" t="s">
        <v>25</v>
      </c>
      <c r="F315" s="11"/>
      <c r="G315" s="9"/>
      <c r="H315" s="9"/>
      <c r="I315" s="272"/>
    </row>
    <row r="316" spans="1:9" ht="16.5" customHeight="1">
      <c r="A316" s="270"/>
      <c r="B316" s="61" t="s">
        <v>26</v>
      </c>
      <c r="C316" s="12"/>
      <c r="D316" s="13"/>
      <c r="E316" s="14" t="str" cm="1">
        <f t="array" ref="E316">INDEX(Total!$F$8:$F$1002,MATCH($C312&amp;$G312,Total!$D$8:$D$1002&amp;Total!$E$8:$E$1002,0))</f>
        <v>Diamond Hill_1 Broadway</v>
      </c>
      <c r="F316" s="15"/>
      <c r="G316" s="9"/>
      <c r="H316" s="9"/>
      <c r="I316" s="272"/>
    </row>
    <row r="317" spans="1:9" ht="16.5" customHeight="1">
      <c r="A317" s="270"/>
      <c r="B317" s="61" t="s">
        <v>27</v>
      </c>
      <c r="C317" s="16"/>
      <c r="D317" s="13"/>
      <c r="E317" s="275" t="str" cm="1">
        <f t="array" ref="E317">INDEX(Total!$G$8:$G$1002,MATCH($C312&amp;$G312,Total!$D$8:$D$1002&amp;Total!$E$8:$E$1002,0))</f>
        <v>Mar/1,7-8,14-15,28-29</v>
      </c>
      <c r="F317" s="276"/>
      <c r="G317" s="9"/>
      <c r="H317" s="9"/>
      <c r="I317" s="272"/>
    </row>
    <row r="318" spans="1:9" ht="16.5" customHeight="1">
      <c r="A318" s="270"/>
      <c r="B318" s="61" t="s">
        <v>28</v>
      </c>
      <c r="C318" s="16"/>
      <c r="D318" s="13"/>
      <c r="E318" s="62" cm="1">
        <f t="array" ref="E318">INDEX(Total!$H$8:$H$1002,MATCH($C312&amp;$G312,Total!$D$8:$D$1002&amp;Total!$E$8:$E$1002,0))</f>
        <v>7</v>
      </c>
      <c r="F318" s="15"/>
      <c r="G318" s="8"/>
      <c r="H318" s="8"/>
      <c r="I318" s="272"/>
    </row>
    <row r="319" spans="1:9" ht="16.5" customHeight="1">
      <c r="A319" s="270"/>
      <c r="B319" s="61" t="s">
        <v>29</v>
      </c>
      <c r="C319" s="12"/>
      <c r="D319" s="17"/>
      <c r="E319" s="62" cm="1">
        <f t="array" ref="E319">INDEX(Total!$I$8:$I$1002,MATCH($C312&amp;$G312,Total!$D$8:$D$1002&amp;Total!$E$8:$E$1002,0))</f>
        <v>56</v>
      </c>
      <c r="F319" s="18"/>
      <c r="G319" s="8"/>
      <c r="H319" s="8"/>
      <c r="I319" s="272"/>
    </row>
    <row r="320" spans="1:9" ht="16.5" customHeight="1">
      <c r="A320" s="270"/>
      <c r="B320" s="61" t="s">
        <v>30</v>
      </c>
      <c r="C320" s="12"/>
      <c r="D320" s="17"/>
      <c r="E320" s="62" cm="1">
        <f t="array" ref="E320">INDEX(Total!$J$8:$J$1002,MATCH($C312&amp;$G312,Total!$D$8:$D$1002&amp;Total!$E$8:$E$1002,0))</f>
        <v>60</v>
      </c>
      <c r="F320" s="18"/>
      <c r="G320" s="8"/>
      <c r="H320" s="8"/>
      <c r="I320" s="272"/>
    </row>
    <row r="321" spans="1:10" ht="17.25" customHeight="1" thickBot="1">
      <c r="A321" s="270"/>
      <c r="B321" s="63" t="s">
        <v>31</v>
      </c>
      <c r="C321" s="19"/>
      <c r="D321" s="20"/>
      <c r="E321" s="41" cm="1">
        <f t="array" ref="E321">INDEX(Total!$L$8:$L$1002,MATCH($C312&amp;$G312,Total!$D$8:$D$1002&amp;Total!$E$8:$E$1002,0))</f>
        <v>67587</v>
      </c>
      <c r="F321" s="21"/>
      <c r="G321" s="22"/>
      <c r="H321" s="22"/>
      <c r="I321" s="272"/>
    </row>
    <row r="322" spans="1:10" ht="17.25" customHeight="1" thickBot="1">
      <c r="A322" s="270"/>
      <c r="B322" s="23"/>
      <c r="C322" s="23"/>
      <c r="D322" s="23"/>
      <c r="E322" s="23"/>
      <c r="F322" s="23"/>
      <c r="G322" s="23"/>
      <c r="H322" s="23"/>
      <c r="I322" s="272"/>
    </row>
    <row r="323" spans="1:10" ht="17.25" customHeight="1" thickBot="1">
      <c r="A323" s="270"/>
      <c r="B323" s="64"/>
      <c r="C323" s="65" t="s">
        <v>32</v>
      </c>
      <c r="D323" s="66"/>
      <c r="E323" s="66"/>
      <c r="F323" s="84" t="s">
        <v>33</v>
      </c>
      <c r="G323" s="84"/>
      <c r="H323" s="24"/>
      <c r="I323" s="272"/>
    </row>
    <row r="324" spans="1:10" ht="17.25" customHeight="1" thickTop="1">
      <c r="A324" s="270"/>
      <c r="B324" s="67"/>
      <c r="C324" s="58" t="s">
        <v>34</v>
      </c>
      <c r="D324" s="68"/>
      <c r="E324" s="68"/>
      <c r="F324" s="69"/>
      <c r="G324" s="70" cm="1">
        <f t="array" ref="G324">INDEX(Total!$K$8:$K$1002,MATCH($C312&amp;$G312,Total!$D$8:$D$1002&amp;Total!$E$8:$E$1002,0))</f>
        <v>3360</v>
      </c>
      <c r="H324" s="25"/>
      <c r="I324" s="272"/>
    </row>
    <row r="325" spans="1:10" ht="16.5" customHeight="1">
      <c r="A325" s="270"/>
      <c r="B325" s="67"/>
      <c r="C325" s="61" t="str">
        <f>表格1[[#Headers],[三門雪櫃特佣 GR-RM469WE-PGA(B3)]]</f>
        <v>三門雪櫃特佣 GR-RM469WE-PGA(B3)</v>
      </c>
      <c r="D325" s="26"/>
      <c r="E325" s="26"/>
      <c r="F325" s="27"/>
      <c r="G325" s="71" cm="1">
        <f t="array" ref="G325">INDEX(Total!$AH$8:$AH$1002,MATCH($C312&amp;$G312,Total!$D$8:$D$1002&amp;Total!$E$8:$E$1002,0))</f>
        <v>4712</v>
      </c>
      <c r="H325" s="28"/>
      <c r="I325" s="272"/>
    </row>
    <row r="326" spans="1:10" ht="16.5" customHeight="1">
      <c r="A326" s="270"/>
      <c r="B326" s="67"/>
      <c r="C326" s="61" t="s">
        <v>36</v>
      </c>
      <c r="D326" s="29"/>
      <c r="E326" s="29"/>
      <c r="F326" s="27"/>
      <c r="G326" s="71" cm="1">
        <f t="array" ref="G326">INDEX(Total!$N$8:$N$1002,MATCH($C312&amp;$G312,Total!$D$8:$D$1002&amp;Total!$E$8:$E$1002,0))</f>
        <v>1351.74</v>
      </c>
      <c r="H326" s="28"/>
      <c r="I326" s="272"/>
    </row>
    <row r="327" spans="1:10" ht="16.5" customHeight="1">
      <c r="A327" s="270"/>
      <c r="B327" s="67"/>
      <c r="C327" s="61" t="s">
        <v>67</v>
      </c>
      <c r="D327" s="30"/>
      <c r="E327" s="30"/>
      <c r="F327" s="27"/>
      <c r="G327" s="71" cm="1">
        <f t="array" ref="G327">INDEX(Total!$P$8:$P$1002,MATCH($C312&amp;$G312,Total!$D$8:$D$1002&amp;Total!$E$8:$E$1002,0))</f>
        <v>0</v>
      </c>
      <c r="H327" s="28"/>
      <c r="I327" s="272"/>
    </row>
    <row r="328" spans="1:10" ht="16.5" customHeight="1">
      <c r="A328" s="270"/>
      <c r="B328" s="67"/>
      <c r="C328" s="61" t="str">
        <f>表格1[[#Headers],[嵌入式微波氣炸蒸焗爐特佣 EB-T500APW]]</f>
        <v>嵌入式微波氣炸蒸焗爐特佣 EB-T500APW</v>
      </c>
      <c r="D328" s="30"/>
      <c r="E328" s="30"/>
      <c r="F328" s="27"/>
      <c r="G328" s="71" cm="1">
        <f t="array" ref="G328">INDEX(Total!$S$8:$S$1002,MATCH($C312&amp;$G312,Total!$D$8:$D$1002&amp;Total!$E$8:$E$1002,0))</f>
        <v>0</v>
      </c>
      <c r="H328" s="28"/>
      <c r="I328" s="272"/>
    </row>
    <row r="329" spans="1:10" ht="16.5" customHeight="1">
      <c r="A329" s="270"/>
      <c r="B329" s="67"/>
      <c r="C329" s="61" t="str">
        <f>表格1[[#Headers],[蒸氣烤焗水波爐特佣 ER-VD7000HK(XK)]]</f>
        <v>蒸氣烤焗水波爐特佣 ER-VD7000HK(XK)</v>
      </c>
      <c r="D329" s="26" t="s">
        <v>4</v>
      </c>
      <c r="E329" s="26"/>
      <c r="F329" s="27"/>
      <c r="G329" s="71" cm="1">
        <f t="array" ref="G329">INDEX(Total!$T$8:$T$1002,MATCH($C312&amp;$G312,Total!$D$8:$D$1002&amp;Total!$E$8:$E$1002,0))</f>
        <v>0</v>
      </c>
      <c r="H329" s="28"/>
      <c r="I329" s="272"/>
    </row>
    <row r="330" spans="1:10" ht="16.5" customHeight="1">
      <c r="A330" s="270"/>
      <c r="B330" s="67"/>
      <c r="C330" s="61" t="str">
        <f>表格1[[#Headers],[日本飯煲 RC-DS10K/18K]]</f>
        <v>日本飯煲 RC-DS10K/18K</v>
      </c>
      <c r="D330" s="30"/>
      <c r="E330" s="30"/>
      <c r="F330" s="27"/>
      <c r="G330" s="71" cm="1">
        <f t="array" ref="G330">INDEX(Total!$Q$8:$Q$1002,MATCH($C312&amp;$G312,Total!$D$8:$D$1002&amp;Total!$E$8:$E$1002,0))</f>
        <v>0</v>
      </c>
      <c r="H330" s="28"/>
      <c r="I330" s="272"/>
    </row>
    <row r="331" spans="1:10" ht="16.5" customHeight="1">
      <c r="A331" s="270"/>
      <c r="B331" s="67"/>
      <c r="C331" s="61" t="str">
        <f>表格1[[#Headers],[TWDT21BU95 ]]</f>
        <v xml:space="preserve">TWDT21BU95 </v>
      </c>
      <c r="D331" s="30"/>
      <c r="E331" s="30"/>
      <c r="F331" s="27"/>
      <c r="G331" s="71" cm="1">
        <f t="array" ref="G331">INDEX(Total!$U$8:$U$1002,MATCH($C312&amp;$G312,Total!$D$8:$D$1002&amp;Total!$E$8:$E$1002,0))</f>
        <v>0</v>
      </c>
      <c r="H331" s="28"/>
      <c r="I331" s="272"/>
    </row>
    <row r="332" spans="1:10" ht="16.5" customHeight="1">
      <c r="A332" s="270"/>
      <c r="B332" s="67"/>
      <c r="C332" s="103" t="str">
        <f>表格1[[#Headers],[日式洗衣機二特佣 AW-Q801APH(WW)]]</f>
        <v>日式洗衣機二特佣 AW-Q801APH(WW)</v>
      </c>
      <c r="D332" s="30"/>
      <c r="E332" s="30"/>
      <c r="F332" s="27"/>
      <c r="G332" s="71" cm="1">
        <f t="array" ref="G332">INDEX(Total!$Z$8:$Z$1002,MATCH($C312&amp;$G312,Total!$D$8:$D$1002&amp;Total!$E$8:$E$1002,0))</f>
        <v>0</v>
      </c>
      <c r="H332" s="102"/>
      <c r="I332" s="272"/>
    </row>
    <row r="333" spans="1:10" ht="17.25" customHeight="1" thickBot="1">
      <c r="A333" s="270"/>
      <c r="B333" s="67"/>
      <c r="C333" s="72" t="s">
        <v>39</v>
      </c>
      <c r="D333" s="31"/>
      <c r="E333" s="31"/>
      <c r="F333" s="32"/>
      <c r="G333" s="73" cm="1">
        <f t="array" ref="G333">INDEX(Total!$W$8:$W$1002,MATCH($C312&amp;$G312,Total!$D$8:$D$1002&amp;Total!$E$8:$E$1002,0))</f>
        <v>0</v>
      </c>
      <c r="H333" s="33"/>
      <c r="I333" s="272"/>
    </row>
    <row r="334" spans="1:10" ht="18" customHeight="1" thickTop="1" thickBot="1">
      <c r="A334" s="270"/>
      <c r="B334" s="74"/>
      <c r="C334" s="75"/>
      <c r="D334" s="34"/>
      <c r="E334" s="35" t="s">
        <v>43</v>
      </c>
      <c r="F334" s="274">
        <f>SUM($G324:$G333)</f>
        <v>9423.74</v>
      </c>
      <c r="G334" s="274"/>
      <c r="H334" s="36"/>
      <c r="I334" s="272"/>
      <c r="J334" s="37" cm="1">
        <f t="array" ref="J334">INDEX(Total!$AJ$8:$AJ$1002,MATCH($C312&amp;$G312,Total!$D$8:$D$1002&amp;Total!$E$8:$E$1002,0))</f>
        <v>4711.74</v>
      </c>
    </row>
    <row r="335" spans="1:10" ht="16.5" customHeight="1">
      <c r="A335" s="270"/>
      <c r="B335" s="54"/>
      <c r="C335" s="54"/>
      <c r="D335" s="54"/>
      <c r="E335" s="54"/>
      <c r="F335" s="262"/>
      <c r="G335" s="263"/>
      <c r="H335" s="9"/>
      <c r="I335" s="272"/>
    </row>
    <row r="336" spans="1:10" ht="16.5" customHeight="1">
      <c r="A336" s="270"/>
      <c r="B336" s="76" t="s">
        <v>44</v>
      </c>
      <c r="C336" s="54"/>
      <c r="D336" s="54"/>
      <c r="E336" s="54"/>
      <c r="F336" s="263"/>
      <c r="G336" s="263"/>
      <c r="H336" s="9"/>
      <c r="I336" s="272"/>
    </row>
    <row r="337" spans="1:9" ht="16.5" customHeight="1">
      <c r="A337" s="270"/>
      <c r="B337" s="76" t="s">
        <v>45</v>
      </c>
      <c r="C337" s="54"/>
      <c r="D337" s="264"/>
      <c r="E337" s="264"/>
      <c r="F337" s="263"/>
      <c r="G337" s="263"/>
      <c r="H337" s="9"/>
      <c r="I337" s="272"/>
    </row>
    <row r="338" spans="1:9" ht="16.5" customHeight="1">
      <c r="A338" s="270"/>
      <c r="B338" s="76" t="s">
        <v>46</v>
      </c>
      <c r="C338" s="54"/>
      <c r="D338" s="54"/>
      <c r="E338" s="54"/>
      <c r="F338" s="54"/>
      <c r="G338" s="54"/>
      <c r="H338" s="9"/>
      <c r="I338" s="272"/>
    </row>
    <row r="339" spans="1:9" ht="16.5" customHeight="1">
      <c r="A339" s="270"/>
      <c r="B339" s="77"/>
      <c r="C339" s="7"/>
      <c r="D339" s="78"/>
      <c r="E339" s="265" t="s">
        <v>47</v>
      </c>
      <c r="F339" s="265"/>
      <c r="G339" s="79"/>
      <c r="H339" s="38"/>
      <c r="I339" s="272"/>
    </row>
    <row r="340" spans="1:9" ht="16.5" customHeight="1">
      <c r="A340" s="270"/>
      <c r="B340" s="7"/>
      <c r="C340" s="7"/>
      <c r="D340" s="80"/>
      <c r="E340" s="80"/>
      <c r="F340" s="7"/>
      <c r="G340" s="7"/>
      <c r="H340" s="7"/>
      <c r="I340" s="272"/>
    </row>
    <row r="341" spans="1:9" ht="16.5" customHeight="1">
      <c r="A341" s="270"/>
      <c r="B341" s="7"/>
      <c r="C341" s="7"/>
      <c r="D341" s="80"/>
      <c r="E341" s="78"/>
      <c r="F341" s="81" t="s">
        <v>48</v>
      </c>
      <c r="G341" s="82"/>
      <c r="H341" s="39"/>
      <c r="I341" s="272"/>
    </row>
    <row r="342" spans="1:9" ht="16.5" customHeight="1"/>
    <row r="343" spans="1:9">
      <c r="A343" s="266"/>
      <c r="B343" s="266"/>
      <c r="C343" s="266"/>
      <c r="D343" s="266"/>
      <c r="E343" s="266"/>
      <c r="F343" s="266"/>
      <c r="G343" s="266"/>
      <c r="H343" s="266"/>
      <c r="I343" s="266"/>
    </row>
    <row r="344" spans="1:9" ht="27.75">
      <c r="A344" s="267" t="s">
        <v>49</v>
      </c>
      <c r="B344" s="267"/>
      <c r="C344" s="267"/>
      <c r="D344" s="267"/>
      <c r="E344" s="267"/>
      <c r="F344" s="267"/>
      <c r="G344" s="267"/>
      <c r="H344" s="267"/>
      <c r="I344" s="267"/>
    </row>
    <row r="345" spans="1:9" ht="27.75">
      <c r="A345" s="267" t="s">
        <v>50</v>
      </c>
      <c r="B345" s="267"/>
      <c r="C345" s="267"/>
      <c r="D345" s="267"/>
      <c r="E345" s="267"/>
      <c r="F345" s="267"/>
      <c r="G345" s="267"/>
      <c r="H345" s="267"/>
      <c r="I345" s="267"/>
    </row>
    <row r="346" spans="1:9">
      <c r="A346" s="268" t="s">
        <v>95</v>
      </c>
      <c r="B346" s="268"/>
      <c r="C346" s="268"/>
      <c r="D346" s="268"/>
      <c r="E346" s="268"/>
      <c r="F346" s="268"/>
      <c r="G346" s="268"/>
      <c r="H346" s="268"/>
      <c r="I346" s="268"/>
    </row>
    <row r="347" spans="1:9">
      <c r="A347" s="269"/>
      <c r="B347" s="269"/>
      <c r="C347" s="269"/>
      <c r="D347" s="269"/>
      <c r="E347" s="269"/>
      <c r="F347" s="269"/>
      <c r="G347" s="269"/>
      <c r="H347" s="269"/>
      <c r="I347" s="269"/>
    </row>
    <row r="348" spans="1:9" ht="21" thickBot="1">
      <c r="A348" s="270"/>
      <c r="B348" s="271" t="s">
        <v>88</v>
      </c>
      <c r="C348" s="271"/>
      <c r="D348" s="271"/>
      <c r="E348" s="271"/>
      <c r="F348" s="271"/>
      <c r="G348" s="271"/>
      <c r="H348" s="271"/>
      <c r="I348" s="272"/>
    </row>
    <row r="349" spans="1:9" ht="17.25" customHeight="1" thickTop="1">
      <c r="A349" s="270"/>
      <c r="B349" s="273"/>
      <c r="C349" s="273"/>
      <c r="D349" s="273"/>
      <c r="E349" s="273"/>
      <c r="F349" s="273"/>
      <c r="G349" s="273"/>
      <c r="H349" s="5"/>
      <c r="I349" s="272"/>
    </row>
    <row r="350" spans="1:9" ht="16.5" customHeight="1">
      <c r="A350" s="270"/>
      <c r="B350" s="51" t="s">
        <v>20</v>
      </c>
      <c r="C350" s="6" t="str">
        <f>Total!$D$70</f>
        <v>Pang Kam Chun</v>
      </c>
      <c r="D350" s="6" t="str" cm="1">
        <f t="array" ref="D350">INDEX(Total!$C$8:$C$1002,MATCH($C350&amp;$G350,Total!$D$8:$D$1002&amp;Total!$E$8:$E$1002,0))</f>
        <v>Jenny</v>
      </c>
      <c r="E350" s="52"/>
      <c r="F350" s="53" t="s">
        <v>21</v>
      </c>
      <c r="G350" s="6" t="str">
        <f>Total!$E$70</f>
        <v>Autopay</v>
      </c>
      <c r="H350" s="6"/>
      <c r="I350" s="272"/>
    </row>
    <row r="351" spans="1:9" ht="17.25" customHeight="1" thickBot="1">
      <c r="A351" s="270"/>
      <c r="B351" s="54"/>
      <c r="C351" s="54"/>
      <c r="D351" s="54"/>
      <c r="E351" s="7"/>
      <c r="F351" s="8"/>
      <c r="G351" s="9"/>
      <c r="H351" s="9"/>
      <c r="I351" s="272"/>
    </row>
    <row r="352" spans="1:9" ht="17.25" customHeight="1" thickBot="1">
      <c r="A352" s="270"/>
      <c r="B352" s="83" t="s">
        <v>22</v>
      </c>
      <c r="C352" s="56"/>
      <c r="D352" s="55"/>
      <c r="E352" s="56" t="s">
        <v>23</v>
      </c>
      <c r="F352" s="57"/>
      <c r="G352" s="9"/>
      <c r="H352" s="9"/>
      <c r="I352" s="272"/>
    </row>
    <row r="353" spans="1:9" ht="17.25" customHeight="1" thickTop="1">
      <c r="A353" s="270"/>
      <c r="B353" s="58" t="s">
        <v>24</v>
      </c>
      <c r="C353" s="10"/>
      <c r="D353" s="59"/>
      <c r="E353" s="60" t="s">
        <v>25</v>
      </c>
      <c r="F353" s="11"/>
      <c r="G353" s="9"/>
      <c r="H353" s="9"/>
      <c r="I353" s="272"/>
    </row>
    <row r="354" spans="1:9" ht="16.5" customHeight="1">
      <c r="A354" s="270"/>
      <c r="B354" s="61" t="s">
        <v>26</v>
      </c>
      <c r="C354" s="12"/>
      <c r="D354" s="13"/>
      <c r="E354" s="14" t="str" cm="1">
        <f t="array" ref="E354">INDEX(Total!$F$8:$F$1002,MATCH($C350&amp;$G350,Total!$D$8:$D$1002&amp;Total!$E$8:$E$1002,0))</f>
        <v>Training_2</v>
      </c>
      <c r="F354" s="15"/>
      <c r="G354" s="9"/>
      <c r="H354" s="9"/>
      <c r="I354" s="272"/>
    </row>
    <row r="355" spans="1:9" ht="16.5" customHeight="1">
      <c r="A355" s="270"/>
      <c r="B355" s="61" t="s">
        <v>27</v>
      </c>
      <c r="C355" s="16"/>
      <c r="D355" s="13"/>
      <c r="E355" s="40" t="str" cm="1">
        <f t="array" ref="E355">INDEX(Total!$G$8:$G$1002,MATCH($C350&amp;$G350,Total!$D$8:$D$1002&amp;Total!$E$8:$E$1002,0))</f>
        <v>Mar/24</v>
      </c>
      <c r="F355" s="15"/>
      <c r="G355" s="9"/>
      <c r="H355" s="9"/>
      <c r="I355" s="272"/>
    </row>
    <row r="356" spans="1:9" ht="16.5" customHeight="1">
      <c r="A356" s="270"/>
      <c r="B356" s="61" t="s">
        <v>28</v>
      </c>
      <c r="C356" s="16"/>
      <c r="D356" s="13"/>
      <c r="E356" s="62" cm="1">
        <f t="array" ref="E356">INDEX(Total!$H$8:$H$1002,MATCH($C350&amp;$G350,Total!$D$8:$D$1002&amp;Total!$E$8:$E$1002,0))</f>
        <v>1</v>
      </c>
      <c r="F356" s="15"/>
      <c r="G356" s="8"/>
      <c r="H356" s="8"/>
      <c r="I356" s="272"/>
    </row>
    <row r="357" spans="1:9" ht="16.5" customHeight="1">
      <c r="A357" s="270"/>
      <c r="B357" s="61" t="s">
        <v>29</v>
      </c>
      <c r="C357" s="12"/>
      <c r="D357" s="17"/>
      <c r="E357" s="62" cm="1">
        <f t="array" ref="E357">INDEX(Total!$I$8:$I$1002,MATCH($C350&amp;$G350,Total!$D$8:$D$1002&amp;Total!$E$8:$E$1002,0))</f>
        <v>7</v>
      </c>
      <c r="F357" s="18"/>
      <c r="G357" s="8"/>
      <c r="H357" s="8"/>
      <c r="I357" s="272"/>
    </row>
    <row r="358" spans="1:9" ht="16.5" customHeight="1">
      <c r="A358" s="270"/>
      <c r="B358" s="61" t="s">
        <v>30</v>
      </c>
      <c r="C358" s="12"/>
      <c r="D358" s="17"/>
      <c r="E358" s="62" cm="1">
        <f t="array" ref="E358">INDEX(Total!$J$8:$J$1002,MATCH($C350&amp;$G350,Total!$D$8:$D$1002&amp;Total!$E$8:$E$1002,0))</f>
        <v>50</v>
      </c>
      <c r="F358" s="18"/>
      <c r="G358" s="8"/>
      <c r="H358" s="8"/>
      <c r="I358" s="272"/>
    </row>
    <row r="359" spans="1:9" ht="17.25" customHeight="1" thickBot="1">
      <c r="A359" s="270"/>
      <c r="B359" s="63" t="s">
        <v>31</v>
      </c>
      <c r="C359" s="19"/>
      <c r="D359" s="20"/>
      <c r="E359" s="41" cm="1">
        <f t="array" ref="E359">INDEX(Total!$L$8:$L$1002,MATCH($C350&amp;$G350,Total!$D$8:$D$1002&amp;Total!$E$8:$E$1002,0))</f>
        <v>0</v>
      </c>
      <c r="F359" s="21"/>
      <c r="G359" s="22"/>
      <c r="H359" s="22"/>
      <c r="I359" s="272"/>
    </row>
    <row r="360" spans="1:9" ht="17.25" customHeight="1" thickBot="1">
      <c r="A360" s="270"/>
      <c r="B360" s="23"/>
      <c r="C360" s="23"/>
      <c r="D360" s="23"/>
      <c r="E360" s="23"/>
      <c r="F360" s="23"/>
      <c r="G360" s="23"/>
      <c r="H360" s="23"/>
      <c r="I360" s="272"/>
    </row>
    <row r="361" spans="1:9" ht="17.25" customHeight="1" thickBot="1">
      <c r="A361" s="270"/>
      <c r="B361" s="64"/>
      <c r="C361" s="65" t="s">
        <v>32</v>
      </c>
      <c r="D361" s="66"/>
      <c r="E361" s="66"/>
      <c r="F361" s="84" t="s">
        <v>33</v>
      </c>
      <c r="G361" s="84"/>
      <c r="H361" s="24"/>
      <c r="I361" s="272"/>
    </row>
    <row r="362" spans="1:9" ht="17.25" customHeight="1" thickTop="1">
      <c r="A362" s="270"/>
      <c r="B362" s="67"/>
      <c r="C362" s="58" t="s">
        <v>34</v>
      </c>
      <c r="D362" s="68"/>
      <c r="E362" s="68"/>
      <c r="F362" s="69"/>
      <c r="G362" s="70" cm="1">
        <f t="array" ref="G362">INDEX(Total!$K$8:$K$1002,MATCH($C350&amp;$G350,Total!$D$8:$D$1002&amp;Total!$E$8:$E$1002,0))</f>
        <v>350</v>
      </c>
      <c r="H362" s="25"/>
      <c r="I362" s="272"/>
    </row>
    <row r="363" spans="1:9" ht="16.5" customHeight="1">
      <c r="A363" s="270"/>
      <c r="B363" s="67"/>
      <c r="C363" s="61" t="str">
        <f>表格1[[#Headers],[三門雪櫃特佣 GR-RM469WE-PGA(B3)]]</f>
        <v>三門雪櫃特佣 GR-RM469WE-PGA(B3)</v>
      </c>
      <c r="D363" s="26"/>
      <c r="E363" s="26"/>
      <c r="F363" s="27"/>
      <c r="G363" s="71" cm="1">
        <f t="array" ref="G363">INDEX(Total!$AH$8:$AH$1002,MATCH($C350&amp;$G350,Total!$D$8:$D$1002&amp;Total!$E$8:$E$1002,0))</f>
        <v>350</v>
      </c>
      <c r="H363" s="28"/>
      <c r="I363" s="272"/>
    </row>
    <row r="364" spans="1:9" ht="16.5" customHeight="1">
      <c r="A364" s="270"/>
      <c r="B364" s="67"/>
      <c r="C364" s="61" t="s">
        <v>36</v>
      </c>
      <c r="D364" s="29"/>
      <c r="E364" s="29"/>
      <c r="F364" s="27"/>
      <c r="G364" s="71" cm="1">
        <f t="array" ref="G364">INDEX(Total!$N$8:$N$1002,MATCH($C350&amp;$G350,Total!$D$8:$D$1002&amp;Total!$E$8:$E$1002,0))</f>
        <v>0</v>
      </c>
      <c r="H364" s="28"/>
      <c r="I364" s="272"/>
    </row>
    <row r="365" spans="1:9" ht="16.5" customHeight="1">
      <c r="A365" s="270"/>
      <c r="B365" s="67"/>
      <c r="C365" s="61" t="s">
        <v>67</v>
      </c>
      <c r="D365" s="30"/>
      <c r="E365" s="30"/>
      <c r="F365" s="27"/>
      <c r="G365" s="71" cm="1">
        <f t="array" ref="G365">INDEX(Total!$P$8:$P$1002,MATCH($C350&amp;$G350,Total!$D$8:$D$1002&amp;Total!$E$8:$E$1002,0))</f>
        <v>0</v>
      </c>
      <c r="H365" s="28"/>
      <c r="I365" s="272"/>
    </row>
    <row r="366" spans="1:9" ht="16.5" customHeight="1">
      <c r="A366" s="270"/>
      <c r="B366" s="67"/>
      <c r="C366" s="61" t="str">
        <f>表格1[[#Headers],[嵌入式微波氣炸蒸焗爐特佣 EB-T500APW]]</f>
        <v>嵌入式微波氣炸蒸焗爐特佣 EB-T500APW</v>
      </c>
      <c r="D366" s="30"/>
      <c r="E366" s="30"/>
      <c r="F366" s="27"/>
      <c r="G366" s="71" cm="1">
        <f t="array" ref="G366">INDEX(Total!$S$8:$S$1002,MATCH($C350&amp;$G350,Total!$D$8:$D$1002&amp;Total!$E$8:$E$1002,0))</f>
        <v>0</v>
      </c>
      <c r="H366" s="28"/>
      <c r="I366" s="272"/>
    </row>
    <row r="367" spans="1:9" ht="16.5" customHeight="1">
      <c r="A367" s="270"/>
      <c r="B367" s="67"/>
      <c r="C367" s="61" t="str">
        <f>表格1[[#Headers],[蒸氣烤焗水波爐特佣 ER-VD7000HK(XK)]]</f>
        <v>蒸氣烤焗水波爐特佣 ER-VD7000HK(XK)</v>
      </c>
      <c r="D367" s="26" t="s">
        <v>4</v>
      </c>
      <c r="E367" s="26"/>
      <c r="F367" s="27"/>
      <c r="G367" s="71" cm="1">
        <f t="array" ref="G367">INDEX(Total!$T$8:$T$1002,MATCH($C350&amp;$G350,Total!$D$8:$D$1002&amp;Total!$E$8:$E$1002,0))</f>
        <v>0</v>
      </c>
      <c r="H367" s="28"/>
      <c r="I367" s="272"/>
    </row>
    <row r="368" spans="1:9" ht="16.5" customHeight="1">
      <c r="A368" s="270"/>
      <c r="B368" s="67"/>
      <c r="C368" s="61" t="str">
        <f>表格1[[#Headers],[日本飯煲 RC-DS10K/18K]]</f>
        <v>日本飯煲 RC-DS10K/18K</v>
      </c>
      <c r="D368" s="30"/>
      <c r="E368" s="30"/>
      <c r="F368" s="27"/>
      <c r="G368" s="71" cm="1">
        <f t="array" ref="G368">INDEX(Total!$Q$8:$Q$1002,MATCH($C350&amp;$G350,Total!$D$8:$D$1002&amp;Total!$E$8:$E$1002,0))</f>
        <v>0</v>
      </c>
      <c r="H368" s="28"/>
      <c r="I368" s="272"/>
    </row>
    <row r="369" spans="1:10" ht="16.5" customHeight="1">
      <c r="A369" s="270"/>
      <c r="B369" s="67"/>
      <c r="C369" s="61" t="str">
        <f>表格1[[#Headers],[TWDT21BU95 ]]</f>
        <v xml:space="preserve">TWDT21BU95 </v>
      </c>
      <c r="D369" s="30"/>
      <c r="E369" s="30"/>
      <c r="F369" s="27"/>
      <c r="G369" s="71" cm="1">
        <f t="array" ref="G369">INDEX(Total!$U$8:$U$1002,MATCH($C350&amp;$G350,Total!$D$8:$D$1002&amp;Total!$E$8:$E$1002,0))</f>
        <v>0</v>
      </c>
      <c r="H369" s="28"/>
      <c r="I369" s="272"/>
    </row>
    <row r="370" spans="1:10" ht="16.5" customHeight="1">
      <c r="A370" s="270"/>
      <c r="B370" s="67"/>
      <c r="C370" s="103" t="str">
        <f>表格1[[#Headers],[日式洗衣機二特佣 AW-Q801APH(WW)]]</f>
        <v>日式洗衣機二特佣 AW-Q801APH(WW)</v>
      </c>
      <c r="D370" s="30"/>
      <c r="E370" s="30"/>
      <c r="F370" s="27"/>
      <c r="G370" s="71" cm="1">
        <f t="array" ref="G370">INDEX(Total!$Z$8:$Z$1002,MATCH($C350&amp;$G350,Total!$D$8:$D$1002&amp;Total!$E$8:$E$1002,0))</f>
        <v>0</v>
      </c>
      <c r="H370" s="102"/>
      <c r="I370" s="272"/>
    </row>
    <row r="371" spans="1:10" ht="17.25" customHeight="1" thickBot="1">
      <c r="A371" s="270"/>
      <c r="B371" s="67"/>
      <c r="C371" s="72" t="s">
        <v>39</v>
      </c>
      <c r="D371" s="31"/>
      <c r="E371" s="31"/>
      <c r="F371" s="32"/>
      <c r="G371" s="73" cm="1">
        <f t="array" ref="G371">INDEX(Total!$W$8:$W$1002,MATCH($C350&amp;$G350,Total!$D$8:$D$1002&amp;Total!$E$8:$E$1002,0))</f>
        <v>0</v>
      </c>
      <c r="H371" s="33"/>
      <c r="I371" s="272"/>
    </row>
    <row r="372" spans="1:10" ht="18" customHeight="1" thickTop="1" thickBot="1">
      <c r="A372" s="270"/>
      <c r="B372" s="74"/>
      <c r="C372" s="75"/>
      <c r="D372" s="34"/>
      <c r="E372" s="35" t="s">
        <v>43</v>
      </c>
      <c r="F372" s="274">
        <f>SUM($G362:$G371)</f>
        <v>700</v>
      </c>
      <c r="G372" s="274"/>
      <c r="H372" s="36"/>
      <c r="I372" s="272"/>
      <c r="J372" s="37" cm="1">
        <f t="array" ref="J372">INDEX(Total!$AJ$8:$AJ$1002,MATCH($C350&amp;$G350,Total!$D$8:$D$1002&amp;Total!$E$8:$E$1002,0))</f>
        <v>350</v>
      </c>
    </row>
    <row r="373" spans="1:10" ht="16.5" customHeight="1">
      <c r="A373" s="270"/>
      <c r="B373" s="54"/>
      <c r="C373" s="54"/>
      <c r="D373" s="54"/>
      <c r="E373" s="54"/>
      <c r="F373" s="262"/>
      <c r="G373" s="263"/>
      <c r="H373" s="9"/>
      <c r="I373" s="272"/>
    </row>
    <row r="374" spans="1:10" ht="16.5" customHeight="1">
      <c r="A374" s="270"/>
      <c r="B374" s="76" t="s">
        <v>44</v>
      </c>
      <c r="C374" s="54"/>
      <c r="D374" s="54"/>
      <c r="E374" s="54"/>
      <c r="F374" s="263"/>
      <c r="G374" s="263"/>
      <c r="H374" s="9"/>
      <c r="I374" s="272"/>
    </row>
    <row r="375" spans="1:10" ht="16.5" customHeight="1">
      <c r="A375" s="270"/>
      <c r="B375" s="76" t="s">
        <v>45</v>
      </c>
      <c r="C375" s="54"/>
      <c r="D375" s="264"/>
      <c r="E375" s="264"/>
      <c r="F375" s="263"/>
      <c r="G375" s="263"/>
      <c r="H375" s="9"/>
      <c r="I375" s="272"/>
    </row>
    <row r="376" spans="1:10" ht="16.5" customHeight="1">
      <c r="A376" s="270"/>
      <c r="B376" s="76" t="s">
        <v>46</v>
      </c>
      <c r="C376" s="54"/>
      <c r="D376" s="54"/>
      <c r="E376" s="54"/>
      <c r="F376" s="54"/>
      <c r="G376" s="54"/>
      <c r="H376" s="9"/>
      <c r="I376" s="272"/>
    </row>
    <row r="377" spans="1:10" ht="16.5" customHeight="1">
      <c r="A377" s="270"/>
      <c r="B377" s="77"/>
      <c r="C377" s="7"/>
      <c r="D377" s="78"/>
      <c r="E377" s="265" t="s">
        <v>47</v>
      </c>
      <c r="F377" s="265"/>
      <c r="G377" s="79"/>
      <c r="H377" s="38"/>
      <c r="I377" s="272"/>
    </row>
    <row r="378" spans="1:10" ht="16.5" customHeight="1">
      <c r="A378" s="270"/>
      <c r="B378" s="7"/>
      <c r="C378" s="7"/>
      <c r="D378" s="80"/>
      <c r="E378" s="80"/>
      <c r="F378" s="7"/>
      <c r="G378" s="7"/>
      <c r="H378" s="7"/>
      <c r="I378" s="272"/>
    </row>
    <row r="379" spans="1:10" ht="16.5" customHeight="1">
      <c r="A379" s="270"/>
      <c r="B379" s="7"/>
      <c r="C379" s="7"/>
      <c r="D379" s="80"/>
      <c r="E379" s="78"/>
      <c r="F379" s="81" t="s">
        <v>48</v>
      </c>
      <c r="G379" s="82"/>
      <c r="H379" s="39"/>
      <c r="I379" s="272"/>
    </row>
    <row r="380" spans="1:10" ht="16.5" customHeight="1"/>
  </sheetData>
  <protectedRanges>
    <protectedRange password="E851" sqref="D20:F29 D58:F67 D96:F105 D134:F143 D172:F181 D210:F219 D248:F257 D286:F295 D324:F333 D362:F371" name="範圍1_1_1_2_1_2"/>
  </protectedRanges>
  <mergeCells count="139">
    <mergeCell ref="E127:F127"/>
    <mergeCell ref="E165:F165"/>
    <mergeCell ref="E203:F203"/>
    <mergeCell ref="E241:F241"/>
    <mergeCell ref="E279:F279"/>
    <mergeCell ref="F19:G19"/>
    <mergeCell ref="F30:G30"/>
    <mergeCell ref="F31:G33"/>
    <mergeCell ref="D33:E33"/>
    <mergeCell ref="E35:F35"/>
    <mergeCell ref="F68:G68"/>
    <mergeCell ref="F69:G71"/>
    <mergeCell ref="D71:E71"/>
    <mergeCell ref="E73:F73"/>
    <mergeCell ref="A77:I77"/>
    <mergeCell ref="A78:I78"/>
    <mergeCell ref="A40:I40"/>
    <mergeCell ref="A41:I41"/>
    <mergeCell ref="A42:I42"/>
    <mergeCell ref="A43:I43"/>
    <mergeCell ref="A44:A75"/>
    <mergeCell ref="B44:H44"/>
    <mergeCell ref="I44:I75"/>
    <mergeCell ref="B45:G45"/>
    <mergeCell ref="A1:I1"/>
    <mergeCell ref="A2:I2"/>
    <mergeCell ref="A3:I3"/>
    <mergeCell ref="A4:I4"/>
    <mergeCell ref="A5:I5"/>
    <mergeCell ref="A6:A37"/>
    <mergeCell ref="B6:H6"/>
    <mergeCell ref="I6:I37"/>
    <mergeCell ref="B7:G7"/>
    <mergeCell ref="B10:C10"/>
    <mergeCell ref="E13:F13"/>
    <mergeCell ref="A39:I39"/>
    <mergeCell ref="E51:F51"/>
    <mergeCell ref="F107:G109"/>
    <mergeCell ref="D109:E109"/>
    <mergeCell ref="E111:F111"/>
    <mergeCell ref="A115:I115"/>
    <mergeCell ref="A116:I116"/>
    <mergeCell ref="A117:I117"/>
    <mergeCell ref="A79:I79"/>
    <mergeCell ref="A80:I80"/>
    <mergeCell ref="A81:I81"/>
    <mergeCell ref="B82:H82"/>
    <mergeCell ref="B83:G83"/>
    <mergeCell ref="F106:G106"/>
    <mergeCell ref="E89:F89"/>
    <mergeCell ref="D147:E147"/>
    <mergeCell ref="E149:F149"/>
    <mergeCell ref="A343:I343"/>
    <mergeCell ref="A344:I344"/>
    <mergeCell ref="A345:I345"/>
    <mergeCell ref="A346:I346"/>
    <mergeCell ref="A118:I118"/>
    <mergeCell ref="A119:I119"/>
    <mergeCell ref="A120:A151"/>
    <mergeCell ref="B120:H120"/>
    <mergeCell ref="I120:I151"/>
    <mergeCell ref="B121:G121"/>
    <mergeCell ref="F144:G144"/>
    <mergeCell ref="F145:G147"/>
    <mergeCell ref="D185:E185"/>
    <mergeCell ref="E187:F187"/>
    <mergeCell ref="F220:G220"/>
    <mergeCell ref="F221:G223"/>
    <mergeCell ref="D223:E223"/>
    <mergeCell ref="E225:F225"/>
    <mergeCell ref="A229:I229"/>
    <mergeCell ref="A195:I195"/>
    <mergeCell ref="A196:A227"/>
    <mergeCell ref="B196:H196"/>
    <mergeCell ref="E377:F377"/>
    <mergeCell ref="A153:I153"/>
    <mergeCell ref="A154:I154"/>
    <mergeCell ref="A155:I155"/>
    <mergeCell ref="A156:I156"/>
    <mergeCell ref="A157:I157"/>
    <mergeCell ref="A347:I347"/>
    <mergeCell ref="A348:A379"/>
    <mergeCell ref="B348:H348"/>
    <mergeCell ref="I348:I379"/>
    <mergeCell ref="B349:G349"/>
    <mergeCell ref="F372:G372"/>
    <mergeCell ref="F373:G375"/>
    <mergeCell ref="D375:E375"/>
    <mergeCell ref="A158:A189"/>
    <mergeCell ref="B158:H158"/>
    <mergeCell ref="I158:I189"/>
    <mergeCell ref="B159:G159"/>
    <mergeCell ref="F182:G182"/>
    <mergeCell ref="F183:G185"/>
    <mergeCell ref="A191:I191"/>
    <mergeCell ref="A192:I192"/>
    <mergeCell ref="A193:I193"/>
    <mergeCell ref="A194:I194"/>
    <mergeCell ref="I196:I227"/>
    <mergeCell ref="B197:G197"/>
    <mergeCell ref="F296:G296"/>
    <mergeCell ref="F258:G258"/>
    <mergeCell ref="F259:G261"/>
    <mergeCell ref="D261:E261"/>
    <mergeCell ref="E263:F263"/>
    <mergeCell ref="A267:I267"/>
    <mergeCell ref="A268:I268"/>
    <mergeCell ref="A230:I230"/>
    <mergeCell ref="A231:I231"/>
    <mergeCell ref="A232:I232"/>
    <mergeCell ref="A233:I233"/>
    <mergeCell ref="A234:A265"/>
    <mergeCell ref="B234:H234"/>
    <mergeCell ref="I234:I265"/>
    <mergeCell ref="B235:G235"/>
    <mergeCell ref="D337:E337"/>
    <mergeCell ref="E339:F339"/>
    <mergeCell ref="A308:I308"/>
    <mergeCell ref="A309:I309"/>
    <mergeCell ref="A310:A341"/>
    <mergeCell ref="B310:H310"/>
    <mergeCell ref="I310:I341"/>
    <mergeCell ref="B311:G311"/>
    <mergeCell ref="F334:G334"/>
    <mergeCell ref="F335:G337"/>
    <mergeCell ref="E317:F317"/>
    <mergeCell ref="F297:G299"/>
    <mergeCell ref="D299:E299"/>
    <mergeCell ref="E301:F301"/>
    <mergeCell ref="A305:I305"/>
    <mergeCell ref="A306:I306"/>
    <mergeCell ref="A307:I307"/>
    <mergeCell ref="A269:I269"/>
    <mergeCell ref="A270:I270"/>
    <mergeCell ref="A271:I271"/>
    <mergeCell ref="A272:A303"/>
    <mergeCell ref="B272:H272"/>
    <mergeCell ref="I272:I303"/>
    <mergeCell ref="B273:G273"/>
  </mergeCells>
  <phoneticPr fontId="10" type="noConversion"/>
  <conditionalFormatting sqref="F31:G33">
    <cfRule type="cellIs" dxfId="246" priority="24" operator="equal">
      <formula>0</formula>
    </cfRule>
  </conditionalFormatting>
  <conditionalFormatting sqref="F69:G71">
    <cfRule type="cellIs" dxfId="245" priority="23" operator="equal">
      <formula>0</formula>
    </cfRule>
  </conditionalFormatting>
  <conditionalFormatting sqref="F107:G109">
    <cfRule type="cellIs" dxfId="244" priority="10" operator="equal">
      <formula>0</formula>
    </cfRule>
  </conditionalFormatting>
  <conditionalFormatting sqref="F145:G147">
    <cfRule type="cellIs" dxfId="243" priority="9" operator="equal">
      <formula>0</formula>
    </cfRule>
  </conditionalFormatting>
  <conditionalFormatting sqref="F183:G185">
    <cfRule type="cellIs" dxfId="242" priority="7" operator="equal">
      <formula>0</formula>
    </cfRule>
  </conditionalFormatting>
  <conditionalFormatting sqref="F221:G223">
    <cfRule type="cellIs" dxfId="241" priority="6" operator="equal">
      <formula>0</formula>
    </cfRule>
  </conditionalFormatting>
  <conditionalFormatting sqref="F259:G261">
    <cfRule type="cellIs" dxfId="240" priority="5" operator="equal">
      <formula>0</formula>
    </cfRule>
  </conditionalFormatting>
  <conditionalFormatting sqref="F297:G299">
    <cfRule type="cellIs" dxfId="239" priority="4" operator="equal">
      <formula>0</formula>
    </cfRule>
  </conditionalFormatting>
  <conditionalFormatting sqref="F335:G337">
    <cfRule type="cellIs" dxfId="238" priority="1" operator="equal">
      <formula>0</formula>
    </cfRule>
  </conditionalFormatting>
  <conditionalFormatting sqref="F373:G375">
    <cfRule type="cellIs" dxfId="237" priority="2" operator="equal">
      <formula>0</formula>
    </cfRule>
  </conditionalFormatting>
  <pageMargins left="0.7" right="0.7" top="0.75" bottom="0.75" header="0.3" footer="0.3"/>
  <pageSetup paperSize="9" scale="92" fitToHeight="0" orientation="portrait" horizontalDpi="1200" verticalDpi="1200" r:id="rId1"/>
  <rowBreaks count="9" manualBreakCount="9">
    <brk id="38" max="8" man="1"/>
    <brk id="76" max="8" man="1"/>
    <brk id="114" max="8" man="1"/>
    <brk id="152" max="8" man="1"/>
    <brk id="190" max="8" man="1"/>
    <brk id="228" max="8" man="1"/>
    <brk id="266" max="8" man="1"/>
    <brk id="304" max="8" man="1"/>
    <brk id="342" max="8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70"/>
  <sheetViews>
    <sheetView workbookViewId="0">
      <selection sqref="A1:I1"/>
    </sheetView>
  </sheetViews>
  <sheetFormatPr defaultColWidth="9" defaultRowHeight="16.5"/>
  <cols>
    <col min="1" max="1" width="1.625" customWidth="1"/>
    <col min="2" max="2" width="20.5" customWidth="1"/>
    <col min="3" max="3" width="18" customWidth="1"/>
    <col min="4" max="4" width="12.75" customWidth="1"/>
    <col min="5" max="5" width="13.5" customWidth="1"/>
    <col min="6" max="6" width="11.75" customWidth="1"/>
    <col min="7" max="7" width="15.75" customWidth="1"/>
    <col min="8" max="8" width="1.875" customWidth="1"/>
    <col min="9" max="9" width="1.625" customWidth="1"/>
    <col min="10" max="10" width="12.25" bestFit="1" customWidth="1"/>
  </cols>
  <sheetData>
    <row r="1" spans="1:9">
      <c r="A1" s="266"/>
      <c r="B1" s="266"/>
      <c r="C1" s="266"/>
      <c r="D1" s="266"/>
      <c r="E1" s="266"/>
      <c r="F1" s="266"/>
      <c r="G1" s="266"/>
      <c r="H1" s="266"/>
      <c r="I1" s="266"/>
    </row>
    <row r="2" spans="1:9" ht="27.75">
      <c r="A2" s="267" t="s">
        <v>17</v>
      </c>
      <c r="B2" s="267"/>
      <c r="C2" s="267"/>
      <c r="D2" s="267"/>
      <c r="E2" s="267"/>
      <c r="F2" s="267"/>
      <c r="G2" s="267"/>
      <c r="H2" s="267"/>
      <c r="I2" s="267"/>
    </row>
    <row r="3" spans="1:9" ht="27.75">
      <c r="A3" s="267" t="s">
        <v>18</v>
      </c>
      <c r="B3" s="267"/>
      <c r="C3" s="267"/>
      <c r="D3" s="267"/>
      <c r="E3" s="267"/>
      <c r="F3" s="267"/>
      <c r="G3" s="267"/>
      <c r="H3" s="267"/>
      <c r="I3" s="267"/>
    </row>
    <row r="4" spans="1:9">
      <c r="A4" s="268" t="s">
        <v>19</v>
      </c>
      <c r="B4" s="268"/>
      <c r="C4" s="268"/>
      <c r="D4" s="268"/>
      <c r="E4" s="268"/>
      <c r="F4" s="268"/>
      <c r="G4" s="268"/>
      <c r="H4" s="268"/>
      <c r="I4" s="268"/>
    </row>
    <row r="5" spans="1:9">
      <c r="A5" s="269"/>
      <c r="B5" s="269"/>
      <c r="C5" s="269"/>
      <c r="D5" s="269"/>
      <c r="E5" s="269"/>
      <c r="F5" s="269"/>
      <c r="G5" s="269"/>
      <c r="H5" s="269"/>
      <c r="I5" s="269"/>
    </row>
    <row r="6" spans="1:9" ht="21" thickBot="1">
      <c r="A6" s="270"/>
      <c r="B6" s="271" t="s">
        <v>62</v>
      </c>
      <c r="C6" s="271"/>
      <c r="D6" s="271"/>
      <c r="E6" s="271"/>
      <c r="F6" s="271"/>
      <c r="G6" s="271"/>
      <c r="H6" s="271"/>
      <c r="I6" s="272"/>
    </row>
    <row r="7" spans="1:9" ht="17.25" customHeight="1" thickTop="1">
      <c r="A7" s="270"/>
      <c r="B7" s="273"/>
      <c r="C7" s="273"/>
      <c r="D7" s="273"/>
      <c r="E7" s="273"/>
      <c r="F7" s="273"/>
      <c r="G7" s="273"/>
      <c r="H7" s="5"/>
      <c r="I7" s="272"/>
    </row>
    <row r="8" spans="1:9" ht="16.5" customHeight="1">
      <c r="A8" s="270"/>
      <c r="B8" s="51" t="s">
        <v>20</v>
      </c>
      <c r="C8" s="6" t="str">
        <f>Total!$D$20</f>
        <v>Ho Lai Sim</v>
      </c>
      <c r="D8" s="6" t="str" cm="1">
        <f t="array" ref="D8">INDEX(Total!$C$8:$C$992,MATCH($C8&amp;$G8,Total!$D$8:$D$992&amp;Total!$E$8:$E$992,0))</f>
        <v>Mandy</v>
      </c>
      <c r="E8" s="52"/>
      <c r="F8" s="53" t="s">
        <v>21</v>
      </c>
      <c r="G8" s="6" t="str">
        <f>Total!$E$20</f>
        <v>Autopay</v>
      </c>
      <c r="H8" s="6"/>
      <c r="I8" s="272"/>
    </row>
    <row r="9" spans="1:9" ht="17.25" customHeight="1" thickBot="1">
      <c r="A9" s="270"/>
      <c r="B9" s="54"/>
      <c r="C9" s="54"/>
      <c r="D9" s="54"/>
      <c r="E9" s="7"/>
      <c r="F9" s="8"/>
      <c r="G9" s="9"/>
      <c r="H9" s="9"/>
      <c r="I9" s="272"/>
    </row>
    <row r="10" spans="1:9" ht="17.25" customHeight="1" thickBot="1">
      <c r="A10" s="270"/>
      <c r="B10" s="279" t="s">
        <v>22</v>
      </c>
      <c r="C10" s="280"/>
      <c r="D10" s="55"/>
      <c r="E10" s="56" t="s">
        <v>23</v>
      </c>
      <c r="F10" s="57"/>
      <c r="G10" s="9"/>
      <c r="H10" s="9"/>
      <c r="I10" s="272"/>
    </row>
    <row r="11" spans="1:9" ht="17.25" customHeight="1" thickTop="1">
      <c r="A11" s="270"/>
      <c r="B11" s="58" t="s">
        <v>24</v>
      </c>
      <c r="C11" s="10"/>
      <c r="D11" s="59"/>
      <c r="E11" s="60" t="s">
        <v>25</v>
      </c>
      <c r="F11" s="11"/>
      <c r="G11" s="9"/>
      <c r="H11" s="9"/>
      <c r="I11" s="272"/>
    </row>
    <row r="12" spans="1:9" ht="16.5" customHeight="1">
      <c r="A12" s="270"/>
      <c r="B12" s="61" t="s">
        <v>26</v>
      </c>
      <c r="C12" s="12"/>
      <c r="D12" s="13"/>
      <c r="E12" s="14" t="str" cm="1">
        <f t="array" ref="E12">INDEX(Total!$F$8:$F$891,MATCH($C8&amp;$G8,Total!$D$8:$D$891&amp;Total!$E$8:$E$891,0))</f>
        <v>TW_3 Citistore</v>
      </c>
      <c r="F12" s="15"/>
      <c r="G12" s="9"/>
      <c r="H12" s="9"/>
      <c r="I12" s="272"/>
    </row>
    <row r="13" spans="1:9" ht="16.5" customHeight="1">
      <c r="A13" s="270"/>
      <c r="B13" s="61" t="s">
        <v>27</v>
      </c>
      <c r="C13" s="16"/>
      <c r="D13" s="13"/>
      <c r="E13" s="40" t="str" cm="1">
        <f t="array" ref="E13">INDEX(Total!$G$8:$G$891,MATCH($C8&amp;$G8,Total!$D$8:$D$891&amp;Total!$E$8:$E$891,0))</f>
        <v>Mar/12</v>
      </c>
      <c r="F13" s="15"/>
      <c r="G13" s="9"/>
      <c r="H13" s="9"/>
      <c r="I13" s="272"/>
    </row>
    <row r="14" spans="1:9" ht="16.5" customHeight="1">
      <c r="A14" s="270"/>
      <c r="B14" s="61" t="s">
        <v>28</v>
      </c>
      <c r="C14" s="16"/>
      <c r="D14" s="13"/>
      <c r="E14" s="62" cm="1">
        <f t="array" ref="E14">INDEX(Total!$H$8:$H$891,MATCH($C8&amp;$G8,Total!$D$8:$D$891&amp;Total!$E$8:$E$891,0))</f>
        <v>1</v>
      </c>
      <c r="F14" s="15"/>
      <c r="G14" s="8"/>
      <c r="H14" s="8"/>
      <c r="I14" s="272"/>
    </row>
    <row r="15" spans="1:9" ht="16.5" customHeight="1">
      <c r="A15" s="270"/>
      <c r="B15" s="61" t="s">
        <v>29</v>
      </c>
      <c r="C15" s="12"/>
      <c r="D15" s="17"/>
      <c r="E15" s="62" cm="1">
        <f t="array" ref="E15">INDEX(Total!$I$8:$I$891,MATCH($C8&amp;$G8,Total!$D$8:$D$891&amp;Total!$E$8:$E$891,0))</f>
        <v>9</v>
      </c>
      <c r="F15" s="18"/>
      <c r="G15" s="8"/>
      <c r="H15" s="8"/>
      <c r="I15" s="272"/>
    </row>
    <row r="16" spans="1:9" ht="16.5" customHeight="1">
      <c r="A16" s="270"/>
      <c r="B16" s="61" t="s">
        <v>30</v>
      </c>
      <c r="C16" s="12"/>
      <c r="D16" s="17"/>
      <c r="E16" s="62" cm="1">
        <f t="array" ref="E16">INDEX(Total!$J$8:$J$891,MATCH($C8&amp;$G8,Total!$D$8:$D$891&amp;Total!$E$8:$E$891,0))</f>
        <v>60</v>
      </c>
      <c r="F16" s="18"/>
      <c r="G16" s="8"/>
      <c r="H16" s="8"/>
      <c r="I16" s="272"/>
    </row>
    <row r="17" spans="1:10" ht="17.25" customHeight="1" thickBot="1">
      <c r="A17" s="270"/>
      <c r="B17" s="63" t="s">
        <v>31</v>
      </c>
      <c r="C17" s="19"/>
      <c r="D17" s="20"/>
      <c r="E17" s="41" cm="1">
        <f t="array" ref="E17">INDEX(Total!$L$8:$L$891,MATCH($C8&amp;$G8,Total!$D$8:$D$891&amp;Total!$E$8:$E$891,0))</f>
        <v>4664</v>
      </c>
      <c r="F17" s="21"/>
      <c r="G17" s="22"/>
      <c r="H17" s="22"/>
      <c r="I17" s="272"/>
    </row>
    <row r="18" spans="1:10" ht="17.25" customHeight="1" thickBot="1">
      <c r="A18" s="270"/>
      <c r="B18" s="23"/>
      <c r="C18" s="23"/>
      <c r="D18" s="23"/>
      <c r="E18" s="23"/>
      <c r="F18" s="23"/>
      <c r="G18" s="23"/>
      <c r="H18" s="23"/>
      <c r="I18" s="272"/>
    </row>
    <row r="19" spans="1:10" ht="17.25" customHeight="1" thickBot="1">
      <c r="A19" s="270"/>
      <c r="B19" s="64"/>
      <c r="C19" s="65" t="s">
        <v>32</v>
      </c>
      <c r="D19" s="66"/>
      <c r="E19" s="66"/>
      <c r="F19" s="283" t="s">
        <v>33</v>
      </c>
      <c r="G19" s="283"/>
      <c r="H19" s="24"/>
      <c r="I19" s="272"/>
    </row>
    <row r="20" spans="1:10" ht="17.25" customHeight="1" thickTop="1">
      <c r="A20" s="270"/>
      <c r="B20" s="67"/>
      <c r="C20" s="58" t="s">
        <v>34</v>
      </c>
      <c r="D20" s="68"/>
      <c r="E20" s="68"/>
      <c r="F20" s="69"/>
      <c r="G20" s="70" cm="1">
        <f t="array" ref="G20">INDEX(Total!$K$8:$K$891,MATCH($C8&amp;$G8,Total!$D$8:$D$891&amp;Total!$E$8:$E$891,0))</f>
        <v>540</v>
      </c>
      <c r="H20" s="25"/>
      <c r="I20" s="272"/>
    </row>
    <row r="21" spans="1:10" ht="16.5" customHeight="1">
      <c r="A21" s="270"/>
      <c r="B21" s="67"/>
      <c r="C21" s="61" t="s">
        <v>35</v>
      </c>
      <c r="D21" s="26"/>
      <c r="E21" s="26"/>
      <c r="F21" s="27"/>
      <c r="G21" s="71" cm="1">
        <f t="array" ref="G21">INDEX(Total!$AH$8:$AH$891,MATCH($C8&amp;$G8,Total!$D$8:$D$891&amp;Total!$E$8:$E$891,0))</f>
        <v>633</v>
      </c>
      <c r="H21" s="28"/>
      <c r="I21" s="272"/>
    </row>
    <row r="22" spans="1:10" ht="16.5" customHeight="1">
      <c r="A22" s="270"/>
      <c r="B22" s="67"/>
      <c r="C22" s="61" t="s">
        <v>36</v>
      </c>
      <c r="D22" s="29"/>
      <c r="E22" s="29"/>
      <c r="F22" s="27"/>
      <c r="G22" s="71" cm="1">
        <f t="array" ref="G22">INDEX(Total!$N$8:$N$891,MATCH($C8&amp;$G8,Total!$D$8:$D$891&amp;Total!$E$8:$E$891,0))</f>
        <v>93.28</v>
      </c>
      <c r="H22" s="28"/>
      <c r="I22" s="272"/>
    </row>
    <row r="23" spans="1:10" ht="16.5" customHeight="1">
      <c r="A23" s="270"/>
      <c r="B23" s="67"/>
      <c r="C23" s="61" t="s">
        <v>37</v>
      </c>
      <c r="D23" s="30"/>
      <c r="E23" s="30"/>
      <c r="F23" s="27"/>
      <c r="G23" s="71" cm="1">
        <f t="array" ref="G23">INDEX(Total!$P$8:$P$891,MATCH($C8&amp;$G8,Total!$D$8:$D$891&amp;Total!$E$8:$E$891,0))</f>
        <v>0</v>
      </c>
      <c r="H23" s="28"/>
      <c r="I23" s="272"/>
    </row>
    <row r="24" spans="1:10" ht="16.5" customHeight="1">
      <c r="A24" s="270"/>
      <c r="B24" s="67"/>
      <c r="C24" s="61" t="s">
        <v>38</v>
      </c>
      <c r="D24" s="30"/>
      <c r="E24" s="30"/>
      <c r="F24" s="27"/>
      <c r="G24" s="71" cm="1">
        <f t="array" ref="G24">INDEX(Total!$S$8:$S$891,MATCH($C8&amp;$G8,Total!$D$8:$D$891&amp;Total!$E$8:$E$891,0))</f>
        <v>0</v>
      </c>
      <c r="H24" s="28"/>
      <c r="I24" s="272"/>
    </row>
    <row r="25" spans="1:10" ht="16.5" customHeight="1">
      <c r="A25" s="270"/>
      <c r="B25" s="67"/>
      <c r="C25" s="61" t="s">
        <v>39</v>
      </c>
      <c r="D25" s="26" t="s">
        <v>4</v>
      </c>
      <c r="E25" s="26"/>
      <c r="F25" s="27"/>
      <c r="G25" s="71" cm="1">
        <f t="array" ref="G25">INDEX(Total!$T$8:$T$891,MATCH($C8&amp;$G8,Total!$D$8:$D$891&amp;Total!$E$8:$E$891,0))</f>
        <v>0</v>
      </c>
      <c r="H25" s="28"/>
      <c r="I25" s="272"/>
    </row>
    <row r="26" spans="1:10" ht="16.5" customHeight="1">
      <c r="A26" s="270"/>
      <c r="B26" s="67"/>
      <c r="C26" s="61" t="s">
        <v>40</v>
      </c>
      <c r="D26" s="30"/>
      <c r="E26" s="30"/>
      <c r="F26" s="27"/>
      <c r="G26" s="71" cm="1">
        <f t="array" ref="G26">INDEX(Total!$W$8:$W$891,MATCH($C8&amp;$G8,Total!$D$8:$D$891&amp;Total!$E$8:$E$891,0))</f>
        <v>0</v>
      </c>
      <c r="H26" s="28"/>
      <c r="I26" s="272"/>
    </row>
    <row r="27" spans="1:10" ht="16.5" customHeight="1">
      <c r="A27" s="270"/>
      <c r="B27" s="67"/>
      <c r="C27" s="61" t="s">
        <v>41</v>
      </c>
      <c r="D27" s="30"/>
      <c r="E27" s="30"/>
      <c r="F27" s="27"/>
      <c r="G27" s="71" cm="1">
        <f t="array" ref="G27">INDEX(Total!$U$8:$U$891,MATCH($C8&amp;$G8,Total!$D$8:$D$891&amp;Total!$E$8:$E$891,0))</f>
        <v>0</v>
      </c>
      <c r="H27" s="28"/>
      <c r="I27" s="272"/>
    </row>
    <row r="28" spans="1:10" ht="17.25" customHeight="1" thickBot="1">
      <c r="A28" s="270"/>
      <c r="B28" s="67"/>
      <c r="C28" s="72" t="s">
        <v>42</v>
      </c>
      <c r="D28" s="31"/>
      <c r="E28" s="31"/>
      <c r="F28" s="32"/>
      <c r="G28" s="73" cm="1">
        <f t="array" ref="G28">-INDEX(Total!$Z$8:$Z$891,MATCH($C8&amp;$G8,Total!$D$8:$D$891&amp;Total!$E$8:$E$891,0))</f>
        <v>0</v>
      </c>
      <c r="H28" s="33"/>
      <c r="I28" s="272"/>
    </row>
    <row r="29" spans="1:10" ht="18" customHeight="1" thickTop="1" thickBot="1">
      <c r="A29" s="270"/>
      <c r="B29" s="74"/>
      <c r="C29" s="75"/>
      <c r="D29" s="34"/>
      <c r="E29" s="35" t="s">
        <v>43</v>
      </c>
      <c r="F29" s="274">
        <f>SUM($G20:$G28)</f>
        <v>1266.28</v>
      </c>
      <c r="G29" s="274"/>
      <c r="H29" s="36"/>
      <c r="I29" s="272"/>
      <c r="J29" s="37" cm="1">
        <f t="array" ref="J29">INDEX(Total!$AJ$8:$AJ$1002,MATCH($C8&amp;$G8,Total!$D$8:$D$1002&amp;Total!$E$8:$E$1002,0))</f>
        <v>633.28</v>
      </c>
    </row>
    <row r="30" spans="1:10" ht="16.5" customHeight="1">
      <c r="A30" s="270"/>
      <c r="B30" s="54"/>
      <c r="C30" s="54"/>
      <c r="D30" s="54"/>
      <c r="E30" s="54"/>
      <c r="F30" s="262"/>
      <c r="G30" s="263"/>
      <c r="H30" s="9"/>
      <c r="I30" s="272"/>
    </row>
    <row r="31" spans="1:10" ht="16.5" customHeight="1">
      <c r="A31" s="270"/>
      <c r="B31" s="76" t="s">
        <v>44</v>
      </c>
      <c r="C31" s="54"/>
      <c r="D31" s="54"/>
      <c r="E31" s="54"/>
      <c r="F31" s="263"/>
      <c r="G31" s="263"/>
      <c r="H31" s="9"/>
      <c r="I31" s="272"/>
    </row>
    <row r="32" spans="1:10" ht="16.5" customHeight="1">
      <c r="A32" s="270"/>
      <c r="B32" s="76" t="s">
        <v>45</v>
      </c>
      <c r="C32" s="54"/>
      <c r="D32" s="264"/>
      <c r="E32" s="264"/>
      <c r="F32" s="263"/>
      <c r="G32" s="263"/>
      <c r="H32" s="9"/>
      <c r="I32" s="272"/>
    </row>
    <row r="33" spans="1:9" ht="16.5" customHeight="1">
      <c r="A33" s="270"/>
      <c r="B33" s="76" t="s">
        <v>46</v>
      </c>
      <c r="C33" s="54"/>
      <c r="D33" s="54"/>
      <c r="E33" s="54"/>
      <c r="F33" s="54"/>
      <c r="G33" s="54"/>
      <c r="H33" s="9"/>
      <c r="I33" s="272"/>
    </row>
    <row r="34" spans="1:9" ht="16.5" customHeight="1">
      <c r="A34" s="270"/>
      <c r="B34" s="77"/>
      <c r="C34" s="7"/>
      <c r="D34" s="78"/>
      <c r="E34" s="265" t="s">
        <v>47</v>
      </c>
      <c r="F34" s="265"/>
      <c r="G34" s="79"/>
      <c r="H34" s="38"/>
      <c r="I34" s="272"/>
    </row>
    <row r="35" spans="1:9" ht="16.5" customHeight="1">
      <c r="A35" s="270"/>
      <c r="B35" s="7"/>
      <c r="C35" s="7"/>
      <c r="D35" s="80"/>
      <c r="E35" s="80"/>
      <c r="F35" s="7"/>
      <c r="G35" s="7"/>
      <c r="H35" s="7"/>
      <c r="I35" s="272"/>
    </row>
    <row r="36" spans="1:9" ht="16.5" customHeight="1">
      <c r="A36" s="270"/>
      <c r="B36" s="7"/>
      <c r="C36" s="7"/>
      <c r="D36" s="80"/>
      <c r="E36" s="78"/>
      <c r="F36" s="81" t="s">
        <v>48</v>
      </c>
      <c r="G36" s="82"/>
      <c r="H36" s="39"/>
      <c r="I36" s="272"/>
    </row>
    <row r="37" spans="1:9" ht="16.5" customHeight="1"/>
    <row r="38" spans="1:9">
      <c r="A38" s="266"/>
      <c r="B38" s="266"/>
      <c r="C38" s="266"/>
      <c r="D38" s="266"/>
      <c r="E38" s="266"/>
      <c r="F38" s="266"/>
      <c r="G38" s="266"/>
      <c r="H38" s="266"/>
      <c r="I38" s="266"/>
    </row>
    <row r="39" spans="1:9" ht="27.75">
      <c r="A39" s="267" t="s">
        <v>49</v>
      </c>
      <c r="B39" s="267"/>
      <c r="C39" s="267"/>
      <c r="D39" s="267"/>
      <c r="E39" s="267"/>
      <c r="F39" s="267"/>
      <c r="G39" s="267"/>
      <c r="H39" s="267"/>
      <c r="I39" s="267"/>
    </row>
    <row r="40" spans="1:9" ht="27.75">
      <c r="A40" s="267" t="s">
        <v>50</v>
      </c>
      <c r="B40" s="267"/>
      <c r="C40" s="267"/>
      <c r="D40" s="267"/>
      <c r="E40" s="267"/>
      <c r="F40" s="267"/>
      <c r="G40" s="267"/>
      <c r="H40" s="267"/>
      <c r="I40" s="267"/>
    </row>
    <row r="41" spans="1:9">
      <c r="A41" s="268" t="s">
        <v>0</v>
      </c>
      <c r="B41" s="268"/>
      <c r="C41" s="268"/>
      <c r="D41" s="268"/>
      <c r="E41" s="268"/>
      <c r="F41" s="268"/>
      <c r="G41" s="268"/>
      <c r="H41" s="268"/>
      <c r="I41" s="268"/>
    </row>
    <row r="42" spans="1:9">
      <c r="A42" s="269"/>
      <c r="B42" s="269"/>
      <c r="C42" s="269"/>
      <c r="D42" s="269"/>
      <c r="E42" s="269"/>
      <c r="F42" s="269"/>
      <c r="G42" s="269"/>
      <c r="H42" s="269"/>
      <c r="I42" s="269"/>
    </row>
    <row r="43" spans="1:9" ht="21" thickBot="1">
      <c r="A43" s="270"/>
      <c r="B43" s="271" t="s">
        <v>62</v>
      </c>
      <c r="C43" s="271"/>
      <c r="D43" s="271"/>
      <c r="E43" s="271"/>
      <c r="F43" s="271"/>
      <c r="G43" s="271"/>
      <c r="H43" s="271"/>
      <c r="I43" s="272"/>
    </row>
    <row r="44" spans="1:9" ht="17.25" customHeight="1" thickTop="1">
      <c r="A44" s="270"/>
      <c r="B44" s="273"/>
      <c r="C44" s="273"/>
      <c r="D44" s="273"/>
      <c r="E44" s="273"/>
      <c r="F44" s="273"/>
      <c r="G44" s="273"/>
      <c r="H44" s="5"/>
      <c r="I44" s="272"/>
    </row>
    <row r="45" spans="1:9" ht="16.5" customHeight="1">
      <c r="A45" s="270"/>
      <c r="B45" s="51" t="s">
        <v>20</v>
      </c>
      <c r="C45" s="6" t="str">
        <f>Total!$D$21</f>
        <v>Chiu Fung Shan</v>
      </c>
      <c r="D45" s="6" t="str" cm="1">
        <f t="array" ref="D45">INDEX(Total!$C$8:$C$1002,MATCH($C45&amp;$G45,Total!$D$8:$D$1002&amp;Total!$E$8:$E$1002,0))</f>
        <v>Shan_2</v>
      </c>
      <c r="E45" s="52"/>
      <c r="F45" s="53" t="s">
        <v>21</v>
      </c>
      <c r="G45" s="6">
        <f>Total!$E$21</f>
        <v>20856</v>
      </c>
      <c r="H45" s="6"/>
      <c r="I45" s="272"/>
    </row>
    <row r="46" spans="1:9" ht="17.25" customHeight="1" thickBot="1">
      <c r="A46" s="270"/>
      <c r="B46" s="54"/>
      <c r="C46" s="54"/>
      <c r="D46" s="54"/>
      <c r="E46" s="7"/>
      <c r="F46" s="8"/>
      <c r="G46" s="9"/>
      <c r="H46" s="9"/>
      <c r="I46" s="272"/>
    </row>
    <row r="47" spans="1:9" ht="17.25" customHeight="1" thickBot="1">
      <c r="A47" s="270"/>
      <c r="B47" s="83" t="s">
        <v>22</v>
      </c>
      <c r="C47" s="56"/>
      <c r="D47" s="55"/>
      <c r="E47" s="56" t="s">
        <v>23</v>
      </c>
      <c r="F47" s="57"/>
      <c r="G47" s="9"/>
      <c r="H47" s="9"/>
      <c r="I47" s="272"/>
    </row>
    <row r="48" spans="1:9" ht="17.25" customHeight="1" thickTop="1">
      <c r="A48" s="270"/>
      <c r="B48" s="58" t="s">
        <v>24</v>
      </c>
      <c r="C48" s="10"/>
      <c r="D48" s="59"/>
      <c r="E48" s="60" t="s">
        <v>25</v>
      </c>
      <c r="F48" s="11"/>
      <c r="G48" s="9"/>
      <c r="H48" s="9"/>
      <c r="I48" s="272"/>
    </row>
    <row r="49" spans="1:9" ht="16.5" customHeight="1">
      <c r="A49" s="270"/>
      <c r="B49" s="61" t="s">
        <v>26</v>
      </c>
      <c r="C49" s="12"/>
      <c r="D49" s="13"/>
      <c r="E49" s="14" t="str" cm="1">
        <f t="array" ref="E49">INDEX(Total!$F$8:$F$1002,MATCH($C45&amp;$G45,Total!$D$8:$D$1002&amp;Total!$E$8:$E$1002,0))</f>
        <v>TW RS_1 Citistore</v>
      </c>
      <c r="F49" s="15"/>
      <c r="G49" s="9"/>
      <c r="H49" s="9"/>
      <c r="I49" s="272"/>
    </row>
    <row r="50" spans="1:9" ht="16.5" customHeight="1">
      <c r="A50" s="270"/>
      <c r="B50" s="61" t="s">
        <v>27</v>
      </c>
      <c r="C50" s="16"/>
      <c r="D50" s="13"/>
      <c r="E50" s="40" t="str" cm="1">
        <f t="array" ref="E50">INDEX(Total!$G$8:$G$1002,MATCH($C45&amp;$G45,Total!$D$8:$D$1002&amp;Total!$E$8:$E$1002,0))</f>
        <v>Mar/25-31</v>
      </c>
      <c r="F50" s="15"/>
      <c r="G50" s="9"/>
      <c r="H50" s="9"/>
      <c r="I50" s="272"/>
    </row>
    <row r="51" spans="1:9" ht="16.5" customHeight="1">
      <c r="A51" s="270"/>
      <c r="B51" s="61" t="s">
        <v>28</v>
      </c>
      <c r="C51" s="16"/>
      <c r="D51" s="13"/>
      <c r="E51" s="62" cm="1">
        <f t="array" ref="E51">INDEX(Total!$H$8:$H$1002,MATCH($C45&amp;$G45,Total!$D$8:$D$1002&amp;Total!$E$8:$E$1002,0))</f>
        <v>7</v>
      </c>
      <c r="F51" s="15"/>
      <c r="G51" s="8"/>
      <c r="H51" s="8"/>
      <c r="I51" s="272"/>
    </row>
    <row r="52" spans="1:9" ht="16.5" customHeight="1">
      <c r="A52" s="270"/>
      <c r="B52" s="61" t="s">
        <v>29</v>
      </c>
      <c r="C52" s="12"/>
      <c r="D52" s="17"/>
      <c r="E52" s="62" cm="1">
        <f t="array" ref="E52">INDEX(Total!$I$8:$I$1002,MATCH($C45&amp;$G45,Total!$D$8:$D$1002&amp;Total!$E$8:$E$1002,0))</f>
        <v>56</v>
      </c>
      <c r="F52" s="18"/>
      <c r="G52" s="8"/>
      <c r="H52" s="8"/>
      <c r="I52" s="272"/>
    </row>
    <row r="53" spans="1:9" ht="16.5" customHeight="1">
      <c r="A53" s="270"/>
      <c r="B53" s="61" t="s">
        <v>30</v>
      </c>
      <c r="C53" s="12"/>
      <c r="D53" s="17"/>
      <c r="E53" s="62" cm="1">
        <f t="array" ref="E53">INDEX(Total!$J$8:$J$1002,MATCH($C45&amp;$G45,Total!$D$8:$D$1002&amp;Total!$E$8:$E$1002,0))</f>
        <v>60</v>
      </c>
      <c r="F53" s="18"/>
      <c r="G53" s="8"/>
      <c r="H53" s="8"/>
      <c r="I53" s="272"/>
    </row>
    <row r="54" spans="1:9" ht="17.25" customHeight="1" thickBot="1">
      <c r="A54" s="270"/>
      <c r="B54" s="63" t="s">
        <v>31</v>
      </c>
      <c r="C54" s="19"/>
      <c r="D54" s="20"/>
      <c r="E54" s="41" cm="1">
        <f t="array" ref="E54">INDEX(Total!$L$8:$L$1002,MATCH($C45&amp;$G45,Total!$D$8:$D$1002&amp;Total!$E$8:$E$1002,0))</f>
        <v>151474.6</v>
      </c>
      <c r="F54" s="21"/>
      <c r="G54" s="22"/>
      <c r="H54" s="22"/>
      <c r="I54" s="272"/>
    </row>
    <row r="55" spans="1:9" ht="17.25" customHeight="1" thickBot="1">
      <c r="A55" s="270"/>
      <c r="B55" s="23"/>
      <c r="C55" s="23"/>
      <c r="D55" s="23"/>
      <c r="E55" s="23"/>
      <c r="F55" s="23"/>
      <c r="G55" s="23"/>
      <c r="H55" s="23"/>
      <c r="I55" s="272"/>
    </row>
    <row r="56" spans="1:9" ht="17.25" customHeight="1" thickBot="1">
      <c r="A56" s="270"/>
      <c r="B56" s="64"/>
      <c r="C56" s="65" t="s">
        <v>32</v>
      </c>
      <c r="D56" s="66"/>
      <c r="E56" s="66"/>
      <c r="F56" s="84" t="s">
        <v>33</v>
      </c>
      <c r="G56" s="84"/>
      <c r="H56" s="24"/>
      <c r="I56" s="272"/>
    </row>
    <row r="57" spans="1:9" ht="17.25" customHeight="1" thickTop="1">
      <c r="A57" s="270"/>
      <c r="B57" s="67"/>
      <c r="C57" s="58" t="s">
        <v>34</v>
      </c>
      <c r="D57" s="68"/>
      <c r="E57" s="68"/>
      <c r="F57" s="69"/>
      <c r="G57" s="70" cm="1">
        <f t="array" ref="G57">INDEX(Total!$K$8:$K$1002,MATCH($C45&amp;$G45,Total!$D$8:$D$1002&amp;Total!$E$8:$E$1002,0))</f>
        <v>3360</v>
      </c>
      <c r="H57" s="25"/>
      <c r="I57" s="272"/>
    </row>
    <row r="58" spans="1:9" ht="16.5" customHeight="1">
      <c r="A58" s="270"/>
      <c r="B58" s="67"/>
      <c r="C58" s="61" t="s">
        <v>35</v>
      </c>
      <c r="D58" s="26"/>
      <c r="E58" s="26"/>
      <c r="F58" s="27"/>
      <c r="G58" s="71" cm="1">
        <f t="array" ref="G58">INDEX(Total!$AH$8:$AH$1002,MATCH($C45&amp;$G45,Total!$D$8:$D$1002&amp;Total!$E$8:$E$1002,0))</f>
        <v>6389</v>
      </c>
      <c r="H58" s="28"/>
      <c r="I58" s="272"/>
    </row>
    <row r="59" spans="1:9" ht="16.5" customHeight="1">
      <c r="A59" s="270"/>
      <c r="B59" s="67"/>
      <c r="C59" s="61" t="s">
        <v>36</v>
      </c>
      <c r="D59" s="29"/>
      <c r="E59" s="29"/>
      <c r="F59" s="27"/>
      <c r="G59" s="71" cm="1">
        <f t="array" ref="G59">INDEX(Total!$N$8:$N$1002,MATCH($C45&amp;$G45,Total!$D$8:$D$1002&amp;Total!$E$8:$E$1002,0))</f>
        <v>3029.4920000000002</v>
      </c>
      <c r="H59" s="28"/>
      <c r="I59" s="272"/>
    </row>
    <row r="60" spans="1:9" ht="16.5" customHeight="1">
      <c r="A60" s="270"/>
      <c r="B60" s="67"/>
      <c r="C60" s="61" t="s">
        <v>37</v>
      </c>
      <c r="D60" s="30"/>
      <c r="E60" s="30"/>
      <c r="F60" s="27"/>
      <c r="G60" s="71" cm="1">
        <f t="array" ref="G60">INDEX(Total!$P$8:$P$1002,MATCH($C45&amp;$G45,Total!$D$8:$D$1002&amp;Total!$E$8:$E$1002,0))</f>
        <v>0</v>
      </c>
      <c r="H60" s="28"/>
      <c r="I60" s="272"/>
    </row>
    <row r="61" spans="1:9" ht="16.5" customHeight="1">
      <c r="A61" s="270"/>
      <c r="B61" s="67"/>
      <c r="C61" s="61" t="s">
        <v>38</v>
      </c>
      <c r="D61" s="30"/>
      <c r="E61" s="30"/>
      <c r="F61" s="27"/>
      <c r="G61" s="71" cm="1">
        <f t="array" ref="G61">INDEX(Total!$S$8:$S$1002,MATCH($C45&amp;$G45,Total!$D$8:$D$1002&amp;Total!$E$8:$E$1002,0))</f>
        <v>0</v>
      </c>
      <c r="H61" s="28"/>
      <c r="I61" s="272"/>
    </row>
    <row r="62" spans="1:9" ht="16.5" customHeight="1">
      <c r="A62" s="270"/>
      <c r="B62" s="67"/>
      <c r="C62" s="61" t="s">
        <v>39</v>
      </c>
      <c r="D62" s="26" t="s">
        <v>4</v>
      </c>
      <c r="E62" s="26"/>
      <c r="F62" s="27"/>
      <c r="G62" s="71" cm="1">
        <f t="array" ref="G62">INDEX(Total!$T$8:$T$1002,MATCH($C45&amp;$G45,Total!$D$8:$D$1002&amp;Total!$E$8:$E$1002,0))</f>
        <v>0</v>
      </c>
      <c r="H62" s="28"/>
      <c r="I62" s="272"/>
    </row>
    <row r="63" spans="1:9" ht="16.5" customHeight="1">
      <c r="A63" s="270"/>
      <c r="B63" s="67"/>
      <c r="C63" s="61" t="s">
        <v>40</v>
      </c>
      <c r="D63" s="30"/>
      <c r="E63" s="30"/>
      <c r="F63" s="27"/>
      <c r="G63" s="71" cm="1">
        <f t="array" ref="G63">INDEX(Total!$W$8:$W$1002,MATCH($C45&amp;$G45,Total!$D$8:$D$1002&amp;Total!$E$8:$E$1002,0))</f>
        <v>0</v>
      </c>
      <c r="H63" s="28"/>
      <c r="I63" s="272"/>
    </row>
    <row r="64" spans="1:9" ht="16.5" customHeight="1">
      <c r="A64" s="270"/>
      <c r="B64" s="67"/>
      <c r="C64" s="61" t="s">
        <v>41</v>
      </c>
      <c r="D64" s="30"/>
      <c r="E64" s="30"/>
      <c r="F64" s="27"/>
      <c r="G64" s="71" cm="1">
        <f t="array" ref="G64">INDEX(Total!$U$8:$U$1002,MATCH($C45&amp;$G45,Total!$D$8:$D$1002&amp;Total!$E$8:$E$1002,0))</f>
        <v>0</v>
      </c>
      <c r="H64" s="28"/>
      <c r="I64" s="272"/>
    </row>
    <row r="65" spans="1:10" ht="17.25" customHeight="1" thickBot="1">
      <c r="A65" s="270"/>
      <c r="B65" s="67"/>
      <c r="C65" s="72" t="s">
        <v>42</v>
      </c>
      <c r="D65" s="31"/>
      <c r="E65" s="31"/>
      <c r="F65" s="32"/>
      <c r="G65" s="73" cm="1">
        <f t="array" ref="G65">-INDEX(Total!$Z$8:$Z$1002,MATCH($C45&amp;$G45,Total!$D$8:$D$1002&amp;Total!$E$8:$E$1002,0))</f>
        <v>0</v>
      </c>
      <c r="H65" s="33"/>
      <c r="I65" s="272"/>
    </row>
    <row r="66" spans="1:10" ht="18" customHeight="1" thickTop="1" thickBot="1">
      <c r="A66" s="270"/>
      <c r="B66" s="74"/>
      <c r="C66" s="75"/>
      <c r="D66" s="34"/>
      <c r="E66" s="35" t="s">
        <v>43</v>
      </c>
      <c r="F66" s="274">
        <f>SUM($G57:$G65)</f>
        <v>12778.492</v>
      </c>
      <c r="G66" s="274"/>
      <c r="H66" s="36"/>
      <c r="I66" s="272"/>
      <c r="J66" s="37" cm="1">
        <f t="array" ref="J66">INDEX(Total!$AJ$8:$AJ$1002,MATCH($C45&amp;$G45,Total!$D$8:$D$1002&amp;Total!$E$8:$E$1002,0))</f>
        <v>6389.4920000000002</v>
      </c>
    </row>
    <row r="67" spans="1:10" ht="16.5" customHeight="1">
      <c r="A67" s="270"/>
      <c r="B67" s="54"/>
      <c r="C67" s="54"/>
      <c r="D67" s="54"/>
      <c r="E67" s="54"/>
      <c r="F67" s="262"/>
      <c r="G67" s="263"/>
      <c r="H67" s="9"/>
      <c r="I67" s="272"/>
    </row>
    <row r="68" spans="1:10" ht="16.5" customHeight="1">
      <c r="A68" s="270"/>
      <c r="B68" s="76" t="s">
        <v>44</v>
      </c>
      <c r="C68" s="54"/>
      <c r="D68" s="54"/>
      <c r="E68" s="54"/>
      <c r="F68" s="263"/>
      <c r="G68" s="263"/>
      <c r="H68" s="9"/>
      <c r="I68" s="272"/>
    </row>
    <row r="69" spans="1:10" ht="16.5" customHeight="1">
      <c r="A69" s="270"/>
      <c r="B69" s="76" t="s">
        <v>45</v>
      </c>
      <c r="C69" s="54"/>
      <c r="D69" s="264"/>
      <c r="E69" s="264"/>
      <c r="F69" s="263"/>
      <c r="G69" s="263"/>
      <c r="H69" s="9"/>
      <c r="I69" s="272"/>
    </row>
    <row r="70" spans="1:10" ht="16.5" customHeight="1">
      <c r="A70" s="270"/>
      <c r="B70" s="76" t="s">
        <v>46</v>
      </c>
      <c r="C70" s="54"/>
      <c r="D70" s="54"/>
      <c r="E70" s="54"/>
      <c r="F70" s="54"/>
      <c r="G70" s="54"/>
      <c r="H70" s="9"/>
      <c r="I70" s="272"/>
    </row>
    <row r="71" spans="1:10" ht="16.5" customHeight="1">
      <c r="A71" s="270"/>
      <c r="B71" s="77"/>
      <c r="C71" s="7"/>
      <c r="D71" s="78"/>
      <c r="E71" s="265"/>
      <c r="F71" s="265"/>
      <c r="G71" s="78"/>
      <c r="H71" s="7"/>
      <c r="I71" s="272"/>
    </row>
    <row r="72" spans="1:10" ht="16.5" customHeight="1">
      <c r="A72" s="270"/>
      <c r="B72" s="7"/>
      <c r="C72" s="7"/>
      <c r="D72" s="80"/>
      <c r="E72" s="80"/>
      <c r="F72" s="7"/>
      <c r="G72" s="7"/>
      <c r="H72" s="7"/>
      <c r="I72" s="272"/>
    </row>
    <row r="73" spans="1:10" ht="16.5" customHeight="1">
      <c r="A73" s="270"/>
      <c r="B73" s="7"/>
      <c r="C73" s="7"/>
      <c r="D73" s="80"/>
      <c r="E73" s="78"/>
      <c r="F73" s="81"/>
      <c r="G73" s="54"/>
      <c r="H73" s="9"/>
      <c r="I73" s="272"/>
    </row>
    <row r="74" spans="1:10" ht="16.5" customHeight="1"/>
    <row r="75" spans="1:10">
      <c r="A75" s="266"/>
      <c r="B75" s="266"/>
      <c r="C75" s="266"/>
      <c r="D75" s="266"/>
      <c r="E75" s="266"/>
      <c r="F75" s="266"/>
      <c r="G75" s="266"/>
      <c r="H75" s="266"/>
      <c r="I75" s="266"/>
    </row>
    <row r="76" spans="1:10" ht="27.75">
      <c r="A76" s="267" t="s">
        <v>49</v>
      </c>
      <c r="B76" s="267"/>
      <c r="C76" s="267"/>
      <c r="D76" s="267"/>
      <c r="E76" s="267"/>
      <c r="F76" s="267"/>
      <c r="G76" s="267"/>
      <c r="H76" s="267"/>
      <c r="I76" s="267"/>
    </row>
    <row r="77" spans="1:10" ht="27.75">
      <c r="A77" s="267" t="s">
        <v>50</v>
      </c>
      <c r="B77" s="267"/>
      <c r="C77" s="267"/>
      <c r="D77" s="267"/>
      <c r="E77" s="267"/>
      <c r="F77" s="267"/>
      <c r="G77" s="267"/>
      <c r="H77" s="267"/>
      <c r="I77" s="267"/>
    </row>
    <row r="78" spans="1:10">
      <c r="A78" s="268" t="s">
        <v>0</v>
      </c>
      <c r="B78" s="268"/>
      <c r="C78" s="268"/>
      <c r="D78" s="268"/>
      <c r="E78" s="268"/>
      <c r="F78" s="268"/>
      <c r="G78" s="268"/>
      <c r="H78" s="268"/>
      <c r="I78" s="268"/>
    </row>
    <row r="79" spans="1:10">
      <c r="A79" s="269"/>
      <c r="B79" s="269"/>
      <c r="C79" s="269"/>
      <c r="D79" s="269"/>
      <c r="E79" s="269"/>
      <c r="F79" s="269"/>
      <c r="G79" s="269"/>
      <c r="H79" s="269"/>
      <c r="I79" s="269"/>
    </row>
    <row r="80" spans="1:10" ht="21" thickBot="1">
      <c r="A80" s="270"/>
      <c r="B80" s="271" t="s">
        <v>62</v>
      </c>
      <c r="C80" s="271"/>
      <c r="D80" s="271"/>
      <c r="E80" s="271"/>
      <c r="F80" s="271"/>
      <c r="G80" s="271"/>
      <c r="H80" s="271"/>
      <c r="I80" s="272"/>
    </row>
    <row r="81" spans="1:9" ht="17.25" customHeight="1" thickTop="1">
      <c r="A81" s="270"/>
      <c r="B81" s="273"/>
      <c r="C81" s="273"/>
      <c r="D81" s="273"/>
      <c r="E81" s="273"/>
      <c r="F81" s="273"/>
      <c r="G81" s="273"/>
      <c r="H81" s="5"/>
      <c r="I81" s="272"/>
    </row>
    <row r="82" spans="1:9" ht="16.5" customHeight="1">
      <c r="A82" s="270"/>
      <c r="B82" s="51" t="s">
        <v>20</v>
      </c>
      <c r="C82" s="6" t="str">
        <f>Total!$D$22</f>
        <v>Wong Lai Ying</v>
      </c>
      <c r="D82" s="6" t="str" cm="1">
        <f t="array" ref="D82">INDEX(Total!$C$8:$C$1002,MATCH($C82&amp;$G82,Total!$D$8:$D$1002&amp;Total!$E$8:$E$1002,0))</f>
        <v>Wendy Wong_1</v>
      </c>
      <c r="E82" s="52"/>
      <c r="F82" s="53" t="s">
        <v>21</v>
      </c>
      <c r="G82" s="6" t="str">
        <f>Total!$E$22</f>
        <v>Autopay</v>
      </c>
      <c r="H82" s="6"/>
      <c r="I82" s="272"/>
    </row>
    <row r="83" spans="1:9" ht="17.25" customHeight="1" thickBot="1">
      <c r="A83" s="270"/>
      <c r="B83" s="54"/>
      <c r="C83" s="54"/>
      <c r="D83" s="54"/>
      <c r="E83" s="7"/>
      <c r="F83" s="8"/>
      <c r="G83" s="9"/>
      <c r="H83" s="9"/>
      <c r="I83" s="272"/>
    </row>
    <row r="84" spans="1:9" ht="17.25" customHeight="1" thickBot="1">
      <c r="A84" s="270"/>
      <c r="B84" s="83" t="s">
        <v>22</v>
      </c>
      <c r="C84" s="56"/>
      <c r="D84" s="55"/>
      <c r="E84" s="56" t="s">
        <v>23</v>
      </c>
      <c r="F84" s="57"/>
      <c r="G84" s="9"/>
      <c r="H84" s="9"/>
      <c r="I84" s="272"/>
    </row>
    <row r="85" spans="1:9" ht="17.25" customHeight="1" thickTop="1">
      <c r="A85" s="270"/>
      <c r="B85" s="58" t="s">
        <v>24</v>
      </c>
      <c r="C85" s="10"/>
      <c r="D85" s="59"/>
      <c r="E85" s="60" t="s">
        <v>25</v>
      </c>
      <c r="F85" s="11"/>
      <c r="G85" s="9"/>
      <c r="H85" s="9"/>
      <c r="I85" s="272"/>
    </row>
    <row r="86" spans="1:9" ht="16.5" customHeight="1">
      <c r="A86" s="270"/>
      <c r="B86" s="61" t="s">
        <v>26</v>
      </c>
      <c r="C86" s="12"/>
      <c r="D86" s="13"/>
      <c r="E86" s="14" t="str" cm="1">
        <f t="array" ref="E86">INDEX(Total!$F$8:$F$1002,MATCH($C82&amp;$G82,Total!$D$8:$D$1002&amp;Total!$E$8:$E$1002,0))</f>
        <v>TW_2 Citistore</v>
      </c>
      <c r="F86" s="15"/>
      <c r="G86" s="9"/>
      <c r="H86" s="9"/>
      <c r="I86" s="272"/>
    </row>
    <row r="87" spans="1:9" ht="16.5" customHeight="1">
      <c r="A87" s="270"/>
      <c r="B87" s="61" t="s">
        <v>27</v>
      </c>
      <c r="C87" s="16"/>
      <c r="D87" s="13"/>
      <c r="E87" s="40" t="str" cm="1">
        <f t="array" ref="E87">INDEX(Total!$G$8:$G$1002,MATCH($C82&amp;$G82,Total!$D$8:$D$1002&amp;Total!$E$8:$E$1002,0))</f>
        <v>Mar/3-4,11,13,18-19,24</v>
      </c>
      <c r="F87" s="15"/>
      <c r="G87" s="9"/>
      <c r="H87" s="9"/>
      <c r="I87" s="272"/>
    </row>
    <row r="88" spans="1:9" ht="16.5" customHeight="1">
      <c r="A88" s="270"/>
      <c r="B88" s="61" t="s">
        <v>28</v>
      </c>
      <c r="C88" s="16"/>
      <c r="D88" s="13"/>
      <c r="E88" s="62" cm="1">
        <f t="array" ref="E88">INDEX(Total!$H$8:$H$1002,MATCH($C82&amp;$G82,Total!$D$8:$D$1002&amp;Total!$E$8:$E$1002,0))</f>
        <v>7</v>
      </c>
      <c r="F88" s="15"/>
      <c r="G88" s="8"/>
      <c r="H88" s="8"/>
      <c r="I88" s="272"/>
    </row>
    <row r="89" spans="1:9" ht="16.5" customHeight="1">
      <c r="A89" s="270"/>
      <c r="B89" s="61" t="s">
        <v>29</v>
      </c>
      <c r="C89" s="12"/>
      <c r="D89" s="17"/>
      <c r="E89" s="62" cm="1">
        <f t="array" ref="E89">INDEX(Total!$I$8:$I$1002,MATCH($C82&amp;$G82,Total!$D$8:$D$1002&amp;Total!$E$8:$E$1002,0))</f>
        <v>63</v>
      </c>
      <c r="F89" s="18"/>
      <c r="G89" s="8"/>
      <c r="H89" s="8"/>
      <c r="I89" s="272"/>
    </row>
    <row r="90" spans="1:9" ht="16.5" customHeight="1">
      <c r="A90" s="270"/>
      <c r="B90" s="61" t="s">
        <v>30</v>
      </c>
      <c r="C90" s="12"/>
      <c r="D90" s="17"/>
      <c r="E90" s="62" cm="1">
        <f t="array" ref="E90">INDEX(Total!$J$8:$J$1002,MATCH($C82&amp;$G82,Total!$D$8:$D$1002&amp;Total!$E$8:$E$1002,0))</f>
        <v>60</v>
      </c>
      <c r="F90" s="18"/>
      <c r="G90" s="8"/>
      <c r="H90" s="8"/>
      <c r="I90" s="272"/>
    </row>
    <row r="91" spans="1:9" ht="17.25" customHeight="1" thickBot="1">
      <c r="A91" s="270"/>
      <c r="B91" s="63" t="s">
        <v>31</v>
      </c>
      <c r="C91" s="19"/>
      <c r="D91" s="20"/>
      <c r="E91" s="41" cm="1">
        <f t="array" ref="E91">INDEX(Total!$L$8:$L$1002,MATCH($C82&amp;$G82,Total!$D$8:$D$1002&amp;Total!$E$8:$E$1002,0))</f>
        <v>28203</v>
      </c>
      <c r="F91" s="21"/>
      <c r="G91" s="22"/>
      <c r="H91" s="22"/>
      <c r="I91" s="272"/>
    </row>
    <row r="92" spans="1:9" ht="17.25" customHeight="1" thickBot="1">
      <c r="A92" s="270"/>
      <c r="B92" s="23"/>
      <c r="C92" s="23"/>
      <c r="D92" s="23"/>
      <c r="E92" s="23"/>
      <c r="F92" s="23"/>
      <c r="G92" s="23"/>
      <c r="H92" s="23"/>
      <c r="I92" s="272"/>
    </row>
    <row r="93" spans="1:9" ht="17.25" customHeight="1" thickBot="1">
      <c r="A93" s="270"/>
      <c r="B93" s="64"/>
      <c r="C93" s="65" t="s">
        <v>32</v>
      </c>
      <c r="D93" s="66"/>
      <c r="E93" s="66"/>
      <c r="F93" s="84" t="s">
        <v>33</v>
      </c>
      <c r="G93" s="84"/>
      <c r="H93" s="24"/>
      <c r="I93" s="272"/>
    </row>
    <row r="94" spans="1:9" ht="17.25" customHeight="1" thickTop="1">
      <c r="A94" s="270"/>
      <c r="B94" s="67"/>
      <c r="C94" s="58" t="s">
        <v>34</v>
      </c>
      <c r="D94" s="68"/>
      <c r="E94" s="68"/>
      <c r="F94" s="69"/>
      <c r="G94" s="70" cm="1">
        <f t="array" ref="G94">INDEX(Total!$K$8:$K$1002,MATCH($C82&amp;$G82,Total!$D$8:$D$1002&amp;Total!$E$8:$E$1002,0))</f>
        <v>3780</v>
      </c>
      <c r="H94" s="25"/>
      <c r="I94" s="272"/>
    </row>
    <row r="95" spans="1:9" ht="16.5" customHeight="1">
      <c r="A95" s="270"/>
      <c r="B95" s="67"/>
      <c r="C95" s="61" t="s">
        <v>35</v>
      </c>
      <c r="D95" s="26"/>
      <c r="E95" s="26"/>
      <c r="F95" s="27"/>
      <c r="G95" s="71" cm="1">
        <f t="array" ref="G95">INDEX(Total!$AH$8:$AH$1002,MATCH($C82&amp;$G82,Total!$D$8:$D$1002&amp;Total!$E$8:$E$1002,0))</f>
        <v>4344</v>
      </c>
      <c r="H95" s="28"/>
      <c r="I95" s="272"/>
    </row>
    <row r="96" spans="1:9" ht="16.5" customHeight="1">
      <c r="A96" s="270"/>
      <c r="B96" s="67"/>
      <c r="C96" s="61" t="s">
        <v>36</v>
      </c>
      <c r="D96" s="29"/>
      <c r="E96" s="29"/>
      <c r="F96" s="27"/>
      <c r="G96" s="71" cm="1">
        <f t="array" ref="G96">INDEX(Total!$N$8:$N$1002,MATCH($C82&amp;$G82,Total!$D$8:$D$1002&amp;Total!$E$8:$E$1002,0))</f>
        <v>564.06000000000006</v>
      </c>
      <c r="H96" s="28"/>
      <c r="I96" s="272"/>
    </row>
    <row r="97" spans="1:10" ht="16.5" customHeight="1">
      <c r="A97" s="270"/>
      <c r="B97" s="67"/>
      <c r="C97" s="61" t="s">
        <v>37</v>
      </c>
      <c r="D97" s="30"/>
      <c r="E97" s="30"/>
      <c r="F97" s="27"/>
      <c r="G97" s="71" cm="1">
        <f t="array" ref="G97">INDEX(Total!$P$8:$P$1002,MATCH($C82&amp;$G82,Total!$D$8:$D$1002&amp;Total!$E$8:$E$1002,0))</f>
        <v>0</v>
      </c>
      <c r="H97" s="28"/>
      <c r="I97" s="272"/>
    </row>
    <row r="98" spans="1:10" ht="16.5" customHeight="1">
      <c r="A98" s="270"/>
      <c r="B98" s="67"/>
      <c r="C98" s="61" t="s">
        <v>38</v>
      </c>
      <c r="D98" s="30"/>
      <c r="E98" s="30"/>
      <c r="F98" s="27"/>
      <c r="G98" s="71" cm="1">
        <f t="array" ref="G98">INDEX(Total!$S$8:$S$1002,MATCH($C82&amp;$G82,Total!$D$8:$D$1002&amp;Total!$E$8:$E$1002,0))</f>
        <v>0</v>
      </c>
      <c r="H98" s="28"/>
      <c r="I98" s="272"/>
    </row>
    <row r="99" spans="1:10" ht="16.5" customHeight="1">
      <c r="A99" s="270"/>
      <c r="B99" s="67"/>
      <c r="C99" s="61" t="s">
        <v>39</v>
      </c>
      <c r="D99" s="26" t="s">
        <v>4</v>
      </c>
      <c r="E99" s="26"/>
      <c r="F99" s="27"/>
      <c r="G99" s="71" cm="1">
        <f t="array" ref="G99">INDEX(Total!$T$8:$T$1002,MATCH($C82&amp;$G82,Total!$D$8:$D$1002&amp;Total!$E$8:$E$1002,0))</f>
        <v>0</v>
      </c>
      <c r="H99" s="28"/>
      <c r="I99" s="272"/>
    </row>
    <row r="100" spans="1:10" ht="16.5" customHeight="1">
      <c r="A100" s="270"/>
      <c r="B100" s="67"/>
      <c r="C100" s="61" t="s">
        <v>40</v>
      </c>
      <c r="D100" s="30"/>
      <c r="E100" s="30"/>
      <c r="F100" s="27"/>
      <c r="G100" s="71" cm="1">
        <f t="array" ref="G100">INDEX(Total!$W$8:$W$1002,MATCH($C82&amp;$G82,Total!$D$8:$D$1002&amp;Total!$E$8:$E$1002,0))</f>
        <v>0</v>
      </c>
      <c r="H100" s="28"/>
      <c r="I100" s="272"/>
    </row>
    <row r="101" spans="1:10" ht="16.5" customHeight="1">
      <c r="A101" s="270"/>
      <c r="B101" s="67"/>
      <c r="C101" s="61" t="s">
        <v>41</v>
      </c>
      <c r="D101" s="30"/>
      <c r="E101" s="30"/>
      <c r="F101" s="27"/>
      <c r="G101" s="71" cm="1">
        <f t="array" ref="G101">INDEX(Total!$U$8:$U$1002,MATCH($C82&amp;$G82,Total!$D$8:$D$1002&amp;Total!$E$8:$E$1002,0))</f>
        <v>0</v>
      </c>
      <c r="H101" s="28"/>
      <c r="I101" s="272"/>
    </row>
    <row r="102" spans="1:10" ht="17.25" customHeight="1" thickBot="1">
      <c r="A102" s="270"/>
      <c r="B102" s="67"/>
      <c r="C102" s="72" t="s">
        <v>42</v>
      </c>
      <c r="D102" s="31"/>
      <c r="E102" s="31"/>
      <c r="F102" s="32"/>
      <c r="G102" s="73" cm="1">
        <f t="array" ref="G102">-INDEX(Total!$Z$8:$Z$1002,MATCH($C82&amp;$G82,Total!$D$8:$D$1002&amp;Total!$E$8:$E$1002,0))</f>
        <v>0</v>
      </c>
      <c r="H102" s="33"/>
      <c r="I102" s="272"/>
    </row>
    <row r="103" spans="1:10" ht="18" customHeight="1" thickTop="1" thickBot="1">
      <c r="A103" s="270"/>
      <c r="B103" s="74"/>
      <c r="C103" s="75"/>
      <c r="D103" s="34"/>
      <c r="E103" s="35" t="s">
        <v>43</v>
      </c>
      <c r="F103" s="274">
        <f>SUM($G94:$G102)</f>
        <v>8688.06</v>
      </c>
      <c r="G103" s="274"/>
      <c r="H103" s="36"/>
      <c r="I103" s="272"/>
      <c r="J103" s="37" cm="1">
        <f t="array" ref="J103">INDEX(Total!$AJ$8:$AJ$1002,MATCH($C82&amp;$G82,Total!$D$8:$D$1002&amp;Total!$E$8:$E$1002,0))</f>
        <v>4344.0600000000004</v>
      </c>
    </row>
    <row r="104" spans="1:10" ht="16.5" customHeight="1">
      <c r="A104" s="270"/>
      <c r="B104" s="54"/>
      <c r="C104" s="54"/>
      <c r="D104" s="54"/>
      <c r="E104" s="54"/>
      <c r="F104" s="262"/>
      <c r="G104" s="263"/>
      <c r="H104" s="9"/>
      <c r="I104" s="272"/>
    </row>
    <row r="105" spans="1:10" ht="16.5" customHeight="1">
      <c r="A105" s="270"/>
      <c r="B105" s="76" t="s">
        <v>44</v>
      </c>
      <c r="C105" s="54"/>
      <c r="D105" s="54"/>
      <c r="E105" s="54"/>
      <c r="F105" s="263"/>
      <c r="G105" s="263"/>
      <c r="H105" s="9"/>
      <c r="I105" s="272"/>
    </row>
    <row r="106" spans="1:10" ht="16.5" customHeight="1">
      <c r="A106" s="270"/>
      <c r="B106" s="76" t="s">
        <v>45</v>
      </c>
      <c r="C106" s="54"/>
      <c r="D106" s="264"/>
      <c r="E106" s="264"/>
      <c r="F106" s="263"/>
      <c r="G106" s="263"/>
      <c r="H106" s="9"/>
      <c r="I106" s="272"/>
    </row>
    <row r="107" spans="1:10" ht="16.5" customHeight="1">
      <c r="A107" s="270"/>
      <c r="B107" s="76" t="s">
        <v>46</v>
      </c>
      <c r="C107" s="54"/>
      <c r="D107" s="54"/>
      <c r="E107" s="54"/>
      <c r="F107" s="54"/>
      <c r="G107" s="54"/>
      <c r="H107" s="9"/>
      <c r="I107" s="272"/>
    </row>
    <row r="108" spans="1:10" ht="16.5" customHeight="1">
      <c r="A108" s="270"/>
      <c r="B108" s="77"/>
      <c r="C108" s="7"/>
      <c r="D108" s="78"/>
      <c r="E108" s="265" t="s">
        <v>47</v>
      </c>
      <c r="F108" s="265"/>
      <c r="G108" s="79"/>
      <c r="H108" s="38"/>
      <c r="I108" s="272"/>
    </row>
    <row r="109" spans="1:10" ht="16.5" customHeight="1">
      <c r="A109" s="270"/>
      <c r="B109" s="7"/>
      <c r="C109" s="7"/>
      <c r="D109" s="80"/>
      <c r="E109" s="80"/>
      <c r="F109" s="7"/>
      <c r="G109" s="7"/>
      <c r="H109" s="7"/>
      <c r="I109" s="272"/>
    </row>
    <row r="110" spans="1:10" ht="16.5" customHeight="1">
      <c r="A110" s="270"/>
      <c r="B110" s="7"/>
      <c r="C110" s="7"/>
      <c r="D110" s="80"/>
      <c r="E110" s="78"/>
      <c r="F110" s="81" t="s">
        <v>48</v>
      </c>
      <c r="G110" s="82"/>
      <c r="H110" s="39"/>
      <c r="I110" s="272"/>
    </row>
    <row r="111" spans="1:10" ht="16.5" customHeight="1"/>
    <row r="112" spans="1:10">
      <c r="A112" s="266"/>
      <c r="B112" s="266"/>
      <c r="C112" s="266"/>
      <c r="D112" s="266"/>
      <c r="E112" s="266"/>
      <c r="F112" s="266"/>
      <c r="G112" s="266"/>
      <c r="H112" s="266"/>
      <c r="I112" s="266"/>
    </row>
    <row r="113" spans="1:9" ht="27.75">
      <c r="A113" s="267" t="s">
        <v>49</v>
      </c>
      <c r="B113" s="267"/>
      <c r="C113" s="267"/>
      <c r="D113" s="267"/>
      <c r="E113" s="267"/>
      <c r="F113" s="267"/>
      <c r="G113" s="267"/>
      <c r="H113" s="267"/>
      <c r="I113" s="267"/>
    </row>
    <row r="114" spans="1:9" ht="27.75">
      <c r="A114" s="267" t="s">
        <v>50</v>
      </c>
      <c r="B114" s="267"/>
      <c r="C114" s="267"/>
      <c r="D114" s="267"/>
      <c r="E114" s="267"/>
      <c r="F114" s="267"/>
      <c r="G114" s="267"/>
      <c r="H114" s="267"/>
      <c r="I114" s="267"/>
    </row>
    <row r="115" spans="1:9">
      <c r="A115" s="268" t="s">
        <v>0</v>
      </c>
      <c r="B115" s="268"/>
      <c r="C115" s="268"/>
      <c r="D115" s="268"/>
      <c r="E115" s="268"/>
      <c r="F115" s="268"/>
      <c r="G115" s="268"/>
      <c r="H115" s="268"/>
      <c r="I115" s="268"/>
    </row>
    <row r="116" spans="1:9">
      <c r="A116" s="269"/>
      <c r="B116" s="269"/>
      <c r="C116" s="269"/>
      <c r="D116" s="269"/>
      <c r="E116" s="269"/>
      <c r="F116" s="269"/>
      <c r="G116" s="269"/>
      <c r="H116" s="269"/>
      <c r="I116" s="269"/>
    </row>
    <row r="117" spans="1:9" ht="21" thickBot="1">
      <c r="A117" s="270"/>
      <c r="B117" s="271" t="s">
        <v>62</v>
      </c>
      <c r="C117" s="271"/>
      <c r="D117" s="271"/>
      <c r="E117" s="271"/>
      <c r="F117" s="271"/>
      <c r="G117" s="271"/>
      <c r="H117" s="271"/>
      <c r="I117" s="272"/>
    </row>
    <row r="118" spans="1:9" ht="17.25" customHeight="1" thickTop="1">
      <c r="A118" s="270"/>
      <c r="B118" s="273"/>
      <c r="C118" s="273"/>
      <c r="D118" s="273"/>
      <c r="E118" s="273"/>
      <c r="F118" s="273"/>
      <c r="G118" s="273"/>
      <c r="H118" s="5"/>
      <c r="I118" s="272"/>
    </row>
    <row r="119" spans="1:9" ht="16.5" customHeight="1">
      <c r="A119" s="270"/>
      <c r="B119" s="51" t="s">
        <v>20</v>
      </c>
      <c r="C119" s="6" t="str">
        <f>Total!$D$23</f>
        <v>Chan Mei Sim</v>
      </c>
      <c r="D119" s="6" t="str" cm="1">
        <f t="array" ref="D119">INDEX(Total!$C$8:$C$1002,MATCH($C119&amp;$G119,Total!$D$8:$D$1002&amp;Total!$E$8:$E$1002,0))</f>
        <v>Kiko</v>
      </c>
      <c r="E119" s="52"/>
      <c r="F119" s="53" t="s">
        <v>21</v>
      </c>
      <c r="G119" s="6" t="str">
        <f>Total!$E$23</f>
        <v>Autopay</v>
      </c>
      <c r="H119" s="6"/>
      <c r="I119" s="272"/>
    </row>
    <row r="120" spans="1:9" ht="17.25" customHeight="1" thickBot="1">
      <c r="A120" s="270"/>
      <c r="B120" s="54"/>
      <c r="C120" s="54"/>
      <c r="D120" s="54"/>
      <c r="E120" s="7"/>
      <c r="F120" s="8"/>
      <c r="G120" s="9"/>
      <c r="H120" s="9"/>
      <c r="I120" s="272"/>
    </row>
    <row r="121" spans="1:9" ht="17.25" customHeight="1" thickBot="1">
      <c r="A121" s="270"/>
      <c r="B121" s="83" t="s">
        <v>22</v>
      </c>
      <c r="C121" s="56"/>
      <c r="D121" s="55"/>
      <c r="E121" s="56" t="s">
        <v>23</v>
      </c>
      <c r="F121" s="57"/>
      <c r="G121" s="9"/>
      <c r="H121" s="9"/>
      <c r="I121" s="272"/>
    </row>
    <row r="122" spans="1:9" ht="17.25" customHeight="1" thickTop="1">
      <c r="A122" s="270"/>
      <c r="B122" s="58" t="s">
        <v>24</v>
      </c>
      <c r="C122" s="10"/>
      <c r="D122" s="59"/>
      <c r="E122" s="60" t="s">
        <v>25</v>
      </c>
      <c r="F122" s="11"/>
      <c r="G122" s="9"/>
      <c r="H122" s="9"/>
      <c r="I122" s="272"/>
    </row>
    <row r="123" spans="1:9" ht="16.5" customHeight="1">
      <c r="A123" s="270"/>
      <c r="B123" s="61" t="s">
        <v>26</v>
      </c>
      <c r="C123" s="12"/>
      <c r="D123" s="13"/>
      <c r="E123" s="14" t="str" cm="1">
        <f t="array" ref="E123">INDEX(Total!$F$8:$F$1002,MATCH($C119&amp;$G119,Total!$D$8:$D$1002&amp;Total!$E$8:$E$1002,0))</f>
        <v>Tai Koo Fortress</v>
      </c>
      <c r="F123" s="15"/>
      <c r="G123" s="9"/>
      <c r="H123" s="9"/>
      <c r="I123" s="272"/>
    </row>
    <row r="124" spans="1:9" ht="16.5" customHeight="1">
      <c r="A124" s="270"/>
      <c r="B124" s="61" t="s">
        <v>27</v>
      </c>
      <c r="C124" s="16"/>
      <c r="D124" s="13"/>
      <c r="E124" s="40" t="str" cm="1">
        <f t="array" ref="E124">INDEX(Total!$G$8:$G$1002,MATCH($C119&amp;$G119,Total!$D$8:$D$1002&amp;Total!$E$8:$E$1002,0))</f>
        <v>Mar/1-3,7-11,14-18,21-25,28-31</v>
      </c>
      <c r="F124" s="15"/>
      <c r="G124" s="9"/>
      <c r="H124" s="9"/>
      <c r="I124" s="272"/>
    </row>
    <row r="125" spans="1:9" ht="16.5" customHeight="1">
      <c r="A125" s="270"/>
      <c r="B125" s="61" t="s">
        <v>28</v>
      </c>
      <c r="C125" s="16"/>
      <c r="D125" s="13"/>
      <c r="E125" s="62" cm="1">
        <f t="array" ref="E125">INDEX(Total!$H$8:$H$1002,MATCH($C119&amp;$G119,Total!$D$8:$D$1002&amp;Total!$E$8:$E$1002,0))</f>
        <v>22</v>
      </c>
      <c r="F125" s="15"/>
      <c r="G125" s="8"/>
      <c r="H125" s="8"/>
      <c r="I125" s="272"/>
    </row>
    <row r="126" spans="1:9" ht="16.5" customHeight="1">
      <c r="A126" s="270"/>
      <c r="B126" s="61" t="s">
        <v>29</v>
      </c>
      <c r="C126" s="12"/>
      <c r="D126" s="17"/>
      <c r="E126" s="62" cm="1">
        <f t="array" ref="E126">INDEX(Total!$I$8:$I$1002,MATCH($C119&amp;$G119,Total!$D$8:$D$1002&amp;Total!$E$8:$E$1002,0))</f>
        <v>176</v>
      </c>
      <c r="F126" s="18"/>
      <c r="G126" s="8"/>
      <c r="H126" s="8"/>
      <c r="I126" s="272"/>
    </row>
    <row r="127" spans="1:9" ht="16.5" customHeight="1">
      <c r="A127" s="270"/>
      <c r="B127" s="61" t="s">
        <v>30</v>
      </c>
      <c r="C127" s="12"/>
      <c r="D127" s="17"/>
      <c r="E127" s="62" cm="1">
        <f t="array" ref="E127">INDEX(Total!$J$8:$J$1002,MATCH($C119&amp;$G119,Total!$D$8:$D$1002&amp;Total!$E$8:$E$1002,0))</f>
        <v>60</v>
      </c>
      <c r="F127" s="18"/>
      <c r="G127" s="8"/>
      <c r="H127" s="8"/>
      <c r="I127" s="272"/>
    </row>
    <row r="128" spans="1:9" ht="17.25" customHeight="1" thickBot="1">
      <c r="A128" s="270"/>
      <c r="B128" s="63" t="s">
        <v>31</v>
      </c>
      <c r="C128" s="19"/>
      <c r="D128" s="20"/>
      <c r="E128" s="41" cm="1">
        <f t="array" ref="E128">INDEX(Total!$L$8:$L$1002,MATCH($C119&amp;$G119,Total!$D$8:$D$1002&amp;Total!$E$8:$E$1002,0))</f>
        <v>487590</v>
      </c>
      <c r="F128" s="21"/>
      <c r="G128" s="22"/>
      <c r="H128" s="22"/>
      <c r="I128" s="272"/>
    </row>
    <row r="129" spans="1:10" ht="17.25" customHeight="1" thickBot="1">
      <c r="A129" s="270"/>
      <c r="B129" s="23"/>
      <c r="C129" s="23"/>
      <c r="D129" s="23"/>
      <c r="E129" s="23"/>
      <c r="F129" s="23"/>
      <c r="G129" s="23"/>
      <c r="H129" s="23"/>
      <c r="I129" s="272"/>
    </row>
    <row r="130" spans="1:10" ht="17.25" customHeight="1" thickBot="1">
      <c r="A130" s="270"/>
      <c r="B130" s="64"/>
      <c r="C130" s="65" t="s">
        <v>32</v>
      </c>
      <c r="D130" s="66"/>
      <c r="E130" s="66"/>
      <c r="F130" s="84" t="s">
        <v>33</v>
      </c>
      <c r="G130" s="84"/>
      <c r="H130" s="24"/>
      <c r="I130" s="272"/>
    </row>
    <row r="131" spans="1:10" ht="17.25" customHeight="1" thickTop="1">
      <c r="A131" s="270"/>
      <c r="B131" s="67"/>
      <c r="C131" s="58" t="s">
        <v>34</v>
      </c>
      <c r="D131" s="68"/>
      <c r="E131" s="68"/>
      <c r="F131" s="69"/>
      <c r="G131" s="70" cm="1">
        <f t="array" ref="G131">INDEX(Total!$K$8:$K$1002,MATCH($C119&amp;$G119,Total!$D$8:$D$1002&amp;Total!$E$8:$E$1002,0))</f>
        <v>10560</v>
      </c>
      <c r="H131" s="25"/>
      <c r="I131" s="272"/>
    </row>
    <row r="132" spans="1:10" ht="16.5" customHeight="1">
      <c r="A132" s="270"/>
      <c r="B132" s="67"/>
      <c r="C132" s="61" t="s">
        <v>35</v>
      </c>
      <c r="D132" s="26"/>
      <c r="E132" s="26"/>
      <c r="F132" s="27"/>
      <c r="G132" s="71" cm="1">
        <f t="array" ref="G132">INDEX(Total!$AH$8:$AH$1002,MATCH($C119&amp;$G119,Total!$D$8:$D$1002&amp;Total!$E$8:$E$1002,0))</f>
        <v>22132</v>
      </c>
      <c r="H132" s="28"/>
      <c r="I132" s="272"/>
    </row>
    <row r="133" spans="1:10" ht="16.5" customHeight="1">
      <c r="A133" s="270"/>
      <c r="B133" s="67"/>
      <c r="C133" s="61" t="s">
        <v>36</v>
      </c>
      <c r="D133" s="29"/>
      <c r="E133" s="29"/>
      <c r="F133" s="27"/>
      <c r="G133" s="71" cm="1">
        <f t="array" ref="G133">INDEX(Total!$N$8:$N$1002,MATCH($C119&amp;$G119,Total!$D$8:$D$1002&amp;Total!$E$8:$E$1002,0))</f>
        <v>9751.8000000000011</v>
      </c>
      <c r="H133" s="28"/>
      <c r="I133" s="272"/>
    </row>
    <row r="134" spans="1:10" ht="16.5" customHeight="1">
      <c r="A134" s="270"/>
      <c r="B134" s="67"/>
      <c r="C134" s="61" t="s">
        <v>37</v>
      </c>
      <c r="D134" s="30"/>
      <c r="E134" s="30"/>
      <c r="F134" s="27"/>
      <c r="G134" s="71" cm="1">
        <f t="array" ref="G134">INDEX(Total!$P$8:$P$1002,MATCH($C119&amp;$G119,Total!$D$8:$D$1002&amp;Total!$E$8:$E$1002,0))</f>
        <v>0</v>
      </c>
      <c r="H134" s="28"/>
      <c r="I134" s="272"/>
    </row>
    <row r="135" spans="1:10" ht="16.5" customHeight="1">
      <c r="A135" s="270"/>
      <c r="B135" s="67"/>
      <c r="C135" s="61" t="s">
        <v>38</v>
      </c>
      <c r="D135" s="30"/>
      <c r="E135" s="30"/>
      <c r="F135" s="27"/>
      <c r="G135" s="71" cm="1">
        <f t="array" ref="G135">INDEX(Total!$S$8:$S$1002,MATCH($C119&amp;$G119,Total!$D$8:$D$1002&amp;Total!$E$8:$E$1002,0))</f>
        <v>0</v>
      </c>
      <c r="H135" s="28"/>
      <c r="I135" s="272"/>
    </row>
    <row r="136" spans="1:10" ht="16.5" customHeight="1">
      <c r="A136" s="270"/>
      <c r="B136" s="67"/>
      <c r="C136" s="61" t="s">
        <v>39</v>
      </c>
      <c r="D136" s="26" t="s">
        <v>4</v>
      </c>
      <c r="E136" s="26"/>
      <c r="F136" s="27"/>
      <c r="G136" s="71" cm="1">
        <f t="array" ref="G136">INDEX(Total!$T$8:$T$1002,MATCH($C119&amp;$G119,Total!$D$8:$D$1002&amp;Total!$E$8:$E$1002,0))</f>
        <v>320</v>
      </c>
      <c r="H136" s="28"/>
      <c r="I136" s="272"/>
    </row>
    <row r="137" spans="1:10" ht="16.5" customHeight="1">
      <c r="A137" s="270"/>
      <c r="B137" s="67"/>
      <c r="C137" s="61" t="s">
        <v>40</v>
      </c>
      <c r="D137" s="30"/>
      <c r="E137" s="30"/>
      <c r="F137" s="27"/>
      <c r="G137" s="71" cm="1">
        <f t="array" ref="G137">INDEX(Total!$W$8:$W$1002,MATCH($C119&amp;$G119,Total!$D$8:$D$1002&amp;Total!$E$8:$E$1002,0))</f>
        <v>0</v>
      </c>
      <c r="H137" s="28"/>
      <c r="I137" s="272"/>
    </row>
    <row r="138" spans="1:10" ht="16.5" customHeight="1">
      <c r="A138" s="270"/>
      <c r="B138" s="67"/>
      <c r="C138" s="61" t="s">
        <v>41</v>
      </c>
      <c r="D138" s="30"/>
      <c r="E138" s="30"/>
      <c r="F138" s="27"/>
      <c r="G138" s="71" cm="1">
        <f t="array" ref="G138">INDEX(Total!$U$8:$U$1002,MATCH($C119&amp;$G119,Total!$D$8:$D$1002&amp;Total!$E$8:$E$1002,0))</f>
        <v>0</v>
      </c>
      <c r="H138" s="28"/>
      <c r="I138" s="272"/>
    </row>
    <row r="139" spans="1:10" ht="17.25" customHeight="1" thickBot="1">
      <c r="A139" s="270"/>
      <c r="B139" s="67"/>
      <c r="C139" s="72" t="s">
        <v>42</v>
      </c>
      <c r="D139" s="31"/>
      <c r="E139" s="31"/>
      <c r="F139" s="32"/>
      <c r="G139" s="73" cm="1">
        <f t="array" ref="G139">-INDEX(Total!$Z$8:$Z$1002,MATCH($C119&amp;$G119,Total!$D$8:$D$1002&amp;Total!$E$8:$E$1002,0))</f>
        <v>0</v>
      </c>
      <c r="H139" s="33"/>
      <c r="I139" s="272"/>
    </row>
    <row r="140" spans="1:10" ht="18" customHeight="1" thickTop="1" thickBot="1">
      <c r="A140" s="270"/>
      <c r="B140" s="74"/>
      <c r="C140" s="75"/>
      <c r="D140" s="34"/>
      <c r="E140" s="35" t="s">
        <v>43</v>
      </c>
      <c r="F140" s="274">
        <f>SUM($G131:$G139)</f>
        <v>42763.8</v>
      </c>
      <c r="G140" s="274"/>
      <c r="H140" s="36"/>
      <c r="I140" s="272"/>
      <c r="J140" s="37" cm="1">
        <f t="array" ref="J140">INDEX(Total!$AJ$8:$AJ$1002,MATCH($C119&amp;$G119,Total!$D$8:$D$1002&amp;Total!$E$8:$E$1002,0))</f>
        <v>22131.800000000003</v>
      </c>
    </row>
    <row r="141" spans="1:10" ht="16.5" customHeight="1">
      <c r="A141" s="270"/>
      <c r="B141" s="54"/>
      <c r="C141" s="54"/>
      <c r="D141" s="54"/>
      <c r="E141" s="54"/>
      <c r="F141" s="262"/>
      <c r="G141" s="263"/>
      <c r="H141" s="9"/>
      <c r="I141" s="272"/>
    </row>
    <row r="142" spans="1:10" ht="16.5" customHeight="1">
      <c r="A142" s="270"/>
      <c r="B142" s="76" t="s">
        <v>44</v>
      </c>
      <c r="C142" s="54"/>
      <c r="D142" s="54"/>
      <c r="E142" s="54"/>
      <c r="F142" s="263"/>
      <c r="G142" s="263"/>
      <c r="H142" s="9"/>
      <c r="I142" s="272"/>
    </row>
    <row r="143" spans="1:10" ht="16.5" customHeight="1">
      <c r="A143" s="270"/>
      <c r="B143" s="76" t="s">
        <v>45</v>
      </c>
      <c r="C143" s="54"/>
      <c r="D143" s="264"/>
      <c r="E143" s="264"/>
      <c r="F143" s="263"/>
      <c r="G143" s="263"/>
      <c r="H143" s="9"/>
      <c r="I143" s="272"/>
    </row>
    <row r="144" spans="1:10" ht="16.5" customHeight="1">
      <c r="A144" s="270"/>
      <c r="B144" s="76" t="s">
        <v>46</v>
      </c>
      <c r="C144" s="54"/>
      <c r="D144" s="54"/>
      <c r="E144" s="54"/>
      <c r="F144" s="54"/>
      <c r="G144" s="54"/>
      <c r="H144" s="9"/>
      <c r="I144" s="272"/>
    </row>
    <row r="145" spans="1:9" ht="16.5" customHeight="1">
      <c r="A145" s="270"/>
      <c r="B145" s="77"/>
      <c r="C145" s="7"/>
      <c r="D145" s="78"/>
      <c r="E145" s="265" t="s">
        <v>47</v>
      </c>
      <c r="F145" s="265"/>
      <c r="G145" s="79"/>
      <c r="H145" s="38"/>
      <c r="I145" s="272"/>
    </row>
    <row r="146" spans="1:9" ht="16.5" customHeight="1">
      <c r="A146" s="270"/>
      <c r="B146" s="7"/>
      <c r="C146" s="7"/>
      <c r="D146" s="80"/>
      <c r="E146" s="80"/>
      <c r="F146" s="7"/>
      <c r="G146" s="7"/>
      <c r="H146" s="7"/>
      <c r="I146" s="272"/>
    </row>
    <row r="147" spans="1:9" ht="16.5" customHeight="1">
      <c r="A147" s="270"/>
      <c r="B147" s="7"/>
      <c r="C147" s="7"/>
      <c r="D147" s="80"/>
      <c r="E147" s="78"/>
      <c r="F147" s="81" t="s">
        <v>48</v>
      </c>
      <c r="G147" s="82"/>
      <c r="H147" s="39"/>
      <c r="I147" s="272"/>
    </row>
    <row r="148" spans="1:9" ht="16.5" customHeight="1"/>
    <row r="149" spans="1:9">
      <c r="A149" s="266"/>
      <c r="B149" s="266"/>
      <c r="C149" s="266"/>
      <c r="D149" s="266"/>
      <c r="E149" s="266"/>
      <c r="F149" s="266"/>
      <c r="G149" s="266"/>
      <c r="H149" s="266"/>
      <c r="I149" s="266"/>
    </row>
    <row r="150" spans="1:9" ht="27.75">
      <c r="A150" s="267" t="s">
        <v>49</v>
      </c>
      <c r="B150" s="267"/>
      <c r="C150" s="267"/>
      <c r="D150" s="267"/>
      <c r="E150" s="267"/>
      <c r="F150" s="267"/>
      <c r="G150" s="267"/>
      <c r="H150" s="267"/>
      <c r="I150" s="267"/>
    </row>
    <row r="151" spans="1:9" ht="27.75">
      <c r="A151" s="267" t="s">
        <v>50</v>
      </c>
      <c r="B151" s="267"/>
      <c r="C151" s="267"/>
      <c r="D151" s="267"/>
      <c r="E151" s="267"/>
      <c r="F151" s="267"/>
      <c r="G151" s="267"/>
      <c r="H151" s="267"/>
      <c r="I151" s="267"/>
    </row>
    <row r="152" spans="1:9">
      <c r="A152" s="268" t="s">
        <v>0</v>
      </c>
      <c r="B152" s="268"/>
      <c r="C152" s="268"/>
      <c r="D152" s="268"/>
      <c r="E152" s="268"/>
      <c r="F152" s="268"/>
      <c r="G152" s="268"/>
      <c r="H152" s="268"/>
      <c r="I152" s="268"/>
    </row>
    <row r="153" spans="1:9">
      <c r="A153" s="269"/>
      <c r="B153" s="269"/>
      <c r="C153" s="269"/>
      <c r="D153" s="269"/>
      <c r="E153" s="269"/>
      <c r="F153" s="269"/>
      <c r="G153" s="269"/>
      <c r="H153" s="269"/>
      <c r="I153" s="269"/>
    </row>
    <row r="154" spans="1:9" ht="21" thickBot="1">
      <c r="A154" s="270"/>
      <c r="B154" s="271" t="s">
        <v>62</v>
      </c>
      <c r="C154" s="271"/>
      <c r="D154" s="271"/>
      <c r="E154" s="271"/>
      <c r="F154" s="271"/>
      <c r="G154" s="271"/>
      <c r="H154" s="271"/>
      <c r="I154" s="272"/>
    </row>
    <row r="155" spans="1:9" ht="17.25" customHeight="1" thickTop="1">
      <c r="A155" s="270"/>
      <c r="B155" s="273"/>
      <c r="C155" s="273"/>
      <c r="D155" s="273"/>
      <c r="E155" s="273"/>
      <c r="F155" s="273"/>
      <c r="G155" s="273"/>
      <c r="H155" s="5"/>
      <c r="I155" s="272"/>
    </row>
    <row r="156" spans="1:9" ht="16.5" customHeight="1">
      <c r="A156" s="270"/>
      <c r="B156" s="51" t="s">
        <v>20</v>
      </c>
      <c r="C156" s="6" t="str">
        <f>Total!$D$24</f>
        <v>Ka Kui,Jaco</v>
      </c>
      <c r="D156" s="6" t="str" cm="1">
        <f t="array" ref="D156">INDEX(Total!$C$8:$C$1002,MATCH($C156&amp;$G156,Total!$D$8:$D$1002&amp;Total!$E$8:$E$1002,0))</f>
        <v>Jaco</v>
      </c>
      <c r="E156" s="52"/>
      <c r="F156" s="53" t="s">
        <v>21</v>
      </c>
      <c r="G156" s="6">
        <f>Total!$E$24</f>
        <v>20857</v>
      </c>
      <c r="H156" s="6"/>
      <c r="I156" s="272"/>
    </row>
    <row r="157" spans="1:9" ht="17.25" customHeight="1" thickBot="1">
      <c r="A157" s="270"/>
      <c r="B157" s="54"/>
      <c r="C157" s="54"/>
      <c r="D157" s="54"/>
      <c r="E157" s="7"/>
      <c r="F157" s="8"/>
      <c r="G157" s="9"/>
      <c r="H157" s="9"/>
      <c r="I157" s="272"/>
    </row>
    <row r="158" spans="1:9" ht="17.25" customHeight="1" thickBot="1">
      <c r="A158" s="270"/>
      <c r="B158" s="83" t="s">
        <v>22</v>
      </c>
      <c r="C158" s="56"/>
      <c r="D158" s="55"/>
      <c r="E158" s="56" t="s">
        <v>23</v>
      </c>
      <c r="F158" s="57"/>
      <c r="G158" s="9"/>
      <c r="H158" s="9"/>
      <c r="I158" s="272"/>
    </row>
    <row r="159" spans="1:9" ht="17.25" customHeight="1" thickTop="1">
      <c r="A159" s="270"/>
      <c r="B159" s="58" t="s">
        <v>24</v>
      </c>
      <c r="C159" s="10"/>
      <c r="D159" s="59"/>
      <c r="E159" s="60" t="s">
        <v>25</v>
      </c>
      <c r="F159" s="11"/>
      <c r="G159" s="9"/>
      <c r="H159" s="9"/>
      <c r="I159" s="272"/>
    </row>
    <row r="160" spans="1:9" ht="16.5" customHeight="1">
      <c r="A160" s="270"/>
      <c r="B160" s="61" t="s">
        <v>26</v>
      </c>
      <c r="C160" s="12"/>
      <c r="D160" s="13"/>
      <c r="E160" s="14" t="str" cm="1">
        <f t="array" ref="E160">INDEX(Total!$F$8:$F$1002,MATCH($C156&amp;$G156,Total!$D$8:$D$1002&amp;Total!$E$8:$E$1002,0))</f>
        <v>Tung Chun Fortress</v>
      </c>
      <c r="F160" s="15"/>
      <c r="G160" s="9"/>
      <c r="H160" s="9"/>
      <c r="I160" s="272"/>
    </row>
    <row r="161" spans="1:9" ht="16.5" customHeight="1">
      <c r="A161" s="270"/>
      <c r="B161" s="61" t="s">
        <v>27</v>
      </c>
      <c r="C161" s="16"/>
      <c r="D161" s="13"/>
      <c r="E161" s="40" t="str" cm="1">
        <f t="array" ref="E161">INDEX(Total!$G$8:$G$1002,MATCH($C156&amp;$G156,Total!$D$8:$D$1002&amp;Total!$E$8:$E$1002,0))</f>
        <v>Mar/2-5,7-11,14-17,20-25,29-31</v>
      </c>
      <c r="F161" s="15"/>
      <c r="G161" s="9"/>
      <c r="H161" s="9"/>
      <c r="I161" s="272"/>
    </row>
    <row r="162" spans="1:9" ht="16.5" customHeight="1">
      <c r="A162" s="270"/>
      <c r="B162" s="61" t="s">
        <v>28</v>
      </c>
      <c r="C162" s="16"/>
      <c r="D162" s="13"/>
      <c r="E162" s="62" cm="1">
        <f t="array" ref="E162">INDEX(Total!$H$8:$H$1002,MATCH($C156&amp;$G156,Total!$D$8:$D$1002&amp;Total!$E$8:$E$1002,0))</f>
        <v>22</v>
      </c>
      <c r="F162" s="15"/>
      <c r="G162" s="8"/>
      <c r="H162" s="8"/>
      <c r="I162" s="272"/>
    </row>
    <row r="163" spans="1:9" ht="16.5" customHeight="1">
      <c r="A163" s="270"/>
      <c r="B163" s="61" t="s">
        <v>29</v>
      </c>
      <c r="C163" s="12"/>
      <c r="D163" s="17"/>
      <c r="E163" s="62" cm="1">
        <f t="array" ref="E163">INDEX(Total!$I$8:$I$1002,MATCH($C156&amp;$G156,Total!$D$8:$D$1002&amp;Total!$E$8:$E$1002,0))</f>
        <v>170</v>
      </c>
      <c r="F163" s="18"/>
      <c r="G163" s="8"/>
      <c r="H163" s="8"/>
      <c r="I163" s="272"/>
    </row>
    <row r="164" spans="1:9" ht="16.5" customHeight="1">
      <c r="A164" s="270"/>
      <c r="B164" s="61" t="s">
        <v>30</v>
      </c>
      <c r="C164" s="12"/>
      <c r="D164" s="17"/>
      <c r="E164" s="62" cm="1">
        <f t="array" ref="E164">INDEX(Total!$J$8:$J$1002,MATCH($C156&amp;$G156,Total!$D$8:$D$1002&amp;Total!$E$8:$E$1002,0))</f>
        <v>60</v>
      </c>
      <c r="F164" s="18"/>
      <c r="G164" s="8"/>
      <c r="H164" s="8"/>
      <c r="I164" s="272"/>
    </row>
    <row r="165" spans="1:9" ht="17.25" customHeight="1" thickBot="1">
      <c r="A165" s="270"/>
      <c r="B165" s="63" t="s">
        <v>31</v>
      </c>
      <c r="C165" s="19"/>
      <c r="D165" s="20"/>
      <c r="E165" s="41" cm="1">
        <f t="array" ref="E165">INDEX(Total!$L$8:$L$1002,MATCH($C156&amp;$G156,Total!$D$8:$D$1002&amp;Total!$E$8:$E$1002,0))</f>
        <v>372105</v>
      </c>
      <c r="F165" s="21"/>
      <c r="G165" s="22"/>
      <c r="H165" s="22"/>
      <c r="I165" s="272"/>
    </row>
    <row r="166" spans="1:9" ht="17.25" customHeight="1" thickBot="1">
      <c r="A166" s="270"/>
      <c r="B166" s="23"/>
      <c r="C166" s="23"/>
      <c r="D166" s="23"/>
      <c r="E166" s="23"/>
      <c r="F166" s="23"/>
      <c r="G166" s="23"/>
      <c r="H166" s="23"/>
      <c r="I166" s="272"/>
    </row>
    <row r="167" spans="1:9" ht="17.25" customHeight="1" thickBot="1">
      <c r="A167" s="270"/>
      <c r="B167" s="64"/>
      <c r="C167" s="65" t="s">
        <v>32</v>
      </c>
      <c r="D167" s="66"/>
      <c r="E167" s="66"/>
      <c r="F167" s="84" t="s">
        <v>33</v>
      </c>
      <c r="G167" s="84"/>
      <c r="H167" s="24"/>
      <c r="I167" s="272"/>
    </row>
    <row r="168" spans="1:9" ht="17.25" customHeight="1" thickTop="1">
      <c r="A168" s="270"/>
      <c r="B168" s="67"/>
      <c r="C168" s="58" t="s">
        <v>34</v>
      </c>
      <c r="D168" s="68"/>
      <c r="E168" s="68"/>
      <c r="F168" s="69"/>
      <c r="G168" s="70" cm="1">
        <f t="array" ref="G168">INDEX(Total!$K$8:$K$1002,MATCH($C156&amp;$G156,Total!$D$8:$D$1002&amp;Total!$E$8:$E$1002,0))</f>
        <v>10200</v>
      </c>
      <c r="H168" s="25"/>
      <c r="I168" s="272"/>
    </row>
    <row r="169" spans="1:9" ht="16.5" customHeight="1">
      <c r="A169" s="270"/>
      <c r="B169" s="67"/>
      <c r="C169" s="61" t="s">
        <v>35</v>
      </c>
      <c r="D169" s="26"/>
      <c r="E169" s="26"/>
      <c r="F169" s="27"/>
      <c r="G169" s="71" cm="1">
        <f t="array" ref="G169">INDEX(Total!$AH$8:$AH$1002,MATCH($C156&amp;$G156,Total!$D$8:$D$1002&amp;Total!$E$8:$E$1002,0))</f>
        <v>18102</v>
      </c>
      <c r="H169" s="28"/>
      <c r="I169" s="272"/>
    </row>
    <row r="170" spans="1:9" ht="16.5" customHeight="1">
      <c r="A170" s="270"/>
      <c r="B170" s="67"/>
      <c r="C170" s="61" t="s">
        <v>36</v>
      </c>
      <c r="D170" s="29"/>
      <c r="E170" s="29"/>
      <c r="F170" s="27"/>
      <c r="G170" s="71" cm="1">
        <f t="array" ref="G170">INDEX(Total!$N$8:$N$1002,MATCH($C156&amp;$G156,Total!$D$8:$D$1002&amp;Total!$E$8:$E$1002,0))</f>
        <v>7442.1</v>
      </c>
      <c r="H170" s="28"/>
      <c r="I170" s="272"/>
    </row>
    <row r="171" spans="1:9" ht="16.5" customHeight="1">
      <c r="A171" s="270"/>
      <c r="B171" s="67"/>
      <c r="C171" s="61" t="s">
        <v>37</v>
      </c>
      <c r="D171" s="30"/>
      <c r="E171" s="30"/>
      <c r="F171" s="27"/>
      <c r="G171" s="71" cm="1">
        <f t="array" ref="G171">INDEX(Total!$P$8:$P$1002,MATCH($C156&amp;$G156,Total!$D$8:$D$1002&amp;Total!$E$8:$E$1002,0))</f>
        <v>0</v>
      </c>
      <c r="H171" s="28"/>
      <c r="I171" s="272"/>
    </row>
    <row r="172" spans="1:9" ht="16.5" customHeight="1">
      <c r="A172" s="270"/>
      <c r="B172" s="67"/>
      <c r="C172" s="61" t="s">
        <v>38</v>
      </c>
      <c r="D172" s="30"/>
      <c r="E172" s="30"/>
      <c r="F172" s="27"/>
      <c r="G172" s="71" cm="1">
        <f t="array" ref="G172">INDEX(Total!$S$8:$S$1002,MATCH($C156&amp;$G156,Total!$D$8:$D$1002&amp;Total!$E$8:$E$1002,0))</f>
        <v>0</v>
      </c>
      <c r="H172" s="28"/>
      <c r="I172" s="272"/>
    </row>
    <row r="173" spans="1:9" ht="16.5" customHeight="1">
      <c r="A173" s="270"/>
      <c r="B173" s="67"/>
      <c r="C173" s="61" t="s">
        <v>39</v>
      </c>
      <c r="D173" s="26" t="s">
        <v>4</v>
      </c>
      <c r="E173" s="26"/>
      <c r="F173" s="27"/>
      <c r="G173" s="71" cm="1">
        <f t="array" ref="G173">INDEX(Total!$T$8:$T$1002,MATCH($C156&amp;$G156,Total!$D$8:$D$1002&amp;Total!$E$8:$E$1002,0))</f>
        <v>160</v>
      </c>
      <c r="H173" s="28"/>
      <c r="I173" s="272"/>
    </row>
    <row r="174" spans="1:9" ht="16.5" customHeight="1">
      <c r="A174" s="270"/>
      <c r="B174" s="67"/>
      <c r="C174" s="61" t="s">
        <v>40</v>
      </c>
      <c r="D174" s="30"/>
      <c r="E174" s="30"/>
      <c r="F174" s="27"/>
      <c r="G174" s="71" cm="1">
        <f t="array" ref="G174">INDEX(Total!$W$8:$W$1002,MATCH($C156&amp;$G156,Total!$D$8:$D$1002&amp;Total!$E$8:$E$1002,0))</f>
        <v>0</v>
      </c>
      <c r="H174" s="28"/>
      <c r="I174" s="272"/>
    </row>
    <row r="175" spans="1:9" ht="16.5" customHeight="1">
      <c r="A175" s="270"/>
      <c r="B175" s="67"/>
      <c r="C175" s="61" t="s">
        <v>41</v>
      </c>
      <c r="D175" s="30"/>
      <c r="E175" s="30"/>
      <c r="F175" s="27"/>
      <c r="G175" s="71" cm="1">
        <f t="array" ref="G175">INDEX(Total!$U$8:$U$1002,MATCH($C156&amp;$G156,Total!$D$8:$D$1002&amp;Total!$E$8:$E$1002,0))</f>
        <v>0</v>
      </c>
      <c r="H175" s="28"/>
      <c r="I175" s="272"/>
    </row>
    <row r="176" spans="1:9" ht="17.25" customHeight="1" thickBot="1">
      <c r="A176" s="270"/>
      <c r="B176" s="67"/>
      <c r="C176" s="72" t="s">
        <v>42</v>
      </c>
      <c r="D176" s="31"/>
      <c r="E176" s="31"/>
      <c r="F176" s="32"/>
      <c r="G176" s="73" cm="1">
        <f t="array" ref="G176">-INDEX(Total!$Z$8:$Z$1002,MATCH($C156&amp;$G156,Total!$D$8:$D$1002&amp;Total!$E$8:$E$1002,0))</f>
        <v>0</v>
      </c>
      <c r="H176" s="33"/>
      <c r="I176" s="272"/>
    </row>
    <row r="177" spans="1:10" ht="18" customHeight="1" thickTop="1" thickBot="1">
      <c r="A177" s="270"/>
      <c r="B177" s="74"/>
      <c r="C177" s="75"/>
      <c r="D177" s="34"/>
      <c r="E177" s="35" t="s">
        <v>43</v>
      </c>
      <c r="F177" s="274">
        <f>SUM($G168:$G176)</f>
        <v>35904.1</v>
      </c>
      <c r="G177" s="274"/>
      <c r="H177" s="36"/>
      <c r="I177" s="272"/>
      <c r="J177" s="37" cm="1">
        <f t="array" ref="J177">INDEX(Total!$AJ$8:$AJ$1002,MATCH($C156&amp;$G156,Total!$D$8:$D$1002&amp;Total!$E$8:$E$1002,0))</f>
        <v>18102.099999999999</v>
      </c>
    </row>
    <row r="178" spans="1:10" ht="16.5" customHeight="1">
      <c r="A178" s="270"/>
      <c r="B178" s="54"/>
      <c r="C178" s="54"/>
      <c r="D178" s="54"/>
      <c r="E178" s="54"/>
      <c r="F178" s="262"/>
      <c r="G178" s="263"/>
      <c r="H178" s="9"/>
      <c r="I178" s="272"/>
    </row>
    <row r="179" spans="1:10" ht="16.5" customHeight="1">
      <c r="A179" s="270"/>
      <c r="B179" s="76" t="s">
        <v>44</v>
      </c>
      <c r="C179" s="54"/>
      <c r="D179" s="54"/>
      <c r="E179" s="54"/>
      <c r="F179" s="263"/>
      <c r="G179" s="263"/>
      <c r="H179" s="9"/>
      <c r="I179" s="272"/>
    </row>
    <row r="180" spans="1:10" ht="16.5" customHeight="1">
      <c r="A180" s="270"/>
      <c r="B180" s="76" t="s">
        <v>45</v>
      </c>
      <c r="C180" s="54"/>
      <c r="D180" s="264"/>
      <c r="E180" s="264"/>
      <c r="F180" s="263"/>
      <c r="G180" s="263"/>
      <c r="H180" s="9"/>
      <c r="I180" s="272"/>
    </row>
    <row r="181" spans="1:10" ht="16.5" customHeight="1">
      <c r="A181" s="270"/>
      <c r="B181" s="76" t="s">
        <v>46</v>
      </c>
      <c r="C181" s="54"/>
      <c r="D181" s="54"/>
      <c r="E181" s="54"/>
      <c r="F181" s="54"/>
      <c r="G181" s="54"/>
      <c r="H181" s="9"/>
      <c r="I181" s="272"/>
    </row>
    <row r="182" spans="1:10" ht="16.5" customHeight="1">
      <c r="A182" s="270"/>
      <c r="B182" s="77"/>
      <c r="C182" s="7"/>
      <c r="D182" s="78"/>
      <c r="E182" s="265" t="s">
        <v>47</v>
      </c>
      <c r="F182" s="265"/>
      <c r="G182" s="79"/>
      <c r="H182" s="38"/>
      <c r="I182" s="272"/>
    </row>
    <row r="183" spans="1:10" ht="16.5" customHeight="1">
      <c r="A183" s="270"/>
      <c r="B183" s="7"/>
      <c r="C183" s="7"/>
      <c r="D183" s="80"/>
      <c r="E183" s="80"/>
      <c r="F183" s="7"/>
      <c r="G183" s="7"/>
      <c r="H183" s="7"/>
      <c r="I183" s="272"/>
    </row>
    <row r="184" spans="1:10" ht="16.5" customHeight="1">
      <c r="A184" s="270"/>
      <c r="B184" s="7"/>
      <c r="C184" s="7"/>
      <c r="D184" s="80"/>
      <c r="E184" s="78"/>
      <c r="F184" s="81" t="s">
        <v>48</v>
      </c>
      <c r="G184" s="82"/>
      <c r="H184" s="39"/>
      <c r="I184" s="272"/>
    </row>
    <row r="185" spans="1:10" ht="16.5" customHeight="1"/>
    <row r="186" spans="1:10">
      <c r="A186" s="266"/>
      <c r="B186" s="266"/>
      <c r="C186" s="266"/>
      <c r="D186" s="266"/>
      <c r="E186" s="266"/>
      <c r="F186" s="266"/>
      <c r="G186" s="266"/>
      <c r="H186" s="266"/>
      <c r="I186" s="266"/>
    </row>
    <row r="187" spans="1:10" ht="27.75">
      <c r="A187" s="267" t="s">
        <v>49</v>
      </c>
      <c r="B187" s="267"/>
      <c r="C187" s="267"/>
      <c r="D187" s="267"/>
      <c r="E187" s="267"/>
      <c r="F187" s="267"/>
      <c r="G187" s="267"/>
      <c r="H187" s="267"/>
      <c r="I187" s="267"/>
    </row>
    <row r="188" spans="1:10" ht="27.75">
      <c r="A188" s="267" t="s">
        <v>50</v>
      </c>
      <c r="B188" s="267"/>
      <c r="C188" s="267"/>
      <c r="D188" s="267"/>
      <c r="E188" s="267"/>
      <c r="F188" s="267"/>
      <c r="G188" s="267"/>
      <c r="H188" s="267"/>
      <c r="I188" s="267"/>
    </row>
    <row r="189" spans="1:10">
      <c r="A189" s="268" t="s">
        <v>0</v>
      </c>
      <c r="B189" s="268"/>
      <c r="C189" s="268"/>
      <c r="D189" s="268"/>
      <c r="E189" s="268"/>
      <c r="F189" s="268"/>
      <c r="G189" s="268"/>
      <c r="H189" s="268"/>
      <c r="I189" s="268"/>
    </row>
    <row r="190" spans="1:10">
      <c r="A190" s="269"/>
      <c r="B190" s="269"/>
      <c r="C190" s="269"/>
      <c r="D190" s="269"/>
      <c r="E190" s="269"/>
      <c r="F190" s="269"/>
      <c r="G190" s="269"/>
      <c r="H190" s="269"/>
      <c r="I190" s="269"/>
    </row>
    <row r="191" spans="1:10" ht="21" thickBot="1">
      <c r="A191" s="270"/>
      <c r="B191" s="271" t="s">
        <v>62</v>
      </c>
      <c r="C191" s="271"/>
      <c r="D191" s="271"/>
      <c r="E191" s="271"/>
      <c r="F191" s="271"/>
      <c r="G191" s="271"/>
      <c r="H191" s="271"/>
      <c r="I191" s="272"/>
    </row>
    <row r="192" spans="1:10" ht="17.25" customHeight="1" thickTop="1">
      <c r="A192" s="270"/>
      <c r="B192" s="273"/>
      <c r="C192" s="273"/>
      <c r="D192" s="273"/>
      <c r="E192" s="273"/>
      <c r="F192" s="273"/>
      <c r="G192" s="273"/>
      <c r="H192" s="5"/>
      <c r="I192" s="272"/>
    </row>
    <row r="193" spans="1:9" ht="16.5" customHeight="1">
      <c r="A193" s="270"/>
      <c r="B193" s="51" t="s">
        <v>20</v>
      </c>
      <c r="C193" s="6" t="str">
        <f>Total!$D$25</f>
        <v>Yeung Kwai Lin</v>
      </c>
      <c r="D193" s="6" t="str" cm="1">
        <f t="array" ref="D193">INDEX(Total!$C$8:$C$1002,MATCH($C193&amp;$G193,Total!$D$8:$D$1002&amp;Total!$E$8:$E$1002,0))</f>
        <v>Daisy</v>
      </c>
      <c r="E193" s="52"/>
      <c r="F193" s="53" t="s">
        <v>21</v>
      </c>
      <c r="G193" s="6" t="str">
        <f>Total!$E$25</f>
        <v>Autopay</v>
      </c>
      <c r="H193" s="6"/>
      <c r="I193" s="272"/>
    </row>
    <row r="194" spans="1:9" ht="17.25" customHeight="1" thickBot="1">
      <c r="A194" s="270"/>
      <c r="B194" s="54"/>
      <c r="C194" s="54"/>
      <c r="D194" s="54"/>
      <c r="E194" s="7"/>
      <c r="F194" s="8"/>
      <c r="G194" s="9"/>
      <c r="H194" s="9"/>
      <c r="I194" s="272"/>
    </row>
    <row r="195" spans="1:9" ht="17.25" customHeight="1" thickBot="1">
      <c r="A195" s="270"/>
      <c r="B195" s="83" t="s">
        <v>22</v>
      </c>
      <c r="C195" s="56"/>
      <c r="D195" s="55"/>
      <c r="E195" s="56" t="s">
        <v>23</v>
      </c>
      <c r="F195" s="57"/>
      <c r="G195" s="9"/>
      <c r="H195" s="9"/>
      <c r="I195" s="272"/>
    </row>
    <row r="196" spans="1:9" ht="17.25" customHeight="1" thickTop="1">
      <c r="A196" s="270"/>
      <c r="B196" s="58" t="s">
        <v>24</v>
      </c>
      <c r="C196" s="10"/>
      <c r="D196" s="59"/>
      <c r="E196" s="60" t="s">
        <v>25</v>
      </c>
      <c r="F196" s="11"/>
      <c r="G196" s="9"/>
      <c r="H196" s="9"/>
      <c r="I196" s="272"/>
    </row>
    <row r="197" spans="1:9" ht="16.5" customHeight="1">
      <c r="A197" s="270"/>
      <c r="B197" s="61" t="s">
        <v>26</v>
      </c>
      <c r="C197" s="12"/>
      <c r="D197" s="13"/>
      <c r="E197" s="14" t="str" cm="1">
        <f t="array" ref="E197">INDEX(Total!$F$8:$F$1002,MATCH($C193&amp;$G193,Total!$D$8:$D$1002&amp;Total!$E$8:$E$1002,0))</f>
        <v>TM Suning</v>
      </c>
      <c r="F197" s="15"/>
      <c r="G197" s="9"/>
      <c r="H197" s="9"/>
      <c r="I197" s="272"/>
    </row>
    <row r="198" spans="1:9" ht="16.5" customHeight="1">
      <c r="A198" s="270"/>
      <c r="B198" s="61" t="s">
        <v>27</v>
      </c>
      <c r="C198" s="16"/>
      <c r="D198" s="13"/>
      <c r="E198" s="40" t="str" cm="1">
        <f t="array" ref="E198">INDEX(Total!$G$8:$G$1002,MATCH($C193&amp;$G193,Total!$D$8:$D$1002&amp;Total!$E$8:$E$1002,0))</f>
        <v>Mar/1-4,7-10,14-18,20-25,28-31</v>
      </c>
      <c r="F198" s="15"/>
      <c r="G198" s="9"/>
      <c r="H198" s="9"/>
      <c r="I198" s="272"/>
    </row>
    <row r="199" spans="1:9" ht="16.5" customHeight="1">
      <c r="A199" s="270"/>
      <c r="B199" s="61" t="s">
        <v>28</v>
      </c>
      <c r="C199" s="16"/>
      <c r="D199" s="13"/>
      <c r="E199" s="62" cm="1">
        <f t="array" ref="E199">INDEX(Total!$H$8:$H$1002,MATCH($C193&amp;$G193,Total!$D$8:$D$1002&amp;Total!$E$8:$E$1002,0))</f>
        <v>23</v>
      </c>
      <c r="F199" s="15"/>
      <c r="G199" s="8"/>
      <c r="H199" s="8"/>
      <c r="I199" s="272"/>
    </row>
    <row r="200" spans="1:9" ht="16.5" customHeight="1">
      <c r="A200" s="270"/>
      <c r="B200" s="61" t="s">
        <v>29</v>
      </c>
      <c r="C200" s="12"/>
      <c r="D200" s="17"/>
      <c r="E200" s="62" cm="1">
        <f t="array" ref="E200">INDEX(Total!$I$8:$I$1002,MATCH($C193&amp;$G193,Total!$D$8:$D$1002&amp;Total!$E$8:$E$1002,0))</f>
        <v>184</v>
      </c>
      <c r="F200" s="18"/>
      <c r="G200" s="8"/>
      <c r="H200" s="8"/>
      <c r="I200" s="272"/>
    </row>
    <row r="201" spans="1:9" ht="16.5" customHeight="1">
      <c r="A201" s="270"/>
      <c r="B201" s="61" t="s">
        <v>30</v>
      </c>
      <c r="C201" s="12"/>
      <c r="D201" s="17"/>
      <c r="E201" s="62" cm="1">
        <f t="array" ref="E201">INDEX(Total!$J$8:$J$1002,MATCH($C193&amp;$G193,Total!$D$8:$D$1002&amp;Total!$E$8:$E$1002,0))</f>
        <v>60</v>
      </c>
      <c r="F201" s="18"/>
      <c r="G201" s="8"/>
      <c r="H201" s="8"/>
      <c r="I201" s="272"/>
    </row>
    <row r="202" spans="1:9" ht="17.25" customHeight="1" thickBot="1">
      <c r="A202" s="270"/>
      <c r="B202" s="63" t="s">
        <v>31</v>
      </c>
      <c r="C202" s="19"/>
      <c r="D202" s="20"/>
      <c r="E202" s="41" cm="1">
        <f t="array" ref="E202">INDEX(Total!$L$8:$L$1002,MATCH($C193&amp;$G193,Total!$D$8:$D$1002&amp;Total!$E$8:$E$1002,0))</f>
        <v>335290</v>
      </c>
      <c r="F202" s="21"/>
      <c r="G202" s="22"/>
      <c r="H202" s="22"/>
      <c r="I202" s="272"/>
    </row>
    <row r="203" spans="1:9" ht="17.25" customHeight="1" thickBot="1">
      <c r="A203" s="270"/>
      <c r="B203" s="23"/>
      <c r="C203" s="23"/>
      <c r="D203" s="23"/>
      <c r="E203" s="23"/>
      <c r="F203" s="23"/>
      <c r="G203" s="23"/>
      <c r="H203" s="23"/>
      <c r="I203" s="272"/>
    </row>
    <row r="204" spans="1:9" ht="17.25" customHeight="1" thickBot="1">
      <c r="A204" s="270"/>
      <c r="B204" s="64"/>
      <c r="C204" s="65" t="s">
        <v>32</v>
      </c>
      <c r="D204" s="66"/>
      <c r="E204" s="66"/>
      <c r="F204" s="84" t="s">
        <v>33</v>
      </c>
      <c r="G204" s="84"/>
      <c r="H204" s="24"/>
      <c r="I204" s="272"/>
    </row>
    <row r="205" spans="1:9" ht="17.25" customHeight="1" thickTop="1">
      <c r="A205" s="270"/>
      <c r="B205" s="67"/>
      <c r="C205" s="58" t="s">
        <v>34</v>
      </c>
      <c r="D205" s="68"/>
      <c r="E205" s="68"/>
      <c r="F205" s="69"/>
      <c r="G205" s="70" cm="1">
        <f t="array" ref="G205">INDEX(Total!$K$8:$K$1002,MATCH($C193&amp;$G193,Total!$D$8:$D$1002&amp;Total!$E$8:$E$1002,0))</f>
        <v>11040</v>
      </c>
      <c r="H205" s="25"/>
      <c r="I205" s="272"/>
    </row>
    <row r="206" spans="1:9" ht="16.5" customHeight="1">
      <c r="A206" s="270"/>
      <c r="B206" s="67"/>
      <c r="C206" s="61" t="s">
        <v>35</v>
      </c>
      <c r="D206" s="26"/>
      <c r="E206" s="26"/>
      <c r="F206" s="27"/>
      <c r="G206" s="71" cm="1">
        <f t="array" ref="G206">INDEX(Total!$AH$8:$AH$1002,MATCH($C193&amp;$G193,Total!$D$8:$D$1002&amp;Total!$E$8:$E$1002,0))</f>
        <v>18146</v>
      </c>
      <c r="H206" s="28"/>
      <c r="I206" s="272"/>
    </row>
    <row r="207" spans="1:9" ht="16.5" customHeight="1">
      <c r="A207" s="270"/>
      <c r="B207" s="67"/>
      <c r="C207" s="61" t="s">
        <v>36</v>
      </c>
      <c r="D207" s="29"/>
      <c r="E207" s="29"/>
      <c r="F207" s="27"/>
      <c r="G207" s="71" cm="1">
        <f t="array" ref="G207">INDEX(Total!$N$8:$N$1002,MATCH($C193&amp;$G193,Total!$D$8:$D$1002&amp;Total!$E$8:$E$1002,0))</f>
        <v>6705.8</v>
      </c>
      <c r="H207" s="28"/>
      <c r="I207" s="272"/>
    </row>
    <row r="208" spans="1:9" ht="16.5" customHeight="1">
      <c r="A208" s="270"/>
      <c r="B208" s="67"/>
      <c r="C208" s="61" t="s">
        <v>37</v>
      </c>
      <c r="D208" s="30"/>
      <c r="E208" s="30"/>
      <c r="F208" s="27"/>
      <c r="G208" s="71" cm="1">
        <f t="array" ref="G208">INDEX(Total!$P$8:$P$1002,MATCH($C193&amp;$G193,Total!$D$8:$D$1002&amp;Total!$E$8:$E$1002,0))</f>
        <v>0</v>
      </c>
      <c r="H208" s="28"/>
      <c r="I208" s="272"/>
    </row>
    <row r="209" spans="1:10" ht="16.5" customHeight="1">
      <c r="A209" s="270"/>
      <c r="B209" s="67"/>
      <c r="C209" s="61" t="s">
        <v>38</v>
      </c>
      <c r="D209" s="30"/>
      <c r="E209" s="30"/>
      <c r="F209" s="27"/>
      <c r="G209" s="71" cm="1">
        <f t="array" ref="G209">INDEX(Total!$S$8:$S$1002,MATCH($C193&amp;$G193,Total!$D$8:$D$1002&amp;Total!$E$8:$E$1002,0))</f>
        <v>0</v>
      </c>
      <c r="H209" s="28"/>
      <c r="I209" s="272"/>
    </row>
    <row r="210" spans="1:10" ht="16.5" customHeight="1">
      <c r="A210" s="270"/>
      <c r="B210" s="67"/>
      <c r="C210" s="61" t="s">
        <v>39</v>
      </c>
      <c r="D210" s="26" t="s">
        <v>4</v>
      </c>
      <c r="E210" s="26"/>
      <c r="F210" s="27"/>
      <c r="G210" s="71" cm="1">
        <f t="array" ref="G210">INDEX(Total!$T$8:$T$1002,MATCH($C193&amp;$G193,Total!$D$8:$D$1002&amp;Total!$E$8:$E$1002,0))</f>
        <v>0</v>
      </c>
      <c r="H210" s="28"/>
      <c r="I210" s="272"/>
    </row>
    <row r="211" spans="1:10" ht="16.5" customHeight="1">
      <c r="A211" s="270"/>
      <c r="B211" s="67"/>
      <c r="C211" s="61" t="s">
        <v>40</v>
      </c>
      <c r="D211" s="30"/>
      <c r="E211" s="30"/>
      <c r="F211" s="27"/>
      <c r="G211" s="71" cm="1">
        <f t="array" ref="G211">INDEX(Total!$W$8:$W$1002,MATCH($C193&amp;$G193,Total!$D$8:$D$1002&amp;Total!$E$8:$E$1002,0))</f>
        <v>0</v>
      </c>
      <c r="H211" s="28"/>
      <c r="I211" s="272"/>
    </row>
    <row r="212" spans="1:10" ht="16.5" customHeight="1">
      <c r="A212" s="270"/>
      <c r="B212" s="67"/>
      <c r="C212" s="61" t="s">
        <v>41</v>
      </c>
      <c r="D212" s="30"/>
      <c r="E212" s="30"/>
      <c r="F212" s="27"/>
      <c r="G212" s="71" cm="1">
        <f t="array" ref="G212">INDEX(Total!$U$8:$U$1002,MATCH($C193&amp;$G193,Total!$D$8:$D$1002&amp;Total!$E$8:$E$1002,0))</f>
        <v>0</v>
      </c>
      <c r="H212" s="28"/>
      <c r="I212" s="272"/>
    </row>
    <row r="213" spans="1:10" ht="17.25" customHeight="1" thickBot="1">
      <c r="A213" s="270"/>
      <c r="B213" s="67"/>
      <c r="C213" s="72" t="s">
        <v>42</v>
      </c>
      <c r="D213" s="31"/>
      <c r="E213" s="31"/>
      <c r="F213" s="32"/>
      <c r="G213" s="73" cm="1">
        <f t="array" ref="G213">-INDEX(Total!$Z$8:$Z$1002,MATCH($C193&amp;$G193,Total!$D$8:$D$1002&amp;Total!$E$8:$E$1002,0))</f>
        <v>0</v>
      </c>
      <c r="H213" s="33"/>
      <c r="I213" s="272"/>
    </row>
    <row r="214" spans="1:10" ht="18" customHeight="1" thickTop="1" thickBot="1">
      <c r="A214" s="270"/>
      <c r="B214" s="74"/>
      <c r="C214" s="75"/>
      <c r="D214" s="34"/>
      <c r="E214" s="35" t="s">
        <v>43</v>
      </c>
      <c r="F214" s="274">
        <f>SUM($G205:$G213)</f>
        <v>35891.800000000003</v>
      </c>
      <c r="G214" s="274"/>
      <c r="H214" s="36"/>
      <c r="I214" s="272"/>
      <c r="J214" s="37" cm="1">
        <f t="array" ref="J214">INDEX(Total!$AJ$8:$AJ$1002,MATCH($C193&amp;$G193,Total!$D$8:$D$1002&amp;Total!$E$8:$E$1002,0))</f>
        <v>18145.8</v>
      </c>
    </row>
    <row r="215" spans="1:10" ht="16.5" customHeight="1">
      <c r="A215" s="270"/>
      <c r="B215" s="54"/>
      <c r="C215" s="54"/>
      <c r="D215" s="54"/>
      <c r="E215" s="54"/>
      <c r="F215" s="262"/>
      <c r="G215" s="263"/>
      <c r="H215" s="9"/>
      <c r="I215" s="272"/>
    </row>
    <row r="216" spans="1:10" ht="16.5" customHeight="1">
      <c r="A216" s="270"/>
      <c r="B216" s="76" t="s">
        <v>44</v>
      </c>
      <c r="C216" s="54"/>
      <c r="D216" s="54"/>
      <c r="E216" s="54"/>
      <c r="F216" s="263"/>
      <c r="G216" s="263"/>
      <c r="H216" s="9"/>
      <c r="I216" s="272"/>
    </row>
    <row r="217" spans="1:10" ht="16.5" customHeight="1">
      <c r="A217" s="270"/>
      <c r="B217" s="76" t="s">
        <v>45</v>
      </c>
      <c r="C217" s="54"/>
      <c r="D217" s="264"/>
      <c r="E217" s="264"/>
      <c r="F217" s="263"/>
      <c r="G217" s="263"/>
      <c r="H217" s="9"/>
      <c r="I217" s="272"/>
    </row>
    <row r="218" spans="1:10" ht="16.5" customHeight="1">
      <c r="A218" s="270"/>
      <c r="B218" s="76" t="s">
        <v>46</v>
      </c>
      <c r="C218" s="54"/>
      <c r="D218" s="54"/>
      <c r="E218" s="54"/>
      <c r="F218" s="54"/>
      <c r="G218" s="54"/>
      <c r="H218" s="9"/>
      <c r="I218" s="272"/>
    </row>
    <row r="219" spans="1:10" ht="16.5" customHeight="1">
      <c r="A219" s="270"/>
      <c r="B219" s="77"/>
      <c r="C219" s="7"/>
      <c r="D219" s="78"/>
      <c r="E219" s="265" t="s">
        <v>47</v>
      </c>
      <c r="F219" s="265"/>
      <c r="G219" s="79"/>
      <c r="H219" s="38"/>
      <c r="I219" s="272"/>
    </row>
    <row r="220" spans="1:10" ht="16.5" customHeight="1">
      <c r="A220" s="270"/>
      <c r="B220" s="7"/>
      <c r="C220" s="7"/>
      <c r="D220" s="80"/>
      <c r="E220" s="80"/>
      <c r="F220" s="7"/>
      <c r="G220" s="7"/>
      <c r="H220" s="7"/>
      <c r="I220" s="272"/>
    </row>
    <row r="221" spans="1:10" ht="16.5" customHeight="1">
      <c r="A221" s="270"/>
      <c r="B221" s="7"/>
      <c r="C221" s="7"/>
      <c r="D221" s="80"/>
      <c r="E221" s="78"/>
      <c r="F221" s="81" t="s">
        <v>48</v>
      </c>
      <c r="G221" s="82"/>
      <c r="H221" s="39"/>
      <c r="I221" s="272"/>
    </row>
    <row r="222" spans="1:10" ht="16.5" customHeight="1"/>
    <row r="223" spans="1:10">
      <c r="A223" s="266"/>
      <c r="B223" s="266"/>
      <c r="C223" s="266"/>
      <c r="D223" s="266"/>
      <c r="E223" s="266"/>
      <c r="F223" s="266"/>
      <c r="G223" s="266"/>
      <c r="H223" s="266"/>
      <c r="I223" s="266"/>
    </row>
    <row r="224" spans="1:10" ht="27.75">
      <c r="A224" s="267" t="s">
        <v>49</v>
      </c>
      <c r="B224" s="267"/>
      <c r="C224" s="267"/>
      <c r="D224" s="267"/>
      <c r="E224" s="267"/>
      <c r="F224" s="267"/>
      <c r="G224" s="267"/>
      <c r="H224" s="267"/>
      <c r="I224" s="267"/>
    </row>
    <row r="225" spans="1:9" ht="27.75">
      <c r="A225" s="267" t="s">
        <v>50</v>
      </c>
      <c r="B225" s="267"/>
      <c r="C225" s="267"/>
      <c r="D225" s="267"/>
      <c r="E225" s="267"/>
      <c r="F225" s="267"/>
      <c r="G225" s="267"/>
      <c r="H225" s="267"/>
      <c r="I225" s="267"/>
    </row>
    <row r="226" spans="1:9">
      <c r="A226" s="268" t="s">
        <v>0</v>
      </c>
      <c r="B226" s="268"/>
      <c r="C226" s="268"/>
      <c r="D226" s="268"/>
      <c r="E226" s="268"/>
      <c r="F226" s="268"/>
      <c r="G226" s="268"/>
      <c r="H226" s="268"/>
      <c r="I226" s="268"/>
    </row>
    <row r="227" spans="1:9">
      <c r="A227" s="269"/>
      <c r="B227" s="269"/>
      <c r="C227" s="269"/>
      <c r="D227" s="269"/>
      <c r="E227" s="269"/>
      <c r="F227" s="269"/>
      <c r="G227" s="269"/>
      <c r="H227" s="269"/>
      <c r="I227" s="269"/>
    </row>
    <row r="228" spans="1:9" ht="21" thickBot="1">
      <c r="A228" s="270"/>
      <c r="B228" s="271" t="s">
        <v>62</v>
      </c>
      <c r="C228" s="271"/>
      <c r="D228" s="271"/>
      <c r="E228" s="271"/>
      <c r="F228" s="271"/>
      <c r="G228" s="271"/>
      <c r="H228" s="271"/>
      <c r="I228" s="272"/>
    </row>
    <row r="229" spans="1:9" ht="17.25" customHeight="1" thickTop="1">
      <c r="A229" s="270"/>
      <c r="B229" s="273"/>
      <c r="C229" s="273"/>
      <c r="D229" s="273"/>
      <c r="E229" s="273"/>
      <c r="F229" s="273"/>
      <c r="G229" s="273"/>
      <c r="H229" s="5"/>
      <c r="I229" s="272"/>
    </row>
    <row r="230" spans="1:9" ht="16.5" customHeight="1">
      <c r="A230" s="270"/>
      <c r="B230" s="51" t="s">
        <v>20</v>
      </c>
      <c r="C230" s="6" t="str">
        <f>Total!$D$26</f>
        <v>Tam Wing Lam</v>
      </c>
      <c r="D230" s="6" t="str" cm="1">
        <f t="array" ref="D230">INDEX(Total!$C$8:$C$1002,MATCH($C230&amp;$G230,Total!$D$8:$D$1002&amp;Total!$E$8:$E$1002,0))</f>
        <v>Pam</v>
      </c>
      <c r="E230" s="52"/>
      <c r="F230" s="53" t="s">
        <v>21</v>
      </c>
      <c r="G230" s="6" t="str">
        <f>Total!$E$26</f>
        <v>Autopay</v>
      </c>
      <c r="H230" s="6"/>
      <c r="I230" s="272"/>
    </row>
    <row r="231" spans="1:9" ht="17.25" customHeight="1" thickBot="1">
      <c r="A231" s="270"/>
      <c r="B231" s="54"/>
      <c r="C231" s="54"/>
      <c r="D231" s="54"/>
      <c r="E231" s="7"/>
      <c r="F231" s="8"/>
      <c r="G231" s="9"/>
      <c r="H231" s="9"/>
      <c r="I231" s="272"/>
    </row>
    <row r="232" spans="1:9" ht="17.25" customHeight="1" thickBot="1">
      <c r="A232" s="270"/>
      <c r="B232" s="83" t="s">
        <v>22</v>
      </c>
      <c r="C232" s="56"/>
      <c r="D232" s="55"/>
      <c r="E232" s="56" t="s">
        <v>23</v>
      </c>
      <c r="F232" s="57"/>
      <c r="G232" s="9"/>
      <c r="H232" s="9"/>
      <c r="I232" s="272"/>
    </row>
    <row r="233" spans="1:9" ht="17.25" customHeight="1" thickTop="1">
      <c r="A233" s="270"/>
      <c r="B233" s="58" t="s">
        <v>24</v>
      </c>
      <c r="C233" s="10"/>
      <c r="D233" s="59"/>
      <c r="E233" s="60" t="s">
        <v>25</v>
      </c>
      <c r="F233" s="11"/>
      <c r="G233" s="9"/>
      <c r="H233" s="9"/>
      <c r="I233" s="272"/>
    </row>
    <row r="234" spans="1:9" ht="16.5" customHeight="1">
      <c r="A234" s="270"/>
      <c r="B234" s="61" t="s">
        <v>26</v>
      </c>
      <c r="C234" s="12"/>
      <c r="D234" s="13"/>
      <c r="E234" s="14" t="str" cm="1">
        <f t="array" ref="E234">INDEX(Total!$F$8:$F$1002,MATCH($C230&amp;$G230,Total!$D$8:$D$1002&amp;Total!$E$8:$E$1002,0))</f>
        <v>Mos_1 Citistore</v>
      </c>
      <c r="F234" s="15"/>
      <c r="G234" s="9"/>
      <c r="H234" s="9"/>
      <c r="I234" s="272"/>
    </row>
    <row r="235" spans="1:9" ht="16.5" customHeight="1">
      <c r="A235" s="270"/>
      <c r="B235" s="61" t="s">
        <v>27</v>
      </c>
      <c r="C235" s="16"/>
      <c r="D235" s="13"/>
      <c r="E235" s="40" t="str" cm="1">
        <f t="array" ref="E235">INDEX(Total!$G$8:$G$1002,MATCH($C230&amp;$G230,Total!$D$8:$D$1002&amp;Total!$E$8:$E$1002,0))</f>
        <v>Mar/1,3-5,7-10,12-16,18,24-26,28-31</v>
      </c>
      <c r="F235" s="15"/>
      <c r="G235" s="9"/>
      <c r="H235" s="9"/>
      <c r="I235" s="272"/>
    </row>
    <row r="236" spans="1:9" ht="16.5" customHeight="1">
      <c r="A236" s="270"/>
      <c r="B236" s="61" t="s">
        <v>28</v>
      </c>
      <c r="C236" s="16"/>
      <c r="D236" s="13"/>
      <c r="E236" s="62" cm="1">
        <f t="array" ref="E236">INDEX(Total!$H$8:$H$1002,MATCH($C230&amp;$G230,Total!$D$8:$D$1002&amp;Total!$E$8:$E$1002,0))</f>
        <v>21</v>
      </c>
      <c r="F236" s="15"/>
      <c r="G236" s="8"/>
      <c r="H236" s="8"/>
      <c r="I236" s="272"/>
    </row>
    <row r="237" spans="1:9" ht="16.5" customHeight="1">
      <c r="A237" s="270"/>
      <c r="B237" s="61" t="s">
        <v>29</v>
      </c>
      <c r="C237" s="12"/>
      <c r="D237" s="17"/>
      <c r="E237" s="62" cm="1">
        <f t="array" ref="E237">INDEX(Total!$I$8:$I$1002,MATCH($C230&amp;$G230,Total!$D$8:$D$1002&amp;Total!$E$8:$E$1002,0))</f>
        <v>168</v>
      </c>
      <c r="F237" s="18"/>
      <c r="G237" s="8"/>
      <c r="H237" s="8"/>
      <c r="I237" s="272"/>
    </row>
    <row r="238" spans="1:9" ht="16.5" customHeight="1">
      <c r="A238" s="270"/>
      <c r="B238" s="61" t="s">
        <v>30</v>
      </c>
      <c r="C238" s="12"/>
      <c r="D238" s="17"/>
      <c r="E238" s="62" cm="1">
        <f t="array" ref="E238">INDEX(Total!$J$8:$J$1002,MATCH($C230&amp;$G230,Total!$D$8:$D$1002&amp;Total!$E$8:$E$1002,0))</f>
        <v>55</v>
      </c>
      <c r="F238" s="18"/>
      <c r="G238" s="8"/>
      <c r="H238" s="8"/>
      <c r="I238" s="272"/>
    </row>
    <row r="239" spans="1:9" ht="17.25" customHeight="1" thickBot="1">
      <c r="A239" s="270"/>
      <c r="B239" s="63" t="s">
        <v>31</v>
      </c>
      <c r="C239" s="19"/>
      <c r="D239" s="20"/>
      <c r="E239" s="41" cm="1">
        <f t="array" ref="E239">INDEX(Total!$L$8:$L$1002,MATCH($C230&amp;$G230,Total!$D$8:$D$1002&amp;Total!$E$8:$E$1002,0))</f>
        <v>119202.6</v>
      </c>
      <c r="F239" s="21"/>
      <c r="G239" s="22"/>
      <c r="H239" s="22"/>
      <c r="I239" s="272"/>
    </row>
    <row r="240" spans="1:9" ht="17.25" customHeight="1" thickBot="1">
      <c r="A240" s="270"/>
      <c r="B240" s="23"/>
      <c r="C240" s="23"/>
      <c r="D240" s="23"/>
      <c r="E240" s="23"/>
      <c r="F240" s="23"/>
      <c r="G240" s="23"/>
      <c r="H240" s="23"/>
      <c r="I240" s="272"/>
    </row>
    <row r="241" spans="1:10" ht="17.25" customHeight="1" thickBot="1">
      <c r="A241" s="270"/>
      <c r="B241" s="64"/>
      <c r="C241" s="65" t="s">
        <v>32</v>
      </c>
      <c r="D241" s="66"/>
      <c r="E241" s="66"/>
      <c r="F241" s="84" t="s">
        <v>33</v>
      </c>
      <c r="G241" s="84"/>
      <c r="H241" s="24"/>
      <c r="I241" s="272"/>
    </row>
    <row r="242" spans="1:10" ht="17.25" customHeight="1" thickTop="1">
      <c r="A242" s="270"/>
      <c r="B242" s="67"/>
      <c r="C242" s="58" t="s">
        <v>34</v>
      </c>
      <c r="D242" s="68"/>
      <c r="E242" s="68"/>
      <c r="F242" s="69"/>
      <c r="G242" s="70" cm="1">
        <f t="array" ref="G242">INDEX(Total!$K$8:$K$1002,MATCH($C230&amp;$G230,Total!$D$8:$D$1002&amp;Total!$E$8:$E$1002,0))</f>
        <v>9240</v>
      </c>
      <c r="H242" s="25"/>
      <c r="I242" s="272"/>
    </row>
    <row r="243" spans="1:10" ht="16.5" customHeight="1">
      <c r="A243" s="270"/>
      <c r="B243" s="67"/>
      <c r="C243" s="61" t="s">
        <v>35</v>
      </c>
      <c r="D243" s="26"/>
      <c r="E243" s="26"/>
      <c r="F243" s="27"/>
      <c r="G243" s="71" cm="1">
        <f t="array" ref="G243">INDEX(Total!$AH$8:$AH$1002,MATCH($C230&amp;$G230,Total!$D$8:$D$1002&amp;Total!$E$8:$E$1002,0))</f>
        <v>11624</v>
      </c>
      <c r="H243" s="28"/>
      <c r="I243" s="272"/>
    </row>
    <row r="244" spans="1:10" ht="16.5" customHeight="1">
      <c r="A244" s="270"/>
      <c r="B244" s="67"/>
      <c r="C244" s="61" t="s">
        <v>36</v>
      </c>
      <c r="D244" s="29"/>
      <c r="E244" s="29"/>
      <c r="F244" s="27"/>
      <c r="G244" s="71" cm="1">
        <f t="array" ref="G244">INDEX(Total!$N$8:$N$1002,MATCH($C230&amp;$G230,Total!$D$8:$D$1002&amp;Total!$E$8:$E$1002,0))</f>
        <v>2384.0520000000001</v>
      </c>
      <c r="H244" s="28"/>
      <c r="I244" s="272"/>
    </row>
    <row r="245" spans="1:10" ht="16.5" customHeight="1">
      <c r="A245" s="270"/>
      <c r="B245" s="67"/>
      <c r="C245" s="61" t="s">
        <v>37</v>
      </c>
      <c r="D245" s="30"/>
      <c r="E245" s="30"/>
      <c r="F245" s="27"/>
      <c r="G245" s="71" cm="1">
        <f t="array" ref="G245">INDEX(Total!$P$8:$P$1002,MATCH($C230&amp;$G230,Total!$D$8:$D$1002&amp;Total!$E$8:$E$1002,0))</f>
        <v>0</v>
      </c>
      <c r="H245" s="28"/>
      <c r="I245" s="272"/>
    </row>
    <row r="246" spans="1:10" ht="16.5" customHeight="1">
      <c r="A246" s="270"/>
      <c r="B246" s="67"/>
      <c r="C246" s="61" t="s">
        <v>38</v>
      </c>
      <c r="D246" s="30"/>
      <c r="E246" s="30"/>
      <c r="F246" s="27"/>
      <c r="G246" s="71" cm="1">
        <f t="array" ref="G246">INDEX(Total!$S$8:$S$1002,MATCH($C230&amp;$G230,Total!$D$8:$D$1002&amp;Total!$E$8:$E$1002,0))</f>
        <v>0</v>
      </c>
      <c r="H246" s="28"/>
      <c r="I246" s="272"/>
    </row>
    <row r="247" spans="1:10" ht="16.5" customHeight="1">
      <c r="A247" s="270"/>
      <c r="B247" s="67"/>
      <c r="C247" s="61" t="s">
        <v>39</v>
      </c>
      <c r="D247" s="26" t="s">
        <v>4</v>
      </c>
      <c r="E247" s="26"/>
      <c r="F247" s="27"/>
      <c r="G247" s="71" cm="1">
        <f t="array" ref="G247">INDEX(Total!$T$8:$T$1002,MATCH($C230&amp;$G230,Total!$D$8:$D$1002&amp;Total!$E$8:$E$1002,0))</f>
        <v>0</v>
      </c>
      <c r="H247" s="28"/>
      <c r="I247" s="272"/>
    </row>
    <row r="248" spans="1:10" ht="16.5" customHeight="1">
      <c r="A248" s="270"/>
      <c r="B248" s="67"/>
      <c r="C248" s="61" t="s">
        <v>40</v>
      </c>
      <c r="D248" s="30"/>
      <c r="E248" s="30"/>
      <c r="F248" s="27"/>
      <c r="G248" s="71" cm="1">
        <f t="array" ref="G248">INDEX(Total!$W$8:$W$1002,MATCH($C230&amp;$G230,Total!$D$8:$D$1002&amp;Total!$E$8:$E$1002,0))</f>
        <v>0</v>
      </c>
      <c r="H248" s="28"/>
      <c r="I248" s="272"/>
    </row>
    <row r="249" spans="1:10" ht="16.5" customHeight="1">
      <c r="A249" s="270"/>
      <c r="B249" s="67"/>
      <c r="C249" s="61" t="s">
        <v>41</v>
      </c>
      <c r="D249" s="30"/>
      <c r="E249" s="30"/>
      <c r="F249" s="27"/>
      <c r="G249" s="71" cm="1">
        <f t="array" ref="G249">INDEX(Total!$U$8:$U$1002,MATCH($C230&amp;$G230,Total!$D$8:$D$1002&amp;Total!$E$8:$E$1002,0))</f>
        <v>0</v>
      </c>
      <c r="H249" s="28"/>
      <c r="I249" s="272"/>
    </row>
    <row r="250" spans="1:10" ht="17.25" customHeight="1" thickBot="1">
      <c r="A250" s="270"/>
      <c r="B250" s="67"/>
      <c r="C250" s="72" t="s">
        <v>42</v>
      </c>
      <c r="D250" s="31"/>
      <c r="E250" s="31"/>
      <c r="F250" s="32"/>
      <c r="G250" s="73" cm="1">
        <f t="array" ref="G250">-INDEX(Total!$Z$8:$Z$1002,MATCH($C230&amp;$G230,Total!$D$8:$D$1002&amp;Total!$E$8:$E$1002,0))</f>
        <v>0</v>
      </c>
      <c r="H250" s="33"/>
      <c r="I250" s="272"/>
    </row>
    <row r="251" spans="1:10" ht="18" customHeight="1" thickTop="1" thickBot="1">
      <c r="A251" s="270"/>
      <c r="B251" s="74"/>
      <c r="C251" s="75"/>
      <c r="D251" s="34"/>
      <c r="E251" s="35" t="s">
        <v>43</v>
      </c>
      <c r="F251" s="274">
        <f>SUM($G242:$G250)</f>
        <v>23248.052</v>
      </c>
      <c r="G251" s="274"/>
      <c r="H251" s="36"/>
      <c r="I251" s="272"/>
      <c r="J251" s="37" cm="1">
        <f t="array" ref="J251">INDEX(Total!$AJ$8:$AJ$1002,MATCH($C230&amp;$G230,Total!$D$8:$D$1002&amp;Total!$E$8:$E$1002,0))</f>
        <v>11624.052</v>
      </c>
    </row>
    <row r="252" spans="1:10" ht="16.5" customHeight="1">
      <c r="A252" s="270"/>
      <c r="B252" s="54"/>
      <c r="C252" s="54"/>
      <c r="D252" s="54"/>
      <c r="E252" s="54"/>
      <c r="F252" s="262"/>
      <c r="G252" s="263"/>
      <c r="H252" s="9"/>
      <c r="I252" s="272"/>
    </row>
    <row r="253" spans="1:10" ht="16.5" customHeight="1">
      <c r="A253" s="270"/>
      <c r="B253" s="76" t="s">
        <v>44</v>
      </c>
      <c r="C253" s="54"/>
      <c r="D253" s="54"/>
      <c r="E253" s="54"/>
      <c r="F253" s="263"/>
      <c r="G253" s="263"/>
      <c r="H253" s="9"/>
      <c r="I253" s="272"/>
    </row>
    <row r="254" spans="1:10" ht="16.5" customHeight="1">
      <c r="A254" s="270"/>
      <c r="B254" s="76" t="s">
        <v>45</v>
      </c>
      <c r="C254" s="54"/>
      <c r="D254" s="264"/>
      <c r="E254" s="264"/>
      <c r="F254" s="263"/>
      <c r="G254" s="263"/>
      <c r="H254" s="9"/>
      <c r="I254" s="272"/>
    </row>
    <row r="255" spans="1:10" ht="16.5" customHeight="1">
      <c r="A255" s="270"/>
      <c r="B255" s="76" t="s">
        <v>46</v>
      </c>
      <c r="C255" s="54"/>
      <c r="D255" s="54"/>
      <c r="E255" s="54"/>
      <c r="F255" s="54"/>
      <c r="G255" s="54"/>
      <c r="H255" s="9"/>
      <c r="I255" s="272"/>
    </row>
    <row r="256" spans="1:10" ht="16.5" customHeight="1">
      <c r="A256" s="270"/>
      <c r="B256" s="77"/>
      <c r="C256" s="7"/>
      <c r="D256" s="78"/>
      <c r="E256" s="265" t="s">
        <v>47</v>
      </c>
      <c r="F256" s="265"/>
      <c r="G256" s="79"/>
      <c r="H256" s="38"/>
      <c r="I256" s="272"/>
    </row>
    <row r="257" spans="1:9" ht="16.5" customHeight="1">
      <c r="A257" s="270"/>
      <c r="B257" s="7"/>
      <c r="C257" s="7"/>
      <c r="D257" s="80"/>
      <c r="E257" s="80"/>
      <c r="F257" s="7"/>
      <c r="G257" s="7"/>
      <c r="H257" s="7"/>
      <c r="I257" s="272"/>
    </row>
    <row r="258" spans="1:9" ht="16.5" customHeight="1">
      <c r="A258" s="270"/>
      <c r="B258" s="7"/>
      <c r="C258" s="7"/>
      <c r="D258" s="80"/>
      <c r="E258" s="78"/>
      <c r="F258" s="81" t="s">
        <v>48</v>
      </c>
      <c r="G258" s="82"/>
      <c r="H258" s="39"/>
      <c r="I258" s="272"/>
    </row>
    <row r="259" spans="1:9" ht="16.5" customHeight="1"/>
    <row r="260" spans="1:9">
      <c r="A260" s="266"/>
      <c r="B260" s="266"/>
      <c r="C260" s="266"/>
      <c r="D260" s="266"/>
      <c r="E260" s="266"/>
      <c r="F260" s="266"/>
      <c r="G260" s="266"/>
      <c r="H260" s="266"/>
      <c r="I260" s="266"/>
    </row>
    <row r="261" spans="1:9" ht="27.75">
      <c r="A261" s="267" t="s">
        <v>49</v>
      </c>
      <c r="B261" s="267"/>
      <c r="C261" s="267"/>
      <c r="D261" s="267"/>
      <c r="E261" s="267"/>
      <c r="F261" s="267"/>
      <c r="G261" s="267"/>
      <c r="H261" s="267"/>
      <c r="I261" s="267"/>
    </row>
    <row r="262" spans="1:9" ht="27.75">
      <c r="A262" s="267" t="s">
        <v>50</v>
      </c>
      <c r="B262" s="267"/>
      <c r="C262" s="267"/>
      <c r="D262" s="267"/>
      <c r="E262" s="267"/>
      <c r="F262" s="267"/>
      <c r="G262" s="267"/>
      <c r="H262" s="267"/>
      <c r="I262" s="267"/>
    </row>
    <row r="263" spans="1:9">
      <c r="A263" s="268" t="s">
        <v>0</v>
      </c>
      <c r="B263" s="268"/>
      <c r="C263" s="268"/>
      <c r="D263" s="268"/>
      <c r="E263" s="268"/>
      <c r="F263" s="268"/>
      <c r="G263" s="268"/>
      <c r="H263" s="268"/>
      <c r="I263" s="268"/>
    </row>
    <row r="264" spans="1:9">
      <c r="A264" s="269"/>
      <c r="B264" s="269"/>
      <c r="C264" s="269"/>
      <c r="D264" s="269"/>
      <c r="E264" s="269"/>
      <c r="F264" s="269"/>
      <c r="G264" s="269"/>
      <c r="H264" s="269"/>
      <c r="I264" s="269"/>
    </row>
    <row r="265" spans="1:9" ht="21" thickBot="1">
      <c r="A265" s="270"/>
      <c r="B265" s="271" t="s">
        <v>62</v>
      </c>
      <c r="C265" s="271"/>
      <c r="D265" s="271"/>
      <c r="E265" s="271"/>
      <c r="F265" s="271"/>
      <c r="G265" s="271"/>
      <c r="H265" s="271"/>
      <c r="I265" s="272"/>
    </row>
    <row r="266" spans="1:9" ht="17.25" customHeight="1" thickTop="1">
      <c r="A266" s="270"/>
      <c r="B266" s="273"/>
      <c r="C266" s="273"/>
      <c r="D266" s="273"/>
      <c r="E266" s="273"/>
      <c r="F266" s="273"/>
      <c r="G266" s="273"/>
      <c r="H266" s="5"/>
      <c r="I266" s="272"/>
    </row>
    <row r="267" spans="1:9" ht="16.5" customHeight="1">
      <c r="A267" s="270"/>
      <c r="B267" s="51" t="s">
        <v>20</v>
      </c>
      <c r="C267" s="6" t="str">
        <f>Total!$D$27</f>
        <v>Wong Tak Chung</v>
      </c>
      <c r="D267" s="6" t="str" cm="1">
        <f t="array" ref="D267">INDEX(Total!$C$8:$C$1002,MATCH($C267&amp;$G267,Total!$D$8:$D$1002&amp;Total!$E$8:$E$1002,0))</f>
        <v>Tony_4</v>
      </c>
      <c r="E267" s="52"/>
      <c r="F267" s="53" t="s">
        <v>21</v>
      </c>
      <c r="G267" s="6" t="str">
        <f>Total!$E$27</f>
        <v>Autopay</v>
      </c>
      <c r="H267" s="6"/>
      <c r="I267" s="272"/>
    </row>
    <row r="268" spans="1:9" ht="17.25" customHeight="1" thickBot="1">
      <c r="A268" s="270"/>
      <c r="B268" s="54"/>
      <c r="C268" s="54"/>
      <c r="D268" s="54"/>
      <c r="E268" s="7"/>
      <c r="F268" s="8"/>
      <c r="G268" s="9"/>
      <c r="H268" s="9"/>
      <c r="I268" s="272"/>
    </row>
    <row r="269" spans="1:9" ht="17.25" customHeight="1" thickBot="1">
      <c r="A269" s="270"/>
      <c r="B269" s="83" t="s">
        <v>22</v>
      </c>
      <c r="C269" s="56"/>
      <c r="D269" s="55"/>
      <c r="E269" s="56" t="s">
        <v>23</v>
      </c>
      <c r="F269" s="57"/>
      <c r="G269" s="9"/>
      <c r="H269" s="9"/>
      <c r="I269" s="272"/>
    </row>
    <row r="270" spans="1:9" ht="17.25" customHeight="1" thickTop="1">
      <c r="A270" s="270"/>
      <c r="B270" s="58" t="s">
        <v>24</v>
      </c>
      <c r="C270" s="10"/>
      <c r="D270" s="59"/>
      <c r="E270" s="60" t="s">
        <v>25</v>
      </c>
      <c r="F270" s="11"/>
      <c r="G270" s="9"/>
      <c r="H270" s="9"/>
      <c r="I270" s="272"/>
    </row>
    <row r="271" spans="1:9" ht="16.5" customHeight="1">
      <c r="A271" s="270"/>
      <c r="B271" s="61" t="s">
        <v>26</v>
      </c>
      <c r="C271" s="12"/>
      <c r="D271" s="13"/>
      <c r="E271" s="14" t="str" cm="1">
        <f t="array" ref="E271">INDEX(Total!$F$8:$F$1002,MATCH($C267&amp;$G267,Total!$D$8:$D$1002&amp;Total!$E$8:$E$1002,0))</f>
        <v>Mos_2 Citistore</v>
      </c>
      <c r="F271" s="15"/>
      <c r="G271" s="9"/>
      <c r="H271" s="9"/>
      <c r="I271" s="272"/>
    </row>
    <row r="272" spans="1:9" ht="16.5" customHeight="1">
      <c r="A272" s="270"/>
      <c r="B272" s="61" t="s">
        <v>27</v>
      </c>
      <c r="C272" s="16"/>
      <c r="D272" s="13"/>
      <c r="E272" s="40" t="str" cm="1">
        <f t="array" ref="E272">INDEX(Total!$G$8:$G$1002,MATCH($C267&amp;$G267,Total!$D$8:$D$1002&amp;Total!$E$8:$E$1002,0))</f>
        <v>Mar/21-22</v>
      </c>
      <c r="F272" s="15"/>
      <c r="G272" s="9"/>
      <c r="H272" s="9"/>
      <c r="I272" s="272"/>
    </row>
    <row r="273" spans="1:10" ht="16.5" customHeight="1">
      <c r="A273" s="270"/>
      <c r="B273" s="61" t="s">
        <v>28</v>
      </c>
      <c r="C273" s="16"/>
      <c r="D273" s="13"/>
      <c r="E273" s="62" cm="1">
        <f t="array" ref="E273">INDEX(Total!$H$8:$H$1002,MATCH($C267&amp;$G267,Total!$D$8:$D$1002&amp;Total!$E$8:$E$1002,0))</f>
        <v>2</v>
      </c>
      <c r="F273" s="15"/>
      <c r="G273" s="8"/>
      <c r="H273" s="8"/>
      <c r="I273" s="272"/>
    </row>
    <row r="274" spans="1:10" ht="16.5" customHeight="1">
      <c r="A274" s="270"/>
      <c r="B274" s="61" t="s">
        <v>29</v>
      </c>
      <c r="C274" s="12"/>
      <c r="D274" s="17"/>
      <c r="E274" s="62" cm="1">
        <f t="array" ref="E274">INDEX(Total!$I$8:$I$1002,MATCH($C267&amp;$G267,Total!$D$8:$D$1002&amp;Total!$E$8:$E$1002,0))</f>
        <v>16</v>
      </c>
      <c r="F274" s="18"/>
      <c r="G274" s="8"/>
      <c r="H274" s="8"/>
      <c r="I274" s="272"/>
    </row>
    <row r="275" spans="1:10" ht="16.5" customHeight="1">
      <c r="A275" s="270"/>
      <c r="B275" s="61" t="s">
        <v>30</v>
      </c>
      <c r="C275" s="12"/>
      <c r="D275" s="17"/>
      <c r="E275" s="62" cm="1">
        <f t="array" ref="E275">INDEX(Total!$J$8:$J$1002,MATCH($C267&amp;$G267,Total!$D$8:$D$1002&amp;Total!$E$8:$E$1002,0))</f>
        <v>60</v>
      </c>
      <c r="F275" s="18"/>
      <c r="G275" s="8"/>
      <c r="H275" s="8"/>
      <c r="I275" s="272"/>
    </row>
    <row r="276" spans="1:10" ht="17.25" customHeight="1" thickBot="1">
      <c r="A276" s="270"/>
      <c r="B276" s="63" t="s">
        <v>31</v>
      </c>
      <c r="C276" s="19"/>
      <c r="D276" s="20"/>
      <c r="E276" s="41" cm="1">
        <f t="array" ref="E276">INDEX(Total!$L$8:$L$1002,MATCH($C267&amp;$G267,Total!$D$8:$D$1002&amp;Total!$E$8:$E$1002,0))</f>
        <v>17628</v>
      </c>
      <c r="F276" s="21"/>
      <c r="G276" s="22"/>
      <c r="H276" s="22"/>
      <c r="I276" s="272"/>
    </row>
    <row r="277" spans="1:10" ht="17.25" customHeight="1" thickBot="1">
      <c r="A277" s="270"/>
      <c r="B277" s="23"/>
      <c r="C277" s="23"/>
      <c r="D277" s="23"/>
      <c r="E277" s="23"/>
      <c r="F277" s="23"/>
      <c r="G277" s="23"/>
      <c r="H277" s="23"/>
      <c r="I277" s="272"/>
    </row>
    <row r="278" spans="1:10" ht="17.25" customHeight="1" thickBot="1">
      <c r="A278" s="270"/>
      <c r="B278" s="64"/>
      <c r="C278" s="65" t="s">
        <v>32</v>
      </c>
      <c r="D278" s="66"/>
      <c r="E278" s="66"/>
      <c r="F278" s="84" t="s">
        <v>33</v>
      </c>
      <c r="G278" s="84"/>
      <c r="H278" s="24"/>
      <c r="I278" s="272"/>
    </row>
    <row r="279" spans="1:10" ht="17.25" customHeight="1" thickTop="1">
      <c r="A279" s="270"/>
      <c r="B279" s="67"/>
      <c r="C279" s="58" t="s">
        <v>34</v>
      </c>
      <c r="D279" s="68"/>
      <c r="E279" s="68"/>
      <c r="F279" s="69"/>
      <c r="G279" s="70" cm="1">
        <f t="array" ref="G279">INDEX(Total!$K$8:$K$1002,MATCH($C267&amp;$G267,Total!$D$8:$D$1002&amp;Total!$E$8:$E$1002,0))</f>
        <v>960</v>
      </c>
      <c r="H279" s="25"/>
      <c r="I279" s="272"/>
    </row>
    <row r="280" spans="1:10" ht="16.5" customHeight="1">
      <c r="A280" s="270"/>
      <c r="B280" s="67"/>
      <c r="C280" s="61" t="s">
        <v>35</v>
      </c>
      <c r="D280" s="26"/>
      <c r="E280" s="26"/>
      <c r="F280" s="27"/>
      <c r="G280" s="71" cm="1">
        <f t="array" ref="G280">INDEX(Total!$AH$8:$AH$1002,MATCH($C267&amp;$G267,Total!$D$8:$D$1002&amp;Total!$E$8:$E$1002,0))</f>
        <v>1313</v>
      </c>
      <c r="H280" s="28"/>
      <c r="I280" s="272"/>
    </row>
    <row r="281" spans="1:10" ht="16.5" customHeight="1">
      <c r="A281" s="270"/>
      <c r="B281" s="67"/>
      <c r="C281" s="61" t="s">
        <v>36</v>
      </c>
      <c r="D281" s="29"/>
      <c r="E281" s="29"/>
      <c r="F281" s="27"/>
      <c r="G281" s="71" cm="1">
        <f t="array" ref="G281">INDEX(Total!$N$8:$N$1002,MATCH($C267&amp;$G267,Total!$D$8:$D$1002&amp;Total!$E$8:$E$1002,0))</f>
        <v>352.56</v>
      </c>
      <c r="H281" s="28"/>
      <c r="I281" s="272"/>
    </row>
    <row r="282" spans="1:10" ht="16.5" customHeight="1">
      <c r="A282" s="270"/>
      <c r="B282" s="67"/>
      <c r="C282" s="61" t="s">
        <v>37</v>
      </c>
      <c r="D282" s="30"/>
      <c r="E282" s="30"/>
      <c r="F282" s="27"/>
      <c r="G282" s="71" cm="1">
        <f t="array" ref="G282">INDEX(Total!$P$8:$P$1002,MATCH($C267&amp;$G267,Total!$D$8:$D$1002&amp;Total!$E$8:$E$1002,0))</f>
        <v>0</v>
      </c>
      <c r="H282" s="28"/>
      <c r="I282" s="272"/>
    </row>
    <row r="283" spans="1:10" ht="16.5" customHeight="1">
      <c r="A283" s="270"/>
      <c r="B283" s="67"/>
      <c r="C283" s="61" t="s">
        <v>38</v>
      </c>
      <c r="D283" s="30"/>
      <c r="E283" s="30"/>
      <c r="F283" s="27"/>
      <c r="G283" s="71" cm="1">
        <f t="array" ref="G283">INDEX(Total!$S$8:$S$1002,MATCH($C267&amp;$G267,Total!$D$8:$D$1002&amp;Total!$E$8:$E$1002,0))</f>
        <v>0</v>
      </c>
      <c r="H283" s="28"/>
      <c r="I283" s="272"/>
    </row>
    <row r="284" spans="1:10" ht="16.5" customHeight="1">
      <c r="A284" s="270"/>
      <c r="B284" s="67"/>
      <c r="C284" s="61" t="s">
        <v>39</v>
      </c>
      <c r="D284" s="26" t="s">
        <v>4</v>
      </c>
      <c r="E284" s="26"/>
      <c r="F284" s="27"/>
      <c r="G284" s="71" cm="1">
        <f t="array" ref="G284">INDEX(Total!$T$8:$T$1002,MATCH($C267&amp;$G267,Total!$D$8:$D$1002&amp;Total!$E$8:$E$1002,0))</f>
        <v>0</v>
      </c>
      <c r="H284" s="28"/>
      <c r="I284" s="272"/>
    </row>
    <row r="285" spans="1:10" ht="16.5" customHeight="1">
      <c r="A285" s="270"/>
      <c r="B285" s="67"/>
      <c r="C285" s="61" t="s">
        <v>40</v>
      </c>
      <c r="D285" s="30"/>
      <c r="E285" s="30"/>
      <c r="F285" s="27"/>
      <c r="G285" s="71" cm="1">
        <f t="array" ref="G285">INDEX(Total!$W$8:$W$1002,MATCH($C267&amp;$G267,Total!$D$8:$D$1002&amp;Total!$E$8:$E$1002,0))</f>
        <v>0</v>
      </c>
      <c r="H285" s="28"/>
      <c r="I285" s="272"/>
    </row>
    <row r="286" spans="1:10" ht="16.5" customHeight="1">
      <c r="A286" s="270"/>
      <c r="B286" s="67"/>
      <c r="C286" s="61" t="s">
        <v>41</v>
      </c>
      <c r="D286" s="30"/>
      <c r="E286" s="30"/>
      <c r="F286" s="27"/>
      <c r="G286" s="71" cm="1">
        <f t="array" ref="G286">INDEX(Total!$U$8:$U$1002,MATCH($C267&amp;$G267,Total!$D$8:$D$1002&amp;Total!$E$8:$E$1002,0))</f>
        <v>0</v>
      </c>
      <c r="H286" s="28"/>
      <c r="I286" s="272"/>
    </row>
    <row r="287" spans="1:10" ht="17.25" customHeight="1" thickBot="1">
      <c r="A287" s="270"/>
      <c r="B287" s="67"/>
      <c r="C287" s="72" t="s">
        <v>42</v>
      </c>
      <c r="D287" s="31"/>
      <c r="E287" s="31"/>
      <c r="F287" s="32"/>
      <c r="G287" s="73" cm="1">
        <f t="array" ref="G287">-INDEX(Total!$Z$8:$Z$1002,MATCH($C267&amp;$G267,Total!$D$8:$D$1002&amp;Total!$E$8:$E$1002,0))</f>
        <v>0</v>
      </c>
      <c r="H287" s="33"/>
      <c r="I287" s="272"/>
    </row>
    <row r="288" spans="1:10" ht="18" customHeight="1" thickTop="1" thickBot="1">
      <c r="A288" s="270"/>
      <c r="B288" s="74"/>
      <c r="C288" s="75"/>
      <c r="D288" s="34"/>
      <c r="E288" s="35" t="s">
        <v>43</v>
      </c>
      <c r="F288" s="274">
        <f>SUM($G279:$G287)</f>
        <v>2625.56</v>
      </c>
      <c r="G288" s="274"/>
      <c r="H288" s="36"/>
      <c r="I288" s="272"/>
      <c r="J288" s="37" cm="1">
        <f t="array" ref="J288">INDEX(Total!$AJ$8:$AJ$1002,MATCH($C267&amp;$G267,Total!$D$8:$D$1002&amp;Total!$E$8:$E$1002,0))</f>
        <v>1312.56</v>
      </c>
    </row>
    <row r="289" spans="1:9" ht="16.5" customHeight="1">
      <c r="A289" s="270"/>
      <c r="B289" s="54"/>
      <c r="C289" s="54"/>
      <c r="D289" s="54"/>
      <c r="E289" s="54"/>
      <c r="F289" s="262"/>
      <c r="G289" s="263"/>
      <c r="H289" s="9"/>
      <c r="I289" s="272"/>
    </row>
    <row r="290" spans="1:9" ht="16.5" customHeight="1">
      <c r="A290" s="270"/>
      <c r="B290" s="76" t="s">
        <v>44</v>
      </c>
      <c r="C290" s="54"/>
      <c r="D290" s="54"/>
      <c r="E290" s="54"/>
      <c r="F290" s="263"/>
      <c r="G290" s="263"/>
      <c r="H290" s="9"/>
      <c r="I290" s="272"/>
    </row>
    <row r="291" spans="1:9" ht="16.5" customHeight="1">
      <c r="A291" s="270"/>
      <c r="B291" s="76" t="s">
        <v>45</v>
      </c>
      <c r="C291" s="54"/>
      <c r="D291" s="264"/>
      <c r="E291" s="264"/>
      <c r="F291" s="263"/>
      <c r="G291" s="263"/>
      <c r="H291" s="9"/>
      <c r="I291" s="272"/>
    </row>
    <row r="292" spans="1:9" ht="16.5" customHeight="1">
      <c r="A292" s="270"/>
      <c r="B292" s="76" t="s">
        <v>46</v>
      </c>
      <c r="C292" s="54"/>
      <c r="D292" s="54"/>
      <c r="E292" s="54"/>
      <c r="F292" s="54"/>
      <c r="G292" s="54"/>
      <c r="H292" s="9"/>
      <c r="I292" s="272"/>
    </row>
    <row r="293" spans="1:9" ht="16.5" customHeight="1">
      <c r="A293" s="270"/>
      <c r="B293" s="77"/>
      <c r="C293" s="7"/>
      <c r="D293" s="78"/>
      <c r="E293" s="265" t="s">
        <v>47</v>
      </c>
      <c r="F293" s="265"/>
      <c r="G293" s="79"/>
      <c r="H293" s="38"/>
      <c r="I293" s="272"/>
    </row>
    <row r="294" spans="1:9" ht="16.5" customHeight="1">
      <c r="A294" s="270"/>
      <c r="B294" s="7"/>
      <c r="C294" s="7"/>
      <c r="D294" s="80"/>
      <c r="E294" s="80"/>
      <c r="F294" s="7"/>
      <c r="G294" s="7"/>
      <c r="H294" s="7"/>
      <c r="I294" s="272"/>
    </row>
    <row r="295" spans="1:9" ht="16.5" customHeight="1">
      <c r="A295" s="270"/>
      <c r="B295" s="7"/>
      <c r="C295" s="7"/>
      <c r="D295" s="80"/>
      <c r="E295" s="78"/>
      <c r="F295" s="81" t="s">
        <v>48</v>
      </c>
      <c r="G295" s="82"/>
      <c r="H295" s="39"/>
      <c r="I295" s="272"/>
    </row>
    <row r="296" spans="1:9" ht="16.5" customHeight="1"/>
    <row r="297" spans="1:9">
      <c r="A297" s="266"/>
      <c r="B297" s="266"/>
      <c r="C297" s="266"/>
      <c r="D297" s="266"/>
      <c r="E297" s="266"/>
      <c r="F297" s="266"/>
      <c r="G297" s="266"/>
      <c r="H297" s="266"/>
      <c r="I297" s="266"/>
    </row>
    <row r="298" spans="1:9" ht="27.75">
      <c r="A298" s="267" t="s">
        <v>49</v>
      </c>
      <c r="B298" s="267"/>
      <c r="C298" s="267"/>
      <c r="D298" s="267"/>
      <c r="E298" s="267"/>
      <c r="F298" s="267"/>
      <c r="G298" s="267"/>
      <c r="H298" s="267"/>
      <c r="I298" s="267"/>
    </row>
    <row r="299" spans="1:9" ht="27.75">
      <c r="A299" s="267" t="s">
        <v>50</v>
      </c>
      <c r="B299" s="267"/>
      <c r="C299" s="267"/>
      <c r="D299" s="267"/>
      <c r="E299" s="267"/>
      <c r="F299" s="267"/>
      <c r="G299" s="267"/>
      <c r="H299" s="267"/>
      <c r="I299" s="267"/>
    </row>
    <row r="300" spans="1:9">
      <c r="A300" s="268" t="s">
        <v>0</v>
      </c>
      <c r="B300" s="268"/>
      <c r="C300" s="268"/>
      <c r="D300" s="268"/>
      <c r="E300" s="268"/>
      <c r="F300" s="268"/>
      <c r="G300" s="268"/>
      <c r="H300" s="268"/>
      <c r="I300" s="268"/>
    </row>
    <row r="301" spans="1:9">
      <c r="A301" s="269"/>
      <c r="B301" s="269"/>
      <c r="C301" s="269"/>
      <c r="D301" s="269"/>
      <c r="E301" s="269"/>
      <c r="F301" s="269"/>
      <c r="G301" s="269"/>
      <c r="H301" s="269"/>
      <c r="I301" s="269"/>
    </row>
    <row r="302" spans="1:9" ht="21" thickBot="1">
      <c r="A302" s="270"/>
      <c r="B302" s="271" t="s">
        <v>82</v>
      </c>
      <c r="C302" s="271"/>
      <c r="D302" s="271"/>
      <c r="E302" s="271"/>
      <c r="F302" s="271"/>
      <c r="G302" s="271"/>
      <c r="H302" s="271"/>
      <c r="I302" s="272"/>
    </row>
    <row r="303" spans="1:9" ht="17.25" customHeight="1" thickTop="1">
      <c r="A303" s="270"/>
      <c r="B303" s="273"/>
      <c r="C303" s="273"/>
      <c r="D303" s="273"/>
      <c r="E303" s="273"/>
      <c r="F303" s="273"/>
      <c r="G303" s="273"/>
      <c r="H303" s="5"/>
      <c r="I303" s="272"/>
    </row>
    <row r="304" spans="1:9" ht="16.5" customHeight="1">
      <c r="A304" s="270"/>
      <c r="B304" s="51" t="s">
        <v>20</v>
      </c>
      <c r="C304" s="6" t="str">
        <f>Total!$D$47</f>
        <v>Tan Xingfang</v>
      </c>
      <c r="D304" s="6" t="str" cm="1">
        <f t="array" ref="D304">INDEX(Total!$C$8:$C$1002,MATCH($C304&amp;$G304,Total!$D$8:$D$1002&amp;Total!$E$8:$E$1002,0))</f>
        <v>Hazel</v>
      </c>
      <c r="E304" s="52"/>
      <c r="F304" s="53" t="s">
        <v>21</v>
      </c>
      <c r="G304" s="6">
        <f>Total!$E$47</f>
        <v>20868</v>
      </c>
      <c r="H304" s="6"/>
      <c r="I304" s="272"/>
    </row>
    <row r="305" spans="1:9" ht="17.25" customHeight="1" thickBot="1">
      <c r="A305" s="270"/>
      <c r="B305" s="54"/>
      <c r="C305" s="54"/>
      <c r="D305" s="54"/>
      <c r="E305" s="7"/>
      <c r="F305" s="8"/>
      <c r="G305" s="9"/>
      <c r="H305" s="9"/>
      <c r="I305" s="272"/>
    </row>
    <row r="306" spans="1:9" ht="17.25" customHeight="1" thickBot="1">
      <c r="A306" s="270"/>
      <c r="B306" s="83" t="s">
        <v>22</v>
      </c>
      <c r="C306" s="56"/>
      <c r="D306" s="55"/>
      <c r="E306" s="56" t="s">
        <v>23</v>
      </c>
      <c r="F306" s="57"/>
      <c r="G306" s="9"/>
      <c r="H306" s="9"/>
      <c r="I306" s="272"/>
    </row>
    <row r="307" spans="1:9" ht="17.25" customHeight="1" thickTop="1">
      <c r="A307" s="270"/>
      <c r="B307" s="58" t="s">
        <v>24</v>
      </c>
      <c r="C307" s="10"/>
      <c r="D307" s="59"/>
      <c r="E307" s="60" t="s">
        <v>25</v>
      </c>
      <c r="F307" s="11"/>
      <c r="G307" s="9"/>
      <c r="H307" s="9"/>
      <c r="I307" s="272"/>
    </row>
    <row r="308" spans="1:9" ht="16.5" customHeight="1">
      <c r="A308" s="270"/>
      <c r="B308" s="61" t="s">
        <v>26</v>
      </c>
      <c r="C308" s="12"/>
      <c r="D308" s="13"/>
      <c r="E308" s="14" t="str" cm="1">
        <f t="array" ref="E308">INDEX(Total!$F$8:$F$1002,MATCH($C304&amp;$G304,Total!$D$8:$D$1002&amp;Total!$E$8:$E$1002,0))</f>
        <v>Kai Tak_2 Sogo</v>
      </c>
      <c r="F308" s="15"/>
      <c r="G308" s="9"/>
      <c r="H308" s="9"/>
      <c r="I308" s="272"/>
    </row>
    <row r="309" spans="1:9" ht="16.5" customHeight="1">
      <c r="A309" s="270"/>
      <c r="B309" s="61" t="s">
        <v>27</v>
      </c>
      <c r="C309" s="16"/>
      <c r="D309" s="13"/>
      <c r="E309" s="40" t="str" cm="1">
        <f t="array" ref="E309">INDEX(Total!$G$8:$G$1002,MATCH($C304&amp;$G304,Total!$D$8:$D$1002&amp;Total!$E$8:$E$1002,0))</f>
        <v>Mar/1-4,7-8</v>
      </c>
      <c r="F309" s="15"/>
      <c r="G309" s="9"/>
      <c r="H309" s="9"/>
      <c r="I309" s="272"/>
    </row>
    <row r="310" spans="1:9" ht="16.5" customHeight="1">
      <c r="A310" s="270"/>
      <c r="B310" s="61" t="s">
        <v>28</v>
      </c>
      <c r="C310" s="16"/>
      <c r="D310" s="13"/>
      <c r="E310" s="62" cm="1">
        <f t="array" ref="E310">INDEX(Total!$H$8:$H$1002,MATCH($C304&amp;$G304,Total!$D$8:$D$1002&amp;Total!$E$8:$E$1002,0))</f>
        <v>6</v>
      </c>
      <c r="F310" s="15"/>
      <c r="G310" s="8"/>
      <c r="H310" s="8"/>
      <c r="I310" s="272"/>
    </row>
    <row r="311" spans="1:9" ht="16.5" customHeight="1">
      <c r="A311" s="270"/>
      <c r="B311" s="61" t="s">
        <v>29</v>
      </c>
      <c r="C311" s="12"/>
      <c r="D311" s="17"/>
      <c r="E311" s="62" cm="1">
        <f t="array" ref="E311">INDEX(Total!$I$8:$I$1002,MATCH($C304&amp;$G304,Total!$D$8:$D$1002&amp;Total!$E$8:$E$1002,0))</f>
        <v>48</v>
      </c>
      <c r="F311" s="18"/>
      <c r="G311" s="8"/>
      <c r="H311" s="8"/>
      <c r="I311" s="272"/>
    </row>
    <row r="312" spans="1:9" ht="16.5" customHeight="1">
      <c r="A312" s="270"/>
      <c r="B312" s="61" t="s">
        <v>30</v>
      </c>
      <c r="C312" s="12"/>
      <c r="D312" s="17"/>
      <c r="E312" s="62" cm="1">
        <f t="array" ref="E312">INDEX(Total!$J$8:$J$1002,MATCH($C304&amp;$G304,Total!$D$8:$D$1002&amp;Total!$E$8:$E$1002,0))</f>
        <v>65</v>
      </c>
      <c r="F312" s="18"/>
      <c r="G312" s="8"/>
      <c r="H312" s="8"/>
      <c r="I312" s="272"/>
    </row>
    <row r="313" spans="1:9" ht="17.25" customHeight="1" thickBot="1">
      <c r="A313" s="270"/>
      <c r="B313" s="63" t="s">
        <v>31</v>
      </c>
      <c r="C313" s="19"/>
      <c r="D313" s="20"/>
      <c r="E313" s="41" cm="1">
        <f t="array" ref="E313">INDEX(Total!$L$8:$L$1002,MATCH($C304&amp;$G304,Total!$D$8:$D$1002&amp;Total!$E$8:$E$1002,0))</f>
        <v>49436</v>
      </c>
      <c r="F313" s="21"/>
      <c r="G313" s="22"/>
      <c r="H313" s="22"/>
      <c r="I313" s="272"/>
    </row>
    <row r="314" spans="1:9" ht="17.25" customHeight="1" thickBot="1">
      <c r="A314" s="270"/>
      <c r="B314" s="23"/>
      <c r="C314" s="23"/>
      <c r="D314" s="23"/>
      <c r="E314" s="23"/>
      <c r="F314" s="23"/>
      <c r="G314" s="23"/>
      <c r="H314" s="23"/>
      <c r="I314" s="272"/>
    </row>
    <row r="315" spans="1:9" ht="17.25" customHeight="1" thickBot="1">
      <c r="A315" s="270"/>
      <c r="B315" s="64"/>
      <c r="C315" s="65" t="s">
        <v>32</v>
      </c>
      <c r="D315" s="66"/>
      <c r="E315" s="66"/>
      <c r="F315" s="84" t="s">
        <v>33</v>
      </c>
      <c r="G315" s="84"/>
      <c r="H315" s="24"/>
      <c r="I315" s="272"/>
    </row>
    <row r="316" spans="1:9" ht="17.25" customHeight="1" thickTop="1">
      <c r="A316" s="270"/>
      <c r="B316" s="67"/>
      <c r="C316" s="58" t="s">
        <v>34</v>
      </c>
      <c r="D316" s="68"/>
      <c r="E316" s="68"/>
      <c r="F316" s="69"/>
      <c r="G316" s="70" cm="1">
        <f t="array" ref="G316">INDEX(Total!$K$8:$K$1002,MATCH($C304&amp;$G304,Total!$D$8:$D$1002&amp;Total!$E$8:$E$1002,0))</f>
        <v>3120</v>
      </c>
      <c r="H316" s="25"/>
      <c r="I316" s="272"/>
    </row>
    <row r="317" spans="1:9" ht="16.5" customHeight="1">
      <c r="A317" s="270"/>
      <c r="B317" s="67"/>
      <c r="C317" s="61" t="s">
        <v>35</v>
      </c>
      <c r="D317" s="26"/>
      <c r="E317" s="26"/>
      <c r="F317" s="27"/>
      <c r="G317" s="71" cm="1">
        <f t="array" ref="G317">INDEX(Total!$AH$8:$AH$1002,MATCH($C304&amp;$G304,Total!$D$8:$D$1002&amp;Total!$E$8:$E$1002,0))</f>
        <v>3796</v>
      </c>
      <c r="H317" s="28"/>
      <c r="I317" s="272"/>
    </row>
    <row r="318" spans="1:9" ht="16.5" customHeight="1">
      <c r="A318" s="270"/>
      <c r="B318" s="67"/>
      <c r="C318" s="61" t="s">
        <v>36</v>
      </c>
      <c r="D318" s="29"/>
      <c r="E318" s="29"/>
      <c r="F318" s="27"/>
      <c r="G318" s="71" cm="1">
        <f t="array" ref="G318">INDEX(Total!$N$8:$N$1002,MATCH($C304&amp;$G304,Total!$D$8:$D$1002&amp;Total!$E$8:$E$1002,0))</f>
        <v>675.52</v>
      </c>
      <c r="H318" s="28"/>
      <c r="I318" s="272"/>
    </row>
    <row r="319" spans="1:9" ht="16.5" customHeight="1">
      <c r="A319" s="270"/>
      <c r="B319" s="67"/>
      <c r="C319" s="61" t="s">
        <v>37</v>
      </c>
      <c r="D319" s="30"/>
      <c r="E319" s="30"/>
      <c r="F319" s="27"/>
      <c r="G319" s="71" cm="1">
        <f t="array" ref="G319">INDEX(Total!$P$8:$P$1002,MATCH($C304&amp;$G304,Total!$D$8:$D$1002&amp;Total!$E$8:$E$1002,0))</f>
        <v>0</v>
      </c>
      <c r="H319" s="28"/>
      <c r="I319" s="272"/>
    </row>
    <row r="320" spans="1:9" ht="16.5" customHeight="1">
      <c r="A320" s="270"/>
      <c r="B320" s="67"/>
      <c r="C320" s="61" t="s">
        <v>38</v>
      </c>
      <c r="D320" s="30"/>
      <c r="E320" s="30"/>
      <c r="F320" s="27"/>
      <c r="G320" s="71" cm="1">
        <f t="array" ref="G320">INDEX(Total!$S$8:$S$1002,MATCH($C304&amp;$G304,Total!$D$8:$D$1002&amp;Total!$E$8:$E$1002,0))</f>
        <v>0</v>
      </c>
      <c r="H320" s="28"/>
      <c r="I320" s="272"/>
    </row>
    <row r="321" spans="1:10" ht="16.5" customHeight="1">
      <c r="A321" s="270"/>
      <c r="B321" s="67"/>
      <c r="C321" s="61" t="s">
        <v>39</v>
      </c>
      <c r="D321" s="26" t="s">
        <v>4</v>
      </c>
      <c r="E321" s="26"/>
      <c r="F321" s="27"/>
      <c r="G321" s="71" cm="1">
        <f t="array" ref="G321">INDEX(Total!$T$8:$T$1002,MATCH($C304&amp;$G304,Total!$D$8:$D$1002&amp;Total!$E$8:$E$1002,0))</f>
        <v>0</v>
      </c>
      <c r="H321" s="28"/>
      <c r="I321" s="272"/>
    </row>
    <row r="322" spans="1:10" ht="16.5" customHeight="1">
      <c r="A322" s="270"/>
      <c r="B322" s="67"/>
      <c r="C322" s="61" t="s">
        <v>40</v>
      </c>
      <c r="D322" s="30"/>
      <c r="E322" s="30"/>
      <c r="F322" s="27"/>
      <c r="G322" s="71" cm="1">
        <f t="array" ref="G322">INDEX(Total!$W$8:$W$1002,MATCH($C304&amp;$G304,Total!$D$8:$D$1002&amp;Total!$E$8:$E$1002,0))</f>
        <v>0</v>
      </c>
      <c r="H322" s="28"/>
      <c r="I322" s="272"/>
    </row>
    <row r="323" spans="1:10" ht="16.5" customHeight="1">
      <c r="A323" s="270"/>
      <c r="B323" s="67"/>
      <c r="C323" s="61" t="s">
        <v>41</v>
      </c>
      <c r="D323" s="30"/>
      <c r="E323" s="30"/>
      <c r="F323" s="27"/>
      <c r="G323" s="71" cm="1">
        <f t="array" ref="G323">INDEX(Total!$U$8:$U$1002,MATCH($C304&amp;$G304,Total!$D$8:$D$1002&amp;Total!$E$8:$E$1002,0))</f>
        <v>0</v>
      </c>
      <c r="H323" s="28"/>
      <c r="I323" s="272"/>
    </row>
    <row r="324" spans="1:10" ht="17.25" customHeight="1" thickBot="1">
      <c r="A324" s="270"/>
      <c r="B324" s="67"/>
      <c r="C324" s="72" t="s">
        <v>42</v>
      </c>
      <c r="D324" s="31"/>
      <c r="E324" s="31"/>
      <c r="F324" s="32"/>
      <c r="G324" s="73" cm="1">
        <f t="array" ref="G324">-INDEX(Total!$Z$8:$Z$1002,MATCH($C304&amp;$G304,Total!$D$8:$D$1002&amp;Total!$E$8:$E$1002,0))</f>
        <v>0</v>
      </c>
      <c r="H324" s="33"/>
      <c r="I324" s="272"/>
    </row>
    <row r="325" spans="1:10" ht="18" customHeight="1" thickTop="1" thickBot="1">
      <c r="A325" s="270"/>
      <c r="B325" s="74"/>
      <c r="C325" s="75"/>
      <c r="D325" s="34"/>
      <c r="E325" s="35" t="s">
        <v>43</v>
      </c>
      <c r="F325" s="274">
        <f>SUM($G316:$G324)</f>
        <v>7591.52</v>
      </c>
      <c r="G325" s="274"/>
      <c r="H325" s="36"/>
      <c r="I325" s="272"/>
      <c r="J325" s="37" cm="1">
        <f t="array" ref="J325">INDEX(Total!$AJ$8:$AJ$1002,MATCH($C304&amp;$G304,Total!$D$8:$D$1002&amp;Total!$E$8:$E$1002,0))</f>
        <v>3795.52</v>
      </c>
    </row>
    <row r="326" spans="1:10" ht="16.5" customHeight="1">
      <c r="A326" s="270"/>
      <c r="B326" s="54"/>
      <c r="C326" s="54"/>
      <c r="D326" s="54"/>
      <c r="E326" s="54"/>
      <c r="F326" s="262"/>
      <c r="G326" s="263"/>
      <c r="H326" s="9"/>
      <c r="I326" s="272"/>
    </row>
    <row r="327" spans="1:10" ht="16.5" customHeight="1">
      <c r="A327" s="270"/>
      <c r="B327" s="76" t="s">
        <v>44</v>
      </c>
      <c r="C327" s="54"/>
      <c r="D327" s="54"/>
      <c r="E327" s="54"/>
      <c r="F327" s="263"/>
      <c r="G327" s="263"/>
      <c r="H327" s="9"/>
      <c r="I327" s="272"/>
    </row>
    <row r="328" spans="1:10" ht="16.5" customHeight="1">
      <c r="A328" s="270"/>
      <c r="B328" s="76" t="s">
        <v>45</v>
      </c>
      <c r="C328" s="54"/>
      <c r="D328" s="264"/>
      <c r="E328" s="264"/>
      <c r="F328" s="263"/>
      <c r="G328" s="263"/>
      <c r="H328" s="9"/>
      <c r="I328" s="272"/>
    </row>
    <row r="329" spans="1:10" ht="16.5" customHeight="1">
      <c r="A329" s="270"/>
      <c r="B329" s="76" t="s">
        <v>46</v>
      </c>
      <c r="C329" s="54"/>
      <c r="D329" s="54"/>
      <c r="E329" s="54"/>
      <c r="F329" s="54"/>
      <c r="G329" s="54"/>
      <c r="H329" s="9"/>
      <c r="I329" s="272"/>
    </row>
    <row r="330" spans="1:10" ht="16.5" customHeight="1">
      <c r="A330" s="270"/>
      <c r="B330" s="77"/>
      <c r="C330" s="7"/>
      <c r="D330" s="78"/>
      <c r="E330" s="265" t="s">
        <v>47</v>
      </c>
      <c r="F330" s="265"/>
      <c r="G330" s="79"/>
      <c r="H330" s="38"/>
      <c r="I330" s="272"/>
    </row>
    <row r="331" spans="1:10" ht="16.5" customHeight="1">
      <c r="A331" s="270"/>
      <c r="B331" s="7"/>
      <c r="C331" s="7"/>
      <c r="D331" s="80"/>
      <c r="E331" s="80"/>
      <c r="F331" s="7"/>
      <c r="G331" s="7"/>
      <c r="H331" s="7"/>
      <c r="I331" s="272"/>
    </row>
    <row r="332" spans="1:10" ht="16.5" customHeight="1">
      <c r="A332" s="270"/>
      <c r="B332" s="7"/>
      <c r="C332" s="7"/>
      <c r="D332" s="80"/>
      <c r="E332" s="78"/>
      <c r="F332" s="81" t="s">
        <v>48</v>
      </c>
      <c r="G332" s="82"/>
      <c r="H332" s="39"/>
      <c r="I332" s="272"/>
    </row>
    <row r="333" spans="1:10" ht="16.5" customHeight="1"/>
    <row r="334" spans="1:10">
      <c r="A334" s="266"/>
      <c r="B334" s="266"/>
      <c r="C334" s="266"/>
      <c r="D334" s="266"/>
      <c r="E334" s="266"/>
      <c r="F334" s="266"/>
      <c r="G334" s="266"/>
      <c r="H334" s="266"/>
      <c r="I334" s="266"/>
    </row>
    <row r="335" spans="1:10" ht="27.75">
      <c r="A335" s="267" t="s">
        <v>49</v>
      </c>
      <c r="B335" s="267"/>
      <c r="C335" s="267"/>
      <c r="D335" s="267"/>
      <c r="E335" s="267"/>
      <c r="F335" s="267"/>
      <c r="G335" s="267"/>
      <c r="H335" s="267"/>
      <c r="I335" s="267"/>
    </row>
    <row r="336" spans="1:10" ht="27.75">
      <c r="A336" s="267" t="s">
        <v>50</v>
      </c>
      <c r="B336" s="267"/>
      <c r="C336" s="267"/>
      <c r="D336" s="267"/>
      <c r="E336" s="267"/>
      <c r="F336" s="267"/>
      <c r="G336" s="267"/>
      <c r="H336" s="267"/>
      <c r="I336" s="267"/>
    </row>
    <row r="337" spans="1:9">
      <c r="A337" s="268" t="s">
        <v>0</v>
      </c>
      <c r="B337" s="268"/>
      <c r="C337" s="268"/>
      <c r="D337" s="268"/>
      <c r="E337" s="268"/>
      <c r="F337" s="268"/>
      <c r="G337" s="268"/>
      <c r="H337" s="268"/>
      <c r="I337" s="268"/>
    </row>
    <row r="338" spans="1:9">
      <c r="A338" s="269"/>
      <c r="B338" s="269"/>
      <c r="C338" s="269"/>
      <c r="D338" s="269"/>
      <c r="E338" s="269"/>
      <c r="F338" s="269"/>
      <c r="G338" s="269"/>
      <c r="H338" s="269"/>
      <c r="I338" s="269"/>
    </row>
    <row r="339" spans="1:9" ht="21" thickBot="1">
      <c r="A339" s="270"/>
      <c r="B339" s="271" t="s">
        <v>62</v>
      </c>
      <c r="C339" s="271"/>
      <c r="D339" s="271"/>
      <c r="E339" s="271"/>
      <c r="F339" s="271"/>
      <c r="G339" s="271"/>
      <c r="H339" s="271"/>
      <c r="I339" s="272"/>
    </row>
    <row r="340" spans="1:9" ht="17.25" customHeight="1" thickTop="1">
      <c r="A340" s="270"/>
      <c r="B340" s="273"/>
      <c r="C340" s="273"/>
      <c r="D340" s="273"/>
      <c r="E340" s="273"/>
      <c r="F340" s="273"/>
      <c r="G340" s="273"/>
      <c r="H340" s="5"/>
      <c r="I340" s="272"/>
    </row>
    <row r="341" spans="1:9" ht="16.5" customHeight="1">
      <c r="A341" s="270"/>
      <c r="B341" s="51" t="s">
        <v>20</v>
      </c>
      <c r="C341" s="6" t="str">
        <f>Total!$D$29</f>
        <v>Kwan Tit Ho</v>
      </c>
      <c r="D341" s="6" t="str" cm="1">
        <f t="array" ref="D341">INDEX(Total!$C$8:$C$1002,MATCH($C341&amp;$G341,Total!$D$8:$D$1002&amp;Total!$E$8:$E$1002,0))</f>
        <v>Ho_3</v>
      </c>
      <c r="E341" s="52"/>
      <c r="F341" s="53" t="s">
        <v>21</v>
      </c>
      <c r="G341" s="6">
        <f>Total!$E$29</f>
        <v>20859</v>
      </c>
      <c r="H341" s="6"/>
      <c r="I341" s="272"/>
    </row>
    <row r="342" spans="1:9" ht="17.25" customHeight="1" thickBot="1">
      <c r="A342" s="270"/>
      <c r="B342" s="54"/>
      <c r="C342" s="54"/>
      <c r="D342" s="54"/>
      <c r="E342" s="7"/>
      <c r="F342" s="8"/>
      <c r="G342" s="9"/>
      <c r="H342" s="9"/>
      <c r="I342" s="272"/>
    </row>
    <row r="343" spans="1:9" ht="17.25" customHeight="1" thickBot="1">
      <c r="A343" s="270"/>
      <c r="B343" s="83" t="s">
        <v>22</v>
      </c>
      <c r="C343" s="56"/>
      <c r="D343" s="55"/>
      <c r="E343" s="56" t="s">
        <v>23</v>
      </c>
      <c r="F343" s="57"/>
      <c r="G343" s="9"/>
      <c r="H343" s="9"/>
      <c r="I343" s="272"/>
    </row>
    <row r="344" spans="1:9" ht="17.25" customHeight="1" thickTop="1">
      <c r="A344" s="270"/>
      <c r="B344" s="58" t="s">
        <v>24</v>
      </c>
      <c r="C344" s="10"/>
      <c r="D344" s="59"/>
      <c r="E344" s="60" t="s">
        <v>25</v>
      </c>
      <c r="F344" s="11"/>
      <c r="G344" s="9"/>
      <c r="H344" s="9"/>
      <c r="I344" s="272"/>
    </row>
    <row r="345" spans="1:9" ht="16.5" customHeight="1">
      <c r="A345" s="270"/>
      <c r="B345" s="61" t="s">
        <v>26</v>
      </c>
      <c r="C345" s="12"/>
      <c r="D345" s="13"/>
      <c r="E345" s="14" t="str" cm="1">
        <f t="array" ref="E345">INDEX(Total!$F$8:$F$1002,MATCH($C341&amp;$G341,Total!$D$8:$D$1002&amp;Total!$E$8:$E$1002,0))</f>
        <v>TM_2 Aeon</v>
      </c>
      <c r="F345" s="15"/>
      <c r="G345" s="9"/>
      <c r="H345" s="9"/>
      <c r="I345" s="272"/>
    </row>
    <row r="346" spans="1:9" ht="16.5" customHeight="1">
      <c r="A346" s="270"/>
      <c r="B346" s="61" t="s">
        <v>27</v>
      </c>
      <c r="C346" s="16"/>
      <c r="D346" s="13"/>
      <c r="E346" s="40" t="str" cm="1">
        <f t="array" ref="E346">INDEX(Total!$G$8:$G$1002,MATCH($C341&amp;$G341,Total!$D$8:$D$1002&amp;Total!$E$8:$E$1002,0))</f>
        <v>Mar/17-18,26,30</v>
      </c>
      <c r="F346" s="15"/>
      <c r="G346" s="9"/>
      <c r="H346" s="9"/>
      <c r="I346" s="272"/>
    </row>
    <row r="347" spans="1:9" ht="16.5" customHeight="1">
      <c r="A347" s="270"/>
      <c r="B347" s="61" t="s">
        <v>28</v>
      </c>
      <c r="C347" s="16"/>
      <c r="D347" s="13"/>
      <c r="E347" s="62" cm="1">
        <f t="array" ref="E347">INDEX(Total!$H$8:$H$1002,MATCH($C341&amp;$G341,Total!$D$8:$D$1002&amp;Total!$E$8:$E$1002,0))</f>
        <v>4</v>
      </c>
      <c r="F347" s="15"/>
      <c r="G347" s="8"/>
      <c r="H347" s="8"/>
      <c r="I347" s="272"/>
    </row>
    <row r="348" spans="1:9" ht="16.5" customHeight="1">
      <c r="A348" s="270"/>
      <c r="B348" s="61" t="s">
        <v>29</v>
      </c>
      <c r="C348" s="12"/>
      <c r="D348" s="17"/>
      <c r="E348" s="62" cm="1">
        <f t="array" ref="E348">INDEX(Total!$I$8:$I$1002,MATCH($C341&amp;$G341,Total!$D$8:$D$1002&amp;Total!$E$8:$E$1002,0))</f>
        <v>32</v>
      </c>
      <c r="F348" s="18"/>
      <c r="G348" s="8"/>
      <c r="H348" s="8"/>
      <c r="I348" s="272"/>
    </row>
    <row r="349" spans="1:9" ht="16.5" customHeight="1">
      <c r="A349" s="270"/>
      <c r="B349" s="61" t="s">
        <v>30</v>
      </c>
      <c r="C349" s="12"/>
      <c r="D349" s="17"/>
      <c r="E349" s="62" cm="1">
        <f t="array" ref="E349">INDEX(Total!$J$8:$J$1002,MATCH($C341&amp;$G341,Total!$D$8:$D$1002&amp;Total!$E$8:$E$1002,0))</f>
        <v>55</v>
      </c>
      <c r="F349" s="18"/>
      <c r="G349" s="8"/>
      <c r="H349" s="8"/>
      <c r="I349" s="272"/>
    </row>
    <row r="350" spans="1:9" ht="17.25" customHeight="1" thickBot="1">
      <c r="A350" s="270"/>
      <c r="B350" s="63" t="s">
        <v>31</v>
      </c>
      <c r="C350" s="19"/>
      <c r="D350" s="20"/>
      <c r="E350" s="41" cm="1">
        <f t="array" ref="E350">INDEX(Total!$L$8:$L$1002,MATCH($C341&amp;$G341,Total!$D$8:$D$1002&amp;Total!$E$8:$E$1002,0))</f>
        <v>31095</v>
      </c>
      <c r="F350" s="21"/>
      <c r="G350" s="22"/>
      <c r="H350" s="22"/>
      <c r="I350" s="272"/>
    </row>
    <row r="351" spans="1:9" ht="17.25" customHeight="1" thickBot="1">
      <c r="A351" s="270"/>
      <c r="B351" s="23"/>
      <c r="C351" s="23"/>
      <c r="D351" s="23"/>
      <c r="E351" s="23"/>
      <c r="F351" s="23"/>
      <c r="G351" s="23"/>
      <c r="H351" s="23"/>
      <c r="I351" s="272"/>
    </row>
    <row r="352" spans="1:9" ht="17.25" customHeight="1" thickBot="1">
      <c r="A352" s="270"/>
      <c r="B352" s="64"/>
      <c r="C352" s="65" t="s">
        <v>32</v>
      </c>
      <c r="D352" s="66"/>
      <c r="E352" s="66"/>
      <c r="F352" s="84" t="s">
        <v>33</v>
      </c>
      <c r="G352" s="84"/>
      <c r="H352" s="24"/>
      <c r="I352" s="272"/>
    </row>
    <row r="353" spans="1:10" ht="17.25" customHeight="1" thickTop="1">
      <c r="A353" s="270"/>
      <c r="B353" s="67"/>
      <c r="C353" s="58" t="s">
        <v>34</v>
      </c>
      <c r="D353" s="68"/>
      <c r="E353" s="68"/>
      <c r="F353" s="69"/>
      <c r="G353" s="70" cm="1">
        <f t="array" ref="G353">INDEX(Total!$K$8:$K$1002,MATCH($C341&amp;$G341,Total!$D$8:$D$1002&amp;Total!$E$8:$E$1002,0))</f>
        <v>1760</v>
      </c>
      <c r="H353" s="25"/>
      <c r="I353" s="272"/>
    </row>
    <row r="354" spans="1:10" ht="16.5" customHeight="1">
      <c r="A354" s="270"/>
      <c r="B354" s="67"/>
      <c r="C354" s="61" t="s">
        <v>35</v>
      </c>
      <c r="D354" s="26"/>
      <c r="E354" s="26"/>
      <c r="F354" s="27"/>
      <c r="G354" s="71" cm="1">
        <f t="array" ref="G354">INDEX(Total!$AH$8:$AH$1002,MATCH($C341&amp;$G341,Total!$D$8:$D$1002&amp;Total!$E$8:$E$1002,0))</f>
        <v>2382</v>
      </c>
      <c r="H354" s="28"/>
      <c r="I354" s="272"/>
    </row>
    <row r="355" spans="1:10" ht="16.5" customHeight="1">
      <c r="A355" s="270"/>
      <c r="B355" s="67"/>
      <c r="C355" s="61" t="s">
        <v>36</v>
      </c>
      <c r="D355" s="29"/>
      <c r="E355" s="29"/>
      <c r="F355" s="27"/>
      <c r="G355" s="71" cm="1">
        <f t="array" ref="G355">INDEX(Total!$N$8:$N$1002,MATCH($C341&amp;$G341,Total!$D$8:$D$1002&amp;Total!$E$8:$E$1002,0))</f>
        <v>621.9</v>
      </c>
      <c r="H355" s="28"/>
      <c r="I355" s="272"/>
    </row>
    <row r="356" spans="1:10" ht="16.5" customHeight="1">
      <c r="A356" s="270"/>
      <c r="B356" s="67"/>
      <c r="C356" s="61" t="s">
        <v>37</v>
      </c>
      <c r="D356" s="30"/>
      <c r="E356" s="30"/>
      <c r="F356" s="27"/>
      <c r="G356" s="71" cm="1">
        <f t="array" ref="G356">INDEX(Total!$P$8:$P$1002,MATCH($C341&amp;$G341,Total!$D$8:$D$1002&amp;Total!$E$8:$E$1002,0))</f>
        <v>0</v>
      </c>
      <c r="H356" s="28"/>
      <c r="I356" s="272"/>
    </row>
    <row r="357" spans="1:10" ht="16.5" customHeight="1">
      <c r="A357" s="270"/>
      <c r="B357" s="67"/>
      <c r="C357" s="61" t="s">
        <v>38</v>
      </c>
      <c r="D357" s="30"/>
      <c r="E357" s="30"/>
      <c r="F357" s="27"/>
      <c r="G357" s="71" cm="1">
        <f t="array" ref="G357">INDEX(Total!$S$8:$S$1002,MATCH($C341&amp;$G341,Total!$D$8:$D$1002&amp;Total!$E$8:$E$1002,0))</f>
        <v>0</v>
      </c>
      <c r="H357" s="28"/>
      <c r="I357" s="272"/>
    </row>
    <row r="358" spans="1:10" ht="16.5" customHeight="1">
      <c r="A358" s="270"/>
      <c r="B358" s="67"/>
      <c r="C358" s="61" t="s">
        <v>39</v>
      </c>
      <c r="D358" s="26" t="s">
        <v>4</v>
      </c>
      <c r="E358" s="26"/>
      <c r="F358" s="27"/>
      <c r="G358" s="71" cm="1">
        <f t="array" ref="G358">INDEX(Total!$T$8:$T$1002,MATCH($C341&amp;$G341,Total!$D$8:$D$1002&amp;Total!$E$8:$E$1002,0))</f>
        <v>0</v>
      </c>
      <c r="H358" s="28"/>
      <c r="I358" s="272"/>
    </row>
    <row r="359" spans="1:10" ht="16.5" customHeight="1">
      <c r="A359" s="270"/>
      <c r="B359" s="67"/>
      <c r="C359" s="61" t="s">
        <v>40</v>
      </c>
      <c r="D359" s="30"/>
      <c r="E359" s="30"/>
      <c r="F359" s="27"/>
      <c r="G359" s="71" cm="1">
        <f t="array" ref="G359">INDEX(Total!$W$8:$W$1002,MATCH($C341&amp;$G341,Total!$D$8:$D$1002&amp;Total!$E$8:$E$1002,0))</f>
        <v>0</v>
      </c>
      <c r="H359" s="28"/>
      <c r="I359" s="272"/>
    </row>
    <row r="360" spans="1:10" ht="16.5" customHeight="1">
      <c r="A360" s="270"/>
      <c r="B360" s="67"/>
      <c r="C360" s="61" t="s">
        <v>41</v>
      </c>
      <c r="D360" s="30"/>
      <c r="E360" s="30"/>
      <c r="F360" s="27"/>
      <c r="G360" s="71" cm="1">
        <f t="array" ref="G360">INDEX(Total!$U$8:$U$1002,MATCH($C341&amp;$G341,Total!$D$8:$D$1002&amp;Total!$E$8:$E$1002,0))</f>
        <v>0</v>
      </c>
      <c r="H360" s="28"/>
      <c r="I360" s="272"/>
    </row>
    <row r="361" spans="1:10" ht="17.25" customHeight="1" thickBot="1">
      <c r="A361" s="270"/>
      <c r="B361" s="67"/>
      <c r="C361" s="72" t="s">
        <v>42</v>
      </c>
      <c r="D361" s="31"/>
      <c r="E361" s="31"/>
      <c r="F361" s="32"/>
      <c r="G361" s="73" cm="1">
        <f t="array" ref="G361">-INDEX(Total!$Z$8:$Z$1002,MATCH($C341&amp;$G341,Total!$D$8:$D$1002&amp;Total!$E$8:$E$1002,0))</f>
        <v>0</v>
      </c>
      <c r="H361" s="33"/>
      <c r="I361" s="272"/>
    </row>
    <row r="362" spans="1:10" ht="18" customHeight="1" thickTop="1" thickBot="1">
      <c r="A362" s="270"/>
      <c r="B362" s="74"/>
      <c r="C362" s="75"/>
      <c r="D362" s="34"/>
      <c r="E362" s="35" t="s">
        <v>43</v>
      </c>
      <c r="F362" s="274">
        <f>SUM($G353:$G361)</f>
        <v>4763.8999999999996</v>
      </c>
      <c r="G362" s="274"/>
      <c r="H362" s="36"/>
      <c r="I362" s="272"/>
      <c r="J362" s="37" cm="1">
        <f t="array" ref="J362">INDEX(Total!$AJ$8:$AJ$1002,MATCH($C341&amp;$G341,Total!$D$8:$D$1002&amp;Total!$E$8:$E$1002,0))</f>
        <v>2381.9</v>
      </c>
    </row>
    <row r="363" spans="1:10" ht="16.5" customHeight="1">
      <c r="A363" s="270"/>
      <c r="B363" s="54"/>
      <c r="C363" s="54"/>
      <c r="D363" s="54"/>
      <c r="E363" s="54"/>
      <c r="F363" s="262"/>
      <c r="G363" s="263"/>
      <c r="H363" s="9"/>
      <c r="I363" s="272"/>
    </row>
    <row r="364" spans="1:10" ht="16.5" customHeight="1">
      <c r="A364" s="270"/>
      <c r="B364" s="76" t="s">
        <v>44</v>
      </c>
      <c r="C364" s="54"/>
      <c r="D364" s="54"/>
      <c r="E364" s="54"/>
      <c r="F364" s="263"/>
      <c r="G364" s="263"/>
      <c r="H364" s="9"/>
      <c r="I364" s="272"/>
    </row>
    <row r="365" spans="1:10" ht="16.5" customHeight="1">
      <c r="A365" s="270"/>
      <c r="B365" s="76" t="s">
        <v>45</v>
      </c>
      <c r="C365" s="54"/>
      <c r="D365" s="264"/>
      <c r="E365" s="264"/>
      <c r="F365" s="263"/>
      <c r="G365" s="263"/>
      <c r="H365" s="9"/>
      <c r="I365" s="272"/>
    </row>
    <row r="366" spans="1:10" ht="16.5" customHeight="1">
      <c r="A366" s="270"/>
      <c r="B366" s="76" t="s">
        <v>46</v>
      </c>
      <c r="C366" s="54"/>
      <c r="D366" s="54"/>
      <c r="E366" s="54"/>
      <c r="F366" s="54"/>
      <c r="G366" s="54"/>
      <c r="H366" s="9"/>
      <c r="I366" s="272"/>
    </row>
    <row r="367" spans="1:10" ht="16.5" customHeight="1">
      <c r="A367" s="270"/>
      <c r="B367" s="77"/>
      <c r="C367" s="7"/>
      <c r="D367" s="78"/>
      <c r="E367" s="265" t="s">
        <v>47</v>
      </c>
      <c r="F367" s="265"/>
      <c r="G367" s="79"/>
      <c r="H367" s="38"/>
      <c r="I367" s="272"/>
    </row>
    <row r="368" spans="1:10" ht="16.5" customHeight="1">
      <c r="A368" s="270"/>
      <c r="B368" s="7"/>
      <c r="C368" s="7"/>
      <c r="D368" s="80"/>
      <c r="E368" s="80"/>
      <c r="F368" s="7"/>
      <c r="G368" s="7"/>
      <c r="H368" s="7"/>
      <c r="I368" s="272"/>
    </row>
    <row r="369" spans="1:9" ht="16.5" customHeight="1">
      <c r="A369" s="270"/>
      <c r="B369" s="7"/>
      <c r="C369" s="7"/>
      <c r="D369" s="80"/>
      <c r="E369" s="78"/>
      <c r="F369" s="81" t="s">
        <v>48</v>
      </c>
      <c r="G369" s="82"/>
      <c r="H369" s="39"/>
      <c r="I369" s="272"/>
    </row>
    <row r="370" spans="1:9" ht="16.5" customHeight="1"/>
  </sheetData>
  <protectedRanges>
    <protectedRange password="E851" sqref="D20:F28 D57:F65 D94:F102 D131:F139 D168:F176 D205:F213 D242:F250 D279:F287 D316:F324 D353:F361" name="範圍1_1_1_2_1_2"/>
  </protectedRanges>
  <mergeCells count="132">
    <mergeCell ref="F19:G19"/>
    <mergeCell ref="F29:G29"/>
    <mergeCell ref="F30:G32"/>
    <mergeCell ref="D32:E32"/>
    <mergeCell ref="E34:F34"/>
    <mergeCell ref="A38:I38"/>
    <mergeCell ref="A1:I1"/>
    <mergeCell ref="A2:I2"/>
    <mergeCell ref="A3:I3"/>
    <mergeCell ref="A4:I4"/>
    <mergeCell ref="A5:I5"/>
    <mergeCell ref="A6:A36"/>
    <mergeCell ref="B6:H6"/>
    <mergeCell ref="I6:I36"/>
    <mergeCell ref="B7:G7"/>
    <mergeCell ref="B10:C10"/>
    <mergeCell ref="D69:E69"/>
    <mergeCell ref="E71:F71"/>
    <mergeCell ref="A75:I75"/>
    <mergeCell ref="A76:I76"/>
    <mergeCell ref="A77:I77"/>
    <mergeCell ref="A78:I78"/>
    <mergeCell ref="A39:I39"/>
    <mergeCell ref="A40:I40"/>
    <mergeCell ref="A41:I41"/>
    <mergeCell ref="A42:I42"/>
    <mergeCell ref="A43:A73"/>
    <mergeCell ref="B43:H43"/>
    <mergeCell ref="I43:I73"/>
    <mergeCell ref="B44:G44"/>
    <mergeCell ref="F66:G66"/>
    <mergeCell ref="F67:G69"/>
    <mergeCell ref="A79:I79"/>
    <mergeCell ref="A80:A110"/>
    <mergeCell ref="B80:H80"/>
    <mergeCell ref="I80:I110"/>
    <mergeCell ref="B81:G81"/>
    <mergeCell ref="F103:G103"/>
    <mergeCell ref="F104:G106"/>
    <mergeCell ref="D106:E106"/>
    <mergeCell ref="E108:F108"/>
    <mergeCell ref="F141:G143"/>
    <mergeCell ref="D143:E143"/>
    <mergeCell ref="E145:F145"/>
    <mergeCell ref="A149:I149"/>
    <mergeCell ref="A150:I150"/>
    <mergeCell ref="A151:I151"/>
    <mergeCell ref="A112:I112"/>
    <mergeCell ref="A113:I113"/>
    <mergeCell ref="A114:I114"/>
    <mergeCell ref="A115:I115"/>
    <mergeCell ref="A116:I116"/>
    <mergeCell ref="A117:A147"/>
    <mergeCell ref="B117:H117"/>
    <mergeCell ref="I117:I147"/>
    <mergeCell ref="B118:G118"/>
    <mergeCell ref="F140:G140"/>
    <mergeCell ref="A152:I152"/>
    <mergeCell ref="A153:I153"/>
    <mergeCell ref="A154:A184"/>
    <mergeCell ref="B154:H154"/>
    <mergeCell ref="I154:I184"/>
    <mergeCell ref="B155:G155"/>
    <mergeCell ref="F177:G177"/>
    <mergeCell ref="F178:G180"/>
    <mergeCell ref="D180:E180"/>
    <mergeCell ref="E182:F182"/>
    <mergeCell ref="F215:G217"/>
    <mergeCell ref="D217:E217"/>
    <mergeCell ref="E219:F219"/>
    <mergeCell ref="A223:I223"/>
    <mergeCell ref="A224:I224"/>
    <mergeCell ref="A225:I225"/>
    <mergeCell ref="A186:I186"/>
    <mergeCell ref="A187:I187"/>
    <mergeCell ref="A188:I188"/>
    <mergeCell ref="A189:I189"/>
    <mergeCell ref="A190:I190"/>
    <mergeCell ref="A191:A221"/>
    <mergeCell ref="B191:H191"/>
    <mergeCell ref="I191:I221"/>
    <mergeCell ref="B192:G192"/>
    <mergeCell ref="F214:G214"/>
    <mergeCell ref="A226:I226"/>
    <mergeCell ref="A227:I227"/>
    <mergeCell ref="A228:A258"/>
    <mergeCell ref="B228:H228"/>
    <mergeCell ref="I228:I258"/>
    <mergeCell ref="B229:G229"/>
    <mergeCell ref="F251:G251"/>
    <mergeCell ref="F252:G254"/>
    <mergeCell ref="D254:E254"/>
    <mergeCell ref="E256:F256"/>
    <mergeCell ref="F289:G291"/>
    <mergeCell ref="D291:E291"/>
    <mergeCell ref="E293:F293"/>
    <mergeCell ref="A297:I297"/>
    <mergeCell ref="A298:I298"/>
    <mergeCell ref="A299:I299"/>
    <mergeCell ref="A260:I260"/>
    <mergeCell ref="A261:I261"/>
    <mergeCell ref="A262:I262"/>
    <mergeCell ref="A263:I263"/>
    <mergeCell ref="A264:I264"/>
    <mergeCell ref="A265:A295"/>
    <mergeCell ref="B265:H265"/>
    <mergeCell ref="I265:I295"/>
    <mergeCell ref="B266:G266"/>
    <mergeCell ref="F288:G288"/>
    <mergeCell ref="A300:I300"/>
    <mergeCell ref="A301:I301"/>
    <mergeCell ref="A302:A332"/>
    <mergeCell ref="B302:H302"/>
    <mergeCell ref="I302:I332"/>
    <mergeCell ref="B303:G303"/>
    <mergeCell ref="F325:G325"/>
    <mergeCell ref="F326:G328"/>
    <mergeCell ref="D328:E328"/>
    <mergeCell ref="E330:F330"/>
    <mergeCell ref="F363:G365"/>
    <mergeCell ref="D365:E365"/>
    <mergeCell ref="E367:F367"/>
    <mergeCell ref="A334:I334"/>
    <mergeCell ref="A335:I335"/>
    <mergeCell ref="A336:I336"/>
    <mergeCell ref="A337:I337"/>
    <mergeCell ref="A338:I338"/>
    <mergeCell ref="A339:A369"/>
    <mergeCell ref="B339:H339"/>
    <mergeCell ref="I339:I369"/>
    <mergeCell ref="B340:G340"/>
    <mergeCell ref="F362:G362"/>
  </mergeCells>
  <phoneticPr fontId="10" type="noConversion"/>
  <conditionalFormatting sqref="F30:G32">
    <cfRule type="cellIs" dxfId="236" priority="10" operator="equal">
      <formula>0</formula>
    </cfRule>
  </conditionalFormatting>
  <conditionalFormatting sqref="F67:G69">
    <cfRule type="cellIs" dxfId="235" priority="9" operator="equal">
      <formula>0</formula>
    </cfRule>
  </conditionalFormatting>
  <conditionalFormatting sqref="F104:G106">
    <cfRule type="cellIs" dxfId="234" priority="8" operator="equal">
      <formula>0</formula>
    </cfRule>
  </conditionalFormatting>
  <conditionalFormatting sqref="F141:G143">
    <cfRule type="cellIs" dxfId="233" priority="7" operator="equal">
      <formula>0</formula>
    </cfRule>
  </conditionalFormatting>
  <conditionalFormatting sqref="F178:G180">
    <cfRule type="cellIs" dxfId="232" priority="6" operator="equal">
      <formula>0</formula>
    </cfRule>
  </conditionalFormatting>
  <conditionalFormatting sqref="F215:G217">
    <cfRule type="cellIs" dxfId="231" priority="5" operator="equal">
      <formula>0</formula>
    </cfRule>
  </conditionalFormatting>
  <conditionalFormatting sqref="F252:G254">
    <cfRule type="cellIs" dxfId="230" priority="4" operator="equal">
      <formula>0</formula>
    </cfRule>
  </conditionalFormatting>
  <conditionalFormatting sqref="F289:G291">
    <cfRule type="cellIs" dxfId="229" priority="3" operator="equal">
      <formula>0</formula>
    </cfRule>
  </conditionalFormatting>
  <conditionalFormatting sqref="F326:G328">
    <cfRule type="cellIs" dxfId="228" priority="2" operator="equal">
      <formula>0</formula>
    </cfRule>
  </conditionalFormatting>
  <conditionalFormatting sqref="F363:G365">
    <cfRule type="cellIs" dxfId="227" priority="1" operator="equal">
      <formula>0</formula>
    </cfRule>
  </conditionalFormatting>
  <pageMargins left="0.7" right="0.7" top="0.75" bottom="0.75" header="0.3" footer="0.3"/>
  <pageSetup paperSize="9" scale="89" orientation="portrait" horizontalDpi="1200" verticalDpi="1200" r:id="rId1"/>
  <rowBreaks count="9" manualBreakCount="9">
    <brk id="37" max="8" man="1"/>
    <brk id="74" max="8" man="1"/>
    <brk id="111" max="8" man="1"/>
    <brk id="148" max="8" man="1"/>
    <brk id="185" max="8" man="1"/>
    <brk id="222" max="8" man="1"/>
    <brk id="259" max="8" man="1"/>
    <brk id="296" max="8" man="1"/>
    <brk id="333" max="8" man="1"/>
  </rowBreaks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fitToPage="1"/>
  </sheetPr>
  <dimension ref="A1:AW89"/>
  <sheetViews>
    <sheetView tabSelected="1" topLeftCell="A6" zoomScale="40" zoomScaleNormal="40" workbookViewId="0">
      <selection activeCell="E77" sqref="E77"/>
    </sheetView>
  </sheetViews>
  <sheetFormatPr defaultColWidth="9" defaultRowHeight="16.5"/>
  <cols>
    <col min="1" max="1" width="11.875" style="1" customWidth="1"/>
    <col min="2" max="2" width="20.875" style="1" customWidth="1"/>
    <col min="3" max="3" width="29.75" style="1" customWidth="1"/>
    <col min="4" max="4" width="41.125" style="1" bestFit="1" customWidth="1"/>
    <col min="5" max="5" width="24.25" style="1" customWidth="1"/>
    <col min="6" max="6" width="43.625" style="1" customWidth="1"/>
    <col min="7" max="7" width="52" style="3" customWidth="1"/>
    <col min="8" max="8" width="17" style="91" customWidth="1"/>
    <col min="9" max="9" width="26.125" style="2" customWidth="1"/>
    <col min="10" max="10" width="20.125" style="2" customWidth="1"/>
    <col min="11" max="11" width="25.75" style="1" customWidth="1"/>
    <col min="12" max="12" width="33.25" style="166" customWidth="1"/>
    <col min="13" max="13" width="20.125" style="167" hidden="1" customWidth="1"/>
    <col min="14" max="14" width="37.125" style="1" customWidth="1"/>
    <col min="15" max="15" width="25" customWidth="1"/>
    <col min="16" max="16" width="27" style="1" customWidth="1"/>
    <col min="17" max="17" width="29" style="1" customWidth="1"/>
    <col min="18" max="18" width="28" style="1" customWidth="1"/>
    <col min="19" max="19" width="28" style="168" customWidth="1"/>
    <col min="20" max="21" width="28" style="1" customWidth="1"/>
    <col min="22" max="22" width="23.375" customWidth="1"/>
    <col min="23" max="25" width="28" style="169" customWidth="1"/>
    <col min="26" max="33" width="28" style="1" customWidth="1"/>
    <col min="34" max="34" width="28.5" style="168" customWidth="1"/>
    <col min="35" max="35" width="50.875" style="1" customWidth="1"/>
    <col min="36" max="36" width="34.25" style="1" bestFit="1" customWidth="1"/>
    <col min="37" max="37" width="31.75" style="1" customWidth="1"/>
    <col min="38" max="38" width="50.5" style="1" bestFit="1" customWidth="1"/>
    <col min="39" max="39" width="23.875" style="1" bestFit="1" customWidth="1"/>
    <col min="40" max="50" width="9" style="4"/>
    <col min="51" max="51" width="16.25" style="4" bestFit="1" customWidth="1"/>
    <col min="52" max="16384" width="9" style="4"/>
  </cols>
  <sheetData>
    <row r="1" spans="1:49" ht="47.25" hidden="1" thickBot="1">
      <c r="A1" s="42"/>
      <c r="B1" s="42"/>
      <c r="C1" s="42"/>
      <c r="D1" s="42"/>
      <c r="E1" s="42"/>
      <c r="F1" s="88" t="s">
        <v>59</v>
      </c>
      <c r="G1" s="88" t="s">
        <v>60</v>
      </c>
      <c r="H1" s="89"/>
      <c r="I1" s="43"/>
      <c r="J1" s="43"/>
      <c r="K1" s="118"/>
      <c r="L1" s="119"/>
      <c r="M1" s="120"/>
      <c r="N1" s="42"/>
      <c r="O1" s="42" t="s">
        <v>57</v>
      </c>
      <c r="P1" s="42"/>
      <c r="Q1" s="42"/>
      <c r="R1" s="121"/>
      <c r="S1" s="42"/>
      <c r="T1" s="42"/>
      <c r="U1" s="42"/>
      <c r="V1" s="42"/>
      <c r="W1" s="121"/>
      <c r="X1" s="121"/>
      <c r="Y1" s="121"/>
      <c r="Z1" s="122"/>
      <c r="AA1" s="122"/>
      <c r="AB1" s="122"/>
      <c r="AC1" s="122"/>
      <c r="AD1" s="122"/>
      <c r="AE1" s="122"/>
      <c r="AF1" s="122"/>
      <c r="AG1" s="42"/>
      <c r="AH1" s="42"/>
      <c r="AJ1" s="123"/>
      <c r="AL1" s="4"/>
      <c r="AM1" s="4"/>
      <c r="AU1" s="106" t="s">
        <v>72</v>
      </c>
      <c r="AV1" s="106" t="s">
        <v>73</v>
      </c>
      <c r="AW1" s="106" t="s">
        <v>43</v>
      </c>
    </row>
    <row r="2" spans="1:49" ht="33.950000000000003" hidden="1" customHeight="1">
      <c r="A2" s="112"/>
      <c r="B2" s="112"/>
      <c r="C2" s="112"/>
      <c r="D2" s="112"/>
      <c r="E2" s="112"/>
      <c r="F2" s="112"/>
      <c r="G2" s="112"/>
      <c r="H2" s="112"/>
      <c r="I2" s="112"/>
      <c r="J2" s="43"/>
      <c r="K2" s="42"/>
      <c r="L2" s="124"/>
      <c r="M2" s="120"/>
      <c r="N2" s="42"/>
      <c r="O2" s="42"/>
      <c r="P2" s="42"/>
      <c r="Q2" s="42"/>
      <c r="R2" s="121"/>
      <c r="S2" s="42"/>
      <c r="T2" s="42"/>
      <c r="U2" s="42"/>
      <c r="V2" s="42"/>
      <c r="W2" s="121"/>
      <c r="X2" s="121"/>
      <c r="Y2" s="121"/>
      <c r="Z2" s="122"/>
      <c r="AA2" s="122"/>
      <c r="AB2" s="122"/>
      <c r="AC2" s="122"/>
      <c r="AD2" s="122"/>
      <c r="AE2" s="122"/>
      <c r="AF2" s="122"/>
      <c r="AG2" s="125" t="s">
        <v>5</v>
      </c>
      <c r="AH2" s="126"/>
      <c r="AI2" s="127"/>
      <c r="AJ2" s="127"/>
      <c r="AL2" s="4"/>
      <c r="AM2" s="4"/>
      <c r="AU2" s="107">
        <f>AH2</f>
        <v>0</v>
      </c>
      <c r="AV2" s="107">
        <v>0</v>
      </c>
      <c r="AW2" s="107">
        <f>AH6</f>
        <v>525200</v>
      </c>
    </row>
    <row r="3" spans="1:49" ht="33.950000000000003" hidden="1" customHeight="1">
      <c r="A3" s="112"/>
      <c r="B3" s="112"/>
      <c r="C3" s="112"/>
      <c r="D3" s="112"/>
      <c r="E3" s="112"/>
      <c r="F3" s="112"/>
      <c r="G3" s="112"/>
      <c r="H3" s="112"/>
      <c r="I3" s="112"/>
      <c r="J3" s="43"/>
      <c r="K3" s="42"/>
      <c r="L3" s="124"/>
      <c r="M3" s="120"/>
      <c r="N3" s="128"/>
      <c r="O3" s="128"/>
      <c r="P3" s="128"/>
      <c r="Q3" s="128"/>
      <c r="R3" s="128"/>
      <c r="S3" s="128"/>
      <c r="T3" s="42"/>
      <c r="U3" s="42"/>
      <c r="V3" s="42"/>
      <c r="W3" s="128"/>
      <c r="X3" s="128"/>
      <c r="Y3" s="128"/>
      <c r="Z3" s="122"/>
      <c r="AA3" s="122"/>
      <c r="AB3" s="122"/>
      <c r="AC3" s="122"/>
      <c r="AD3" s="122"/>
      <c r="AE3" s="122"/>
      <c r="AF3" s="122"/>
      <c r="AG3" s="129" t="s">
        <v>6</v>
      </c>
      <c r="AH3" s="130">
        <v>576057</v>
      </c>
      <c r="AI3" s="131"/>
      <c r="AJ3" s="132"/>
      <c r="AL3" s="4"/>
      <c r="AM3" s="4"/>
    </row>
    <row r="4" spans="1:49" ht="33.950000000000003" hidden="1" customHeight="1">
      <c r="A4" s="112"/>
      <c r="B4" s="112"/>
      <c r="C4" s="112"/>
      <c r="D4" s="112"/>
      <c r="E4" s="112"/>
      <c r="F4" s="112"/>
      <c r="G4" s="112"/>
      <c r="H4" s="112"/>
      <c r="I4" s="112"/>
      <c r="J4" s="43"/>
      <c r="K4" s="42"/>
      <c r="L4" s="133"/>
      <c r="M4" s="134"/>
      <c r="N4" s="128"/>
      <c r="O4" s="128"/>
      <c r="P4" s="128"/>
      <c r="Q4" s="128"/>
      <c r="R4" s="128"/>
      <c r="S4" s="128"/>
      <c r="T4" s="42"/>
      <c r="U4" s="42"/>
      <c r="V4" s="42"/>
      <c r="W4" s="128"/>
      <c r="X4" s="128"/>
      <c r="Y4" s="128"/>
      <c r="Z4" s="122"/>
      <c r="AA4" s="122"/>
      <c r="AB4" s="122"/>
      <c r="AC4" s="122"/>
      <c r="AD4" s="122"/>
      <c r="AE4" s="122"/>
      <c r="AF4" s="122"/>
      <c r="AG4" s="129" t="s">
        <v>7</v>
      </c>
      <c r="AH4" s="130">
        <f>AH6</f>
        <v>525200</v>
      </c>
      <c r="AI4" s="135"/>
      <c r="AJ4" s="135"/>
      <c r="AL4" s="4"/>
      <c r="AM4" s="4"/>
    </row>
    <row r="5" spans="1:49" ht="68.25" hidden="1" thickBot="1">
      <c r="A5" s="112"/>
      <c r="B5" s="112"/>
      <c r="C5" s="112"/>
      <c r="D5" s="112"/>
      <c r="E5" s="112"/>
      <c r="F5" s="112"/>
      <c r="G5" s="112"/>
      <c r="H5" s="112"/>
      <c r="I5" s="112"/>
      <c r="J5" s="43"/>
      <c r="K5" s="42"/>
      <c r="L5" s="124"/>
      <c r="M5" s="120"/>
      <c r="N5" s="42">
        <v>36453.96</v>
      </c>
      <c r="O5" s="42"/>
      <c r="P5" s="42" t="s">
        <v>81</v>
      </c>
      <c r="Q5" s="42"/>
      <c r="R5" s="121" t="s">
        <v>87</v>
      </c>
      <c r="S5" s="42" t="s">
        <v>80</v>
      </c>
      <c r="T5" s="137" t="s">
        <v>103</v>
      </c>
      <c r="U5" s="42"/>
      <c r="V5" s="42" t="s">
        <v>78</v>
      </c>
      <c r="W5" s="136" t="s">
        <v>79</v>
      </c>
      <c r="X5" s="136"/>
      <c r="Y5" s="136"/>
      <c r="Z5" s="122"/>
      <c r="AA5" s="122"/>
      <c r="AB5" s="122"/>
      <c r="AC5" s="122"/>
      <c r="AD5" s="122"/>
      <c r="AE5" s="122"/>
      <c r="AF5" s="122"/>
      <c r="AG5" s="138" t="s">
        <v>8</v>
      </c>
      <c r="AH5" s="139">
        <f>AH3-AH4</f>
        <v>50857</v>
      </c>
      <c r="AJ5" s="132"/>
      <c r="AL5" s="4"/>
      <c r="AM5" s="4"/>
    </row>
    <row r="6" spans="1:49" ht="96" customHeight="1">
      <c r="A6" s="170">
        <v>2026</v>
      </c>
      <c r="B6" s="170" t="s">
        <v>469</v>
      </c>
      <c r="C6" s="170" t="s">
        <v>101</v>
      </c>
      <c r="D6" s="42"/>
      <c r="E6" s="42"/>
      <c r="F6" s="42"/>
      <c r="G6" s="42"/>
      <c r="H6" s="90">
        <f t="shared" ref="H6:I6" si="0">SUM(H8:H133)</f>
        <v>652</v>
      </c>
      <c r="I6" s="90">
        <f t="shared" si="0"/>
        <v>5330.5</v>
      </c>
      <c r="J6" s="90">
        <f>SUM(J8:J133)</f>
        <v>3810</v>
      </c>
      <c r="K6" s="90">
        <f t="shared" ref="K6:AH6" si="1">SUM(K8:K133)</f>
        <v>312060</v>
      </c>
      <c r="L6" s="90">
        <f t="shared" si="1"/>
        <v>9587202.9000000004</v>
      </c>
      <c r="M6" s="90">
        <f t="shared" si="1"/>
        <v>0</v>
      </c>
      <c r="N6" s="90">
        <f t="shared" si="1"/>
        <v>183924.788</v>
      </c>
      <c r="O6" s="90">
        <f t="shared" si="1"/>
        <v>10820.539999999999</v>
      </c>
      <c r="P6" s="90">
        <f t="shared" si="1"/>
        <v>250</v>
      </c>
      <c r="Q6" s="90">
        <f t="shared" si="1"/>
        <v>800</v>
      </c>
      <c r="R6" s="90">
        <f t="shared" si="1"/>
        <v>400</v>
      </c>
      <c r="S6" s="90">
        <f t="shared" si="1"/>
        <v>0</v>
      </c>
      <c r="T6" s="90">
        <f t="shared" si="1"/>
        <v>2160</v>
      </c>
      <c r="U6" s="90">
        <f t="shared" si="1"/>
        <v>0</v>
      </c>
      <c r="V6" s="90">
        <f t="shared" si="1"/>
        <v>650</v>
      </c>
      <c r="W6" s="90">
        <f t="shared" si="1"/>
        <v>0</v>
      </c>
      <c r="X6" s="90">
        <f t="shared" si="1"/>
        <v>1100</v>
      </c>
      <c r="Y6" s="90">
        <f t="shared" si="1"/>
        <v>400</v>
      </c>
      <c r="Z6" s="90">
        <f t="shared" si="1"/>
        <v>0</v>
      </c>
      <c r="AA6" s="90">
        <f t="shared" si="1"/>
        <v>600</v>
      </c>
      <c r="AB6" s="90">
        <f t="shared" si="1"/>
        <v>2450</v>
      </c>
      <c r="AC6" s="90">
        <f t="shared" si="1"/>
        <v>0</v>
      </c>
      <c r="AD6" s="90">
        <f t="shared" si="1"/>
        <v>3000</v>
      </c>
      <c r="AE6" s="90">
        <f t="shared" si="1"/>
        <v>5000</v>
      </c>
      <c r="AF6" s="90">
        <f t="shared" si="1"/>
        <v>1585</v>
      </c>
      <c r="AG6" s="90">
        <f t="shared" si="1"/>
        <v>525200.32799999998</v>
      </c>
      <c r="AH6" s="90">
        <f t="shared" si="1"/>
        <v>525200</v>
      </c>
      <c r="AI6" s="140"/>
      <c r="AJ6" s="141"/>
      <c r="AK6" s="141"/>
      <c r="AL6" s="4"/>
      <c r="AM6" s="4"/>
    </row>
    <row r="7" spans="1:49" s="44" customFormat="1" ht="76.5" customHeight="1">
      <c r="A7" s="92" t="s">
        <v>9</v>
      </c>
      <c r="B7" s="93" t="s">
        <v>63</v>
      </c>
      <c r="C7" s="93" t="s">
        <v>230</v>
      </c>
      <c r="D7" s="93" t="s">
        <v>232</v>
      </c>
      <c r="E7" s="93" t="s">
        <v>1</v>
      </c>
      <c r="F7" s="96" t="s">
        <v>10</v>
      </c>
      <c r="G7" s="93" t="s">
        <v>11</v>
      </c>
      <c r="H7" s="100" t="s">
        <v>12</v>
      </c>
      <c r="I7" s="94" t="s">
        <v>13</v>
      </c>
      <c r="J7" s="95" t="s">
        <v>14</v>
      </c>
      <c r="K7" s="93" t="s">
        <v>56</v>
      </c>
      <c r="L7" s="142" t="s">
        <v>15</v>
      </c>
      <c r="M7" s="143" t="s">
        <v>54</v>
      </c>
      <c r="N7" s="93" t="s">
        <v>241</v>
      </c>
      <c r="O7" s="145" t="s">
        <v>3</v>
      </c>
      <c r="P7" s="144" t="s">
        <v>512</v>
      </c>
      <c r="Q7" s="171" t="s">
        <v>516</v>
      </c>
      <c r="R7" s="144" t="s">
        <v>517</v>
      </c>
      <c r="S7" s="146" t="s">
        <v>518</v>
      </c>
      <c r="T7" s="146" t="s">
        <v>519</v>
      </c>
      <c r="U7" s="146" t="s">
        <v>520</v>
      </c>
      <c r="V7" s="148" t="s">
        <v>521</v>
      </c>
      <c r="W7" s="144" t="s">
        <v>522</v>
      </c>
      <c r="X7" s="144" t="s">
        <v>523</v>
      </c>
      <c r="Y7" s="220" t="s">
        <v>524</v>
      </c>
      <c r="Z7" s="258" t="s">
        <v>525</v>
      </c>
      <c r="AA7" s="258" t="s">
        <v>526</v>
      </c>
      <c r="AB7" s="147" t="s">
        <v>308</v>
      </c>
      <c r="AC7" s="147" t="s">
        <v>513</v>
      </c>
      <c r="AD7" s="147" t="s">
        <v>514</v>
      </c>
      <c r="AE7" s="147" t="s">
        <v>515</v>
      </c>
      <c r="AF7" s="147" t="s">
        <v>109</v>
      </c>
      <c r="AG7" s="93" t="s">
        <v>2</v>
      </c>
      <c r="AH7" s="149" t="s">
        <v>16</v>
      </c>
      <c r="AI7" s="93" t="s">
        <v>74</v>
      </c>
      <c r="AJ7" s="93" t="s">
        <v>243</v>
      </c>
      <c r="AK7" s="93" t="s">
        <v>244</v>
      </c>
      <c r="AL7" s="93" t="s">
        <v>77</v>
      </c>
    </row>
    <row r="8" spans="1:49" s="44" customFormat="1" ht="33.75" hidden="1">
      <c r="A8" s="98">
        <v>1</v>
      </c>
      <c r="B8" s="96" t="str">
        <f>IF(表格1[[#This Row],[Full Name.]]=工作表1!F2,"OK")</f>
        <v>OK</v>
      </c>
      <c r="C8" s="96" t="s">
        <v>66</v>
      </c>
      <c r="D8" s="96" t="s">
        <v>202</v>
      </c>
      <c r="E8" s="197">
        <v>20850</v>
      </c>
      <c r="F8" s="174" t="s">
        <v>124</v>
      </c>
      <c r="G8" s="185" t="s">
        <v>527</v>
      </c>
      <c r="H8" s="176">
        <v>22</v>
      </c>
      <c r="I8" s="177">
        <v>176</v>
      </c>
      <c r="J8" s="178">
        <v>55</v>
      </c>
      <c r="K8" s="179">
        <f>表格1[[#This Row],[Reg.Hrs]]*表格1[[#This Row],[$]]</f>
        <v>9680</v>
      </c>
      <c r="L8" s="180">
        <v>455239.6</v>
      </c>
      <c r="M8" s="96"/>
      <c r="N8" s="181">
        <f>IFERROR((IF(表格1[[#This Row],[Name.]]=工作表1!$E2,工作表1!$K2," ")*表格1[[#This Row],[Sales]])," ")</f>
        <v>9104.7919999999995</v>
      </c>
      <c r="O8" s="180">
        <f>IFERROR((IF(表格1[[#This Row],[Full Name.]]=工作表1!F2,工作表1!J2," ")*表格1[[#This Row],[Days]])," ")</f>
        <v>660</v>
      </c>
      <c r="P8" s="180">
        <v>0</v>
      </c>
      <c r="Q8" s="180">
        <v>300</v>
      </c>
      <c r="R8" s="180">
        <v>0</v>
      </c>
      <c r="S8" s="180">
        <v>0</v>
      </c>
      <c r="T8" s="180">
        <v>0</v>
      </c>
      <c r="U8" s="180">
        <v>0</v>
      </c>
      <c r="V8" s="180">
        <v>0</v>
      </c>
      <c r="W8" s="182">
        <v>0</v>
      </c>
      <c r="X8" s="182">
        <v>0</v>
      </c>
      <c r="Y8" s="182">
        <v>0</v>
      </c>
      <c r="Z8" s="216">
        <v>0</v>
      </c>
      <c r="AA8" s="216">
        <v>0</v>
      </c>
      <c r="AB8" s="216">
        <v>0</v>
      </c>
      <c r="AC8" s="216">
        <v>0</v>
      </c>
      <c r="AD8" s="216">
        <v>0</v>
      </c>
      <c r="AE8" s="216">
        <v>0</v>
      </c>
      <c r="AF8" s="216"/>
      <c r="AG8" s="179">
        <f>SUM(表格1[[#This Row],[Commission (1% OR 2%)]:[Expenses/支出]])+表格1[[#This Row],[Basic]]</f>
        <v>19744.792000000001</v>
      </c>
      <c r="AH8" s="184">
        <f t="shared" ref="AH8:AH39" si="2">ROUND(AG8,0)</f>
        <v>19745</v>
      </c>
      <c r="AI8" s="150"/>
      <c r="AJ8" s="227">
        <v>19744.792000000001</v>
      </c>
      <c r="AK8" s="152">
        <f>表格1[[#This Row],[Input]]-表格1[[#This Row],[Double check]]</f>
        <v>0.20799999999871943</v>
      </c>
      <c r="AL8" s="153"/>
      <c r="AM8" s="154"/>
    </row>
    <row r="9" spans="1:49" s="44" customFormat="1" ht="33.75" hidden="1">
      <c r="A9" s="98">
        <v>2</v>
      </c>
      <c r="B9" s="96" t="str">
        <f>IF(表格1[[#This Row],[Full Name.]]=工作表1!F3,"OK")</f>
        <v>OK</v>
      </c>
      <c r="C9" s="96" t="s">
        <v>278</v>
      </c>
      <c r="D9" s="96" t="s">
        <v>170</v>
      </c>
      <c r="E9" s="97" t="s">
        <v>277</v>
      </c>
      <c r="F9" s="174" t="s">
        <v>480</v>
      </c>
      <c r="G9" s="175" t="s">
        <v>528</v>
      </c>
      <c r="H9" s="176">
        <v>7</v>
      </c>
      <c r="I9" s="177">
        <v>56</v>
      </c>
      <c r="J9" s="178">
        <v>60</v>
      </c>
      <c r="K9" s="179">
        <f>表格1[[#This Row],[Reg.Hrs]]*表格1[[#This Row],[$]]</f>
        <v>3360</v>
      </c>
      <c r="L9" s="180">
        <v>242326</v>
      </c>
      <c r="M9" s="96"/>
      <c r="N9" s="181">
        <f>IFERROR((IF(表格1[[#This Row],[Name.]]=工作表1!$E3,工作表1!$K3," ")*表格1[[#This Row],[Sales]])," ")</f>
        <v>4846.5200000000004</v>
      </c>
      <c r="O9" s="180">
        <f>IFERROR((IF(表格1[[#This Row],[Full Name.]]=工作表1!F3,工作表1!J3," ")*表格1[[#This Row],[Days]])," ")</f>
        <v>0</v>
      </c>
      <c r="P9" s="180">
        <v>0</v>
      </c>
      <c r="Q9" s="180">
        <v>0</v>
      </c>
      <c r="R9" s="180">
        <v>0</v>
      </c>
      <c r="S9" s="180">
        <v>0</v>
      </c>
      <c r="T9" s="180">
        <v>0</v>
      </c>
      <c r="U9" s="180">
        <v>0</v>
      </c>
      <c r="V9" s="180">
        <v>0</v>
      </c>
      <c r="W9" s="182">
        <v>0</v>
      </c>
      <c r="X9" s="182">
        <v>0</v>
      </c>
      <c r="Y9" s="182">
        <v>200</v>
      </c>
      <c r="Z9" s="183">
        <v>0</v>
      </c>
      <c r="AA9" s="183">
        <v>200</v>
      </c>
      <c r="AB9" s="183">
        <v>0</v>
      </c>
      <c r="AC9" s="183">
        <v>0</v>
      </c>
      <c r="AD9" s="183">
        <v>0</v>
      </c>
      <c r="AE9" s="183">
        <v>0</v>
      </c>
      <c r="AF9" s="183"/>
      <c r="AG9" s="179">
        <f>SUM(表格1[[#This Row],[Commission (1% OR 2%)]:[Expenses/支出]])+表格1[[#This Row],[Basic]]</f>
        <v>8606.52</v>
      </c>
      <c r="AH9" s="184">
        <f t="shared" si="2"/>
        <v>8607</v>
      </c>
      <c r="AI9" s="150"/>
      <c r="AJ9" s="228">
        <v>8606.52</v>
      </c>
      <c r="AK9" s="152">
        <f>表格1[[#This Row],[Input]]-表格1[[#This Row],[Double check]]</f>
        <v>0.47999999999956344</v>
      </c>
      <c r="AL9" s="153"/>
      <c r="AM9" s="154"/>
    </row>
    <row r="10" spans="1:49" s="44" customFormat="1" ht="33.75" hidden="1">
      <c r="A10" s="98">
        <v>3</v>
      </c>
      <c r="B10" s="96" t="str">
        <f>IF(表格1[[#This Row],[Full Name.]]=工作表1!F4,"OK")</f>
        <v>OK</v>
      </c>
      <c r="C10" s="96" t="s">
        <v>470</v>
      </c>
      <c r="D10" s="96" t="s">
        <v>179</v>
      </c>
      <c r="E10" s="97" t="s">
        <v>277</v>
      </c>
      <c r="F10" s="174" t="s">
        <v>481</v>
      </c>
      <c r="G10" s="185" t="s">
        <v>529</v>
      </c>
      <c r="H10" s="176">
        <v>2</v>
      </c>
      <c r="I10" s="177">
        <v>16</v>
      </c>
      <c r="J10" s="178">
        <v>60</v>
      </c>
      <c r="K10" s="179">
        <f>表格1[[#This Row],[Reg.Hrs]]*表格1[[#This Row],[$]]</f>
        <v>960</v>
      </c>
      <c r="L10" s="180">
        <v>7911</v>
      </c>
      <c r="M10" s="97"/>
      <c r="N10" s="181">
        <f>IFERROR((IF(表格1[[#This Row],[Name.]]=工作表1!$E4,工作表1!$K4," ")*表格1[[#This Row],[Sales]])," ")</f>
        <v>158.22</v>
      </c>
      <c r="O10" s="180">
        <f>IFERROR((IF(表格1[[#This Row],[Full Name.]]=工作表1!F4,工作表1!J4," ")*表格1[[#This Row],[Days]])," ")</f>
        <v>0</v>
      </c>
      <c r="P10" s="180"/>
      <c r="Q10" s="180"/>
      <c r="R10" s="180"/>
      <c r="S10" s="180"/>
      <c r="T10" s="180"/>
      <c r="U10" s="180"/>
      <c r="V10" s="180"/>
      <c r="W10" s="182"/>
      <c r="X10" s="182"/>
      <c r="Y10" s="182"/>
      <c r="Z10" s="189"/>
      <c r="AA10" s="189"/>
      <c r="AB10" s="189"/>
      <c r="AC10" s="189"/>
      <c r="AD10" s="189"/>
      <c r="AE10" s="189"/>
      <c r="AF10" s="189"/>
      <c r="AG10" s="179">
        <f>SUM(表格1[[#This Row],[Commission (1% OR 2%)]:[Expenses/支出]])+表格1[[#This Row],[Basic]]</f>
        <v>1118.22</v>
      </c>
      <c r="AH10" s="184">
        <f t="shared" si="2"/>
        <v>1118</v>
      </c>
      <c r="AI10" s="150"/>
      <c r="AJ10" s="227">
        <v>1118.22</v>
      </c>
      <c r="AK10" s="152">
        <f>表格1[[#This Row],[Input]]-表格1[[#This Row],[Double check]]</f>
        <v>-0.22000000000002728</v>
      </c>
      <c r="AL10" s="153"/>
      <c r="AM10" s="154"/>
    </row>
    <row r="11" spans="1:49" s="44" customFormat="1" ht="33.75" hidden="1">
      <c r="A11" s="98">
        <v>4</v>
      </c>
      <c r="B11" s="96" t="str">
        <f>IF(表格1[[#This Row],[Full Name.]]=工作表1!F5,"OK")</f>
        <v>OK</v>
      </c>
      <c r="C11" s="96" t="s">
        <v>214</v>
      </c>
      <c r="D11" s="96" t="s">
        <v>215</v>
      </c>
      <c r="E11" s="97">
        <v>20851</v>
      </c>
      <c r="F11" s="174" t="s">
        <v>167</v>
      </c>
      <c r="G11" s="185" t="s">
        <v>530</v>
      </c>
      <c r="H11" s="176">
        <v>24</v>
      </c>
      <c r="I11" s="177">
        <v>192</v>
      </c>
      <c r="J11" s="178">
        <v>60</v>
      </c>
      <c r="K11" s="179">
        <f>表格1[[#This Row],[Reg.Hrs]]*表格1[[#This Row],[$]]</f>
        <v>11520</v>
      </c>
      <c r="L11" s="180">
        <v>503165</v>
      </c>
      <c r="M11" s="96"/>
      <c r="N11" s="181">
        <f>IFERROR((IF(表格1[[#This Row],[Name.]]=工作表1!$E5,工作表1!$K5," ")*表格1[[#This Row],[Sales]])," ")</f>
        <v>10063.300000000001</v>
      </c>
      <c r="O11" s="180">
        <f>IFERROR((IF(表格1[[#This Row],[Full Name.]]=工作表1!F5,工作表1!J5," ")*表格1[[#This Row],[Days]])," ")</f>
        <v>0</v>
      </c>
      <c r="P11" s="180">
        <v>0</v>
      </c>
      <c r="Q11" s="180">
        <v>0</v>
      </c>
      <c r="R11" s="180">
        <v>0</v>
      </c>
      <c r="S11" s="180">
        <v>0</v>
      </c>
      <c r="T11" s="180">
        <v>880</v>
      </c>
      <c r="U11" s="180">
        <v>0</v>
      </c>
      <c r="V11" s="180">
        <v>0</v>
      </c>
      <c r="W11" s="182">
        <v>0</v>
      </c>
      <c r="X11" s="182">
        <v>0</v>
      </c>
      <c r="Y11" s="182">
        <v>0</v>
      </c>
      <c r="Z11" s="180">
        <v>0</v>
      </c>
      <c r="AA11" s="180">
        <v>0</v>
      </c>
      <c r="AB11" s="180">
        <v>0</v>
      </c>
      <c r="AC11" s="180">
        <v>0</v>
      </c>
      <c r="AD11" s="180">
        <v>500</v>
      </c>
      <c r="AE11" s="180">
        <v>1000</v>
      </c>
      <c r="AF11" s="180"/>
      <c r="AG11" s="179">
        <f>SUM(表格1[[#This Row],[Commission (1% OR 2%)]:[Expenses/支出]])+表格1[[#This Row],[Basic]]</f>
        <v>23963.300000000003</v>
      </c>
      <c r="AH11" s="184">
        <f t="shared" si="2"/>
        <v>23963</v>
      </c>
      <c r="AI11" s="150"/>
      <c r="AJ11" s="228">
        <v>23963.300000000003</v>
      </c>
      <c r="AK11" s="152">
        <f>表格1[[#This Row],[Input]]-表格1[[#This Row],[Double check]]</f>
        <v>-0.30000000000291038</v>
      </c>
      <c r="AL11" s="153"/>
      <c r="AM11" s="154"/>
    </row>
    <row r="12" spans="1:49" s="44" customFormat="1" ht="33.75" hidden="1">
      <c r="A12" s="98">
        <v>5</v>
      </c>
      <c r="B12" s="96" t="str">
        <f>IF(表格1[[#This Row],[Full Name.]]=工作表1!F6,"OK")</f>
        <v>OK</v>
      </c>
      <c r="C12" s="96" t="s">
        <v>58</v>
      </c>
      <c r="D12" s="96" t="s">
        <v>171</v>
      </c>
      <c r="E12" s="97" t="s">
        <v>277</v>
      </c>
      <c r="F12" s="174" t="s">
        <v>126</v>
      </c>
      <c r="G12" s="175" t="s">
        <v>531</v>
      </c>
      <c r="H12" s="176">
        <v>22</v>
      </c>
      <c r="I12" s="177">
        <v>176</v>
      </c>
      <c r="J12" s="178">
        <v>60</v>
      </c>
      <c r="K12" s="179">
        <f>表格1[[#This Row],[Reg.Hrs]]*表格1[[#This Row],[$]]</f>
        <v>10560</v>
      </c>
      <c r="L12" s="180">
        <v>442858</v>
      </c>
      <c r="M12" s="96"/>
      <c r="N12" s="181">
        <f>IFERROR((IF(表格1[[#This Row],[Name.]]=工作表1!$E6,工作表1!$K6," ")*表格1[[#This Row],[Sales]])," ")</f>
        <v>8857.16</v>
      </c>
      <c r="O12" s="180">
        <f>IFERROR((IF(表格1[[#This Row],[Full Name.]]=工作表1!F6,工作表1!J6," ")*表格1[[#This Row],[Days]])," ")</f>
        <v>0</v>
      </c>
      <c r="P12" s="180">
        <v>0</v>
      </c>
      <c r="Q12" s="180">
        <v>0</v>
      </c>
      <c r="R12" s="180">
        <v>0</v>
      </c>
      <c r="S12" s="180">
        <v>0</v>
      </c>
      <c r="T12" s="180">
        <v>480</v>
      </c>
      <c r="U12" s="180">
        <v>0</v>
      </c>
      <c r="V12" s="180">
        <v>0</v>
      </c>
      <c r="W12" s="182">
        <v>0</v>
      </c>
      <c r="X12" s="182">
        <v>500</v>
      </c>
      <c r="Y12" s="182">
        <v>0</v>
      </c>
      <c r="Z12" s="186">
        <v>0</v>
      </c>
      <c r="AA12" s="186">
        <v>0</v>
      </c>
      <c r="AB12" s="186">
        <v>0</v>
      </c>
      <c r="AC12" s="186">
        <v>0</v>
      </c>
      <c r="AD12" s="186">
        <v>0</v>
      </c>
      <c r="AE12" s="186">
        <v>0</v>
      </c>
      <c r="AF12" s="186"/>
      <c r="AG12" s="179">
        <f>SUM(表格1[[#This Row],[Commission (1% OR 2%)]:[Expenses/支出]])+表格1[[#This Row],[Basic]]</f>
        <v>20397.16</v>
      </c>
      <c r="AH12" s="184">
        <f t="shared" si="2"/>
        <v>20397</v>
      </c>
      <c r="AI12" s="150"/>
      <c r="AJ12" s="227">
        <v>20397.16</v>
      </c>
      <c r="AK12" s="152">
        <f>表格1[[#This Row],[Input]]-表格1[[#This Row],[Double check]]</f>
        <v>-0.15999999999985448</v>
      </c>
      <c r="AL12" s="153"/>
      <c r="AM12" s="154"/>
    </row>
    <row r="13" spans="1:49" s="45" customFormat="1" ht="33.75" hidden="1">
      <c r="A13" s="98">
        <v>6</v>
      </c>
      <c r="B13" s="96" t="str">
        <f>IF(表格1[[#This Row],[Full Name.]]=工作表1!F7,"OK")</f>
        <v>OK</v>
      </c>
      <c r="C13" s="96" t="s">
        <v>158</v>
      </c>
      <c r="D13" s="96" t="s">
        <v>193</v>
      </c>
      <c r="E13" s="197">
        <v>20852</v>
      </c>
      <c r="F13" s="174" t="s">
        <v>263</v>
      </c>
      <c r="G13" s="175" t="s">
        <v>532</v>
      </c>
      <c r="H13" s="176">
        <v>20</v>
      </c>
      <c r="I13" s="177">
        <v>160</v>
      </c>
      <c r="J13" s="178">
        <v>55</v>
      </c>
      <c r="K13" s="179">
        <f>表格1[[#This Row],[Reg.Hrs]]*表格1[[#This Row],[$]]</f>
        <v>8800</v>
      </c>
      <c r="L13" s="180">
        <v>419085.20000000007</v>
      </c>
      <c r="M13" s="96"/>
      <c r="N13" s="181">
        <f>IFERROR((IF(表格1[[#This Row],[Name.]]=工作表1!$E7,工作表1!$K7," ")*表格1[[#This Row],[Sales]])," ")</f>
        <v>8381.7040000000015</v>
      </c>
      <c r="O13" s="180">
        <f>IFERROR((IF(表格1[[#This Row],[Full Name.]]=工作表1!F7,工作表1!J7," ")*表格1[[#This Row],[Days]])," ")</f>
        <v>1600</v>
      </c>
      <c r="P13" s="180">
        <v>0</v>
      </c>
      <c r="Q13" s="180">
        <v>0</v>
      </c>
      <c r="R13" s="180">
        <v>0</v>
      </c>
      <c r="S13" s="180">
        <v>0</v>
      </c>
      <c r="T13" s="180">
        <v>0</v>
      </c>
      <c r="U13" s="180">
        <v>0</v>
      </c>
      <c r="V13" s="180">
        <v>0</v>
      </c>
      <c r="W13" s="182">
        <v>0</v>
      </c>
      <c r="X13" s="182">
        <v>0</v>
      </c>
      <c r="Y13" s="182">
        <v>0</v>
      </c>
      <c r="Z13" s="180">
        <v>0</v>
      </c>
      <c r="AA13" s="180">
        <v>200</v>
      </c>
      <c r="AB13" s="180">
        <v>0</v>
      </c>
      <c r="AC13" s="180">
        <v>0</v>
      </c>
      <c r="AD13" s="180">
        <v>0</v>
      </c>
      <c r="AE13" s="180">
        <v>0</v>
      </c>
      <c r="AF13" s="180"/>
      <c r="AG13" s="179">
        <f>SUM(表格1[[#This Row],[Commission (1% OR 2%)]:[Expenses/支出]])+表格1[[#This Row],[Basic]]</f>
        <v>18981.704000000002</v>
      </c>
      <c r="AH13" s="184">
        <f t="shared" si="2"/>
        <v>18982</v>
      </c>
      <c r="AI13" s="150"/>
      <c r="AJ13" s="228">
        <v>18981.704000000002</v>
      </c>
      <c r="AK13" s="152">
        <f>表格1[[#This Row],[Input]]-表格1[[#This Row],[Double check]]</f>
        <v>0.2959999999984575</v>
      </c>
      <c r="AL13" s="153"/>
      <c r="AM13" s="154"/>
    </row>
    <row r="14" spans="1:49" s="46" customFormat="1" ht="33.75" hidden="1">
      <c r="A14" s="98">
        <v>7</v>
      </c>
      <c r="B14" s="96" t="str">
        <f>IF(表格1[[#This Row],[Full Name.]]=工作表1!F8,"OK")</f>
        <v>OK</v>
      </c>
      <c r="C14" s="96" t="s">
        <v>118</v>
      </c>
      <c r="D14" s="96" t="s">
        <v>172</v>
      </c>
      <c r="E14" s="97">
        <v>20853</v>
      </c>
      <c r="F14" s="174" t="s">
        <v>289</v>
      </c>
      <c r="G14" s="175" t="s">
        <v>533</v>
      </c>
      <c r="H14" s="176">
        <v>22</v>
      </c>
      <c r="I14" s="177">
        <v>176</v>
      </c>
      <c r="J14" s="178">
        <v>60</v>
      </c>
      <c r="K14" s="179">
        <f>表格1[[#This Row],[Reg.Hrs]]*表格1[[#This Row],[$]]</f>
        <v>10560</v>
      </c>
      <c r="L14" s="180">
        <v>234404</v>
      </c>
      <c r="M14" s="187"/>
      <c r="N14" s="181">
        <f>IFERROR((IF(表格1[[#This Row],[Name.]]=工作表1!$E8,工作表1!$K8," ")*表格1[[#This Row],[Sales]])," ")</f>
        <v>4688.08</v>
      </c>
      <c r="O14" s="180">
        <f>IFERROR((IF(表格1[[#This Row],[Full Name.]]=工作表1!F8,工作表1!J8," ")*表格1[[#This Row],[Days]])," ")</f>
        <v>0</v>
      </c>
      <c r="P14" s="180">
        <v>0</v>
      </c>
      <c r="Q14" s="180">
        <v>0</v>
      </c>
      <c r="R14" s="180">
        <v>0</v>
      </c>
      <c r="S14" s="180">
        <v>0</v>
      </c>
      <c r="T14" s="180">
        <v>0</v>
      </c>
      <c r="U14" s="180">
        <v>0</v>
      </c>
      <c r="V14" s="180">
        <v>250</v>
      </c>
      <c r="W14" s="182">
        <v>0</v>
      </c>
      <c r="X14" s="182">
        <v>0</v>
      </c>
      <c r="Y14" s="182">
        <v>0</v>
      </c>
      <c r="Z14" s="180">
        <v>0</v>
      </c>
      <c r="AA14" s="180">
        <v>0</v>
      </c>
      <c r="AB14" s="180">
        <v>0</v>
      </c>
      <c r="AC14" s="180">
        <v>0</v>
      </c>
      <c r="AD14" s="180">
        <v>500</v>
      </c>
      <c r="AE14" s="180">
        <v>0</v>
      </c>
      <c r="AF14" s="180"/>
      <c r="AG14" s="179">
        <f>SUM(表格1[[#This Row],[Commission (1% OR 2%)]:[Expenses/支出]])+表格1[[#This Row],[Basic]]</f>
        <v>15998.08</v>
      </c>
      <c r="AH14" s="184">
        <f t="shared" si="2"/>
        <v>15998</v>
      </c>
      <c r="AI14" s="151"/>
      <c r="AJ14" s="227">
        <v>15998.08</v>
      </c>
      <c r="AK14" s="152">
        <f>表格1[[#This Row],[Input]]-表格1[[#This Row],[Double check]]</f>
        <v>-7.999999999992724E-2</v>
      </c>
      <c r="AL14" s="153"/>
      <c r="AM14" s="154"/>
      <c r="AN14" s="44"/>
      <c r="AO14" s="44"/>
      <c r="AP14" s="44"/>
      <c r="AQ14" s="44"/>
      <c r="AR14" s="44"/>
      <c r="AS14" s="44"/>
      <c r="AT14" s="44"/>
    </row>
    <row r="15" spans="1:49" s="46" customFormat="1" ht="33.75" hidden="1">
      <c r="A15" s="98">
        <v>8</v>
      </c>
      <c r="B15" s="96" t="str">
        <f>IF(表格1[[#This Row],[Full Name.]]=工作表1!F9,"OK")</f>
        <v>OK</v>
      </c>
      <c r="C15" s="96" t="s">
        <v>279</v>
      </c>
      <c r="D15" s="96" t="s">
        <v>173</v>
      </c>
      <c r="E15" s="97">
        <v>20854</v>
      </c>
      <c r="F15" s="174" t="s">
        <v>127</v>
      </c>
      <c r="G15" s="185" t="s">
        <v>534</v>
      </c>
      <c r="H15" s="176">
        <v>4</v>
      </c>
      <c r="I15" s="177">
        <v>32</v>
      </c>
      <c r="J15" s="178">
        <v>55</v>
      </c>
      <c r="K15" s="179">
        <f>表格1[[#This Row],[Reg.Hrs]]*表格1[[#This Row],[$]]</f>
        <v>1760</v>
      </c>
      <c r="L15" s="180">
        <v>82154</v>
      </c>
      <c r="M15" s="96"/>
      <c r="N15" s="181">
        <f>IFERROR((IF(表格1[[#This Row],[Name.]]=工作表1!$E9,工作表1!$K9," ")*表格1[[#This Row],[Sales]])," ")</f>
        <v>1643.08</v>
      </c>
      <c r="O15" s="259">
        <f>IFERROR((IF(表格1[[#This Row],[Full Name.]]=工作表1!F9,工作表1!J9," ")*表格1[[#This Row],[Days]])," ")+180+60</f>
        <v>360</v>
      </c>
      <c r="P15" s="180">
        <v>0</v>
      </c>
      <c r="Q15" s="180">
        <v>0</v>
      </c>
      <c r="R15" s="180">
        <v>0</v>
      </c>
      <c r="S15" s="180">
        <v>0</v>
      </c>
      <c r="T15" s="180">
        <v>0</v>
      </c>
      <c r="U15" s="180">
        <v>0</v>
      </c>
      <c r="V15" s="180">
        <v>0</v>
      </c>
      <c r="W15" s="182">
        <v>0</v>
      </c>
      <c r="X15" s="182">
        <v>0</v>
      </c>
      <c r="Y15" s="182">
        <v>0</v>
      </c>
      <c r="Z15" s="180">
        <v>0</v>
      </c>
      <c r="AA15" s="180">
        <v>0</v>
      </c>
      <c r="AB15" s="180">
        <v>0</v>
      </c>
      <c r="AC15" s="180">
        <v>0</v>
      </c>
      <c r="AD15" s="180">
        <v>0</v>
      </c>
      <c r="AE15" s="180">
        <v>0</v>
      </c>
      <c r="AF15" s="180"/>
      <c r="AG15" s="179">
        <f>SUM(表格1[[#This Row],[Commission (1% OR 2%)]:[Expenses/支出]])+表格1[[#This Row],[Basic]]</f>
        <v>3763.08</v>
      </c>
      <c r="AH15" s="184">
        <f t="shared" si="2"/>
        <v>3763</v>
      </c>
      <c r="AI15" s="150"/>
      <c r="AJ15" s="227">
        <v>3523.08</v>
      </c>
      <c r="AK15" s="152">
        <f>表格1[[#This Row],[Input]]-表格1[[#This Row],[Double check]]</f>
        <v>239.92000000000007</v>
      </c>
      <c r="AL15" s="153"/>
      <c r="AM15" s="154"/>
      <c r="AN15" s="44"/>
      <c r="AO15" s="44"/>
      <c r="AP15" s="44"/>
      <c r="AQ15" s="44"/>
      <c r="AR15" s="44"/>
      <c r="AS15" s="44"/>
      <c r="AT15" s="44"/>
    </row>
    <row r="16" spans="1:49" s="46" customFormat="1" ht="33.75" hidden="1">
      <c r="A16" s="98">
        <v>9</v>
      </c>
      <c r="B16" s="96" t="str">
        <f>IF(表格1[[#This Row],[Full Name.]]=工作表1!F10,"OK")</f>
        <v>OK</v>
      </c>
      <c r="C16" s="96" t="s">
        <v>83</v>
      </c>
      <c r="D16" s="96" t="s">
        <v>93</v>
      </c>
      <c r="E16" s="97" t="s">
        <v>277</v>
      </c>
      <c r="F16" s="174" t="s">
        <v>482</v>
      </c>
      <c r="G16" s="175" t="s">
        <v>535</v>
      </c>
      <c r="H16" s="176">
        <v>7</v>
      </c>
      <c r="I16" s="177">
        <v>56</v>
      </c>
      <c r="J16" s="178">
        <v>60</v>
      </c>
      <c r="K16" s="179">
        <f>表格1[[#This Row],[Reg.Hrs]]*表格1[[#This Row],[$]]</f>
        <v>3360</v>
      </c>
      <c r="L16" s="180">
        <v>67587</v>
      </c>
      <c r="M16" s="97"/>
      <c r="N16" s="181">
        <f>IFERROR((IF(表格1[[#This Row],[Name.]]=工作表1!$E10,工作表1!$K10," ")*表格1[[#This Row],[Sales]])," ")</f>
        <v>1351.74</v>
      </c>
      <c r="O16" s="180">
        <f>IFERROR((IF(表格1[[#This Row],[Full Name.]]=工作表1!F10,工作表1!J10," ")*表格1[[#This Row],[Days]])," ")</f>
        <v>0</v>
      </c>
      <c r="P16" s="180"/>
      <c r="Q16" s="180"/>
      <c r="R16" s="180"/>
      <c r="S16" s="180"/>
      <c r="T16" s="180"/>
      <c r="U16" s="180"/>
      <c r="V16" s="180"/>
      <c r="W16" s="182"/>
      <c r="X16" s="182"/>
      <c r="Y16" s="182"/>
      <c r="Z16" s="180"/>
      <c r="AA16" s="180"/>
      <c r="AB16" s="180"/>
      <c r="AC16" s="180"/>
      <c r="AD16" s="180"/>
      <c r="AE16" s="180"/>
      <c r="AF16" s="180"/>
      <c r="AG16" s="179">
        <f>SUM(表格1[[#This Row],[Commission (1% OR 2%)]:[Expenses/支出]])+表格1[[#This Row],[Basic]]</f>
        <v>4711.74</v>
      </c>
      <c r="AH16" s="184">
        <f t="shared" si="2"/>
        <v>4712</v>
      </c>
      <c r="AI16" s="151"/>
      <c r="AJ16" s="228">
        <v>4711.74</v>
      </c>
      <c r="AK16" s="152">
        <f>表格1[[#This Row],[Input]]-表格1[[#This Row],[Double check]]</f>
        <v>0.26000000000021828</v>
      </c>
      <c r="AL16" s="153"/>
      <c r="AM16" s="154"/>
      <c r="AN16" s="44"/>
      <c r="AO16" s="44"/>
      <c r="AP16" s="44"/>
      <c r="AQ16" s="44"/>
      <c r="AR16" s="44"/>
      <c r="AS16" s="44"/>
      <c r="AT16" s="44"/>
    </row>
    <row r="17" spans="1:46" s="46" customFormat="1" ht="33.75" hidden="1">
      <c r="A17" s="98">
        <v>10</v>
      </c>
      <c r="B17" s="96" t="str">
        <f>IF(表格1[[#This Row],[Full Name.]]=工作表1!F11,"OK")</f>
        <v>OK</v>
      </c>
      <c r="C17" s="96" t="s">
        <v>288</v>
      </c>
      <c r="D17" s="96" t="s">
        <v>206</v>
      </c>
      <c r="E17" s="97" t="s">
        <v>277</v>
      </c>
      <c r="F17" s="174" t="s">
        <v>483</v>
      </c>
      <c r="G17" s="185" t="s">
        <v>536</v>
      </c>
      <c r="H17" s="176">
        <v>2</v>
      </c>
      <c r="I17" s="177">
        <v>16</v>
      </c>
      <c r="J17" s="178">
        <v>60</v>
      </c>
      <c r="K17" s="179">
        <f>表格1[[#This Row],[Reg.Hrs]]*表格1[[#This Row],[$]]</f>
        <v>960</v>
      </c>
      <c r="L17" s="180">
        <v>17304</v>
      </c>
      <c r="M17" s="96"/>
      <c r="N17" s="181">
        <f>IFERROR((IF(表格1[[#This Row],[Name.]]=工作表1!$E11,工作表1!$K11," ")*表格1[[#This Row],[Sales]])," ")</f>
        <v>346.08</v>
      </c>
      <c r="O17" s="180">
        <f>IFERROR((IF(表格1[[#This Row],[Full Name.]]=工作表1!F11,工作表1!J11," ")*表格1[[#This Row],[Days]])," ")</f>
        <v>0</v>
      </c>
      <c r="P17" s="180"/>
      <c r="Q17" s="180"/>
      <c r="R17" s="180"/>
      <c r="S17" s="180"/>
      <c r="T17" s="180"/>
      <c r="U17" s="180"/>
      <c r="V17" s="180"/>
      <c r="W17" s="182"/>
      <c r="X17" s="182"/>
      <c r="Y17" s="182"/>
      <c r="Z17" s="180"/>
      <c r="AA17" s="180"/>
      <c r="AB17" s="180"/>
      <c r="AC17" s="180"/>
      <c r="AD17" s="180"/>
      <c r="AE17" s="180"/>
      <c r="AF17" s="180">
        <v>30</v>
      </c>
      <c r="AG17" s="179">
        <f>SUM(表格1[[#This Row],[Commission (1% OR 2%)]:[Expenses/支出]])+表格1[[#This Row],[Basic]]</f>
        <v>1336.08</v>
      </c>
      <c r="AH17" s="184">
        <f t="shared" si="2"/>
        <v>1336</v>
      </c>
      <c r="AI17" s="150"/>
      <c r="AJ17" s="228">
        <v>1306.08</v>
      </c>
      <c r="AK17" s="152">
        <f>表格1[[#This Row],[Input]]-表格1[[#This Row],[Double check]]</f>
        <v>29.920000000000073</v>
      </c>
      <c r="AL17" s="153"/>
      <c r="AM17" s="44"/>
      <c r="AN17" s="44"/>
      <c r="AO17" s="44"/>
      <c r="AP17" s="44"/>
      <c r="AQ17" s="44"/>
      <c r="AR17" s="44"/>
      <c r="AS17" s="44"/>
      <c r="AT17" s="44"/>
    </row>
    <row r="18" spans="1:46" s="44" customFormat="1" ht="33.75" hidden="1">
      <c r="A18" s="98">
        <v>11</v>
      </c>
      <c r="B18" s="96" t="str">
        <f>IF(表格1[[#This Row],[Full Name.]]=工作表1!F12,"OK")</f>
        <v>OK</v>
      </c>
      <c r="C18" s="96" t="s">
        <v>471</v>
      </c>
      <c r="D18" s="96" t="s">
        <v>154</v>
      </c>
      <c r="E18" s="97">
        <v>20855</v>
      </c>
      <c r="F18" s="174" t="s">
        <v>128</v>
      </c>
      <c r="G18" s="185" t="s">
        <v>537</v>
      </c>
      <c r="H18" s="176">
        <v>16</v>
      </c>
      <c r="I18" s="177">
        <v>144</v>
      </c>
      <c r="J18" s="178">
        <v>60</v>
      </c>
      <c r="K18" s="179">
        <f>表格1[[#This Row],[Reg.Hrs]]*表格1[[#This Row],[$]]</f>
        <v>8640</v>
      </c>
      <c r="L18" s="180">
        <v>134544</v>
      </c>
      <c r="M18" s="97"/>
      <c r="N18" s="181">
        <f>IFERROR((IF(表格1[[#This Row],[Name.]]=工作表1!$E12,工作表1!$K12," ")*表格1[[#This Row],[Sales]])," ")</f>
        <v>2690.88</v>
      </c>
      <c r="O18" s="180">
        <f>IFERROR((IF(表格1[[#This Row],[Full Name.]]=工作表1!F12,工作表1!J12," ")*表格1[[#This Row],[Days]])," ")</f>
        <v>0</v>
      </c>
      <c r="P18" s="180">
        <v>0</v>
      </c>
      <c r="Q18" s="180">
        <v>0</v>
      </c>
      <c r="R18" s="180">
        <v>0</v>
      </c>
      <c r="S18" s="180">
        <v>0</v>
      </c>
      <c r="T18" s="180">
        <v>0</v>
      </c>
      <c r="U18" s="180">
        <v>0</v>
      </c>
      <c r="V18" s="180">
        <v>0</v>
      </c>
      <c r="W18" s="182">
        <v>0</v>
      </c>
      <c r="X18" s="182">
        <v>0</v>
      </c>
      <c r="Y18" s="182">
        <v>0</v>
      </c>
      <c r="Z18" s="180">
        <v>0</v>
      </c>
      <c r="AA18" s="180">
        <v>0</v>
      </c>
      <c r="AB18" s="180">
        <v>0</v>
      </c>
      <c r="AC18" s="180">
        <v>0</v>
      </c>
      <c r="AD18" s="180">
        <v>0</v>
      </c>
      <c r="AE18" s="180">
        <v>0</v>
      </c>
      <c r="AF18" s="180"/>
      <c r="AG18" s="179">
        <f>SUM(表格1[[#This Row],[Commission (1% OR 2%)]:[Expenses/支出]])+表格1[[#This Row],[Basic]]</f>
        <v>11330.880000000001</v>
      </c>
      <c r="AH18" s="184">
        <f t="shared" si="2"/>
        <v>11331</v>
      </c>
      <c r="AI18" s="151"/>
      <c r="AJ18" s="227">
        <v>11330.880000000001</v>
      </c>
      <c r="AK18" s="152">
        <f>表格1[[#This Row],[Input]]-表格1[[#This Row],[Double check]]</f>
        <v>0.11999999999898137</v>
      </c>
      <c r="AL18" s="153"/>
    </row>
    <row r="19" spans="1:46" s="50" customFormat="1" ht="36" hidden="1">
      <c r="A19" s="98">
        <v>12</v>
      </c>
      <c r="B19" s="96" t="str">
        <f>IF(表格1[[#This Row],[Full Name.]]=工作表1!F13,"OK")</f>
        <v>OK</v>
      </c>
      <c r="C19" s="96" t="s">
        <v>255</v>
      </c>
      <c r="D19" s="96" t="s">
        <v>123</v>
      </c>
      <c r="E19" s="97" t="s">
        <v>277</v>
      </c>
      <c r="F19" s="174" t="s">
        <v>129</v>
      </c>
      <c r="G19" s="185" t="s">
        <v>538</v>
      </c>
      <c r="H19" s="176">
        <v>7</v>
      </c>
      <c r="I19" s="177">
        <v>63</v>
      </c>
      <c r="J19" s="178">
        <v>60</v>
      </c>
      <c r="K19" s="179">
        <f>表格1[[#This Row],[Reg.Hrs]]*表格1[[#This Row],[$]]</f>
        <v>3780</v>
      </c>
      <c r="L19" s="180">
        <v>28203</v>
      </c>
      <c r="M19" s="96"/>
      <c r="N19" s="181">
        <f>IFERROR((IF(表格1[[#This Row],[Name.]]=工作表1!$E13,工作表1!$K13," ")*表格1[[#This Row],[Sales]])," ")</f>
        <v>564.06000000000006</v>
      </c>
      <c r="O19" s="180">
        <f>IFERROR((IF(表格1[[#This Row],[Full Name.]]=工作表1!F13,工作表1!J13," ")*表格1[[#This Row],[Days]])," ")</f>
        <v>0</v>
      </c>
      <c r="P19" s="180"/>
      <c r="Q19" s="180"/>
      <c r="R19" s="180"/>
      <c r="S19" s="180"/>
      <c r="T19" s="180"/>
      <c r="U19" s="180"/>
      <c r="V19" s="180"/>
      <c r="W19" s="182"/>
      <c r="X19" s="182"/>
      <c r="Y19" s="182"/>
      <c r="Z19" s="180"/>
      <c r="AA19" s="180"/>
      <c r="AB19" s="180"/>
      <c r="AC19" s="180"/>
      <c r="AD19" s="180"/>
      <c r="AE19" s="180"/>
      <c r="AF19" s="180"/>
      <c r="AG19" s="179">
        <f>SUM(表格1[[#This Row],[Commission (1% OR 2%)]:[Expenses/支出]])+表格1[[#This Row],[Basic]]</f>
        <v>4344.0600000000004</v>
      </c>
      <c r="AH19" s="184">
        <f t="shared" si="2"/>
        <v>4344</v>
      </c>
      <c r="AI19" s="150"/>
      <c r="AJ19" s="227">
        <v>4344.0600000000004</v>
      </c>
      <c r="AK19" s="152">
        <f>表格1[[#This Row],[Input]]-表格1[[#This Row],[Double check]]</f>
        <v>-6.0000000000400178E-2</v>
      </c>
      <c r="AL19" s="153"/>
      <c r="AM19" s="156"/>
      <c r="AN19" s="156"/>
      <c r="AO19" s="156"/>
      <c r="AP19" s="156"/>
      <c r="AQ19" s="156"/>
      <c r="AR19" s="156"/>
      <c r="AS19" s="156"/>
      <c r="AT19" s="156"/>
    </row>
    <row r="20" spans="1:46" s="44" customFormat="1" ht="33.75" hidden="1">
      <c r="A20" s="98">
        <v>13</v>
      </c>
      <c r="B20" s="96" t="str">
        <f>IF(表格1[[#This Row],[Full Name.]]=工作表1!F14,"OK")</f>
        <v>OK</v>
      </c>
      <c r="C20" s="96" t="s">
        <v>201</v>
      </c>
      <c r="D20" s="96" t="s">
        <v>96</v>
      </c>
      <c r="E20" s="97" t="s">
        <v>277</v>
      </c>
      <c r="F20" s="174" t="s">
        <v>290</v>
      </c>
      <c r="G20" s="185" t="s">
        <v>539</v>
      </c>
      <c r="H20" s="176">
        <v>1</v>
      </c>
      <c r="I20" s="177">
        <v>9</v>
      </c>
      <c r="J20" s="178">
        <v>60</v>
      </c>
      <c r="K20" s="179">
        <f>表格1[[#This Row],[Reg.Hrs]]*表格1[[#This Row],[$]]</f>
        <v>540</v>
      </c>
      <c r="L20" s="180">
        <v>4664</v>
      </c>
      <c r="M20" s="96"/>
      <c r="N20" s="181">
        <f>IFERROR((IF(表格1[[#This Row],[Name.]]=工作表1!$E14,工作表1!$K14," ")*表格1[[#This Row],[Sales]])," ")</f>
        <v>93.28</v>
      </c>
      <c r="O20" s="180">
        <f>IFERROR((IF(表格1[[#This Row],[Full Name.]]=工作表1!F14,工作表1!J14," ")*表格1[[#This Row],[Days]])," ")</f>
        <v>0</v>
      </c>
      <c r="P20" s="180"/>
      <c r="Q20" s="180"/>
      <c r="R20" s="180"/>
      <c r="S20" s="180"/>
      <c r="T20" s="180"/>
      <c r="U20" s="180"/>
      <c r="V20" s="180"/>
      <c r="W20" s="182"/>
      <c r="X20" s="182"/>
      <c r="Y20" s="182"/>
      <c r="Z20" s="180"/>
      <c r="AA20" s="180"/>
      <c r="AB20" s="180"/>
      <c r="AC20" s="180"/>
      <c r="AD20" s="180"/>
      <c r="AE20" s="180"/>
      <c r="AF20" s="180"/>
      <c r="AG20" s="179">
        <f>SUM(表格1[[#This Row],[Commission (1% OR 2%)]:[Expenses/支出]])+表格1[[#This Row],[Basic]]</f>
        <v>633.28</v>
      </c>
      <c r="AH20" s="184">
        <f t="shared" si="2"/>
        <v>633</v>
      </c>
      <c r="AI20" s="151"/>
      <c r="AJ20" s="227">
        <v>633.28</v>
      </c>
      <c r="AK20" s="162">
        <f>表格1[[#This Row],[Input]]-表格1[[#This Row],[Double check]]</f>
        <v>-0.27999999999997272</v>
      </c>
      <c r="AL20" s="163"/>
    </row>
    <row r="21" spans="1:46" s="50" customFormat="1" ht="36" hidden="1">
      <c r="A21" s="98">
        <v>14</v>
      </c>
      <c r="B21" s="96" t="str">
        <f>IF(表格1[[#This Row],[Full Name.]]=工作表1!F15,"OK")</f>
        <v>OK</v>
      </c>
      <c r="C21" s="96" t="s">
        <v>472</v>
      </c>
      <c r="D21" s="96" t="s">
        <v>154</v>
      </c>
      <c r="E21" s="97">
        <v>20856</v>
      </c>
      <c r="F21" s="174" t="s">
        <v>484</v>
      </c>
      <c r="G21" s="175" t="s">
        <v>540</v>
      </c>
      <c r="H21" s="176">
        <v>7</v>
      </c>
      <c r="I21" s="177">
        <v>56</v>
      </c>
      <c r="J21" s="178">
        <v>60</v>
      </c>
      <c r="K21" s="179">
        <f>表格1[[#This Row],[Reg.Hrs]]*表格1[[#This Row],[$]]</f>
        <v>3360</v>
      </c>
      <c r="L21" s="180">
        <v>151474.6</v>
      </c>
      <c r="M21" s="96"/>
      <c r="N21" s="181">
        <f>IFERROR((IF(表格1[[#This Row],[Name.]]=工作表1!$E15,工作表1!$K15," ")*表格1[[#This Row],[Sales]])," ")</f>
        <v>3029.4920000000002</v>
      </c>
      <c r="O21" s="180">
        <f>IFERROR((IF(表格1[[#This Row],[Full Name.]]=工作表1!F15,工作表1!J15," ")*表格1[[#This Row],[Days]])," ")</f>
        <v>0</v>
      </c>
      <c r="P21" s="180"/>
      <c r="Q21" s="180"/>
      <c r="R21" s="180"/>
      <c r="S21" s="180"/>
      <c r="T21" s="180"/>
      <c r="U21" s="180"/>
      <c r="V21" s="180"/>
      <c r="W21" s="182"/>
      <c r="X21" s="182"/>
      <c r="Y21" s="182"/>
      <c r="Z21" s="180"/>
      <c r="AA21" s="180"/>
      <c r="AB21" s="180"/>
      <c r="AC21" s="180"/>
      <c r="AD21" s="180"/>
      <c r="AE21" s="180"/>
      <c r="AF21" s="180"/>
      <c r="AG21" s="179">
        <f>SUM(表格1[[#This Row],[Commission (1% OR 2%)]:[Expenses/支出]])+表格1[[#This Row],[Basic]]</f>
        <v>6389.4920000000002</v>
      </c>
      <c r="AH21" s="184">
        <f t="shared" si="2"/>
        <v>6389</v>
      </c>
      <c r="AI21" s="151"/>
      <c r="AJ21" s="228">
        <v>6389.4920000000002</v>
      </c>
      <c r="AK21" s="152">
        <f>表格1[[#This Row],[Input]]-表格1[[#This Row],[Double check]]</f>
        <v>-0.49200000000018917</v>
      </c>
      <c r="AL21" s="153"/>
      <c r="AM21" s="156"/>
      <c r="AN21" s="156"/>
      <c r="AO21" s="156"/>
      <c r="AP21" s="156"/>
      <c r="AQ21" s="156"/>
      <c r="AR21" s="156"/>
      <c r="AS21" s="156"/>
      <c r="AT21" s="156"/>
    </row>
    <row r="22" spans="1:46" s="44" customFormat="1" ht="33.75" hidden="1">
      <c r="A22" s="98">
        <v>15</v>
      </c>
      <c r="B22" s="96" t="str">
        <f>IF(表格1[[#This Row],[Full Name.]]=工作表1!F16,"OK")</f>
        <v>OK</v>
      </c>
      <c r="C22" s="96" t="s">
        <v>258</v>
      </c>
      <c r="D22" s="96" t="s">
        <v>123</v>
      </c>
      <c r="E22" s="97" t="s">
        <v>277</v>
      </c>
      <c r="F22" s="174" t="s">
        <v>485</v>
      </c>
      <c r="G22" s="185" t="s">
        <v>541</v>
      </c>
      <c r="H22" s="176">
        <v>3</v>
      </c>
      <c r="I22" s="177">
        <v>24</v>
      </c>
      <c r="J22" s="178">
        <v>60</v>
      </c>
      <c r="K22" s="179">
        <f>表格1[[#This Row],[Reg.Hrs]]*表格1[[#This Row],[$]]</f>
        <v>1440</v>
      </c>
      <c r="L22" s="180">
        <v>79845</v>
      </c>
      <c r="M22" s="187"/>
      <c r="N22" s="181">
        <f>IFERROR((IF(表格1[[#This Row],[Name.]]=工作表1!$E16,工作表1!$K16," ")*表格1[[#This Row],[Sales]])," ")</f>
        <v>798.45</v>
      </c>
      <c r="O22" s="180">
        <f>IFERROR((IF(表格1[[#This Row],[Full Name.]]=工作表1!F16,工作表1!J16," ")*表格1[[#This Row],[Days]])," ")</f>
        <v>0</v>
      </c>
      <c r="P22" s="180"/>
      <c r="Q22" s="180"/>
      <c r="R22" s="180"/>
      <c r="S22" s="180"/>
      <c r="T22" s="180"/>
      <c r="U22" s="180"/>
      <c r="V22" s="180"/>
      <c r="W22" s="182"/>
      <c r="X22" s="182"/>
      <c r="Y22" s="182"/>
      <c r="Z22" s="180"/>
      <c r="AA22" s="180"/>
      <c r="AB22" s="180"/>
      <c r="AC22" s="180"/>
      <c r="AD22" s="180"/>
      <c r="AE22" s="180"/>
      <c r="AF22" s="180"/>
      <c r="AG22" s="179">
        <f>SUM(表格1[[#This Row],[Commission (1% OR 2%)]:[Expenses/支出]])+表格1[[#This Row],[Basic]]</f>
        <v>2238.4499999999998</v>
      </c>
      <c r="AH22" s="184">
        <f t="shared" si="2"/>
        <v>2238</v>
      </c>
      <c r="AI22" s="151"/>
      <c r="AJ22" s="228">
        <v>2238.4499999999998</v>
      </c>
      <c r="AK22" s="152">
        <f>表格1[[#This Row],[Input]]-表格1[[#This Row],[Double check]]</f>
        <v>-0.4499999999998181</v>
      </c>
      <c r="AL22" s="153"/>
    </row>
    <row r="23" spans="1:46" s="85" customFormat="1" ht="33.75" hidden="1">
      <c r="A23" s="98">
        <v>16</v>
      </c>
      <c r="B23" s="96" t="str">
        <f>IF(表格1[[#This Row],[Full Name.]]=工作表1!F17,"OK")</f>
        <v>OK</v>
      </c>
      <c r="C23" s="96" t="s">
        <v>65</v>
      </c>
      <c r="D23" s="96" t="s">
        <v>174</v>
      </c>
      <c r="E23" s="97" t="s">
        <v>277</v>
      </c>
      <c r="F23" s="174" t="s">
        <v>264</v>
      </c>
      <c r="G23" s="185" t="s">
        <v>542</v>
      </c>
      <c r="H23" s="176">
        <v>22</v>
      </c>
      <c r="I23" s="177">
        <v>176</v>
      </c>
      <c r="J23" s="178">
        <v>60</v>
      </c>
      <c r="K23" s="179">
        <f>表格1[[#This Row],[Reg.Hrs]]*表格1[[#This Row],[$]]</f>
        <v>10560</v>
      </c>
      <c r="L23" s="180">
        <v>487590</v>
      </c>
      <c r="M23" s="97"/>
      <c r="N23" s="181">
        <f>IFERROR((IF(表格1[[#This Row],[Name.]]=工作表1!$E17,工作表1!$K17," ")*表格1[[#This Row],[Sales]])," ")</f>
        <v>9751.8000000000011</v>
      </c>
      <c r="O23" s="180">
        <f>IFERROR((IF(表格1[[#This Row],[Full Name.]]=工作表1!F17,工作表1!J17," ")*表格1[[#This Row],[Days]])," ")</f>
        <v>0</v>
      </c>
      <c r="P23" s="180">
        <v>0</v>
      </c>
      <c r="Q23" s="180">
        <v>0</v>
      </c>
      <c r="R23" s="180">
        <v>0</v>
      </c>
      <c r="S23" s="180">
        <v>0</v>
      </c>
      <c r="T23" s="180">
        <v>320</v>
      </c>
      <c r="U23" s="180">
        <v>0</v>
      </c>
      <c r="V23" s="180">
        <v>0</v>
      </c>
      <c r="W23" s="182">
        <v>0</v>
      </c>
      <c r="X23" s="182">
        <v>0</v>
      </c>
      <c r="Y23" s="182">
        <v>0</v>
      </c>
      <c r="Z23" s="180">
        <v>0</v>
      </c>
      <c r="AA23" s="180">
        <v>0</v>
      </c>
      <c r="AB23" s="180">
        <v>0</v>
      </c>
      <c r="AC23" s="180">
        <v>0</v>
      </c>
      <c r="AD23" s="180">
        <v>500</v>
      </c>
      <c r="AE23" s="180">
        <v>1000</v>
      </c>
      <c r="AF23" s="180"/>
      <c r="AG23" s="179">
        <f>SUM(表格1[[#This Row],[Commission (1% OR 2%)]:[Expenses/支出]])+表格1[[#This Row],[Basic]]</f>
        <v>22131.800000000003</v>
      </c>
      <c r="AH23" s="184">
        <f t="shared" si="2"/>
        <v>22132</v>
      </c>
      <c r="AI23" s="150"/>
      <c r="AJ23" s="228">
        <v>22131.800000000003</v>
      </c>
      <c r="AK23" s="152">
        <f>表格1[[#This Row],[Input]]-表格1[[#This Row],[Double check]]</f>
        <v>0.19999999999708962</v>
      </c>
      <c r="AL23" s="153"/>
    </row>
    <row r="24" spans="1:46" s="104" customFormat="1" ht="34.5" hidden="1" thickBot="1">
      <c r="A24" s="98">
        <v>17</v>
      </c>
      <c r="B24" s="96" t="str">
        <f>IF(表格1[[#This Row],[Full Name.]]=工作表1!F18,"OK")</f>
        <v>OK</v>
      </c>
      <c r="C24" s="96" t="s">
        <v>107</v>
      </c>
      <c r="D24" s="96" t="s">
        <v>180</v>
      </c>
      <c r="E24" s="97">
        <v>20857</v>
      </c>
      <c r="F24" s="174" t="s">
        <v>292</v>
      </c>
      <c r="G24" s="175" t="s">
        <v>543</v>
      </c>
      <c r="H24" s="176">
        <v>22</v>
      </c>
      <c r="I24" s="177">
        <v>170</v>
      </c>
      <c r="J24" s="178">
        <v>60</v>
      </c>
      <c r="K24" s="179">
        <f>表格1[[#This Row],[Reg.Hrs]]*表格1[[#This Row],[$]]</f>
        <v>10200</v>
      </c>
      <c r="L24" s="180">
        <v>372105</v>
      </c>
      <c r="M24" s="96"/>
      <c r="N24" s="181">
        <f>IFERROR((IF(表格1[[#This Row],[Name.]]=工作表1!$E18,工作表1!$K18," ")*表格1[[#This Row],[Sales]])," ")</f>
        <v>7442.1</v>
      </c>
      <c r="O24" s="180">
        <f>IFERROR((IF(表格1[[#This Row],[Full Name.]]=工作表1!F18,工作表1!J18," ")*表格1[[#This Row],[Days]])," ")</f>
        <v>0</v>
      </c>
      <c r="P24" s="180">
        <v>0</v>
      </c>
      <c r="Q24" s="180">
        <v>0</v>
      </c>
      <c r="R24" s="180">
        <v>0</v>
      </c>
      <c r="S24" s="180">
        <v>0</v>
      </c>
      <c r="T24" s="180">
        <v>160</v>
      </c>
      <c r="U24" s="180">
        <v>0</v>
      </c>
      <c r="V24" s="180">
        <v>0</v>
      </c>
      <c r="W24" s="182">
        <v>0</v>
      </c>
      <c r="X24" s="182">
        <v>300</v>
      </c>
      <c r="Y24" s="182">
        <v>0</v>
      </c>
      <c r="Z24" s="180">
        <v>0</v>
      </c>
      <c r="AA24" s="180">
        <v>0</v>
      </c>
      <c r="AB24" s="180">
        <v>0</v>
      </c>
      <c r="AC24" s="180">
        <v>0</v>
      </c>
      <c r="AD24" s="180">
        <v>0</v>
      </c>
      <c r="AE24" s="180">
        <v>0</v>
      </c>
      <c r="AF24" s="180"/>
      <c r="AG24" s="179">
        <f>SUM(表格1[[#This Row],[Commission (1% OR 2%)]:[Expenses/支出]])+表格1[[#This Row],[Basic]]</f>
        <v>18102.099999999999</v>
      </c>
      <c r="AH24" s="184">
        <f t="shared" si="2"/>
        <v>18102</v>
      </c>
      <c r="AI24" s="226"/>
      <c r="AJ24" s="229">
        <v>18102.099999999999</v>
      </c>
      <c r="AK24" s="157">
        <f>表格1[[#This Row],[Input]]-表格1[[#This Row],[Double check]]</f>
        <v>-9.9999999998544808E-2</v>
      </c>
      <c r="AL24" s="158"/>
    </row>
    <row r="25" spans="1:46" s="47" customFormat="1" ht="33.75" hidden="1">
      <c r="A25" s="98">
        <v>18</v>
      </c>
      <c r="B25" s="96" t="str">
        <f>IF(表格1[[#This Row],[Full Name.]]=工作表1!F19,"OK")</f>
        <v>OK</v>
      </c>
      <c r="C25" s="96" t="s">
        <v>55</v>
      </c>
      <c r="D25" s="96" t="s">
        <v>102</v>
      </c>
      <c r="E25" s="97" t="s">
        <v>277</v>
      </c>
      <c r="F25" s="174" t="s">
        <v>130</v>
      </c>
      <c r="G25" s="185" t="s">
        <v>544</v>
      </c>
      <c r="H25" s="176">
        <v>23</v>
      </c>
      <c r="I25" s="177">
        <v>184</v>
      </c>
      <c r="J25" s="178">
        <v>60</v>
      </c>
      <c r="K25" s="179">
        <f>表格1[[#This Row],[Reg.Hrs]]*表格1[[#This Row],[$]]</f>
        <v>11040</v>
      </c>
      <c r="L25" s="180">
        <v>335290</v>
      </c>
      <c r="M25" s="97"/>
      <c r="N25" s="181">
        <f>IFERROR((IF(表格1[[#This Row],[Name.]]=工作表1!$E19,工作表1!$K19," ")*表格1[[#This Row],[Sales]])," ")</f>
        <v>6705.8</v>
      </c>
      <c r="O25" s="180">
        <f>IFERROR((IF(表格1[[#This Row],[Full Name.]]=工作表1!F19,工作表1!J19," ")*表格1[[#This Row],[Days]])," ")</f>
        <v>0</v>
      </c>
      <c r="P25" s="180">
        <v>0</v>
      </c>
      <c r="Q25" s="180">
        <v>200</v>
      </c>
      <c r="R25" s="180">
        <v>0</v>
      </c>
      <c r="S25" s="180">
        <v>0</v>
      </c>
      <c r="T25" s="180">
        <v>0</v>
      </c>
      <c r="U25" s="180">
        <v>0</v>
      </c>
      <c r="V25" s="180">
        <v>0</v>
      </c>
      <c r="W25" s="182">
        <v>0</v>
      </c>
      <c r="X25" s="182">
        <v>0</v>
      </c>
      <c r="Y25" s="182">
        <v>0</v>
      </c>
      <c r="Z25" s="186">
        <v>0</v>
      </c>
      <c r="AA25" s="186">
        <v>200</v>
      </c>
      <c r="AB25" s="186">
        <v>0</v>
      </c>
      <c r="AC25" s="186">
        <v>0</v>
      </c>
      <c r="AD25" s="186">
        <v>0</v>
      </c>
      <c r="AE25" s="186">
        <v>0</v>
      </c>
      <c r="AF25" s="186"/>
      <c r="AG25" s="179">
        <f>SUM(表格1[[#This Row],[Commission (1% OR 2%)]:[Expenses/支出]])+表格1[[#This Row],[Basic]]</f>
        <v>18145.8</v>
      </c>
      <c r="AH25" s="184">
        <f t="shared" si="2"/>
        <v>18146</v>
      </c>
      <c r="AI25" s="151"/>
      <c r="AJ25" s="227">
        <v>18145.8</v>
      </c>
      <c r="AK25" s="152">
        <f>表格1[[#This Row],[Input]]-表格1[[#This Row],[Double check]]</f>
        <v>0.2000000000007276</v>
      </c>
      <c r="AL25" s="153"/>
      <c r="AM25" s="154"/>
      <c r="AN25" s="154"/>
      <c r="AO25" s="154"/>
      <c r="AP25" s="154"/>
      <c r="AQ25" s="154"/>
      <c r="AR25" s="154"/>
      <c r="AS25" s="154"/>
      <c r="AT25" s="154"/>
    </row>
    <row r="26" spans="1:46" s="48" customFormat="1" ht="33.75">
      <c r="A26" s="98">
        <v>19</v>
      </c>
      <c r="B26" s="96" t="str">
        <f>IF(表格1[[#This Row],[Full Name.]]=工作表1!F20,"OK")</f>
        <v>OK</v>
      </c>
      <c r="C26" s="96" t="s">
        <v>208</v>
      </c>
      <c r="D26" s="96" t="s">
        <v>155</v>
      </c>
      <c r="E26" s="197" t="s">
        <v>277</v>
      </c>
      <c r="F26" s="174" t="s">
        <v>486</v>
      </c>
      <c r="G26" s="185" t="s">
        <v>545</v>
      </c>
      <c r="H26" s="176">
        <v>21</v>
      </c>
      <c r="I26" s="177">
        <v>168</v>
      </c>
      <c r="J26" s="178">
        <v>55</v>
      </c>
      <c r="K26" s="179">
        <f>表格1[[#This Row],[Reg.Hrs]]*表格1[[#This Row],[$]]</f>
        <v>9240</v>
      </c>
      <c r="L26" s="180">
        <v>119202.6</v>
      </c>
      <c r="M26" s="96"/>
      <c r="N26" s="181">
        <f>IFERROR((IF(表格1[[#This Row],[Name.]]=工作表1!$E20,工作表1!$K20," ")*表格1[[#This Row],[Sales]])," ")</f>
        <v>2384.0520000000001</v>
      </c>
      <c r="O26" s="180">
        <f>IFERROR((IF(表格1[[#This Row],[Full Name.]]=工作表1!F20,工作表1!J20," ")*表格1[[#This Row],[Days]])," ")</f>
        <v>0</v>
      </c>
      <c r="P26" s="180">
        <v>0</v>
      </c>
      <c r="Q26" s="180">
        <v>0</v>
      </c>
      <c r="R26" s="180">
        <v>0</v>
      </c>
      <c r="S26" s="180">
        <v>0</v>
      </c>
      <c r="T26" s="180">
        <v>0</v>
      </c>
      <c r="U26" s="180">
        <v>0</v>
      </c>
      <c r="V26" s="180">
        <v>0</v>
      </c>
      <c r="W26" s="182">
        <v>0</v>
      </c>
      <c r="X26" s="182">
        <v>0</v>
      </c>
      <c r="Y26" s="182">
        <v>0</v>
      </c>
      <c r="Z26" s="186">
        <v>0</v>
      </c>
      <c r="AA26" s="186">
        <v>0</v>
      </c>
      <c r="AB26" s="186">
        <v>0</v>
      </c>
      <c r="AC26" s="186">
        <v>0</v>
      </c>
      <c r="AD26" s="186">
        <v>0</v>
      </c>
      <c r="AE26" s="186">
        <v>0</v>
      </c>
      <c r="AF26" s="186"/>
      <c r="AG26" s="179">
        <f>SUM(表格1[[#This Row],[Commission (1% OR 2%)]:[Expenses/支出]])+表格1[[#This Row],[Basic]]</f>
        <v>11624.052</v>
      </c>
      <c r="AH26" s="184">
        <f t="shared" si="2"/>
        <v>11624</v>
      </c>
      <c r="AI26" s="151"/>
      <c r="AJ26" s="228">
        <v>11624.052</v>
      </c>
      <c r="AK26" s="152">
        <f>表格1[[#This Row],[Input]]-表格1[[#This Row],[Double check]]</f>
        <v>-5.1999999999679858E-2</v>
      </c>
      <c r="AL26" s="153"/>
      <c r="AM26" s="45"/>
      <c r="AN26" s="45"/>
      <c r="AO26" s="45"/>
      <c r="AP26" s="45"/>
      <c r="AQ26" s="45"/>
      <c r="AR26" s="45"/>
      <c r="AS26" s="45"/>
      <c r="AT26" s="45"/>
    </row>
    <row r="27" spans="1:46" s="86" customFormat="1" ht="34.5" thickBot="1">
      <c r="A27" s="98">
        <v>20</v>
      </c>
      <c r="B27" s="96" t="str">
        <f>IF(表格1[[#This Row],[Full Name.]]=工作表1!F21,"OK")</f>
        <v>OK</v>
      </c>
      <c r="C27" s="96" t="s">
        <v>473</v>
      </c>
      <c r="D27" s="96" t="s">
        <v>122</v>
      </c>
      <c r="E27" s="97" t="s">
        <v>277</v>
      </c>
      <c r="F27" s="174" t="s">
        <v>487</v>
      </c>
      <c r="G27" s="185" t="s">
        <v>536</v>
      </c>
      <c r="H27" s="176">
        <v>2</v>
      </c>
      <c r="I27" s="177">
        <v>16</v>
      </c>
      <c r="J27" s="178">
        <v>60</v>
      </c>
      <c r="K27" s="179">
        <f>表格1[[#This Row],[Reg.Hrs]]*表格1[[#This Row],[$]]</f>
        <v>960</v>
      </c>
      <c r="L27" s="180">
        <v>17628</v>
      </c>
      <c r="M27" s="97"/>
      <c r="N27" s="181">
        <f>IFERROR((IF(表格1[[#This Row],[Name.]]=工作表1!$E21,工作表1!$K21," ")*表格1[[#This Row],[Sales]])," ")</f>
        <v>352.56</v>
      </c>
      <c r="O27" s="180">
        <f>IFERROR((IF(表格1[[#This Row],[Full Name.]]=工作表1!F21,工作表1!J21," ")*表格1[[#This Row],[Days]])," ")</f>
        <v>0</v>
      </c>
      <c r="P27" s="180"/>
      <c r="Q27" s="180"/>
      <c r="R27" s="180"/>
      <c r="S27" s="180"/>
      <c r="T27" s="180"/>
      <c r="U27" s="180"/>
      <c r="V27" s="180"/>
      <c r="W27" s="182"/>
      <c r="X27" s="182"/>
      <c r="Y27" s="182"/>
      <c r="Z27" s="186"/>
      <c r="AA27" s="186"/>
      <c r="AB27" s="186"/>
      <c r="AC27" s="186"/>
      <c r="AD27" s="186"/>
      <c r="AE27" s="186"/>
      <c r="AF27" s="186"/>
      <c r="AG27" s="179">
        <f>SUM(表格1[[#This Row],[Commission (1% OR 2%)]:[Expenses/支出]])+表格1[[#This Row],[Basic]]</f>
        <v>1312.56</v>
      </c>
      <c r="AH27" s="184">
        <f t="shared" si="2"/>
        <v>1313</v>
      </c>
      <c r="AI27" s="151"/>
      <c r="AJ27" s="227">
        <v>1312.56</v>
      </c>
      <c r="AK27" s="152">
        <f>表格1[[#This Row],[Input]]-表格1[[#This Row],[Double check]]</f>
        <v>0.44000000000005457</v>
      </c>
      <c r="AL27" s="153"/>
      <c r="AM27" s="159"/>
      <c r="AN27" s="159"/>
      <c r="AO27" s="159"/>
      <c r="AP27" s="159"/>
      <c r="AQ27" s="159"/>
      <c r="AR27" s="159"/>
      <c r="AS27" s="159"/>
      <c r="AT27" s="159"/>
    </row>
    <row r="28" spans="1:46" s="105" customFormat="1" ht="34.5" hidden="1" thickBot="1">
      <c r="A28" s="98">
        <v>21</v>
      </c>
      <c r="B28" s="96" t="str">
        <f>IF(表格1[[#This Row],[Full Name.]]=工作表1!F22,"OK")</f>
        <v>OK</v>
      </c>
      <c r="C28" s="96" t="s">
        <v>105</v>
      </c>
      <c r="D28" s="96" t="s">
        <v>175</v>
      </c>
      <c r="E28" s="97">
        <v>20858</v>
      </c>
      <c r="F28" s="174" t="s">
        <v>131</v>
      </c>
      <c r="G28" s="175" t="s">
        <v>546</v>
      </c>
      <c r="H28" s="176">
        <v>16</v>
      </c>
      <c r="I28" s="177">
        <v>128</v>
      </c>
      <c r="J28" s="178">
        <v>55</v>
      </c>
      <c r="K28" s="179">
        <f>表格1[[#This Row],[Reg.Hrs]]*表格1[[#This Row],[$]]</f>
        <v>7040</v>
      </c>
      <c r="L28" s="180">
        <v>228635.5</v>
      </c>
      <c r="M28" s="96"/>
      <c r="N28" s="181">
        <f>IFERROR((IF(表格1[[#This Row],[Name.]]=工作表1!$E22,工作表1!$K22," ")*表格1[[#This Row],[Sales]])," ")</f>
        <v>4572.71</v>
      </c>
      <c r="O28" s="180">
        <f>IFERROR((IF(表格1[[#This Row],[Full Name.]]=工作表1!F22,工作表1!J22," ")*表格1[[#This Row],[Days]])," ")</f>
        <v>480</v>
      </c>
      <c r="P28" s="180">
        <v>0</v>
      </c>
      <c r="Q28" s="180">
        <v>0</v>
      </c>
      <c r="R28" s="180">
        <v>0</v>
      </c>
      <c r="S28" s="180">
        <v>0</v>
      </c>
      <c r="T28" s="180">
        <v>0</v>
      </c>
      <c r="U28" s="180">
        <v>0</v>
      </c>
      <c r="V28" s="180">
        <v>0</v>
      </c>
      <c r="W28" s="182">
        <v>0</v>
      </c>
      <c r="X28" s="182">
        <v>0</v>
      </c>
      <c r="Y28" s="182">
        <v>0</v>
      </c>
      <c r="Z28" s="188">
        <v>0</v>
      </c>
      <c r="AA28" s="188">
        <v>0</v>
      </c>
      <c r="AB28" s="188">
        <v>0</v>
      </c>
      <c r="AC28" s="188">
        <v>0</v>
      </c>
      <c r="AD28" s="188">
        <v>0</v>
      </c>
      <c r="AE28" s="188">
        <v>0</v>
      </c>
      <c r="AF28" s="188"/>
      <c r="AG28" s="179">
        <f>SUM(表格1[[#This Row],[Commission (1% OR 2%)]:[Expenses/支出]])+表格1[[#This Row],[Basic]]</f>
        <v>12092.71</v>
      </c>
      <c r="AH28" s="184">
        <f t="shared" si="2"/>
        <v>12093</v>
      </c>
      <c r="AI28" s="226"/>
      <c r="AJ28" s="229">
        <v>12092.71</v>
      </c>
      <c r="AK28" s="157">
        <f>表格1[[#This Row],[Input]]-表格1[[#This Row],[Double check]]</f>
        <v>0.29000000000087311</v>
      </c>
      <c r="AL28" s="158"/>
    </row>
    <row r="29" spans="1:46" s="46" customFormat="1" ht="33.75" hidden="1">
      <c r="A29" s="98">
        <v>22</v>
      </c>
      <c r="B29" s="96" t="str">
        <f>IF(表格1[[#This Row],[Full Name.]]=工作表1!F23,"OK")</f>
        <v>OK</v>
      </c>
      <c r="C29" s="96" t="s">
        <v>474</v>
      </c>
      <c r="D29" s="96" t="s">
        <v>92</v>
      </c>
      <c r="E29" s="97">
        <v>20859</v>
      </c>
      <c r="F29" s="174" t="s">
        <v>98</v>
      </c>
      <c r="G29" s="175" t="s">
        <v>547</v>
      </c>
      <c r="H29" s="176">
        <v>4</v>
      </c>
      <c r="I29" s="177">
        <v>32</v>
      </c>
      <c r="J29" s="178">
        <v>55</v>
      </c>
      <c r="K29" s="179">
        <f>表格1[[#This Row],[Reg.Hrs]]*表格1[[#This Row],[$]]</f>
        <v>1760</v>
      </c>
      <c r="L29" s="180">
        <v>31095</v>
      </c>
      <c r="M29" s="97"/>
      <c r="N29" s="181">
        <f>IFERROR((IF(表格1[[#This Row],[Name.]]=工作表1!$E23,工作表1!$K23," ")*表格1[[#This Row],[Sales]])," ")</f>
        <v>621.9</v>
      </c>
      <c r="O29" s="180">
        <f>IFERROR((IF(表格1[[#This Row],[Full Name.]]=工作表1!F23,工作表1!J23," ")*表格1[[#This Row],[Days]])," ")</f>
        <v>0</v>
      </c>
      <c r="P29" s="180"/>
      <c r="Q29" s="180"/>
      <c r="R29" s="180"/>
      <c r="S29" s="180"/>
      <c r="T29" s="180"/>
      <c r="U29" s="180"/>
      <c r="V29" s="180"/>
      <c r="W29" s="182"/>
      <c r="X29" s="182"/>
      <c r="Y29" s="182"/>
      <c r="Z29" s="180"/>
      <c r="AA29" s="180"/>
      <c r="AB29" s="180"/>
      <c r="AC29" s="180"/>
      <c r="AD29" s="180"/>
      <c r="AE29" s="180"/>
      <c r="AF29" s="180"/>
      <c r="AG29" s="179">
        <f>SUM(表格1[[#This Row],[Commission (1% OR 2%)]:[Expenses/支出]])+表格1[[#This Row],[Basic]]</f>
        <v>2381.9</v>
      </c>
      <c r="AH29" s="184">
        <f t="shared" si="2"/>
        <v>2382</v>
      </c>
      <c r="AI29" s="150"/>
      <c r="AJ29" s="227">
        <v>2381.9</v>
      </c>
      <c r="AK29" s="152">
        <f>表格1[[#This Row],[Input]]-表格1[[#This Row],[Double check]]</f>
        <v>9.9999999999909051E-2</v>
      </c>
      <c r="AL29" s="153"/>
      <c r="AM29" s="44"/>
      <c r="AN29" s="44"/>
      <c r="AO29" s="44"/>
      <c r="AP29" s="44"/>
      <c r="AQ29" s="44"/>
      <c r="AR29" s="44"/>
      <c r="AS29" s="44"/>
      <c r="AT29" s="44"/>
    </row>
    <row r="30" spans="1:46" s="87" customFormat="1" ht="33.75" hidden="1">
      <c r="A30" s="98">
        <v>23</v>
      </c>
      <c r="B30" s="96" t="str">
        <f>IF(表格1[[#This Row],[Full Name.]]=工作表1!F24,"OK")</f>
        <v>OK</v>
      </c>
      <c r="C30" s="96" t="s">
        <v>194</v>
      </c>
      <c r="D30" s="96" t="s">
        <v>195</v>
      </c>
      <c r="E30" s="97">
        <v>20860</v>
      </c>
      <c r="F30" s="174" t="s">
        <v>293</v>
      </c>
      <c r="G30" s="175" t="s">
        <v>548</v>
      </c>
      <c r="H30" s="176">
        <v>7</v>
      </c>
      <c r="I30" s="177">
        <v>56</v>
      </c>
      <c r="J30" s="178">
        <v>55</v>
      </c>
      <c r="K30" s="179">
        <f>表格1[[#This Row],[Reg.Hrs]]*表格1[[#This Row],[$]]</f>
        <v>3080</v>
      </c>
      <c r="L30" s="180">
        <v>165639</v>
      </c>
      <c r="M30" s="97"/>
      <c r="N30" s="181">
        <f>IFERROR((IF(表格1[[#This Row],[Name.]]=工作表1!$E24,工作表1!$K24," ")*表格1[[#This Row],[Sales]])," ")</f>
        <v>3312.78</v>
      </c>
      <c r="O30" s="180">
        <f>IFERROR((IF(表格1[[#This Row],[Full Name.]]=工作表1!F24,工作表1!J24," ")*表格1[[#This Row],[Days]])," ")</f>
        <v>0</v>
      </c>
      <c r="P30" s="180">
        <v>0</v>
      </c>
      <c r="Q30" s="180">
        <v>0</v>
      </c>
      <c r="R30" s="180">
        <v>0</v>
      </c>
      <c r="S30" s="180">
        <v>0</v>
      </c>
      <c r="T30" s="180">
        <v>0</v>
      </c>
      <c r="U30" s="180">
        <v>0</v>
      </c>
      <c r="V30" s="180">
        <v>0</v>
      </c>
      <c r="W30" s="182">
        <v>0</v>
      </c>
      <c r="X30" s="182">
        <v>0</v>
      </c>
      <c r="Y30" s="182">
        <v>0</v>
      </c>
      <c r="Z30" s="189">
        <v>0</v>
      </c>
      <c r="AA30" s="189">
        <v>0</v>
      </c>
      <c r="AB30" s="189">
        <v>0</v>
      </c>
      <c r="AC30" s="189">
        <v>0</v>
      </c>
      <c r="AD30" s="189">
        <v>0</v>
      </c>
      <c r="AE30" s="189">
        <v>0</v>
      </c>
      <c r="AF30" s="189"/>
      <c r="AG30" s="179">
        <f>SUM(表格1[[#This Row],[Commission (1% OR 2%)]:[Expenses/支出]])+表格1[[#This Row],[Basic]]</f>
        <v>6392.7800000000007</v>
      </c>
      <c r="AH30" s="184">
        <f t="shared" si="2"/>
        <v>6393</v>
      </c>
      <c r="AI30" s="150"/>
      <c r="AJ30" s="228">
        <v>6392.7800000000007</v>
      </c>
      <c r="AK30" s="152">
        <f>表格1[[#This Row],[Input]]-表格1[[#This Row],[Double check]]</f>
        <v>0.21999999999934516</v>
      </c>
      <c r="AL30" s="153"/>
    </row>
    <row r="31" spans="1:46" s="48" customFormat="1" ht="33.75" hidden="1">
      <c r="A31" s="98">
        <v>24</v>
      </c>
      <c r="B31" s="96" t="str">
        <f>IF(表格1[[#This Row],[Full Name.]]=工作表1!F25,"OK")</f>
        <v>OK</v>
      </c>
      <c r="C31" s="96" t="s">
        <v>160</v>
      </c>
      <c r="D31" s="96" t="s">
        <v>177</v>
      </c>
      <c r="E31" s="97">
        <v>20861</v>
      </c>
      <c r="F31" s="174" t="s">
        <v>132</v>
      </c>
      <c r="G31" s="175" t="s">
        <v>549</v>
      </c>
      <c r="H31" s="176">
        <v>22</v>
      </c>
      <c r="I31" s="177">
        <v>176</v>
      </c>
      <c r="J31" s="178">
        <v>60</v>
      </c>
      <c r="K31" s="179">
        <f>表格1[[#This Row],[Reg.Hrs]]*表格1[[#This Row],[$]]</f>
        <v>10560</v>
      </c>
      <c r="L31" s="180">
        <v>0</v>
      </c>
      <c r="M31" s="96"/>
      <c r="N31" s="181">
        <f>IFERROR((IF(表格1[[#This Row],[Name.]]=工作表1!$E25,工作表1!$K25," ")*表格1[[#This Row],[Sales]])," ")</f>
        <v>0</v>
      </c>
      <c r="O31" s="180">
        <f>IFERROR((IF(表格1[[#This Row],[Full Name.]]=工作表1!F25,工作表1!J25," ")*表格1[[#This Row],[Days]])," ")</f>
        <v>0</v>
      </c>
      <c r="P31" s="180">
        <v>0</v>
      </c>
      <c r="Q31" s="180">
        <v>0</v>
      </c>
      <c r="R31" s="180">
        <v>0</v>
      </c>
      <c r="S31" s="180">
        <v>0</v>
      </c>
      <c r="T31" s="180">
        <v>0</v>
      </c>
      <c r="U31" s="180">
        <v>0</v>
      </c>
      <c r="V31" s="180">
        <v>0</v>
      </c>
      <c r="W31" s="182">
        <v>0</v>
      </c>
      <c r="X31" s="182">
        <v>0</v>
      </c>
      <c r="Y31" s="182">
        <v>0</v>
      </c>
      <c r="Z31" s="180">
        <v>0</v>
      </c>
      <c r="AA31" s="180">
        <v>0</v>
      </c>
      <c r="AB31" s="180">
        <v>0</v>
      </c>
      <c r="AC31" s="180">
        <v>0</v>
      </c>
      <c r="AD31" s="180">
        <v>0</v>
      </c>
      <c r="AE31" s="180">
        <v>0</v>
      </c>
      <c r="AF31" s="180"/>
      <c r="AG31" s="179">
        <f>SUM(表格1[[#This Row],[Commission (1% OR 2%)]:[Expenses/支出]])+表格1[[#This Row],[Basic]]</f>
        <v>10560</v>
      </c>
      <c r="AH31" s="184">
        <f t="shared" si="2"/>
        <v>10560</v>
      </c>
      <c r="AI31" s="150"/>
      <c r="AJ31" s="227">
        <v>10560</v>
      </c>
      <c r="AK31" s="152">
        <f>表格1[[#This Row],[Input]]-表格1[[#This Row],[Double check]]</f>
        <v>0</v>
      </c>
      <c r="AL31" s="153"/>
      <c r="AM31" s="45"/>
      <c r="AN31" s="45"/>
      <c r="AO31" s="45"/>
      <c r="AP31" s="45"/>
      <c r="AQ31" s="45"/>
      <c r="AR31" s="45"/>
      <c r="AS31" s="45"/>
      <c r="AT31" s="45"/>
    </row>
    <row r="32" spans="1:46" s="44" customFormat="1" ht="33.75" hidden="1">
      <c r="A32" s="98">
        <v>25</v>
      </c>
      <c r="B32" s="96" t="str">
        <f>IF(表格1[[#This Row],[Full Name.]]=工作表1!F26,"OK")</f>
        <v>OK</v>
      </c>
      <c r="C32" s="96" t="s">
        <v>68</v>
      </c>
      <c r="D32" s="96" t="s">
        <v>178</v>
      </c>
      <c r="E32" s="97" t="s">
        <v>277</v>
      </c>
      <c r="F32" s="174" t="s">
        <v>133</v>
      </c>
      <c r="G32" s="175" t="s">
        <v>550</v>
      </c>
      <c r="H32" s="176">
        <v>23</v>
      </c>
      <c r="I32" s="177">
        <v>184</v>
      </c>
      <c r="J32" s="178">
        <v>55</v>
      </c>
      <c r="K32" s="179">
        <f>表格1[[#This Row],[Reg.Hrs]]*表格1[[#This Row],[$]]</f>
        <v>10120</v>
      </c>
      <c r="L32" s="180">
        <v>294578</v>
      </c>
      <c r="M32" s="97"/>
      <c r="N32" s="181">
        <f>IFERROR((IF(表格1[[#This Row],[Name.]]=工作表1!$E26,工作表1!$K26," ")*表格1[[#This Row],[Sales]])," ")</f>
        <v>5891.56</v>
      </c>
      <c r="O32" s="180">
        <f>IFERROR((IF(表格1[[#This Row],[Full Name.]]=工作表1!F26,工作表1!J26," ")*表格1[[#This Row],[Days]])," ")</f>
        <v>0</v>
      </c>
      <c r="P32" s="180">
        <v>0</v>
      </c>
      <c r="Q32" s="180">
        <v>0</v>
      </c>
      <c r="R32" s="180">
        <v>0</v>
      </c>
      <c r="S32" s="180">
        <v>0</v>
      </c>
      <c r="T32" s="180">
        <v>0</v>
      </c>
      <c r="U32" s="180">
        <v>0</v>
      </c>
      <c r="V32" s="180">
        <v>0</v>
      </c>
      <c r="W32" s="182">
        <v>0</v>
      </c>
      <c r="X32" s="182">
        <v>300</v>
      </c>
      <c r="Y32" s="182">
        <v>0</v>
      </c>
      <c r="Z32" s="180">
        <v>0</v>
      </c>
      <c r="AA32" s="180">
        <v>0</v>
      </c>
      <c r="AB32" s="180">
        <v>0</v>
      </c>
      <c r="AC32" s="180">
        <v>0</v>
      </c>
      <c r="AD32" s="180">
        <v>500</v>
      </c>
      <c r="AE32" s="180">
        <v>1000</v>
      </c>
      <c r="AF32" s="180"/>
      <c r="AG32" s="179">
        <f>SUM(表格1[[#This Row],[Commission (1% OR 2%)]:[Expenses/支出]])+表格1[[#This Row],[Basic]]</f>
        <v>17811.560000000001</v>
      </c>
      <c r="AH32" s="184">
        <f t="shared" si="2"/>
        <v>17812</v>
      </c>
      <c r="AI32" s="150"/>
      <c r="AJ32" s="227">
        <v>17811.560000000001</v>
      </c>
      <c r="AK32" s="152">
        <f>表格1[[#This Row],[Input]]-表格1[[#This Row],[Double check]]</f>
        <v>0.43999999999869033</v>
      </c>
      <c r="AL32" s="153"/>
    </row>
    <row r="33" spans="1:46" s="44" customFormat="1" ht="33.75" hidden="1">
      <c r="A33" s="98">
        <v>26</v>
      </c>
      <c r="B33" s="96" t="str">
        <f>IF(表格1[[#This Row],[Full Name.]]=工作表1!F27,"OK")</f>
        <v>OK</v>
      </c>
      <c r="C33" s="194" t="s">
        <v>121</v>
      </c>
      <c r="D33" s="96" t="s">
        <v>113</v>
      </c>
      <c r="E33" s="97">
        <v>20862</v>
      </c>
      <c r="F33" s="174" t="s">
        <v>488</v>
      </c>
      <c r="G33" s="185" t="s">
        <v>551</v>
      </c>
      <c r="H33" s="176">
        <v>20</v>
      </c>
      <c r="I33" s="217">
        <v>160</v>
      </c>
      <c r="J33" s="178">
        <v>60</v>
      </c>
      <c r="K33" s="179">
        <f>表格1[[#This Row],[Reg.Hrs]]*表格1[[#This Row],[$]]</f>
        <v>9600</v>
      </c>
      <c r="L33" s="180">
        <v>125760</v>
      </c>
      <c r="M33" s="192"/>
      <c r="N33" s="181">
        <f>IFERROR((IF(表格1[[#This Row],[Name.]]=工作表1!$E27,工作表1!$K27," ")*表格1[[#This Row],[Sales]])," ")</f>
        <v>2515.2000000000003</v>
      </c>
      <c r="O33" s="180">
        <f>IFERROR((IF(表格1[[#This Row],[Full Name.]]=工作表1!F27,工作表1!J27," ")*表格1[[#This Row],[Days]])," ")</f>
        <v>0</v>
      </c>
      <c r="P33" s="180">
        <v>0</v>
      </c>
      <c r="Q33" s="180">
        <v>0</v>
      </c>
      <c r="R33" s="180">
        <v>0</v>
      </c>
      <c r="S33" s="180">
        <v>0</v>
      </c>
      <c r="T33" s="180">
        <v>0</v>
      </c>
      <c r="U33" s="180">
        <v>0</v>
      </c>
      <c r="V33" s="180">
        <v>0</v>
      </c>
      <c r="W33" s="182">
        <v>0</v>
      </c>
      <c r="X33" s="182">
        <v>0</v>
      </c>
      <c r="Y33" s="182">
        <v>0</v>
      </c>
      <c r="Z33" s="183">
        <v>0</v>
      </c>
      <c r="AA33" s="183">
        <v>0</v>
      </c>
      <c r="AB33" s="183">
        <v>0</v>
      </c>
      <c r="AC33" s="183">
        <v>0</v>
      </c>
      <c r="AD33" s="183">
        <v>0</v>
      </c>
      <c r="AE33" s="183">
        <v>0</v>
      </c>
      <c r="AF33" s="183"/>
      <c r="AG33" s="179">
        <f>SUM(表格1[[#This Row],[Commission (1% OR 2%)]:[Expenses/支出]])+表格1[[#This Row],[Basic]]</f>
        <v>12115.2</v>
      </c>
      <c r="AH33" s="184">
        <f t="shared" si="2"/>
        <v>12115</v>
      </c>
      <c r="AI33" s="151"/>
      <c r="AJ33" s="227">
        <v>12115.2</v>
      </c>
      <c r="AK33" s="152">
        <f>表格1[[#This Row],[Input]]-表格1[[#This Row],[Double check]]</f>
        <v>-0.2000000000007276</v>
      </c>
      <c r="AL33" s="153"/>
    </row>
    <row r="34" spans="1:46" s="44" customFormat="1" ht="33.75" hidden="1">
      <c r="A34" s="98">
        <v>27</v>
      </c>
      <c r="B34" s="96" t="str">
        <f>IF(表格1[[#This Row],[Full Name.]]=工作表1!F28,"OK")</f>
        <v>OK</v>
      </c>
      <c r="C34" s="96" t="s">
        <v>119</v>
      </c>
      <c r="D34" s="96" t="s">
        <v>110</v>
      </c>
      <c r="E34" s="97" t="s">
        <v>277</v>
      </c>
      <c r="F34" s="174" t="s">
        <v>134</v>
      </c>
      <c r="G34" s="175" t="s">
        <v>552</v>
      </c>
      <c r="H34" s="176">
        <v>24</v>
      </c>
      <c r="I34" s="177">
        <v>192</v>
      </c>
      <c r="J34" s="178">
        <v>60</v>
      </c>
      <c r="K34" s="179">
        <f>表格1[[#This Row],[Reg.Hrs]]*表格1[[#This Row],[$]]</f>
        <v>11520</v>
      </c>
      <c r="L34" s="180">
        <v>153807.4</v>
      </c>
      <c r="M34" s="96"/>
      <c r="N34" s="181">
        <f>IFERROR((IF(表格1[[#This Row],[Name.]]=工作表1!$E28,工作表1!$K28," ")*表格1[[#This Row],[Sales]])," ")</f>
        <v>3076.1480000000001</v>
      </c>
      <c r="O34" s="180">
        <f>IFERROR((IF(表格1[[#This Row],[Full Name.]]=工作表1!F28,工作表1!J28," ")*表格1[[#This Row],[Days]])," ")</f>
        <v>0</v>
      </c>
      <c r="P34" s="180">
        <v>0</v>
      </c>
      <c r="Q34" s="180">
        <v>0</v>
      </c>
      <c r="R34" s="180">
        <v>0</v>
      </c>
      <c r="S34" s="180">
        <v>0</v>
      </c>
      <c r="T34" s="180">
        <v>0</v>
      </c>
      <c r="U34" s="180">
        <v>0</v>
      </c>
      <c r="V34" s="180">
        <v>0</v>
      </c>
      <c r="W34" s="182">
        <v>0</v>
      </c>
      <c r="X34" s="182">
        <v>0</v>
      </c>
      <c r="Y34" s="182">
        <v>0</v>
      </c>
      <c r="Z34" s="179">
        <v>0</v>
      </c>
      <c r="AA34" s="179">
        <v>0</v>
      </c>
      <c r="AB34" s="179">
        <v>0</v>
      </c>
      <c r="AC34" s="179">
        <v>0</v>
      </c>
      <c r="AD34" s="179">
        <v>0</v>
      </c>
      <c r="AE34" s="179">
        <v>0</v>
      </c>
      <c r="AF34" s="179"/>
      <c r="AG34" s="179">
        <f>SUM(表格1[[#This Row],[Commission (1% OR 2%)]:[Expenses/支出]])+表格1[[#This Row],[Basic]]</f>
        <v>14596.148000000001</v>
      </c>
      <c r="AH34" s="184">
        <f t="shared" si="2"/>
        <v>14596</v>
      </c>
      <c r="AI34" s="150"/>
      <c r="AJ34" s="228">
        <v>14596.148000000001</v>
      </c>
      <c r="AK34" s="152">
        <f>表格1[[#This Row],[Input]]-表格1[[#This Row],[Double check]]</f>
        <v>-0.14800000000104774</v>
      </c>
      <c r="AL34" s="153"/>
    </row>
    <row r="35" spans="1:46" s="49" customFormat="1" ht="33.6" hidden="1" customHeight="1">
      <c r="A35" s="98">
        <v>28</v>
      </c>
      <c r="B35" s="96" t="str">
        <f>IF(表格1[[#This Row],[Full Name.]]=工作表1!F29,"OK")</f>
        <v>OK</v>
      </c>
      <c r="C35" s="96" t="s">
        <v>104</v>
      </c>
      <c r="D35" s="96" t="s">
        <v>115</v>
      </c>
      <c r="E35" s="97">
        <v>20863</v>
      </c>
      <c r="F35" s="174" t="s">
        <v>236</v>
      </c>
      <c r="G35" s="185" t="s">
        <v>553</v>
      </c>
      <c r="H35" s="176">
        <v>22</v>
      </c>
      <c r="I35" s="177">
        <v>176</v>
      </c>
      <c r="J35" s="178">
        <v>60</v>
      </c>
      <c r="K35" s="179">
        <f>表格1[[#This Row],[Reg.Hrs]]*表格1[[#This Row],[$]]</f>
        <v>10560</v>
      </c>
      <c r="L35" s="180">
        <v>470313</v>
      </c>
      <c r="M35" s="97"/>
      <c r="N35" s="181">
        <f>IFERROR((IF(表格1[[#This Row],[Name.]]=工作表1!$E29,工作表1!$K29," ")*表格1[[#This Row],[Sales]])," ")</f>
        <v>9406.26</v>
      </c>
      <c r="O35" s="180">
        <f>IFERROR((IF(表格1[[#This Row],[Full Name.]]=工作表1!F29,工作表1!J29," ")*表格1[[#This Row],[Days]])," ")</f>
        <v>0</v>
      </c>
      <c r="P35" s="180">
        <v>0</v>
      </c>
      <c r="Q35" s="180">
        <v>0</v>
      </c>
      <c r="R35" s="180">
        <v>0</v>
      </c>
      <c r="S35" s="180">
        <v>0</v>
      </c>
      <c r="T35" s="180">
        <v>160</v>
      </c>
      <c r="U35" s="180">
        <v>0</v>
      </c>
      <c r="V35" s="180">
        <v>400</v>
      </c>
      <c r="W35" s="182">
        <v>0</v>
      </c>
      <c r="X35" s="182">
        <v>0</v>
      </c>
      <c r="Y35" s="182">
        <v>200</v>
      </c>
      <c r="Z35" s="180">
        <v>0</v>
      </c>
      <c r="AA35" s="180">
        <v>0</v>
      </c>
      <c r="AB35" s="180">
        <v>2450</v>
      </c>
      <c r="AC35" s="180">
        <v>0</v>
      </c>
      <c r="AD35" s="180">
        <v>500</v>
      </c>
      <c r="AE35" s="180">
        <v>1000</v>
      </c>
      <c r="AF35" s="180"/>
      <c r="AG35" s="179">
        <f>SUM(表格1[[#This Row],[Commission (1% OR 2%)]:[Expenses/支出]])+表格1[[#This Row],[Basic]]</f>
        <v>24676.260000000002</v>
      </c>
      <c r="AH35" s="184">
        <f t="shared" si="2"/>
        <v>24676</v>
      </c>
      <c r="AI35" s="150"/>
      <c r="AJ35" s="228">
        <v>24676.260000000002</v>
      </c>
      <c r="AK35" s="152">
        <f>表格1[[#This Row],[Input]]-表格1[[#This Row],[Double check]]</f>
        <v>-0.26000000000203727</v>
      </c>
      <c r="AL35" s="153"/>
      <c r="AM35" s="154"/>
      <c r="AN35" s="154"/>
      <c r="AO35" s="154"/>
      <c r="AP35" s="154"/>
      <c r="AQ35" s="154"/>
      <c r="AR35" s="154"/>
      <c r="AS35" s="154"/>
      <c r="AT35" s="154"/>
    </row>
    <row r="36" spans="1:46" s="48" customFormat="1" ht="33.75" hidden="1">
      <c r="A36" s="98">
        <v>29</v>
      </c>
      <c r="B36" s="96" t="str">
        <f>IF(表格1[[#This Row],[Full Name.]]=工作表1!F30,"OK")</f>
        <v>OK</v>
      </c>
      <c r="C36" s="96" t="s">
        <v>225</v>
      </c>
      <c r="D36" s="96" t="s">
        <v>237</v>
      </c>
      <c r="E36" s="97" t="s">
        <v>277</v>
      </c>
      <c r="F36" s="174" t="s">
        <v>294</v>
      </c>
      <c r="G36" s="185" t="s">
        <v>554</v>
      </c>
      <c r="H36" s="176">
        <v>18</v>
      </c>
      <c r="I36" s="177">
        <v>144</v>
      </c>
      <c r="J36" s="178">
        <v>60</v>
      </c>
      <c r="K36" s="179">
        <f>表格1[[#This Row],[Reg.Hrs]]*表格1[[#This Row],[$]]</f>
        <v>8640</v>
      </c>
      <c r="L36" s="180">
        <v>376482</v>
      </c>
      <c r="M36" s="187"/>
      <c r="N36" s="181">
        <f>IFERROR((IF(表格1[[#This Row],[Name.]]=工作表1!$E30,工作表1!$K30," ")*表格1[[#This Row],[Sales]])," ")</f>
        <v>7529.64</v>
      </c>
      <c r="O36" s="259">
        <v>6653.48</v>
      </c>
      <c r="P36" s="180">
        <v>0</v>
      </c>
      <c r="Q36" s="180">
        <v>0</v>
      </c>
      <c r="R36" s="180">
        <v>0</v>
      </c>
      <c r="S36" s="180">
        <v>0</v>
      </c>
      <c r="T36" s="180">
        <v>160</v>
      </c>
      <c r="U36" s="180">
        <v>0</v>
      </c>
      <c r="V36" s="180">
        <v>0</v>
      </c>
      <c r="W36" s="182">
        <v>0</v>
      </c>
      <c r="X36" s="182">
        <v>0</v>
      </c>
      <c r="Y36" s="182">
        <v>0</v>
      </c>
      <c r="Z36" s="180">
        <v>0</v>
      </c>
      <c r="AA36" s="180">
        <v>0</v>
      </c>
      <c r="AB36" s="180">
        <v>0</v>
      </c>
      <c r="AC36" s="180">
        <v>0</v>
      </c>
      <c r="AD36" s="180">
        <v>0</v>
      </c>
      <c r="AE36" s="180">
        <v>0</v>
      </c>
      <c r="AF36" s="180"/>
      <c r="AG36" s="179">
        <f>SUM(表格1[[#This Row],[Commission (1% OR 2%)]:[Expenses/支出]])+表格1[[#This Row],[Basic]]</f>
        <v>22983.119999999999</v>
      </c>
      <c r="AH36" s="184">
        <f t="shared" si="2"/>
        <v>22983</v>
      </c>
      <c r="AI36" s="151"/>
      <c r="AJ36" s="227">
        <v>16329.64</v>
      </c>
      <c r="AK36" s="152">
        <f>表格1[[#This Row],[Input]]-表格1[[#This Row],[Double check]]</f>
        <v>6653.3600000000006</v>
      </c>
      <c r="AL36" s="153"/>
      <c r="AM36" s="45"/>
      <c r="AN36" s="45"/>
      <c r="AO36" s="45"/>
      <c r="AP36" s="45"/>
      <c r="AQ36" s="45"/>
      <c r="AR36" s="45"/>
      <c r="AS36" s="45"/>
      <c r="AT36" s="45"/>
    </row>
    <row r="37" spans="1:46" s="50" customFormat="1" ht="36" hidden="1">
      <c r="A37" s="98">
        <v>30</v>
      </c>
      <c r="B37" s="96" t="str">
        <f>IF(表格1[[#This Row],[Full Name.]]=工作表1!F31,"OK")</f>
        <v>OK</v>
      </c>
      <c r="C37" s="96" t="s">
        <v>108</v>
      </c>
      <c r="D37" s="96" t="s">
        <v>69</v>
      </c>
      <c r="E37" s="97">
        <v>20864</v>
      </c>
      <c r="F37" s="174" t="s">
        <v>268</v>
      </c>
      <c r="G37" s="175" t="s">
        <v>555</v>
      </c>
      <c r="H37" s="176">
        <v>20</v>
      </c>
      <c r="I37" s="177">
        <v>160</v>
      </c>
      <c r="J37" s="178">
        <v>60</v>
      </c>
      <c r="K37" s="179">
        <f>表格1[[#This Row],[Reg.Hrs]]*表格1[[#This Row],[$]]</f>
        <v>9600</v>
      </c>
      <c r="L37" s="180">
        <v>229262</v>
      </c>
      <c r="M37" s="97"/>
      <c r="N37" s="181">
        <f>IFERROR((IF(表格1[[#This Row],[Name.]]=工作表1!$E31,工作表1!$K31," ")*表格1[[#This Row],[Sales]])," ")</f>
        <v>4585.24</v>
      </c>
      <c r="O37" s="180">
        <f>IFERROR((IF(表格1[[#This Row],[Full Name.]]=工作表1!F31,工作表1!J31," ")*表格1[[#This Row],[Days]])," ")</f>
        <v>0</v>
      </c>
      <c r="P37" s="180">
        <v>0</v>
      </c>
      <c r="Q37" s="180">
        <v>0</v>
      </c>
      <c r="R37" s="180">
        <v>0</v>
      </c>
      <c r="S37" s="180">
        <v>0</v>
      </c>
      <c r="T37" s="180">
        <v>0</v>
      </c>
      <c r="U37" s="180">
        <v>0</v>
      </c>
      <c r="V37" s="180">
        <v>0</v>
      </c>
      <c r="W37" s="182">
        <v>0</v>
      </c>
      <c r="X37" s="182">
        <v>0</v>
      </c>
      <c r="Y37" s="182">
        <v>0</v>
      </c>
      <c r="Z37" s="180">
        <v>0</v>
      </c>
      <c r="AA37" s="180">
        <v>0</v>
      </c>
      <c r="AB37" s="180">
        <v>0</v>
      </c>
      <c r="AC37" s="180">
        <v>0</v>
      </c>
      <c r="AD37" s="180">
        <v>0</v>
      </c>
      <c r="AE37" s="180">
        <v>0</v>
      </c>
      <c r="AF37" s="180"/>
      <c r="AG37" s="179">
        <f>SUM(表格1[[#This Row],[Commission (1% OR 2%)]:[Expenses/支出]])+表格1[[#This Row],[Basic]]</f>
        <v>14185.24</v>
      </c>
      <c r="AH37" s="184">
        <f t="shared" si="2"/>
        <v>14185</v>
      </c>
      <c r="AI37" s="150"/>
      <c r="AJ37" s="228">
        <v>14185.24</v>
      </c>
      <c r="AK37" s="152">
        <f>表格1[[#This Row],[Input]]-表格1[[#This Row],[Double check]]</f>
        <v>-0.23999999999978172</v>
      </c>
      <c r="AL37" s="153"/>
      <c r="AM37" s="156"/>
      <c r="AN37" s="156"/>
      <c r="AO37" s="156"/>
      <c r="AP37" s="156"/>
      <c r="AQ37" s="156"/>
      <c r="AR37" s="156"/>
      <c r="AS37" s="156"/>
      <c r="AT37" s="156"/>
    </row>
    <row r="38" spans="1:46" s="44" customFormat="1" ht="33.75" hidden="1">
      <c r="A38" s="98">
        <v>31</v>
      </c>
      <c r="B38" s="96" t="str">
        <f>IF(表格1[[#This Row],[Full Name.]]=工作表1!F32,"OK")</f>
        <v>OK</v>
      </c>
      <c r="C38" s="96" t="s">
        <v>256</v>
      </c>
      <c r="D38" s="96" t="s">
        <v>257</v>
      </c>
      <c r="E38" s="97">
        <v>20865</v>
      </c>
      <c r="F38" s="174" t="s">
        <v>247</v>
      </c>
      <c r="G38" s="185" t="s">
        <v>556</v>
      </c>
      <c r="H38" s="224">
        <v>24</v>
      </c>
      <c r="I38" s="217">
        <v>192</v>
      </c>
      <c r="J38" s="191">
        <v>60</v>
      </c>
      <c r="K38" s="179">
        <f>表格1[[#This Row],[Reg.Hrs]]*表格1[[#This Row],[$]]</f>
        <v>11520</v>
      </c>
      <c r="L38" s="186">
        <v>360494</v>
      </c>
      <c r="M38" s="195"/>
      <c r="N38" s="181">
        <f>IFERROR((IF(表格1[[#This Row],[Name.]]=工作表1!$E32,工作表1!$K32," ")*表格1[[#This Row],[Sales]])," ")</f>
        <v>7209.88</v>
      </c>
      <c r="O38" s="180">
        <f>IFERROR((IF(表格1[[#This Row],[Full Name.]]=工作表1!F32,工作表1!J32," ")*表格1[[#This Row],[Days]])," ")</f>
        <v>0</v>
      </c>
      <c r="P38" s="186">
        <v>0</v>
      </c>
      <c r="Q38" s="186">
        <v>0</v>
      </c>
      <c r="R38" s="198">
        <v>0</v>
      </c>
      <c r="S38" s="180">
        <v>0</v>
      </c>
      <c r="T38" s="180">
        <v>0</v>
      </c>
      <c r="U38" s="180">
        <v>0</v>
      </c>
      <c r="V38" s="180">
        <v>0</v>
      </c>
      <c r="W38" s="198">
        <v>0</v>
      </c>
      <c r="X38" s="198">
        <v>0</v>
      </c>
      <c r="Y38" s="198">
        <v>0</v>
      </c>
      <c r="Z38" s="186">
        <v>0</v>
      </c>
      <c r="AA38" s="186">
        <v>0</v>
      </c>
      <c r="AB38" s="186">
        <v>0</v>
      </c>
      <c r="AC38" s="186">
        <v>0</v>
      </c>
      <c r="AD38" s="186">
        <v>0</v>
      </c>
      <c r="AE38" s="186">
        <v>0</v>
      </c>
      <c r="AF38" s="186"/>
      <c r="AG38" s="179">
        <f>SUM(表格1[[#This Row],[Commission (1% OR 2%)]:[Expenses/支出]])+表格1[[#This Row],[Basic]]</f>
        <v>18729.88</v>
      </c>
      <c r="AH38" s="184">
        <f t="shared" si="2"/>
        <v>18730</v>
      </c>
      <c r="AI38" s="150"/>
      <c r="AJ38" s="227">
        <v>18729.88</v>
      </c>
      <c r="AK38" s="160">
        <f>表格1[[#This Row],[Input]]-表格1[[#This Row],[Double check]]</f>
        <v>0.11999999999898137</v>
      </c>
      <c r="AL38" s="161"/>
    </row>
    <row r="39" spans="1:46" s="44" customFormat="1" ht="36" hidden="1" customHeight="1">
      <c r="A39" s="98">
        <v>32</v>
      </c>
      <c r="B39" s="96" t="str">
        <f>IF(表格1[[#This Row],[Full Name.]]=工作表1!F33,"OK")</f>
        <v>OK</v>
      </c>
      <c r="C39" s="96" t="s">
        <v>199</v>
      </c>
      <c r="D39" s="96" t="s">
        <v>200</v>
      </c>
      <c r="E39" s="97">
        <v>20866</v>
      </c>
      <c r="F39" s="174" t="s">
        <v>75</v>
      </c>
      <c r="G39" s="175" t="s">
        <v>557</v>
      </c>
      <c r="H39" s="176">
        <v>22</v>
      </c>
      <c r="I39" s="177">
        <v>176</v>
      </c>
      <c r="J39" s="178">
        <v>60</v>
      </c>
      <c r="K39" s="179">
        <f>表格1[[#This Row],[Reg.Hrs]]*表格1[[#This Row],[$]]</f>
        <v>10560</v>
      </c>
      <c r="L39" s="180">
        <v>123292</v>
      </c>
      <c r="M39" s="97"/>
      <c r="N39" s="181">
        <f>IFERROR((IF(表格1[[#This Row],[Name.]]=工作表1!$E33,工作表1!$K33," ")*表格1[[#This Row],[Sales]])," ")</f>
        <v>2465.84</v>
      </c>
      <c r="O39" s="180">
        <f>IFERROR((IF(表格1[[#This Row],[Full Name.]]=工作表1!F33,工作表1!J33," ")*表格1[[#This Row],[Days]])," ")</f>
        <v>0</v>
      </c>
      <c r="P39" s="180">
        <v>0</v>
      </c>
      <c r="Q39" s="180">
        <v>0</v>
      </c>
      <c r="R39" s="180">
        <v>0</v>
      </c>
      <c r="S39" s="180">
        <v>0</v>
      </c>
      <c r="T39" s="180">
        <v>0</v>
      </c>
      <c r="U39" s="180">
        <v>0</v>
      </c>
      <c r="V39" s="180">
        <v>0</v>
      </c>
      <c r="W39" s="182">
        <v>0</v>
      </c>
      <c r="X39" s="182">
        <v>0</v>
      </c>
      <c r="Y39" s="182">
        <v>0</v>
      </c>
      <c r="Z39" s="183">
        <v>0</v>
      </c>
      <c r="AA39" s="183">
        <v>0</v>
      </c>
      <c r="AB39" s="183">
        <v>0</v>
      </c>
      <c r="AC39" s="183">
        <v>0</v>
      </c>
      <c r="AD39" s="183">
        <v>0</v>
      </c>
      <c r="AE39" s="183">
        <v>0</v>
      </c>
      <c r="AF39" s="183"/>
      <c r="AG39" s="179">
        <f>SUM(表格1[[#This Row],[Commission (1% OR 2%)]:[Expenses/支出]])+表格1[[#This Row],[Basic]]</f>
        <v>13025.84</v>
      </c>
      <c r="AH39" s="184">
        <f t="shared" si="2"/>
        <v>13026</v>
      </c>
      <c r="AI39" s="151"/>
      <c r="AJ39" s="227">
        <v>13025.84</v>
      </c>
      <c r="AK39" s="152">
        <f>表格1[[#This Row],[Input]]-表格1[[#This Row],[Double check]]</f>
        <v>0.15999999999985448</v>
      </c>
      <c r="AL39" s="153"/>
    </row>
    <row r="40" spans="1:46" s="50" customFormat="1" ht="36" hidden="1">
      <c r="A40" s="98">
        <v>33</v>
      </c>
      <c r="B40" s="96" t="str">
        <f>IF(表格1[[#This Row],[Full Name.]]=工作表1!F34,"OK")</f>
        <v>OK</v>
      </c>
      <c r="C40" s="96" t="s">
        <v>162</v>
      </c>
      <c r="D40" s="96" t="s">
        <v>186</v>
      </c>
      <c r="E40" s="97" t="s">
        <v>277</v>
      </c>
      <c r="F40" s="174" t="s">
        <v>76</v>
      </c>
      <c r="G40" s="185" t="s">
        <v>558</v>
      </c>
      <c r="H40" s="176">
        <v>4</v>
      </c>
      <c r="I40" s="177">
        <v>32</v>
      </c>
      <c r="J40" s="178">
        <v>60</v>
      </c>
      <c r="K40" s="179">
        <f>表格1[[#This Row],[Reg.Hrs]]*表格1[[#This Row],[$]]</f>
        <v>1920</v>
      </c>
      <c r="L40" s="180">
        <v>15785</v>
      </c>
      <c r="M40" s="97"/>
      <c r="N40" s="181">
        <f>IFERROR((IF(表格1[[#This Row],[Name.]]=工作表1!$E34,工作表1!$K34," ")*表格1[[#This Row],[Sales]])," ")</f>
        <v>315.7</v>
      </c>
      <c r="O40" s="180">
        <f>IFERROR((IF(表格1[[#This Row],[Full Name.]]=工作表1!F34,工作表1!J34," ")*表格1[[#This Row],[Days]])," ")</f>
        <v>0</v>
      </c>
      <c r="P40" s="180"/>
      <c r="Q40" s="180"/>
      <c r="R40" s="180"/>
      <c r="S40" s="180"/>
      <c r="T40" s="180"/>
      <c r="U40" s="180"/>
      <c r="V40" s="180"/>
      <c r="W40" s="182"/>
      <c r="X40" s="182"/>
      <c r="Y40" s="182"/>
      <c r="Z40" s="180"/>
      <c r="AA40" s="180"/>
      <c r="AB40" s="180"/>
      <c r="AC40" s="180"/>
      <c r="AD40" s="180"/>
      <c r="AE40" s="180"/>
      <c r="AF40" s="230">
        <v>45</v>
      </c>
      <c r="AG40" s="179">
        <f>SUM(表格1[[#This Row],[Commission (1% OR 2%)]:[Expenses/支出]])+表格1[[#This Row],[Basic]]</f>
        <v>2280.6999999999998</v>
      </c>
      <c r="AH40" s="184">
        <f t="shared" ref="AH40:AH71" si="3">ROUND(AG40,0)</f>
        <v>2281</v>
      </c>
      <c r="AI40" s="150"/>
      <c r="AJ40" s="228">
        <v>2235.6999999999998</v>
      </c>
      <c r="AK40" s="152">
        <f>表格1[[#This Row],[Input]]-表格1[[#This Row],[Double check]]</f>
        <v>45.300000000000182</v>
      </c>
      <c r="AL40" s="153"/>
      <c r="AM40" s="156"/>
      <c r="AN40" s="156"/>
      <c r="AO40" s="156"/>
      <c r="AP40" s="156"/>
      <c r="AQ40" s="156"/>
      <c r="AR40" s="156"/>
      <c r="AS40" s="156"/>
      <c r="AT40" s="156"/>
    </row>
    <row r="41" spans="1:46" s="50" customFormat="1" ht="36">
      <c r="A41" s="98">
        <v>34</v>
      </c>
      <c r="B41" s="96" t="str">
        <f>IF(表格1[[#This Row],[Full Name.]]=工作表1!F35,"OK")</f>
        <v>OK</v>
      </c>
      <c r="C41" s="96" t="s">
        <v>281</v>
      </c>
      <c r="D41" s="96" t="s">
        <v>122</v>
      </c>
      <c r="E41" s="197" t="s">
        <v>277</v>
      </c>
      <c r="F41" s="174" t="s">
        <v>489</v>
      </c>
      <c r="G41" s="175" t="s">
        <v>559</v>
      </c>
      <c r="H41" s="176">
        <v>2</v>
      </c>
      <c r="I41" s="177">
        <v>16</v>
      </c>
      <c r="J41" s="178">
        <v>60</v>
      </c>
      <c r="K41" s="179">
        <f>表格1[[#This Row],[Reg.Hrs]]*表格1[[#This Row],[$]]</f>
        <v>960</v>
      </c>
      <c r="L41" s="180">
        <v>5686</v>
      </c>
      <c r="M41" s="97"/>
      <c r="N41" s="181">
        <f>IFERROR((IF(表格1[[#This Row],[Name.]]=工作表1!$E35,工作表1!$K35," ")*表格1[[#This Row],[Sales]])," ")</f>
        <v>113.72</v>
      </c>
      <c r="O41" s="180">
        <f>IFERROR((IF(表格1[[#This Row],[Full Name.]]=工作表1!F35,工作表1!J35," ")*表格1[[#This Row],[Days]])," ")</f>
        <v>0</v>
      </c>
      <c r="P41" s="180"/>
      <c r="Q41" s="180"/>
      <c r="R41" s="180"/>
      <c r="S41" s="180"/>
      <c r="T41" s="180"/>
      <c r="U41" s="180"/>
      <c r="V41" s="180"/>
      <c r="W41" s="182"/>
      <c r="X41" s="182"/>
      <c r="Y41" s="182"/>
      <c r="Z41" s="180"/>
      <c r="AA41" s="180"/>
      <c r="AB41" s="180"/>
      <c r="AC41" s="180"/>
      <c r="AD41" s="180"/>
      <c r="AE41" s="180"/>
      <c r="AF41" s="180"/>
      <c r="AG41" s="179">
        <f>SUM(表格1[[#This Row],[Commission (1% OR 2%)]:[Expenses/支出]])+表格1[[#This Row],[Basic]]</f>
        <v>1073.72</v>
      </c>
      <c r="AH41" s="184">
        <f t="shared" si="3"/>
        <v>1074</v>
      </c>
      <c r="AI41" s="150"/>
      <c r="AJ41" s="227">
        <v>1073.72</v>
      </c>
      <c r="AK41" s="152">
        <f>表格1[[#This Row],[Input]]-表格1[[#This Row],[Double check]]</f>
        <v>0.27999999999997272</v>
      </c>
      <c r="AL41" s="153"/>
      <c r="AM41" s="156"/>
      <c r="AN41" s="156"/>
      <c r="AO41" s="156"/>
      <c r="AP41" s="156"/>
      <c r="AQ41" s="156"/>
      <c r="AR41" s="156"/>
      <c r="AS41" s="156"/>
      <c r="AT41" s="156"/>
    </row>
    <row r="42" spans="1:46" s="50" customFormat="1" ht="36" hidden="1">
      <c r="A42" s="98">
        <v>35</v>
      </c>
      <c r="B42" s="96" t="str">
        <f>IF(表格1[[#This Row],[Full Name.]]=工作表1!F36,"OK")</f>
        <v>OK</v>
      </c>
      <c r="C42" s="96" t="s">
        <v>475</v>
      </c>
      <c r="D42" s="96" t="s">
        <v>179</v>
      </c>
      <c r="E42" s="197" t="s">
        <v>277</v>
      </c>
      <c r="F42" s="174" t="s">
        <v>490</v>
      </c>
      <c r="G42" s="175" t="s">
        <v>560</v>
      </c>
      <c r="H42" s="176">
        <v>3</v>
      </c>
      <c r="I42" s="177">
        <v>24</v>
      </c>
      <c r="J42" s="178">
        <v>60</v>
      </c>
      <c r="K42" s="179">
        <f>表格1[[#This Row],[Reg.Hrs]]*表格1[[#This Row],[$]]</f>
        <v>1440</v>
      </c>
      <c r="L42" s="180">
        <v>20004</v>
      </c>
      <c r="M42" s="97"/>
      <c r="N42" s="181">
        <f>IFERROR((IF(表格1[[#This Row],[Name.]]=工作表1!$E36,工作表1!$K36," ")*表格1[[#This Row],[Sales]])," ")</f>
        <v>400.08</v>
      </c>
      <c r="O42" s="180">
        <f>IFERROR((IF(表格1[[#This Row],[Full Name.]]=工作表1!F36,工作表1!J36," ")*表格1[[#This Row],[Days]])," ")</f>
        <v>0</v>
      </c>
      <c r="P42" s="180"/>
      <c r="Q42" s="180"/>
      <c r="R42" s="180"/>
      <c r="S42" s="180"/>
      <c r="T42" s="180"/>
      <c r="U42" s="180"/>
      <c r="V42" s="180"/>
      <c r="W42" s="182"/>
      <c r="X42" s="182"/>
      <c r="Y42" s="182"/>
      <c r="Z42" s="186"/>
      <c r="AA42" s="186"/>
      <c r="AB42" s="186"/>
      <c r="AC42" s="186"/>
      <c r="AD42" s="186"/>
      <c r="AE42" s="186"/>
      <c r="AF42" s="186"/>
      <c r="AG42" s="179">
        <f>SUM(表格1[[#This Row],[Commission (1% OR 2%)]:[Expenses/支出]])+表格1[[#This Row],[Basic]]</f>
        <v>1840.08</v>
      </c>
      <c r="AH42" s="184">
        <f t="shared" si="3"/>
        <v>1840</v>
      </c>
      <c r="AI42" s="150"/>
      <c r="AJ42" s="228">
        <v>1840.08</v>
      </c>
      <c r="AK42" s="152">
        <f>表格1[[#This Row],[Input]]-表格1[[#This Row],[Double check]]</f>
        <v>-7.999999999992724E-2</v>
      </c>
      <c r="AL42" s="153"/>
      <c r="AM42" s="156"/>
      <c r="AN42" s="156"/>
      <c r="AO42" s="156"/>
      <c r="AP42" s="156"/>
      <c r="AQ42" s="156"/>
      <c r="AR42" s="156"/>
      <c r="AS42" s="156"/>
      <c r="AT42" s="156"/>
    </row>
    <row r="43" spans="1:46" s="50" customFormat="1" ht="36" hidden="1">
      <c r="A43" s="98">
        <v>36</v>
      </c>
      <c r="B43" s="96" t="str">
        <f>IF(表格1[[#This Row],[Full Name.]]=工作表1!F37,"OK")</f>
        <v>OK</v>
      </c>
      <c r="C43" s="96" t="s">
        <v>163</v>
      </c>
      <c r="D43" s="96" t="s">
        <v>188</v>
      </c>
      <c r="E43" s="97">
        <v>20867</v>
      </c>
      <c r="F43" s="174" t="s">
        <v>99</v>
      </c>
      <c r="G43" s="175" t="s">
        <v>561</v>
      </c>
      <c r="H43" s="176">
        <v>21</v>
      </c>
      <c r="I43" s="177">
        <v>168</v>
      </c>
      <c r="J43" s="178">
        <v>60</v>
      </c>
      <c r="K43" s="179">
        <f>表格1[[#This Row],[Reg.Hrs]]*表格1[[#This Row],[$]]</f>
        <v>10080</v>
      </c>
      <c r="L43" s="180">
        <v>175117</v>
      </c>
      <c r="M43" s="97"/>
      <c r="N43" s="181">
        <f>IFERROR((IF(表格1[[#This Row],[Name.]]=工作表1!$E37,工作表1!$K37," ")*表格1[[#This Row],[Sales]])," ")</f>
        <v>3502.34</v>
      </c>
      <c r="O43" s="180">
        <f>IFERROR((IF(表格1[[#This Row],[Full Name.]]=工作表1!F37,工作表1!J37," ")*表格1[[#This Row],[Days]])," ")</f>
        <v>0</v>
      </c>
      <c r="P43" s="180">
        <v>250</v>
      </c>
      <c r="Q43" s="180">
        <v>0</v>
      </c>
      <c r="R43" s="180">
        <v>0</v>
      </c>
      <c r="S43" s="180">
        <v>0</v>
      </c>
      <c r="T43" s="180">
        <v>0</v>
      </c>
      <c r="U43" s="180">
        <v>0</v>
      </c>
      <c r="V43" s="180">
        <v>0</v>
      </c>
      <c r="W43" s="182">
        <v>0</v>
      </c>
      <c r="X43" s="182">
        <v>0</v>
      </c>
      <c r="Y43" s="182">
        <v>0</v>
      </c>
      <c r="Z43" s="189">
        <v>0</v>
      </c>
      <c r="AA43" s="189">
        <v>0</v>
      </c>
      <c r="AB43" s="189">
        <v>0</v>
      </c>
      <c r="AC43" s="189">
        <v>0</v>
      </c>
      <c r="AD43" s="189">
        <v>0</v>
      </c>
      <c r="AE43" s="189">
        <v>0</v>
      </c>
      <c r="AF43" s="189"/>
      <c r="AG43" s="179">
        <f>SUM(表格1[[#This Row],[Commission (1% OR 2%)]:[Expenses/支出]])+表格1[[#This Row],[Basic]]</f>
        <v>13832.34</v>
      </c>
      <c r="AH43" s="184">
        <f t="shared" si="3"/>
        <v>13832</v>
      </c>
      <c r="AI43" s="150"/>
      <c r="AJ43" s="228">
        <v>13832.34</v>
      </c>
      <c r="AK43" s="152">
        <f>表格1[[#This Row],[Input]]-表格1[[#This Row],[Double check]]</f>
        <v>-0.34000000000014552</v>
      </c>
      <c r="AL43" s="153"/>
      <c r="AM43" s="156"/>
      <c r="AN43" s="156"/>
      <c r="AO43" s="156"/>
      <c r="AP43" s="156"/>
      <c r="AQ43" s="156"/>
      <c r="AR43" s="156"/>
      <c r="AS43" s="156"/>
      <c r="AT43" s="156"/>
    </row>
    <row r="44" spans="1:46" s="50" customFormat="1" ht="36">
      <c r="A44" s="98">
        <v>37</v>
      </c>
      <c r="B44" s="96" t="str">
        <f>IF(表格1[[#This Row],[Full Name.]]=工作表1!F38,"OK")</f>
        <v>OK</v>
      </c>
      <c r="C44" s="96" t="s">
        <v>282</v>
      </c>
      <c r="D44" s="96" t="s">
        <v>122</v>
      </c>
      <c r="E44" s="97" t="s">
        <v>277</v>
      </c>
      <c r="F44" s="174" t="s">
        <v>100</v>
      </c>
      <c r="G44" s="175" t="s">
        <v>562</v>
      </c>
      <c r="H44" s="176">
        <v>6</v>
      </c>
      <c r="I44" s="177">
        <v>48</v>
      </c>
      <c r="J44" s="178">
        <v>60</v>
      </c>
      <c r="K44" s="179">
        <f>表格1[[#This Row],[Reg.Hrs]]*表格1[[#This Row],[$]]</f>
        <v>2880</v>
      </c>
      <c r="L44" s="180">
        <v>32952</v>
      </c>
      <c r="M44" s="97"/>
      <c r="N44" s="181">
        <f>IFERROR((IF(表格1[[#This Row],[Name.]]=工作表1!$E38,工作表1!$K38," ")*表格1[[#This Row],[Sales]])," ")</f>
        <v>659.04</v>
      </c>
      <c r="O44" s="180">
        <f>IFERROR((IF(表格1[[#This Row],[Full Name.]]=工作表1!F38,工作表1!J38," ")*表格1[[#This Row],[Days]])," ")</f>
        <v>0</v>
      </c>
      <c r="P44" s="180"/>
      <c r="Q44" s="180"/>
      <c r="R44" s="180"/>
      <c r="S44" s="180"/>
      <c r="T44" s="180"/>
      <c r="U44" s="180"/>
      <c r="V44" s="180"/>
      <c r="W44" s="190"/>
      <c r="X44" s="182"/>
      <c r="Y44" s="182"/>
      <c r="Z44" s="188"/>
      <c r="AA44" s="188"/>
      <c r="AB44" s="188"/>
      <c r="AC44" s="188"/>
      <c r="AD44" s="188"/>
      <c r="AE44" s="188"/>
      <c r="AF44" s="188"/>
      <c r="AG44" s="179">
        <f>SUM(表格1[[#This Row],[Commission (1% OR 2%)]:[Expenses/支出]])+表格1[[#This Row],[Basic]]</f>
        <v>3539.04</v>
      </c>
      <c r="AH44" s="184">
        <f t="shared" si="3"/>
        <v>3539</v>
      </c>
      <c r="AI44" s="151"/>
      <c r="AJ44" s="227">
        <v>3539.04</v>
      </c>
      <c r="AK44" s="152">
        <f>表格1[[#This Row],[Input]]-表格1[[#This Row],[Double check]]</f>
        <v>-3.999999999996362E-2</v>
      </c>
      <c r="AL44" s="153"/>
      <c r="AM44" s="156"/>
      <c r="AN44" s="156"/>
      <c r="AO44" s="156"/>
      <c r="AP44" s="156"/>
      <c r="AQ44" s="156"/>
      <c r="AR44" s="156"/>
      <c r="AS44" s="156"/>
      <c r="AT44" s="156"/>
    </row>
    <row r="45" spans="1:46" s="50" customFormat="1" ht="36" hidden="1">
      <c r="A45" s="98">
        <v>38</v>
      </c>
      <c r="B45" s="96" t="str">
        <f>IF(表格1[[#This Row],[Full Name.]]=工作表1!F39,"OK")</f>
        <v>OK</v>
      </c>
      <c r="C45" s="96" t="s">
        <v>476</v>
      </c>
      <c r="D45" s="96" t="s">
        <v>179</v>
      </c>
      <c r="E45" s="97" t="s">
        <v>277</v>
      </c>
      <c r="F45" s="96" t="s">
        <v>269</v>
      </c>
      <c r="G45" s="175" t="s">
        <v>563</v>
      </c>
      <c r="H45" s="176">
        <v>4</v>
      </c>
      <c r="I45" s="177">
        <v>32</v>
      </c>
      <c r="J45" s="178">
        <v>60</v>
      </c>
      <c r="K45" s="179">
        <f>表格1[[#This Row],[Reg.Hrs]]*表格1[[#This Row],[$]]</f>
        <v>1920</v>
      </c>
      <c r="L45" s="180">
        <v>8550</v>
      </c>
      <c r="M45" s="97"/>
      <c r="N45" s="181">
        <f>IFERROR((IF(表格1[[#This Row],[Name.]]=工作表1!$E39,工作表1!$K39," ")*表格1[[#This Row],[Sales]])," ")</f>
        <v>171</v>
      </c>
      <c r="O45" s="180">
        <f>IFERROR((IF(表格1[[#This Row],[Full Name.]]=工作表1!F39,工作表1!J39," ")*表格1[[#This Row],[Days]])," ")</f>
        <v>0</v>
      </c>
      <c r="P45" s="180"/>
      <c r="Q45" s="180"/>
      <c r="R45" s="180"/>
      <c r="S45" s="180"/>
      <c r="T45" s="180"/>
      <c r="U45" s="180"/>
      <c r="V45" s="180"/>
      <c r="W45" s="182"/>
      <c r="X45" s="182"/>
      <c r="Y45" s="182"/>
      <c r="Z45" s="189"/>
      <c r="AA45" s="189"/>
      <c r="AB45" s="189"/>
      <c r="AC45" s="189"/>
      <c r="AD45" s="189"/>
      <c r="AE45" s="189"/>
      <c r="AF45" s="189"/>
      <c r="AG45" s="179">
        <f>SUM(表格1[[#This Row],[Commission (1% OR 2%)]:[Expenses/支出]])+表格1[[#This Row],[Basic]]</f>
        <v>2091</v>
      </c>
      <c r="AH45" s="184">
        <f t="shared" si="3"/>
        <v>2091</v>
      </c>
      <c r="AI45" s="151"/>
      <c r="AJ45" s="227">
        <v>2091</v>
      </c>
      <c r="AK45" s="152">
        <f>表格1[[#This Row],[Input]]-表格1[[#This Row],[Double check]]</f>
        <v>0</v>
      </c>
      <c r="AL45" s="153"/>
      <c r="AM45" s="156"/>
      <c r="AN45" s="156"/>
      <c r="AO45" s="156"/>
      <c r="AP45" s="156"/>
      <c r="AQ45" s="156"/>
      <c r="AR45" s="156"/>
      <c r="AS45" s="156"/>
      <c r="AT45" s="156"/>
    </row>
    <row r="46" spans="1:46" s="50" customFormat="1" ht="36" hidden="1">
      <c r="A46" s="98">
        <v>39</v>
      </c>
      <c r="B46" s="96" t="str">
        <f>IF(表格1[[#This Row],[Full Name.]]=工作表1!F40,"OK")</f>
        <v>OK</v>
      </c>
      <c r="C46" s="96" t="s">
        <v>477</v>
      </c>
      <c r="D46" s="96" t="s">
        <v>116</v>
      </c>
      <c r="E46" s="97" t="s">
        <v>277</v>
      </c>
      <c r="F46" s="174" t="s">
        <v>85</v>
      </c>
      <c r="G46" s="175" t="s">
        <v>564</v>
      </c>
      <c r="H46" s="176">
        <v>3</v>
      </c>
      <c r="I46" s="177">
        <v>24</v>
      </c>
      <c r="J46" s="178">
        <v>60</v>
      </c>
      <c r="K46" s="179">
        <f>表格1[[#This Row],[Reg.Hrs]]*表格1[[#This Row],[$]]</f>
        <v>1440</v>
      </c>
      <c r="L46" s="180">
        <v>5694</v>
      </c>
      <c r="M46" s="97"/>
      <c r="N46" s="181">
        <f>IFERROR((IF(表格1[[#This Row],[Name.]]=工作表1!$E40,工作表1!$K40," ")*表格1[[#This Row],[Sales]])," ")</f>
        <v>113.88</v>
      </c>
      <c r="O46" s="180">
        <f>IFERROR((IF(表格1[[#This Row],[Full Name.]]=工作表1!F40,工作表1!J40," ")*表格1[[#This Row],[Days]])," ")</f>
        <v>0</v>
      </c>
      <c r="P46" s="180"/>
      <c r="Q46" s="180"/>
      <c r="R46" s="180"/>
      <c r="S46" s="180"/>
      <c r="T46" s="180"/>
      <c r="U46" s="180"/>
      <c r="V46" s="180"/>
      <c r="W46" s="182"/>
      <c r="X46" s="182"/>
      <c r="Y46" s="182"/>
      <c r="Z46" s="180"/>
      <c r="AA46" s="180"/>
      <c r="AB46" s="180"/>
      <c r="AC46" s="180"/>
      <c r="AD46" s="180"/>
      <c r="AE46" s="180"/>
      <c r="AF46" s="230"/>
      <c r="AG46" s="179">
        <f>SUM(表格1[[#This Row],[Commission (1% OR 2%)]:[Expenses/支出]])+表格1[[#This Row],[Basic]]</f>
        <v>1553.88</v>
      </c>
      <c r="AH46" s="184">
        <f t="shared" si="3"/>
        <v>1554</v>
      </c>
      <c r="AI46" s="150"/>
      <c r="AJ46" s="228">
        <v>1553.88</v>
      </c>
      <c r="AK46" s="152">
        <f>表格1[[#This Row],[Input]]-表格1[[#This Row],[Double check]]</f>
        <v>0.11999999999989086</v>
      </c>
      <c r="AL46" s="153"/>
      <c r="AM46" s="156"/>
      <c r="AN46" s="156"/>
      <c r="AO46" s="156"/>
      <c r="AP46" s="156"/>
      <c r="AQ46" s="156"/>
      <c r="AR46" s="156"/>
      <c r="AS46" s="156"/>
      <c r="AT46" s="156"/>
    </row>
    <row r="47" spans="1:46" s="50" customFormat="1" ht="36">
      <c r="A47" s="98">
        <v>40</v>
      </c>
      <c r="B47" s="96" t="str">
        <f>IF(表格1[[#This Row],[Full Name.]]=工作表1!F41,"OK")</f>
        <v>OK</v>
      </c>
      <c r="C47" s="96" t="s">
        <v>259</v>
      </c>
      <c r="D47" s="96" t="s">
        <v>260</v>
      </c>
      <c r="E47" s="97">
        <v>20868</v>
      </c>
      <c r="F47" s="174" t="s">
        <v>84</v>
      </c>
      <c r="G47" s="175" t="s">
        <v>565</v>
      </c>
      <c r="H47" s="176">
        <v>6</v>
      </c>
      <c r="I47" s="177">
        <v>48</v>
      </c>
      <c r="J47" s="178">
        <v>65</v>
      </c>
      <c r="K47" s="179">
        <f>表格1[[#This Row],[Reg.Hrs]]*表格1[[#This Row],[$]]</f>
        <v>3120</v>
      </c>
      <c r="L47" s="180">
        <v>49436</v>
      </c>
      <c r="M47" s="97"/>
      <c r="N47" s="181">
        <f>362.32+313.2</f>
        <v>675.52</v>
      </c>
      <c r="O47" s="180">
        <f>IFERROR((IF(表格1[[#This Row],[Full Name.]]=工作表1!F41,工作表1!J41," ")*表格1[[#This Row],[Days]])," ")</f>
        <v>0</v>
      </c>
      <c r="P47" s="180"/>
      <c r="Q47" s="180"/>
      <c r="R47" s="180"/>
      <c r="S47" s="180"/>
      <c r="T47" s="180"/>
      <c r="U47" s="180"/>
      <c r="V47" s="180"/>
      <c r="W47" s="182"/>
      <c r="X47" s="182"/>
      <c r="Y47" s="182"/>
      <c r="Z47" s="180"/>
      <c r="AA47" s="180"/>
      <c r="AB47" s="180"/>
      <c r="AC47" s="180"/>
      <c r="AD47" s="180"/>
      <c r="AE47" s="180"/>
      <c r="AF47" s="180"/>
      <c r="AG47" s="179">
        <f>SUM(表格1[[#This Row],[Commission (1% OR 2%)]:[Expenses/支出]])+表格1[[#This Row],[Basic]]</f>
        <v>3795.52</v>
      </c>
      <c r="AH47" s="184">
        <f t="shared" si="3"/>
        <v>3796</v>
      </c>
      <c r="AI47" s="151"/>
      <c r="AJ47" s="228">
        <v>3795.52</v>
      </c>
      <c r="AK47" s="152">
        <f>表格1[[#This Row],[Input]]-表格1[[#This Row],[Double check]]</f>
        <v>0.48000000000001819</v>
      </c>
      <c r="AL47" s="153"/>
      <c r="AM47" s="156"/>
      <c r="AN47" s="156"/>
      <c r="AO47" s="156"/>
      <c r="AP47" s="156"/>
      <c r="AQ47" s="156"/>
      <c r="AR47" s="156"/>
      <c r="AS47" s="156"/>
      <c r="AT47" s="156"/>
    </row>
    <row r="48" spans="1:46" s="50" customFormat="1" ht="36" hidden="1">
      <c r="A48" s="98">
        <v>41</v>
      </c>
      <c r="B48" s="96" t="str">
        <f>IF(表格1[[#This Row],[Full Name.]]=工作表1!F42,"OK")</f>
        <v>OK</v>
      </c>
      <c r="C48" s="96" t="s">
        <v>284</v>
      </c>
      <c r="D48" s="96" t="s">
        <v>206</v>
      </c>
      <c r="E48" s="97" t="s">
        <v>277</v>
      </c>
      <c r="F48" s="174" t="s">
        <v>433</v>
      </c>
      <c r="G48" s="175" t="s">
        <v>566</v>
      </c>
      <c r="H48" s="176">
        <v>15</v>
      </c>
      <c r="I48" s="177">
        <v>120</v>
      </c>
      <c r="J48" s="178">
        <v>60</v>
      </c>
      <c r="K48" s="179">
        <f>表格1[[#This Row],[Reg.Hrs]]*表格1[[#This Row],[$]]</f>
        <v>7200</v>
      </c>
      <c r="L48" s="180">
        <v>187023</v>
      </c>
      <c r="M48" s="96"/>
      <c r="N48" s="181">
        <f>2454.76+642.85</f>
        <v>3097.61</v>
      </c>
      <c r="O48" s="259">
        <v>887.06</v>
      </c>
      <c r="P48" s="180">
        <v>0</v>
      </c>
      <c r="Q48" s="180">
        <v>300</v>
      </c>
      <c r="R48" s="180">
        <v>400</v>
      </c>
      <c r="S48" s="180">
        <v>0</v>
      </c>
      <c r="T48" s="180">
        <v>0</v>
      </c>
      <c r="U48" s="180">
        <v>0</v>
      </c>
      <c r="V48" s="180">
        <v>0</v>
      </c>
      <c r="W48" s="182">
        <v>0</v>
      </c>
      <c r="X48" s="182">
        <v>0</v>
      </c>
      <c r="Y48" s="182">
        <v>0</v>
      </c>
      <c r="Z48" s="180">
        <v>0</v>
      </c>
      <c r="AA48" s="180">
        <v>0</v>
      </c>
      <c r="AB48" s="180">
        <v>0</v>
      </c>
      <c r="AC48" s="180">
        <v>0</v>
      </c>
      <c r="AD48" s="180">
        <v>0</v>
      </c>
      <c r="AE48" s="180">
        <v>0</v>
      </c>
      <c r="AF48" s="180"/>
      <c r="AG48" s="179">
        <f>SUM(表格1[[#This Row],[Commission (1% OR 2%)]:[Expenses/支出]])+表格1[[#This Row],[Basic]]</f>
        <v>11884.67</v>
      </c>
      <c r="AH48" s="184">
        <f t="shared" si="3"/>
        <v>11885</v>
      </c>
      <c r="AI48" s="151"/>
      <c r="AJ48" s="228">
        <v>10997.61</v>
      </c>
      <c r="AK48" s="152">
        <f>表格1[[#This Row],[Input]]-表格1[[#This Row],[Double check]]</f>
        <v>887.38999999999942</v>
      </c>
      <c r="AL48" s="153"/>
      <c r="AM48" s="156"/>
      <c r="AN48" s="156"/>
      <c r="AO48" s="156"/>
      <c r="AP48" s="156"/>
      <c r="AQ48" s="156"/>
      <c r="AR48" s="156"/>
      <c r="AS48" s="156"/>
      <c r="AT48" s="156"/>
    </row>
    <row r="49" spans="1:46" s="50" customFormat="1" ht="36" hidden="1">
      <c r="A49" s="98">
        <v>42</v>
      </c>
      <c r="B49" s="96" t="str">
        <f>IF(表格1[[#This Row],[Full Name.]]=工作表1!F43,"OK")</f>
        <v>OK</v>
      </c>
      <c r="C49" s="96" t="s">
        <v>106</v>
      </c>
      <c r="D49" s="96" t="s">
        <v>93</v>
      </c>
      <c r="E49" s="97" t="s">
        <v>277</v>
      </c>
      <c r="F49" s="174" t="s">
        <v>491</v>
      </c>
      <c r="G49" s="175" t="s">
        <v>567</v>
      </c>
      <c r="H49" s="176">
        <v>1</v>
      </c>
      <c r="I49" s="177">
        <v>8</v>
      </c>
      <c r="J49" s="178">
        <v>60</v>
      </c>
      <c r="K49" s="179">
        <f>表格1[[#This Row],[Reg.Hrs]]*表格1[[#This Row],[$]]</f>
        <v>480</v>
      </c>
      <c r="L49" s="180">
        <v>3718</v>
      </c>
      <c r="M49" s="96"/>
      <c r="N49" s="181">
        <f>IFERROR((IF(表格1[[#This Row],[Name.]]=工作表1!$E43,工作表1!$K43," ")*表格1[[#This Row],[Sales]])," ")</f>
        <v>74.36</v>
      </c>
      <c r="O49" s="180">
        <f>IFERROR((IF(表格1[[#This Row],[Full Name.]]=工作表1!F43,工作表1!J43," ")*表格1[[#This Row],[Days]])," ")</f>
        <v>0</v>
      </c>
      <c r="P49" s="180"/>
      <c r="Q49" s="180"/>
      <c r="R49" s="180"/>
      <c r="S49" s="180"/>
      <c r="T49" s="180"/>
      <c r="U49" s="180"/>
      <c r="V49" s="180"/>
      <c r="W49" s="182"/>
      <c r="X49" s="182"/>
      <c r="Y49" s="182"/>
      <c r="Z49" s="180"/>
      <c r="AA49" s="180"/>
      <c r="AB49" s="180"/>
      <c r="AC49" s="180"/>
      <c r="AD49" s="180"/>
      <c r="AE49" s="180"/>
      <c r="AF49" s="180"/>
      <c r="AG49" s="179">
        <f>SUM(表格1[[#This Row],[Commission (1% OR 2%)]:[Expenses/支出]])+表格1[[#This Row],[Basic]]</f>
        <v>554.36</v>
      </c>
      <c r="AH49" s="184">
        <f t="shared" si="3"/>
        <v>554</v>
      </c>
      <c r="AI49" s="150"/>
      <c r="AJ49" s="227">
        <v>554.36</v>
      </c>
      <c r="AK49" s="152">
        <f>表格1[[#This Row],[Input]]-表格1[[#This Row],[Double check]]</f>
        <v>-0.36000000000001364</v>
      </c>
      <c r="AL49" s="153"/>
      <c r="AM49" s="156"/>
      <c r="AN49" s="156"/>
      <c r="AO49" s="156"/>
      <c r="AP49" s="156"/>
      <c r="AQ49" s="156"/>
      <c r="AR49" s="156"/>
      <c r="AS49" s="156"/>
      <c r="AT49" s="156"/>
    </row>
    <row r="50" spans="1:46" ht="26.25" hidden="1">
      <c r="A50" s="98">
        <v>43</v>
      </c>
      <c r="B50" s="96" t="str">
        <f>IF(表格1[[#This Row],[Full Name.]]=工作表1!F44,"OK")</f>
        <v>OK</v>
      </c>
      <c r="C50" s="96" t="s">
        <v>212</v>
      </c>
      <c r="D50" s="96" t="s">
        <v>114</v>
      </c>
      <c r="E50" s="97">
        <v>20869</v>
      </c>
      <c r="F50" s="174" t="s">
        <v>492</v>
      </c>
      <c r="G50" s="185" t="s">
        <v>568</v>
      </c>
      <c r="H50" s="176">
        <v>2</v>
      </c>
      <c r="I50" s="217">
        <v>16</v>
      </c>
      <c r="J50" s="191">
        <v>60</v>
      </c>
      <c r="K50" s="179">
        <f>表格1[[#This Row],[Reg.Hrs]]*表格1[[#This Row],[$]]</f>
        <v>960</v>
      </c>
      <c r="L50" s="180">
        <v>10016</v>
      </c>
      <c r="M50" s="192"/>
      <c r="N50" s="181">
        <f>IFERROR((IF(表格1[[#This Row],[Name.]]=工作表1!$E44,工作表1!$K44," ")*表格1[[#This Row],[Sales]])," ")</f>
        <v>200.32</v>
      </c>
      <c r="O50" s="180">
        <f>IFERROR((IF(表格1[[#This Row],[Full Name.]]=工作表1!F44,工作表1!J44," ")*表格1[[#This Row],[Days]])," ")</f>
        <v>0</v>
      </c>
      <c r="P50" s="180"/>
      <c r="Q50" s="180"/>
      <c r="R50" s="180"/>
      <c r="S50" s="180"/>
      <c r="T50" s="180"/>
      <c r="U50" s="180"/>
      <c r="V50" s="180"/>
      <c r="W50" s="182"/>
      <c r="X50" s="182"/>
      <c r="Y50" s="182"/>
      <c r="Z50" s="183"/>
      <c r="AA50" s="183"/>
      <c r="AB50" s="183"/>
      <c r="AC50" s="183"/>
      <c r="AD50" s="183"/>
      <c r="AE50" s="183"/>
      <c r="AF50" s="183"/>
      <c r="AG50" s="179">
        <f>SUM(表格1[[#This Row],[Commission (1% OR 2%)]:[Expenses/支出]])+表格1[[#This Row],[Basic]]</f>
        <v>1160.32</v>
      </c>
      <c r="AH50" s="184">
        <f t="shared" si="3"/>
        <v>1160</v>
      </c>
      <c r="AI50" s="150"/>
      <c r="AJ50" s="228">
        <v>1160.32</v>
      </c>
      <c r="AK50" s="152">
        <f>表格1[[#This Row],[Input]]-表格1[[#This Row],[Double check]]</f>
        <v>-0.31999999999993634</v>
      </c>
      <c r="AL50" s="153"/>
      <c r="AM50" s="4"/>
    </row>
    <row r="51" spans="1:46" ht="26.25" hidden="1">
      <c r="A51" s="98">
        <v>44</v>
      </c>
      <c r="B51" s="96" t="str">
        <f>IF(表格1[[#This Row],[Full Name.]]=工作表1!F45,"OK")</f>
        <v>OK</v>
      </c>
      <c r="C51" s="96" t="s">
        <v>478</v>
      </c>
      <c r="D51" s="96" t="s">
        <v>123</v>
      </c>
      <c r="E51" s="97" t="s">
        <v>277</v>
      </c>
      <c r="F51" s="174" t="s">
        <v>493</v>
      </c>
      <c r="G51" s="185" t="s">
        <v>569</v>
      </c>
      <c r="H51" s="176">
        <v>3</v>
      </c>
      <c r="I51" s="177">
        <v>24</v>
      </c>
      <c r="J51" s="178">
        <v>60</v>
      </c>
      <c r="K51" s="179">
        <f>表格1[[#This Row],[Reg.Hrs]]*表格1[[#This Row],[$]]</f>
        <v>1440</v>
      </c>
      <c r="L51" s="180">
        <v>31320</v>
      </c>
      <c r="M51" s="97"/>
      <c r="N51" s="181">
        <f>IFERROR((IF(表格1[[#This Row],[Name.]]=工作表1!$E45,工作表1!$K45," ")*表格1[[#This Row],[Sales]])," ")</f>
        <v>313.2</v>
      </c>
      <c r="O51" s="180">
        <f>IFERROR((IF(表格1[[#This Row],[Full Name.]]=工作表1!F45,工作表1!J45," ")*表格1[[#This Row],[Days]])," ")</f>
        <v>0</v>
      </c>
      <c r="P51" s="180"/>
      <c r="Q51" s="180"/>
      <c r="R51" s="180"/>
      <c r="S51" s="180"/>
      <c r="T51" s="180"/>
      <c r="U51" s="180"/>
      <c r="V51" s="180"/>
      <c r="W51" s="182"/>
      <c r="X51" s="182"/>
      <c r="Y51" s="182"/>
      <c r="Z51" s="188"/>
      <c r="AA51" s="188"/>
      <c r="AB51" s="188"/>
      <c r="AC51" s="188"/>
      <c r="AD51" s="188"/>
      <c r="AE51" s="188"/>
      <c r="AF51" s="188"/>
      <c r="AG51" s="179">
        <f>SUM(表格1[[#This Row],[Commission (1% OR 2%)]:[Expenses/支出]])+表格1[[#This Row],[Basic]]</f>
        <v>1753.2</v>
      </c>
      <c r="AH51" s="184">
        <f t="shared" si="3"/>
        <v>1753</v>
      </c>
      <c r="AI51" s="151"/>
      <c r="AJ51" s="227">
        <v>1753.2</v>
      </c>
      <c r="AK51" s="152">
        <f>表格1[[#This Row],[Input]]-表格1[[#This Row],[Double check]]</f>
        <v>-0.20000000000004547</v>
      </c>
      <c r="AL51" s="153"/>
      <c r="AM51" s="4"/>
    </row>
    <row r="52" spans="1:46" ht="26.25" hidden="1">
      <c r="A52" s="98">
        <v>45</v>
      </c>
      <c r="B52" s="96" t="str">
        <f>IF(表格1[[#This Row],[Full Name.]]=工作表1!F46,"OK")</f>
        <v>OK</v>
      </c>
      <c r="C52" s="96" t="s">
        <v>479</v>
      </c>
      <c r="D52" s="96" t="s">
        <v>116</v>
      </c>
      <c r="E52" s="97" t="s">
        <v>277</v>
      </c>
      <c r="F52" s="174" t="s">
        <v>494</v>
      </c>
      <c r="G52" s="185" t="s">
        <v>570</v>
      </c>
      <c r="H52" s="176">
        <v>2</v>
      </c>
      <c r="I52" s="177">
        <v>16</v>
      </c>
      <c r="J52" s="178">
        <v>60</v>
      </c>
      <c r="K52" s="179">
        <f>表格1[[#This Row],[Reg.Hrs]]*表格1[[#This Row],[$]]</f>
        <v>960</v>
      </c>
      <c r="L52" s="180">
        <v>64285</v>
      </c>
      <c r="M52" s="96"/>
      <c r="N52" s="181">
        <f>IFERROR((IF(表格1[[#This Row],[Name.]]=工作表1!$E46,工作表1!$K46," ")*表格1[[#This Row],[Sales]])," ")</f>
        <v>642.85</v>
      </c>
      <c r="O52" s="180">
        <f>IFERROR((IF(表格1[[#This Row],[Full Name.]]=工作表1!F46,工作表1!J46," ")*表格1[[#This Row],[Days]])," ")</f>
        <v>0</v>
      </c>
      <c r="P52" s="180"/>
      <c r="Q52" s="180"/>
      <c r="R52" s="180"/>
      <c r="S52" s="180"/>
      <c r="T52" s="180"/>
      <c r="U52" s="180"/>
      <c r="V52" s="180"/>
      <c r="W52" s="198"/>
      <c r="X52" s="198"/>
      <c r="Y52" s="198"/>
      <c r="Z52" s="186"/>
      <c r="AA52" s="186"/>
      <c r="AB52" s="186"/>
      <c r="AC52" s="186"/>
      <c r="AD52" s="186"/>
      <c r="AE52" s="186"/>
      <c r="AF52" s="186"/>
      <c r="AG52" s="179">
        <f>SUM(表格1[[#This Row],[Commission (1% OR 2%)]:[Expenses/支出]])+表格1[[#This Row],[Basic]]</f>
        <v>1602.85</v>
      </c>
      <c r="AH52" s="184">
        <f t="shared" si="3"/>
        <v>1603</v>
      </c>
      <c r="AI52" s="151"/>
      <c r="AJ52" s="227">
        <v>1602.85</v>
      </c>
      <c r="AK52" s="152">
        <f>表格1[[#This Row],[Input]]-表格1[[#This Row],[Double check]]</f>
        <v>0.15000000000009095</v>
      </c>
      <c r="AL52" s="153"/>
      <c r="AM52" s="4"/>
    </row>
    <row r="53" spans="1:46" ht="26.25" hidden="1">
      <c r="A53" s="98">
        <v>46</v>
      </c>
      <c r="B53" s="96" t="str">
        <f>IF(表格1[[#This Row],[Full Name.]]=工作表1!F47,"OK")</f>
        <v>OK</v>
      </c>
      <c r="C53" s="96" t="s">
        <v>120</v>
      </c>
      <c r="D53" s="96" t="s">
        <v>112</v>
      </c>
      <c r="E53" s="97">
        <v>20870</v>
      </c>
      <c r="F53" s="174" t="s">
        <v>495</v>
      </c>
      <c r="G53" s="185" t="s">
        <v>571</v>
      </c>
      <c r="H53" s="176">
        <v>4</v>
      </c>
      <c r="I53" s="177">
        <v>32</v>
      </c>
      <c r="J53" s="178">
        <v>60</v>
      </c>
      <c r="K53" s="179">
        <f>表格1[[#This Row],[Reg.Hrs]]*表格1[[#This Row],[$]]</f>
        <v>1920</v>
      </c>
      <c r="L53" s="180">
        <v>0</v>
      </c>
      <c r="M53" s="192"/>
      <c r="N53" s="181">
        <f>IFERROR((IF(表格1[[#This Row],[Name.]]=工作表1!$E47,工作表1!$K47," ")*表格1[[#This Row],[Sales]])," ")</f>
        <v>0</v>
      </c>
      <c r="O53" s="180">
        <f>IFERROR((IF(表格1[[#This Row],[Full Name.]]=工作表1!F47,工作表1!J47," ")*表格1[[#This Row],[Days]])," ")</f>
        <v>0</v>
      </c>
      <c r="P53" s="180"/>
      <c r="Q53" s="180"/>
      <c r="R53" s="180"/>
      <c r="S53" s="180"/>
      <c r="T53" s="180"/>
      <c r="U53" s="180"/>
      <c r="V53" s="180"/>
      <c r="W53" s="182"/>
      <c r="X53" s="182"/>
      <c r="Y53" s="182"/>
      <c r="Z53" s="183"/>
      <c r="AA53" s="183"/>
      <c r="AB53" s="183"/>
      <c r="AC53" s="183"/>
      <c r="AD53" s="183"/>
      <c r="AE53" s="183"/>
      <c r="AF53" s="183"/>
      <c r="AG53" s="179">
        <f>SUM(表格1[[#This Row],[Commission (1% OR 2%)]:[Expenses/支出]])+表格1[[#This Row],[Basic]]</f>
        <v>1920</v>
      </c>
      <c r="AH53" s="184">
        <f t="shared" si="3"/>
        <v>1920</v>
      </c>
      <c r="AI53" s="151"/>
      <c r="AJ53" s="227">
        <v>1920</v>
      </c>
      <c r="AK53" s="152">
        <f>表格1[[#This Row],[Input]]-表格1[[#This Row],[Double check]]</f>
        <v>0</v>
      </c>
      <c r="AL53" s="153"/>
      <c r="AM53" s="4"/>
    </row>
    <row r="54" spans="1:46" ht="26.25" hidden="1">
      <c r="A54" s="98">
        <v>47</v>
      </c>
      <c r="B54" s="96" t="str">
        <f>IF(表格1[[#This Row],[Full Name.]]=工作表1!F48,"OK")</f>
        <v>OK</v>
      </c>
      <c r="C54" s="194" t="s">
        <v>287</v>
      </c>
      <c r="D54" s="194" t="s">
        <v>173</v>
      </c>
      <c r="E54" s="97">
        <v>20871</v>
      </c>
      <c r="F54" s="194" t="s">
        <v>496</v>
      </c>
      <c r="G54" s="185" t="s">
        <v>572</v>
      </c>
      <c r="H54" s="176">
        <v>6</v>
      </c>
      <c r="I54" s="217">
        <v>48</v>
      </c>
      <c r="J54" s="191">
        <v>55</v>
      </c>
      <c r="K54" s="179">
        <f>表格1[[#This Row],[Reg.Hrs]]*表格1[[#This Row],[$]]</f>
        <v>2640</v>
      </c>
      <c r="L54" s="186">
        <v>95604</v>
      </c>
      <c r="M54" s="195"/>
      <c r="N54" s="181">
        <f>IFERROR((IF(表格1[[#This Row],[Name.]]=工作表1!$E48,工作表1!$K48," ")*表格1[[#This Row],[Sales]])," ")</f>
        <v>1912.08</v>
      </c>
      <c r="O54" s="180">
        <f>IFERROR((IF(表格1[[#This Row],[Full Name.]]=工作表1!F48,工作表1!J48," ")*表格1[[#This Row],[Days]])," ")</f>
        <v>180</v>
      </c>
      <c r="P54" s="186"/>
      <c r="Q54" s="186"/>
      <c r="R54" s="186"/>
      <c r="S54" s="186"/>
      <c r="T54" s="186"/>
      <c r="U54" s="186"/>
      <c r="V54" s="186"/>
      <c r="W54" s="196"/>
      <c r="X54" s="196"/>
      <c r="Y54" s="196"/>
      <c r="Z54" s="186"/>
      <c r="AA54" s="186"/>
      <c r="AB54" s="186"/>
      <c r="AC54" s="186"/>
      <c r="AD54" s="186"/>
      <c r="AE54" s="186"/>
      <c r="AF54" s="186"/>
      <c r="AG54" s="179">
        <f>SUM(表格1[[#This Row],[Commission (1% OR 2%)]:[Expenses/支出]])+表格1[[#This Row],[Basic]]</f>
        <v>4732.08</v>
      </c>
      <c r="AH54" s="184">
        <f t="shared" si="3"/>
        <v>4732</v>
      </c>
      <c r="AI54" s="151"/>
      <c r="AJ54" s="227">
        <v>4732.08</v>
      </c>
      <c r="AK54" s="162">
        <f>表格1[[#This Row],[Input]]-表格1[[#This Row],[Double check]]</f>
        <v>-7.999999999992724E-2</v>
      </c>
      <c r="AL54" s="163"/>
      <c r="AM54" s="4"/>
    </row>
    <row r="55" spans="1:46" ht="26.25" hidden="1">
      <c r="A55" s="98">
        <v>48</v>
      </c>
      <c r="B55" s="96" t="str">
        <f>IF(表格1[[#This Row],[Full Name.]]=工作表1!F49,"OK")</f>
        <v>OK</v>
      </c>
      <c r="C55" s="96" t="s">
        <v>261</v>
      </c>
      <c r="D55" s="96" t="s">
        <v>262</v>
      </c>
      <c r="E55" s="97" t="s">
        <v>277</v>
      </c>
      <c r="F55" s="174" t="s">
        <v>296</v>
      </c>
      <c r="G55" s="185" t="s">
        <v>573</v>
      </c>
      <c r="H55" s="176">
        <v>10</v>
      </c>
      <c r="I55" s="257">
        <v>80</v>
      </c>
      <c r="J55" s="178">
        <v>60</v>
      </c>
      <c r="K55" s="179">
        <f>表格1[[#This Row],[Reg.Hrs]]*表格1[[#This Row],[$]]</f>
        <v>4800</v>
      </c>
      <c r="L55" s="180">
        <v>47199</v>
      </c>
      <c r="M55" s="187"/>
      <c r="N55" s="181">
        <f>IFERROR((IF(表格1[[#This Row],[Name.]]=工作表1!$E49,工作表1!$K49," ")*表格1[[#This Row],[Sales]])," ")</f>
        <v>943.98</v>
      </c>
      <c r="O55" s="180">
        <f>IFERROR((IF(表格1[[#This Row],[Full Name.]]=工作表1!F49,工作表1!J49," ")*表格1[[#This Row],[Days]])," ")</f>
        <v>0</v>
      </c>
      <c r="P55" s="180"/>
      <c r="Q55" s="180"/>
      <c r="R55" s="180"/>
      <c r="S55" s="180"/>
      <c r="T55" s="180"/>
      <c r="U55" s="180"/>
      <c r="V55" s="180"/>
      <c r="W55" s="182"/>
      <c r="X55" s="182"/>
      <c r="Y55" s="182"/>
      <c r="Z55" s="180"/>
      <c r="AA55" s="180"/>
      <c r="AB55" s="180"/>
      <c r="AC55" s="180"/>
      <c r="AD55" s="180"/>
      <c r="AE55" s="180"/>
      <c r="AF55" s="180"/>
      <c r="AG55" s="179">
        <f>SUM(表格1[[#This Row],[Commission (1% OR 2%)]:[Expenses/支出]])+表格1[[#This Row],[Basic]]</f>
        <v>5743.98</v>
      </c>
      <c r="AH55" s="184">
        <f t="shared" si="3"/>
        <v>5744</v>
      </c>
      <c r="AI55" s="151"/>
      <c r="AJ55" s="228">
        <v>5743.98</v>
      </c>
      <c r="AK55" s="152">
        <f>表格1[[#This Row],[Input]]-表格1[[#This Row],[Double check]]</f>
        <v>2.0000000000436557E-2</v>
      </c>
      <c r="AL55" s="153"/>
      <c r="AM55" s="4"/>
    </row>
    <row r="56" spans="1:46" ht="26.25">
      <c r="A56" s="98">
        <v>49</v>
      </c>
      <c r="B56" s="96" t="str">
        <f>IF(表格1[[#This Row],[Full Name.]]=工作表1!F50,"OK")</f>
        <v>OK</v>
      </c>
      <c r="C56" s="96" t="s">
        <v>285</v>
      </c>
      <c r="D56" s="96" t="s">
        <v>122</v>
      </c>
      <c r="E56" s="97" t="s">
        <v>277</v>
      </c>
      <c r="F56" s="174" t="s">
        <v>297</v>
      </c>
      <c r="G56" s="185" t="s">
        <v>574</v>
      </c>
      <c r="H56" s="176">
        <v>1</v>
      </c>
      <c r="I56" s="177">
        <v>8</v>
      </c>
      <c r="J56" s="178">
        <v>60</v>
      </c>
      <c r="K56" s="179">
        <f>表格1[[#This Row],[Reg.Hrs]]*表格1[[#This Row],[$]]</f>
        <v>480</v>
      </c>
      <c r="L56" s="180">
        <v>6265</v>
      </c>
      <c r="M56" s="97"/>
      <c r="N56" s="181">
        <f>IFERROR((IF(表格1[[#This Row],[Name.]]=工作表1!$E50,工作表1!$K50," ")*表格1[[#This Row],[Sales]])," ")</f>
        <v>125.3</v>
      </c>
      <c r="O56" s="180">
        <f>IFERROR((IF(表格1[[#This Row],[Full Name.]]=工作表1!F50,工作表1!J50," ")*表格1[[#This Row],[Days]])," ")</f>
        <v>0</v>
      </c>
      <c r="P56" s="180"/>
      <c r="Q56" s="201"/>
      <c r="R56" s="180"/>
      <c r="S56" s="180"/>
      <c r="T56" s="180"/>
      <c r="U56" s="201"/>
      <c r="V56" s="180"/>
      <c r="W56" s="202"/>
      <c r="X56" s="202"/>
      <c r="Y56" s="202"/>
      <c r="Z56" s="232"/>
      <c r="AA56" s="232"/>
      <c r="AB56" s="232"/>
      <c r="AC56" s="232"/>
      <c r="AD56" s="232"/>
      <c r="AE56" s="232"/>
      <c r="AF56" s="232"/>
      <c r="AG56" s="179">
        <f>SUM(表格1[[#This Row],[Commission (1% OR 2%)]:[Expenses/支出]])+表格1[[#This Row],[Basic]]</f>
        <v>605.29999999999995</v>
      </c>
      <c r="AH56" s="184">
        <f t="shared" si="3"/>
        <v>605</v>
      </c>
      <c r="AI56" s="151"/>
      <c r="AJ56" s="228">
        <v>605.29999999999995</v>
      </c>
      <c r="AK56" s="152">
        <f>表格1[[#This Row],[Input]]-表格1[[#This Row],[Double check]]</f>
        <v>-0.29999999999995453</v>
      </c>
      <c r="AL56" s="153"/>
      <c r="AM56" s="4"/>
    </row>
    <row r="57" spans="1:46" ht="26.25">
      <c r="A57" s="98">
        <v>50</v>
      </c>
      <c r="B57" s="96" t="str">
        <f>IF(表格1[[#This Row],[Full Name.]]=工作表1!F51,"OK")</f>
        <v>OK</v>
      </c>
      <c r="C57" s="96" t="s">
        <v>393</v>
      </c>
      <c r="D57" s="96" t="s">
        <v>91</v>
      </c>
      <c r="E57" s="97">
        <v>20872</v>
      </c>
      <c r="F57" s="96" t="s">
        <v>497</v>
      </c>
      <c r="G57" s="175" t="s">
        <v>575</v>
      </c>
      <c r="H57" s="176">
        <v>3</v>
      </c>
      <c r="I57" s="177">
        <v>24</v>
      </c>
      <c r="J57" s="178">
        <v>60</v>
      </c>
      <c r="K57" s="179">
        <f>表格1[[#This Row],[Reg.Hrs]]*表格1[[#This Row],[$]]</f>
        <v>1440</v>
      </c>
      <c r="L57" s="180">
        <v>11043</v>
      </c>
      <c r="M57" s="97"/>
      <c r="N57" s="181">
        <f>IFERROR((IF(表格1[[#This Row],[Name.]]=工作表1!$E51,工作表1!$K51," ")*表格1[[#This Row],[Sales]])," ")</f>
        <v>220.86</v>
      </c>
      <c r="O57" s="180">
        <f>IFERROR((IF(表格1[[#This Row],[Full Name.]]=工作表1!F51,工作表1!J51," ")*表格1[[#This Row],[Days]])," ")</f>
        <v>0</v>
      </c>
      <c r="P57" s="180"/>
      <c r="Q57" s="180"/>
      <c r="R57" s="180"/>
      <c r="S57" s="180"/>
      <c r="T57" s="180"/>
      <c r="U57" s="180"/>
      <c r="V57" s="180"/>
      <c r="W57" s="182"/>
      <c r="X57" s="182"/>
      <c r="Y57" s="182"/>
      <c r="Z57" s="189"/>
      <c r="AA57" s="189"/>
      <c r="AB57" s="189"/>
      <c r="AC57" s="189"/>
      <c r="AD57" s="189"/>
      <c r="AE57" s="189"/>
      <c r="AF57" s="189"/>
      <c r="AG57" s="179">
        <f>SUM(表格1[[#This Row],[Commission (1% OR 2%)]:[Expenses/支出]])+表格1[[#This Row],[Basic]]</f>
        <v>1660.8600000000001</v>
      </c>
      <c r="AH57" s="184">
        <f t="shared" si="3"/>
        <v>1661</v>
      </c>
      <c r="AI57" s="150"/>
      <c r="AJ57" s="228">
        <v>1660.8600000000001</v>
      </c>
      <c r="AK57" s="152">
        <f>表格1[[#This Row],[Input]]-表格1[[#This Row],[Double check]]</f>
        <v>0.13999999999987267</v>
      </c>
      <c r="AL57" s="153"/>
      <c r="AM57" s="4"/>
    </row>
    <row r="58" spans="1:46" ht="26.25" hidden="1">
      <c r="A58" s="98">
        <v>51</v>
      </c>
      <c r="B58" s="96" t="str">
        <f>IF(表格1[[#This Row],[Full Name.]]=工作表1!F52,"OK")</f>
        <v>OK</v>
      </c>
      <c r="C58" s="96" t="s">
        <v>166</v>
      </c>
      <c r="D58" s="96" t="s">
        <v>209</v>
      </c>
      <c r="E58" s="97">
        <v>20873</v>
      </c>
      <c r="F58" s="174" t="s">
        <v>498</v>
      </c>
      <c r="G58" s="185" t="s">
        <v>576</v>
      </c>
      <c r="H58" s="176">
        <v>9</v>
      </c>
      <c r="I58" s="177">
        <v>72</v>
      </c>
      <c r="J58" s="178">
        <v>80</v>
      </c>
      <c r="K58" s="179">
        <f>表格1[[#This Row],[Reg.Hrs]]*表格1[[#This Row],[$]]</f>
        <v>5760</v>
      </c>
      <c r="L58" s="180">
        <v>172594</v>
      </c>
      <c r="M58" s="97"/>
      <c r="N58" s="181">
        <f>IFERROR((IF(表格1[[#This Row],[Name.]]=工作表1!$E52,工作表1!$K52," ")*表格1[[#This Row],[Sales]])," ")</f>
        <v>3451.88</v>
      </c>
      <c r="O58" s="180">
        <f>IFERROR((IF(表格1[[#This Row],[Full Name.]]=工作表1!F52,工作表1!J52," ")*表格1[[#This Row],[Days]])," ")</f>
        <v>0</v>
      </c>
      <c r="P58" s="180"/>
      <c r="Q58" s="180"/>
      <c r="R58" s="180"/>
      <c r="S58" s="180"/>
      <c r="T58" s="180"/>
      <c r="U58" s="180"/>
      <c r="V58" s="180"/>
      <c r="W58" s="198"/>
      <c r="X58" s="198"/>
      <c r="Y58" s="198"/>
      <c r="Z58" s="189"/>
      <c r="AA58" s="189"/>
      <c r="AB58" s="189"/>
      <c r="AC58" s="189"/>
      <c r="AD58" s="189"/>
      <c r="AE58" s="189"/>
      <c r="AF58" s="189">
        <v>1510</v>
      </c>
      <c r="AG58" s="179">
        <f>SUM(表格1[[#This Row],[Commission (1% OR 2%)]:[Expenses/支出]])+表格1[[#This Row],[Basic]]</f>
        <v>10721.880000000001</v>
      </c>
      <c r="AH58" s="184">
        <f t="shared" si="3"/>
        <v>10722</v>
      </c>
      <c r="AI58" s="150"/>
      <c r="AJ58" s="228">
        <v>9211.880000000001</v>
      </c>
      <c r="AK58" s="152">
        <f>表格1[[#This Row],[Input]]-表格1[[#This Row],[Double check]]</f>
        <v>1510.119999999999</v>
      </c>
      <c r="AL58" s="153"/>
      <c r="AM58" s="4"/>
    </row>
    <row r="59" spans="1:46" ht="26.25" hidden="1">
      <c r="A59" s="98">
        <v>52</v>
      </c>
      <c r="B59" s="96" t="str">
        <f>IF(表格1[[#This Row],[Full Name.]]=工作表1!F53,"OK")</f>
        <v>OK</v>
      </c>
      <c r="C59" s="96" t="s">
        <v>227</v>
      </c>
      <c r="D59" s="96" t="s">
        <v>97</v>
      </c>
      <c r="E59" s="97">
        <v>20874</v>
      </c>
      <c r="F59" s="174" t="s">
        <v>499</v>
      </c>
      <c r="G59" s="175" t="s">
        <v>577</v>
      </c>
      <c r="H59" s="176">
        <v>8</v>
      </c>
      <c r="I59" s="177">
        <v>64</v>
      </c>
      <c r="J59" s="178">
        <v>65</v>
      </c>
      <c r="K59" s="179">
        <f>表格1[[#This Row],[Reg.Hrs]]*表格1[[#This Row],[$]]</f>
        <v>4160</v>
      </c>
      <c r="L59" s="180">
        <v>71785</v>
      </c>
      <c r="M59" s="96"/>
      <c r="N59" s="181">
        <f>IFERROR((IF(表格1[[#This Row],[Name.]]=工作表1!$E53,工作表1!$K53," ")*表格1[[#This Row],[Sales]])," ")</f>
        <v>1435.7</v>
      </c>
      <c r="O59" s="180">
        <f>IFERROR((IF(表格1[[#This Row],[Full Name.]]=工作表1!F53,工作表1!J53," ")*表格1[[#This Row],[Days]])," ")</f>
        <v>0</v>
      </c>
      <c r="P59" s="180"/>
      <c r="Q59" s="180"/>
      <c r="R59" s="180"/>
      <c r="S59" s="180"/>
      <c r="T59" s="180"/>
      <c r="U59" s="180"/>
      <c r="V59" s="180"/>
      <c r="W59" s="182"/>
      <c r="X59" s="182"/>
      <c r="Y59" s="182"/>
      <c r="Z59" s="180"/>
      <c r="AA59" s="180"/>
      <c r="AB59" s="180"/>
      <c r="AC59" s="180"/>
      <c r="AD59" s="180"/>
      <c r="AE59" s="180"/>
      <c r="AF59" s="180"/>
      <c r="AG59" s="179">
        <f>SUM(表格1[[#This Row],[Commission (1% OR 2%)]:[Expenses/支出]])+表格1[[#This Row],[Basic]]</f>
        <v>5595.7</v>
      </c>
      <c r="AH59" s="184">
        <f t="shared" si="3"/>
        <v>5596</v>
      </c>
      <c r="AI59" s="150"/>
      <c r="AJ59" s="228">
        <v>5595.7</v>
      </c>
      <c r="AK59" s="152">
        <f>表格1[[#This Row],[Input]]-表格1[[#This Row],[Double check]]</f>
        <v>0.3000000000001819</v>
      </c>
      <c r="AL59" s="153"/>
      <c r="AM59" s="4"/>
    </row>
    <row r="60" spans="1:46" ht="26.25" hidden="1">
      <c r="A60" s="98">
        <v>53</v>
      </c>
      <c r="B60" s="96" t="str">
        <f>IF(表格1[[#This Row],[Full Name.]]=工作表1!F54,"OK")</f>
        <v>OK</v>
      </c>
      <c r="C60" s="96" t="s">
        <v>286</v>
      </c>
      <c r="D60" s="96" t="s">
        <v>170</v>
      </c>
      <c r="E60" s="97" t="s">
        <v>277</v>
      </c>
      <c r="F60" s="174" t="s">
        <v>500</v>
      </c>
      <c r="G60" s="185" t="s">
        <v>578</v>
      </c>
      <c r="H60" s="176">
        <v>4</v>
      </c>
      <c r="I60" s="177">
        <v>35.5</v>
      </c>
      <c r="J60" s="178">
        <v>60</v>
      </c>
      <c r="K60" s="179">
        <f>表格1[[#This Row],[Reg.Hrs]]*表格1[[#This Row],[$]]</f>
        <v>2130</v>
      </c>
      <c r="L60" s="180">
        <v>83810</v>
      </c>
      <c r="M60" s="97"/>
      <c r="N60" s="181">
        <f>IFERROR((IF(表格1[[#This Row],[Name.]]=工作表1!$E54,工作表1!$K54," ")*表格1[[#This Row],[Sales]])," ")</f>
        <v>1676.2</v>
      </c>
      <c r="O60" s="180">
        <f>IFERROR((IF(表格1[[#This Row],[Full Name.]]=工作表1!F54,工作表1!J54," ")*表格1[[#This Row],[Days]])," ")</f>
        <v>0</v>
      </c>
      <c r="P60" s="180"/>
      <c r="Q60" s="180"/>
      <c r="R60" s="180"/>
      <c r="S60" s="180"/>
      <c r="T60" s="180"/>
      <c r="U60" s="180"/>
      <c r="V60" s="180"/>
      <c r="W60" s="182"/>
      <c r="X60" s="182"/>
      <c r="Y60" s="182"/>
      <c r="Z60" s="180"/>
      <c r="AA60" s="180"/>
      <c r="AB60" s="180"/>
      <c r="AC60" s="180"/>
      <c r="AD60" s="180"/>
      <c r="AE60" s="180"/>
      <c r="AF60" s="180"/>
      <c r="AG60" s="179">
        <f>SUM(表格1[[#This Row],[Commission (1% OR 2%)]:[Expenses/支出]])+表格1[[#This Row],[Basic]]</f>
        <v>3806.2</v>
      </c>
      <c r="AH60" s="184">
        <f t="shared" si="3"/>
        <v>3806</v>
      </c>
      <c r="AI60" s="150"/>
      <c r="AJ60" s="228">
        <v>3806.2</v>
      </c>
      <c r="AK60" s="152">
        <f>表格1[[#This Row],[Input]]-表格1[[#This Row],[Double check]]</f>
        <v>-0.1999999999998181</v>
      </c>
      <c r="AL60" s="153"/>
      <c r="AM60" s="4"/>
    </row>
    <row r="61" spans="1:46" s="117" customFormat="1" ht="26.25" hidden="1">
      <c r="A61" s="98">
        <v>54</v>
      </c>
      <c r="B61" s="96" t="str">
        <f>IF(表格1[[#This Row],[Full Name.]]=工作表1!F55,"OK")</f>
        <v>OK</v>
      </c>
      <c r="C61" s="96" t="s">
        <v>402</v>
      </c>
      <c r="D61" s="96" t="s">
        <v>92</v>
      </c>
      <c r="E61" s="97">
        <v>20875</v>
      </c>
      <c r="F61" s="174" t="s">
        <v>501</v>
      </c>
      <c r="G61" s="185" t="s">
        <v>579</v>
      </c>
      <c r="H61" s="176">
        <v>4</v>
      </c>
      <c r="I61" s="177">
        <v>32</v>
      </c>
      <c r="J61" s="178">
        <v>60</v>
      </c>
      <c r="K61" s="179">
        <f>表格1[[#This Row],[Reg.Hrs]]*表格1[[#This Row],[$]]</f>
        <v>1920</v>
      </c>
      <c r="L61" s="180">
        <v>75226</v>
      </c>
      <c r="M61" s="96"/>
      <c r="N61" s="181">
        <f>IFERROR((IF(表格1[[#This Row],[Name.]]=工作表1!$E55,工作表1!$K55," ")*表格1[[#This Row],[Sales]])," ")</f>
        <v>1504.52</v>
      </c>
      <c r="O61" s="180">
        <f>IFERROR((IF(表格1[[#This Row],[Full Name.]]=工作表1!F55,工作表1!J55," ")*表格1[[#This Row],[Days]])," ")</f>
        <v>0</v>
      </c>
      <c r="P61" s="180"/>
      <c r="Q61" s="180"/>
      <c r="R61" s="180"/>
      <c r="S61" s="180"/>
      <c r="T61" s="180"/>
      <c r="U61" s="180"/>
      <c r="V61" s="180"/>
      <c r="W61" s="182"/>
      <c r="X61" s="182"/>
      <c r="Y61" s="182"/>
      <c r="Z61" s="180"/>
      <c r="AA61" s="180"/>
      <c r="AB61" s="180"/>
      <c r="AC61" s="180"/>
      <c r="AD61" s="180"/>
      <c r="AE61" s="180"/>
      <c r="AF61" s="180"/>
      <c r="AG61" s="179">
        <f>SUM(表格1[[#This Row],[Commission (1% OR 2%)]:[Expenses/支出]])+表格1[[#This Row],[Basic]]</f>
        <v>3424.52</v>
      </c>
      <c r="AH61" s="184">
        <f t="shared" si="3"/>
        <v>3425</v>
      </c>
      <c r="AI61" s="151"/>
      <c r="AJ61" s="227">
        <v>3424.52</v>
      </c>
      <c r="AK61" s="152">
        <f>表格1[[#This Row],[Input]]-表格1[[#This Row],[Double check]]</f>
        <v>0.48000000000001819</v>
      </c>
      <c r="AL61" s="153"/>
      <c r="AM61" s="4"/>
      <c r="AN61" s="4"/>
      <c r="AO61" s="4"/>
      <c r="AP61" s="4"/>
      <c r="AQ61" s="4"/>
      <c r="AR61" s="4"/>
      <c r="AS61" s="4"/>
      <c r="AT61" s="4"/>
    </row>
    <row r="62" spans="1:46" ht="26.25">
      <c r="A62" s="98">
        <v>55</v>
      </c>
      <c r="B62" s="96" t="str">
        <f>IF(表格1[[#This Row],[Full Name.]]=工作表1!F56,"OK")</f>
        <v>OK</v>
      </c>
      <c r="C62" s="96" t="s">
        <v>440</v>
      </c>
      <c r="D62" s="96" t="s">
        <v>91</v>
      </c>
      <c r="E62" s="97">
        <v>20876</v>
      </c>
      <c r="F62" s="174" t="s">
        <v>502</v>
      </c>
      <c r="G62" s="185" t="s">
        <v>580</v>
      </c>
      <c r="H62" s="176">
        <v>4</v>
      </c>
      <c r="I62" s="177">
        <v>40</v>
      </c>
      <c r="J62" s="178">
        <v>60</v>
      </c>
      <c r="K62" s="179">
        <f>表格1[[#This Row],[Reg.Hrs]]*表格1[[#This Row],[$]]</f>
        <v>2400</v>
      </c>
      <c r="L62" s="180">
        <v>542192</v>
      </c>
      <c r="M62" s="187"/>
      <c r="N62" s="181">
        <f>IFERROR((IF(表格1[[#This Row],[Name.]]=工作表1!$E56,工作表1!$K56," ")*表格1[[#This Row],[Sales]])," ")</f>
        <v>5421.92</v>
      </c>
      <c r="O62" s="180">
        <f>IFERROR((IF(表格1[[#This Row],[Full Name.]]=工作表1!F56,工作表1!J56," ")*表格1[[#This Row],[Days]])," ")</f>
        <v>0</v>
      </c>
      <c r="P62" s="180"/>
      <c r="Q62" s="180"/>
      <c r="R62" s="180"/>
      <c r="S62" s="180"/>
      <c r="T62" s="180"/>
      <c r="U62" s="180"/>
      <c r="V62" s="193"/>
      <c r="W62" s="182"/>
      <c r="X62" s="182"/>
      <c r="Y62" s="182"/>
      <c r="Z62" s="186"/>
      <c r="AA62" s="186"/>
      <c r="AB62" s="186"/>
      <c r="AC62" s="186"/>
      <c r="AD62" s="186"/>
      <c r="AE62" s="186"/>
      <c r="AF62" s="231"/>
      <c r="AG62" s="179">
        <f>SUM(表格1[[#This Row],[Commission (1% OR 2%)]:[Expenses/支出]])+表格1[[#This Row],[Basic]]</f>
        <v>7821.92</v>
      </c>
      <c r="AH62" s="184">
        <f t="shared" si="3"/>
        <v>7822</v>
      </c>
      <c r="AI62" s="151"/>
      <c r="AJ62" s="223">
        <v>7821.92</v>
      </c>
      <c r="AK62" s="152">
        <f>表格1[[#This Row],[Input]]-表格1[[#This Row],[Double check]]</f>
        <v>7.999999999992724E-2</v>
      </c>
      <c r="AL62" s="153"/>
      <c r="AM62" s="4"/>
    </row>
    <row r="63" spans="1:46" ht="26.25" hidden="1">
      <c r="A63" s="98">
        <v>56</v>
      </c>
      <c r="B63" s="96" t="str">
        <f>IF(表格1[[#This Row],[Full Name.]]=工作表1!F57,"OK")</f>
        <v>OK</v>
      </c>
      <c r="C63" s="96" t="s">
        <v>449</v>
      </c>
      <c r="D63" s="96" t="s">
        <v>92</v>
      </c>
      <c r="E63" s="97">
        <v>20877</v>
      </c>
      <c r="F63" s="174" t="s">
        <v>272</v>
      </c>
      <c r="G63" s="185" t="s">
        <v>581</v>
      </c>
      <c r="H63" s="176">
        <v>13</v>
      </c>
      <c r="I63" s="177">
        <v>104</v>
      </c>
      <c r="J63" s="178">
        <v>60</v>
      </c>
      <c r="K63" s="179">
        <f>表格1[[#This Row],[Reg.Hrs]]*表格1[[#This Row],[$]]</f>
        <v>6240</v>
      </c>
      <c r="L63" s="180">
        <v>111304</v>
      </c>
      <c r="M63" s="187"/>
      <c r="N63" s="181">
        <f>IFERROR((IF(表格1[[#This Row],[Name.]]=工作表1!$E57,工作表1!$K57," ")*表格1[[#This Row],[Sales]])," ")</f>
        <v>2226.08</v>
      </c>
      <c r="O63" s="180">
        <f>IFERROR((IF(表格1[[#This Row],[Full Name.]]=工作表1!F57,工作表1!J57," ")*表格1[[#This Row],[Days]])," ")</f>
        <v>0</v>
      </c>
      <c r="P63" s="180"/>
      <c r="Q63" s="180"/>
      <c r="R63" s="180"/>
      <c r="S63" s="180"/>
      <c r="T63" s="180"/>
      <c r="U63" s="180"/>
      <c r="V63" s="180"/>
      <c r="W63" s="182"/>
      <c r="X63" s="182"/>
      <c r="Y63" s="182"/>
      <c r="Z63" s="180"/>
      <c r="AA63" s="180"/>
      <c r="AB63" s="180"/>
      <c r="AC63" s="180"/>
      <c r="AD63" s="180"/>
      <c r="AE63" s="180"/>
      <c r="AF63" s="230"/>
      <c r="AG63" s="179">
        <f>SUM(表格1[[#This Row],[Commission (1% OR 2%)]:[Expenses/支出]])+表格1[[#This Row],[Basic]]</f>
        <v>8466.08</v>
      </c>
      <c r="AH63" s="184">
        <f t="shared" si="3"/>
        <v>8466</v>
      </c>
      <c r="AI63" s="151"/>
      <c r="AJ63" s="221">
        <v>8466.08</v>
      </c>
      <c r="AK63" s="152">
        <f>表格1[[#This Row],[Input]]-表格1[[#This Row],[Double check]]</f>
        <v>-7.999999999992724E-2</v>
      </c>
      <c r="AL63" s="153"/>
      <c r="AM63" s="4"/>
    </row>
    <row r="64" spans="1:46" ht="26.25" hidden="1">
      <c r="A64" s="98">
        <v>57</v>
      </c>
      <c r="B64" s="96" t="str">
        <f>IF(表格1[[#This Row],[Full Name.]]=工作表1!F58,"OK")</f>
        <v>OK</v>
      </c>
      <c r="C64" s="96" t="s">
        <v>219</v>
      </c>
      <c r="D64" s="96" t="s">
        <v>220</v>
      </c>
      <c r="E64" s="97">
        <v>20878</v>
      </c>
      <c r="F64" s="174" t="s">
        <v>273</v>
      </c>
      <c r="G64" s="175" t="s">
        <v>582</v>
      </c>
      <c r="H64" s="176">
        <v>5</v>
      </c>
      <c r="I64" s="177">
        <v>40</v>
      </c>
      <c r="J64" s="178">
        <v>60</v>
      </c>
      <c r="K64" s="179">
        <f>表格1[[#This Row],[Reg.Hrs]]*表格1[[#This Row],[$]]</f>
        <v>2400</v>
      </c>
      <c r="L64" s="186">
        <v>66360</v>
      </c>
      <c r="M64" s="195"/>
      <c r="N64" s="181">
        <f>IFERROR((IF(表格1[[#This Row],[Name.]]=工作表1!$E58,工作表1!$K58," ")*表格1[[#This Row],[Sales]])," ")</f>
        <v>1327.2</v>
      </c>
      <c r="O64" s="180">
        <f>IFERROR((IF(表格1[[#This Row],[Full Name.]]=工作表1!F58,工作表1!J58," ")*表格1[[#This Row],[Days]])," ")</f>
        <v>0</v>
      </c>
      <c r="P64" s="180"/>
      <c r="Q64" s="180"/>
      <c r="R64" s="180"/>
      <c r="S64" s="180"/>
      <c r="T64" s="180"/>
      <c r="U64" s="180"/>
      <c r="V64" s="180"/>
      <c r="W64" s="182"/>
      <c r="X64" s="182"/>
      <c r="Y64" s="182"/>
      <c r="Z64" s="186"/>
      <c r="AA64" s="186"/>
      <c r="AB64" s="186"/>
      <c r="AC64" s="186"/>
      <c r="AD64" s="186"/>
      <c r="AE64" s="186"/>
      <c r="AF64" s="186"/>
      <c r="AG64" s="179">
        <f>SUM(表格1[[#This Row],[Commission (1% OR 2%)]:[Expenses/支出]])+表格1[[#This Row],[Basic]]</f>
        <v>3727.2</v>
      </c>
      <c r="AH64" s="184">
        <f t="shared" si="3"/>
        <v>3727</v>
      </c>
      <c r="AI64" s="150"/>
      <c r="AJ64" s="221">
        <v>3727.2</v>
      </c>
      <c r="AK64" s="160">
        <f>表格1[[#This Row],[Input]]-表格1[[#This Row],[Double check]]</f>
        <v>-0.1999999999998181</v>
      </c>
      <c r="AL64" s="161"/>
      <c r="AM64" s="4"/>
    </row>
    <row r="65" spans="1:39" ht="36" hidden="1">
      <c r="A65" s="98">
        <v>58</v>
      </c>
      <c r="B65" s="96" t="str">
        <f>IF(表格1[[#This Row],[Full Name.]]=工作表1!F59,"OK")</f>
        <v>OK</v>
      </c>
      <c r="C65" s="96" t="s">
        <v>216</v>
      </c>
      <c r="D65" s="96" t="s">
        <v>217</v>
      </c>
      <c r="E65" s="97">
        <v>20879</v>
      </c>
      <c r="F65" s="174" t="s">
        <v>453</v>
      </c>
      <c r="G65" s="175" t="s">
        <v>582</v>
      </c>
      <c r="H65" s="176">
        <v>5</v>
      </c>
      <c r="I65" s="200">
        <v>40</v>
      </c>
      <c r="J65" s="178">
        <v>60</v>
      </c>
      <c r="K65" s="179">
        <f>表格1[[#This Row],[Reg.Hrs]]*表格1[[#This Row],[$]]</f>
        <v>2400</v>
      </c>
      <c r="L65" s="180">
        <v>79014</v>
      </c>
      <c r="M65" s="96"/>
      <c r="N65" s="181">
        <f>IFERROR((IF(表格1[[#This Row],[Name.]]=工作表1!$E59,工作表1!$K59," ")*表格1[[#This Row],[Sales]])," ")</f>
        <v>1580.28</v>
      </c>
      <c r="O65" s="180">
        <f>IFERROR((IF(表格1[[#This Row],[Full Name.]]=工作表1!F59,工作表1!J59," ")*表格1[[#This Row],[Days]])," ")</f>
        <v>0</v>
      </c>
      <c r="P65" s="180"/>
      <c r="Q65" s="180"/>
      <c r="R65" s="180"/>
      <c r="S65" s="180"/>
      <c r="T65" s="180"/>
      <c r="U65" s="180"/>
      <c r="V65" s="180"/>
      <c r="W65" s="182"/>
      <c r="X65" s="182"/>
      <c r="Y65" s="182"/>
      <c r="Z65" s="186"/>
      <c r="AA65" s="186"/>
      <c r="AB65" s="186"/>
      <c r="AC65" s="186"/>
      <c r="AD65" s="186"/>
      <c r="AE65" s="186"/>
      <c r="AF65" s="186"/>
      <c r="AG65" s="179">
        <f>SUM(表格1[[#This Row],[Commission (1% OR 2%)]:[Expenses/支出]])+表格1[[#This Row],[Basic]]</f>
        <v>3980.2799999999997</v>
      </c>
      <c r="AH65" s="184">
        <f t="shared" si="3"/>
        <v>3980</v>
      </c>
      <c r="AI65" s="150"/>
      <c r="AJ65" s="222">
        <v>3980.2799999999997</v>
      </c>
      <c r="AK65" s="152">
        <f>表格1[[#This Row],[Input]]-表格1[[#This Row],[Double check]]</f>
        <v>-0.27999999999974534</v>
      </c>
      <c r="AL65" s="153"/>
      <c r="AM65" s="4"/>
    </row>
    <row r="66" spans="1:39" ht="26.25" hidden="1">
      <c r="A66" s="98">
        <v>59</v>
      </c>
      <c r="B66" s="96" t="str">
        <f>IF(表格1[[#This Row],[Full Name.]]=工作表1!F60,"OK")</f>
        <v>OK</v>
      </c>
      <c r="C66" s="96" t="s">
        <v>203</v>
      </c>
      <c r="D66" s="96" t="s">
        <v>204</v>
      </c>
      <c r="E66" s="97" t="s">
        <v>277</v>
      </c>
      <c r="F66" s="174" t="s">
        <v>305</v>
      </c>
      <c r="G66" s="185" t="s">
        <v>583</v>
      </c>
      <c r="H66" s="176">
        <v>13</v>
      </c>
      <c r="I66" s="177">
        <v>104</v>
      </c>
      <c r="J66" s="178">
        <v>60</v>
      </c>
      <c r="K66" s="179">
        <f>表格1[[#This Row],[Reg.Hrs]]*表格1[[#This Row],[$]]</f>
        <v>6240</v>
      </c>
      <c r="L66" s="180">
        <v>287112</v>
      </c>
      <c r="M66" s="187"/>
      <c r="N66" s="181">
        <f>IFERROR((IF(表格1[[#This Row],[Name.]]=工作表1!$E60,工作表1!$K60," ")*表格1[[#This Row],[Sales]])," ")</f>
        <v>5742.24</v>
      </c>
      <c r="O66" s="180">
        <f>IFERROR((IF(表格1[[#This Row],[Full Name.]]=工作表1!F60,工作表1!J60," ")*表格1[[#This Row],[Days]])," ")</f>
        <v>0</v>
      </c>
      <c r="P66" s="180"/>
      <c r="Q66" s="180"/>
      <c r="R66" s="180"/>
      <c r="S66" s="180"/>
      <c r="T66" s="180"/>
      <c r="U66" s="180"/>
      <c r="V66" s="180"/>
      <c r="W66" s="182"/>
      <c r="X66" s="182"/>
      <c r="Y66" s="182"/>
      <c r="Z66" s="180"/>
      <c r="AA66" s="180"/>
      <c r="AB66" s="180"/>
      <c r="AC66" s="180"/>
      <c r="AD66" s="180"/>
      <c r="AE66" s="180"/>
      <c r="AF66" s="180"/>
      <c r="AG66" s="179">
        <f>SUM(表格1[[#This Row],[Commission (1% OR 2%)]:[Expenses/支出]])+表格1[[#This Row],[Basic]]</f>
        <v>11982.24</v>
      </c>
      <c r="AH66" s="184">
        <f t="shared" si="3"/>
        <v>11982</v>
      </c>
      <c r="AI66" s="150"/>
      <c r="AJ66" s="222">
        <v>11982.24</v>
      </c>
      <c r="AK66" s="152">
        <f>表格1[[#This Row],[Input]]-表格1[[#This Row],[Double check]]</f>
        <v>-0.23999999999978172</v>
      </c>
      <c r="AL66" s="153"/>
      <c r="AM66" s="4"/>
    </row>
    <row r="67" spans="1:39" ht="26.25" hidden="1">
      <c r="A67" s="98">
        <v>60</v>
      </c>
      <c r="B67" s="96" t="str">
        <f>IF(表格1[[#This Row],[Full Name.]]=工作表1!F61,"OK")</f>
        <v>OK</v>
      </c>
      <c r="C67" s="96" t="s">
        <v>245</v>
      </c>
      <c r="D67" s="96" t="s">
        <v>246</v>
      </c>
      <c r="E67" s="97" t="s">
        <v>277</v>
      </c>
      <c r="F67" s="174" t="s">
        <v>460</v>
      </c>
      <c r="G67" s="175" t="s">
        <v>582</v>
      </c>
      <c r="H67" s="176">
        <v>5</v>
      </c>
      <c r="I67" s="177">
        <v>40</v>
      </c>
      <c r="J67" s="178">
        <v>60</v>
      </c>
      <c r="K67" s="179">
        <f>表格1[[#This Row],[Reg.Hrs]]*表格1[[#This Row],[$]]</f>
        <v>2400</v>
      </c>
      <c r="L67" s="180">
        <v>10588</v>
      </c>
      <c r="M67" s="97"/>
      <c r="N67" s="181">
        <f>IFERROR((IF(表格1[[#This Row],[Name.]]=工作表1!$E61,工作表1!$K61," ")*表格1[[#This Row],[Sales]])," ")</f>
        <v>211.76</v>
      </c>
      <c r="O67" s="180">
        <f>IFERROR((IF(表格1[[#This Row],[Full Name.]]=工作表1!F61,工作表1!J61," ")*表格1[[#This Row],[Days]])," ")</f>
        <v>0</v>
      </c>
      <c r="P67" s="180"/>
      <c r="Q67" s="180"/>
      <c r="R67" s="180"/>
      <c r="S67" s="180"/>
      <c r="T67" s="180"/>
      <c r="U67" s="180"/>
      <c r="V67" s="180"/>
      <c r="W67" s="182"/>
      <c r="X67" s="182"/>
      <c r="Y67" s="182"/>
      <c r="Z67" s="186"/>
      <c r="AA67" s="186"/>
      <c r="AB67" s="186"/>
      <c r="AC67" s="186"/>
      <c r="AD67" s="186"/>
      <c r="AE67" s="186"/>
      <c r="AF67" s="186"/>
      <c r="AG67" s="179">
        <f>SUM(表格1[[#This Row],[Commission (1% OR 2%)]:[Expenses/支出]])+表格1[[#This Row],[Basic]]</f>
        <v>2611.7600000000002</v>
      </c>
      <c r="AH67" s="184">
        <f t="shared" si="3"/>
        <v>2612</v>
      </c>
      <c r="AI67" s="151"/>
      <c r="AJ67" s="221">
        <v>2611.7600000000002</v>
      </c>
      <c r="AK67" s="152">
        <f>表格1[[#This Row],[Input]]-表格1[[#This Row],[Double check]]</f>
        <v>0.23999999999978172</v>
      </c>
      <c r="AL67" s="153"/>
      <c r="AM67" s="4"/>
    </row>
    <row r="68" spans="1:39" ht="26.25" hidden="1">
      <c r="A68" s="98">
        <v>61</v>
      </c>
      <c r="B68" s="96" t="str">
        <f>IF(表格1[[#This Row],[Full Name.]]=工作表1!F62,"OK")</f>
        <v>OK</v>
      </c>
      <c r="C68" s="96" t="s">
        <v>226</v>
      </c>
      <c r="D68" s="96" t="s">
        <v>97</v>
      </c>
      <c r="E68" s="97">
        <v>20880</v>
      </c>
      <c r="F68" s="174" t="s">
        <v>274</v>
      </c>
      <c r="G68" s="185" t="s">
        <v>582</v>
      </c>
      <c r="H68" s="176">
        <v>5</v>
      </c>
      <c r="I68" s="177">
        <v>40</v>
      </c>
      <c r="J68" s="178">
        <v>65</v>
      </c>
      <c r="K68" s="179">
        <f>表格1[[#This Row],[Reg.Hrs]]*表格1[[#This Row],[$]]</f>
        <v>2600</v>
      </c>
      <c r="L68" s="180">
        <v>88772</v>
      </c>
      <c r="M68" s="96"/>
      <c r="N68" s="181">
        <f>IFERROR((IF(表格1[[#This Row],[Name.]]=工作表1!$E62,工作表1!$K62," ")*表格1[[#This Row],[Sales]])," ")</f>
        <v>1775.44</v>
      </c>
      <c r="O68" s="180">
        <f>IFERROR((IF(表格1[[#This Row],[Full Name.]]=工作表1!F62,工作表1!J62," ")*表格1[[#This Row],[Days]])," ")</f>
        <v>0</v>
      </c>
      <c r="P68" s="180"/>
      <c r="Q68" s="180"/>
      <c r="R68" s="180"/>
      <c r="S68" s="180"/>
      <c r="T68" s="180"/>
      <c r="U68" s="180"/>
      <c r="V68" s="180"/>
      <c r="W68" s="182"/>
      <c r="X68" s="182"/>
      <c r="Y68" s="182"/>
      <c r="Z68" s="186"/>
      <c r="AA68" s="186"/>
      <c r="AB68" s="186"/>
      <c r="AC68" s="186"/>
      <c r="AD68" s="186"/>
      <c r="AE68" s="186"/>
      <c r="AF68" s="186"/>
      <c r="AG68" s="179">
        <f>SUM(表格1[[#This Row],[Commission (1% OR 2%)]:[Expenses/支出]])+表格1[[#This Row],[Basic]]</f>
        <v>4375.4400000000005</v>
      </c>
      <c r="AH68" s="184">
        <f t="shared" si="3"/>
        <v>4375</v>
      </c>
      <c r="AI68" s="151"/>
      <c r="AJ68" s="222">
        <v>4375.4400000000005</v>
      </c>
      <c r="AK68" s="152">
        <f>表格1[[#This Row],[Input]]-表格1[[#This Row],[Double check]]</f>
        <v>-0.44000000000050932</v>
      </c>
      <c r="AL68" s="153"/>
      <c r="AM68" s="4"/>
    </row>
    <row r="69" spans="1:39" ht="26.25" hidden="1">
      <c r="A69" s="98">
        <v>62</v>
      </c>
      <c r="B69" s="96" t="str">
        <f>IF(表格1[[#This Row],[Full Name.]]=工作表1!F63,"OK")</f>
        <v>OK</v>
      </c>
      <c r="C69" s="96" t="s">
        <v>503</v>
      </c>
      <c r="D69" s="96" t="s">
        <v>504</v>
      </c>
      <c r="E69" s="97">
        <v>20881</v>
      </c>
      <c r="F69" s="174" t="s">
        <v>509</v>
      </c>
      <c r="G69" s="185" t="s">
        <v>584</v>
      </c>
      <c r="H69" s="176">
        <v>1</v>
      </c>
      <c r="I69" s="177">
        <v>7</v>
      </c>
      <c r="J69" s="178">
        <v>50</v>
      </c>
      <c r="K69" s="179">
        <f>表格1[[#This Row],[Reg.Hrs]]*表格1[[#This Row],[$]]</f>
        <v>350</v>
      </c>
      <c r="L69" s="180"/>
      <c r="M69" s="96"/>
      <c r="N69" s="181">
        <f>IFERROR((IF(表格1[[#This Row],[Name.]]=工作表1!$E63,工作表1!$K63," ")*表格1[[#This Row],[Sales]])," ")</f>
        <v>0</v>
      </c>
      <c r="O69" s="180">
        <f>IFERROR((IF(表格1[[#This Row],[Full Name.]]=工作表1!F63,工作表1!J63," ")*表格1[[#This Row],[Days]])," ")</f>
        <v>0</v>
      </c>
      <c r="P69" s="180"/>
      <c r="Q69" s="180"/>
      <c r="R69" s="180"/>
      <c r="S69" s="180"/>
      <c r="T69" s="180"/>
      <c r="U69" s="180"/>
      <c r="V69" s="180"/>
      <c r="W69" s="182"/>
      <c r="X69" s="182"/>
      <c r="Y69" s="182"/>
      <c r="Z69" s="180"/>
      <c r="AA69" s="180"/>
      <c r="AB69" s="180"/>
      <c r="AC69" s="180"/>
      <c r="AD69" s="180"/>
      <c r="AE69" s="180"/>
      <c r="AF69" s="180"/>
      <c r="AG69" s="179">
        <f>SUM(表格1[[#This Row],[Commission (1% OR 2%)]:[Expenses/支出]])+表格1[[#This Row],[Basic]]</f>
        <v>350</v>
      </c>
      <c r="AH69" s="184">
        <f t="shared" si="3"/>
        <v>350</v>
      </c>
      <c r="AI69" s="150"/>
      <c r="AJ69" s="222">
        <v>350</v>
      </c>
      <c r="AK69" s="152">
        <f>表格1[[#This Row],[Input]]-表格1[[#This Row],[Double check]]</f>
        <v>0</v>
      </c>
      <c r="AL69" s="153"/>
      <c r="AM69" s="4"/>
    </row>
    <row r="70" spans="1:39" ht="26.25" hidden="1">
      <c r="A70" s="98">
        <v>63</v>
      </c>
      <c r="B70" s="96" t="str">
        <f>IF(表格1[[#This Row],[Full Name.]]=工作表1!F64,"OK")</f>
        <v>OK</v>
      </c>
      <c r="C70" s="96" t="s">
        <v>505</v>
      </c>
      <c r="D70" s="96" t="s">
        <v>506</v>
      </c>
      <c r="E70" s="197" t="s">
        <v>277</v>
      </c>
      <c r="F70" s="174" t="s">
        <v>510</v>
      </c>
      <c r="G70" s="175" t="s">
        <v>584</v>
      </c>
      <c r="H70" s="176">
        <v>1</v>
      </c>
      <c r="I70" s="177">
        <v>7</v>
      </c>
      <c r="J70" s="178">
        <v>50</v>
      </c>
      <c r="K70" s="179">
        <f>表格1[[#This Row],[Reg.Hrs]]*表格1[[#This Row],[$]]</f>
        <v>350</v>
      </c>
      <c r="L70" s="180"/>
      <c r="M70" s="96"/>
      <c r="N70" s="181">
        <f>IFERROR((IF(表格1[[#This Row],[Name.]]=工作表1!$E64,工作表1!$K64," ")*表格1[[#This Row],[Sales]])," ")</f>
        <v>0</v>
      </c>
      <c r="O70" s="180">
        <f>IFERROR((IF(表格1[[#This Row],[Full Name.]]=工作表1!F64,工作表1!J64," ")*表格1[[#This Row],[Days]])," ")</f>
        <v>0</v>
      </c>
      <c r="P70" s="180"/>
      <c r="Q70" s="180"/>
      <c r="R70" s="180"/>
      <c r="S70" s="180"/>
      <c r="T70" s="180"/>
      <c r="U70" s="180"/>
      <c r="V70" s="180"/>
      <c r="W70" s="190"/>
      <c r="X70" s="182"/>
      <c r="Y70" s="182"/>
      <c r="Z70" s="180"/>
      <c r="AA70" s="180"/>
      <c r="AB70" s="180"/>
      <c r="AC70" s="180"/>
      <c r="AD70" s="180"/>
      <c r="AE70" s="180"/>
      <c r="AF70" s="180"/>
      <c r="AG70" s="179">
        <f>SUM(表格1[[#This Row],[Commission (1% OR 2%)]:[Expenses/支出]])+表格1[[#This Row],[Basic]]</f>
        <v>350</v>
      </c>
      <c r="AH70" s="184">
        <f t="shared" si="3"/>
        <v>350</v>
      </c>
      <c r="AI70" s="150"/>
      <c r="AJ70" s="222">
        <v>350</v>
      </c>
      <c r="AK70" s="152">
        <f>表格1[[#This Row],[Input]]-表格1[[#This Row],[Double check]]</f>
        <v>0</v>
      </c>
      <c r="AL70" s="153"/>
      <c r="AM70" s="4"/>
    </row>
    <row r="71" spans="1:39" ht="26.25" hidden="1">
      <c r="A71" s="98">
        <v>64</v>
      </c>
      <c r="B71" s="96" t="str">
        <f>IF(表格1[[#This Row],[Full Name.]]=工作表1!F65,"OK")</f>
        <v>OK</v>
      </c>
      <c r="C71" s="96" t="s">
        <v>507</v>
      </c>
      <c r="D71" s="96" t="s">
        <v>508</v>
      </c>
      <c r="E71" s="97">
        <v>20882</v>
      </c>
      <c r="F71" s="174" t="s">
        <v>511</v>
      </c>
      <c r="G71" s="185" t="s">
        <v>584</v>
      </c>
      <c r="H71" s="176">
        <v>1</v>
      </c>
      <c r="I71" s="177">
        <v>7</v>
      </c>
      <c r="J71" s="178">
        <v>50</v>
      </c>
      <c r="K71" s="179">
        <f>表格1[[#This Row],[Reg.Hrs]]*表格1[[#This Row],[$]]</f>
        <v>350</v>
      </c>
      <c r="L71" s="180"/>
      <c r="M71" s="97"/>
      <c r="N71" s="181">
        <f>IFERROR((IF(表格1[[#This Row],[Name.]]=工作表1!$E65,工作表1!$K65," ")*表格1[[#This Row],[Sales]])," ")</f>
        <v>0</v>
      </c>
      <c r="O71" s="180">
        <f>IFERROR((IF(表格1[[#This Row],[Full Name.]]=工作表1!F65,工作表1!J65," ")*表格1[[#This Row],[Days]])," ")</f>
        <v>0</v>
      </c>
      <c r="P71" s="180"/>
      <c r="Q71" s="180"/>
      <c r="R71" s="180"/>
      <c r="S71" s="180"/>
      <c r="T71" s="180"/>
      <c r="U71" s="180"/>
      <c r="V71" s="180"/>
      <c r="W71" s="182"/>
      <c r="X71" s="182"/>
      <c r="Y71" s="182"/>
      <c r="Z71" s="183"/>
      <c r="AA71" s="183"/>
      <c r="AB71" s="183"/>
      <c r="AC71" s="183"/>
      <c r="AD71" s="183"/>
      <c r="AE71" s="183"/>
      <c r="AF71" s="183"/>
      <c r="AG71" s="179">
        <f>SUM(表格1[[#This Row],[Commission (1% OR 2%)]:[Expenses/支出]])+表格1[[#This Row],[Basic]]</f>
        <v>350</v>
      </c>
      <c r="AH71" s="184">
        <f t="shared" si="3"/>
        <v>350</v>
      </c>
      <c r="AI71" s="151"/>
      <c r="AJ71" s="221">
        <v>350</v>
      </c>
      <c r="AK71" s="152">
        <f>表格1[[#This Row],[Input]]-表格1[[#This Row],[Double check]]</f>
        <v>0</v>
      </c>
      <c r="AL71" s="153"/>
      <c r="AM71" s="4"/>
    </row>
    <row r="72" spans="1:39" ht="26.25" hidden="1">
      <c r="A72" s="98">
        <v>24</v>
      </c>
      <c r="B72" s="96" t="b">
        <f>IF(表格1[[#This Row],[Full Name.]]=工作表1!F66,"OK")</f>
        <v>0</v>
      </c>
      <c r="C72" s="96" t="s">
        <v>160</v>
      </c>
      <c r="D72" s="96" t="s">
        <v>177</v>
      </c>
      <c r="E72" s="197">
        <v>20889</v>
      </c>
      <c r="F72" s="174"/>
      <c r="G72" s="175"/>
      <c r="H72" s="176"/>
      <c r="I72" s="177"/>
      <c r="J72" s="178"/>
      <c r="K72" s="179">
        <f>表格1[[#This Row],[Reg.Hrs]]*表格1[[#This Row],[$]]</f>
        <v>0</v>
      </c>
      <c r="L72" s="180">
        <v>364140</v>
      </c>
      <c r="M72" s="97"/>
      <c r="N72" s="181">
        <f>表格1[[#This Row],[Sales]]*2%</f>
        <v>7282.8</v>
      </c>
      <c r="O72" s="180" t="str">
        <f>IFERROR((IF(表格1[[#This Row],[Full Name.]]=工作表1!F66,工作表1!J66," ")*表格1[[#This Row],[Days]])," ")</f>
        <v xml:space="preserve"> </v>
      </c>
      <c r="P72" s="180"/>
      <c r="Q72" s="180"/>
      <c r="R72" s="180"/>
      <c r="S72" s="180"/>
      <c r="T72" s="180"/>
      <c r="U72" s="180"/>
      <c r="V72" s="180"/>
      <c r="W72" s="182"/>
      <c r="X72" s="182"/>
      <c r="Y72" s="182"/>
      <c r="Z72" s="186"/>
      <c r="AA72" s="186"/>
      <c r="AB72" s="186"/>
      <c r="AC72" s="186"/>
      <c r="AD72" s="186"/>
      <c r="AE72" s="186"/>
      <c r="AF72" s="186"/>
      <c r="AG72" s="179">
        <f>SUM(表格1[[#This Row],[Commission (1% OR 2%)]:[Expenses/支出]])+表格1[[#This Row],[Basic]]</f>
        <v>7282.8</v>
      </c>
      <c r="AH72" s="184">
        <f t="shared" ref="AH72:AH89" si="4">ROUND(AG72,0)</f>
        <v>7283</v>
      </c>
      <c r="AI72" s="150"/>
      <c r="AJ72" s="222">
        <v>0</v>
      </c>
      <c r="AK72" s="152">
        <f>表格1[[#This Row],[Input]]-表格1[[#This Row],[Double check]]</f>
        <v>7283</v>
      </c>
      <c r="AL72" s="153"/>
      <c r="AM72" s="4"/>
    </row>
    <row r="73" spans="1:39" ht="26.25" hidden="1">
      <c r="A73" s="98">
        <v>46</v>
      </c>
      <c r="B73" s="96" t="b">
        <f>IF(表格1[[#This Row],[Full Name.]]=工作表1!F67,"OK")</f>
        <v>0</v>
      </c>
      <c r="C73" s="96" t="s">
        <v>120</v>
      </c>
      <c r="D73" s="96" t="s">
        <v>112</v>
      </c>
      <c r="E73" s="97">
        <v>20890</v>
      </c>
      <c r="F73" s="174"/>
      <c r="G73" s="175"/>
      <c r="H73" s="176"/>
      <c r="I73" s="177"/>
      <c r="J73" s="178"/>
      <c r="K73" s="179">
        <f>表格1[[#This Row],[Reg.Hrs]]*表格1[[#This Row],[$]]</f>
        <v>0</v>
      </c>
      <c r="L73" s="186">
        <v>102671</v>
      </c>
      <c r="M73" s="195"/>
      <c r="N73" s="181">
        <f>表格1[[#This Row],[Sales]]*2%</f>
        <v>2053.42</v>
      </c>
      <c r="O73" s="180" t="str">
        <f>IFERROR((IF(表格1[[#This Row],[Full Name.]]=工作表1!F67,工作表1!J67," ")*表格1[[#This Row],[Days]])," ")</f>
        <v xml:space="preserve"> </v>
      </c>
      <c r="P73" s="186"/>
      <c r="Q73" s="186"/>
      <c r="R73" s="186"/>
      <c r="S73" s="186"/>
      <c r="T73" s="186"/>
      <c r="U73" s="186"/>
      <c r="V73" s="186"/>
      <c r="W73" s="196"/>
      <c r="X73" s="198"/>
      <c r="Y73" s="198"/>
      <c r="Z73" s="186"/>
      <c r="AA73" s="186"/>
      <c r="AB73" s="186"/>
      <c r="AC73" s="186"/>
      <c r="AD73" s="186"/>
      <c r="AE73" s="186"/>
      <c r="AF73" s="186"/>
      <c r="AG73" s="179">
        <f>SUM(表格1[[#This Row],[Commission (1% OR 2%)]:[Expenses/支出]])+表格1[[#This Row],[Basic]]</f>
        <v>2053.42</v>
      </c>
      <c r="AH73" s="184">
        <f t="shared" si="4"/>
        <v>2053</v>
      </c>
      <c r="AI73" s="150"/>
      <c r="AJ73" s="222">
        <v>0</v>
      </c>
      <c r="AK73" s="152">
        <f>表格1[[#This Row],[Input]]-表格1[[#This Row],[Double check]]</f>
        <v>2053</v>
      </c>
      <c r="AL73" s="153"/>
      <c r="AM73" s="4"/>
    </row>
    <row r="74" spans="1:39" ht="26.25" hidden="1">
      <c r="A74" s="98">
        <v>24</v>
      </c>
      <c r="B74" s="96" t="b">
        <f>IF(表格1[[#This Row],[Full Name.]]=工作表1!F68,"OK")</f>
        <v>0</v>
      </c>
      <c r="C74" s="96" t="s">
        <v>160</v>
      </c>
      <c r="D74" s="96" t="s">
        <v>177</v>
      </c>
      <c r="E74" s="197">
        <v>20891</v>
      </c>
      <c r="F74" s="218"/>
      <c r="G74" s="175"/>
      <c r="H74" s="176"/>
      <c r="I74" s="177"/>
      <c r="J74" s="178"/>
      <c r="K74" s="179">
        <f>表格1[[#This Row],[Reg.Hrs]]*表格1[[#This Row],[$]]</f>
        <v>0</v>
      </c>
      <c r="L74" s="180"/>
      <c r="M74" s="97"/>
      <c r="N74" s="181" t="str">
        <f>IFERROR((IF(表格1[[#This Row],[Name.]]=工作表1!$E68,工作表1!$K68," ")*表格1[[#This Row],[Sales]])," ")</f>
        <v xml:space="preserve"> </v>
      </c>
      <c r="O74" s="180" t="str">
        <f>IFERROR((IF(表格1[[#This Row],[Full Name.]]=工作表1!F68,工作表1!J68," ")*表格1[[#This Row],[Days]])," ")</f>
        <v xml:space="preserve"> </v>
      </c>
      <c r="P74" s="180">
        <v>0</v>
      </c>
      <c r="Q74" s="180">
        <v>0</v>
      </c>
      <c r="R74" s="180">
        <v>0</v>
      </c>
      <c r="S74" s="180">
        <v>0</v>
      </c>
      <c r="T74" s="180">
        <v>0</v>
      </c>
      <c r="U74" s="180">
        <v>0</v>
      </c>
      <c r="V74" s="180">
        <v>0</v>
      </c>
      <c r="W74" s="182">
        <v>0</v>
      </c>
      <c r="X74" s="182">
        <v>0</v>
      </c>
      <c r="Y74" s="182">
        <v>0</v>
      </c>
      <c r="Z74" s="180">
        <v>0</v>
      </c>
      <c r="AA74" s="180">
        <v>0</v>
      </c>
      <c r="AB74" s="180">
        <v>0</v>
      </c>
      <c r="AC74" s="180">
        <v>0</v>
      </c>
      <c r="AD74" s="180">
        <v>500</v>
      </c>
      <c r="AE74" s="180">
        <v>1000</v>
      </c>
      <c r="AF74" s="180"/>
      <c r="AG74" s="179">
        <f>SUM(表格1[[#This Row],[Commission (1% OR 2%)]:[Expenses/支出]])+表格1[[#This Row],[Basic]]</f>
        <v>1500</v>
      </c>
      <c r="AH74" s="184">
        <f t="shared" si="4"/>
        <v>1500</v>
      </c>
      <c r="AI74" s="151"/>
      <c r="AJ74" s="222">
        <v>0</v>
      </c>
      <c r="AK74" s="152">
        <f>表格1[[#This Row],[Input]]-表格1[[#This Row],[Double check]]</f>
        <v>1500</v>
      </c>
      <c r="AL74" s="153"/>
      <c r="AM74" s="4"/>
    </row>
    <row r="75" spans="1:39" ht="26.25" hidden="1">
      <c r="A75" s="98"/>
      <c r="B75" s="96" t="b">
        <f>IF(表格1[[#This Row],[Full Name.]]=工作表1!F69,"OK")</f>
        <v>0</v>
      </c>
      <c r="C75" s="96" t="s">
        <v>194</v>
      </c>
      <c r="D75" s="96" t="s">
        <v>195</v>
      </c>
      <c r="E75" s="97">
        <v>20907</v>
      </c>
      <c r="F75" s="174" t="s">
        <v>293</v>
      </c>
      <c r="G75" s="175" t="s">
        <v>548</v>
      </c>
      <c r="H75" s="176"/>
      <c r="I75" s="177">
        <v>56</v>
      </c>
      <c r="J75" s="205">
        <v>5</v>
      </c>
      <c r="K75" s="179">
        <f>表格1[[#This Row],[Reg.Hrs]]*表格1[[#This Row],[$]]</f>
        <v>280</v>
      </c>
      <c r="L75" s="180"/>
      <c r="M75" s="96"/>
      <c r="N75" s="181" t="str">
        <f>IFERROR((IF(表格1[[#This Row],[Name.]]=工作表1!$E69,工作表1!$K69," ")*表格1[[#This Row],[Sales]])," ")</f>
        <v xml:space="preserve"> </v>
      </c>
      <c r="O75" s="180" t="str">
        <f>IFERROR((IF(表格1[[#This Row],[Full Name.]]=工作表1!F69,工作表1!J69," ")*表格1[[#This Row],[Days]])," ")</f>
        <v xml:space="preserve"> </v>
      </c>
      <c r="P75" s="180"/>
      <c r="Q75" s="180"/>
      <c r="R75" s="180"/>
      <c r="S75" s="180"/>
      <c r="T75" s="180"/>
      <c r="U75" s="180"/>
      <c r="V75" s="180"/>
      <c r="W75" s="182"/>
      <c r="X75" s="182"/>
      <c r="Y75" s="182"/>
      <c r="Z75" s="189"/>
      <c r="AA75" s="189"/>
      <c r="AB75" s="189"/>
      <c r="AC75" s="189"/>
      <c r="AD75" s="189"/>
      <c r="AE75" s="189"/>
      <c r="AF75" s="189"/>
      <c r="AG75" s="179">
        <f>SUM(表格1[[#This Row],[Commission (1% OR 2%)]:[Expenses/支出]])+表格1[[#This Row],[Basic]]</f>
        <v>280</v>
      </c>
      <c r="AH75" s="184">
        <f t="shared" si="4"/>
        <v>280</v>
      </c>
      <c r="AI75" s="150"/>
      <c r="AJ75" s="221">
        <v>0</v>
      </c>
      <c r="AK75" s="152">
        <f>表格1[[#This Row],[Input]]-表格1[[#This Row],[Double check]]</f>
        <v>280</v>
      </c>
      <c r="AL75" s="153"/>
      <c r="AM75" s="4"/>
    </row>
    <row r="76" spans="1:39" ht="27.75" hidden="1">
      <c r="A76" s="98"/>
      <c r="B76" s="96" t="b">
        <f>IF(表格1[[#This Row],[Full Name.]]=工作表1!F70,"OK")</f>
        <v>0</v>
      </c>
      <c r="C76" s="96" t="s">
        <v>474</v>
      </c>
      <c r="D76" s="96" t="s">
        <v>92</v>
      </c>
      <c r="E76" s="97">
        <v>20962</v>
      </c>
      <c r="F76" s="260" t="s">
        <v>595</v>
      </c>
      <c r="G76" s="175"/>
      <c r="H76" s="176"/>
      <c r="I76" s="177">
        <v>32</v>
      </c>
      <c r="J76" s="178">
        <v>5</v>
      </c>
      <c r="K76" s="179">
        <f>表格1[[#This Row],[Reg.Hrs]]*表格1[[#This Row],[$]]</f>
        <v>160</v>
      </c>
      <c r="L76" s="180"/>
      <c r="M76" s="96"/>
      <c r="N76" s="181" t="str">
        <f>IFERROR((IF(表格1[[#This Row],[Name.]]=工作表1!$E70,工作表1!$K70," ")*表格1[[#This Row],[Sales]])," ")</f>
        <v xml:space="preserve"> </v>
      </c>
      <c r="O76" s="180" t="str">
        <f>IFERROR((IF(表格1[[#This Row],[Full Name.]]=工作表1!F70,工作表1!J70," ")*表格1[[#This Row],[Days]])," ")</f>
        <v xml:space="preserve"> </v>
      </c>
      <c r="P76" s="180"/>
      <c r="Q76" s="180"/>
      <c r="R76" s="180"/>
      <c r="S76" s="180"/>
      <c r="T76" s="180"/>
      <c r="U76" s="180"/>
      <c r="V76" s="180"/>
      <c r="W76" s="182"/>
      <c r="X76" s="182"/>
      <c r="Y76" s="182"/>
      <c r="Z76" s="180"/>
      <c r="AA76" s="180"/>
      <c r="AB76" s="180"/>
      <c r="AC76" s="180"/>
      <c r="AD76" s="180"/>
      <c r="AE76" s="180"/>
      <c r="AF76" s="180"/>
      <c r="AG76" s="179">
        <f>SUM(表格1[[#This Row],[Commission (1% OR 2%)]:[Expenses/支出]])+表格1[[#This Row],[Basic]]</f>
        <v>160</v>
      </c>
      <c r="AH76" s="184">
        <f t="shared" si="4"/>
        <v>160</v>
      </c>
      <c r="AI76" s="150"/>
      <c r="AJ76" s="222">
        <v>0</v>
      </c>
      <c r="AK76" s="152">
        <f>表格1[[#This Row],[Input]]-表格1[[#This Row],[Double check]]</f>
        <v>160</v>
      </c>
      <c r="AL76" s="153"/>
      <c r="AM76" s="4"/>
    </row>
    <row r="77" spans="1:39" ht="27.75">
      <c r="A77" s="98"/>
      <c r="B77" s="96" t="b">
        <f>IF(表格1[[#This Row],[Full Name.]]=工作表1!F71,"OK")</f>
        <v>0</v>
      </c>
      <c r="C77" s="96" t="s">
        <v>259</v>
      </c>
      <c r="D77" s="96" t="s">
        <v>260</v>
      </c>
      <c r="E77" s="97">
        <v>21015</v>
      </c>
      <c r="F77" s="174"/>
      <c r="G77" s="261" t="s">
        <v>596</v>
      </c>
      <c r="H77" s="176"/>
      <c r="I77" s="177"/>
      <c r="J77" s="178"/>
      <c r="K77" s="179">
        <f>表格1[[#This Row],[Reg.Hrs]]*表格1[[#This Row],[$]]</f>
        <v>0</v>
      </c>
      <c r="L77" s="180"/>
      <c r="M77" s="97"/>
      <c r="N77" s="181">
        <v>313.2</v>
      </c>
      <c r="O77" s="180" t="str">
        <f>IFERROR((IF(表格1[[#This Row],[Full Name.]]=工作表1!F71,工作表1!J71," ")*表格1[[#This Row],[Days]])," ")</f>
        <v xml:space="preserve"> </v>
      </c>
      <c r="P77" s="180"/>
      <c r="Q77" s="180"/>
      <c r="R77" s="180"/>
      <c r="S77" s="180"/>
      <c r="T77" s="180"/>
      <c r="U77" s="180"/>
      <c r="V77" s="180"/>
      <c r="W77" s="182"/>
      <c r="X77" s="182"/>
      <c r="Y77" s="182"/>
      <c r="Z77" s="180"/>
      <c r="AA77" s="180"/>
      <c r="AB77" s="180"/>
      <c r="AC77" s="180"/>
      <c r="AD77" s="180"/>
      <c r="AE77" s="180"/>
      <c r="AF77" s="180"/>
      <c r="AG77" s="179">
        <f>SUM(表格1[[#This Row],[Commission (1% OR 2%)]:[Expenses/支出]])+表格1[[#This Row],[Basic]]</f>
        <v>313.2</v>
      </c>
      <c r="AH77" s="184">
        <f t="shared" si="4"/>
        <v>313</v>
      </c>
      <c r="AI77" s="150"/>
      <c r="AJ77" s="221">
        <v>0</v>
      </c>
      <c r="AK77" s="152">
        <f>表格1[[#This Row],[Input]]-表格1[[#This Row],[Double check]]</f>
        <v>313</v>
      </c>
      <c r="AL77" s="153"/>
      <c r="AM77" s="4"/>
    </row>
    <row r="78" spans="1:39" ht="26.25">
      <c r="A78" s="98"/>
      <c r="B78" s="96" t="str">
        <f>IF(表格1[[#This Row],[Full Name.]]=工作表1!F72,"OK")</f>
        <v>OK</v>
      </c>
      <c r="C78" s="96"/>
      <c r="D78" s="96"/>
      <c r="E78" s="97"/>
      <c r="F78" s="174"/>
      <c r="G78" s="175"/>
      <c r="H78" s="176"/>
      <c r="I78" s="177"/>
      <c r="J78" s="178"/>
      <c r="K78" s="179">
        <f>表格1[[#This Row],[Reg.Hrs]]*表格1[[#This Row],[$]]</f>
        <v>0</v>
      </c>
      <c r="L78" s="180"/>
      <c r="M78" s="97"/>
      <c r="N78" s="181">
        <f>IFERROR((IF(表格1[[#This Row],[Name.]]=工作表1!$E68,工作表1!$K68," ")*表格1[[#This Row],[Sales]])," ")</f>
        <v>0</v>
      </c>
      <c r="O78" s="180">
        <f>IFERROR((IF(表格1[[#This Row],[Full Name.]]=工作表1!F72,工作表1!J72," ")*表格1[[#This Row],[Days]])," ")</f>
        <v>0</v>
      </c>
      <c r="P78" s="180"/>
      <c r="Q78" s="180"/>
      <c r="R78" s="180"/>
      <c r="S78" s="180"/>
      <c r="T78" s="180"/>
      <c r="U78" s="180"/>
      <c r="V78" s="180"/>
      <c r="W78" s="182"/>
      <c r="X78" s="182"/>
      <c r="Y78" s="182"/>
      <c r="Z78" s="180"/>
      <c r="AA78" s="180"/>
      <c r="AB78" s="180"/>
      <c r="AC78" s="180"/>
      <c r="AD78" s="180"/>
      <c r="AE78" s="180"/>
      <c r="AF78" s="180"/>
      <c r="AG78" s="179">
        <f>SUM(表格1[[#This Row],[Commission (1% OR 2%)]:[Expenses/支出]])+表格1[[#This Row],[Basic]]</f>
        <v>0</v>
      </c>
      <c r="AH78" s="184">
        <f t="shared" si="4"/>
        <v>0</v>
      </c>
      <c r="AI78" s="151"/>
      <c r="AJ78" s="221">
        <v>0</v>
      </c>
      <c r="AK78" s="152">
        <f>表格1[[#This Row],[Input]]-表格1[[#This Row],[Double check]]</f>
        <v>0</v>
      </c>
      <c r="AL78" s="153"/>
      <c r="AM78" s="4"/>
    </row>
    <row r="79" spans="1:39" ht="26.25">
      <c r="A79" s="98"/>
      <c r="B79" s="96" t="str">
        <f>IF(表格1[[#This Row],[Full Name.]]=工作表1!F73,"OK")</f>
        <v>OK</v>
      </c>
      <c r="C79" s="96"/>
      <c r="D79" s="96"/>
      <c r="E79" s="97"/>
      <c r="F79" s="174"/>
      <c r="G79" s="175"/>
      <c r="H79" s="176"/>
      <c r="I79" s="191"/>
      <c r="J79" s="178"/>
      <c r="K79" s="179">
        <f>表格1[[#This Row],[Reg.Hrs]]*表格1[[#This Row],[$]]</f>
        <v>0</v>
      </c>
      <c r="L79" s="180"/>
      <c r="M79" s="195"/>
      <c r="N79" s="181">
        <f>IFERROR((IF(表格1[[#This Row],[Name.]]=工作表1!$E69,工作表1!$K69," ")*表格1[[#This Row],[Sales]])," ")</f>
        <v>0</v>
      </c>
      <c r="O79" s="180">
        <f>IFERROR((IF(表格1[[#This Row],[Full Name.]]=工作表1!F73,工作表1!J73," ")*表格1[[#This Row],[Days]])," ")</f>
        <v>0</v>
      </c>
      <c r="P79" s="186"/>
      <c r="Q79" s="180"/>
      <c r="R79" s="186"/>
      <c r="S79" s="186"/>
      <c r="T79" s="186"/>
      <c r="U79" s="180"/>
      <c r="V79" s="186"/>
      <c r="W79" s="180"/>
      <c r="X79" s="190"/>
      <c r="Y79" s="190"/>
      <c r="Z79" s="204"/>
      <c r="AA79" s="204"/>
      <c r="AB79" s="204"/>
      <c r="AC79" s="204"/>
      <c r="AD79" s="204"/>
      <c r="AE79" s="204"/>
      <c r="AF79" s="204"/>
      <c r="AG79" s="179">
        <f>SUM(表格1[[#This Row],[Commission (1% OR 2%)]:[Expenses/支出]])+表格1[[#This Row],[Basic]]</f>
        <v>0</v>
      </c>
      <c r="AH79" s="184">
        <f t="shared" si="4"/>
        <v>0</v>
      </c>
      <c r="AI79" s="151"/>
      <c r="AJ79" s="222">
        <v>0</v>
      </c>
      <c r="AK79" s="152">
        <f>表格1[[#This Row],[Input]]-表格1[[#This Row],[Double check]]</f>
        <v>0</v>
      </c>
      <c r="AL79" s="153"/>
      <c r="AM79" s="4"/>
    </row>
    <row r="80" spans="1:39" ht="26.25">
      <c r="A80" s="98"/>
      <c r="B80" s="96" t="str">
        <f>IF(表格1[[#This Row],[Full Name.]]=工作表1!F74,"OK")</f>
        <v>OK</v>
      </c>
      <c r="C80" s="96"/>
      <c r="D80" s="96"/>
      <c r="E80" s="97"/>
      <c r="F80" s="174"/>
      <c r="G80" s="175"/>
      <c r="H80" s="176"/>
      <c r="I80" s="177"/>
      <c r="J80" s="178"/>
      <c r="K80" s="179">
        <f>表格1[[#This Row],[Reg.Hrs]]*表格1[[#This Row],[$]]</f>
        <v>0</v>
      </c>
      <c r="L80" s="180"/>
      <c r="M80" s="96"/>
      <c r="N80" s="181">
        <f>IFERROR((IF(表格1[[#This Row],[Name.]]=工作表1!$E70,工作表1!$K70," ")*表格1[[#This Row],[Sales]])," ")</f>
        <v>0</v>
      </c>
      <c r="O80" s="180">
        <f>IFERROR((IF(表格1[[#This Row],[Full Name.]]=工作表1!F74,工作表1!J74," ")*表格1[[#This Row],[Days]])," ")</f>
        <v>0</v>
      </c>
      <c r="P80" s="180"/>
      <c r="Q80" s="180"/>
      <c r="R80" s="180"/>
      <c r="S80" s="180"/>
      <c r="T80" s="180"/>
      <c r="U80" s="180"/>
      <c r="V80" s="180"/>
      <c r="W80" s="190"/>
      <c r="X80" s="182"/>
      <c r="Y80" s="182"/>
      <c r="Z80" s="189"/>
      <c r="AA80" s="189"/>
      <c r="AB80" s="189"/>
      <c r="AC80" s="189"/>
      <c r="AD80" s="189"/>
      <c r="AE80" s="189"/>
      <c r="AF80" s="189"/>
      <c r="AG80" s="179">
        <f>SUM(表格1[[#This Row],[Commission (1% OR 2%)]:[Expenses/支出]])+表格1[[#This Row],[Basic]]</f>
        <v>0</v>
      </c>
      <c r="AH80" s="184">
        <f t="shared" si="4"/>
        <v>0</v>
      </c>
      <c r="AI80" s="150"/>
      <c r="AJ80" s="221"/>
      <c r="AK80" s="152">
        <f>表格1[[#This Row],[Input]]-表格1[[#This Row],[Double check]]</f>
        <v>0</v>
      </c>
      <c r="AL80" s="153"/>
      <c r="AM80" s="4"/>
    </row>
    <row r="81" spans="1:39" ht="36">
      <c r="A81" s="98"/>
      <c r="B81" s="96" t="str">
        <f>IF(表格1[[#This Row],[Full Name.]]=工作表1!F75,"OK")</f>
        <v>OK</v>
      </c>
      <c r="C81" s="96"/>
      <c r="D81" s="96"/>
      <c r="E81" s="97"/>
      <c r="F81" s="174"/>
      <c r="G81" s="175"/>
      <c r="H81" s="199"/>
      <c r="I81" s="200"/>
      <c r="J81" s="178"/>
      <c r="K81" s="179">
        <f>表格1[[#This Row],[Reg.Hrs]]*表格1[[#This Row],[$]]</f>
        <v>0</v>
      </c>
      <c r="L81" s="180"/>
      <c r="M81" s="96"/>
      <c r="N81" s="181">
        <f>IFERROR((IF(表格1[[#This Row],[Name.]]=工作表1!$E71,工作表1!$K71," ")*表格1[[#This Row],[Sales]])," ")</f>
        <v>0</v>
      </c>
      <c r="O81" s="180">
        <f>IFERROR((IF(表格1[[#This Row],[Full Name.]]=工作表1!F75,工作表1!J75," ")*表格1[[#This Row],[Days]])," ")</f>
        <v>0</v>
      </c>
      <c r="P81" s="180"/>
      <c r="Q81" s="180"/>
      <c r="R81" s="180"/>
      <c r="S81" s="180"/>
      <c r="T81" s="180"/>
      <c r="U81" s="180"/>
      <c r="V81" s="180"/>
      <c r="W81" s="182"/>
      <c r="X81" s="182"/>
      <c r="Y81" s="182"/>
      <c r="Z81" s="183"/>
      <c r="AA81" s="183"/>
      <c r="AB81" s="183"/>
      <c r="AC81" s="183"/>
      <c r="AD81" s="183"/>
      <c r="AE81" s="183"/>
      <c r="AF81" s="183"/>
      <c r="AG81" s="179">
        <f>SUM(表格1[[#This Row],[Commission (1% OR 2%)]:[Expenses/支出]])+表格1[[#This Row],[Basic]]</f>
        <v>0</v>
      </c>
      <c r="AH81" s="184">
        <f t="shared" si="4"/>
        <v>0</v>
      </c>
      <c r="AI81" s="150"/>
      <c r="AJ81" s="155"/>
      <c r="AK81" s="152">
        <f>表格1[[#This Row],[Input]]-表格1[[#This Row],[Double check]]</f>
        <v>0</v>
      </c>
      <c r="AL81" s="153"/>
      <c r="AM81" s="4"/>
    </row>
    <row r="82" spans="1:39" ht="26.25">
      <c r="A82" s="98"/>
      <c r="B82" s="96" t="str">
        <f>IF(表格1[[#This Row],[Full Name.]]=工作表1!F76,"OK")</f>
        <v>OK</v>
      </c>
      <c r="C82" s="96"/>
      <c r="D82" s="96"/>
      <c r="E82" s="97"/>
      <c r="F82" s="174"/>
      <c r="G82" s="175"/>
      <c r="H82" s="176"/>
      <c r="I82" s="177"/>
      <c r="J82" s="215"/>
      <c r="K82" s="179">
        <f>表格1[[#This Row],[Reg.Hrs]]*表格1[[#This Row],[$]]</f>
        <v>0</v>
      </c>
      <c r="L82" s="180"/>
      <c r="M82" s="97"/>
      <c r="N82" s="181">
        <f>IFERROR((IF(表格1[[#This Row],[Name.]]=工作表1!$E72,工作表1!$K72," ")*表格1[[#This Row],[Sales]])," ")</f>
        <v>0</v>
      </c>
      <c r="O82" s="180">
        <f>IFERROR((IF(表格1[[#This Row],[Full Name.]]=工作表1!F72,工作表1!J72," ")*表格1[[#This Row],[Days]])," ")</f>
        <v>0</v>
      </c>
      <c r="P82" s="180"/>
      <c r="Q82" s="180"/>
      <c r="R82" s="180"/>
      <c r="S82" s="180"/>
      <c r="T82" s="180"/>
      <c r="U82" s="180"/>
      <c r="V82" s="180"/>
      <c r="W82" s="182"/>
      <c r="X82" s="182"/>
      <c r="Y82" s="182"/>
      <c r="Z82" s="183"/>
      <c r="AA82" s="183"/>
      <c r="AB82" s="183"/>
      <c r="AC82" s="183"/>
      <c r="AD82" s="183"/>
      <c r="AE82" s="183"/>
      <c r="AF82" s="183"/>
      <c r="AG82" s="179">
        <f>SUM(表格1[[#This Row],[Commission (1% OR 2%)]:[Expenses/支出]])+表格1[[#This Row],[Basic]]</f>
        <v>0</v>
      </c>
      <c r="AH82" s="184">
        <f t="shared" si="4"/>
        <v>0</v>
      </c>
      <c r="AI82" s="150"/>
      <c r="AJ82" s="155"/>
      <c r="AK82" s="152">
        <f>表格1[[#This Row],[Input]]-表格1[[#This Row],[Double check]]</f>
        <v>0</v>
      </c>
      <c r="AL82" s="153"/>
      <c r="AM82" s="4"/>
    </row>
    <row r="83" spans="1:39" ht="36">
      <c r="A83" s="98"/>
      <c r="B83" s="96" t="str">
        <f>IF(表格1[[#This Row],[Full Name.]]=工作表1!F77,"OK")</f>
        <v>OK</v>
      </c>
      <c r="C83" s="96"/>
      <c r="D83" s="96"/>
      <c r="E83" s="97"/>
      <c r="F83" s="174"/>
      <c r="G83" s="175"/>
      <c r="H83" s="199"/>
      <c r="I83" s="200"/>
      <c r="J83" s="178"/>
      <c r="K83" s="179">
        <f>表格1[[#This Row],[Reg.Hrs]]*表格1[[#This Row],[$]]</f>
        <v>0</v>
      </c>
      <c r="L83" s="180"/>
      <c r="M83" s="97"/>
      <c r="N83" s="181">
        <f>IFERROR((IF(表格1[[#This Row],[Name.]]=工作表1!$E73,工作表1!$K73," ")*表格1[[#This Row],[Sales]])," ")</f>
        <v>0</v>
      </c>
      <c r="O83" s="180">
        <f>IFERROR((IF(表格1[[#This Row],[Full Name.]]=工作表1!F74,工作表1!J74," ")*表格1[[#This Row],[Days]])," ")</f>
        <v>0</v>
      </c>
      <c r="P83" s="180"/>
      <c r="Q83" s="180"/>
      <c r="R83" s="180"/>
      <c r="S83" s="180"/>
      <c r="T83" s="180"/>
      <c r="U83" s="180"/>
      <c r="V83" s="180"/>
      <c r="W83" s="182"/>
      <c r="X83" s="182"/>
      <c r="Y83" s="182"/>
      <c r="Z83" s="180"/>
      <c r="AA83" s="180"/>
      <c r="AB83" s="180"/>
      <c r="AC83" s="180"/>
      <c r="AD83" s="180"/>
      <c r="AE83" s="180"/>
      <c r="AF83" s="180"/>
      <c r="AG83" s="179">
        <f>SUM(表格1[[#This Row],[Commission (1% OR 2%)]:[Expenses/支出]])+表格1[[#This Row],[Basic]]</f>
        <v>0</v>
      </c>
      <c r="AH83" s="184">
        <f t="shared" si="4"/>
        <v>0</v>
      </c>
      <c r="AI83" s="150"/>
      <c r="AJ83" s="155"/>
      <c r="AK83" s="152">
        <f>表格1[[#This Row],[Input]]-表格1[[#This Row],[Double check]]</f>
        <v>0</v>
      </c>
      <c r="AL83" s="153"/>
      <c r="AM83" s="4"/>
    </row>
    <row r="84" spans="1:39" ht="26.25">
      <c r="A84" s="98"/>
      <c r="B84" s="96" t="str">
        <f>IF(表格1[[#This Row],[Full Name.]]=工作表1!F78,"OK")</f>
        <v>OK</v>
      </c>
      <c r="C84" s="96"/>
      <c r="D84" s="96"/>
      <c r="E84" s="97"/>
      <c r="F84" s="174"/>
      <c r="G84" s="175"/>
      <c r="H84" s="176"/>
      <c r="I84" s="177"/>
      <c r="J84" s="178"/>
      <c r="K84" s="179">
        <f>表格1[[#This Row],[Reg.Hrs]]*表格1[[#This Row],[$]]</f>
        <v>0</v>
      </c>
      <c r="L84" s="180"/>
      <c r="M84" s="96"/>
      <c r="N84" s="181">
        <f>IFERROR((IF(表格1[[#This Row],[Name.]]=工作表1!$E74,工作表1!$K74," ")*表格1[[#This Row],[Sales]])," ")</f>
        <v>0</v>
      </c>
      <c r="O84" s="180">
        <f>IFERROR((IF(表格1[[#This Row],[Full Name.]]=工作表1!F75,工作表1!J75," ")*表格1[[#This Row],[Days]])," ")</f>
        <v>0</v>
      </c>
      <c r="P84" s="180"/>
      <c r="Q84" s="180"/>
      <c r="R84" s="180"/>
      <c r="S84" s="180"/>
      <c r="T84" s="180"/>
      <c r="U84" s="180"/>
      <c r="V84" s="180"/>
      <c r="W84" s="198"/>
      <c r="X84" s="198"/>
      <c r="Y84" s="198"/>
      <c r="Z84" s="186"/>
      <c r="AA84" s="186"/>
      <c r="AB84" s="186"/>
      <c r="AC84" s="186"/>
      <c r="AD84" s="186"/>
      <c r="AE84" s="186"/>
      <c r="AF84" s="186"/>
      <c r="AG84" s="179">
        <f>SUM(表格1[[#This Row],[Commission (1% OR 2%)]:[Expenses/支出]])+表格1[[#This Row],[Basic]]</f>
        <v>0</v>
      </c>
      <c r="AH84" s="184">
        <f t="shared" si="4"/>
        <v>0</v>
      </c>
      <c r="AI84" s="150"/>
      <c r="AJ84" s="155"/>
      <c r="AK84" s="152">
        <f>表格1[[#This Row],[Input]]-表格1[[#This Row],[Double check]]</f>
        <v>0</v>
      </c>
      <c r="AL84" s="153"/>
      <c r="AM84" s="4"/>
    </row>
    <row r="85" spans="1:39" ht="26.25">
      <c r="A85" s="98"/>
      <c r="B85" s="96" t="str">
        <f>IF(表格1[[#This Row],[Full Name.]]=工作表1!F79,"OK")</f>
        <v>OK</v>
      </c>
      <c r="C85" s="206"/>
      <c r="D85" s="206"/>
      <c r="E85" s="207"/>
      <c r="F85" s="208"/>
      <c r="G85" s="214"/>
      <c r="H85" s="210"/>
      <c r="I85" s="211"/>
      <c r="J85" s="212"/>
      <c r="K85" s="179">
        <f>表格1[[#This Row],[Reg.Hrs]]*表格1[[#This Row],[$]]</f>
        <v>0</v>
      </c>
      <c r="L85" s="180"/>
      <c r="M85" s="97"/>
      <c r="N85" s="181">
        <f>IFERROR((IF(表格1[[#This Row],[Name.]]=工作表1!$E75,工作表1!$K75," ")*表格1[[#This Row],[Sales]])," ")</f>
        <v>0</v>
      </c>
      <c r="O85" s="180">
        <f>IFERROR((IF(表格1[[#This Row],[Full Name.]]=工作表1!F76,工作表1!J76," ")*表格1[[#This Row],[Days]])," ")</f>
        <v>0</v>
      </c>
      <c r="P85" s="180"/>
      <c r="Q85" s="180"/>
      <c r="R85" s="180"/>
      <c r="S85" s="180"/>
      <c r="T85" s="180"/>
      <c r="U85" s="180"/>
      <c r="V85" s="180"/>
      <c r="W85" s="182"/>
      <c r="X85" s="182"/>
      <c r="Y85" s="182"/>
      <c r="Z85" s="183"/>
      <c r="AA85" s="183"/>
      <c r="AB85" s="183"/>
      <c r="AC85" s="183"/>
      <c r="AD85" s="183"/>
      <c r="AE85" s="183"/>
      <c r="AF85" s="183"/>
      <c r="AG85" s="179">
        <f>SUM(表格1[[#This Row],[Commission (1% OR 2%)]:[Expenses/支出]])+表格1[[#This Row],[Basic]]</f>
        <v>0</v>
      </c>
      <c r="AH85" s="184">
        <f t="shared" si="4"/>
        <v>0</v>
      </c>
      <c r="AI85" s="150"/>
      <c r="AJ85" s="155"/>
      <c r="AK85" s="152">
        <f>表格1[[#This Row],[Input]]-表格1[[#This Row],[Double check]]</f>
        <v>0</v>
      </c>
      <c r="AL85" s="153"/>
      <c r="AM85" s="4"/>
    </row>
    <row r="86" spans="1:39" ht="26.25">
      <c r="A86" s="98"/>
      <c r="B86" s="96" t="str">
        <f>IF(表格1[[#This Row],[Full Name.]]=工作表1!F80,"OK")</f>
        <v>OK</v>
      </c>
      <c r="C86" s="206"/>
      <c r="D86" s="206"/>
      <c r="E86" s="207"/>
      <c r="F86" s="208"/>
      <c r="G86" s="209"/>
      <c r="H86" s="210"/>
      <c r="I86" s="211"/>
      <c r="J86" s="212"/>
      <c r="K86" s="179">
        <f>表格1[[#This Row],[Reg.Hrs]]*表格1[[#This Row],[$]]</f>
        <v>0</v>
      </c>
      <c r="L86" s="180"/>
      <c r="M86" s="213"/>
      <c r="N86" s="181">
        <f>IFERROR((IF(表格1[[#This Row],[Name.]]=工作表1!$E76,工作表1!$K76," ")*表格1[[#This Row],[Sales]])," ")</f>
        <v>0</v>
      </c>
      <c r="O86" s="201">
        <f>IFERROR((IF(表格1[[#This Row],[Full Name.]]=工作表1!F77,工作表1!J77," ")*表格1[[#This Row],[Days]])," ")</f>
        <v>0</v>
      </c>
      <c r="P86" s="180"/>
      <c r="Q86" s="180"/>
      <c r="R86" s="180"/>
      <c r="S86" s="180"/>
      <c r="T86" s="180"/>
      <c r="U86" s="201"/>
      <c r="V86" s="201"/>
      <c r="W86" s="182"/>
      <c r="X86" s="202"/>
      <c r="Y86" s="202"/>
      <c r="Z86" s="203"/>
      <c r="AA86" s="203"/>
      <c r="AB86" s="203"/>
      <c r="AC86" s="203"/>
      <c r="AD86" s="203"/>
      <c r="AE86" s="203"/>
      <c r="AF86" s="203"/>
      <c r="AG86" s="179">
        <f>SUM(表格1[[#This Row],[Commission (1% OR 2%)]:[Expenses/支出]])+表格1[[#This Row],[Basic]]</f>
        <v>0</v>
      </c>
      <c r="AH86" s="184">
        <f t="shared" si="4"/>
        <v>0</v>
      </c>
      <c r="AI86" s="151"/>
      <c r="AJ86" s="150"/>
      <c r="AK86" s="164">
        <f>表格1[[#This Row],[Input]]-表格1[[#This Row],[Double check]]</f>
        <v>0</v>
      </c>
      <c r="AL86" s="165"/>
      <c r="AM86" s="4"/>
    </row>
    <row r="87" spans="1:39" ht="26.25">
      <c r="A87" s="98"/>
      <c r="B87" s="96" t="str">
        <f>IF(表格1[[#This Row],[Full Name.]]=工作表1!F81,"OK")</f>
        <v>OK</v>
      </c>
      <c r="C87" s="96"/>
      <c r="D87" s="96"/>
      <c r="E87" s="97"/>
      <c r="F87" s="174"/>
      <c r="G87" s="185"/>
      <c r="H87" s="176"/>
      <c r="I87" s="177"/>
      <c r="J87" s="178"/>
      <c r="K87" s="179">
        <f>表格1[[#This Row],[Reg.Hrs]]*表格1[[#This Row],[$]]</f>
        <v>0</v>
      </c>
      <c r="L87" s="201"/>
      <c r="M87" s="213"/>
      <c r="N87" s="181">
        <f>IFERROR((IF(表格1[[#This Row],[Name.]]=工作表1!$E77,工作表1!$K77," ")*表格1[[#This Row],[Sales]])," ")</f>
        <v>0</v>
      </c>
      <c r="O87" s="201">
        <f>IFERROR((IF(表格1[[#This Row],[Full Name.]]=工作表1!F78,工作表1!J78," ")*表格1[[#This Row],[Days]])," ")</f>
        <v>0</v>
      </c>
      <c r="P87" s="201"/>
      <c r="Q87" s="201"/>
      <c r="R87" s="201"/>
      <c r="S87" s="201"/>
      <c r="T87" s="201"/>
      <c r="U87" s="201"/>
      <c r="V87" s="201"/>
      <c r="W87" s="202"/>
      <c r="X87" s="202"/>
      <c r="Y87" s="202"/>
      <c r="Z87" s="201"/>
      <c r="AA87" s="201"/>
      <c r="AB87" s="201"/>
      <c r="AC87" s="201"/>
      <c r="AD87" s="201"/>
      <c r="AE87" s="201"/>
      <c r="AF87" s="201"/>
      <c r="AG87" s="179">
        <f>SUM(表格1[[#This Row],[Commission (1% OR 2%)]:[Expenses/支出]])+表格1[[#This Row],[Basic]]</f>
        <v>0</v>
      </c>
      <c r="AH87" s="184">
        <f t="shared" si="4"/>
        <v>0</v>
      </c>
      <c r="AI87" s="150"/>
      <c r="AJ87" s="155"/>
      <c r="AK87" s="152">
        <f>表格1[[#This Row],[Input]]-表格1[[#This Row],[Double check]]</f>
        <v>0</v>
      </c>
      <c r="AL87" s="153"/>
      <c r="AM87" s="4"/>
    </row>
    <row r="88" spans="1:39" ht="26.25">
      <c r="A88" s="98"/>
      <c r="B88" s="96" t="str">
        <f>IF(表格1[[#This Row],[Full Name.]]=工作表1!F82,"OK")</f>
        <v>OK</v>
      </c>
      <c r="C88" s="206"/>
      <c r="D88" s="206"/>
      <c r="E88" s="207"/>
      <c r="F88" s="208"/>
      <c r="G88" s="214"/>
      <c r="H88" s="210"/>
      <c r="I88" s="211"/>
      <c r="J88" s="225"/>
      <c r="K88" s="179">
        <f>表格1[[#This Row],[Reg.Hrs]]*表格1[[#This Row],[$]]</f>
        <v>0</v>
      </c>
      <c r="L88" s="201"/>
      <c r="M88" s="207"/>
      <c r="N88" s="181">
        <f>IFERROR((IF(表格1[[#This Row],[Name.]]=工作表1!$E78,工作表1!$K78," ")*表格1[[#This Row],[Sales]])," ")</f>
        <v>0</v>
      </c>
      <c r="O88" s="201">
        <f>IFERROR((IF(表格1[[#This Row],[Full Name.]]=工作表1!F79,工作表1!J79," ")*表格1[[#This Row],[Days]])," ")</f>
        <v>0</v>
      </c>
      <c r="P88" s="201"/>
      <c r="Q88" s="201"/>
      <c r="R88" s="201"/>
      <c r="S88" s="201"/>
      <c r="T88" s="201"/>
      <c r="U88" s="201"/>
      <c r="V88" s="201"/>
      <c r="W88" s="202"/>
      <c r="X88" s="202"/>
      <c r="Y88" s="202"/>
      <c r="Z88" s="203"/>
      <c r="AA88" s="203"/>
      <c r="AB88" s="203"/>
      <c r="AC88" s="203"/>
      <c r="AD88" s="203"/>
      <c r="AE88" s="203"/>
      <c r="AF88" s="203"/>
      <c r="AG88" s="179">
        <f>SUM(表格1[[#This Row],[Commission (1% OR 2%)]:[Expenses/支出]])+表格1[[#This Row],[Basic]]</f>
        <v>0</v>
      </c>
      <c r="AH88" s="184">
        <f t="shared" si="4"/>
        <v>0</v>
      </c>
      <c r="AI88" s="150"/>
      <c r="AJ88" s="151"/>
      <c r="AK88" s="152">
        <f>表格1[[#This Row],[Input]]-表格1[[#This Row],[Double check]]</f>
        <v>0</v>
      </c>
      <c r="AL88" s="153"/>
      <c r="AM88" s="4"/>
    </row>
    <row r="89" spans="1:39" ht="26.25">
      <c r="A89" s="98"/>
      <c r="B89" s="96" t="str">
        <f>IF(表格1[[#This Row],[Full Name.]]=工作表1!F83,"OK")</f>
        <v>OK</v>
      </c>
      <c r="C89" s="96"/>
      <c r="D89" s="96"/>
      <c r="E89" s="97"/>
      <c r="F89" s="174"/>
      <c r="G89" s="175"/>
      <c r="H89" s="176"/>
      <c r="I89" s="177"/>
      <c r="J89" s="178"/>
      <c r="K89" s="179">
        <f>表格1[[#This Row],[Reg.Hrs]]*表格1[[#This Row],[$]]</f>
        <v>0</v>
      </c>
      <c r="L89" s="180"/>
      <c r="M89" s="187"/>
      <c r="N89" s="181">
        <f>IFERROR((IF(表格1[[#This Row],[Name.]]=工作表1!$E79,工作表1!$K79," ")*表格1[[#This Row],[Sales]])," ")</f>
        <v>0</v>
      </c>
      <c r="O89" s="201" t="str">
        <f>IFERROR((IF(表格1[[#This Row],[Full Name.]]=工作表1!F80,工作表1!J80," ")*表格1[[#This Row],[Days]])," ")</f>
        <v xml:space="preserve"> </v>
      </c>
      <c r="P89" s="180"/>
      <c r="Q89" s="180"/>
      <c r="R89" s="180"/>
      <c r="S89" s="180"/>
      <c r="T89" s="180"/>
      <c r="U89" s="180"/>
      <c r="V89" s="180"/>
      <c r="W89" s="182"/>
      <c r="X89" s="182"/>
      <c r="Y89" s="182"/>
      <c r="Z89" s="180"/>
      <c r="AA89" s="180"/>
      <c r="AB89" s="180"/>
      <c r="AC89" s="180"/>
      <c r="AD89" s="180"/>
      <c r="AE89" s="180"/>
      <c r="AF89" s="180"/>
      <c r="AG89" s="179">
        <f>SUM(表格1[[#This Row],[Commission (1% OR 2%)]:[Expenses/支出]])+表格1[[#This Row],[Basic]]</f>
        <v>0</v>
      </c>
      <c r="AH89" s="184">
        <f t="shared" si="4"/>
        <v>0</v>
      </c>
      <c r="AI89" s="151"/>
      <c r="AJ89" s="151"/>
      <c r="AK89" s="152">
        <f>表格1[[#This Row],[Input]]-表格1[[#This Row],[Double check]]</f>
        <v>0</v>
      </c>
      <c r="AL89" s="153"/>
      <c r="AM89" s="4"/>
    </row>
  </sheetData>
  <sortState xmlns:xlrd2="http://schemas.microsoft.com/office/spreadsheetml/2017/richdata2" ref="A8:AJ86">
    <sortCondition ref="A8:A86"/>
  </sortState>
  <phoneticPr fontId="10" type="noConversion"/>
  <conditionalFormatting sqref="A8:A89">
    <cfRule type="duplicateValues" dxfId="226" priority="2723"/>
  </conditionalFormatting>
  <conditionalFormatting sqref="C8:C9 C11:C87">
    <cfRule type="cellIs" dxfId="225" priority="102" operator="equal">
      <formula>"F"</formula>
    </cfRule>
    <cfRule type="cellIs" dxfId="224" priority="103" operator="equal">
      <formula>"E"</formula>
    </cfRule>
    <cfRule type="cellIs" dxfId="223" priority="104" operator="equal">
      <formula>"o"</formula>
    </cfRule>
  </conditionalFormatting>
  <conditionalFormatting sqref="C89">
    <cfRule type="cellIs" dxfId="222" priority="89" operator="equal">
      <formula>"o"</formula>
    </cfRule>
    <cfRule type="cellIs" dxfId="221" priority="88" operator="equal">
      <formula>"E"</formula>
    </cfRule>
    <cfRule type="cellIs" dxfId="220" priority="87" operator="equal">
      <formula>"F"</formula>
    </cfRule>
  </conditionalFormatting>
  <conditionalFormatting sqref="C8:D76 C78:D89">
    <cfRule type="duplicateValues" dxfId="219" priority="14"/>
  </conditionalFormatting>
  <conditionalFormatting sqref="C30:D30">
    <cfRule type="cellIs" dxfId="218" priority="2671" operator="equal">
      <formula>"o"</formula>
    </cfRule>
    <cfRule type="cellIs" dxfId="217" priority="2670" operator="equal">
      <formula>"E"</formula>
    </cfRule>
    <cfRule type="cellIs" dxfId="216" priority="2669" operator="equal">
      <formula>"F"</formula>
    </cfRule>
  </conditionalFormatting>
  <conditionalFormatting sqref="C43:D43 C45:D46 C48:D49">
    <cfRule type="cellIs" dxfId="215" priority="265" operator="equal">
      <formula>"o"</formula>
    </cfRule>
    <cfRule type="cellIs" dxfId="214" priority="264" operator="equal">
      <formula>"E"</formula>
    </cfRule>
    <cfRule type="cellIs" dxfId="213" priority="263" operator="equal">
      <formula>"F"</formula>
    </cfRule>
  </conditionalFormatting>
  <conditionalFormatting sqref="C77:D77">
    <cfRule type="duplicateValues" dxfId="212" priority="11"/>
  </conditionalFormatting>
  <conditionalFormatting sqref="F8:F76">
    <cfRule type="cellIs" dxfId="211" priority="403" operator="equal">
      <formula>"F"</formula>
    </cfRule>
    <cfRule type="cellIs" dxfId="210" priority="405" operator="equal">
      <formula>"o"</formula>
    </cfRule>
    <cfRule type="cellIs" dxfId="209" priority="404" operator="equal">
      <formula>"E"</formula>
    </cfRule>
  </conditionalFormatting>
  <conditionalFormatting sqref="F27:F28">
    <cfRule type="cellIs" dxfId="208" priority="399" operator="equal">
      <formula>"."</formula>
    </cfRule>
    <cfRule type="cellIs" dxfId="207" priority="398" stopIfTrue="1" operator="equal">
      <formula>"sat"</formula>
    </cfRule>
    <cfRule type="cellIs" dxfId="206" priority="397" stopIfTrue="1" operator="equal">
      <formula>"sun"</formula>
    </cfRule>
    <cfRule type="cellIs" dxfId="205" priority="396" stopIfTrue="1" operator="equal">
      <formula>25</formula>
    </cfRule>
    <cfRule type="cellIs" dxfId="204" priority="395" stopIfTrue="1" operator="equal">
      <formula>26</formula>
    </cfRule>
    <cfRule type="cellIs" dxfId="203" priority="394" stopIfTrue="1" operator="equal">
      <formula>"off"</formula>
    </cfRule>
    <cfRule type="cellIs" dxfId="202" priority="393" stopIfTrue="1" operator="equal">
      <formula>"."</formula>
    </cfRule>
    <cfRule type="cellIs" dxfId="201" priority="392" stopIfTrue="1" operator="equal">
      <formula>"sun"</formula>
    </cfRule>
    <cfRule type="cellIs" dxfId="200" priority="391" stopIfTrue="1" operator="equal">
      <formula>"sat"</formula>
    </cfRule>
    <cfRule type="cellIs" dxfId="199" priority="390" stopIfTrue="1" operator="equal">
      <formula>"旺角"</formula>
    </cfRule>
    <cfRule type="cellIs" dxfId="198" priority="389" stopIfTrue="1" operator="equal">
      <formula>"x"</formula>
    </cfRule>
    <cfRule type="cellIs" dxfId="197" priority="388" stopIfTrue="1" operator="equal">
      <formula>"x"</formula>
    </cfRule>
    <cfRule type="cellIs" dxfId="196" priority="386" stopIfTrue="1" operator="equal">
      <formula>"."</formula>
    </cfRule>
    <cfRule type="cellIs" dxfId="195" priority="387" stopIfTrue="1" operator="equal">
      <formula>"off"</formula>
    </cfRule>
  </conditionalFormatting>
  <conditionalFormatting sqref="F42">
    <cfRule type="cellIs" dxfId="194" priority="301" operator="equal">
      <formula>"o"</formula>
    </cfRule>
    <cfRule type="cellIs" dxfId="193" priority="300" operator="equal">
      <formula>"E"</formula>
    </cfRule>
    <cfRule type="cellIs" dxfId="192" priority="299" operator="equal">
      <formula>"F"</formula>
    </cfRule>
  </conditionalFormatting>
  <conditionalFormatting sqref="F57">
    <cfRule type="cellIs" dxfId="191" priority="215" operator="equal">
      <formula>"F"</formula>
    </cfRule>
    <cfRule type="cellIs" dxfId="190" priority="216" operator="equal">
      <formula>"E"</formula>
    </cfRule>
    <cfRule type="cellIs" dxfId="189" priority="217" operator="equal">
      <formula>"o"</formula>
    </cfRule>
  </conditionalFormatting>
  <conditionalFormatting sqref="F59:F60">
    <cfRule type="cellIs" dxfId="188" priority="212" operator="equal">
      <formula>"F"</formula>
    </cfRule>
    <cfRule type="cellIs" dxfId="187" priority="213" operator="equal">
      <formula>"E"</formula>
    </cfRule>
    <cfRule type="cellIs" dxfId="186" priority="214" operator="equal">
      <formula>"o"</formula>
    </cfRule>
  </conditionalFormatting>
  <conditionalFormatting sqref="F71">
    <cfRule type="cellIs" dxfId="185" priority="126" operator="equal">
      <formula>"o"</formula>
    </cfRule>
    <cfRule type="cellIs" dxfId="184" priority="125" operator="equal">
      <formula>"E"</formula>
    </cfRule>
    <cfRule type="cellIs" dxfId="183" priority="124" operator="equal">
      <formula>"F"</formula>
    </cfRule>
  </conditionalFormatting>
  <conditionalFormatting sqref="F73">
    <cfRule type="cellIs" dxfId="182" priority="118" operator="equal">
      <formula>"F"</formula>
    </cfRule>
    <cfRule type="cellIs" dxfId="181" priority="120" operator="equal">
      <formula>"o"</formula>
    </cfRule>
    <cfRule type="cellIs" dxfId="180" priority="119" operator="equal">
      <formula>"E"</formula>
    </cfRule>
  </conditionalFormatting>
  <conditionalFormatting sqref="F77:F80">
    <cfRule type="cellIs" dxfId="179" priority="18" operator="equal">
      <formula>"F"</formula>
    </cfRule>
    <cfRule type="cellIs" dxfId="178" priority="19" operator="equal">
      <formula>"E"</formula>
    </cfRule>
    <cfRule type="cellIs" dxfId="177" priority="20" operator="equal">
      <formula>"o"</formula>
    </cfRule>
  </conditionalFormatting>
  <conditionalFormatting sqref="F81:F86">
    <cfRule type="cellIs" dxfId="176" priority="52" operator="equal">
      <formula>"E"</formula>
    </cfRule>
    <cfRule type="cellIs" dxfId="175" priority="51" operator="equal">
      <formula>"F"</formula>
    </cfRule>
    <cfRule type="cellIs" dxfId="174" priority="53" operator="equal">
      <formula>"o"</formula>
    </cfRule>
  </conditionalFormatting>
  <conditionalFormatting sqref="F84:F85">
    <cfRule type="cellIs" dxfId="173" priority="38" stopIfTrue="1" operator="equal">
      <formula>"off"</formula>
    </cfRule>
    <cfRule type="cellIs" dxfId="172" priority="48" stopIfTrue="1" operator="equal">
      <formula>"sun"</formula>
    </cfRule>
    <cfRule type="cellIs" dxfId="171" priority="47" stopIfTrue="1" operator="equal">
      <formula>25</formula>
    </cfRule>
    <cfRule type="cellIs" dxfId="170" priority="37" stopIfTrue="1" operator="equal">
      <formula>"."</formula>
    </cfRule>
    <cfRule type="cellIs" dxfId="169" priority="46" stopIfTrue="1" operator="equal">
      <formula>26</formula>
    </cfRule>
    <cfRule type="cellIs" dxfId="168" priority="45" stopIfTrue="1" operator="equal">
      <formula>"off"</formula>
    </cfRule>
    <cfRule type="cellIs" dxfId="167" priority="44" stopIfTrue="1" operator="equal">
      <formula>"."</formula>
    </cfRule>
    <cfRule type="cellIs" dxfId="166" priority="43" stopIfTrue="1" operator="equal">
      <formula>"sun"</formula>
    </cfRule>
    <cfRule type="cellIs" dxfId="165" priority="42" stopIfTrue="1" operator="equal">
      <formula>"sat"</formula>
    </cfRule>
    <cfRule type="cellIs" dxfId="164" priority="41" stopIfTrue="1" operator="equal">
      <formula>"旺角"</formula>
    </cfRule>
    <cfRule type="cellIs" dxfId="163" priority="40" stopIfTrue="1" operator="equal">
      <formula>"x"</formula>
    </cfRule>
    <cfRule type="cellIs" dxfId="162" priority="49" stopIfTrue="1" operator="equal">
      <formula>"sat"</formula>
    </cfRule>
    <cfRule type="cellIs" dxfId="161" priority="39" stopIfTrue="1" operator="equal">
      <formula>"x"</formula>
    </cfRule>
    <cfRule type="cellIs" dxfId="160" priority="50" operator="equal">
      <formula>"."</formula>
    </cfRule>
  </conditionalFormatting>
  <conditionalFormatting sqref="F87">
    <cfRule type="cellIs" dxfId="159" priority="32" operator="equal">
      <formula>"E"</formula>
    </cfRule>
    <cfRule type="cellIs" dxfId="158" priority="31" operator="equal">
      <formula>"F"</formula>
    </cfRule>
    <cfRule type="cellIs" dxfId="157" priority="33" operator="equal">
      <formula>"o"</formula>
    </cfRule>
  </conditionalFormatting>
  <conditionalFormatting sqref="F89">
    <cfRule type="cellIs" dxfId="156" priority="94" operator="equal">
      <formula>"E"</formula>
    </cfRule>
    <cfRule type="cellIs" dxfId="155" priority="93" operator="equal">
      <formula>"F"</formula>
    </cfRule>
    <cfRule type="cellIs" dxfId="154" priority="95" operator="equal">
      <formula>"o"</formula>
    </cfRule>
  </conditionalFormatting>
  <conditionalFormatting sqref="H8:H87">
    <cfRule type="cellIs" dxfId="153" priority="28" operator="equal">
      <formula>"F"</formula>
    </cfRule>
    <cfRule type="cellIs" dxfId="152" priority="29" operator="equal">
      <formula>"E"</formula>
    </cfRule>
    <cfRule type="cellIs" dxfId="151" priority="30" operator="equal">
      <formula>"o"</formula>
    </cfRule>
  </conditionalFormatting>
  <conditionalFormatting sqref="H89">
    <cfRule type="cellIs" dxfId="150" priority="92" operator="equal">
      <formula>"o"</formula>
    </cfRule>
    <cfRule type="cellIs" dxfId="149" priority="91" operator="equal">
      <formula>"E"</formula>
    </cfRule>
    <cfRule type="cellIs" dxfId="148" priority="90" operator="equal">
      <formula>"F"</formula>
    </cfRule>
  </conditionalFormatting>
  <conditionalFormatting sqref="J8:J89">
    <cfRule type="cellIs" dxfId="147" priority="9" operator="greaterThan">
      <formula>60</formula>
    </cfRule>
  </conditionalFormatting>
  <conditionalFormatting sqref="K8:K89">
    <cfRule type="cellIs" dxfId="146" priority="2578" operator="equal">
      <formula>"F"</formula>
    </cfRule>
    <cfRule type="cellIs" dxfId="145" priority="2579" operator="equal">
      <formula>"E"</formula>
    </cfRule>
    <cfRule type="cellIs" dxfId="144" priority="2580" operator="equal">
      <formula>"o"</formula>
    </cfRule>
  </conditionalFormatting>
  <conditionalFormatting sqref="L77">
    <cfRule type="duplicateValues" dxfId="143" priority="2721"/>
  </conditionalFormatting>
  <conditionalFormatting sqref="L87:L1048576 L1:L5 L7">
    <cfRule type="duplicateValues" dxfId="142" priority="310"/>
  </conditionalFormatting>
  <conditionalFormatting sqref="L8:M65 L83:M83 L66:L76 L78:L86">
    <cfRule type="duplicateValues" dxfId="141" priority="2705"/>
  </conditionalFormatting>
  <conditionalFormatting sqref="AJ1">
    <cfRule type="cellIs" dxfId="140" priority="2620" operator="equal">
      <formula>"."</formula>
    </cfRule>
    <cfRule type="cellIs" dxfId="139" priority="2621" operator="equal">
      <formula>"."</formula>
    </cfRule>
    <cfRule type="cellIs" dxfId="138" priority="2622" operator="equal">
      <formula>"off"</formula>
    </cfRule>
    <cfRule type="cellIs" dxfId="137" priority="2623" operator="equal">
      <formula>26</formula>
    </cfRule>
    <cfRule type="cellIs" dxfId="136" priority="2624" operator="equal">
      <formula>25</formula>
    </cfRule>
    <cfRule type="cellIs" dxfId="135" priority="2625" operator="equal">
      <formula>"sun"</formula>
    </cfRule>
    <cfRule type="cellIs" dxfId="134" priority="2629" operator="equal">
      <formula>"旺角"</formula>
    </cfRule>
    <cfRule type="cellIs" dxfId="133" priority="2630" operator="equal">
      <formula>"x"</formula>
    </cfRule>
    <cfRule type="cellIs" dxfId="132" priority="2631" operator="equal">
      <formula>"x"</formula>
    </cfRule>
    <cfRule type="cellIs" dxfId="131" priority="2632" operator="equal">
      <formula>"off"</formula>
    </cfRule>
    <cfRule type="cellIs" dxfId="130" priority="2633" operator="equal">
      <formula>"."</formula>
    </cfRule>
    <cfRule type="duplicateValues" dxfId="129" priority="2634"/>
    <cfRule type="cellIs" dxfId="128" priority="2626" operator="equal">
      <formula>"sat"</formula>
    </cfRule>
  </conditionalFormatting>
  <printOptions gridLines="1"/>
  <pageMargins left="0" right="0" top="0" bottom="0" header="0.31496062992125984" footer="0.31496062992125984"/>
  <pageSetup paperSize="9" scale="15" firstPageNumber="0" fitToHeight="0" orientation="landscape" r:id="rId1"/>
  <drawing r:id="rId2"/>
  <legacyDrawing r:id="rId3"/>
  <tableParts count="1">
    <tablePart r:id="rId4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9F80B-6228-4322-B904-62C6BFD4117C}">
  <dimension ref="A1:N80"/>
  <sheetViews>
    <sheetView topLeftCell="A25" zoomScale="70" zoomScaleNormal="70" workbookViewId="0">
      <selection activeCell="E28" sqref="E28"/>
    </sheetView>
  </sheetViews>
  <sheetFormatPr defaultRowHeight="16.5"/>
  <cols>
    <col min="1" max="1" width="11.75" customWidth="1"/>
    <col min="2" max="2" width="20.875" customWidth="1"/>
    <col min="5" max="5" width="13.875" customWidth="1"/>
    <col min="6" max="6" width="22.625" customWidth="1"/>
    <col min="7" max="7" width="29.75" customWidth="1"/>
    <col min="10" max="11" width="11.625" customWidth="1"/>
    <col min="12" max="12" width="10.375" customWidth="1"/>
  </cols>
  <sheetData>
    <row r="1" spans="1:14">
      <c r="A1" s="172" t="s">
        <v>181</v>
      </c>
      <c r="B1" s="172" t="s">
        <v>182</v>
      </c>
      <c r="E1" s="108" t="s">
        <v>229</v>
      </c>
      <c r="F1" s="108" t="s">
        <v>231</v>
      </c>
      <c r="G1" s="108" t="s">
        <v>234</v>
      </c>
      <c r="H1" s="108" t="s">
        <v>228</v>
      </c>
      <c r="I1" s="108" t="s">
        <v>233</v>
      </c>
      <c r="J1" s="108" t="s">
        <v>3</v>
      </c>
      <c r="K1" s="108" t="s">
        <v>242</v>
      </c>
      <c r="L1" t="s">
        <v>239</v>
      </c>
      <c r="M1" t="s">
        <v>74</v>
      </c>
      <c r="N1" t="s">
        <v>238</v>
      </c>
    </row>
    <row r="2" spans="1:14">
      <c r="A2" s="173" t="s">
        <v>61</v>
      </c>
      <c r="B2" s="173" t="s">
        <v>173</v>
      </c>
      <c r="E2" s="108" t="s">
        <v>66</v>
      </c>
      <c r="F2" s="108" t="s">
        <v>202</v>
      </c>
      <c r="G2" s="108" t="s">
        <v>124</v>
      </c>
      <c r="H2" s="108">
        <v>1</v>
      </c>
      <c r="I2" s="108">
        <v>55</v>
      </c>
      <c r="J2" s="108">
        <v>30</v>
      </c>
      <c r="K2" s="219">
        <v>0.02</v>
      </c>
      <c r="L2" cm="1">
        <f t="array" ref="L2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1</v>
      </c>
      <c r="M2">
        <f>IF(表格4[[#This Row],["Total" No.]]=表格4[[#This Row],[No]],表格4[[#This Row],[No]],"F")</f>
        <v>1</v>
      </c>
      <c r="N2">
        <f>COUNTIF(表格1[No.],表格4[[#This Row],["Total" No.]])</f>
        <v>1</v>
      </c>
    </row>
    <row r="3" spans="1:14">
      <c r="A3" s="173" t="s">
        <v>183</v>
      </c>
      <c r="B3" s="173" t="s">
        <v>116</v>
      </c>
      <c r="E3" s="108" t="s">
        <v>278</v>
      </c>
      <c r="F3" s="108" t="s">
        <v>170</v>
      </c>
      <c r="G3" s="108" t="s">
        <v>480</v>
      </c>
      <c r="H3" s="108">
        <v>2</v>
      </c>
      <c r="I3" s="108">
        <v>60</v>
      </c>
      <c r="J3" s="108">
        <v>0</v>
      </c>
      <c r="K3" s="219">
        <v>0.02</v>
      </c>
      <c r="L3" cm="1">
        <f t="array" ref="L3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2</v>
      </c>
      <c r="M3">
        <f>IF(表格4[[#This Row],["Total" No.]]=表格4[[#This Row],[No]],表格4[[#This Row],[No]],"F")</f>
        <v>2</v>
      </c>
      <c r="N3">
        <f>COUNTIF(表格1[No.],表格4[[#This Row],["Total" No.]])</f>
        <v>1</v>
      </c>
    </row>
    <row r="4" spans="1:14">
      <c r="A4" s="173" t="s">
        <v>184</v>
      </c>
      <c r="B4" s="173" t="s">
        <v>185</v>
      </c>
      <c r="E4" s="108" t="s">
        <v>470</v>
      </c>
      <c r="F4" s="108" t="s">
        <v>179</v>
      </c>
      <c r="G4" s="108" t="s">
        <v>481</v>
      </c>
      <c r="H4" s="108">
        <v>3</v>
      </c>
      <c r="I4" s="108">
        <v>60</v>
      </c>
      <c r="J4" s="108"/>
      <c r="K4" s="219">
        <v>0.02</v>
      </c>
      <c r="L4" cm="1">
        <f t="array" ref="L4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3</v>
      </c>
      <c r="M4">
        <f>IF(表格4[[#This Row],["Total" No.]]=表格4[[#This Row],[No]],表格4[[#This Row],[No]],"F")</f>
        <v>3</v>
      </c>
      <c r="N4">
        <f>COUNTIF(表格1[No.],表格4[[#This Row],["Total" No.]])</f>
        <v>1</v>
      </c>
    </row>
    <row r="5" spans="1:14">
      <c r="A5" s="173" t="s">
        <v>108</v>
      </c>
      <c r="B5" s="173" t="s">
        <v>69</v>
      </c>
      <c r="E5" s="108" t="s">
        <v>214</v>
      </c>
      <c r="F5" s="108" t="s">
        <v>215</v>
      </c>
      <c r="G5" s="108" t="s">
        <v>167</v>
      </c>
      <c r="H5" s="108">
        <v>4</v>
      </c>
      <c r="I5" s="108">
        <v>60</v>
      </c>
      <c r="J5" s="108">
        <v>0</v>
      </c>
      <c r="K5" s="219">
        <v>0.02</v>
      </c>
      <c r="L5" cm="1">
        <f t="array" ref="L5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4</v>
      </c>
      <c r="M5">
        <f>IF(表格4[[#This Row],["Total" No.]]=表格4[[#This Row],[No]],表格4[[#This Row],[No]],"F")</f>
        <v>4</v>
      </c>
      <c r="N5">
        <f>COUNTIF(表格1[No.],表格4[[#This Row],["Total" No.]])</f>
        <v>1</v>
      </c>
    </row>
    <row r="6" spans="1:14">
      <c r="A6" s="173" t="s">
        <v>120</v>
      </c>
      <c r="B6" s="173" t="s">
        <v>112</v>
      </c>
      <c r="E6" s="108" t="s">
        <v>58</v>
      </c>
      <c r="F6" s="108" t="s">
        <v>171</v>
      </c>
      <c r="G6" s="108" t="s">
        <v>126</v>
      </c>
      <c r="H6" s="108">
        <v>5</v>
      </c>
      <c r="I6" s="108">
        <v>60</v>
      </c>
      <c r="J6" s="108">
        <v>0</v>
      </c>
      <c r="K6" s="219">
        <v>0.02</v>
      </c>
      <c r="L6" cm="1">
        <f t="array" ref="L6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5</v>
      </c>
      <c r="M6">
        <f>IF(表格4[[#This Row],["Total" No.]]=表格4[[#This Row],[No]],表格4[[#This Row],[No]],"F")</f>
        <v>5</v>
      </c>
      <c r="N6">
        <f>COUNTIF(表格1[No.],表格4[[#This Row],["Total" No.]])</f>
        <v>1</v>
      </c>
    </row>
    <row r="7" spans="1:14">
      <c r="A7" s="173" t="s">
        <v>55</v>
      </c>
      <c r="B7" s="173" t="s">
        <v>102</v>
      </c>
      <c r="E7" s="108" t="s">
        <v>158</v>
      </c>
      <c r="F7" s="108" t="s">
        <v>193</v>
      </c>
      <c r="G7" s="108" t="s">
        <v>263</v>
      </c>
      <c r="H7" s="108">
        <v>6</v>
      </c>
      <c r="I7" s="108">
        <v>55</v>
      </c>
      <c r="J7" s="108">
        <v>80</v>
      </c>
      <c r="K7" s="219">
        <v>0.02</v>
      </c>
      <c r="L7" cm="1">
        <f t="array" ref="L7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6</v>
      </c>
      <c r="M7">
        <f>IF(表格4[[#This Row],["Total" No.]]=表格4[[#This Row],[No]],表格4[[#This Row],[No]],"F")</f>
        <v>6</v>
      </c>
      <c r="N7">
        <f>COUNTIF(表格1[No.],表格4[[#This Row],["Total" No.]])</f>
        <v>1</v>
      </c>
    </row>
    <row r="8" spans="1:14">
      <c r="A8" s="173" t="s">
        <v>94</v>
      </c>
      <c r="B8" s="173" t="s">
        <v>176</v>
      </c>
      <c r="E8" s="108" t="s">
        <v>118</v>
      </c>
      <c r="F8" s="108" t="s">
        <v>172</v>
      </c>
      <c r="G8" s="108" t="s">
        <v>289</v>
      </c>
      <c r="H8" s="108">
        <v>7</v>
      </c>
      <c r="I8" s="108">
        <v>60</v>
      </c>
      <c r="J8" s="108">
        <v>0</v>
      </c>
      <c r="K8" s="219">
        <v>0.02</v>
      </c>
      <c r="L8" cm="1">
        <f t="array" ref="L8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7</v>
      </c>
      <c r="M8">
        <f>IF(表格4[[#This Row],["Total" No.]]=表格4[[#This Row],[No]],表格4[[#This Row],[No]],"F")</f>
        <v>7</v>
      </c>
      <c r="N8">
        <f>COUNTIF(表格1[No.],表格4[[#This Row],["Total" No.]])</f>
        <v>1</v>
      </c>
    </row>
    <row r="9" spans="1:14">
      <c r="A9" s="173" t="s">
        <v>162</v>
      </c>
      <c r="B9" s="173" t="s">
        <v>186</v>
      </c>
      <c r="E9" s="108" t="s">
        <v>279</v>
      </c>
      <c r="F9" s="108" t="s">
        <v>173</v>
      </c>
      <c r="G9" s="108" t="s">
        <v>127</v>
      </c>
      <c r="H9" s="108">
        <v>8</v>
      </c>
      <c r="I9" s="108">
        <v>55</v>
      </c>
      <c r="J9" s="108">
        <v>30</v>
      </c>
      <c r="K9" s="219">
        <v>0.02</v>
      </c>
      <c r="L9" cm="1">
        <f t="array" ref="L9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8</v>
      </c>
      <c r="M9">
        <f>IF(表格4[[#This Row],["Total" No.]]=表格4[[#This Row],[No]],表格4[[#This Row],[No]],"F")</f>
        <v>8</v>
      </c>
      <c r="N9">
        <f>COUNTIF(表格1[No.],表格4[[#This Row],["Total" No.]])</f>
        <v>1</v>
      </c>
    </row>
    <row r="10" spans="1:14">
      <c r="A10" s="173" t="s">
        <v>187</v>
      </c>
      <c r="B10" s="173" t="s">
        <v>93</v>
      </c>
      <c r="E10" s="108" t="s">
        <v>83</v>
      </c>
      <c r="F10" s="108" t="s">
        <v>93</v>
      </c>
      <c r="G10" s="108" t="s">
        <v>482</v>
      </c>
      <c r="H10" s="108">
        <v>9</v>
      </c>
      <c r="I10" s="108">
        <v>60</v>
      </c>
      <c r="J10" s="108">
        <v>0</v>
      </c>
      <c r="K10" s="219">
        <v>0.02</v>
      </c>
      <c r="L10" cm="1">
        <f t="array" ref="L10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9</v>
      </c>
      <c r="M10">
        <f>IF(表格4[[#This Row],["Total" No.]]=表格4[[#This Row],[No]],表格4[[#This Row],[No]],"F")</f>
        <v>9</v>
      </c>
      <c r="N10">
        <f>COUNTIF(表格1[No.],表格4[[#This Row],["Total" No.]])</f>
        <v>1</v>
      </c>
    </row>
    <row r="11" spans="1:14">
      <c r="A11" s="173" t="s">
        <v>163</v>
      </c>
      <c r="B11" s="173" t="s">
        <v>188</v>
      </c>
      <c r="E11" s="108" t="s">
        <v>288</v>
      </c>
      <c r="F11" s="108" t="s">
        <v>206</v>
      </c>
      <c r="G11" s="108" t="s">
        <v>483</v>
      </c>
      <c r="H11" s="108">
        <v>10</v>
      </c>
      <c r="I11" s="108">
        <v>60</v>
      </c>
      <c r="J11" s="108">
        <v>0</v>
      </c>
      <c r="K11" s="219">
        <v>0.02</v>
      </c>
      <c r="L11" cm="1">
        <f t="array" ref="L1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10</v>
      </c>
      <c r="M11">
        <f>IF(表格4[[#This Row],["Total" No.]]=表格4[[#This Row],[No]],表格4[[#This Row],[No]],"F")</f>
        <v>10</v>
      </c>
      <c r="N11">
        <f>COUNTIF(表格1[No.],表格4[[#This Row],["Total" No.]])</f>
        <v>1</v>
      </c>
    </row>
    <row r="12" spans="1:14">
      <c r="A12" s="173" t="s">
        <v>64</v>
      </c>
      <c r="B12" s="173" t="s">
        <v>189</v>
      </c>
      <c r="E12" s="108" t="s">
        <v>471</v>
      </c>
      <c r="F12" s="108" t="s">
        <v>154</v>
      </c>
      <c r="G12" s="108" t="s">
        <v>128</v>
      </c>
      <c r="H12" s="108">
        <v>11</v>
      </c>
      <c r="I12" s="108">
        <v>60</v>
      </c>
      <c r="J12" s="108">
        <v>0</v>
      </c>
      <c r="K12" s="219">
        <v>0.02</v>
      </c>
      <c r="L12" cm="1">
        <f t="array" ref="L12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11</v>
      </c>
      <c r="M12">
        <f>IF(表格4[[#This Row],["Total" No.]]=表格4[[#This Row],[No]],表格4[[#This Row],[No]],"F")</f>
        <v>11</v>
      </c>
      <c r="N12">
        <f>COUNTIF(表格1[No.],表格4[[#This Row],["Total" No.]])</f>
        <v>1</v>
      </c>
    </row>
    <row r="13" spans="1:14">
      <c r="A13" s="173" t="s">
        <v>104</v>
      </c>
      <c r="B13" s="173" t="s">
        <v>115</v>
      </c>
      <c r="E13" s="108" t="s">
        <v>255</v>
      </c>
      <c r="F13" s="108" t="s">
        <v>123</v>
      </c>
      <c r="G13" s="108" t="s">
        <v>129</v>
      </c>
      <c r="H13" s="108">
        <v>12</v>
      </c>
      <c r="I13" s="108">
        <v>60</v>
      </c>
      <c r="J13" s="108">
        <v>0</v>
      </c>
      <c r="K13" s="219">
        <v>0.02</v>
      </c>
      <c r="L13" cm="1">
        <f t="array" ref="L13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12</v>
      </c>
      <c r="M13">
        <f>IF(表格4[[#This Row],["Total" No.]]=表格4[[#This Row],[No]],表格4[[#This Row],[No]],"F")</f>
        <v>12</v>
      </c>
      <c r="N13">
        <f>COUNTIF(表格1[No.],表格4[[#This Row],["Total" No.]])</f>
        <v>1</v>
      </c>
    </row>
    <row r="14" spans="1:14">
      <c r="A14" s="173" t="s">
        <v>190</v>
      </c>
      <c r="B14" s="173" t="s">
        <v>92</v>
      </c>
      <c r="E14" s="108" t="s">
        <v>201</v>
      </c>
      <c r="F14" s="108" t="s">
        <v>96</v>
      </c>
      <c r="G14" s="108" t="s">
        <v>290</v>
      </c>
      <c r="H14" s="108">
        <v>13</v>
      </c>
      <c r="I14" s="108">
        <v>60</v>
      </c>
      <c r="J14" s="108">
        <v>0</v>
      </c>
      <c r="K14" s="219">
        <v>0.02</v>
      </c>
      <c r="L14" cm="1">
        <f t="array" ref="L14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13</v>
      </c>
      <c r="M14">
        <f>IF(表格4[[#This Row],["Total" No.]]=表格4[[#This Row],[No]],表格4[[#This Row],[No]],"F")</f>
        <v>13</v>
      </c>
      <c r="N14">
        <f>COUNTIF(表格1[No.],表格4[[#This Row],["Total" No.]])</f>
        <v>1</v>
      </c>
    </row>
    <row r="15" spans="1:14">
      <c r="A15" s="173" t="s">
        <v>160</v>
      </c>
      <c r="B15" s="173" t="s">
        <v>177</v>
      </c>
      <c r="E15" s="108" t="s">
        <v>472</v>
      </c>
      <c r="F15" s="108" t="s">
        <v>154</v>
      </c>
      <c r="G15" s="108" t="s">
        <v>484</v>
      </c>
      <c r="H15" s="108">
        <v>14</v>
      </c>
      <c r="I15" s="108">
        <v>60</v>
      </c>
      <c r="J15" s="108">
        <v>0</v>
      </c>
      <c r="K15" s="219">
        <v>0.02</v>
      </c>
      <c r="L15" cm="1">
        <f t="array" ref="L15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14</v>
      </c>
      <c r="M15">
        <f>IF(表格4[[#This Row],["Total" No.]]=表格4[[#This Row],[No]],表格4[[#This Row],[No]],"F")</f>
        <v>14</v>
      </c>
      <c r="N15">
        <f>COUNTIF(表格1[No.],表格4[[#This Row],["Total" No.]])</f>
        <v>1</v>
      </c>
    </row>
    <row r="16" spans="1:14">
      <c r="A16" s="173" t="s">
        <v>191</v>
      </c>
      <c r="B16" s="173" t="s">
        <v>192</v>
      </c>
      <c r="E16" s="108" t="s">
        <v>258</v>
      </c>
      <c r="F16" s="108" t="s">
        <v>123</v>
      </c>
      <c r="G16" s="108" t="s">
        <v>485</v>
      </c>
      <c r="H16" s="108">
        <v>15</v>
      </c>
      <c r="I16" s="108">
        <v>60</v>
      </c>
      <c r="J16" s="108">
        <v>0</v>
      </c>
      <c r="K16" s="219">
        <v>0.01</v>
      </c>
      <c r="L16" cm="1">
        <f t="array" ref="L16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15</v>
      </c>
      <c r="M16">
        <f>IF(表格4[[#This Row],["Total" No.]]=表格4[[#This Row],[No]],表格4[[#This Row],[No]],"F")</f>
        <v>15</v>
      </c>
      <c r="N16">
        <f>COUNTIF(表格1[No.],表格4[[#This Row],["Total" No.]])</f>
        <v>1</v>
      </c>
    </row>
    <row r="17" spans="1:14">
      <c r="A17" s="173" t="s">
        <v>89</v>
      </c>
      <c r="B17" s="173" t="s">
        <v>170</v>
      </c>
      <c r="E17" s="108" t="s">
        <v>65</v>
      </c>
      <c r="F17" s="108" t="s">
        <v>174</v>
      </c>
      <c r="G17" s="108" t="s">
        <v>264</v>
      </c>
      <c r="H17" s="108">
        <v>16</v>
      </c>
      <c r="I17" s="108">
        <v>60</v>
      </c>
      <c r="J17" s="108">
        <v>0</v>
      </c>
      <c r="K17" s="219">
        <v>0.02</v>
      </c>
      <c r="L17" cm="1">
        <f t="array" ref="L17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16</v>
      </c>
      <c r="M17">
        <f>IF(表格4[[#This Row],["Total" No.]]=表格4[[#This Row],[No]],表格4[[#This Row],[No]],"F")</f>
        <v>16</v>
      </c>
      <c r="N17">
        <f>COUNTIF(表格1[No.],表格4[[#This Row],["Total" No.]])</f>
        <v>1</v>
      </c>
    </row>
    <row r="18" spans="1:14">
      <c r="A18" s="173" t="s">
        <v>107</v>
      </c>
      <c r="B18" s="173" t="s">
        <v>180</v>
      </c>
      <c r="E18" s="108" t="s">
        <v>107</v>
      </c>
      <c r="F18" s="108" t="s">
        <v>180</v>
      </c>
      <c r="G18" s="108" t="s">
        <v>292</v>
      </c>
      <c r="H18" s="108">
        <v>17</v>
      </c>
      <c r="I18" s="108">
        <v>60</v>
      </c>
      <c r="J18" s="108">
        <v>0</v>
      </c>
      <c r="K18" s="219">
        <v>0.02</v>
      </c>
      <c r="L18" cm="1">
        <f t="array" ref="L18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17</v>
      </c>
      <c r="M18">
        <f>IF(表格4[[#This Row],["Total" No.]]=表格4[[#This Row],[No]],表格4[[#This Row],[No]],"F")</f>
        <v>17</v>
      </c>
      <c r="N18">
        <f>COUNTIF(表格1[No.],表格4[[#This Row],["Total" No.]])</f>
        <v>1</v>
      </c>
    </row>
    <row r="19" spans="1:14">
      <c r="A19" s="173" t="s">
        <v>158</v>
      </c>
      <c r="B19" s="173" t="s">
        <v>193</v>
      </c>
      <c r="E19" s="108" t="s">
        <v>55</v>
      </c>
      <c r="F19" s="108" t="s">
        <v>102</v>
      </c>
      <c r="G19" s="108" t="s">
        <v>130</v>
      </c>
      <c r="H19" s="108">
        <v>18</v>
      </c>
      <c r="I19" s="108">
        <v>60</v>
      </c>
      <c r="J19" s="108">
        <v>0</v>
      </c>
      <c r="K19" s="219">
        <v>0.02</v>
      </c>
      <c r="L19" cm="1">
        <f t="array" ref="L19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18</v>
      </c>
      <c r="M19">
        <f>IF(表格4[[#This Row],["Total" No.]]=表格4[[#This Row],[No]],表格4[[#This Row],[No]],"F")</f>
        <v>18</v>
      </c>
      <c r="N19">
        <f>COUNTIF(表格1[No.],表格4[[#This Row],["Total" No.]])</f>
        <v>1</v>
      </c>
    </row>
    <row r="20" spans="1:14">
      <c r="A20" s="173" t="s">
        <v>194</v>
      </c>
      <c r="B20" s="173" t="s">
        <v>195</v>
      </c>
      <c r="E20" s="108" t="s">
        <v>208</v>
      </c>
      <c r="F20" s="108" t="s">
        <v>155</v>
      </c>
      <c r="G20" s="108" t="s">
        <v>486</v>
      </c>
      <c r="H20" s="108">
        <v>19</v>
      </c>
      <c r="I20" s="108">
        <v>55</v>
      </c>
      <c r="J20" s="108">
        <v>0</v>
      </c>
      <c r="K20" s="219">
        <v>0.02</v>
      </c>
      <c r="L20" cm="1">
        <f t="array" ref="L20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19</v>
      </c>
      <c r="M20">
        <f>IF(表格4[[#This Row],["Total" No.]]=表格4[[#This Row],[No]],表格4[[#This Row],[No]],"F")</f>
        <v>19</v>
      </c>
      <c r="N20">
        <f>COUNTIF(表格1[No.],表格4[[#This Row],["Total" No.]])</f>
        <v>1</v>
      </c>
    </row>
    <row r="21" spans="1:14">
      <c r="A21" s="173" t="s">
        <v>65</v>
      </c>
      <c r="B21" s="173" t="s">
        <v>174</v>
      </c>
      <c r="E21" s="108" t="s">
        <v>473</v>
      </c>
      <c r="F21" s="108" t="s">
        <v>122</v>
      </c>
      <c r="G21" s="108" t="s">
        <v>487</v>
      </c>
      <c r="H21" s="108">
        <v>20</v>
      </c>
      <c r="I21" s="108">
        <v>60</v>
      </c>
      <c r="J21" s="108">
        <v>0</v>
      </c>
      <c r="K21" s="219">
        <v>0.02</v>
      </c>
      <c r="L21" cm="1">
        <f t="array" ref="L2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20</v>
      </c>
      <c r="M21">
        <f>IF(表格4[[#This Row],["Total" No.]]=表格4[[#This Row],[No]],表格4[[#This Row],[No]],"F")</f>
        <v>20</v>
      </c>
      <c r="N21">
        <f>COUNTIF(表格1[No.],表格4[[#This Row],["Total" No.]])</f>
        <v>1</v>
      </c>
    </row>
    <row r="22" spans="1:14">
      <c r="A22" s="173" t="s">
        <v>86</v>
      </c>
      <c r="B22" s="173" t="s">
        <v>179</v>
      </c>
      <c r="E22" s="108" t="s">
        <v>105</v>
      </c>
      <c r="F22" s="108" t="s">
        <v>175</v>
      </c>
      <c r="G22" s="108" t="s">
        <v>131</v>
      </c>
      <c r="H22" s="108">
        <v>21</v>
      </c>
      <c r="I22" s="108">
        <v>55</v>
      </c>
      <c r="J22" s="108">
        <v>30</v>
      </c>
      <c r="K22" s="219">
        <v>0.02</v>
      </c>
      <c r="L22" cm="1">
        <f t="array" ref="L22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21</v>
      </c>
      <c r="M22">
        <f>IF(表格4[[#This Row],["Total" No.]]=表格4[[#This Row],[No]],表格4[[#This Row],[No]],"F")</f>
        <v>21</v>
      </c>
      <c r="N22">
        <f>COUNTIF(表格1[No.],表格4[[#This Row],["Total" No.]])</f>
        <v>1</v>
      </c>
    </row>
    <row r="23" spans="1:14">
      <c r="A23" s="173" t="s">
        <v>117</v>
      </c>
      <c r="B23" s="173" t="s">
        <v>196</v>
      </c>
      <c r="E23" s="108" t="s">
        <v>474</v>
      </c>
      <c r="F23" s="108" t="s">
        <v>92</v>
      </c>
      <c r="G23" s="108" t="s">
        <v>98</v>
      </c>
      <c r="H23" s="108">
        <v>22</v>
      </c>
      <c r="I23" s="108">
        <v>55</v>
      </c>
      <c r="J23" s="108">
        <v>0</v>
      </c>
      <c r="K23" s="219">
        <v>0.02</v>
      </c>
      <c r="L23" t="e" cm="1" vm="1">
        <f t="array" aca="1" ref="L23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23" t="e" vm="2">
        <f ca="1">IF(表格4[[#This Row],["Total" No.]]=表格4[[#This Row],[No]],表格4[[#This Row],[No]],"F")</f>
        <v>#VALUE!</v>
      </c>
      <c r="N23">
        <f ca="1">COUNTIF(表格1[No.],表格4[[#This Row],["Total" No.]])</f>
        <v>0</v>
      </c>
    </row>
    <row r="24" spans="1:14">
      <c r="A24" s="173" t="s">
        <v>118</v>
      </c>
      <c r="B24" s="173" t="s">
        <v>172</v>
      </c>
      <c r="E24" s="108" t="s">
        <v>194</v>
      </c>
      <c r="F24" s="108" t="s">
        <v>195</v>
      </c>
      <c r="G24" s="108" t="s">
        <v>293</v>
      </c>
      <c r="H24" s="108">
        <v>23</v>
      </c>
      <c r="I24" s="108">
        <v>55</v>
      </c>
      <c r="J24" s="108">
        <v>0</v>
      </c>
      <c r="K24" s="219">
        <v>0.02</v>
      </c>
      <c r="L24" t="e" cm="1" vm="1">
        <f t="array" aca="1" ref="L24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24" t="e" vm="2">
        <f ca="1">IF(表格4[[#This Row],["Total" No.]]=表格4[[#This Row],[No]],表格4[[#This Row],[No]],"F")</f>
        <v>#VALUE!</v>
      </c>
      <c r="N24">
        <f ca="1">COUNTIF(表格1[No.],表格4[[#This Row],["Total" No.]])</f>
        <v>0</v>
      </c>
    </row>
    <row r="25" spans="1:14">
      <c r="A25" s="173" t="s">
        <v>197</v>
      </c>
      <c r="B25" s="173" t="s">
        <v>198</v>
      </c>
      <c r="E25" s="108" t="s">
        <v>160</v>
      </c>
      <c r="F25" s="108" t="s">
        <v>177</v>
      </c>
      <c r="G25" s="108" t="s">
        <v>132</v>
      </c>
      <c r="H25" s="108">
        <v>24</v>
      </c>
      <c r="I25" s="108">
        <v>60</v>
      </c>
      <c r="J25" s="108">
        <v>0</v>
      </c>
      <c r="K25" s="219">
        <v>0.02</v>
      </c>
      <c r="L25" t="e" cm="1" vm="3">
        <f t="array" aca="1" ref="L25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25" t="e" vm="2">
        <f ca="1">IF(表格4[[#This Row],["Total" No.]]=表格4[[#This Row],[No]],表格4[[#This Row],[No]],"F")</f>
        <v>#VALUE!</v>
      </c>
      <c r="N25">
        <f ca="1">COUNTIF(表格1[No.],表格4[[#This Row],["Total" No.]])</f>
        <v>0</v>
      </c>
    </row>
    <row r="26" spans="1:14">
      <c r="A26" s="173" t="s">
        <v>68</v>
      </c>
      <c r="B26" s="173" t="s">
        <v>178</v>
      </c>
      <c r="E26" s="108" t="s">
        <v>68</v>
      </c>
      <c r="F26" s="108" t="s">
        <v>178</v>
      </c>
      <c r="G26" s="108" t="s">
        <v>133</v>
      </c>
      <c r="H26" s="108">
        <v>25</v>
      </c>
      <c r="I26" s="108">
        <v>55</v>
      </c>
      <c r="J26" s="108">
        <v>0</v>
      </c>
      <c r="K26" s="219">
        <v>0.02</v>
      </c>
      <c r="L26" cm="1">
        <f t="array" ref="L26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25</v>
      </c>
      <c r="M26">
        <f>IF(表格4[[#This Row],["Total" No.]]=表格4[[#This Row],[No]],表格4[[#This Row],[No]],"F")</f>
        <v>25</v>
      </c>
      <c r="N26">
        <f>COUNTIF(表格1[No.],表格4[[#This Row],["Total" No.]])</f>
        <v>1</v>
      </c>
    </row>
    <row r="27" spans="1:14">
      <c r="A27" s="173" t="s">
        <v>105</v>
      </c>
      <c r="B27" s="173" t="s">
        <v>175</v>
      </c>
      <c r="E27" s="108" t="s">
        <v>121</v>
      </c>
      <c r="F27" s="108" t="s">
        <v>113</v>
      </c>
      <c r="G27" s="108" t="s">
        <v>488</v>
      </c>
      <c r="H27" s="108">
        <v>26</v>
      </c>
      <c r="I27" s="108">
        <v>60</v>
      </c>
      <c r="J27" s="108">
        <v>0</v>
      </c>
      <c r="K27" s="219">
        <v>0.02</v>
      </c>
      <c r="L27" cm="1">
        <f t="array" ref="L27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26</v>
      </c>
      <c r="M27">
        <f>IF(表格4[[#This Row],["Total" No.]]=表格4[[#This Row],[No]],表格4[[#This Row],[No]],"F")</f>
        <v>26</v>
      </c>
      <c r="N27">
        <f>COUNTIF(表格1[No.],表格4[[#This Row],["Total" No.]])</f>
        <v>1</v>
      </c>
    </row>
    <row r="28" spans="1:14">
      <c r="A28" s="173" t="s">
        <v>119</v>
      </c>
      <c r="B28" s="173" t="s">
        <v>110</v>
      </c>
      <c r="E28" s="108" t="s">
        <v>119</v>
      </c>
      <c r="F28" s="108" t="s">
        <v>110</v>
      </c>
      <c r="G28" s="108" t="s">
        <v>134</v>
      </c>
      <c r="H28" s="108">
        <v>27</v>
      </c>
      <c r="I28" s="108">
        <v>60</v>
      </c>
      <c r="J28" s="108">
        <v>0</v>
      </c>
      <c r="K28" s="219">
        <v>0.02</v>
      </c>
      <c r="L28" cm="1">
        <f t="array" ref="L28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27</v>
      </c>
      <c r="M28">
        <f>IF(表格4[[#This Row],["Total" No.]]=表格4[[#This Row],[No]],表格4[[#This Row],[No]],"F")</f>
        <v>27</v>
      </c>
      <c r="N28">
        <f>COUNTIF(表格1[No.],表格4[[#This Row],["Total" No.]])</f>
        <v>1</v>
      </c>
    </row>
    <row r="29" spans="1:14">
      <c r="A29" s="173" t="s">
        <v>157</v>
      </c>
      <c r="B29" s="173" t="s">
        <v>168</v>
      </c>
      <c r="E29" s="108" t="s">
        <v>104</v>
      </c>
      <c r="F29" s="108" t="s">
        <v>115</v>
      </c>
      <c r="G29" s="108" t="s">
        <v>236</v>
      </c>
      <c r="H29" s="108">
        <v>28</v>
      </c>
      <c r="I29" s="108">
        <v>60</v>
      </c>
      <c r="J29" s="108">
        <v>0</v>
      </c>
      <c r="K29" s="219">
        <v>0.02</v>
      </c>
      <c r="L29" cm="1">
        <f t="array" ref="L29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28</v>
      </c>
      <c r="M29">
        <f>IF(表格4[[#This Row],["Total" No.]]=表格4[[#This Row],[No]],表格4[[#This Row],[No]],"F")</f>
        <v>28</v>
      </c>
      <c r="N29">
        <f>COUNTIF(表格1[No.],表格4[[#This Row],["Total" No.]])</f>
        <v>1</v>
      </c>
    </row>
    <row r="30" spans="1:14">
      <c r="A30" s="173" t="s">
        <v>165</v>
      </c>
      <c r="B30" s="173" t="s">
        <v>97</v>
      </c>
      <c r="E30" s="108" t="s">
        <v>225</v>
      </c>
      <c r="F30" s="108" t="s">
        <v>237</v>
      </c>
      <c r="G30" s="108" t="s">
        <v>294</v>
      </c>
      <c r="H30" s="108">
        <v>29</v>
      </c>
      <c r="I30" s="108">
        <v>60</v>
      </c>
      <c r="J30" s="108">
        <v>0</v>
      </c>
      <c r="K30" s="219">
        <v>0.02</v>
      </c>
      <c r="L30" cm="1">
        <f t="array" ref="L30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29</v>
      </c>
      <c r="M30">
        <f>IF(表格4[[#This Row],["Total" No.]]=表格4[[#This Row],[No]],表格4[[#This Row],[No]],"F")</f>
        <v>29</v>
      </c>
      <c r="N30">
        <f>COUNTIF(表格1[No.],表格4[[#This Row],["Total" No.]])</f>
        <v>1</v>
      </c>
    </row>
    <row r="31" spans="1:14">
      <c r="A31" s="173" t="s">
        <v>161</v>
      </c>
      <c r="B31" s="173" t="s">
        <v>111</v>
      </c>
      <c r="E31" s="108" t="s">
        <v>108</v>
      </c>
      <c r="F31" s="108" t="s">
        <v>69</v>
      </c>
      <c r="G31" s="108" t="s">
        <v>268</v>
      </c>
      <c r="H31" s="108">
        <v>30</v>
      </c>
      <c r="I31" s="108">
        <v>60</v>
      </c>
      <c r="J31" s="108">
        <v>0</v>
      </c>
      <c r="K31" s="219">
        <v>0.02</v>
      </c>
      <c r="L31" cm="1">
        <f t="array" ref="L3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30</v>
      </c>
      <c r="M31">
        <f>IF(表格4[[#This Row],["Total" No.]]=表格4[[#This Row],[No]],表格4[[#This Row],[No]],"F")</f>
        <v>30</v>
      </c>
      <c r="N31">
        <f>COUNTIF(表格1[No.],表格4[[#This Row],["Total" No.]])</f>
        <v>1</v>
      </c>
    </row>
    <row r="32" spans="1:14">
      <c r="A32" s="173" t="s">
        <v>199</v>
      </c>
      <c r="B32" s="173" t="s">
        <v>200</v>
      </c>
      <c r="E32" s="108" t="s">
        <v>256</v>
      </c>
      <c r="F32" s="108" t="s">
        <v>257</v>
      </c>
      <c r="G32" s="108" t="s">
        <v>247</v>
      </c>
      <c r="H32" s="108">
        <v>31</v>
      </c>
      <c r="I32" s="108">
        <v>60</v>
      </c>
      <c r="J32" s="108">
        <v>0</v>
      </c>
      <c r="K32" s="219">
        <v>0.02</v>
      </c>
      <c r="L32" cm="1">
        <f t="array" ref="L32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31</v>
      </c>
      <c r="M32">
        <f>IF(表格4[[#This Row],["Total" No.]]=表格4[[#This Row],[No]],表格4[[#This Row],[No]],"F")</f>
        <v>31</v>
      </c>
      <c r="N32">
        <f>COUNTIF(表格1[No.],表格4[[#This Row],["Total" No.]])</f>
        <v>1</v>
      </c>
    </row>
    <row r="33" spans="1:14">
      <c r="A33" s="173" t="s">
        <v>201</v>
      </c>
      <c r="B33" s="173" t="s">
        <v>96</v>
      </c>
      <c r="E33" s="108" t="s">
        <v>199</v>
      </c>
      <c r="F33" s="108" t="s">
        <v>200</v>
      </c>
      <c r="G33" s="108" t="s">
        <v>75</v>
      </c>
      <c r="H33" s="108">
        <v>32</v>
      </c>
      <c r="I33" s="108">
        <v>60</v>
      </c>
      <c r="J33" s="108">
        <v>0</v>
      </c>
      <c r="K33" s="219">
        <v>0.02</v>
      </c>
      <c r="L33" cm="1">
        <f t="array" ref="L33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32</v>
      </c>
      <c r="M33">
        <f>IF(表格4[[#This Row],["Total" No.]]=表格4[[#This Row],[No]],表格4[[#This Row],[No]],"F")</f>
        <v>32</v>
      </c>
      <c r="N33">
        <f>COUNTIF(表格1[No.],表格4[[#This Row],["Total" No.]])</f>
        <v>1</v>
      </c>
    </row>
    <row r="34" spans="1:14">
      <c r="A34" s="173" t="s">
        <v>66</v>
      </c>
      <c r="B34" s="173" t="s">
        <v>202</v>
      </c>
      <c r="E34" s="108" t="s">
        <v>162</v>
      </c>
      <c r="F34" s="108" t="s">
        <v>186</v>
      </c>
      <c r="G34" s="108" t="s">
        <v>76</v>
      </c>
      <c r="H34" s="108">
        <v>33</v>
      </c>
      <c r="I34" s="108">
        <v>60</v>
      </c>
      <c r="J34" s="108">
        <v>0</v>
      </c>
      <c r="K34" s="219">
        <v>0.02</v>
      </c>
      <c r="L34" cm="1">
        <f t="array" ref="L34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33</v>
      </c>
      <c r="M34">
        <f>IF(表格4[[#This Row],["Total" No.]]=表格4[[#This Row],[No]],表格4[[#This Row],[No]],"F")</f>
        <v>33</v>
      </c>
      <c r="N34">
        <f>COUNTIF(表格1[No.],表格4[[#This Row],["Total" No.]])</f>
        <v>1</v>
      </c>
    </row>
    <row r="35" spans="1:14">
      <c r="A35" s="173" t="s">
        <v>203</v>
      </c>
      <c r="B35" s="173" t="s">
        <v>204</v>
      </c>
      <c r="E35" s="108" t="s">
        <v>281</v>
      </c>
      <c r="F35" s="108" t="s">
        <v>122</v>
      </c>
      <c r="G35" s="108" t="s">
        <v>489</v>
      </c>
      <c r="H35" s="108">
        <v>34</v>
      </c>
      <c r="I35" s="108">
        <v>60</v>
      </c>
      <c r="J35" s="108">
        <v>0</v>
      </c>
      <c r="K35" s="219">
        <v>0.02</v>
      </c>
      <c r="L35" cm="1">
        <f t="array" ref="L35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34</v>
      </c>
      <c r="M35">
        <f>IF(表格4[[#This Row],["Total" No.]]=表格4[[#This Row],[No]],表格4[[#This Row],[No]],"F")</f>
        <v>34</v>
      </c>
      <c r="N35">
        <f>COUNTIF(表格1[No.],表格4[[#This Row],["Total" No.]])</f>
        <v>1</v>
      </c>
    </row>
    <row r="36" spans="1:14">
      <c r="A36" s="173" t="s">
        <v>58</v>
      </c>
      <c r="B36" s="173" t="s">
        <v>171</v>
      </c>
      <c r="E36" s="108" t="s">
        <v>475</v>
      </c>
      <c r="F36" s="108" t="s">
        <v>179</v>
      </c>
      <c r="G36" s="108" t="s">
        <v>490</v>
      </c>
      <c r="H36" s="108">
        <v>35</v>
      </c>
      <c r="I36" s="108">
        <v>60</v>
      </c>
      <c r="J36" s="108">
        <v>0</v>
      </c>
      <c r="K36" s="219">
        <v>0.02</v>
      </c>
      <c r="L36" cm="1">
        <f t="array" ref="L36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35</v>
      </c>
      <c r="M36">
        <f>IF(表格4[[#This Row],["Total" No.]]=表格4[[#This Row],[No]],表格4[[#This Row],[No]],"F")</f>
        <v>35</v>
      </c>
      <c r="N36">
        <f>COUNTIF(表格1[No.],表格4[[#This Row],["Total" No.]])</f>
        <v>1</v>
      </c>
    </row>
    <row r="37" spans="1:14">
      <c r="A37" s="173" t="s">
        <v>156</v>
      </c>
      <c r="B37" s="173" t="s">
        <v>169</v>
      </c>
      <c r="E37" s="108" t="s">
        <v>163</v>
      </c>
      <c r="F37" s="108" t="s">
        <v>188</v>
      </c>
      <c r="G37" s="108" t="s">
        <v>99</v>
      </c>
      <c r="H37" s="108">
        <v>36</v>
      </c>
      <c r="I37" s="108">
        <v>60</v>
      </c>
      <c r="J37" s="108">
        <v>0</v>
      </c>
      <c r="K37" s="219">
        <v>0.02</v>
      </c>
      <c r="L37" cm="1">
        <f t="array" ref="L37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36</v>
      </c>
      <c r="M37">
        <f>IF(表格4[[#This Row],["Total" No.]]=表格4[[#This Row],[No]],表格4[[#This Row],[No]],"F")</f>
        <v>36</v>
      </c>
      <c r="N37">
        <f>COUNTIF(表格1[No.],表格4[[#This Row],["Total" No.]])</f>
        <v>1</v>
      </c>
    </row>
    <row r="38" spans="1:14">
      <c r="A38" s="173" t="s">
        <v>205</v>
      </c>
      <c r="B38" s="173" t="s">
        <v>206</v>
      </c>
      <c r="E38" s="108" t="s">
        <v>282</v>
      </c>
      <c r="F38" s="108" t="s">
        <v>122</v>
      </c>
      <c r="G38" s="108" t="s">
        <v>100</v>
      </c>
      <c r="H38" s="108">
        <v>37</v>
      </c>
      <c r="I38" s="108">
        <v>60</v>
      </c>
      <c r="J38" s="108">
        <v>0</v>
      </c>
      <c r="K38" s="219">
        <v>0.02</v>
      </c>
      <c r="L38" cm="1">
        <f t="array" ref="L38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37</v>
      </c>
      <c r="M38">
        <f>IF(表格4[[#This Row],["Total" No.]]=表格4[[#This Row],[No]],表格4[[#This Row],[No]],"F")</f>
        <v>37</v>
      </c>
      <c r="N38">
        <f>COUNTIF(表格1[No.],表格4[[#This Row],["Total" No.]])</f>
        <v>1</v>
      </c>
    </row>
    <row r="39" spans="1:14">
      <c r="A39" s="173" t="s">
        <v>90</v>
      </c>
      <c r="B39" s="173" t="s">
        <v>207</v>
      </c>
      <c r="E39" s="108" t="s">
        <v>476</v>
      </c>
      <c r="F39" s="108" t="s">
        <v>179</v>
      </c>
      <c r="G39" s="108" t="s">
        <v>269</v>
      </c>
      <c r="H39" s="108">
        <v>38</v>
      </c>
      <c r="I39" s="108">
        <v>60</v>
      </c>
      <c r="J39" s="108">
        <v>0</v>
      </c>
      <c r="K39" s="219">
        <v>0.02</v>
      </c>
      <c r="L39" cm="1">
        <f t="array" ref="L39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38</v>
      </c>
      <c r="M39">
        <f>IF(表格4[[#This Row],["Total" No.]]=表格4[[#This Row],[No]],表格4[[#This Row],[No]],"F")</f>
        <v>38</v>
      </c>
      <c r="N39">
        <f>COUNTIF(表格1[No.],表格4[[#This Row],["Total" No.]])</f>
        <v>1</v>
      </c>
    </row>
    <row r="40" spans="1:14">
      <c r="A40" s="173" t="s">
        <v>208</v>
      </c>
      <c r="B40" s="173" t="s">
        <v>155</v>
      </c>
      <c r="E40" s="108" t="s">
        <v>477</v>
      </c>
      <c r="F40" s="108" t="s">
        <v>116</v>
      </c>
      <c r="G40" s="108" t="s">
        <v>85</v>
      </c>
      <c r="H40" s="108">
        <v>39</v>
      </c>
      <c r="I40" s="108">
        <v>60</v>
      </c>
      <c r="J40" s="108">
        <v>0</v>
      </c>
      <c r="K40" s="219">
        <v>0.02</v>
      </c>
      <c r="L40" cm="1">
        <f t="array" ref="L40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39</v>
      </c>
      <c r="M40">
        <f>IF(表格4[[#This Row],["Total" No.]]=表格4[[#This Row],[No]],表格4[[#This Row],[No]],"F")</f>
        <v>39</v>
      </c>
      <c r="N40">
        <f>COUNTIF(表格1[No.],表格4[[#This Row],["Total" No.]])</f>
        <v>1</v>
      </c>
    </row>
    <row r="41" spans="1:14">
      <c r="A41" s="173" t="s">
        <v>166</v>
      </c>
      <c r="B41" s="173" t="s">
        <v>209</v>
      </c>
      <c r="E41" s="108" t="s">
        <v>259</v>
      </c>
      <c r="F41" s="108" t="s">
        <v>260</v>
      </c>
      <c r="G41" s="108" t="s">
        <v>84</v>
      </c>
      <c r="H41" s="108">
        <v>40</v>
      </c>
      <c r="I41" s="108">
        <v>65</v>
      </c>
      <c r="J41" s="108">
        <v>0</v>
      </c>
      <c r="K41" s="219">
        <v>0.02</v>
      </c>
      <c r="L41" t="e" cm="1" vm="1">
        <f t="array" aca="1" ref="L41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41" t="e" vm="2">
        <f ca="1">IF(表格4[[#This Row],["Total" No.]]=表格4[[#This Row],[No]],表格4[[#This Row],[No]],"F")</f>
        <v>#VALUE!</v>
      </c>
      <c r="N41">
        <f ca="1">COUNTIF(表格1[No.],表格4[[#This Row],["Total" No.]])</f>
        <v>0</v>
      </c>
    </row>
    <row r="42" spans="1:14">
      <c r="A42" s="173" t="s">
        <v>159</v>
      </c>
      <c r="B42" s="173" t="s">
        <v>210</v>
      </c>
      <c r="E42" s="108" t="s">
        <v>284</v>
      </c>
      <c r="F42" s="108" t="s">
        <v>206</v>
      </c>
      <c r="G42" s="108" t="s">
        <v>433</v>
      </c>
      <c r="H42" s="108">
        <v>41</v>
      </c>
      <c r="I42" s="108">
        <v>60</v>
      </c>
      <c r="J42" s="108">
        <v>0</v>
      </c>
      <c r="K42" s="219">
        <v>0.02</v>
      </c>
      <c r="L42" cm="1">
        <f t="array" ref="L42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41</v>
      </c>
      <c r="M42">
        <f>IF(表格4[[#This Row],["Total" No.]]=表格4[[#This Row],[No]],表格4[[#This Row],[No]],"F")</f>
        <v>41</v>
      </c>
      <c r="N42">
        <f>COUNTIF(表格1[No.],表格4[[#This Row],["Total" No.]])</f>
        <v>1</v>
      </c>
    </row>
    <row r="43" spans="1:14">
      <c r="A43" s="173" t="s">
        <v>211</v>
      </c>
      <c r="B43" s="173" t="s">
        <v>154</v>
      </c>
      <c r="E43" s="108" t="s">
        <v>106</v>
      </c>
      <c r="F43" s="108" t="s">
        <v>93</v>
      </c>
      <c r="G43" s="108" t="s">
        <v>491</v>
      </c>
      <c r="H43" s="108">
        <v>42</v>
      </c>
      <c r="I43" s="108">
        <v>60</v>
      </c>
      <c r="J43" s="108">
        <v>0</v>
      </c>
      <c r="K43" s="219">
        <v>0.02</v>
      </c>
      <c r="L43" cm="1">
        <f t="array" ref="L43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42</v>
      </c>
      <c r="M43">
        <f>IF(表格4[[#This Row],["Total" No.]]=表格4[[#This Row],[No]],表格4[[#This Row],[No]],"F")</f>
        <v>42</v>
      </c>
      <c r="N43">
        <f>COUNTIF(表格1[No.],表格4[[#This Row],["Total" No.]])</f>
        <v>1</v>
      </c>
    </row>
    <row r="44" spans="1:14">
      <c r="A44" s="173" t="s">
        <v>212</v>
      </c>
      <c r="B44" s="173" t="s">
        <v>114</v>
      </c>
      <c r="E44" s="108" t="s">
        <v>212</v>
      </c>
      <c r="F44" s="108" t="s">
        <v>114</v>
      </c>
      <c r="G44" s="108" t="s">
        <v>492</v>
      </c>
      <c r="H44" s="108">
        <v>43</v>
      </c>
      <c r="I44" s="108">
        <v>60</v>
      </c>
      <c r="J44" s="108">
        <v>0</v>
      </c>
      <c r="K44" s="219">
        <v>0.02</v>
      </c>
      <c r="L44" cm="1">
        <f t="array" ref="L44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43</v>
      </c>
      <c r="M44">
        <f>IF(表格4[[#This Row],["Total" No.]]=表格4[[#This Row],[No]],表格4[[#This Row],[No]],"F")</f>
        <v>43</v>
      </c>
      <c r="N44">
        <f>COUNTIF(表格1[No.],表格4[[#This Row],["Total" No.]])</f>
        <v>1</v>
      </c>
    </row>
    <row r="45" spans="1:14">
      <c r="A45" s="173" t="s">
        <v>213</v>
      </c>
      <c r="B45" s="173" t="s">
        <v>91</v>
      </c>
      <c r="E45" s="108" t="s">
        <v>478</v>
      </c>
      <c r="F45" s="108" t="s">
        <v>123</v>
      </c>
      <c r="G45" s="108" t="s">
        <v>493</v>
      </c>
      <c r="H45" s="108">
        <v>44</v>
      </c>
      <c r="I45" s="108">
        <v>60</v>
      </c>
      <c r="J45" s="108">
        <v>0</v>
      </c>
      <c r="K45" s="219">
        <v>0.01</v>
      </c>
      <c r="L45" cm="1">
        <f t="array" ref="L45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44</v>
      </c>
      <c r="M45">
        <f>IF(表格4[[#This Row],["Total" No.]]=表格4[[#This Row],[No]],表格4[[#This Row],[No]],"F")</f>
        <v>44</v>
      </c>
      <c r="N45">
        <f>COUNTIF(表格1[No.],表格4[[#This Row],["Total" No.]])</f>
        <v>1</v>
      </c>
    </row>
    <row r="46" spans="1:14">
      <c r="A46" s="173" t="s">
        <v>164</v>
      </c>
      <c r="B46" s="173" t="s">
        <v>122</v>
      </c>
      <c r="E46" s="108" t="s">
        <v>479</v>
      </c>
      <c r="F46" s="108" t="s">
        <v>116</v>
      </c>
      <c r="G46" s="108" t="s">
        <v>494</v>
      </c>
      <c r="H46" s="108">
        <v>45</v>
      </c>
      <c r="I46" s="108">
        <v>60</v>
      </c>
      <c r="J46" s="108">
        <v>0</v>
      </c>
      <c r="K46" s="219">
        <v>0.01</v>
      </c>
      <c r="L46" cm="1">
        <f t="array" ref="L46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45</v>
      </c>
      <c r="M46">
        <f>IF(表格4[[#This Row],["Total" No.]]=表格4[[#This Row],[No]],表格4[[#This Row],[No]],"F")</f>
        <v>45</v>
      </c>
      <c r="N46">
        <f>COUNTIF(表格1[No.],表格4[[#This Row],["Total" No.]])</f>
        <v>1</v>
      </c>
    </row>
    <row r="47" spans="1:14">
      <c r="A47" s="173" t="s">
        <v>214</v>
      </c>
      <c r="B47" s="173" t="s">
        <v>215</v>
      </c>
      <c r="E47" s="108" t="s">
        <v>120</v>
      </c>
      <c r="F47" s="108" t="s">
        <v>112</v>
      </c>
      <c r="G47" s="108" t="s">
        <v>495</v>
      </c>
      <c r="H47" s="108">
        <v>46</v>
      </c>
      <c r="I47" s="108">
        <v>60</v>
      </c>
      <c r="J47" s="108">
        <v>0</v>
      </c>
      <c r="K47" s="219">
        <v>0.02</v>
      </c>
      <c r="L47" t="e" cm="1" vm="1">
        <f t="array" aca="1" ref="L47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47" t="e" vm="2">
        <f ca="1">IF(表格4[[#This Row],["Total" No.]]=表格4[[#This Row],[No]],表格4[[#This Row],[No]],"F")</f>
        <v>#VALUE!</v>
      </c>
      <c r="N47">
        <f ca="1">COUNTIF(表格1[No.],表格4[[#This Row],["Total" No.]])</f>
        <v>0</v>
      </c>
    </row>
    <row r="48" spans="1:14">
      <c r="A48" s="173" t="s">
        <v>216</v>
      </c>
      <c r="B48" s="173" t="s">
        <v>217</v>
      </c>
      <c r="E48" s="108" t="s">
        <v>287</v>
      </c>
      <c r="F48" s="108" t="s">
        <v>173</v>
      </c>
      <c r="G48" s="108" t="s">
        <v>496</v>
      </c>
      <c r="H48" s="108">
        <v>47</v>
      </c>
      <c r="I48" s="108">
        <v>55</v>
      </c>
      <c r="J48" s="108">
        <v>30</v>
      </c>
      <c r="K48" s="219">
        <v>0.02</v>
      </c>
      <c r="L48" cm="1">
        <f t="array" ref="L48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47</v>
      </c>
      <c r="M48">
        <f>IF(表格4[[#This Row],["Total" No.]]=表格4[[#This Row],[No]],表格4[[#This Row],[No]],"F")</f>
        <v>47</v>
      </c>
      <c r="N48">
        <f>COUNTIF(表格1[No.],表格4[[#This Row],["Total" No.]])</f>
        <v>1</v>
      </c>
    </row>
    <row r="49" spans="1:14">
      <c r="A49" s="173" t="s">
        <v>218</v>
      </c>
      <c r="B49" s="173" t="s">
        <v>123</v>
      </c>
      <c r="E49" s="108" t="s">
        <v>261</v>
      </c>
      <c r="F49" s="108" t="s">
        <v>262</v>
      </c>
      <c r="G49" s="108" t="s">
        <v>296</v>
      </c>
      <c r="H49" s="108">
        <v>48</v>
      </c>
      <c r="I49" s="108">
        <v>60</v>
      </c>
      <c r="J49" s="108">
        <v>0</v>
      </c>
      <c r="K49" s="219">
        <v>0.02</v>
      </c>
      <c r="L49" cm="1">
        <f t="array" ref="L49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48</v>
      </c>
      <c r="M49">
        <f>IF(表格4[[#This Row],["Total" No.]]=表格4[[#This Row],[No]],表格4[[#This Row],[No]],"F")</f>
        <v>48</v>
      </c>
      <c r="N49">
        <f>COUNTIF(表格1[No.],表格4[[#This Row],["Total" No.]])</f>
        <v>1</v>
      </c>
    </row>
    <row r="50" spans="1:14">
      <c r="A50" s="173" t="s">
        <v>219</v>
      </c>
      <c r="B50" s="173" t="s">
        <v>220</v>
      </c>
      <c r="E50" s="108" t="s">
        <v>285</v>
      </c>
      <c r="F50" s="108" t="s">
        <v>122</v>
      </c>
      <c r="G50" s="108" t="s">
        <v>297</v>
      </c>
      <c r="H50" s="108">
        <v>49</v>
      </c>
      <c r="I50" s="108">
        <v>60</v>
      </c>
      <c r="J50" s="108">
        <v>0</v>
      </c>
      <c r="K50" s="219">
        <v>0.02</v>
      </c>
      <c r="L50" cm="1">
        <f t="array" ref="L50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49</v>
      </c>
      <c r="M50">
        <f>IF(表格4[[#This Row],["Total" No.]]=表格4[[#This Row],[No]],表格4[[#This Row],[No]],"F")</f>
        <v>49</v>
      </c>
      <c r="N50">
        <f>COUNTIF(表格1[No.],表格4[[#This Row],["Total" No.]])</f>
        <v>1</v>
      </c>
    </row>
    <row r="51" spans="1:14">
      <c r="A51" s="173" t="s">
        <v>121</v>
      </c>
      <c r="B51" s="173" t="s">
        <v>113</v>
      </c>
      <c r="E51" s="108" t="s">
        <v>393</v>
      </c>
      <c r="F51" s="108" t="s">
        <v>91</v>
      </c>
      <c r="G51" s="108" t="s">
        <v>497</v>
      </c>
      <c r="H51" s="108">
        <v>50</v>
      </c>
      <c r="I51" s="108">
        <v>60</v>
      </c>
      <c r="J51" s="108">
        <v>0</v>
      </c>
      <c r="K51" s="219">
        <v>0.02</v>
      </c>
      <c r="L51" cm="1">
        <f t="array" ref="L5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50</v>
      </c>
      <c r="M51">
        <f>IF(表格4[[#This Row],["Total" No.]]=表格4[[#This Row],[No]],表格4[[#This Row],[No]],"F")</f>
        <v>50</v>
      </c>
      <c r="N51">
        <f>COUNTIF(表格1[No.],表格4[[#This Row],["Total" No.]])</f>
        <v>1</v>
      </c>
    </row>
    <row r="52" spans="1:14">
      <c r="A52" s="173" t="s">
        <v>221</v>
      </c>
      <c r="B52" s="172" t="s">
        <v>222</v>
      </c>
      <c r="E52" s="108" t="s">
        <v>166</v>
      </c>
      <c r="F52" s="108" t="s">
        <v>209</v>
      </c>
      <c r="G52" s="108" t="s">
        <v>498</v>
      </c>
      <c r="H52" s="108">
        <v>51</v>
      </c>
      <c r="I52" s="108">
        <v>80</v>
      </c>
      <c r="J52" s="108">
        <v>0</v>
      </c>
      <c r="K52" s="219">
        <v>0.02</v>
      </c>
      <c r="L52" cm="1">
        <f t="array" ref="L52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51</v>
      </c>
      <c r="M52">
        <f>IF(表格4[[#This Row],["Total" No.]]=表格4[[#This Row],[No]],表格4[[#This Row],[No]],"F")</f>
        <v>51</v>
      </c>
      <c r="N52">
        <f>COUNTIF(表格1[No.],表格4[[#This Row],["Total" No.]])</f>
        <v>1</v>
      </c>
    </row>
    <row r="53" spans="1:14">
      <c r="A53" s="173" t="s">
        <v>223</v>
      </c>
      <c r="B53" s="173" t="s">
        <v>224</v>
      </c>
      <c r="E53" s="108" t="s">
        <v>227</v>
      </c>
      <c r="F53" s="108" t="s">
        <v>97</v>
      </c>
      <c r="G53" s="108" t="s">
        <v>499</v>
      </c>
      <c r="H53" s="108">
        <v>52</v>
      </c>
      <c r="I53" s="108">
        <v>65</v>
      </c>
      <c r="J53" s="108">
        <v>0</v>
      </c>
      <c r="K53" s="219">
        <v>0.02</v>
      </c>
      <c r="L53" cm="1">
        <f t="array" ref="L53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52</v>
      </c>
      <c r="M53">
        <f>IF(表格4[[#This Row],["Total" No.]]=表格4[[#This Row],[No]],表格4[[#This Row],[No]],"F")</f>
        <v>52</v>
      </c>
      <c r="N53">
        <f>COUNTIF(表格1[No.],表格4[[#This Row],["Total" No.]])</f>
        <v>1</v>
      </c>
    </row>
    <row r="54" spans="1:14">
      <c r="A54" s="173" t="s">
        <v>225</v>
      </c>
      <c r="B54" s="173" t="s">
        <v>237</v>
      </c>
      <c r="E54" s="108" t="s">
        <v>286</v>
      </c>
      <c r="F54" s="108" t="s">
        <v>170</v>
      </c>
      <c r="G54" s="108" t="s">
        <v>500</v>
      </c>
      <c r="H54" s="108">
        <v>53</v>
      </c>
      <c r="I54" s="108">
        <v>60</v>
      </c>
      <c r="J54" s="108">
        <v>0</v>
      </c>
      <c r="K54" s="219">
        <v>0.02</v>
      </c>
      <c r="L54" cm="1">
        <f t="array" ref="L54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53</v>
      </c>
      <c r="M54">
        <f>IF(表格4[[#This Row],["Total" No.]]=表格4[[#This Row],[No]],表格4[[#This Row],[No]],"F")</f>
        <v>53</v>
      </c>
      <c r="N54">
        <f>COUNTIF(表格1[No.],表格4[[#This Row],["Total" No.]])</f>
        <v>1</v>
      </c>
    </row>
    <row r="55" spans="1:14">
      <c r="A55" t="s">
        <v>245</v>
      </c>
      <c r="B55" t="s">
        <v>246</v>
      </c>
      <c r="E55" s="108" t="s">
        <v>402</v>
      </c>
      <c r="F55" s="108" t="s">
        <v>92</v>
      </c>
      <c r="G55" s="108" t="s">
        <v>501</v>
      </c>
      <c r="H55" s="108">
        <v>54</v>
      </c>
      <c r="I55" s="108">
        <v>60</v>
      </c>
      <c r="J55" s="108">
        <v>0</v>
      </c>
      <c r="K55" s="219">
        <v>0.02</v>
      </c>
      <c r="L55" cm="1">
        <f t="array" ref="L55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54</v>
      </c>
      <c r="M55">
        <f>IF(表格4[[#This Row],["Total" No.]]=表格4[[#This Row],[No]],表格4[[#This Row],[No]],"F")</f>
        <v>54</v>
      </c>
      <c r="N55">
        <f>COUNTIF(表格1[No.],表格4[[#This Row],["Total" No.]])</f>
        <v>1</v>
      </c>
    </row>
    <row r="56" spans="1:14">
      <c r="E56" s="108" t="s">
        <v>440</v>
      </c>
      <c r="F56" s="108" t="s">
        <v>91</v>
      </c>
      <c r="G56" s="108" t="s">
        <v>502</v>
      </c>
      <c r="H56" s="108">
        <v>55</v>
      </c>
      <c r="I56" s="108">
        <v>60</v>
      </c>
      <c r="J56" s="108">
        <v>0</v>
      </c>
      <c r="K56" s="219">
        <v>0.01</v>
      </c>
      <c r="L56" cm="1">
        <f t="array" ref="L56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55</v>
      </c>
      <c r="M56">
        <f>IF(表格4[[#This Row],["Total" No.]]=表格4[[#This Row],[No]],表格4[[#This Row],[No]],"F")</f>
        <v>55</v>
      </c>
      <c r="N56">
        <f>COUNTIF(表格1[No.],表格4[[#This Row],["Total" No.]])</f>
        <v>1</v>
      </c>
    </row>
    <row r="57" spans="1:14">
      <c r="E57" s="108" t="s">
        <v>449</v>
      </c>
      <c r="F57" s="108" t="s">
        <v>92</v>
      </c>
      <c r="G57" s="108" t="s">
        <v>272</v>
      </c>
      <c r="H57" s="108">
        <v>56</v>
      </c>
      <c r="I57" s="108">
        <v>60</v>
      </c>
      <c r="J57" s="108">
        <v>0</v>
      </c>
      <c r="K57" s="219">
        <v>0.02</v>
      </c>
      <c r="L57" cm="1">
        <f t="array" ref="L57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56</v>
      </c>
      <c r="M57">
        <f>IF(表格4[[#This Row],["Total" No.]]=表格4[[#This Row],[No]],表格4[[#This Row],[No]],"F")</f>
        <v>56</v>
      </c>
      <c r="N57">
        <f>COUNTIF(表格1[No.],表格4[[#This Row],["Total" No.]])</f>
        <v>1</v>
      </c>
    </row>
    <row r="58" spans="1:14">
      <c r="E58" s="108" t="s">
        <v>219</v>
      </c>
      <c r="F58" s="108" t="s">
        <v>220</v>
      </c>
      <c r="G58" s="108" t="s">
        <v>273</v>
      </c>
      <c r="H58" s="108">
        <v>57</v>
      </c>
      <c r="I58" s="108">
        <v>60</v>
      </c>
      <c r="J58" s="108">
        <v>0</v>
      </c>
      <c r="K58" s="219">
        <v>0.02</v>
      </c>
      <c r="L58" cm="1">
        <f t="array" ref="L58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57</v>
      </c>
      <c r="M58">
        <f>IF(表格4[[#This Row],["Total" No.]]=表格4[[#This Row],[No]],表格4[[#This Row],[No]],"F")</f>
        <v>57</v>
      </c>
      <c r="N58">
        <f>COUNTIF(表格1[No.],表格4[[#This Row],["Total" No.]])</f>
        <v>1</v>
      </c>
    </row>
    <row r="59" spans="1:14">
      <c r="E59" s="108" t="s">
        <v>216</v>
      </c>
      <c r="F59" s="108" t="s">
        <v>217</v>
      </c>
      <c r="G59" s="108" t="s">
        <v>453</v>
      </c>
      <c r="H59" s="108">
        <v>58</v>
      </c>
      <c r="I59" s="108">
        <v>60</v>
      </c>
      <c r="J59" s="108">
        <v>0</v>
      </c>
      <c r="K59" s="219">
        <v>0.02</v>
      </c>
      <c r="L59" cm="1">
        <f t="array" ref="L59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58</v>
      </c>
      <c r="M59">
        <f>IF(表格4[[#This Row],["Total" No.]]=表格4[[#This Row],[No]],表格4[[#This Row],[No]],"F")</f>
        <v>58</v>
      </c>
      <c r="N59">
        <f>COUNTIF(表格1[No.],表格4[[#This Row],["Total" No.]])</f>
        <v>1</v>
      </c>
    </row>
    <row r="60" spans="1:14">
      <c r="E60" s="108" t="s">
        <v>203</v>
      </c>
      <c r="F60" s="108" t="s">
        <v>204</v>
      </c>
      <c r="G60" s="108" t="s">
        <v>305</v>
      </c>
      <c r="H60" s="108">
        <v>59</v>
      </c>
      <c r="I60" s="108">
        <v>60</v>
      </c>
      <c r="J60" s="108">
        <v>0</v>
      </c>
      <c r="K60" s="219">
        <v>0.02</v>
      </c>
      <c r="L60" cm="1">
        <f t="array" ref="L60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59</v>
      </c>
      <c r="M60">
        <f>IF(表格4[[#This Row],["Total" No.]]=表格4[[#This Row],[No]],表格4[[#This Row],[No]],"F")</f>
        <v>59</v>
      </c>
      <c r="N60">
        <f>COUNTIF(表格1[No.],表格4[[#This Row],["Total" No.]])</f>
        <v>1</v>
      </c>
    </row>
    <row r="61" spans="1:14">
      <c r="E61" s="108" t="s">
        <v>245</v>
      </c>
      <c r="F61" s="108" t="s">
        <v>246</v>
      </c>
      <c r="G61" s="108" t="s">
        <v>460</v>
      </c>
      <c r="H61" s="108">
        <v>60</v>
      </c>
      <c r="I61" s="108">
        <v>60</v>
      </c>
      <c r="J61" s="108">
        <v>0</v>
      </c>
      <c r="K61" s="219">
        <v>0.02</v>
      </c>
      <c r="L61" cm="1">
        <f t="array" ref="L6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60</v>
      </c>
      <c r="M61">
        <f>IF(表格4[[#This Row],["Total" No.]]=表格4[[#This Row],[No]],表格4[[#This Row],[No]],"F")</f>
        <v>60</v>
      </c>
      <c r="N61">
        <f>COUNTIF(表格1[No.],表格4[[#This Row],["Total" No.]])</f>
        <v>1</v>
      </c>
    </row>
    <row r="62" spans="1:14">
      <c r="E62" s="108" t="s">
        <v>226</v>
      </c>
      <c r="F62" s="108" t="s">
        <v>97</v>
      </c>
      <c r="G62" s="108" t="s">
        <v>274</v>
      </c>
      <c r="H62" s="108">
        <v>61</v>
      </c>
      <c r="I62" s="108">
        <v>65</v>
      </c>
      <c r="J62" s="108">
        <v>0</v>
      </c>
      <c r="K62" s="219">
        <v>0.02</v>
      </c>
      <c r="L62" cm="1">
        <f t="array" ref="L62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61</v>
      </c>
      <c r="M62">
        <f>IF(表格4[[#This Row],["Total" No.]]=表格4[[#This Row],[No]],表格4[[#This Row],[No]],"F")</f>
        <v>61</v>
      </c>
      <c r="N62">
        <f>COUNTIF(表格1[No.],表格4[[#This Row],["Total" No.]])</f>
        <v>1</v>
      </c>
    </row>
    <row r="63" spans="1:14">
      <c r="E63" s="108" t="s">
        <v>503</v>
      </c>
      <c r="F63" s="108" t="s">
        <v>504</v>
      </c>
      <c r="G63" s="108" t="s">
        <v>509</v>
      </c>
      <c r="H63" s="108">
        <v>62</v>
      </c>
      <c r="I63" s="108">
        <v>50</v>
      </c>
      <c r="J63" s="108">
        <v>0</v>
      </c>
      <c r="K63" s="219"/>
      <c r="L63" cm="1">
        <f t="array" ref="L63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62</v>
      </c>
      <c r="M63">
        <f>IF(表格4[[#This Row],["Total" No.]]=表格4[[#This Row],[No]],表格4[[#This Row],[No]],"F")</f>
        <v>62</v>
      </c>
      <c r="N63">
        <f>COUNTIF(表格1[No.],表格4[[#This Row],["Total" No.]])</f>
        <v>1</v>
      </c>
    </row>
    <row r="64" spans="1:14">
      <c r="E64" s="108" t="s">
        <v>505</v>
      </c>
      <c r="F64" s="108" t="s">
        <v>506</v>
      </c>
      <c r="G64" s="108" t="s">
        <v>510</v>
      </c>
      <c r="H64" s="108">
        <v>63</v>
      </c>
      <c r="I64" s="108">
        <v>50</v>
      </c>
      <c r="J64" s="108">
        <v>0</v>
      </c>
      <c r="K64" s="219"/>
      <c r="L64" cm="1">
        <f t="array" ref="L64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63</v>
      </c>
      <c r="M64">
        <f>IF(表格4[[#This Row],["Total" No.]]=表格4[[#This Row],[No]],表格4[[#This Row],[No]],"F")</f>
        <v>63</v>
      </c>
      <c r="N64">
        <f>COUNTIF(表格1[No.],表格4[[#This Row],["Total" No.]])</f>
        <v>1</v>
      </c>
    </row>
    <row r="65" spans="5:14">
      <c r="E65" s="108" t="s">
        <v>507</v>
      </c>
      <c r="F65" s="108" t="s">
        <v>508</v>
      </c>
      <c r="G65" s="108" t="s">
        <v>511</v>
      </c>
      <c r="H65" s="108">
        <v>64</v>
      </c>
      <c r="I65" s="108">
        <v>50</v>
      </c>
      <c r="J65" s="108">
        <v>0</v>
      </c>
      <c r="K65" s="219"/>
      <c r="L65" cm="1">
        <f t="array" ref="L65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64</v>
      </c>
      <c r="M65">
        <f>IF(表格4[[#This Row],["Total" No.]]=表格4[[#This Row],[No]],表格4[[#This Row],[No]],"F")</f>
        <v>64</v>
      </c>
      <c r="N65">
        <f>COUNTIF(表格1[No.],表格4[[#This Row],["Total" No.]])</f>
        <v>1</v>
      </c>
    </row>
    <row r="66" spans="5:14">
      <c r="E66" s="108"/>
      <c r="F66" s="108"/>
      <c r="G66" s="108"/>
      <c r="H66" s="108"/>
      <c r="I66" s="108"/>
      <c r="J66" s="108"/>
      <c r="K66" s="219"/>
      <c r="L66" t="e" cm="1" vm="4">
        <f t="array" aca="1" ref="L66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66" t="e" vm="2">
        <f ca="1">IF(表格4[[#This Row],["Total" No.]]=表格4[[#This Row],[No]],表格4[[#This Row],[No]],"F")</f>
        <v>#VALUE!</v>
      </c>
      <c r="N66">
        <f ca="1">COUNTIF(表格1[No.],表格4[[#This Row],["Total" No.]])</f>
        <v>0</v>
      </c>
    </row>
    <row r="67" spans="5:14">
      <c r="E67" s="108"/>
      <c r="F67" s="108"/>
      <c r="G67" s="108"/>
      <c r="H67" s="108"/>
      <c r="I67" s="108"/>
      <c r="J67" s="108"/>
      <c r="K67" s="219"/>
      <c r="L67" t="e" cm="1" vm="4">
        <f t="array" aca="1" ref="L67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67" t="e" vm="2">
        <f ca="1">IF(表格4[[#This Row],["Total" No.]]=表格4[[#This Row],[No]],表格4[[#This Row],[No]],"F")</f>
        <v>#VALUE!</v>
      </c>
      <c r="N67">
        <f ca="1">COUNTIF(表格1[No.],表格4[[#This Row],["Total" No.]])</f>
        <v>0</v>
      </c>
    </row>
    <row r="68" spans="5:14">
      <c r="E68" s="108"/>
      <c r="F68" s="108"/>
      <c r="G68" s="108"/>
      <c r="H68" s="108"/>
      <c r="I68" s="108"/>
      <c r="J68" s="108"/>
      <c r="K68" s="219"/>
      <c r="L68" t="e" cm="1" vm="4">
        <f t="array" aca="1" ref="L68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68" t="e" vm="2">
        <f ca="1">IF(表格4[[#This Row],["Total" No.]]=表格4[[#This Row],[No]],表格4[[#This Row],[No]],"F")</f>
        <v>#VALUE!</v>
      </c>
      <c r="N68">
        <f ca="1">COUNTIF(表格1[No.],表格4[[#This Row],["Total" No.]])</f>
        <v>0</v>
      </c>
    </row>
    <row r="69" spans="5:14">
      <c r="E69" s="108"/>
      <c r="F69" s="108"/>
      <c r="G69" s="108"/>
      <c r="H69" s="108"/>
      <c r="I69" s="108"/>
      <c r="J69" s="108"/>
      <c r="K69" s="219"/>
      <c r="L69" t="e" cm="1" vm="4">
        <f t="array" aca="1" ref="L69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69" t="e" vm="2">
        <f ca="1">IF(表格4[[#This Row],["Total" No.]]=表格4[[#This Row],[No]],表格4[[#This Row],[No]],"F")</f>
        <v>#VALUE!</v>
      </c>
      <c r="N69">
        <f ca="1">COUNTIF(表格1[No.],表格4[[#This Row],["Total" No.]])</f>
        <v>0</v>
      </c>
    </row>
    <row r="70" spans="5:14">
      <c r="E70" s="108"/>
      <c r="F70" s="108"/>
      <c r="G70" s="108"/>
      <c r="H70" s="108"/>
      <c r="I70" s="108"/>
      <c r="J70" s="108"/>
      <c r="K70" s="219"/>
      <c r="L70" t="e" cm="1" vm="4">
        <f t="array" aca="1" ref="L70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70" t="e" vm="2">
        <f ca="1">IF(表格4[[#This Row],["Total" No.]]=表格4[[#This Row],[No]],表格4[[#This Row],[No]],"F")</f>
        <v>#VALUE!</v>
      </c>
      <c r="N70">
        <f ca="1">COUNTIF(表格1[No.],表格4[[#This Row],["Total" No.]])</f>
        <v>0</v>
      </c>
    </row>
    <row r="71" spans="5:14">
      <c r="E71" s="108"/>
      <c r="F71" s="108"/>
      <c r="G71" s="108"/>
      <c r="H71" s="108"/>
      <c r="I71" s="108"/>
      <c r="J71" s="108"/>
      <c r="K71" s="219"/>
      <c r="N71">
        <f>COUNTIF(表格1[No.],表格4[[#This Row],["Total" No.]])</f>
        <v>0</v>
      </c>
    </row>
    <row r="72" spans="5:14">
      <c r="E72" s="108"/>
      <c r="F72" s="108"/>
      <c r="G72" s="108"/>
      <c r="H72" s="108"/>
      <c r="I72" s="108"/>
      <c r="J72" s="108"/>
      <c r="K72" s="219"/>
      <c r="L72" t="e" cm="1" vm="4">
        <f t="array" aca="1" ref="L72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72" t="e" vm="2">
        <f ca="1">IF(表格4[[#This Row],["Total" No.]]=表格4[[#This Row],[No]],表格4[[#This Row],[No]],"F")</f>
        <v>#VALUE!</v>
      </c>
      <c r="N72">
        <f ca="1">COUNTIF(表格1[No.],表格4[[#This Row],["Total" No.]])</f>
        <v>0</v>
      </c>
    </row>
    <row r="73" spans="5:14">
      <c r="E73" s="108"/>
      <c r="F73" s="108"/>
      <c r="G73" s="108"/>
      <c r="H73" s="108"/>
      <c r="I73" s="108"/>
      <c r="J73" s="108"/>
      <c r="K73" s="219"/>
      <c r="L73" t="e" cm="1" vm="4">
        <f t="array" aca="1" ref="L73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73" t="e" vm="2">
        <f ca="1">IF(表格4[[#This Row],["Total" No.]]=表格4[[#This Row],[No]],表格4[[#This Row],[No]],"F")</f>
        <v>#VALUE!</v>
      </c>
      <c r="N73">
        <f ca="1">COUNTIF(表格1[No.],表格4[[#This Row],["Total" No.]])</f>
        <v>0</v>
      </c>
    </row>
    <row r="74" spans="5:14">
      <c r="E74" s="108"/>
      <c r="F74" s="108"/>
      <c r="G74" s="108"/>
      <c r="H74" s="108"/>
      <c r="I74" s="108"/>
      <c r="J74" s="108"/>
      <c r="K74" s="219"/>
      <c r="L74" t="e" cm="1" vm="4">
        <f t="array" aca="1" ref="L74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74" t="e" vm="2">
        <f ca="1">IF(表格4[[#This Row],["Total" No.]]=表格4[[#This Row],[No]],表格4[[#This Row],[No]],"F")</f>
        <v>#VALUE!</v>
      </c>
      <c r="N74">
        <f ca="1">COUNTIF(表格1[No.],表格4[[#This Row],["Total" No.]])</f>
        <v>0</v>
      </c>
    </row>
    <row r="75" spans="5:14">
      <c r="E75" s="108"/>
      <c r="F75" s="108"/>
      <c r="G75" s="108"/>
      <c r="H75" s="108"/>
      <c r="I75" s="108"/>
      <c r="J75" s="108"/>
      <c r="K75" s="219"/>
      <c r="L75" t="e" cm="1" vm="4">
        <f t="array" aca="1" ref="L75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75" t="e" vm="2">
        <f ca="1">IF(表格4[[#This Row],["Total" No.]]=表格4[[#This Row],[No]],表格4[[#This Row],[No]],"F")</f>
        <v>#VALUE!</v>
      </c>
      <c r="N75">
        <f ca="1">COUNTIF(表格1[No.],表格4[[#This Row],["Total" No.]])</f>
        <v>0</v>
      </c>
    </row>
    <row r="76" spans="5:14">
      <c r="E76" s="108"/>
      <c r="F76" s="108"/>
      <c r="G76" s="108"/>
      <c r="H76" s="108"/>
      <c r="I76" s="108"/>
      <c r="J76" s="108"/>
      <c r="K76" s="219"/>
      <c r="L76" t="e" cm="1" vm="4">
        <f t="array" aca="1" ref="L76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76" t="e" vm="2">
        <f ca="1">IF(表格4[[#This Row],["Total" No.]]=表格4[[#This Row],[No]],表格4[[#This Row],[No]],"F")</f>
        <v>#VALUE!</v>
      </c>
      <c r="N76">
        <f ca="1">COUNTIF(表格1[No.],表格4[[#This Row],["Total" No.]])</f>
        <v>0</v>
      </c>
    </row>
    <row r="77" spans="5:14">
      <c r="E77" s="108"/>
      <c r="F77" s="108"/>
      <c r="G77" s="108"/>
      <c r="H77" s="108"/>
      <c r="I77" s="108"/>
      <c r="J77" s="108"/>
      <c r="K77" s="219"/>
      <c r="L77" t="e" cm="1" vm="4">
        <f t="array" aca="1" ref="L77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77" t="e" vm="2">
        <f ca="1">IF(表格4[[#This Row],["Total" No.]]=表格4[[#This Row],[No]],表格4[[#This Row],[No]],"F")</f>
        <v>#VALUE!</v>
      </c>
      <c r="N77">
        <f ca="1">COUNTIF(表格1[No.],表格4[[#This Row],["Total" No.]])</f>
        <v>0</v>
      </c>
    </row>
    <row r="78" spans="5:14">
      <c r="E78" s="108"/>
      <c r="F78" s="108"/>
      <c r="G78" s="108"/>
      <c r="H78" s="108"/>
      <c r="I78" s="108"/>
      <c r="J78" s="108"/>
      <c r="K78" s="219"/>
      <c r="L78" t="e" cm="1" vm="4">
        <f t="array" aca="1" ref="L78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78" t="e" vm="2">
        <f ca="1">IF(表格4[[#This Row],["Total" No.]]=表格4[[#This Row],[No]],表格4[[#This Row],[No]],"F")</f>
        <v>#VALUE!</v>
      </c>
      <c r="N78">
        <f ca="1">COUNTIF(表格1[No.],表格4[[#This Row],["Total" No.]])</f>
        <v>0</v>
      </c>
    </row>
    <row r="79" spans="5:14">
      <c r="E79" s="108"/>
      <c r="F79" s="108"/>
      <c r="G79" s="108"/>
      <c r="H79" s="108"/>
      <c r="I79" s="108"/>
      <c r="J79" s="108"/>
      <c r="K79" s="219"/>
      <c r="L79" t="e" cm="1" vm="4">
        <f t="array" aca="1" ref="L79" ca="1">_xlfn._xlws.FILTER(表格1[No.],(表格1[Name.]=表格4[[#This Row],[Name1]])+(表格1[Name.]&amp;"_1"=表格4[[#This Row],[Name1]])+(表格1[Name.]&amp;"_2"=表格4[[#This Row],[Name1]])+(表格1[Name.]&amp;"_3"=表格4[[#This Row],[Name1]])+(表格1[Name.]&amp;"_4"=表格4[[#This Row],[Name1]])+(表格1[Name.]&amp;"_5"=表格4[[#This Row],[Name1]]))</f>
        <v>#VALUE!</v>
      </c>
      <c r="M79" t="e" vm="2">
        <f ca="1">IF(表格4[[#This Row],["Total" No.]]=表格4[[#This Row],[No]],表格4[[#This Row],[No]],"F")</f>
        <v>#VALUE!</v>
      </c>
      <c r="N79">
        <f ca="1">COUNTIF(表格1[No.],表格4[[#This Row],["Total" No.]])</f>
        <v>0</v>
      </c>
    </row>
    <row r="80" spans="5:14">
      <c r="E80" s="108"/>
      <c r="F80" s="108"/>
      <c r="G80" s="108"/>
      <c r="H80" s="108"/>
      <c r="I80" s="108"/>
      <c r="J80" s="108" t="s">
        <v>240</v>
      </c>
      <c r="K80" s="108"/>
      <c r="M80">
        <f>IF(表格4[[#This Row],["Total" No.]]=表格4[[#This Row],[No]],表格4[[#This Row],[No]],"F")</f>
        <v>0</v>
      </c>
      <c r="N80">
        <f>COUNTIF(表格1[No.],表格4[[#This Row],["Total" No.]])</f>
        <v>0</v>
      </c>
    </row>
  </sheetData>
  <phoneticPr fontId="10" type="noConversion"/>
  <conditionalFormatting sqref="E1">
    <cfRule type="duplicateValues" dxfId="127" priority="8"/>
  </conditionalFormatting>
  <conditionalFormatting sqref="E2:E80">
    <cfRule type="duplicateValues" dxfId="126" priority="10"/>
  </conditionalFormatting>
  <conditionalFormatting sqref="E1:K80">
    <cfRule type="cellIs" dxfId="125" priority="7" operator="equal">
      <formula>"OFF"</formula>
    </cfRule>
  </conditionalFormatting>
  <conditionalFormatting sqref="H1:H1048576">
    <cfRule type="duplicateValues" dxfId="124" priority="5"/>
  </conditionalFormatting>
  <conditionalFormatting sqref="K2:K80">
    <cfRule type="cellIs" dxfId="123" priority="1" operator="equal">
      <formula>0.01</formula>
    </cfRule>
  </conditionalFormatting>
  <conditionalFormatting sqref="L1:L1048576">
    <cfRule type="duplicateValues" dxfId="122" priority="6"/>
  </conditionalFormatting>
  <conditionalFormatting sqref="M1:M1048576">
    <cfRule type="duplicateValues" dxfId="121" priority="3"/>
  </conditionalFormatting>
  <conditionalFormatting sqref="N2:N80">
    <cfRule type="cellIs" dxfId="120" priority="2" operator="greaterThan">
      <formula>1</formula>
    </cfRule>
  </conditionalFormatting>
  <pageMargins left="0.7" right="0.7" top="0.75" bottom="0.75" header="0.3" footer="0.3"/>
  <drawing r:id="rId1"/>
  <tableParts count="2">
    <tablePart r:id="rId2"/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78068-D502-4DE7-82BA-7CDA3790B73B}">
  <sheetPr filterMode="1"/>
  <dimension ref="A1:BE99"/>
  <sheetViews>
    <sheetView zoomScale="40" zoomScaleNormal="40" workbookViewId="0">
      <selection activeCell="C34" sqref="C2:C34"/>
    </sheetView>
  </sheetViews>
  <sheetFormatPr defaultColWidth="7.875" defaultRowHeight="16.5"/>
  <cols>
    <col min="1" max="1" width="17" style="108" bestFit="1" customWidth="1"/>
    <col min="2" max="2" width="24.625" style="109" customWidth="1"/>
    <col min="3" max="3" width="21.75" style="109" bestFit="1" customWidth="1"/>
    <col min="4" max="4" width="28.375" style="109" bestFit="1" customWidth="1"/>
    <col min="5" max="5" width="32.375" style="109" customWidth="1"/>
    <col min="6" max="6" width="35.375" style="109" bestFit="1" customWidth="1"/>
    <col min="7" max="7" width="78.75" style="109" bestFit="1" customWidth="1"/>
    <col min="8" max="8" width="10.75" style="109" bestFit="1" customWidth="1"/>
    <col min="9" max="9" width="19.25" style="109" bestFit="1" customWidth="1"/>
    <col min="10" max="10" width="7.5" style="109" bestFit="1" customWidth="1"/>
    <col min="11" max="11" width="20.375" style="109" bestFit="1" customWidth="1"/>
    <col min="12" max="12" width="27.125" style="109" bestFit="1" customWidth="1"/>
    <col min="13" max="13" width="11.625" style="109" customWidth="1"/>
    <col min="14" max="14" width="28" style="109" bestFit="1" customWidth="1"/>
    <col min="15" max="15" width="24.625" style="109" customWidth="1"/>
    <col min="16" max="16" width="23.25" style="109" bestFit="1" customWidth="1"/>
    <col min="17" max="21" width="20.375" style="109" bestFit="1" customWidth="1"/>
    <col min="22" max="22" width="19.375" style="109" customWidth="1"/>
    <col min="23" max="23" width="26.75" style="109" bestFit="1" customWidth="1"/>
    <col min="24" max="25" width="23.25" style="109" bestFit="1" customWidth="1"/>
    <col min="26" max="32" width="23.25" style="109" customWidth="1"/>
    <col min="33" max="33" width="20.375" style="109" bestFit="1" customWidth="1"/>
    <col min="34" max="39" width="7.875" style="109"/>
    <col min="40" max="40" width="7.875" style="108"/>
    <col min="41" max="41" width="49.25" style="108" bestFit="1" customWidth="1"/>
    <col min="42" max="42" width="59.875" style="108" bestFit="1" customWidth="1"/>
    <col min="43" max="43" width="43.25" style="108" bestFit="1" customWidth="1"/>
    <col min="44" max="44" width="58.25" style="108" bestFit="1" customWidth="1"/>
    <col min="45" max="45" width="41.125" style="108" bestFit="1" customWidth="1"/>
    <col min="46" max="46" width="57" style="108" bestFit="1" customWidth="1"/>
    <col min="47" max="47" width="50.5" style="108" bestFit="1" customWidth="1"/>
    <col min="48" max="48" width="62.375" style="108" bestFit="1" customWidth="1"/>
    <col min="49" max="49" width="30.75" style="108" customWidth="1"/>
    <col min="50" max="16384" width="7.875" style="108"/>
  </cols>
  <sheetData>
    <row r="1" spans="1:57" ht="26.25">
      <c r="A1" s="113" t="s">
        <v>9</v>
      </c>
      <c r="B1" s="113" t="s">
        <v>63</v>
      </c>
      <c r="C1" s="115" t="str">
        <f>Total!C7</f>
        <v>Name.</v>
      </c>
      <c r="D1" s="115" t="str">
        <f>Total!D7</f>
        <v>Full Name.</v>
      </c>
      <c r="E1" s="115" t="str">
        <f>Total!E7</f>
        <v>CQ No.</v>
      </c>
      <c r="F1" s="115" t="str">
        <f>Total!F7</f>
        <v>Shop</v>
      </c>
      <c r="G1" s="115" t="str">
        <f>Total!G7</f>
        <v>Period</v>
      </c>
      <c r="H1" s="115" t="str">
        <f>Total!H7</f>
        <v>Days</v>
      </c>
      <c r="I1" s="115" t="str">
        <f>Total!I7</f>
        <v>Reg.Hrs</v>
      </c>
      <c r="J1" s="115" t="str">
        <f>Total!J7</f>
        <v>$</v>
      </c>
      <c r="K1" s="115" t="str">
        <f>Total!K7</f>
        <v>Basic</v>
      </c>
      <c r="L1" s="115" t="str">
        <f>Total!L7</f>
        <v>Sales</v>
      </c>
      <c r="M1" s="115" t="str">
        <f>Total!M7</f>
        <v>QTY</v>
      </c>
      <c r="N1" s="115" t="str">
        <f>Total!N7</f>
        <v>Commission (1% OR 2%)</v>
      </c>
      <c r="O1" s="115" t="str">
        <f>Total!O7</f>
        <v>Allowance</v>
      </c>
      <c r="P1" s="115" t="s">
        <v>136</v>
      </c>
      <c r="Q1" s="115" t="s">
        <v>137</v>
      </c>
      <c r="R1" s="115" t="s">
        <v>138</v>
      </c>
      <c r="S1" s="115" t="s">
        <v>139</v>
      </c>
      <c r="T1" s="115" t="s">
        <v>140</v>
      </c>
      <c r="U1" s="115" t="s">
        <v>141</v>
      </c>
      <c r="V1" s="115" t="s">
        <v>142</v>
      </c>
      <c r="W1" s="115" t="s">
        <v>143</v>
      </c>
      <c r="X1" s="115" t="s">
        <v>144</v>
      </c>
      <c r="Y1" s="115" t="s">
        <v>248</v>
      </c>
      <c r="Z1" s="115" t="s">
        <v>249</v>
      </c>
      <c r="AA1" s="115" t="s">
        <v>253</v>
      </c>
      <c r="AB1" s="115" t="s">
        <v>275</v>
      </c>
      <c r="AC1" s="115" t="s">
        <v>585</v>
      </c>
      <c r="AD1" s="115" t="s">
        <v>586</v>
      </c>
      <c r="AE1" s="115" t="s">
        <v>587</v>
      </c>
      <c r="AF1" s="115" t="s">
        <v>588</v>
      </c>
      <c r="AG1" s="115" t="str">
        <f>Total!AG7</f>
        <v>Total</v>
      </c>
      <c r="AO1" s="115" t="s">
        <v>145</v>
      </c>
      <c r="AP1" s="115" t="s">
        <v>146</v>
      </c>
      <c r="AQ1" s="115" t="s">
        <v>147</v>
      </c>
      <c r="AR1" s="115" t="s">
        <v>148</v>
      </c>
      <c r="AS1" s="115" t="s">
        <v>149</v>
      </c>
      <c r="AT1" s="115" t="s">
        <v>150</v>
      </c>
      <c r="AU1" s="115" t="s">
        <v>151</v>
      </c>
      <c r="AV1" s="115" t="s">
        <v>152</v>
      </c>
      <c r="AW1" s="115" t="s">
        <v>153</v>
      </c>
      <c r="AX1" s="115" t="s">
        <v>250</v>
      </c>
      <c r="AY1" s="115" t="s">
        <v>251</v>
      </c>
      <c r="AZ1" s="115" t="s">
        <v>252</v>
      </c>
      <c r="BA1" s="115" t="s">
        <v>276</v>
      </c>
      <c r="BB1" s="115" t="s">
        <v>589</v>
      </c>
      <c r="BC1" s="115" t="s">
        <v>590</v>
      </c>
      <c r="BD1" s="115" t="s">
        <v>591</v>
      </c>
      <c r="BE1" s="115" t="s">
        <v>592</v>
      </c>
    </row>
    <row r="2" spans="1:57" ht="26.25">
      <c r="A2" s="114">
        <v>1</v>
      </c>
      <c r="B2" s="114" t="s">
        <v>593</v>
      </c>
      <c r="C2" s="115" t="str">
        <f>Total!C8</f>
        <v>May C</v>
      </c>
      <c r="D2" s="115" t="str">
        <f>Total!D8</f>
        <v>Cheng Muk Kiu</v>
      </c>
      <c r="E2" s="115">
        <f>Total!E8</f>
        <v>20850</v>
      </c>
      <c r="F2" s="115" t="str">
        <f>Total!F8</f>
        <v>Kornhill Aeon</v>
      </c>
      <c r="G2" s="115" t="str">
        <f>Total!G8</f>
        <v>Mar/1-3,5-8,10-13,15-17,20-23,26-29</v>
      </c>
      <c r="H2" s="115">
        <f>Total!H8</f>
        <v>22</v>
      </c>
      <c r="I2" s="115">
        <f>Total!I8</f>
        <v>176</v>
      </c>
      <c r="J2" s="115">
        <f>Total!J8</f>
        <v>55</v>
      </c>
      <c r="K2" s="115">
        <f>Total!K8</f>
        <v>9680</v>
      </c>
      <c r="L2" s="115">
        <f>Total!L8</f>
        <v>455239.6</v>
      </c>
      <c r="M2" s="115">
        <f>Total!M8</f>
        <v>0</v>
      </c>
      <c r="N2" s="115">
        <f>Total!N8</f>
        <v>9104.7919999999995</v>
      </c>
      <c r="O2" s="115">
        <f>Total!O8</f>
        <v>660</v>
      </c>
      <c r="P2" s="115">
        <f>Total!P8</f>
        <v>0</v>
      </c>
      <c r="Q2" s="115">
        <f>Total!Q8</f>
        <v>300</v>
      </c>
      <c r="R2" s="115">
        <f>Total!R8</f>
        <v>0</v>
      </c>
      <c r="S2" s="115">
        <f>Total!S8</f>
        <v>0</v>
      </c>
      <c r="T2" s="115">
        <f>Total!T8</f>
        <v>0</v>
      </c>
      <c r="U2" s="115">
        <f>Total!U8</f>
        <v>0</v>
      </c>
      <c r="V2" s="115">
        <f>Total!V8</f>
        <v>0</v>
      </c>
      <c r="W2" s="115">
        <f>Total!W8</f>
        <v>0</v>
      </c>
      <c r="X2" s="115">
        <f>Total!X8</f>
        <v>0</v>
      </c>
      <c r="Y2" s="115">
        <f>Total!Y8</f>
        <v>0</v>
      </c>
      <c r="Z2" s="115">
        <f>Total!Z8</f>
        <v>0</v>
      </c>
      <c r="AA2" s="115">
        <f>Total!AA8</f>
        <v>0</v>
      </c>
      <c r="AB2" s="115">
        <f>Total!AB8</f>
        <v>0</v>
      </c>
      <c r="AC2" s="115">
        <f>Total!AC8</f>
        <v>0</v>
      </c>
      <c r="AD2" s="115">
        <f>Total!AD8</f>
        <v>0</v>
      </c>
      <c r="AE2" s="115">
        <f>Total!AE8</f>
        <v>0</v>
      </c>
      <c r="AF2" s="115">
        <f>Total!AF8</f>
        <v>0</v>
      </c>
      <c r="AG2" s="115">
        <f>Total!AH8</f>
        <v>19745</v>
      </c>
      <c r="AO2" s="115" t="str">
        <f>表格1[[#Headers],[日本飯煲 RC-DS10K/18K]]</f>
        <v>日本飯煲 RC-DS10K/18K</v>
      </c>
      <c r="AP2" s="115" t="str">
        <f>表格1[[#Headers],[酵活炊電飯煲特佣 RC-18AMXH(W)]]</f>
        <v>酵活炊電飯煲特佣 RC-18AMXH(W)</v>
      </c>
      <c r="AQ2" s="115" t="str">
        <f>表格1[[#Headers],[嵌入式微波氣炸蒸焗爐特佣 EB-T500APW]]</f>
        <v>嵌入式微波氣炸蒸焗爐特佣 EB-T500APW</v>
      </c>
      <c r="AR2" s="115" t="str">
        <f>表格1[[#Headers],[蒸氣烤焗水波爐特佣 ER-VD7000HK(XK)]]</f>
        <v>蒸氣烤焗水波爐特佣 ER-VD7000HK(XK)</v>
      </c>
      <c r="AS2" s="115" t="str">
        <f>表格1[[#Headers],[TWDT21BU95 ]]</f>
        <v xml:space="preserve">TWDT21BU95 </v>
      </c>
      <c r="AT2" s="115" t="str">
        <f>表格1[[#Headers],[日式洗衣機一特佣 AW-Q800APH(WW)]]</f>
        <v>日式洗衣機一特佣 AW-Q800APH(WW)</v>
      </c>
      <c r="AU2" s="115" t="str">
        <f>表格1[[#Headers],[日式洗衣機二特佣 AW-Q801APH(WW)]]</f>
        <v>日式洗衣機二特佣 AW-Q801APH(WW)</v>
      </c>
      <c r="AV2" s="115" t="str">
        <f>表格1[[#Headers],[三門雪櫃特佣 GR-RM469WE-PGA(B3)]]</f>
        <v>三門雪櫃特佣 GR-RM469WE-PGA(B3)</v>
      </c>
      <c r="AW2" s="115" t="str">
        <f>表格1[[#Headers],[雙門雪櫃一特佣 GR-RB449WE-PMA(57)]]</f>
        <v>雙門雪櫃一特佣 GR-RB449WE-PMA(57)</v>
      </c>
      <c r="AX2" s="115" t="str">
        <f>表格1[[#Headers],[雙門雪櫃一特佣 GR-RB410WE-PMA(06)]]</f>
        <v>雙門雪櫃一特佣 GR-RB410WE-PMA(06)</v>
      </c>
      <c r="AY2" s="115" t="str">
        <f>表格1[[#Headers],[十字門雪櫃 GR-RF698WI]]</f>
        <v>十字門雪櫃 GR-RF698WI</v>
      </c>
      <c r="AZ2" s="115" t="str">
        <f>表格1[[#Headers],[水機 TWP-W2265THK(W)]]</f>
        <v>水機 TWP-W2265THK(W)</v>
      </c>
      <c r="BA2" s="115" t="str">
        <f>表格1[[#Headers],[抽濕機特佣]]</f>
        <v>抽濕機特佣</v>
      </c>
      <c r="BB2" s="115" t="str">
        <f>表格1[[#Headers],[(Fortress ONLY)TW-T25BZU115MWH(MG) ]]</f>
        <v>(Fortress ONLY)TW-T25BZU115MWH(MG) </v>
      </c>
      <c r="BC2" s="115" t="str">
        <f>表格1[[#Headers],[開門紅(三月)]]</f>
        <v>開門紅(三月)</v>
      </c>
      <c r="BD2" s="115" t="str">
        <f>表格1[[#Headers],[開門紅(第一季)]]</f>
        <v>開門紅(第一季)</v>
      </c>
      <c r="BE2" s="115" t="str">
        <f>表格1[[#Headers],[酵活炊電飯煲特佣 RC-18AMXH(W)]]</f>
        <v>酵活炊電飯煲特佣 RC-18AMXH(W)</v>
      </c>
    </row>
    <row r="3" spans="1:57" ht="26.25">
      <c r="A3" s="116">
        <v>4</v>
      </c>
      <c r="B3" s="114" t="str">
        <f t="shared" ref="B3:B34" si="0">B2</f>
        <v>2026-03 Toshiba</v>
      </c>
      <c r="C3" s="115" t="str">
        <f>Total!C11</f>
        <v>Vicky L</v>
      </c>
      <c r="D3" s="115" t="str">
        <f>Total!D11</f>
        <v>Leung Ching</v>
      </c>
      <c r="E3" s="115">
        <f>Total!E11</f>
        <v>20851</v>
      </c>
      <c r="F3" s="115" t="str">
        <f>Total!F11</f>
        <v>Diamond Hill Fortress</v>
      </c>
      <c r="G3" s="115" t="str">
        <f>Total!G11</f>
        <v>Mar/1-2,4,6-8,13-19,21-31</v>
      </c>
      <c r="H3" s="115">
        <f>Total!H11</f>
        <v>24</v>
      </c>
      <c r="I3" s="115">
        <f>Total!I11</f>
        <v>192</v>
      </c>
      <c r="J3" s="115">
        <f>Total!J11</f>
        <v>60</v>
      </c>
      <c r="K3" s="115">
        <f>Total!K11</f>
        <v>11520</v>
      </c>
      <c r="L3" s="115">
        <f>Total!L11</f>
        <v>503165</v>
      </c>
      <c r="M3" s="115">
        <f>Total!M11</f>
        <v>0</v>
      </c>
      <c r="N3" s="115">
        <f>Total!N11</f>
        <v>10063.300000000001</v>
      </c>
      <c r="O3" s="115">
        <f>Total!O11</f>
        <v>0</v>
      </c>
      <c r="P3" s="115">
        <f>Total!P11</f>
        <v>0</v>
      </c>
      <c r="Q3" s="115">
        <f>Total!Q11</f>
        <v>0</v>
      </c>
      <c r="R3" s="115">
        <f>Total!R11</f>
        <v>0</v>
      </c>
      <c r="S3" s="115">
        <f>Total!S11</f>
        <v>0</v>
      </c>
      <c r="T3" s="115">
        <f>Total!T11</f>
        <v>880</v>
      </c>
      <c r="U3" s="115">
        <f>Total!U11</f>
        <v>0</v>
      </c>
      <c r="V3" s="115">
        <f>Total!V11</f>
        <v>0</v>
      </c>
      <c r="W3" s="115">
        <f>Total!W11</f>
        <v>0</v>
      </c>
      <c r="X3" s="115">
        <f>Total!X11</f>
        <v>0</v>
      </c>
      <c r="Y3" s="115">
        <f>Total!Y11</f>
        <v>0</v>
      </c>
      <c r="Z3" s="115">
        <f>Total!Z11</f>
        <v>0</v>
      </c>
      <c r="AA3" s="115">
        <f>Total!AA11</f>
        <v>0</v>
      </c>
      <c r="AB3" s="115">
        <f>Total!AB11</f>
        <v>0</v>
      </c>
      <c r="AC3" s="115">
        <f>Total!AC11</f>
        <v>0</v>
      </c>
      <c r="AD3" s="115">
        <f>Total!AD11</f>
        <v>500</v>
      </c>
      <c r="AE3" s="115">
        <f>Total!AE11</f>
        <v>1000</v>
      </c>
      <c r="AF3" s="115">
        <f>Total!AF11</f>
        <v>0</v>
      </c>
      <c r="AG3" s="115">
        <f>Total!AH11</f>
        <v>23963</v>
      </c>
      <c r="AO3" s="115" t="str">
        <f>表格1[[#Headers],[日本飯煲 RC-DS10K/18K]]</f>
        <v>日本飯煲 RC-DS10K/18K</v>
      </c>
      <c r="AP3" s="115" t="str">
        <f>表格1[[#Headers],[酵活炊電飯煲特佣 RC-18AMXH(W)]]</f>
        <v>酵活炊電飯煲特佣 RC-18AMXH(W)</v>
      </c>
      <c r="AQ3" s="115" t="str">
        <f>表格1[[#Headers],[嵌入式微波氣炸蒸焗爐特佣 EB-T500APW]]</f>
        <v>嵌入式微波氣炸蒸焗爐特佣 EB-T500APW</v>
      </c>
      <c r="AR3" s="115" t="str">
        <f>表格1[[#Headers],[蒸氣烤焗水波爐特佣 ER-VD7000HK(XK)]]</f>
        <v>蒸氣烤焗水波爐特佣 ER-VD7000HK(XK)</v>
      </c>
      <c r="AS3" s="115" t="str">
        <f>表格1[[#Headers],[TWDT21BU95 ]]</f>
        <v xml:space="preserve">TWDT21BU95 </v>
      </c>
      <c r="AT3" s="115" t="str">
        <f>表格1[[#Headers],[日式洗衣機一特佣 AW-Q800APH(WW)]]</f>
        <v>日式洗衣機一特佣 AW-Q800APH(WW)</v>
      </c>
      <c r="AU3" s="115" t="str">
        <f>表格1[[#Headers],[日式洗衣機二特佣 AW-Q801APH(WW)]]</f>
        <v>日式洗衣機二特佣 AW-Q801APH(WW)</v>
      </c>
      <c r="AV3" s="115" t="str">
        <f>表格1[[#Headers],[三門雪櫃特佣 GR-RM469WE-PGA(B3)]]</f>
        <v>三門雪櫃特佣 GR-RM469WE-PGA(B3)</v>
      </c>
      <c r="AW3" s="115" t="str">
        <f>表格1[[#Headers],[雙門雪櫃一特佣 GR-RB449WE-PMA(57)]]</f>
        <v>雙門雪櫃一特佣 GR-RB449WE-PMA(57)</v>
      </c>
      <c r="AX3" s="115" t="str">
        <f>表格1[[#Headers],[雙門雪櫃一特佣 GR-RB410WE-PMA(06)]]</f>
        <v>雙門雪櫃一特佣 GR-RB410WE-PMA(06)</v>
      </c>
      <c r="AY3" s="115" t="str">
        <f>表格1[[#Headers],[十字門雪櫃 GR-RF698WI]]</f>
        <v>十字門雪櫃 GR-RF698WI</v>
      </c>
      <c r="AZ3" s="115" t="str">
        <f>表格1[[#Headers],[水機 TWP-W2265THK(W)]]</f>
        <v>水機 TWP-W2265THK(W)</v>
      </c>
      <c r="BA3" s="115" t="str">
        <f>表格1[[#Headers],[抽濕機特佣]]</f>
        <v>抽濕機特佣</v>
      </c>
      <c r="BB3" s="115" t="str">
        <f>表格1[[#Headers],[(Fortress ONLY)TW-T25BZU115MWH(MG) ]]</f>
        <v>(Fortress ONLY)TW-T25BZU115MWH(MG) </v>
      </c>
      <c r="BC3" s="115" t="str">
        <f>表格1[[#Headers],[開門紅(三月)]]</f>
        <v>開門紅(三月)</v>
      </c>
      <c r="BD3" s="115" t="str">
        <f>表格1[[#Headers],[開門紅(第一季)]]</f>
        <v>開門紅(第一季)</v>
      </c>
      <c r="BE3" s="115" t="str">
        <f>表格1[[#Headers],[酵活炊電飯煲特佣 RC-18AMXH(W)]]</f>
        <v>酵活炊電飯煲特佣 RC-18AMXH(W)</v>
      </c>
    </row>
    <row r="4" spans="1:57" ht="26.25">
      <c r="A4" s="114">
        <v>6</v>
      </c>
      <c r="B4" s="114" t="str">
        <f t="shared" si="0"/>
        <v>2026-03 Toshiba</v>
      </c>
      <c r="C4" s="115" t="str">
        <f>Total!C13</f>
        <v>Jessica</v>
      </c>
      <c r="D4" s="115" t="str">
        <f>Total!D13</f>
        <v>Chiu Kan</v>
      </c>
      <c r="E4" s="115">
        <f>Total!E13</f>
        <v>20852</v>
      </c>
      <c r="F4" s="115" t="str">
        <f>Total!F13</f>
        <v>Whampoa Aeon</v>
      </c>
      <c r="G4" s="115" t="str">
        <f>Total!G13</f>
        <v>Mar/1-3,6-9,12-15,19-24,27-28,31</v>
      </c>
      <c r="H4" s="115">
        <f>Total!H13</f>
        <v>20</v>
      </c>
      <c r="I4" s="115">
        <f>Total!I13</f>
        <v>160</v>
      </c>
      <c r="J4" s="115">
        <f>Total!J13</f>
        <v>55</v>
      </c>
      <c r="K4" s="115">
        <f>Total!K13</f>
        <v>8800</v>
      </c>
      <c r="L4" s="115">
        <f>Total!L13</f>
        <v>419085.20000000007</v>
      </c>
      <c r="M4" s="115">
        <f>Total!M13</f>
        <v>0</v>
      </c>
      <c r="N4" s="115">
        <f>Total!N13</f>
        <v>8381.7040000000015</v>
      </c>
      <c r="O4" s="115">
        <f>Total!O13</f>
        <v>1600</v>
      </c>
      <c r="P4" s="115">
        <f>Total!P13</f>
        <v>0</v>
      </c>
      <c r="Q4" s="115">
        <f>Total!Q13</f>
        <v>0</v>
      </c>
      <c r="R4" s="115">
        <f>Total!R13</f>
        <v>0</v>
      </c>
      <c r="S4" s="115">
        <f>Total!S13</f>
        <v>0</v>
      </c>
      <c r="T4" s="115">
        <f>Total!T13</f>
        <v>0</v>
      </c>
      <c r="U4" s="115">
        <f>Total!U13</f>
        <v>0</v>
      </c>
      <c r="V4" s="115">
        <f>Total!V13</f>
        <v>0</v>
      </c>
      <c r="W4" s="115">
        <f>Total!W13</f>
        <v>0</v>
      </c>
      <c r="X4" s="115">
        <f>Total!X13</f>
        <v>0</v>
      </c>
      <c r="Y4" s="115">
        <f>Total!Y13</f>
        <v>0</v>
      </c>
      <c r="Z4" s="115">
        <f>Total!Z13</f>
        <v>0</v>
      </c>
      <c r="AA4" s="115">
        <f>Total!AA13</f>
        <v>200</v>
      </c>
      <c r="AB4" s="115">
        <f>Total!AB13</f>
        <v>0</v>
      </c>
      <c r="AC4" s="115">
        <f>Total!AC13</f>
        <v>0</v>
      </c>
      <c r="AD4" s="115">
        <f>Total!AD13</f>
        <v>0</v>
      </c>
      <c r="AE4" s="115">
        <f>Total!AE13</f>
        <v>0</v>
      </c>
      <c r="AF4" s="115">
        <f>Total!AF13</f>
        <v>0</v>
      </c>
      <c r="AG4" s="115">
        <f>Total!AH13</f>
        <v>18982</v>
      </c>
      <c r="AO4" s="115" t="str">
        <f>表格1[[#Headers],[日本飯煲 RC-DS10K/18K]]</f>
        <v>日本飯煲 RC-DS10K/18K</v>
      </c>
      <c r="AP4" s="115" t="str">
        <f>表格1[[#Headers],[酵活炊電飯煲特佣 RC-18AMXH(W)]]</f>
        <v>酵活炊電飯煲特佣 RC-18AMXH(W)</v>
      </c>
      <c r="AQ4" s="115" t="str">
        <f>表格1[[#Headers],[嵌入式微波氣炸蒸焗爐特佣 EB-T500APW]]</f>
        <v>嵌入式微波氣炸蒸焗爐特佣 EB-T500APW</v>
      </c>
      <c r="AR4" s="115" t="str">
        <f>表格1[[#Headers],[蒸氣烤焗水波爐特佣 ER-VD7000HK(XK)]]</f>
        <v>蒸氣烤焗水波爐特佣 ER-VD7000HK(XK)</v>
      </c>
      <c r="AS4" s="115" t="str">
        <f>表格1[[#Headers],[TWDT21BU95 ]]</f>
        <v xml:space="preserve">TWDT21BU95 </v>
      </c>
      <c r="AT4" s="115" t="str">
        <f>表格1[[#Headers],[日式洗衣機一特佣 AW-Q800APH(WW)]]</f>
        <v>日式洗衣機一特佣 AW-Q800APH(WW)</v>
      </c>
      <c r="AU4" s="115" t="str">
        <f>表格1[[#Headers],[日式洗衣機二特佣 AW-Q801APH(WW)]]</f>
        <v>日式洗衣機二特佣 AW-Q801APH(WW)</v>
      </c>
      <c r="AV4" s="115" t="str">
        <f>表格1[[#Headers],[三門雪櫃特佣 GR-RM469WE-PGA(B3)]]</f>
        <v>三門雪櫃特佣 GR-RM469WE-PGA(B3)</v>
      </c>
      <c r="AW4" s="115" t="str">
        <f>表格1[[#Headers],[雙門雪櫃一特佣 GR-RB449WE-PMA(57)]]</f>
        <v>雙門雪櫃一特佣 GR-RB449WE-PMA(57)</v>
      </c>
      <c r="AX4" s="115" t="str">
        <f>表格1[[#Headers],[雙門雪櫃一特佣 GR-RB410WE-PMA(06)]]</f>
        <v>雙門雪櫃一特佣 GR-RB410WE-PMA(06)</v>
      </c>
      <c r="AY4" s="115" t="str">
        <f>表格1[[#Headers],[十字門雪櫃 GR-RF698WI]]</f>
        <v>十字門雪櫃 GR-RF698WI</v>
      </c>
      <c r="AZ4" s="115" t="str">
        <f>表格1[[#Headers],[水機 TWP-W2265THK(W)]]</f>
        <v>水機 TWP-W2265THK(W)</v>
      </c>
      <c r="BA4" s="115" t="str">
        <f>表格1[[#Headers],[抽濕機特佣]]</f>
        <v>抽濕機特佣</v>
      </c>
      <c r="BB4" s="115" t="str">
        <f>表格1[[#Headers],[(Fortress ONLY)TW-T25BZU115MWH(MG) ]]</f>
        <v>(Fortress ONLY)TW-T25BZU115MWH(MG) </v>
      </c>
      <c r="BC4" s="115" t="str">
        <f>表格1[[#Headers],[開門紅(三月)]]</f>
        <v>開門紅(三月)</v>
      </c>
      <c r="BD4" s="115" t="str">
        <f>表格1[[#Headers],[開門紅(第一季)]]</f>
        <v>開門紅(第一季)</v>
      </c>
      <c r="BE4" s="115" t="str">
        <f>表格1[[#Headers],[酵活炊電飯煲特佣 RC-18AMXH(W)]]</f>
        <v>酵活炊電飯煲特佣 RC-18AMXH(W)</v>
      </c>
    </row>
    <row r="5" spans="1:57" ht="26.25">
      <c r="A5" s="114">
        <v>7</v>
      </c>
      <c r="B5" s="114" t="str">
        <f t="shared" si="0"/>
        <v>2026-03 Toshiba</v>
      </c>
      <c r="C5" s="115" t="str">
        <f>Total!C14</f>
        <v>Kitty Yeung</v>
      </c>
      <c r="D5" s="115" t="str">
        <f>Total!D14</f>
        <v>Yeung Lai Shan</v>
      </c>
      <c r="E5" s="115">
        <f>Total!E14</f>
        <v>20853</v>
      </c>
      <c r="F5" s="115" t="str">
        <f>Total!F14</f>
        <v>TKW Suning</v>
      </c>
      <c r="G5" s="115" t="str">
        <f>Total!G14</f>
        <v>Mar/1-4,7-11,14-17,21-25,28-31</v>
      </c>
      <c r="H5" s="115">
        <f>Total!H14</f>
        <v>22</v>
      </c>
      <c r="I5" s="115">
        <f>Total!I14</f>
        <v>176</v>
      </c>
      <c r="J5" s="115">
        <f>Total!J14</f>
        <v>60</v>
      </c>
      <c r="K5" s="115">
        <f>Total!K14</f>
        <v>10560</v>
      </c>
      <c r="L5" s="115">
        <f>Total!L14</f>
        <v>234404</v>
      </c>
      <c r="M5" s="115">
        <f>Total!M14</f>
        <v>0</v>
      </c>
      <c r="N5" s="115">
        <f>Total!N14</f>
        <v>4688.08</v>
      </c>
      <c r="O5" s="115">
        <f>Total!O14</f>
        <v>0</v>
      </c>
      <c r="P5" s="115">
        <f>Total!P14</f>
        <v>0</v>
      </c>
      <c r="Q5" s="115">
        <f>Total!Q14</f>
        <v>0</v>
      </c>
      <c r="R5" s="115">
        <f>Total!R14</f>
        <v>0</v>
      </c>
      <c r="S5" s="115">
        <f>Total!S14</f>
        <v>0</v>
      </c>
      <c r="T5" s="115">
        <f>Total!T14</f>
        <v>0</v>
      </c>
      <c r="U5" s="115">
        <f>Total!U14</f>
        <v>0</v>
      </c>
      <c r="V5" s="115">
        <f>Total!V14</f>
        <v>250</v>
      </c>
      <c r="W5" s="115">
        <f>Total!W14</f>
        <v>0</v>
      </c>
      <c r="X5" s="115">
        <f>Total!X14</f>
        <v>0</v>
      </c>
      <c r="Y5" s="115">
        <f>Total!Y14</f>
        <v>0</v>
      </c>
      <c r="Z5" s="115">
        <f>Total!Z14</f>
        <v>0</v>
      </c>
      <c r="AA5" s="115">
        <f>Total!AA14</f>
        <v>0</v>
      </c>
      <c r="AB5" s="115">
        <f>Total!AB14</f>
        <v>0</v>
      </c>
      <c r="AC5" s="115">
        <f>Total!AC14</f>
        <v>0</v>
      </c>
      <c r="AD5" s="115">
        <f>Total!AD14</f>
        <v>500</v>
      </c>
      <c r="AE5" s="115">
        <f>Total!AE14</f>
        <v>0</v>
      </c>
      <c r="AF5" s="115">
        <f>Total!AF14</f>
        <v>0</v>
      </c>
      <c r="AG5" s="115">
        <f>Total!AH14</f>
        <v>15998</v>
      </c>
      <c r="AO5" s="115" t="str">
        <f>表格1[[#Headers],[日本飯煲 RC-DS10K/18K]]</f>
        <v>日本飯煲 RC-DS10K/18K</v>
      </c>
      <c r="AP5" s="115" t="str">
        <f>表格1[[#Headers],[酵活炊電飯煲特佣 RC-18AMXH(W)]]</f>
        <v>酵活炊電飯煲特佣 RC-18AMXH(W)</v>
      </c>
      <c r="AQ5" s="115" t="str">
        <f>表格1[[#Headers],[嵌入式微波氣炸蒸焗爐特佣 EB-T500APW]]</f>
        <v>嵌入式微波氣炸蒸焗爐特佣 EB-T500APW</v>
      </c>
      <c r="AR5" s="115" t="str">
        <f>表格1[[#Headers],[蒸氣烤焗水波爐特佣 ER-VD7000HK(XK)]]</f>
        <v>蒸氣烤焗水波爐特佣 ER-VD7000HK(XK)</v>
      </c>
      <c r="AS5" s="115" t="str">
        <f>表格1[[#Headers],[TWDT21BU95 ]]</f>
        <v xml:space="preserve">TWDT21BU95 </v>
      </c>
      <c r="AT5" s="115" t="str">
        <f>表格1[[#Headers],[日式洗衣機一特佣 AW-Q800APH(WW)]]</f>
        <v>日式洗衣機一特佣 AW-Q800APH(WW)</v>
      </c>
      <c r="AU5" s="115" t="str">
        <f>表格1[[#Headers],[日式洗衣機二特佣 AW-Q801APH(WW)]]</f>
        <v>日式洗衣機二特佣 AW-Q801APH(WW)</v>
      </c>
      <c r="AV5" s="115" t="str">
        <f>表格1[[#Headers],[三門雪櫃特佣 GR-RM469WE-PGA(B3)]]</f>
        <v>三門雪櫃特佣 GR-RM469WE-PGA(B3)</v>
      </c>
      <c r="AW5" s="115" t="str">
        <f>表格1[[#Headers],[雙門雪櫃一特佣 GR-RB449WE-PMA(57)]]</f>
        <v>雙門雪櫃一特佣 GR-RB449WE-PMA(57)</v>
      </c>
      <c r="AX5" s="115" t="str">
        <f>表格1[[#Headers],[雙門雪櫃一特佣 GR-RB410WE-PMA(06)]]</f>
        <v>雙門雪櫃一特佣 GR-RB410WE-PMA(06)</v>
      </c>
      <c r="AY5" s="115" t="str">
        <f>表格1[[#Headers],[十字門雪櫃 GR-RF698WI]]</f>
        <v>十字門雪櫃 GR-RF698WI</v>
      </c>
      <c r="AZ5" s="115" t="str">
        <f>表格1[[#Headers],[水機 TWP-W2265THK(W)]]</f>
        <v>水機 TWP-W2265THK(W)</v>
      </c>
      <c r="BA5" s="115" t="str">
        <f>表格1[[#Headers],[抽濕機特佣]]</f>
        <v>抽濕機特佣</v>
      </c>
      <c r="BB5" s="115" t="str">
        <f>表格1[[#Headers],[(Fortress ONLY)TW-T25BZU115MWH(MG) ]]</f>
        <v>(Fortress ONLY)TW-T25BZU115MWH(MG) </v>
      </c>
      <c r="BC5" s="115" t="str">
        <f>表格1[[#Headers],[開門紅(三月)]]</f>
        <v>開門紅(三月)</v>
      </c>
      <c r="BD5" s="115" t="str">
        <f>表格1[[#Headers],[開門紅(第一季)]]</f>
        <v>開門紅(第一季)</v>
      </c>
      <c r="BE5" s="115" t="str">
        <f>表格1[[#Headers],[酵活炊電飯煲特佣 RC-18AMXH(W)]]</f>
        <v>酵活炊電飯煲特佣 RC-18AMXH(W)</v>
      </c>
    </row>
    <row r="6" spans="1:57" ht="26.25">
      <c r="A6" s="114">
        <v>8</v>
      </c>
      <c r="B6" s="114" t="str">
        <f t="shared" si="0"/>
        <v>2026-03 Toshiba</v>
      </c>
      <c r="C6" s="115" t="str">
        <f>Total!C15</f>
        <v>Amy Or_1</v>
      </c>
      <c r="D6" s="115" t="str">
        <f>Total!D15</f>
        <v>Or Sim Kiu</v>
      </c>
      <c r="E6" s="115">
        <f>Total!E15</f>
        <v>20854</v>
      </c>
      <c r="F6" s="115" t="str">
        <f>Total!F15</f>
        <v>Tai koo Broadway</v>
      </c>
      <c r="G6" s="115" t="str">
        <f>Total!G15</f>
        <v>Mar/1,7,28-29</v>
      </c>
      <c r="H6" s="115">
        <f>Total!H15</f>
        <v>4</v>
      </c>
      <c r="I6" s="115">
        <f>Total!I15</f>
        <v>32</v>
      </c>
      <c r="J6" s="115">
        <f>Total!J15</f>
        <v>55</v>
      </c>
      <c r="K6" s="115">
        <f>Total!K15</f>
        <v>1760</v>
      </c>
      <c r="L6" s="115">
        <f>Total!L15</f>
        <v>82154</v>
      </c>
      <c r="M6" s="115">
        <f>Total!M15</f>
        <v>0</v>
      </c>
      <c r="N6" s="115">
        <f>Total!N15</f>
        <v>1643.08</v>
      </c>
      <c r="O6" s="115">
        <f>Total!O15</f>
        <v>360</v>
      </c>
      <c r="P6" s="115">
        <f>Total!P15</f>
        <v>0</v>
      </c>
      <c r="Q6" s="115">
        <f>Total!Q15</f>
        <v>0</v>
      </c>
      <c r="R6" s="115">
        <f>Total!R15</f>
        <v>0</v>
      </c>
      <c r="S6" s="115">
        <f>Total!S15</f>
        <v>0</v>
      </c>
      <c r="T6" s="115">
        <f>Total!T15</f>
        <v>0</v>
      </c>
      <c r="U6" s="115">
        <f>Total!U15</f>
        <v>0</v>
      </c>
      <c r="V6" s="115">
        <f>Total!V15</f>
        <v>0</v>
      </c>
      <c r="W6" s="115">
        <f>Total!W15</f>
        <v>0</v>
      </c>
      <c r="X6" s="115">
        <f>Total!X15</f>
        <v>0</v>
      </c>
      <c r="Y6" s="115">
        <f>Total!Y15</f>
        <v>0</v>
      </c>
      <c r="Z6" s="115">
        <f>Total!Z15</f>
        <v>0</v>
      </c>
      <c r="AA6" s="115">
        <f>Total!AA15</f>
        <v>0</v>
      </c>
      <c r="AB6" s="115">
        <f>Total!AB15</f>
        <v>0</v>
      </c>
      <c r="AC6" s="115">
        <f>Total!AC15</f>
        <v>0</v>
      </c>
      <c r="AD6" s="115">
        <f>Total!AD15</f>
        <v>0</v>
      </c>
      <c r="AE6" s="115">
        <f>Total!AE15</f>
        <v>0</v>
      </c>
      <c r="AF6" s="115">
        <f>Total!AF15</f>
        <v>0</v>
      </c>
      <c r="AG6" s="115">
        <f>Total!AH15</f>
        <v>3763</v>
      </c>
      <c r="AO6" s="115" t="str">
        <f>表格1[[#Headers],[日本飯煲 RC-DS10K/18K]]</f>
        <v>日本飯煲 RC-DS10K/18K</v>
      </c>
      <c r="AP6" s="115" t="str">
        <f>表格1[[#Headers],[酵活炊電飯煲特佣 RC-18AMXH(W)]]</f>
        <v>酵活炊電飯煲特佣 RC-18AMXH(W)</v>
      </c>
      <c r="AQ6" s="115" t="str">
        <f>表格1[[#Headers],[嵌入式微波氣炸蒸焗爐特佣 EB-T500APW]]</f>
        <v>嵌入式微波氣炸蒸焗爐特佣 EB-T500APW</v>
      </c>
      <c r="AR6" s="115" t="str">
        <f>表格1[[#Headers],[蒸氣烤焗水波爐特佣 ER-VD7000HK(XK)]]</f>
        <v>蒸氣烤焗水波爐特佣 ER-VD7000HK(XK)</v>
      </c>
      <c r="AS6" s="115" t="str">
        <f>表格1[[#Headers],[TWDT21BU95 ]]</f>
        <v xml:space="preserve">TWDT21BU95 </v>
      </c>
      <c r="AT6" s="115" t="str">
        <f>表格1[[#Headers],[日式洗衣機一特佣 AW-Q800APH(WW)]]</f>
        <v>日式洗衣機一特佣 AW-Q800APH(WW)</v>
      </c>
      <c r="AU6" s="115" t="str">
        <f>表格1[[#Headers],[日式洗衣機二特佣 AW-Q801APH(WW)]]</f>
        <v>日式洗衣機二特佣 AW-Q801APH(WW)</v>
      </c>
      <c r="AV6" s="115" t="str">
        <f>表格1[[#Headers],[三門雪櫃特佣 GR-RM469WE-PGA(B3)]]</f>
        <v>三門雪櫃特佣 GR-RM469WE-PGA(B3)</v>
      </c>
      <c r="AW6" s="115" t="str">
        <f>表格1[[#Headers],[雙門雪櫃一特佣 GR-RB449WE-PMA(57)]]</f>
        <v>雙門雪櫃一特佣 GR-RB449WE-PMA(57)</v>
      </c>
      <c r="AX6" s="115" t="str">
        <f>表格1[[#Headers],[雙門雪櫃一特佣 GR-RB410WE-PMA(06)]]</f>
        <v>雙門雪櫃一特佣 GR-RB410WE-PMA(06)</v>
      </c>
      <c r="AY6" s="115" t="str">
        <f>表格1[[#Headers],[十字門雪櫃 GR-RF698WI]]</f>
        <v>十字門雪櫃 GR-RF698WI</v>
      </c>
      <c r="AZ6" s="115" t="str">
        <f>表格1[[#Headers],[水機 TWP-W2265THK(W)]]</f>
        <v>水機 TWP-W2265THK(W)</v>
      </c>
      <c r="BA6" s="115" t="str">
        <f>表格1[[#Headers],[抽濕機特佣]]</f>
        <v>抽濕機特佣</v>
      </c>
      <c r="BB6" s="115" t="str">
        <f>表格1[[#Headers],[(Fortress ONLY)TW-T25BZU115MWH(MG) ]]</f>
        <v>(Fortress ONLY)TW-T25BZU115MWH(MG) </v>
      </c>
      <c r="BC6" s="115" t="str">
        <f>表格1[[#Headers],[開門紅(三月)]]</f>
        <v>開門紅(三月)</v>
      </c>
      <c r="BD6" s="115" t="str">
        <f>表格1[[#Headers],[開門紅(第一季)]]</f>
        <v>開門紅(第一季)</v>
      </c>
      <c r="BE6" s="115" t="str">
        <f>表格1[[#Headers],[酵活炊電飯煲特佣 RC-18AMXH(W)]]</f>
        <v>酵活炊電飯煲特佣 RC-18AMXH(W)</v>
      </c>
    </row>
    <row r="7" spans="1:57" ht="26.25">
      <c r="A7" s="114">
        <v>11</v>
      </c>
      <c r="B7" s="114" t="str">
        <f t="shared" si="0"/>
        <v>2026-03 Toshiba</v>
      </c>
      <c r="C7" s="115" t="str">
        <f>Total!C18</f>
        <v>Shan_1</v>
      </c>
      <c r="D7" s="115" t="str">
        <f>Total!D18</f>
        <v>Chiu Fung Shan</v>
      </c>
      <c r="E7" s="115">
        <f>Total!E18</f>
        <v>20855</v>
      </c>
      <c r="F7" s="115" t="str">
        <f>Total!F18</f>
        <v>TW_1 Citistore</v>
      </c>
      <c r="G7" s="115" t="str">
        <f>Total!G18</f>
        <v>Mar/1-2,5-10,14-17,20-23</v>
      </c>
      <c r="H7" s="115">
        <f>Total!H18</f>
        <v>16</v>
      </c>
      <c r="I7" s="115">
        <f>Total!I18</f>
        <v>144</v>
      </c>
      <c r="J7" s="115">
        <f>Total!J18</f>
        <v>60</v>
      </c>
      <c r="K7" s="115">
        <f>Total!K18</f>
        <v>8640</v>
      </c>
      <c r="L7" s="115">
        <f>Total!L18</f>
        <v>134544</v>
      </c>
      <c r="M7" s="115">
        <f>Total!M18</f>
        <v>0</v>
      </c>
      <c r="N7" s="115">
        <f>Total!N18</f>
        <v>2690.88</v>
      </c>
      <c r="O7" s="115">
        <f>Total!O18</f>
        <v>0</v>
      </c>
      <c r="P7" s="115">
        <f>Total!P18</f>
        <v>0</v>
      </c>
      <c r="Q7" s="115">
        <f>Total!Q18</f>
        <v>0</v>
      </c>
      <c r="R7" s="115">
        <f>Total!R18</f>
        <v>0</v>
      </c>
      <c r="S7" s="115">
        <f>Total!S18</f>
        <v>0</v>
      </c>
      <c r="T7" s="115">
        <f>Total!T18</f>
        <v>0</v>
      </c>
      <c r="U7" s="115">
        <f>Total!U18</f>
        <v>0</v>
      </c>
      <c r="V7" s="115">
        <f>Total!V18</f>
        <v>0</v>
      </c>
      <c r="W7" s="115">
        <f>Total!W18</f>
        <v>0</v>
      </c>
      <c r="X7" s="115">
        <f>Total!X18</f>
        <v>0</v>
      </c>
      <c r="Y7" s="115">
        <f>Total!Y18</f>
        <v>0</v>
      </c>
      <c r="Z7" s="115">
        <f>Total!Z18</f>
        <v>0</v>
      </c>
      <c r="AA7" s="115">
        <f>Total!AA18</f>
        <v>0</v>
      </c>
      <c r="AB7" s="115">
        <f>Total!AB18</f>
        <v>0</v>
      </c>
      <c r="AC7" s="115">
        <f>Total!AC18</f>
        <v>0</v>
      </c>
      <c r="AD7" s="115">
        <f>Total!AD18</f>
        <v>0</v>
      </c>
      <c r="AE7" s="115">
        <f>Total!AE18</f>
        <v>0</v>
      </c>
      <c r="AF7" s="115">
        <f>Total!AF18</f>
        <v>0</v>
      </c>
      <c r="AG7" s="115">
        <f>Total!AH18</f>
        <v>11331</v>
      </c>
      <c r="AO7" s="115" t="str">
        <f>表格1[[#Headers],[日本飯煲 RC-DS10K/18K]]</f>
        <v>日本飯煲 RC-DS10K/18K</v>
      </c>
      <c r="AP7" s="115" t="str">
        <f>表格1[[#Headers],[酵活炊電飯煲特佣 RC-18AMXH(W)]]</f>
        <v>酵活炊電飯煲特佣 RC-18AMXH(W)</v>
      </c>
      <c r="AQ7" s="115" t="str">
        <f>表格1[[#Headers],[嵌入式微波氣炸蒸焗爐特佣 EB-T500APW]]</f>
        <v>嵌入式微波氣炸蒸焗爐特佣 EB-T500APW</v>
      </c>
      <c r="AR7" s="115" t="str">
        <f>表格1[[#Headers],[蒸氣烤焗水波爐特佣 ER-VD7000HK(XK)]]</f>
        <v>蒸氣烤焗水波爐特佣 ER-VD7000HK(XK)</v>
      </c>
      <c r="AS7" s="115" t="str">
        <f>表格1[[#Headers],[TWDT21BU95 ]]</f>
        <v xml:space="preserve">TWDT21BU95 </v>
      </c>
      <c r="AT7" s="115" t="str">
        <f>表格1[[#Headers],[日式洗衣機一特佣 AW-Q800APH(WW)]]</f>
        <v>日式洗衣機一特佣 AW-Q800APH(WW)</v>
      </c>
      <c r="AU7" s="115" t="str">
        <f>表格1[[#Headers],[日式洗衣機二特佣 AW-Q801APH(WW)]]</f>
        <v>日式洗衣機二特佣 AW-Q801APH(WW)</v>
      </c>
      <c r="AV7" s="115" t="str">
        <f>表格1[[#Headers],[三門雪櫃特佣 GR-RM469WE-PGA(B3)]]</f>
        <v>三門雪櫃特佣 GR-RM469WE-PGA(B3)</v>
      </c>
      <c r="AW7" s="115" t="str">
        <f>表格1[[#Headers],[雙門雪櫃一特佣 GR-RB449WE-PMA(57)]]</f>
        <v>雙門雪櫃一特佣 GR-RB449WE-PMA(57)</v>
      </c>
      <c r="AX7" s="115" t="str">
        <f>表格1[[#Headers],[雙門雪櫃一特佣 GR-RB410WE-PMA(06)]]</f>
        <v>雙門雪櫃一特佣 GR-RB410WE-PMA(06)</v>
      </c>
      <c r="AY7" s="115" t="str">
        <f>表格1[[#Headers],[十字門雪櫃 GR-RF698WI]]</f>
        <v>十字門雪櫃 GR-RF698WI</v>
      </c>
      <c r="AZ7" s="115" t="str">
        <f>表格1[[#Headers],[水機 TWP-W2265THK(W)]]</f>
        <v>水機 TWP-W2265THK(W)</v>
      </c>
      <c r="BA7" s="115" t="str">
        <f>表格1[[#Headers],[抽濕機特佣]]</f>
        <v>抽濕機特佣</v>
      </c>
      <c r="BB7" s="115" t="str">
        <f>表格1[[#Headers],[(Fortress ONLY)TW-T25BZU115MWH(MG) ]]</f>
        <v>(Fortress ONLY)TW-T25BZU115MWH(MG) </v>
      </c>
      <c r="BC7" s="115" t="str">
        <f>表格1[[#Headers],[開門紅(三月)]]</f>
        <v>開門紅(三月)</v>
      </c>
      <c r="BD7" s="115" t="str">
        <f>表格1[[#Headers],[開門紅(第一季)]]</f>
        <v>開門紅(第一季)</v>
      </c>
      <c r="BE7" s="115" t="str">
        <f>表格1[[#Headers],[酵活炊電飯煲特佣 RC-18AMXH(W)]]</f>
        <v>酵活炊電飯煲特佣 RC-18AMXH(W)</v>
      </c>
    </row>
    <row r="8" spans="1:57" ht="26.25">
      <c r="A8" s="114">
        <v>14</v>
      </c>
      <c r="B8" s="114" t="str">
        <f t="shared" si="0"/>
        <v>2026-03 Toshiba</v>
      </c>
      <c r="C8" s="115" t="str">
        <f>Total!C21</f>
        <v>Shan_2</v>
      </c>
      <c r="D8" s="115" t="str">
        <f>Total!D21</f>
        <v>Chiu Fung Shan</v>
      </c>
      <c r="E8" s="115">
        <f>Total!E21</f>
        <v>20856</v>
      </c>
      <c r="F8" s="115" t="str">
        <f>Total!F21</f>
        <v>TW RS_1 Citistore</v>
      </c>
      <c r="G8" s="115" t="str">
        <f>Total!G21</f>
        <v>Mar/25-31</v>
      </c>
      <c r="H8" s="115">
        <f>Total!H21</f>
        <v>7</v>
      </c>
      <c r="I8" s="115">
        <f>Total!I21</f>
        <v>56</v>
      </c>
      <c r="J8" s="115">
        <f>Total!J21</f>
        <v>60</v>
      </c>
      <c r="K8" s="115">
        <f>Total!K21</f>
        <v>3360</v>
      </c>
      <c r="L8" s="115">
        <f>Total!L21</f>
        <v>151474.6</v>
      </c>
      <c r="M8" s="115">
        <f>Total!M21</f>
        <v>0</v>
      </c>
      <c r="N8" s="115">
        <f>Total!N21</f>
        <v>3029.4920000000002</v>
      </c>
      <c r="O8" s="115">
        <f>Total!O21</f>
        <v>0</v>
      </c>
      <c r="P8" s="115">
        <f>Total!P21</f>
        <v>0</v>
      </c>
      <c r="Q8" s="115">
        <f>Total!Q21</f>
        <v>0</v>
      </c>
      <c r="R8" s="115">
        <f>Total!R21</f>
        <v>0</v>
      </c>
      <c r="S8" s="115">
        <f>Total!S21</f>
        <v>0</v>
      </c>
      <c r="T8" s="115">
        <f>Total!T21</f>
        <v>0</v>
      </c>
      <c r="U8" s="115">
        <f>Total!U21</f>
        <v>0</v>
      </c>
      <c r="V8" s="115">
        <f>Total!V21</f>
        <v>0</v>
      </c>
      <c r="W8" s="115">
        <f>Total!W21</f>
        <v>0</v>
      </c>
      <c r="X8" s="115">
        <f>Total!X21</f>
        <v>0</v>
      </c>
      <c r="Y8" s="115">
        <f>Total!Y21</f>
        <v>0</v>
      </c>
      <c r="Z8" s="115">
        <f>Total!Z21</f>
        <v>0</v>
      </c>
      <c r="AA8" s="115">
        <f>Total!AA21</f>
        <v>0</v>
      </c>
      <c r="AB8" s="115">
        <f>Total!AB21</f>
        <v>0</v>
      </c>
      <c r="AC8" s="115">
        <f>Total!AC21</f>
        <v>0</v>
      </c>
      <c r="AD8" s="115">
        <f>Total!AD21</f>
        <v>0</v>
      </c>
      <c r="AE8" s="115">
        <f>Total!AE21</f>
        <v>0</v>
      </c>
      <c r="AF8" s="115">
        <f>Total!AF21</f>
        <v>0</v>
      </c>
      <c r="AG8" s="115">
        <f>Total!AH21</f>
        <v>6389</v>
      </c>
      <c r="AO8" s="115" t="str">
        <f>表格1[[#Headers],[日本飯煲 RC-DS10K/18K]]</f>
        <v>日本飯煲 RC-DS10K/18K</v>
      </c>
      <c r="AP8" s="115" t="str">
        <f>表格1[[#Headers],[酵活炊電飯煲特佣 RC-18AMXH(W)]]</f>
        <v>酵活炊電飯煲特佣 RC-18AMXH(W)</v>
      </c>
      <c r="AQ8" s="115" t="str">
        <f>表格1[[#Headers],[嵌入式微波氣炸蒸焗爐特佣 EB-T500APW]]</f>
        <v>嵌入式微波氣炸蒸焗爐特佣 EB-T500APW</v>
      </c>
      <c r="AR8" s="115" t="str">
        <f>表格1[[#Headers],[蒸氣烤焗水波爐特佣 ER-VD7000HK(XK)]]</f>
        <v>蒸氣烤焗水波爐特佣 ER-VD7000HK(XK)</v>
      </c>
      <c r="AS8" s="115" t="str">
        <f>表格1[[#Headers],[TWDT21BU95 ]]</f>
        <v xml:space="preserve">TWDT21BU95 </v>
      </c>
      <c r="AT8" s="115" t="str">
        <f>表格1[[#Headers],[日式洗衣機一特佣 AW-Q800APH(WW)]]</f>
        <v>日式洗衣機一特佣 AW-Q800APH(WW)</v>
      </c>
      <c r="AU8" s="115" t="str">
        <f>表格1[[#Headers],[日式洗衣機二特佣 AW-Q801APH(WW)]]</f>
        <v>日式洗衣機二特佣 AW-Q801APH(WW)</v>
      </c>
      <c r="AV8" s="115" t="str">
        <f>表格1[[#Headers],[三門雪櫃特佣 GR-RM469WE-PGA(B3)]]</f>
        <v>三門雪櫃特佣 GR-RM469WE-PGA(B3)</v>
      </c>
      <c r="AW8" s="115" t="str">
        <f>表格1[[#Headers],[雙門雪櫃一特佣 GR-RB449WE-PMA(57)]]</f>
        <v>雙門雪櫃一特佣 GR-RB449WE-PMA(57)</v>
      </c>
      <c r="AX8" s="115" t="str">
        <f>表格1[[#Headers],[雙門雪櫃一特佣 GR-RB410WE-PMA(06)]]</f>
        <v>雙門雪櫃一特佣 GR-RB410WE-PMA(06)</v>
      </c>
      <c r="AY8" s="115" t="str">
        <f>表格1[[#Headers],[十字門雪櫃 GR-RF698WI]]</f>
        <v>十字門雪櫃 GR-RF698WI</v>
      </c>
      <c r="AZ8" s="115" t="str">
        <f>表格1[[#Headers],[水機 TWP-W2265THK(W)]]</f>
        <v>水機 TWP-W2265THK(W)</v>
      </c>
      <c r="BA8" s="115" t="str">
        <f>表格1[[#Headers],[抽濕機特佣]]</f>
        <v>抽濕機特佣</v>
      </c>
      <c r="BB8" s="115" t="str">
        <f>表格1[[#Headers],[(Fortress ONLY)TW-T25BZU115MWH(MG) ]]</f>
        <v>(Fortress ONLY)TW-T25BZU115MWH(MG) </v>
      </c>
      <c r="BC8" s="115" t="str">
        <f>表格1[[#Headers],[開門紅(三月)]]</f>
        <v>開門紅(三月)</v>
      </c>
      <c r="BD8" s="115" t="str">
        <f>表格1[[#Headers],[開門紅(第一季)]]</f>
        <v>開門紅(第一季)</v>
      </c>
      <c r="BE8" s="115" t="str">
        <f>表格1[[#Headers],[酵活炊電飯煲特佣 RC-18AMXH(W)]]</f>
        <v>酵活炊電飯煲特佣 RC-18AMXH(W)</v>
      </c>
    </row>
    <row r="9" spans="1:57" ht="26.25">
      <c r="A9" s="114">
        <v>17</v>
      </c>
      <c r="B9" s="114" t="str">
        <f t="shared" si="0"/>
        <v>2026-03 Toshiba</v>
      </c>
      <c r="C9" s="115" t="str">
        <f>Total!C24</f>
        <v>Jaco</v>
      </c>
      <c r="D9" s="115" t="str">
        <f>Total!D24</f>
        <v>Ka Kui,Jaco</v>
      </c>
      <c r="E9" s="115">
        <f>Total!E24</f>
        <v>20857</v>
      </c>
      <c r="F9" s="115" t="str">
        <f>Total!F24</f>
        <v>Tung Chun Fortress</v>
      </c>
      <c r="G9" s="115" t="str">
        <f>Total!G24</f>
        <v>Mar/2-5,7-11,14-17,20-25,29-31</v>
      </c>
      <c r="H9" s="115">
        <f>Total!H24</f>
        <v>22</v>
      </c>
      <c r="I9" s="115">
        <f>Total!I24</f>
        <v>170</v>
      </c>
      <c r="J9" s="115">
        <f>Total!J24</f>
        <v>60</v>
      </c>
      <c r="K9" s="115">
        <f>Total!K24</f>
        <v>10200</v>
      </c>
      <c r="L9" s="115">
        <f>Total!L24</f>
        <v>372105</v>
      </c>
      <c r="M9" s="115">
        <f>Total!M24</f>
        <v>0</v>
      </c>
      <c r="N9" s="115">
        <f>Total!N24</f>
        <v>7442.1</v>
      </c>
      <c r="O9" s="115">
        <f>Total!O24</f>
        <v>0</v>
      </c>
      <c r="P9" s="115">
        <f>Total!P24</f>
        <v>0</v>
      </c>
      <c r="Q9" s="115">
        <f>Total!Q24</f>
        <v>0</v>
      </c>
      <c r="R9" s="115">
        <f>Total!R24</f>
        <v>0</v>
      </c>
      <c r="S9" s="115">
        <f>Total!S24</f>
        <v>0</v>
      </c>
      <c r="T9" s="115">
        <f>Total!T24</f>
        <v>160</v>
      </c>
      <c r="U9" s="115">
        <f>Total!U24</f>
        <v>0</v>
      </c>
      <c r="V9" s="115">
        <f>Total!V24</f>
        <v>0</v>
      </c>
      <c r="W9" s="115">
        <f>Total!W24</f>
        <v>0</v>
      </c>
      <c r="X9" s="115">
        <f>Total!X24</f>
        <v>300</v>
      </c>
      <c r="Y9" s="115">
        <f>Total!Y24</f>
        <v>0</v>
      </c>
      <c r="Z9" s="115">
        <f>Total!Z24</f>
        <v>0</v>
      </c>
      <c r="AA9" s="115">
        <f>Total!AA24</f>
        <v>0</v>
      </c>
      <c r="AB9" s="115">
        <f>Total!AB24</f>
        <v>0</v>
      </c>
      <c r="AC9" s="115">
        <f>Total!AC24</f>
        <v>0</v>
      </c>
      <c r="AD9" s="115">
        <f>Total!AD24</f>
        <v>0</v>
      </c>
      <c r="AE9" s="115">
        <f>Total!AE24</f>
        <v>0</v>
      </c>
      <c r="AF9" s="115">
        <f>Total!AF24</f>
        <v>0</v>
      </c>
      <c r="AG9" s="115">
        <f>Total!AH24</f>
        <v>18102</v>
      </c>
      <c r="AO9" s="115" t="str">
        <f>表格1[[#Headers],[日本飯煲 RC-DS10K/18K]]</f>
        <v>日本飯煲 RC-DS10K/18K</v>
      </c>
      <c r="AP9" s="115" t="str">
        <f>表格1[[#Headers],[酵活炊電飯煲特佣 RC-18AMXH(W)]]</f>
        <v>酵活炊電飯煲特佣 RC-18AMXH(W)</v>
      </c>
      <c r="AQ9" s="115" t="str">
        <f>表格1[[#Headers],[嵌入式微波氣炸蒸焗爐特佣 EB-T500APW]]</f>
        <v>嵌入式微波氣炸蒸焗爐特佣 EB-T500APW</v>
      </c>
      <c r="AR9" s="115" t="str">
        <f>表格1[[#Headers],[蒸氣烤焗水波爐特佣 ER-VD7000HK(XK)]]</f>
        <v>蒸氣烤焗水波爐特佣 ER-VD7000HK(XK)</v>
      </c>
      <c r="AS9" s="115" t="str">
        <f>表格1[[#Headers],[TWDT21BU95 ]]</f>
        <v xml:space="preserve">TWDT21BU95 </v>
      </c>
      <c r="AT9" s="115" t="str">
        <f>表格1[[#Headers],[日式洗衣機一特佣 AW-Q800APH(WW)]]</f>
        <v>日式洗衣機一特佣 AW-Q800APH(WW)</v>
      </c>
      <c r="AU9" s="115" t="str">
        <f>表格1[[#Headers],[日式洗衣機二特佣 AW-Q801APH(WW)]]</f>
        <v>日式洗衣機二特佣 AW-Q801APH(WW)</v>
      </c>
      <c r="AV9" s="115" t="str">
        <f>表格1[[#Headers],[三門雪櫃特佣 GR-RM469WE-PGA(B3)]]</f>
        <v>三門雪櫃特佣 GR-RM469WE-PGA(B3)</v>
      </c>
      <c r="AW9" s="115" t="str">
        <f>表格1[[#Headers],[雙門雪櫃一特佣 GR-RB449WE-PMA(57)]]</f>
        <v>雙門雪櫃一特佣 GR-RB449WE-PMA(57)</v>
      </c>
      <c r="AX9" s="115" t="str">
        <f>表格1[[#Headers],[雙門雪櫃一特佣 GR-RB410WE-PMA(06)]]</f>
        <v>雙門雪櫃一特佣 GR-RB410WE-PMA(06)</v>
      </c>
      <c r="AY9" s="115" t="str">
        <f>表格1[[#Headers],[十字門雪櫃 GR-RF698WI]]</f>
        <v>十字門雪櫃 GR-RF698WI</v>
      </c>
      <c r="AZ9" s="115" t="str">
        <f>表格1[[#Headers],[水機 TWP-W2265THK(W)]]</f>
        <v>水機 TWP-W2265THK(W)</v>
      </c>
      <c r="BA9" s="115" t="str">
        <f>表格1[[#Headers],[抽濕機特佣]]</f>
        <v>抽濕機特佣</v>
      </c>
      <c r="BB9" s="115" t="str">
        <f>表格1[[#Headers],[(Fortress ONLY)TW-T25BZU115MWH(MG) ]]</f>
        <v>(Fortress ONLY)TW-T25BZU115MWH(MG) </v>
      </c>
      <c r="BC9" s="115" t="str">
        <f>表格1[[#Headers],[開門紅(三月)]]</f>
        <v>開門紅(三月)</v>
      </c>
      <c r="BD9" s="115" t="str">
        <f>表格1[[#Headers],[開門紅(第一季)]]</f>
        <v>開門紅(第一季)</v>
      </c>
      <c r="BE9" s="115" t="str">
        <f>表格1[[#Headers],[酵活炊電飯煲特佣 RC-18AMXH(W)]]</f>
        <v>酵活炊電飯煲特佣 RC-18AMXH(W)</v>
      </c>
    </row>
    <row r="10" spans="1:57" ht="26.25">
      <c r="A10" s="116">
        <v>21</v>
      </c>
      <c r="B10" s="114" t="str">
        <f t="shared" si="0"/>
        <v>2026-03 Toshiba</v>
      </c>
      <c r="C10" s="115" t="str">
        <f>Total!C28</f>
        <v>Lily Hon</v>
      </c>
      <c r="D10" s="115" t="str">
        <f>Total!D28</f>
        <v>Hon Lily</v>
      </c>
      <c r="E10" s="115">
        <f>Total!E28</f>
        <v>20858</v>
      </c>
      <c r="F10" s="115" t="str">
        <f>Total!F28</f>
        <v>TM_1 Aeon</v>
      </c>
      <c r="G10" s="115" t="str">
        <f>Total!G28</f>
        <v>Mar/1-2,4,6,8-9,11,13,22-25,27-29,31</v>
      </c>
      <c r="H10" s="115">
        <f>Total!H28</f>
        <v>16</v>
      </c>
      <c r="I10" s="115">
        <f>Total!I28</f>
        <v>128</v>
      </c>
      <c r="J10" s="115">
        <f>Total!J28</f>
        <v>55</v>
      </c>
      <c r="K10" s="115">
        <f>Total!K28</f>
        <v>7040</v>
      </c>
      <c r="L10" s="115">
        <f>Total!L28</f>
        <v>228635.5</v>
      </c>
      <c r="M10" s="115">
        <f>Total!M28</f>
        <v>0</v>
      </c>
      <c r="N10" s="115">
        <f>Total!N28</f>
        <v>4572.71</v>
      </c>
      <c r="O10" s="115">
        <f>Total!O28</f>
        <v>480</v>
      </c>
      <c r="P10" s="115">
        <f>Total!P28</f>
        <v>0</v>
      </c>
      <c r="Q10" s="115">
        <f>Total!Q28</f>
        <v>0</v>
      </c>
      <c r="R10" s="115">
        <f>Total!R28</f>
        <v>0</v>
      </c>
      <c r="S10" s="115">
        <f>Total!S28</f>
        <v>0</v>
      </c>
      <c r="T10" s="115">
        <f>Total!T28</f>
        <v>0</v>
      </c>
      <c r="U10" s="115">
        <f>Total!U28</f>
        <v>0</v>
      </c>
      <c r="V10" s="115">
        <f>Total!V28</f>
        <v>0</v>
      </c>
      <c r="W10" s="115">
        <f>Total!W28</f>
        <v>0</v>
      </c>
      <c r="X10" s="115">
        <f>Total!X28</f>
        <v>0</v>
      </c>
      <c r="Y10" s="115">
        <f>Total!Y28</f>
        <v>0</v>
      </c>
      <c r="Z10" s="115">
        <f>Total!Z28</f>
        <v>0</v>
      </c>
      <c r="AA10" s="115">
        <f>Total!AA28</f>
        <v>0</v>
      </c>
      <c r="AB10" s="115">
        <f>Total!AB28</f>
        <v>0</v>
      </c>
      <c r="AC10" s="115">
        <f>Total!AC28</f>
        <v>0</v>
      </c>
      <c r="AD10" s="115">
        <f>Total!AD28</f>
        <v>0</v>
      </c>
      <c r="AE10" s="115">
        <f>Total!AE28</f>
        <v>0</v>
      </c>
      <c r="AF10" s="115">
        <f>Total!AF28</f>
        <v>0</v>
      </c>
      <c r="AG10" s="115">
        <f>Total!AH28</f>
        <v>12093</v>
      </c>
      <c r="AO10" s="115" t="str">
        <f>表格1[[#Headers],[日本飯煲 RC-DS10K/18K]]</f>
        <v>日本飯煲 RC-DS10K/18K</v>
      </c>
      <c r="AP10" s="115" t="str">
        <f>表格1[[#Headers],[酵活炊電飯煲特佣 RC-18AMXH(W)]]</f>
        <v>酵活炊電飯煲特佣 RC-18AMXH(W)</v>
      </c>
      <c r="AQ10" s="115" t="str">
        <f>表格1[[#Headers],[嵌入式微波氣炸蒸焗爐特佣 EB-T500APW]]</f>
        <v>嵌入式微波氣炸蒸焗爐特佣 EB-T500APW</v>
      </c>
      <c r="AR10" s="115" t="str">
        <f>表格1[[#Headers],[蒸氣烤焗水波爐特佣 ER-VD7000HK(XK)]]</f>
        <v>蒸氣烤焗水波爐特佣 ER-VD7000HK(XK)</v>
      </c>
      <c r="AS10" s="115" t="str">
        <f>表格1[[#Headers],[TWDT21BU95 ]]</f>
        <v xml:space="preserve">TWDT21BU95 </v>
      </c>
      <c r="AT10" s="115" t="str">
        <f>表格1[[#Headers],[日式洗衣機一特佣 AW-Q800APH(WW)]]</f>
        <v>日式洗衣機一特佣 AW-Q800APH(WW)</v>
      </c>
      <c r="AU10" s="115" t="str">
        <f>表格1[[#Headers],[日式洗衣機二特佣 AW-Q801APH(WW)]]</f>
        <v>日式洗衣機二特佣 AW-Q801APH(WW)</v>
      </c>
      <c r="AV10" s="115" t="str">
        <f>表格1[[#Headers],[三門雪櫃特佣 GR-RM469WE-PGA(B3)]]</f>
        <v>三門雪櫃特佣 GR-RM469WE-PGA(B3)</v>
      </c>
      <c r="AW10" s="115" t="str">
        <f>表格1[[#Headers],[雙門雪櫃一特佣 GR-RB449WE-PMA(57)]]</f>
        <v>雙門雪櫃一特佣 GR-RB449WE-PMA(57)</v>
      </c>
      <c r="AX10" s="115" t="str">
        <f>表格1[[#Headers],[雙門雪櫃一特佣 GR-RB410WE-PMA(06)]]</f>
        <v>雙門雪櫃一特佣 GR-RB410WE-PMA(06)</v>
      </c>
      <c r="AY10" s="115" t="str">
        <f>表格1[[#Headers],[十字門雪櫃 GR-RF698WI]]</f>
        <v>十字門雪櫃 GR-RF698WI</v>
      </c>
      <c r="AZ10" s="115" t="str">
        <f>表格1[[#Headers],[水機 TWP-W2265THK(W)]]</f>
        <v>水機 TWP-W2265THK(W)</v>
      </c>
      <c r="BA10" s="115" t="str">
        <f>表格1[[#Headers],[抽濕機特佣]]</f>
        <v>抽濕機特佣</v>
      </c>
      <c r="BB10" s="115" t="str">
        <f>表格1[[#Headers],[(Fortress ONLY)TW-T25BZU115MWH(MG) ]]</f>
        <v>(Fortress ONLY)TW-T25BZU115MWH(MG) </v>
      </c>
      <c r="BC10" s="115" t="str">
        <f>表格1[[#Headers],[開門紅(三月)]]</f>
        <v>開門紅(三月)</v>
      </c>
      <c r="BD10" s="115" t="str">
        <f>表格1[[#Headers],[開門紅(第一季)]]</f>
        <v>開門紅(第一季)</v>
      </c>
      <c r="BE10" s="115" t="str">
        <f>表格1[[#Headers],[酵活炊電飯煲特佣 RC-18AMXH(W)]]</f>
        <v>酵活炊電飯煲特佣 RC-18AMXH(W)</v>
      </c>
    </row>
    <row r="11" spans="1:57" ht="26.25">
      <c r="A11" s="97">
        <v>22</v>
      </c>
      <c r="B11" s="114" t="str">
        <f t="shared" si="0"/>
        <v>2026-03 Toshiba</v>
      </c>
      <c r="C11" s="115" t="str">
        <f>Total!C29</f>
        <v>Ho_3</v>
      </c>
      <c r="D11" s="115" t="str">
        <f>Total!D29</f>
        <v>Kwan Tit Ho</v>
      </c>
      <c r="E11" s="115">
        <f>Total!E29</f>
        <v>20859</v>
      </c>
      <c r="F11" s="115" t="str">
        <f>Total!F29</f>
        <v>TM_2 Aeon</v>
      </c>
      <c r="G11" s="115" t="str">
        <f>Total!G29</f>
        <v>Mar/17-18,26,30</v>
      </c>
      <c r="H11" s="115">
        <f>Total!H29</f>
        <v>4</v>
      </c>
      <c r="I11" s="115">
        <f>Total!I29</f>
        <v>32</v>
      </c>
      <c r="J11" s="115">
        <f>Total!J29</f>
        <v>55</v>
      </c>
      <c r="K11" s="115">
        <f>Total!K29</f>
        <v>1760</v>
      </c>
      <c r="L11" s="115">
        <f>Total!L29</f>
        <v>31095</v>
      </c>
      <c r="M11" s="115">
        <f>Total!M29</f>
        <v>0</v>
      </c>
      <c r="N11" s="115">
        <f>Total!N29</f>
        <v>621.9</v>
      </c>
      <c r="O11" s="115">
        <f>Total!O29</f>
        <v>0</v>
      </c>
      <c r="P11" s="115">
        <f>Total!P29</f>
        <v>0</v>
      </c>
      <c r="Q11" s="115">
        <f>Total!Q29</f>
        <v>0</v>
      </c>
      <c r="R11" s="115">
        <f>Total!R29</f>
        <v>0</v>
      </c>
      <c r="S11" s="115">
        <f>Total!S29</f>
        <v>0</v>
      </c>
      <c r="T11" s="115">
        <f>Total!T29</f>
        <v>0</v>
      </c>
      <c r="U11" s="115">
        <f>Total!U29</f>
        <v>0</v>
      </c>
      <c r="V11" s="115">
        <f>Total!V29</f>
        <v>0</v>
      </c>
      <c r="W11" s="115">
        <f>Total!W29</f>
        <v>0</v>
      </c>
      <c r="X11" s="115">
        <f>Total!X29</f>
        <v>0</v>
      </c>
      <c r="Y11" s="115">
        <f>Total!Y29</f>
        <v>0</v>
      </c>
      <c r="Z11" s="115">
        <f>Total!Z29</f>
        <v>0</v>
      </c>
      <c r="AA11" s="115">
        <f>Total!AA29</f>
        <v>0</v>
      </c>
      <c r="AB11" s="115">
        <f>Total!AB29</f>
        <v>0</v>
      </c>
      <c r="AC11" s="115">
        <f>Total!AC29</f>
        <v>0</v>
      </c>
      <c r="AD11" s="115">
        <f>Total!AD29</f>
        <v>0</v>
      </c>
      <c r="AE11" s="115">
        <f>Total!AE29</f>
        <v>0</v>
      </c>
      <c r="AF11" s="115">
        <f>Total!AF29</f>
        <v>0</v>
      </c>
      <c r="AG11" s="115">
        <f>Total!AH29</f>
        <v>2382</v>
      </c>
      <c r="AO11" s="115" t="str">
        <f>表格1[[#Headers],[日本飯煲 RC-DS10K/18K]]</f>
        <v>日本飯煲 RC-DS10K/18K</v>
      </c>
      <c r="AP11" s="115" t="str">
        <f>表格1[[#Headers],[酵活炊電飯煲特佣 RC-18AMXH(W)]]</f>
        <v>酵活炊電飯煲特佣 RC-18AMXH(W)</v>
      </c>
      <c r="AQ11" s="115" t="str">
        <f>表格1[[#Headers],[嵌入式微波氣炸蒸焗爐特佣 EB-T500APW]]</f>
        <v>嵌入式微波氣炸蒸焗爐特佣 EB-T500APW</v>
      </c>
      <c r="AR11" s="115" t="str">
        <f>表格1[[#Headers],[蒸氣烤焗水波爐特佣 ER-VD7000HK(XK)]]</f>
        <v>蒸氣烤焗水波爐特佣 ER-VD7000HK(XK)</v>
      </c>
      <c r="AS11" s="115" t="str">
        <f>表格1[[#Headers],[TWDT21BU95 ]]</f>
        <v xml:space="preserve">TWDT21BU95 </v>
      </c>
      <c r="AT11" s="115" t="str">
        <f>表格1[[#Headers],[日式洗衣機一特佣 AW-Q800APH(WW)]]</f>
        <v>日式洗衣機一特佣 AW-Q800APH(WW)</v>
      </c>
      <c r="AU11" s="115" t="str">
        <f>表格1[[#Headers],[日式洗衣機二特佣 AW-Q801APH(WW)]]</f>
        <v>日式洗衣機二特佣 AW-Q801APH(WW)</v>
      </c>
      <c r="AV11" s="115" t="str">
        <f>表格1[[#Headers],[三門雪櫃特佣 GR-RM469WE-PGA(B3)]]</f>
        <v>三門雪櫃特佣 GR-RM469WE-PGA(B3)</v>
      </c>
      <c r="AW11" s="115" t="str">
        <f>表格1[[#Headers],[雙門雪櫃一特佣 GR-RB449WE-PMA(57)]]</f>
        <v>雙門雪櫃一特佣 GR-RB449WE-PMA(57)</v>
      </c>
      <c r="AX11" s="115" t="str">
        <f>表格1[[#Headers],[雙門雪櫃一特佣 GR-RB410WE-PMA(06)]]</f>
        <v>雙門雪櫃一特佣 GR-RB410WE-PMA(06)</v>
      </c>
      <c r="AY11" s="115" t="str">
        <f>表格1[[#Headers],[十字門雪櫃 GR-RF698WI]]</f>
        <v>十字門雪櫃 GR-RF698WI</v>
      </c>
      <c r="AZ11" s="115" t="str">
        <f>表格1[[#Headers],[水機 TWP-W2265THK(W)]]</f>
        <v>水機 TWP-W2265THK(W)</v>
      </c>
      <c r="BA11" s="115" t="str">
        <f>表格1[[#Headers],[抽濕機特佣]]</f>
        <v>抽濕機特佣</v>
      </c>
      <c r="BB11" s="115" t="str">
        <f>表格1[[#Headers],[(Fortress ONLY)TW-T25BZU115MWH(MG) ]]</f>
        <v>(Fortress ONLY)TW-T25BZU115MWH(MG) </v>
      </c>
      <c r="BC11" s="115" t="str">
        <f>表格1[[#Headers],[開門紅(三月)]]</f>
        <v>開門紅(三月)</v>
      </c>
      <c r="BD11" s="115" t="str">
        <f>表格1[[#Headers],[開門紅(第一季)]]</f>
        <v>開門紅(第一季)</v>
      </c>
      <c r="BE11" s="115" t="str">
        <f>表格1[[#Headers],[酵活炊電飯煲特佣 RC-18AMXH(W)]]</f>
        <v>酵活炊電飯煲特佣 RC-18AMXH(W)</v>
      </c>
    </row>
    <row r="12" spans="1:57" ht="26.25">
      <c r="A12" s="114">
        <v>23</v>
      </c>
      <c r="B12" s="114" t="str">
        <f t="shared" si="0"/>
        <v>2026-03 Toshiba</v>
      </c>
      <c r="C12" s="115" t="str">
        <f>Total!C30</f>
        <v>Kandy</v>
      </c>
      <c r="D12" s="115" t="str">
        <f>Total!D30</f>
        <v>Sin Hoi Yam</v>
      </c>
      <c r="E12" s="115">
        <f>Total!E30</f>
        <v>20860</v>
      </c>
      <c r="F12" s="115" t="str">
        <f>Total!F30</f>
        <v>TW Fortress</v>
      </c>
      <c r="G12" s="115" t="str">
        <f>Total!G30</f>
        <v>Mar/1,7-8,21-22,28-29</v>
      </c>
      <c r="H12" s="115">
        <f>Total!H30</f>
        <v>7</v>
      </c>
      <c r="I12" s="115">
        <f>Total!I30</f>
        <v>56</v>
      </c>
      <c r="J12" s="115">
        <f>Total!J30</f>
        <v>55</v>
      </c>
      <c r="K12" s="115">
        <f>Total!K30</f>
        <v>3080</v>
      </c>
      <c r="L12" s="115">
        <f>Total!L30</f>
        <v>165639</v>
      </c>
      <c r="M12" s="115">
        <f>Total!M30</f>
        <v>0</v>
      </c>
      <c r="N12" s="115">
        <f>Total!N30</f>
        <v>3312.78</v>
      </c>
      <c r="O12" s="115">
        <f>Total!O30</f>
        <v>0</v>
      </c>
      <c r="P12" s="115">
        <f>Total!P30</f>
        <v>0</v>
      </c>
      <c r="Q12" s="115">
        <f>Total!Q30</f>
        <v>0</v>
      </c>
      <c r="R12" s="115">
        <f>Total!R30</f>
        <v>0</v>
      </c>
      <c r="S12" s="115">
        <f>Total!S30</f>
        <v>0</v>
      </c>
      <c r="T12" s="115">
        <f>Total!T30</f>
        <v>0</v>
      </c>
      <c r="U12" s="115">
        <f>Total!U30</f>
        <v>0</v>
      </c>
      <c r="V12" s="115">
        <f>Total!V30</f>
        <v>0</v>
      </c>
      <c r="W12" s="115">
        <f>Total!W30</f>
        <v>0</v>
      </c>
      <c r="X12" s="115">
        <f>Total!X30</f>
        <v>0</v>
      </c>
      <c r="Y12" s="115">
        <f>Total!Y30</f>
        <v>0</v>
      </c>
      <c r="Z12" s="115">
        <f>Total!Z30</f>
        <v>0</v>
      </c>
      <c r="AA12" s="115">
        <f>Total!AA30</f>
        <v>0</v>
      </c>
      <c r="AB12" s="115">
        <f>Total!AB30</f>
        <v>0</v>
      </c>
      <c r="AC12" s="115">
        <f>Total!AC30</f>
        <v>0</v>
      </c>
      <c r="AD12" s="115">
        <f>Total!AD30</f>
        <v>0</v>
      </c>
      <c r="AE12" s="115">
        <f>Total!AE30</f>
        <v>0</v>
      </c>
      <c r="AF12" s="115">
        <f>Total!AF30</f>
        <v>0</v>
      </c>
      <c r="AG12" s="115">
        <f>Total!AH30</f>
        <v>6393</v>
      </c>
      <c r="AO12" s="115" t="str">
        <f>表格1[[#Headers],[日本飯煲 RC-DS10K/18K]]</f>
        <v>日本飯煲 RC-DS10K/18K</v>
      </c>
      <c r="AP12" s="115" t="str">
        <f>表格1[[#Headers],[酵活炊電飯煲特佣 RC-18AMXH(W)]]</f>
        <v>酵活炊電飯煲特佣 RC-18AMXH(W)</v>
      </c>
      <c r="AQ12" s="115" t="str">
        <f>表格1[[#Headers],[嵌入式微波氣炸蒸焗爐特佣 EB-T500APW]]</f>
        <v>嵌入式微波氣炸蒸焗爐特佣 EB-T500APW</v>
      </c>
      <c r="AR12" s="115" t="str">
        <f>表格1[[#Headers],[蒸氣烤焗水波爐特佣 ER-VD7000HK(XK)]]</f>
        <v>蒸氣烤焗水波爐特佣 ER-VD7000HK(XK)</v>
      </c>
      <c r="AS12" s="115" t="str">
        <f>表格1[[#Headers],[TWDT21BU95 ]]</f>
        <v xml:space="preserve">TWDT21BU95 </v>
      </c>
      <c r="AT12" s="115" t="str">
        <f>表格1[[#Headers],[日式洗衣機一特佣 AW-Q800APH(WW)]]</f>
        <v>日式洗衣機一特佣 AW-Q800APH(WW)</v>
      </c>
      <c r="AU12" s="115" t="str">
        <f>表格1[[#Headers],[日式洗衣機二特佣 AW-Q801APH(WW)]]</f>
        <v>日式洗衣機二特佣 AW-Q801APH(WW)</v>
      </c>
      <c r="AV12" s="115" t="str">
        <f>表格1[[#Headers],[三門雪櫃特佣 GR-RM469WE-PGA(B3)]]</f>
        <v>三門雪櫃特佣 GR-RM469WE-PGA(B3)</v>
      </c>
      <c r="AW12" s="115" t="str">
        <f>表格1[[#Headers],[雙門雪櫃一特佣 GR-RB449WE-PMA(57)]]</f>
        <v>雙門雪櫃一特佣 GR-RB449WE-PMA(57)</v>
      </c>
      <c r="AX12" s="115" t="str">
        <f>表格1[[#Headers],[雙門雪櫃一特佣 GR-RB410WE-PMA(06)]]</f>
        <v>雙門雪櫃一特佣 GR-RB410WE-PMA(06)</v>
      </c>
      <c r="AY12" s="115" t="str">
        <f>表格1[[#Headers],[十字門雪櫃 GR-RF698WI]]</f>
        <v>十字門雪櫃 GR-RF698WI</v>
      </c>
      <c r="AZ12" s="115" t="str">
        <f>表格1[[#Headers],[水機 TWP-W2265THK(W)]]</f>
        <v>水機 TWP-W2265THK(W)</v>
      </c>
      <c r="BA12" s="115" t="str">
        <f>表格1[[#Headers],[抽濕機特佣]]</f>
        <v>抽濕機特佣</v>
      </c>
      <c r="BB12" s="115" t="str">
        <f>表格1[[#Headers],[(Fortress ONLY)TW-T25BZU115MWH(MG) ]]</f>
        <v>(Fortress ONLY)TW-T25BZU115MWH(MG) </v>
      </c>
      <c r="BC12" s="115" t="str">
        <f>表格1[[#Headers],[開門紅(三月)]]</f>
        <v>開門紅(三月)</v>
      </c>
      <c r="BD12" s="115" t="str">
        <f>表格1[[#Headers],[開門紅(第一季)]]</f>
        <v>開門紅(第一季)</v>
      </c>
      <c r="BE12" s="115" t="str">
        <f>表格1[[#Headers],[酵活炊電飯煲特佣 RC-18AMXH(W)]]</f>
        <v>酵活炊電飯煲特佣 RC-18AMXH(W)</v>
      </c>
    </row>
    <row r="13" spans="1:57" ht="26.25">
      <c r="A13" s="97">
        <v>24</v>
      </c>
      <c r="B13" s="114" t="str">
        <f t="shared" si="0"/>
        <v>2026-03 Toshiba</v>
      </c>
      <c r="C13" s="115" t="str">
        <f>Total!C31</f>
        <v>Hung</v>
      </c>
      <c r="D13" s="115" t="str">
        <f>Total!D31</f>
        <v>Hui Man Hung</v>
      </c>
      <c r="E13" s="115">
        <f>Total!E31</f>
        <v>20861</v>
      </c>
      <c r="F13" s="115" t="str">
        <f>Total!F31</f>
        <v>TW Suning</v>
      </c>
      <c r="G13" s="115" t="str">
        <f>Total!G31</f>
        <v>Mar/1-4,6-12,14-18,20-25</v>
      </c>
      <c r="H13" s="115">
        <f>Total!H31</f>
        <v>22</v>
      </c>
      <c r="I13" s="115">
        <f>Total!I31</f>
        <v>176</v>
      </c>
      <c r="J13" s="115">
        <f>Total!J31</f>
        <v>60</v>
      </c>
      <c r="K13" s="115">
        <f>Total!K31</f>
        <v>10560</v>
      </c>
      <c r="L13" s="115">
        <f>Total!L31</f>
        <v>0</v>
      </c>
      <c r="M13" s="115">
        <f>Total!M31</f>
        <v>0</v>
      </c>
      <c r="N13" s="115">
        <f>Total!N31</f>
        <v>0</v>
      </c>
      <c r="O13" s="115">
        <f>Total!O31</f>
        <v>0</v>
      </c>
      <c r="P13" s="115">
        <f>Total!P31</f>
        <v>0</v>
      </c>
      <c r="Q13" s="115">
        <f>Total!Q31</f>
        <v>0</v>
      </c>
      <c r="R13" s="115">
        <f>Total!R31</f>
        <v>0</v>
      </c>
      <c r="S13" s="115">
        <f>Total!S31</f>
        <v>0</v>
      </c>
      <c r="T13" s="115">
        <f>Total!T31</f>
        <v>0</v>
      </c>
      <c r="U13" s="115">
        <f>Total!U31</f>
        <v>0</v>
      </c>
      <c r="V13" s="115">
        <f>Total!V31</f>
        <v>0</v>
      </c>
      <c r="W13" s="115">
        <f>Total!W31</f>
        <v>0</v>
      </c>
      <c r="X13" s="115">
        <f>Total!X31</f>
        <v>0</v>
      </c>
      <c r="Y13" s="115">
        <f>Total!Y31</f>
        <v>0</v>
      </c>
      <c r="Z13" s="115">
        <f>Total!Z31</f>
        <v>0</v>
      </c>
      <c r="AA13" s="115">
        <f>Total!AA31</f>
        <v>0</v>
      </c>
      <c r="AB13" s="115">
        <f>Total!AB31</f>
        <v>0</v>
      </c>
      <c r="AC13" s="115">
        <f>Total!AC31</f>
        <v>0</v>
      </c>
      <c r="AD13" s="115">
        <f>Total!AD31</f>
        <v>0</v>
      </c>
      <c r="AE13" s="115">
        <f>Total!AE31</f>
        <v>0</v>
      </c>
      <c r="AF13" s="115">
        <f>Total!AF31</f>
        <v>0</v>
      </c>
      <c r="AG13" s="115">
        <f>Total!AH31</f>
        <v>10560</v>
      </c>
      <c r="AO13" s="115" t="str">
        <f>表格1[[#Headers],[日本飯煲 RC-DS10K/18K]]</f>
        <v>日本飯煲 RC-DS10K/18K</v>
      </c>
      <c r="AP13" s="115" t="str">
        <f>表格1[[#Headers],[酵活炊電飯煲特佣 RC-18AMXH(W)]]</f>
        <v>酵活炊電飯煲特佣 RC-18AMXH(W)</v>
      </c>
      <c r="AQ13" s="115" t="str">
        <f>表格1[[#Headers],[嵌入式微波氣炸蒸焗爐特佣 EB-T500APW]]</f>
        <v>嵌入式微波氣炸蒸焗爐特佣 EB-T500APW</v>
      </c>
      <c r="AR13" s="115" t="str">
        <f>表格1[[#Headers],[蒸氣烤焗水波爐特佣 ER-VD7000HK(XK)]]</f>
        <v>蒸氣烤焗水波爐特佣 ER-VD7000HK(XK)</v>
      </c>
      <c r="AS13" s="115" t="str">
        <f>表格1[[#Headers],[TWDT21BU95 ]]</f>
        <v xml:space="preserve">TWDT21BU95 </v>
      </c>
      <c r="AT13" s="115" t="str">
        <f>表格1[[#Headers],[日式洗衣機一特佣 AW-Q800APH(WW)]]</f>
        <v>日式洗衣機一特佣 AW-Q800APH(WW)</v>
      </c>
      <c r="AU13" s="115" t="str">
        <f>表格1[[#Headers],[日式洗衣機二特佣 AW-Q801APH(WW)]]</f>
        <v>日式洗衣機二特佣 AW-Q801APH(WW)</v>
      </c>
      <c r="AV13" s="115" t="str">
        <f>表格1[[#Headers],[三門雪櫃特佣 GR-RM469WE-PGA(B3)]]</f>
        <v>三門雪櫃特佣 GR-RM469WE-PGA(B3)</v>
      </c>
      <c r="AW13" s="115" t="str">
        <f>表格1[[#Headers],[雙門雪櫃一特佣 GR-RB449WE-PMA(57)]]</f>
        <v>雙門雪櫃一特佣 GR-RB449WE-PMA(57)</v>
      </c>
      <c r="AX13" s="115" t="str">
        <f>表格1[[#Headers],[雙門雪櫃一特佣 GR-RB410WE-PMA(06)]]</f>
        <v>雙門雪櫃一特佣 GR-RB410WE-PMA(06)</v>
      </c>
      <c r="AY13" s="115" t="str">
        <f>表格1[[#Headers],[十字門雪櫃 GR-RF698WI]]</f>
        <v>十字門雪櫃 GR-RF698WI</v>
      </c>
      <c r="AZ13" s="115" t="str">
        <f>表格1[[#Headers],[水機 TWP-W2265THK(W)]]</f>
        <v>水機 TWP-W2265THK(W)</v>
      </c>
      <c r="BA13" s="115" t="str">
        <f>表格1[[#Headers],[抽濕機特佣]]</f>
        <v>抽濕機特佣</v>
      </c>
      <c r="BB13" s="115" t="str">
        <f>表格1[[#Headers],[(Fortress ONLY)TW-T25BZU115MWH(MG) ]]</f>
        <v>(Fortress ONLY)TW-T25BZU115MWH(MG) </v>
      </c>
      <c r="BC13" s="115" t="str">
        <f>表格1[[#Headers],[開門紅(三月)]]</f>
        <v>開門紅(三月)</v>
      </c>
      <c r="BD13" s="115" t="str">
        <f>表格1[[#Headers],[開門紅(第一季)]]</f>
        <v>開門紅(第一季)</v>
      </c>
      <c r="BE13" s="115" t="str">
        <f>表格1[[#Headers],[酵活炊電飯煲特佣 RC-18AMXH(W)]]</f>
        <v>酵活炊電飯煲特佣 RC-18AMXH(W)</v>
      </c>
    </row>
    <row r="14" spans="1:57" ht="26.25">
      <c r="A14" s="116">
        <v>26</v>
      </c>
      <c r="B14" s="114" t="str">
        <f t="shared" si="0"/>
        <v>2026-03 Toshiba</v>
      </c>
      <c r="C14" s="115" t="str">
        <f>Total!C33</f>
        <v>Yee</v>
      </c>
      <c r="D14" s="115" t="str">
        <f>Total!D33</f>
        <v>Cheung Yu Wing Yee</v>
      </c>
      <c r="E14" s="115">
        <f>Total!E33</f>
        <v>20862</v>
      </c>
      <c r="F14" s="115" t="str">
        <f>Total!F33</f>
        <v>YL Citistore</v>
      </c>
      <c r="G14" s="115" t="str">
        <f>Total!G33</f>
        <v>Mar/1,5-9,12-16,19-22,26-30</v>
      </c>
      <c r="H14" s="115">
        <f>Total!H33</f>
        <v>20</v>
      </c>
      <c r="I14" s="115">
        <f>Total!I33</f>
        <v>160</v>
      </c>
      <c r="J14" s="115">
        <f>Total!J33</f>
        <v>60</v>
      </c>
      <c r="K14" s="115">
        <f>Total!K33</f>
        <v>9600</v>
      </c>
      <c r="L14" s="115">
        <f>Total!L33</f>
        <v>125760</v>
      </c>
      <c r="M14" s="115">
        <f>Total!M33</f>
        <v>0</v>
      </c>
      <c r="N14" s="115">
        <f>Total!N33</f>
        <v>2515.2000000000003</v>
      </c>
      <c r="O14" s="115">
        <f>Total!O33</f>
        <v>0</v>
      </c>
      <c r="P14" s="115">
        <f>Total!P33</f>
        <v>0</v>
      </c>
      <c r="Q14" s="115">
        <f>Total!Q33</f>
        <v>0</v>
      </c>
      <c r="R14" s="115">
        <f>Total!R33</f>
        <v>0</v>
      </c>
      <c r="S14" s="115">
        <f>Total!S33</f>
        <v>0</v>
      </c>
      <c r="T14" s="115">
        <f>Total!T33</f>
        <v>0</v>
      </c>
      <c r="U14" s="115">
        <f>Total!U33</f>
        <v>0</v>
      </c>
      <c r="V14" s="115">
        <f>Total!V33</f>
        <v>0</v>
      </c>
      <c r="W14" s="115">
        <f>Total!W33</f>
        <v>0</v>
      </c>
      <c r="X14" s="115">
        <f>Total!X33</f>
        <v>0</v>
      </c>
      <c r="Y14" s="115">
        <f>Total!Y33</f>
        <v>0</v>
      </c>
      <c r="Z14" s="115">
        <f>Total!Z33</f>
        <v>0</v>
      </c>
      <c r="AA14" s="115">
        <f>Total!AA33</f>
        <v>0</v>
      </c>
      <c r="AB14" s="115">
        <f>Total!AB33</f>
        <v>0</v>
      </c>
      <c r="AC14" s="115">
        <f>Total!AC33</f>
        <v>0</v>
      </c>
      <c r="AD14" s="115">
        <f>Total!AD33</f>
        <v>0</v>
      </c>
      <c r="AE14" s="115">
        <f>Total!AE33</f>
        <v>0</v>
      </c>
      <c r="AF14" s="115">
        <f>Total!AF33</f>
        <v>0</v>
      </c>
      <c r="AG14" s="115">
        <f>Total!AH33</f>
        <v>12115</v>
      </c>
      <c r="AO14" s="115" t="str">
        <f>表格1[[#Headers],[日本飯煲 RC-DS10K/18K]]</f>
        <v>日本飯煲 RC-DS10K/18K</v>
      </c>
      <c r="AP14" s="115" t="str">
        <f>表格1[[#Headers],[酵活炊電飯煲特佣 RC-18AMXH(W)]]</f>
        <v>酵活炊電飯煲特佣 RC-18AMXH(W)</v>
      </c>
      <c r="AQ14" s="115" t="str">
        <f>表格1[[#Headers],[嵌入式微波氣炸蒸焗爐特佣 EB-T500APW]]</f>
        <v>嵌入式微波氣炸蒸焗爐特佣 EB-T500APW</v>
      </c>
      <c r="AR14" s="115" t="str">
        <f>表格1[[#Headers],[蒸氣烤焗水波爐特佣 ER-VD7000HK(XK)]]</f>
        <v>蒸氣烤焗水波爐特佣 ER-VD7000HK(XK)</v>
      </c>
      <c r="AS14" s="115" t="str">
        <f>表格1[[#Headers],[TWDT21BU95 ]]</f>
        <v xml:space="preserve">TWDT21BU95 </v>
      </c>
      <c r="AT14" s="115" t="str">
        <f>表格1[[#Headers],[日式洗衣機一特佣 AW-Q800APH(WW)]]</f>
        <v>日式洗衣機一特佣 AW-Q800APH(WW)</v>
      </c>
      <c r="AU14" s="115" t="str">
        <f>表格1[[#Headers],[日式洗衣機二特佣 AW-Q801APH(WW)]]</f>
        <v>日式洗衣機二特佣 AW-Q801APH(WW)</v>
      </c>
      <c r="AV14" s="115" t="str">
        <f>表格1[[#Headers],[三門雪櫃特佣 GR-RM469WE-PGA(B3)]]</f>
        <v>三門雪櫃特佣 GR-RM469WE-PGA(B3)</v>
      </c>
      <c r="AW14" s="115" t="str">
        <f>表格1[[#Headers],[雙門雪櫃一特佣 GR-RB449WE-PMA(57)]]</f>
        <v>雙門雪櫃一特佣 GR-RB449WE-PMA(57)</v>
      </c>
      <c r="AX14" s="115" t="str">
        <f>表格1[[#Headers],[雙門雪櫃一特佣 GR-RB410WE-PMA(06)]]</f>
        <v>雙門雪櫃一特佣 GR-RB410WE-PMA(06)</v>
      </c>
      <c r="AY14" s="115" t="str">
        <f>表格1[[#Headers],[十字門雪櫃 GR-RF698WI]]</f>
        <v>十字門雪櫃 GR-RF698WI</v>
      </c>
      <c r="AZ14" s="115" t="str">
        <f>表格1[[#Headers],[水機 TWP-W2265THK(W)]]</f>
        <v>水機 TWP-W2265THK(W)</v>
      </c>
      <c r="BA14" s="115" t="str">
        <f>表格1[[#Headers],[抽濕機特佣]]</f>
        <v>抽濕機特佣</v>
      </c>
      <c r="BB14" s="115" t="str">
        <f>表格1[[#Headers],[(Fortress ONLY)TW-T25BZU115MWH(MG) ]]</f>
        <v>(Fortress ONLY)TW-T25BZU115MWH(MG) </v>
      </c>
      <c r="BC14" s="115" t="str">
        <f>表格1[[#Headers],[開門紅(三月)]]</f>
        <v>開門紅(三月)</v>
      </c>
      <c r="BD14" s="115" t="str">
        <f>表格1[[#Headers],[開門紅(第一季)]]</f>
        <v>開門紅(第一季)</v>
      </c>
      <c r="BE14" s="115" t="str">
        <f>表格1[[#Headers],[酵活炊電飯煲特佣 RC-18AMXH(W)]]</f>
        <v>酵活炊電飯煲特佣 RC-18AMXH(W)</v>
      </c>
    </row>
    <row r="15" spans="1:57" ht="26.25">
      <c r="A15" s="116">
        <v>28</v>
      </c>
      <c r="B15" s="114" t="str">
        <f t="shared" si="0"/>
        <v>2026-03 Toshiba</v>
      </c>
      <c r="C15" s="115" t="str">
        <f>Total!C35</f>
        <v>Happy</v>
      </c>
      <c r="D15" s="115" t="str">
        <f>Total!D35</f>
        <v>Chun Yin Ling</v>
      </c>
      <c r="E15" s="115">
        <f>Total!E35</f>
        <v>20863</v>
      </c>
      <c r="F15" s="115" t="str">
        <f>Total!F35</f>
        <v>APM Broadway</v>
      </c>
      <c r="G15" s="115" t="str">
        <f>Total!G35</f>
        <v>Mar/1,3-5,7-9,11-12,15-16,19-22,25-31</v>
      </c>
      <c r="H15" s="115">
        <f>Total!H35</f>
        <v>22</v>
      </c>
      <c r="I15" s="115">
        <f>Total!I35</f>
        <v>176</v>
      </c>
      <c r="J15" s="115">
        <f>Total!J35</f>
        <v>60</v>
      </c>
      <c r="K15" s="115">
        <f>Total!K35</f>
        <v>10560</v>
      </c>
      <c r="L15" s="115">
        <f>Total!L35</f>
        <v>470313</v>
      </c>
      <c r="M15" s="115">
        <f>Total!M35</f>
        <v>0</v>
      </c>
      <c r="N15" s="115">
        <f>Total!N35</f>
        <v>9406.26</v>
      </c>
      <c r="O15" s="115">
        <f>Total!O35</f>
        <v>0</v>
      </c>
      <c r="P15" s="115">
        <f>Total!P35</f>
        <v>0</v>
      </c>
      <c r="Q15" s="115">
        <f>Total!Q35</f>
        <v>0</v>
      </c>
      <c r="R15" s="115">
        <f>Total!R35</f>
        <v>0</v>
      </c>
      <c r="S15" s="115">
        <f>Total!S35</f>
        <v>0</v>
      </c>
      <c r="T15" s="115">
        <f>Total!T35</f>
        <v>160</v>
      </c>
      <c r="U15" s="115">
        <f>Total!U35</f>
        <v>0</v>
      </c>
      <c r="V15" s="115">
        <f>Total!V35</f>
        <v>400</v>
      </c>
      <c r="W15" s="115">
        <f>Total!W35</f>
        <v>0</v>
      </c>
      <c r="X15" s="115">
        <f>Total!X35</f>
        <v>0</v>
      </c>
      <c r="Y15" s="115">
        <f>Total!Y35</f>
        <v>200</v>
      </c>
      <c r="Z15" s="115">
        <f>Total!Z35</f>
        <v>0</v>
      </c>
      <c r="AA15" s="115">
        <f>Total!AA35</f>
        <v>0</v>
      </c>
      <c r="AB15" s="115">
        <f>Total!AB35</f>
        <v>2450</v>
      </c>
      <c r="AC15" s="115">
        <f>Total!AC35</f>
        <v>0</v>
      </c>
      <c r="AD15" s="115">
        <f>Total!AD35</f>
        <v>500</v>
      </c>
      <c r="AE15" s="115">
        <f>Total!AE35</f>
        <v>1000</v>
      </c>
      <c r="AF15" s="115">
        <f>Total!AF35</f>
        <v>0</v>
      </c>
      <c r="AG15" s="115">
        <f>Total!AH35</f>
        <v>24676</v>
      </c>
      <c r="AO15" s="115" t="str">
        <f>表格1[[#Headers],[日本飯煲 RC-DS10K/18K]]</f>
        <v>日本飯煲 RC-DS10K/18K</v>
      </c>
      <c r="AP15" s="115" t="str">
        <f>表格1[[#Headers],[酵活炊電飯煲特佣 RC-18AMXH(W)]]</f>
        <v>酵活炊電飯煲特佣 RC-18AMXH(W)</v>
      </c>
      <c r="AQ15" s="115" t="str">
        <f>表格1[[#Headers],[嵌入式微波氣炸蒸焗爐特佣 EB-T500APW]]</f>
        <v>嵌入式微波氣炸蒸焗爐特佣 EB-T500APW</v>
      </c>
      <c r="AR15" s="115" t="str">
        <f>表格1[[#Headers],[蒸氣烤焗水波爐特佣 ER-VD7000HK(XK)]]</f>
        <v>蒸氣烤焗水波爐特佣 ER-VD7000HK(XK)</v>
      </c>
      <c r="AS15" s="115" t="str">
        <f>表格1[[#Headers],[TWDT21BU95 ]]</f>
        <v xml:space="preserve">TWDT21BU95 </v>
      </c>
      <c r="AT15" s="115" t="str">
        <f>表格1[[#Headers],[日式洗衣機一特佣 AW-Q800APH(WW)]]</f>
        <v>日式洗衣機一特佣 AW-Q800APH(WW)</v>
      </c>
      <c r="AU15" s="115" t="str">
        <f>表格1[[#Headers],[日式洗衣機二特佣 AW-Q801APH(WW)]]</f>
        <v>日式洗衣機二特佣 AW-Q801APH(WW)</v>
      </c>
      <c r="AV15" s="115" t="str">
        <f>表格1[[#Headers],[三門雪櫃特佣 GR-RM469WE-PGA(B3)]]</f>
        <v>三門雪櫃特佣 GR-RM469WE-PGA(B3)</v>
      </c>
      <c r="AW15" s="115" t="str">
        <f>表格1[[#Headers],[雙門雪櫃一特佣 GR-RB449WE-PMA(57)]]</f>
        <v>雙門雪櫃一特佣 GR-RB449WE-PMA(57)</v>
      </c>
      <c r="AX15" s="115" t="str">
        <f>表格1[[#Headers],[雙門雪櫃一特佣 GR-RB410WE-PMA(06)]]</f>
        <v>雙門雪櫃一特佣 GR-RB410WE-PMA(06)</v>
      </c>
      <c r="AY15" s="115" t="str">
        <f>表格1[[#Headers],[十字門雪櫃 GR-RF698WI]]</f>
        <v>十字門雪櫃 GR-RF698WI</v>
      </c>
      <c r="AZ15" s="115" t="str">
        <f>表格1[[#Headers],[水機 TWP-W2265THK(W)]]</f>
        <v>水機 TWP-W2265THK(W)</v>
      </c>
      <c r="BA15" s="115" t="str">
        <f>表格1[[#Headers],[抽濕機特佣]]</f>
        <v>抽濕機特佣</v>
      </c>
      <c r="BB15" s="115" t="str">
        <f>表格1[[#Headers],[(Fortress ONLY)TW-T25BZU115MWH(MG) ]]</f>
        <v>(Fortress ONLY)TW-T25BZU115MWH(MG) </v>
      </c>
      <c r="BC15" s="115" t="str">
        <f>表格1[[#Headers],[開門紅(三月)]]</f>
        <v>開門紅(三月)</v>
      </c>
      <c r="BD15" s="115" t="str">
        <f>表格1[[#Headers],[開門紅(第一季)]]</f>
        <v>開門紅(第一季)</v>
      </c>
      <c r="BE15" s="115" t="str">
        <f>表格1[[#Headers],[酵活炊電飯煲特佣 RC-18AMXH(W)]]</f>
        <v>酵活炊電飯煲特佣 RC-18AMXH(W)</v>
      </c>
    </row>
    <row r="16" spans="1:57" ht="26.25">
      <c r="A16" s="114">
        <v>30</v>
      </c>
      <c r="B16" s="114" t="str">
        <f t="shared" si="0"/>
        <v>2026-03 Toshiba</v>
      </c>
      <c r="C16" s="115" t="str">
        <f>Total!C37</f>
        <v>Coco</v>
      </c>
      <c r="D16" s="115" t="str">
        <f>Total!D37</f>
        <v>Yuen Lai Ying</v>
      </c>
      <c r="E16" s="115">
        <f>Total!E37</f>
        <v>20864</v>
      </c>
      <c r="F16" s="115" t="str">
        <f>Total!F37</f>
        <v>TKO Suning</v>
      </c>
      <c r="G16" s="115" t="str">
        <f>Total!G37</f>
        <v>Mar/1,3-5,7-8,11-12,14-15,17-19,24-26,28-31</v>
      </c>
      <c r="H16" s="115">
        <f>Total!H37</f>
        <v>20</v>
      </c>
      <c r="I16" s="115">
        <f>Total!I37</f>
        <v>160</v>
      </c>
      <c r="J16" s="115">
        <f>Total!J37</f>
        <v>60</v>
      </c>
      <c r="K16" s="115">
        <f>Total!K37</f>
        <v>9600</v>
      </c>
      <c r="L16" s="115">
        <f>Total!L37</f>
        <v>229262</v>
      </c>
      <c r="M16" s="115">
        <f>Total!M37</f>
        <v>0</v>
      </c>
      <c r="N16" s="115">
        <f>Total!N37</f>
        <v>4585.24</v>
      </c>
      <c r="O16" s="115">
        <f>Total!O37</f>
        <v>0</v>
      </c>
      <c r="P16" s="115">
        <f>Total!P37</f>
        <v>0</v>
      </c>
      <c r="Q16" s="115">
        <f>Total!Q37</f>
        <v>0</v>
      </c>
      <c r="R16" s="115">
        <f>Total!R37</f>
        <v>0</v>
      </c>
      <c r="S16" s="115">
        <f>Total!S37</f>
        <v>0</v>
      </c>
      <c r="T16" s="115">
        <f>Total!T37</f>
        <v>0</v>
      </c>
      <c r="U16" s="115">
        <f>Total!U37</f>
        <v>0</v>
      </c>
      <c r="V16" s="115">
        <f>Total!V37</f>
        <v>0</v>
      </c>
      <c r="W16" s="115">
        <f>Total!W37</f>
        <v>0</v>
      </c>
      <c r="X16" s="115">
        <f>Total!X37</f>
        <v>0</v>
      </c>
      <c r="Y16" s="115">
        <f>Total!Y37</f>
        <v>0</v>
      </c>
      <c r="Z16" s="115">
        <f>Total!Z37</f>
        <v>0</v>
      </c>
      <c r="AA16" s="115">
        <f>Total!AA37</f>
        <v>0</v>
      </c>
      <c r="AB16" s="115">
        <f>Total!AB37</f>
        <v>0</v>
      </c>
      <c r="AC16" s="115">
        <f>Total!AC37</f>
        <v>0</v>
      </c>
      <c r="AD16" s="115">
        <f>Total!AD37</f>
        <v>0</v>
      </c>
      <c r="AE16" s="115">
        <f>Total!AE37</f>
        <v>0</v>
      </c>
      <c r="AF16" s="115">
        <f>Total!AF37</f>
        <v>0</v>
      </c>
      <c r="AG16" s="115">
        <f>Total!AH37</f>
        <v>14185</v>
      </c>
      <c r="AO16" s="115" t="str">
        <f>表格1[[#Headers],[日本飯煲 RC-DS10K/18K]]</f>
        <v>日本飯煲 RC-DS10K/18K</v>
      </c>
      <c r="AP16" s="115" t="str">
        <f>表格1[[#Headers],[酵活炊電飯煲特佣 RC-18AMXH(W)]]</f>
        <v>酵活炊電飯煲特佣 RC-18AMXH(W)</v>
      </c>
      <c r="AQ16" s="115" t="str">
        <f>表格1[[#Headers],[嵌入式微波氣炸蒸焗爐特佣 EB-T500APW]]</f>
        <v>嵌入式微波氣炸蒸焗爐特佣 EB-T500APW</v>
      </c>
      <c r="AR16" s="115" t="str">
        <f>表格1[[#Headers],[蒸氣烤焗水波爐特佣 ER-VD7000HK(XK)]]</f>
        <v>蒸氣烤焗水波爐特佣 ER-VD7000HK(XK)</v>
      </c>
      <c r="AS16" s="115" t="str">
        <f>表格1[[#Headers],[TWDT21BU95 ]]</f>
        <v xml:space="preserve">TWDT21BU95 </v>
      </c>
      <c r="AT16" s="115" t="str">
        <f>表格1[[#Headers],[日式洗衣機一特佣 AW-Q800APH(WW)]]</f>
        <v>日式洗衣機一特佣 AW-Q800APH(WW)</v>
      </c>
      <c r="AU16" s="115" t="str">
        <f>表格1[[#Headers],[日式洗衣機二特佣 AW-Q801APH(WW)]]</f>
        <v>日式洗衣機二特佣 AW-Q801APH(WW)</v>
      </c>
      <c r="AV16" s="115" t="str">
        <f>表格1[[#Headers],[三門雪櫃特佣 GR-RM469WE-PGA(B3)]]</f>
        <v>三門雪櫃特佣 GR-RM469WE-PGA(B3)</v>
      </c>
      <c r="AW16" s="115" t="str">
        <f>表格1[[#Headers],[雙門雪櫃一特佣 GR-RB449WE-PMA(57)]]</f>
        <v>雙門雪櫃一特佣 GR-RB449WE-PMA(57)</v>
      </c>
      <c r="AX16" s="115" t="str">
        <f>表格1[[#Headers],[雙門雪櫃一特佣 GR-RB410WE-PMA(06)]]</f>
        <v>雙門雪櫃一特佣 GR-RB410WE-PMA(06)</v>
      </c>
      <c r="AY16" s="115" t="str">
        <f>表格1[[#Headers],[十字門雪櫃 GR-RF698WI]]</f>
        <v>十字門雪櫃 GR-RF698WI</v>
      </c>
      <c r="AZ16" s="115" t="str">
        <f>表格1[[#Headers],[水機 TWP-W2265THK(W)]]</f>
        <v>水機 TWP-W2265THK(W)</v>
      </c>
      <c r="BA16" s="115" t="str">
        <f>表格1[[#Headers],[抽濕機特佣]]</f>
        <v>抽濕機特佣</v>
      </c>
      <c r="BB16" s="115" t="str">
        <f>表格1[[#Headers],[(Fortress ONLY)TW-T25BZU115MWH(MG) ]]</f>
        <v>(Fortress ONLY)TW-T25BZU115MWH(MG) </v>
      </c>
      <c r="BC16" s="115" t="str">
        <f>表格1[[#Headers],[開門紅(三月)]]</f>
        <v>開門紅(三月)</v>
      </c>
      <c r="BD16" s="115" t="str">
        <f>表格1[[#Headers],[開門紅(第一季)]]</f>
        <v>開門紅(第一季)</v>
      </c>
      <c r="BE16" s="115" t="str">
        <f>表格1[[#Headers],[酵活炊電飯煲特佣 RC-18AMXH(W)]]</f>
        <v>酵活炊電飯煲特佣 RC-18AMXH(W)</v>
      </c>
    </row>
    <row r="17" spans="1:57" ht="26.25">
      <c r="A17" s="114">
        <v>31</v>
      </c>
      <c r="B17" s="114" t="str">
        <f t="shared" si="0"/>
        <v>2026-03 Toshiba</v>
      </c>
      <c r="C17" s="115" t="str">
        <f>Total!C38</f>
        <v>Raymond</v>
      </c>
      <c r="D17" s="115" t="str">
        <f>Total!D38</f>
        <v>Kwok Chun Wah</v>
      </c>
      <c r="E17" s="115">
        <f>Total!E38</f>
        <v>20865</v>
      </c>
      <c r="F17" s="115" t="str">
        <f>Total!F38</f>
        <v>Times Fortress</v>
      </c>
      <c r="G17" s="115" t="str">
        <f>Total!G38</f>
        <v>Mar/1-5,7,9-12,15-18,21-26,28-31</v>
      </c>
      <c r="H17" s="115">
        <f>Total!H38</f>
        <v>24</v>
      </c>
      <c r="I17" s="115">
        <f>Total!I38</f>
        <v>192</v>
      </c>
      <c r="J17" s="115">
        <f>Total!J38</f>
        <v>60</v>
      </c>
      <c r="K17" s="115">
        <f>Total!K38</f>
        <v>11520</v>
      </c>
      <c r="L17" s="115">
        <f>Total!L38</f>
        <v>360494</v>
      </c>
      <c r="M17" s="115">
        <f>Total!M38</f>
        <v>0</v>
      </c>
      <c r="N17" s="115">
        <f>Total!N38</f>
        <v>7209.88</v>
      </c>
      <c r="O17" s="115">
        <f>Total!O38</f>
        <v>0</v>
      </c>
      <c r="P17" s="115">
        <f>Total!P38</f>
        <v>0</v>
      </c>
      <c r="Q17" s="115">
        <f>Total!Q38</f>
        <v>0</v>
      </c>
      <c r="R17" s="115">
        <f>Total!R38</f>
        <v>0</v>
      </c>
      <c r="S17" s="115">
        <f>Total!S38</f>
        <v>0</v>
      </c>
      <c r="T17" s="115">
        <f>Total!T38</f>
        <v>0</v>
      </c>
      <c r="U17" s="115">
        <f>Total!U38</f>
        <v>0</v>
      </c>
      <c r="V17" s="115">
        <f>Total!V38</f>
        <v>0</v>
      </c>
      <c r="W17" s="115">
        <f>Total!W38</f>
        <v>0</v>
      </c>
      <c r="X17" s="115">
        <f>Total!X38</f>
        <v>0</v>
      </c>
      <c r="Y17" s="115">
        <f>Total!Y38</f>
        <v>0</v>
      </c>
      <c r="Z17" s="115">
        <f>Total!Z38</f>
        <v>0</v>
      </c>
      <c r="AA17" s="115">
        <f>Total!AA38</f>
        <v>0</v>
      </c>
      <c r="AB17" s="115">
        <f>Total!AB38</f>
        <v>0</v>
      </c>
      <c r="AC17" s="115">
        <f>Total!AC38</f>
        <v>0</v>
      </c>
      <c r="AD17" s="115">
        <f>Total!AD38</f>
        <v>0</v>
      </c>
      <c r="AE17" s="115">
        <f>Total!AE38</f>
        <v>0</v>
      </c>
      <c r="AF17" s="115">
        <f>Total!AF38</f>
        <v>0</v>
      </c>
      <c r="AG17" s="115">
        <f>Total!AH38</f>
        <v>18730</v>
      </c>
      <c r="AO17" s="115" t="str">
        <f>表格1[[#Headers],[日本飯煲 RC-DS10K/18K]]</f>
        <v>日本飯煲 RC-DS10K/18K</v>
      </c>
      <c r="AP17" s="115" t="str">
        <f>表格1[[#Headers],[酵活炊電飯煲特佣 RC-18AMXH(W)]]</f>
        <v>酵活炊電飯煲特佣 RC-18AMXH(W)</v>
      </c>
      <c r="AQ17" s="115" t="str">
        <f>表格1[[#Headers],[嵌入式微波氣炸蒸焗爐特佣 EB-T500APW]]</f>
        <v>嵌入式微波氣炸蒸焗爐特佣 EB-T500APW</v>
      </c>
      <c r="AR17" s="115" t="str">
        <f>表格1[[#Headers],[蒸氣烤焗水波爐特佣 ER-VD7000HK(XK)]]</f>
        <v>蒸氣烤焗水波爐特佣 ER-VD7000HK(XK)</v>
      </c>
      <c r="AS17" s="115" t="str">
        <f>表格1[[#Headers],[TWDT21BU95 ]]</f>
        <v xml:space="preserve">TWDT21BU95 </v>
      </c>
      <c r="AT17" s="115" t="str">
        <f>表格1[[#Headers],[日式洗衣機一特佣 AW-Q800APH(WW)]]</f>
        <v>日式洗衣機一特佣 AW-Q800APH(WW)</v>
      </c>
      <c r="AU17" s="115" t="str">
        <f>表格1[[#Headers],[日式洗衣機二特佣 AW-Q801APH(WW)]]</f>
        <v>日式洗衣機二特佣 AW-Q801APH(WW)</v>
      </c>
      <c r="AV17" s="115" t="str">
        <f>表格1[[#Headers],[三門雪櫃特佣 GR-RM469WE-PGA(B3)]]</f>
        <v>三門雪櫃特佣 GR-RM469WE-PGA(B3)</v>
      </c>
      <c r="AW17" s="115" t="str">
        <f>表格1[[#Headers],[雙門雪櫃一特佣 GR-RB449WE-PMA(57)]]</f>
        <v>雙門雪櫃一特佣 GR-RB449WE-PMA(57)</v>
      </c>
      <c r="AX17" s="115" t="str">
        <f>表格1[[#Headers],[雙門雪櫃一特佣 GR-RB410WE-PMA(06)]]</f>
        <v>雙門雪櫃一特佣 GR-RB410WE-PMA(06)</v>
      </c>
      <c r="AY17" s="115" t="str">
        <f>表格1[[#Headers],[十字門雪櫃 GR-RF698WI]]</f>
        <v>十字門雪櫃 GR-RF698WI</v>
      </c>
      <c r="AZ17" s="115" t="str">
        <f>表格1[[#Headers],[水機 TWP-W2265THK(W)]]</f>
        <v>水機 TWP-W2265THK(W)</v>
      </c>
      <c r="BA17" s="115" t="str">
        <f>表格1[[#Headers],[抽濕機特佣]]</f>
        <v>抽濕機特佣</v>
      </c>
      <c r="BB17" s="115" t="str">
        <f>表格1[[#Headers],[(Fortress ONLY)TW-T25BZU115MWH(MG) ]]</f>
        <v>(Fortress ONLY)TW-T25BZU115MWH(MG) </v>
      </c>
      <c r="BC17" s="115" t="str">
        <f>表格1[[#Headers],[開門紅(三月)]]</f>
        <v>開門紅(三月)</v>
      </c>
      <c r="BD17" s="115" t="str">
        <f>表格1[[#Headers],[開門紅(第一季)]]</f>
        <v>開門紅(第一季)</v>
      </c>
      <c r="BE17" s="115" t="str">
        <f>表格1[[#Headers],[酵活炊電飯煲特佣 RC-18AMXH(W)]]</f>
        <v>酵活炊電飯煲特佣 RC-18AMXH(W)</v>
      </c>
    </row>
    <row r="18" spans="1:57" ht="26.25">
      <c r="A18" s="114">
        <v>32</v>
      </c>
      <c r="B18" s="114" t="str">
        <f t="shared" si="0"/>
        <v>2026-03 Toshiba</v>
      </c>
      <c r="C18" s="115" t="str">
        <f>Total!C39</f>
        <v>Maggie Yip</v>
      </c>
      <c r="D18" s="115" t="str">
        <f>Total!D39</f>
        <v>Yip Mei King</v>
      </c>
      <c r="E18" s="115">
        <f>Total!E39</f>
        <v>20866</v>
      </c>
      <c r="F18" s="115" t="str">
        <f>Total!F39</f>
        <v>Shatin_1 Yata</v>
      </c>
      <c r="G18" s="115" t="str">
        <f>Total!G39</f>
        <v>Mar/1-2,5-10,14-17,20-24,27-31</v>
      </c>
      <c r="H18" s="115">
        <f>Total!H39</f>
        <v>22</v>
      </c>
      <c r="I18" s="115">
        <f>Total!I39</f>
        <v>176</v>
      </c>
      <c r="J18" s="115">
        <f>Total!J39</f>
        <v>60</v>
      </c>
      <c r="K18" s="115">
        <f>Total!K39</f>
        <v>10560</v>
      </c>
      <c r="L18" s="115">
        <f>Total!L39</f>
        <v>123292</v>
      </c>
      <c r="M18" s="115">
        <f>Total!M39</f>
        <v>0</v>
      </c>
      <c r="N18" s="115">
        <f>Total!N39</f>
        <v>2465.84</v>
      </c>
      <c r="O18" s="115">
        <f>Total!O39</f>
        <v>0</v>
      </c>
      <c r="P18" s="115">
        <f>Total!P39</f>
        <v>0</v>
      </c>
      <c r="Q18" s="115">
        <f>Total!Q39</f>
        <v>0</v>
      </c>
      <c r="R18" s="115">
        <f>Total!R39</f>
        <v>0</v>
      </c>
      <c r="S18" s="115">
        <f>Total!S39</f>
        <v>0</v>
      </c>
      <c r="T18" s="115">
        <f>Total!T39</f>
        <v>0</v>
      </c>
      <c r="U18" s="115">
        <f>Total!U39</f>
        <v>0</v>
      </c>
      <c r="V18" s="115">
        <f>Total!V39</f>
        <v>0</v>
      </c>
      <c r="W18" s="115">
        <f>Total!W39</f>
        <v>0</v>
      </c>
      <c r="X18" s="115">
        <f>Total!X39</f>
        <v>0</v>
      </c>
      <c r="Y18" s="115">
        <f>Total!Y39</f>
        <v>0</v>
      </c>
      <c r="Z18" s="115">
        <f>Total!Z39</f>
        <v>0</v>
      </c>
      <c r="AA18" s="115">
        <f>Total!AA39</f>
        <v>0</v>
      </c>
      <c r="AB18" s="115">
        <f>Total!AB39</f>
        <v>0</v>
      </c>
      <c r="AC18" s="115">
        <f>Total!AC39</f>
        <v>0</v>
      </c>
      <c r="AD18" s="115">
        <f>Total!AD39</f>
        <v>0</v>
      </c>
      <c r="AE18" s="115">
        <f>Total!AE39</f>
        <v>0</v>
      </c>
      <c r="AF18" s="115">
        <f>Total!AF39</f>
        <v>0</v>
      </c>
      <c r="AG18" s="115">
        <f>Total!AH39</f>
        <v>13026</v>
      </c>
      <c r="AO18" s="115" t="str">
        <f>表格1[[#Headers],[日本飯煲 RC-DS10K/18K]]</f>
        <v>日本飯煲 RC-DS10K/18K</v>
      </c>
      <c r="AP18" s="115" t="str">
        <f>表格1[[#Headers],[酵活炊電飯煲特佣 RC-18AMXH(W)]]</f>
        <v>酵活炊電飯煲特佣 RC-18AMXH(W)</v>
      </c>
      <c r="AQ18" s="115" t="str">
        <f>表格1[[#Headers],[嵌入式微波氣炸蒸焗爐特佣 EB-T500APW]]</f>
        <v>嵌入式微波氣炸蒸焗爐特佣 EB-T500APW</v>
      </c>
      <c r="AR18" s="115" t="str">
        <f>表格1[[#Headers],[蒸氣烤焗水波爐特佣 ER-VD7000HK(XK)]]</f>
        <v>蒸氣烤焗水波爐特佣 ER-VD7000HK(XK)</v>
      </c>
      <c r="AS18" s="115" t="str">
        <f>表格1[[#Headers],[TWDT21BU95 ]]</f>
        <v xml:space="preserve">TWDT21BU95 </v>
      </c>
      <c r="AT18" s="115" t="str">
        <f>表格1[[#Headers],[日式洗衣機一特佣 AW-Q800APH(WW)]]</f>
        <v>日式洗衣機一特佣 AW-Q800APH(WW)</v>
      </c>
      <c r="AU18" s="115" t="str">
        <f>表格1[[#Headers],[日式洗衣機二特佣 AW-Q801APH(WW)]]</f>
        <v>日式洗衣機二特佣 AW-Q801APH(WW)</v>
      </c>
      <c r="AV18" s="115" t="str">
        <f>表格1[[#Headers],[三門雪櫃特佣 GR-RM469WE-PGA(B3)]]</f>
        <v>三門雪櫃特佣 GR-RM469WE-PGA(B3)</v>
      </c>
      <c r="AW18" s="115" t="str">
        <f>表格1[[#Headers],[雙門雪櫃一特佣 GR-RB449WE-PMA(57)]]</f>
        <v>雙門雪櫃一特佣 GR-RB449WE-PMA(57)</v>
      </c>
      <c r="AX18" s="115" t="str">
        <f>表格1[[#Headers],[雙門雪櫃一特佣 GR-RB410WE-PMA(06)]]</f>
        <v>雙門雪櫃一特佣 GR-RB410WE-PMA(06)</v>
      </c>
      <c r="AY18" s="115" t="str">
        <f>表格1[[#Headers],[十字門雪櫃 GR-RF698WI]]</f>
        <v>十字門雪櫃 GR-RF698WI</v>
      </c>
      <c r="AZ18" s="115" t="str">
        <f>表格1[[#Headers],[水機 TWP-W2265THK(W)]]</f>
        <v>水機 TWP-W2265THK(W)</v>
      </c>
      <c r="BA18" s="115" t="str">
        <f>表格1[[#Headers],[抽濕機特佣]]</f>
        <v>抽濕機特佣</v>
      </c>
      <c r="BB18" s="115" t="str">
        <f>表格1[[#Headers],[(Fortress ONLY)TW-T25BZU115MWH(MG) ]]</f>
        <v>(Fortress ONLY)TW-T25BZU115MWH(MG) </v>
      </c>
      <c r="BC18" s="115" t="str">
        <f>表格1[[#Headers],[開門紅(三月)]]</f>
        <v>開門紅(三月)</v>
      </c>
      <c r="BD18" s="115" t="str">
        <f>表格1[[#Headers],[開門紅(第一季)]]</f>
        <v>開門紅(第一季)</v>
      </c>
      <c r="BE18" s="115" t="str">
        <f>表格1[[#Headers],[酵活炊電飯煲特佣 RC-18AMXH(W)]]</f>
        <v>酵活炊電飯煲特佣 RC-18AMXH(W)</v>
      </c>
    </row>
    <row r="19" spans="1:57" ht="26.25">
      <c r="A19" s="116">
        <v>36</v>
      </c>
      <c r="B19" s="114" t="str">
        <f t="shared" si="0"/>
        <v>2026-03 Toshiba</v>
      </c>
      <c r="C19" s="115" t="str">
        <f>Total!C43</f>
        <v>Gloria</v>
      </c>
      <c r="D19" s="115" t="str">
        <f>Total!D43</f>
        <v>Yeung Chor Mui</v>
      </c>
      <c r="E19" s="115">
        <f>Total!E43</f>
        <v>20867</v>
      </c>
      <c r="F19" s="115" t="str">
        <f>Total!F43</f>
        <v>TP_1 Yata</v>
      </c>
      <c r="G19" s="115" t="str">
        <f>Total!G43</f>
        <v>Mar/1,4-8,11-15,18-22,25-29</v>
      </c>
      <c r="H19" s="115">
        <f>Total!H43</f>
        <v>21</v>
      </c>
      <c r="I19" s="115">
        <f>Total!I43</f>
        <v>168</v>
      </c>
      <c r="J19" s="115">
        <f>Total!J43</f>
        <v>60</v>
      </c>
      <c r="K19" s="115">
        <f>Total!K43</f>
        <v>10080</v>
      </c>
      <c r="L19" s="115">
        <f>Total!L43</f>
        <v>175117</v>
      </c>
      <c r="M19" s="115">
        <f>Total!M43</f>
        <v>0</v>
      </c>
      <c r="N19" s="115">
        <f>Total!N43</f>
        <v>3502.34</v>
      </c>
      <c r="O19" s="115">
        <f>Total!O43</f>
        <v>0</v>
      </c>
      <c r="P19" s="115">
        <f>Total!P43</f>
        <v>250</v>
      </c>
      <c r="Q19" s="115">
        <f>Total!Q43</f>
        <v>0</v>
      </c>
      <c r="R19" s="115">
        <f>Total!R43</f>
        <v>0</v>
      </c>
      <c r="S19" s="115">
        <f>Total!S43</f>
        <v>0</v>
      </c>
      <c r="T19" s="115">
        <f>Total!T43</f>
        <v>0</v>
      </c>
      <c r="U19" s="115">
        <f>Total!U43</f>
        <v>0</v>
      </c>
      <c r="V19" s="115">
        <f>Total!V43</f>
        <v>0</v>
      </c>
      <c r="W19" s="115">
        <f>Total!W43</f>
        <v>0</v>
      </c>
      <c r="X19" s="115">
        <f>Total!X43</f>
        <v>0</v>
      </c>
      <c r="Y19" s="115">
        <f>Total!Y43</f>
        <v>0</v>
      </c>
      <c r="Z19" s="115">
        <f>Total!Z43</f>
        <v>0</v>
      </c>
      <c r="AA19" s="115">
        <f>Total!AA43</f>
        <v>0</v>
      </c>
      <c r="AB19" s="115">
        <f>Total!AB43</f>
        <v>0</v>
      </c>
      <c r="AC19" s="115">
        <f>Total!AC43</f>
        <v>0</v>
      </c>
      <c r="AD19" s="115">
        <f>Total!AD43</f>
        <v>0</v>
      </c>
      <c r="AE19" s="115">
        <f>Total!AE43</f>
        <v>0</v>
      </c>
      <c r="AF19" s="115">
        <f>Total!AF43</f>
        <v>0</v>
      </c>
      <c r="AG19" s="115">
        <f>Total!AH43</f>
        <v>13832</v>
      </c>
      <c r="AO19" s="115" t="str">
        <f>表格1[[#Headers],[日本飯煲 RC-DS10K/18K]]</f>
        <v>日本飯煲 RC-DS10K/18K</v>
      </c>
      <c r="AP19" s="115" t="str">
        <f>表格1[[#Headers],[酵活炊電飯煲特佣 RC-18AMXH(W)]]</f>
        <v>酵活炊電飯煲特佣 RC-18AMXH(W)</v>
      </c>
      <c r="AQ19" s="115" t="str">
        <f>表格1[[#Headers],[嵌入式微波氣炸蒸焗爐特佣 EB-T500APW]]</f>
        <v>嵌入式微波氣炸蒸焗爐特佣 EB-T500APW</v>
      </c>
      <c r="AR19" s="115" t="str">
        <f>表格1[[#Headers],[蒸氣烤焗水波爐特佣 ER-VD7000HK(XK)]]</f>
        <v>蒸氣烤焗水波爐特佣 ER-VD7000HK(XK)</v>
      </c>
      <c r="AS19" s="115" t="str">
        <f>表格1[[#Headers],[TWDT21BU95 ]]</f>
        <v xml:space="preserve">TWDT21BU95 </v>
      </c>
      <c r="AT19" s="115" t="str">
        <f>表格1[[#Headers],[日式洗衣機一特佣 AW-Q800APH(WW)]]</f>
        <v>日式洗衣機一特佣 AW-Q800APH(WW)</v>
      </c>
      <c r="AU19" s="115" t="str">
        <f>表格1[[#Headers],[日式洗衣機二特佣 AW-Q801APH(WW)]]</f>
        <v>日式洗衣機二特佣 AW-Q801APH(WW)</v>
      </c>
      <c r="AV19" s="115" t="str">
        <f>表格1[[#Headers],[三門雪櫃特佣 GR-RM469WE-PGA(B3)]]</f>
        <v>三門雪櫃特佣 GR-RM469WE-PGA(B3)</v>
      </c>
      <c r="AW19" s="115" t="str">
        <f>表格1[[#Headers],[雙門雪櫃一特佣 GR-RB449WE-PMA(57)]]</f>
        <v>雙門雪櫃一特佣 GR-RB449WE-PMA(57)</v>
      </c>
      <c r="AX19" s="115" t="str">
        <f>表格1[[#Headers],[雙門雪櫃一特佣 GR-RB410WE-PMA(06)]]</f>
        <v>雙門雪櫃一特佣 GR-RB410WE-PMA(06)</v>
      </c>
      <c r="AY19" s="115" t="str">
        <f>表格1[[#Headers],[十字門雪櫃 GR-RF698WI]]</f>
        <v>十字門雪櫃 GR-RF698WI</v>
      </c>
      <c r="AZ19" s="115" t="str">
        <f>表格1[[#Headers],[水機 TWP-W2265THK(W)]]</f>
        <v>水機 TWP-W2265THK(W)</v>
      </c>
      <c r="BA19" s="115" t="str">
        <f>表格1[[#Headers],[抽濕機特佣]]</f>
        <v>抽濕機特佣</v>
      </c>
      <c r="BB19" s="115" t="str">
        <f>表格1[[#Headers],[(Fortress ONLY)TW-T25BZU115MWH(MG) ]]</f>
        <v>(Fortress ONLY)TW-T25BZU115MWH(MG) </v>
      </c>
      <c r="BC19" s="115" t="str">
        <f>表格1[[#Headers],[開門紅(三月)]]</f>
        <v>開門紅(三月)</v>
      </c>
      <c r="BD19" s="115" t="str">
        <f>表格1[[#Headers],[開門紅(第一季)]]</f>
        <v>開門紅(第一季)</v>
      </c>
      <c r="BE19" s="115" t="str">
        <f>表格1[[#Headers],[酵活炊電飯煲特佣 RC-18AMXH(W)]]</f>
        <v>酵活炊電飯煲特佣 RC-18AMXH(W)</v>
      </c>
    </row>
    <row r="20" spans="1:57" ht="26.25">
      <c r="A20" s="97">
        <v>40</v>
      </c>
      <c r="B20" s="114" t="str">
        <f t="shared" si="0"/>
        <v>2026-03 Toshiba</v>
      </c>
      <c r="C20" s="115" t="str">
        <f>Total!C47</f>
        <v>Hazel</v>
      </c>
      <c r="D20" s="115" t="str">
        <f>Total!D47</f>
        <v>Tan Xingfang</v>
      </c>
      <c r="E20" s="115">
        <f>Total!E47</f>
        <v>20868</v>
      </c>
      <c r="F20" s="115" t="str">
        <f>Total!F47</f>
        <v>Kai Tak_2 Sogo</v>
      </c>
      <c r="G20" s="115" t="str">
        <f>Total!G47</f>
        <v>Mar/1-4,7-8</v>
      </c>
      <c r="H20" s="115">
        <f>Total!H47</f>
        <v>6</v>
      </c>
      <c r="I20" s="115">
        <f>Total!I47</f>
        <v>48</v>
      </c>
      <c r="J20" s="115">
        <f>Total!J47</f>
        <v>65</v>
      </c>
      <c r="K20" s="115">
        <f>Total!K47</f>
        <v>3120</v>
      </c>
      <c r="L20" s="115">
        <f>Total!L47</f>
        <v>49436</v>
      </c>
      <c r="M20" s="115">
        <f>Total!M47</f>
        <v>0</v>
      </c>
      <c r="N20" s="115">
        <f>Total!N47</f>
        <v>675.52</v>
      </c>
      <c r="O20" s="115">
        <f>Total!O47</f>
        <v>0</v>
      </c>
      <c r="P20" s="115">
        <f>Total!P47</f>
        <v>0</v>
      </c>
      <c r="Q20" s="115">
        <f>Total!Q47</f>
        <v>0</v>
      </c>
      <c r="R20" s="115">
        <f>Total!R47</f>
        <v>0</v>
      </c>
      <c r="S20" s="115">
        <f>Total!S47</f>
        <v>0</v>
      </c>
      <c r="T20" s="115">
        <f>Total!T47</f>
        <v>0</v>
      </c>
      <c r="U20" s="115">
        <f>Total!U47</f>
        <v>0</v>
      </c>
      <c r="V20" s="115">
        <f>Total!V47</f>
        <v>0</v>
      </c>
      <c r="W20" s="115">
        <f>Total!W47</f>
        <v>0</v>
      </c>
      <c r="X20" s="115">
        <f>Total!X47</f>
        <v>0</v>
      </c>
      <c r="Y20" s="115">
        <f>Total!Y47</f>
        <v>0</v>
      </c>
      <c r="Z20" s="115">
        <f>Total!Z47</f>
        <v>0</v>
      </c>
      <c r="AA20" s="115">
        <f>Total!AA47</f>
        <v>0</v>
      </c>
      <c r="AB20" s="115">
        <f>Total!AB47</f>
        <v>0</v>
      </c>
      <c r="AC20" s="115">
        <f>Total!AC47</f>
        <v>0</v>
      </c>
      <c r="AD20" s="115">
        <f>Total!AD47</f>
        <v>0</v>
      </c>
      <c r="AE20" s="115">
        <f>Total!AE47</f>
        <v>0</v>
      </c>
      <c r="AF20" s="115">
        <f>Total!AF47</f>
        <v>0</v>
      </c>
      <c r="AG20" s="115">
        <f>Total!AH47</f>
        <v>3796</v>
      </c>
      <c r="AO20" s="115" t="str">
        <f>表格1[[#Headers],[日本飯煲 RC-DS10K/18K]]</f>
        <v>日本飯煲 RC-DS10K/18K</v>
      </c>
      <c r="AP20" s="115" t="str">
        <f>表格1[[#Headers],[酵活炊電飯煲特佣 RC-18AMXH(W)]]</f>
        <v>酵活炊電飯煲特佣 RC-18AMXH(W)</v>
      </c>
      <c r="AQ20" s="115" t="str">
        <f>表格1[[#Headers],[嵌入式微波氣炸蒸焗爐特佣 EB-T500APW]]</f>
        <v>嵌入式微波氣炸蒸焗爐特佣 EB-T500APW</v>
      </c>
      <c r="AR20" s="115" t="str">
        <f>表格1[[#Headers],[蒸氣烤焗水波爐特佣 ER-VD7000HK(XK)]]</f>
        <v>蒸氣烤焗水波爐特佣 ER-VD7000HK(XK)</v>
      </c>
      <c r="AS20" s="115" t="str">
        <f>表格1[[#Headers],[TWDT21BU95 ]]</f>
        <v xml:space="preserve">TWDT21BU95 </v>
      </c>
      <c r="AT20" s="115" t="str">
        <f>表格1[[#Headers],[日式洗衣機一特佣 AW-Q800APH(WW)]]</f>
        <v>日式洗衣機一特佣 AW-Q800APH(WW)</v>
      </c>
      <c r="AU20" s="115" t="str">
        <f>表格1[[#Headers],[日式洗衣機二特佣 AW-Q801APH(WW)]]</f>
        <v>日式洗衣機二特佣 AW-Q801APH(WW)</v>
      </c>
      <c r="AV20" s="115" t="str">
        <f>表格1[[#Headers],[三門雪櫃特佣 GR-RM469WE-PGA(B3)]]</f>
        <v>三門雪櫃特佣 GR-RM469WE-PGA(B3)</v>
      </c>
      <c r="AW20" s="115" t="str">
        <f>表格1[[#Headers],[雙門雪櫃一特佣 GR-RB449WE-PMA(57)]]</f>
        <v>雙門雪櫃一特佣 GR-RB449WE-PMA(57)</v>
      </c>
      <c r="AX20" s="115" t="str">
        <f>表格1[[#Headers],[雙門雪櫃一特佣 GR-RB410WE-PMA(06)]]</f>
        <v>雙門雪櫃一特佣 GR-RB410WE-PMA(06)</v>
      </c>
      <c r="AY20" s="115" t="str">
        <f>表格1[[#Headers],[十字門雪櫃 GR-RF698WI]]</f>
        <v>十字門雪櫃 GR-RF698WI</v>
      </c>
      <c r="AZ20" s="115" t="str">
        <f>表格1[[#Headers],[水機 TWP-W2265THK(W)]]</f>
        <v>水機 TWP-W2265THK(W)</v>
      </c>
      <c r="BA20" s="115" t="str">
        <f>表格1[[#Headers],[抽濕機特佣]]</f>
        <v>抽濕機特佣</v>
      </c>
      <c r="BB20" s="115" t="str">
        <f>表格1[[#Headers],[(Fortress ONLY)TW-T25BZU115MWH(MG) ]]</f>
        <v>(Fortress ONLY)TW-T25BZU115MWH(MG) </v>
      </c>
      <c r="BC20" s="115" t="str">
        <f>表格1[[#Headers],[開門紅(三月)]]</f>
        <v>開門紅(三月)</v>
      </c>
      <c r="BD20" s="115" t="str">
        <f>表格1[[#Headers],[開門紅(第一季)]]</f>
        <v>開門紅(第一季)</v>
      </c>
      <c r="BE20" s="115" t="str">
        <f>表格1[[#Headers],[酵活炊電飯煲特佣 RC-18AMXH(W)]]</f>
        <v>酵活炊電飯煲特佣 RC-18AMXH(W)</v>
      </c>
    </row>
    <row r="21" spans="1:57" ht="26.25">
      <c r="A21" s="116">
        <v>43</v>
      </c>
      <c r="B21" s="114" t="str">
        <f t="shared" si="0"/>
        <v>2026-03 Toshiba</v>
      </c>
      <c r="C21" s="115" t="str">
        <f>Total!C50</f>
        <v>Shirley</v>
      </c>
      <c r="D21" s="115" t="str">
        <f>Total!D50</f>
        <v>Sit Kwok Fong</v>
      </c>
      <c r="E21" s="115">
        <f>Total!E50</f>
        <v>20869</v>
      </c>
      <c r="F21" s="115" t="str">
        <f>Total!F50</f>
        <v>Kai Tak_5 Sogo</v>
      </c>
      <c r="G21" s="115" t="str">
        <f>Total!G50</f>
        <v>Mar/28-29</v>
      </c>
      <c r="H21" s="115">
        <f>Total!H50</f>
        <v>2</v>
      </c>
      <c r="I21" s="115">
        <f>Total!I50</f>
        <v>16</v>
      </c>
      <c r="J21" s="115">
        <f>Total!J50</f>
        <v>60</v>
      </c>
      <c r="K21" s="115">
        <f>Total!K50</f>
        <v>960</v>
      </c>
      <c r="L21" s="115">
        <f>Total!L50</f>
        <v>10016</v>
      </c>
      <c r="M21" s="115">
        <f>Total!M50</f>
        <v>0</v>
      </c>
      <c r="N21" s="115">
        <f>Total!N50</f>
        <v>200.32</v>
      </c>
      <c r="O21" s="115">
        <f>Total!O50</f>
        <v>0</v>
      </c>
      <c r="P21" s="115">
        <f>Total!P50</f>
        <v>0</v>
      </c>
      <c r="Q21" s="115">
        <f>Total!Q50</f>
        <v>0</v>
      </c>
      <c r="R21" s="115">
        <f>Total!R50</f>
        <v>0</v>
      </c>
      <c r="S21" s="115">
        <f>Total!S50</f>
        <v>0</v>
      </c>
      <c r="T21" s="115">
        <f>Total!T50</f>
        <v>0</v>
      </c>
      <c r="U21" s="115">
        <f>Total!U50</f>
        <v>0</v>
      </c>
      <c r="V21" s="115">
        <f>Total!V50</f>
        <v>0</v>
      </c>
      <c r="W21" s="115">
        <f>Total!W50</f>
        <v>0</v>
      </c>
      <c r="X21" s="115">
        <f>Total!X50</f>
        <v>0</v>
      </c>
      <c r="Y21" s="115">
        <f>Total!Y50</f>
        <v>0</v>
      </c>
      <c r="Z21" s="115">
        <f>Total!Z50</f>
        <v>0</v>
      </c>
      <c r="AA21" s="115">
        <f>Total!AA50</f>
        <v>0</v>
      </c>
      <c r="AB21" s="115">
        <f>Total!AB50</f>
        <v>0</v>
      </c>
      <c r="AC21" s="115">
        <f>Total!AC50</f>
        <v>0</v>
      </c>
      <c r="AD21" s="115">
        <f>Total!AD50</f>
        <v>0</v>
      </c>
      <c r="AE21" s="115">
        <f>Total!AE50</f>
        <v>0</v>
      </c>
      <c r="AF21" s="115">
        <f>Total!AF50</f>
        <v>0</v>
      </c>
      <c r="AG21" s="115">
        <f>Total!AH50</f>
        <v>1160</v>
      </c>
      <c r="AO21" s="115" t="str">
        <f>表格1[[#Headers],[日本飯煲 RC-DS10K/18K]]</f>
        <v>日本飯煲 RC-DS10K/18K</v>
      </c>
      <c r="AP21" s="115" t="str">
        <f>表格1[[#Headers],[酵活炊電飯煲特佣 RC-18AMXH(W)]]</f>
        <v>酵活炊電飯煲特佣 RC-18AMXH(W)</v>
      </c>
      <c r="AQ21" s="115" t="str">
        <f>表格1[[#Headers],[嵌入式微波氣炸蒸焗爐特佣 EB-T500APW]]</f>
        <v>嵌入式微波氣炸蒸焗爐特佣 EB-T500APW</v>
      </c>
      <c r="AR21" s="115" t="str">
        <f>表格1[[#Headers],[蒸氣烤焗水波爐特佣 ER-VD7000HK(XK)]]</f>
        <v>蒸氣烤焗水波爐特佣 ER-VD7000HK(XK)</v>
      </c>
      <c r="AS21" s="115" t="str">
        <f>表格1[[#Headers],[TWDT21BU95 ]]</f>
        <v xml:space="preserve">TWDT21BU95 </v>
      </c>
      <c r="AT21" s="115" t="str">
        <f>表格1[[#Headers],[日式洗衣機一特佣 AW-Q800APH(WW)]]</f>
        <v>日式洗衣機一特佣 AW-Q800APH(WW)</v>
      </c>
      <c r="AU21" s="115" t="str">
        <f>表格1[[#Headers],[日式洗衣機二特佣 AW-Q801APH(WW)]]</f>
        <v>日式洗衣機二特佣 AW-Q801APH(WW)</v>
      </c>
      <c r="AV21" s="115" t="str">
        <f>表格1[[#Headers],[三門雪櫃特佣 GR-RM469WE-PGA(B3)]]</f>
        <v>三門雪櫃特佣 GR-RM469WE-PGA(B3)</v>
      </c>
      <c r="AW21" s="115" t="str">
        <f>表格1[[#Headers],[雙門雪櫃一特佣 GR-RB449WE-PMA(57)]]</f>
        <v>雙門雪櫃一特佣 GR-RB449WE-PMA(57)</v>
      </c>
      <c r="AX21" s="115" t="str">
        <f>表格1[[#Headers],[雙門雪櫃一特佣 GR-RB410WE-PMA(06)]]</f>
        <v>雙門雪櫃一特佣 GR-RB410WE-PMA(06)</v>
      </c>
      <c r="AY21" s="115" t="str">
        <f>表格1[[#Headers],[十字門雪櫃 GR-RF698WI]]</f>
        <v>十字門雪櫃 GR-RF698WI</v>
      </c>
      <c r="AZ21" s="115" t="str">
        <f>表格1[[#Headers],[水機 TWP-W2265THK(W)]]</f>
        <v>水機 TWP-W2265THK(W)</v>
      </c>
      <c r="BA21" s="115" t="str">
        <f>表格1[[#Headers],[抽濕機特佣]]</f>
        <v>抽濕機特佣</v>
      </c>
      <c r="BB21" s="115" t="str">
        <f>表格1[[#Headers],[(Fortress ONLY)TW-T25BZU115MWH(MG) ]]</f>
        <v>(Fortress ONLY)TW-T25BZU115MWH(MG) </v>
      </c>
      <c r="BC21" s="115" t="str">
        <f>表格1[[#Headers],[開門紅(三月)]]</f>
        <v>開門紅(三月)</v>
      </c>
      <c r="BD21" s="115" t="str">
        <f>表格1[[#Headers],[開門紅(第一季)]]</f>
        <v>開門紅(第一季)</v>
      </c>
      <c r="BE21" s="115" t="str">
        <f>表格1[[#Headers],[酵活炊電飯煲特佣 RC-18AMXH(W)]]</f>
        <v>酵活炊電飯煲特佣 RC-18AMXH(W)</v>
      </c>
    </row>
    <row r="22" spans="1:57" ht="26.25">
      <c r="A22" s="97">
        <v>46</v>
      </c>
      <c r="B22" s="114" t="str">
        <f t="shared" si="0"/>
        <v>2026-03 Toshiba</v>
      </c>
      <c r="C22" s="115" t="str">
        <f>Total!C53</f>
        <v>Connie</v>
      </c>
      <c r="D22" s="115" t="str">
        <f>Total!D53</f>
        <v xml:space="preserve">Chan Siu Mui </v>
      </c>
      <c r="E22" s="115">
        <f>Total!E53</f>
        <v>20870</v>
      </c>
      <c r="F22" s="115" t="str">
        <f>Total!F53</f>
        <v>Mongkok_1 BBE</v>
      </c>
      <c r="G22" s="115" t="str">
        <f>Total!G53</f>
        <v>Mar/26-29</v>
      </c>
      <c r="H22" s="115">
        <f>Total!H53</f>
        <v>4</v>
      </c>
      <c r="I22" s="115">
        <f>Total!I53</f>
        <v>32</v>
      </c>
      <c r="J22" s="115">
        <f>Total!J53</f>
        <v>60</v>
      </c>
      <c r="K22" s="115">
        <f>Total!K53</f>
        <v>1920</v>
      </c>
      <c r="L22" s="115">
        <f>Total!L53</f>
        <v>0</v>
      </c>
      <c r="M22" s="115">
        <f>Total!M53</f>
        <v>0</v>
      </c>
      <c r="N22" s="115">
        <f>Total!N53</f>
        <v>0</v>
      </c>
      <c r="O22" s="115">
        <f>Total!O53</f>
        <v>0</v>
      </c>
      <c r="P22" s="115">
        <f>Total!P53</f>
        <v>0</v>
      </c>
      <c r="Q22" s="115">
        <f>Total!Q53</f>
        <v>0</v>
      </c>
      <c r="R22" s="115">
        <f>Total!R53</f>
        <v>0</v>
      </c>
      <c r="S22" s="115">
        <f>Total!S53</f>
        <v>0</v>
      </c>
      <c r="T22" s="115">
        <f>Total!T53</f>
        <v>0</v>
      </c>
      <c r="U22" s="115">
        <f>Total!U53</f>
        <v>0</v>
      </c>
      <c r="V22" s="115">
        <f>Total!V53</f>
        <v>0</v>
      </c>
      <c r="W22" s="115">
        <f>Total!W53</f>
        <v>0</v>
      </c>
      <c r="X22" s="115">
        <f>Total!X53</f>
        <v>0</v>
      </c>
      <c r="Y22" s="115">
        <f>Total!Y53</f>
        <v>0</v>
      </c>
      <c r="Z22" s="115">
        <f>Total!Z53</f>
        <v>0</v>
      </c>
      <c r="AA22" s="115">
        <f>Total!AA53</f>
        <v>0</v>
      </c>
      <c r="AB22" s="115">
        <f>Total!AB53</f>
        <v>0</v>
      </c>
      <c r="AC22" s="115">
        <f>Total!AC53</f>
        <v>0</v>
      </c>
      <c r="AD22" s="115">
        <f>Total!AD53</f>
        <v>0</v>
      </c>
      <c r="AE22" s="115">
        <f>Total!AE53</f>
        <v>0</v>
      </c>
      <c r="AF22" s="115">
        <f>Total!AF53</f>
        <v>0</v>
      </c>
      <c r="AG22" s="115">
        <f>Total!AH53</f>
        <v>1920</v>
      </c>
      <c r="AO22" s="115" t="str">
        <f>表格1[[#Headers],[日本飯煲 RC-DS10K/18K]]</f>
        <v>日本飯煲 RC-DS10K/18K</v>
      </c>
      <c r="AP22" s="115" t="str">
        <f>表格1[[#Headers],[酵活炊電飯煲特佣 RC-18AMXH(W)]]</f>
        <v>酵活炊電飯煲特佣 RC-18AMXH(W)</v>
      </c>
      <c r="AQ22" s="115" t="str">
        <f>表格1[[#Headers],[嵌入式微波氣炸蒸焗爐特佣 EB-T500APW]]</f>
        <v>嵌入式微波氣炸蒸焗爐特佣 EB-T500APW</v>
      </c>
      <c r="AR22" s="115" t="str">
        <f>表格1[[#Headers],[蒸氣烤焗水波爐特佣 ER-VD7000HK(XK)]]</f>
        <v>蒸氣烤焗水波爐特佣 ER-VD7000HK(XK)</v>
      </c>
      <c r="AS22" s="115" t="str">
        <f>表格1[[#Headers],[TWDT21BU95 ]]</f>
        <v xml:space="preserve">TWDT21BU95 </v>
      </c>
      <c r="AT22" s="115" t="str">
        <f>表格1[[#Headers],[日式洗衣機一特佣 AW-Q800APH(WW)]]</f>
        <v>日式洗衣機一特佣 AW-Q800APH(WW)</v>
      </c>
      <c r="AU22" s="115" t="str">
        <f>表格1[[#Headers],[日式洗衣機二特佣 AW-Q801APH(WW)]]</f>
        <v>日式洗衣機二特佣 AW-Q801APH(WW)</v>
      </c>
      <c r="AV22" s="115" t="str">
        <f>表格1[[#Headers],[三門雪櫃特佣 GR-RM469WE-PGA(B3)]]</f>
        <v>三門雪櫃特佣 GR-RM469WE-PGA(B3)</v>
      </c>
      <c r="AW22" s="115" t="str">
        <f>表格1[[#Headers],[雙門雪櫃一特佣 GR-RB449WE-PMA(57)]]</f>
        <v>雙門雪櫃一特佣 GR-RB449WE-PMA(57)</v>
      </c>
      <c r="AX22" s="115" t="str">
        <f>表格1[[#Headers],[雙門雪櫃一特佣 GR-RB410WE-PMA(06)]]</f>
        <v>雙門雪櫃一特佣 GR-RB410WE-PMA(06)</v>
      </c>
      <c r="AY22" s="115" t="str">
        <f>表格1[[#Headers],[十字門雪櫃 GR-RF698WI]]</f>
        <v>十字門雪櫃 GR-RF698WI</v>
      </c>
      <c r="AZ22" s="115" t="str">
        <f>表格1[[#Headers],[水機 TWP-W2265THK(W)]]</f>
        <v>水機 TWP-W2265THK(W)</v>
      </c>
      <c r="BA22" s="115" t="str">
        <f>表格1[[#Headers],[抽濕機特佣]]</f>
        <v>抽濕機特佣</v>
      </c>
      <c r="BB22" s="115" t="str">
        <f>表格1[[#Headers],[(Fortress ONLY)TW-T25BZU115MWH(MG) ]]</f>
        <v>(Fortress ONLY)TW-T25BZU115MWH(MG) </v>
      </c>
      <c r="BC22" s="115" t="str">
        <f>表格1[[#Headers],[開門紅(三月)]]</f>
        <v>開門紅(三月)</v>
      </c>
      <c r="BD22" s="115" t="str">
        <f>表格1[[#Headers],[開門紅(第一季)]]</f>
        <v>開門紅(第一季)</v>
      </c>
      <c r="BE22" s="115" t="str">
        <f>表格1[[#Headers],[酵活炊電飯煲特佣 RC-18AMXH(W)]]</f>
        <v>酵活炊電飯煲特佣 RC-18AMXH(W)</v>
      </c>
    </row>
    <row r="23" spans="1:57" ht="26.25">
      <c r="A23" s="114">
        <v>47</v>
      </c>
      <c r="B23" s="114" t="str">
        <f t="shared" si="0"/>
        <v>2026-03 Toshiba</v>
      </c>
      <c r="C23" s="115" t="str">
        <f>Total!C54</f>
        <v>Amy Or_2</v>
      </c>
      <c r="D23" s="115" t="str">
        <f>Total!D54</f>
        <v>Or Sim Kiu</v>
      </c>
      <c r="E23" s="115">
        <f>Total!E54</f>
        <v>20871</v>
      </c>
      <c r="F23" s="115" t="str">
        <f>Total!F54</f>
        <v>Mongkok_2 BBE</v>
      </c>
      <c r="G23" s="115" t="str">
        <f>Total!G54</f>
        <v>Mar/14-15,19-22</v>
      </c>
      <c r="H23" s="115">
        <f>Total!H54</f>
        <v>6</v>
      </c>
      <c r="I23" s="115">
        <f>Total!I54</f>
        <v>48</v>
      </c>
      <c r="J23" s="115">
        <f>Total!J54</f>
        <v>55</v>
      </c>
      <c r="K23" s="115">
        <f>Total!K54</f>
        <v>2640</v>
      </c>
      <c r="L23" s="115">
        <f>Total!L54</f>
        <v>95604</v>
      </c>
      <c r="M23" s="115">
        <f>Total!M54</f>
        <v>0</v>
      </c>
      <c r="N23" s="115">
        <f>Total!N54</f>
        <v>1912.08</v>
      </c>
      <c r="O23" s="115">
        <f>Total!O54</f>
        <v>180</v>
      </c>
      <c r="P23" s="115">
        <f>Total!P54</f>
        <v>0</v>
      </c>
      <c r="Q23" s="115">
        <f>Total!Q54</f>
        <v>0</v>
      </c>
      <c r="R23" s="115">
        <f>Total!R54</f>
        <v>0</v>
      </c>
      <c r="S23" s="115">
        <f>Total!S54</f>
        <v>0</v>
      </c>
      <c r="T23" s="115">
        <f>Total!T54</f>
        <v>0</v>
      </c>
      <c r="U23" s="115">
        <f>Total!U54</f>
        <v>0</v>
      </c>
      <c r="V23" s="115">
        <f>Total!V54</f>
        <v>0</v>
      </c>
      <c r="W23" s="115">
        <f>Total!W54</f>
        <v>0</v>
      </c>
      <c r="X23" s="115">
        <f>Total!X54</f>
        <v>0</v>
      </c>
      <c r="Y23" s="115">
        <f>Total!Y54</f>
        <v>0</v>
      </c>
      <c r="Z23" s="115">
        <f>Total!Z54</f>
        <v>0</v>
      </c>
      <c r="AA23" s="115">
        <f>Total!AA54</f>
        <v>0</v>
      </c>
      <c r="AB23" s="115">
        <f>Total!AB54</f>
        <v>0</v>
      </c>
      <c r="AC23" s="115">
        <f>Total!AC54</f>
        <v>0</v>
      </c>
      <c r="AD23" s="115">
        <f>Total!AD54</f>
        <v>0</v>
      </c>
      <c r="AE23" s="115">
        <f>Total!AE54</f>
        <v>0</v>
      </c>
      <c r="AF23" s="115">
        <f>Total!AF54</f>
        <v>0</v>
      </c>
      <c r="AG23" s="115">
        <f>Total!AH54</f>
        <v>4732</v>
      </c>
      <c r="AO23" s="115" t="str">
        <f>表格1[[#Headers],[日本飯煲 RC-DS10K/18K]]</f>
        <v>日本飯煲 RC-DS10K/18K</v>
      </c>
      <c r="AP23" s="115" t="str">
        <f>表格1[[#Headers],[酵活炊電飯煲特佣 RC-18AMXH(W)]]</f>
        <v>酵活炊電飯煲特佣 RC-18AMXH(W)</v>
      </c>
      <c r="AQ23" s="115" t="str">
        <f>表格1[[#Headers],[嵌入式微波氣炸蒸焗爐特佣 EB-T500APW]]</f>
        <v>嵌入式微波氣炸蒸焗爐特佣 EB-T500APW</v>
      </c>
      <c r="AR23" s="115" t="str">
        <f>表格1[[#Headers],[蒸氣烤焗水波爐特佣 ER-VD7000HK(XK)]]</f>
        <v>蒸氣烤焗水波爐特佣 ER-VD7000HK(XK)</v>
      </c>
      <c r="AS23" s="115" t="str">
        <f>表格1[[#Headers],[TWDT21BU95 ]]</f>
        <v xml:space="preserve">TWDT21BU95 </v>
      </c>
      <c r="AT23" s="115" t="str">
        <f>表格1[[#Headers],[日式洗衣機一特佣 AW-Q800APH(WW)]]</f>
        <v>日式洗衣機一特佣 AW-Q800APH(WW)</v>
      </c>
      <c r="AU23" s="115" t="str">
        <f>表格1[[#Headers],[日式洗衣機二特佣 AW-Q801APH(WW)]]</f>
        <v>日式洗衣機二特佣 AW-Q801APH(WW)</v>
      </c>
      <c r="AV23" s="115" t="str">
        <f>表格1[[#Headers],[三門雪櫃特佣 GR-RM469WE-PGA(B3)]]</f>
        <v>三門雪櫃特佣 GR-RM469WE-PGA(B3)</v>
      </c>
      <c r="AW23" s="115" t="str">
        <f>表格1[[#Headers],[雙門雪櫃一特佣 GR-RB449WE-PMA(57)]]</f>
        <v>雙門雪櫃一特佣 GR-RB449WE-PMA(57)</v>
      </c>
      <c r="AX23" s="115" t="str">
        <f>表格1[[#Headers],[雙門雪櫃一特佣 GR-RB410WE-PMA(06)]]</f>
        <v>雙門雪櫃一特佣 GR-RB410WE-PMA(06)</v>
      </c>
      <c r="AY23" s="115" t="str">
        <f>表格1[[#Headers],[十字門雪櫃 GR-RF698WI]]</f>
        <v>十字門雪櫃 GR-RF698WI</v>
      </c>
      <c r="AZ23" s="115" t="str">
        <f>表格1[[#Headers],[水機 TWP-W2265THK(W)]]</f>
        <v>水機 TWP-W2265THK(W)</v>
      </c>
      <c r="BA23" s="115" t="str">
        <f>表格1[[#Headers],[抽濕機特佣]]</f>
        <v>抽濕機特佣</v>
      </c>
      <c r="BB23" s="115" t="str">
        <f>表格1[[#Headers],[(Fortress ONLY)TW-T25BZU115MWH(MG) ]]</f>
        <v>(Fortress ONLY)TW-T25BZU115MWH(MG) </v>
      </c>
      <c r="BC23" s="115" t="str">
        <f>表格1[[#Headers],[開門紅(三月)]]</f>
        <v>開門紅(三月)</v>
      </c>
      <c r="BD23" s="115" t="str">
        <f>表格1[[#Headers],[開門紅(第一季)]]</f>
        <v>開門紅(第一季)</v>
      </c>
      <c r="BE23" s="115" t="str">
        <f>表格1[[#Headers],[酵活炊電飯煲特佣 RC-18AMXH(W)]]</f>
        <v>酵活炊電飯煲特佣 RC-18AMXH(W)</v>
      </c>
    </row>
    <row r="24" spans="1:57" ht="26.25">
      <c r="A24" s="116">
        <v>50</v>
      </c>
      <c r="B24" s="114" t="str">
        <f t="shared" si="0"/>
        <v>2026-03 Toshiba</v>
      </c>
      <c r="C24" s="115" t="str">
        <f>Total!C57</f>
        <v>Terence_1</v>
      </c>
      <c r="D24" s="115" t="str">
        <f>Total!D57</f>
        <v>Tsang Tak Kin</v>
      </c>
      <c r="E24" s="115">
        <f>Total!E57</f>
        <v>20872</v>
      </c>
      <c r="F24" s="115" t="str">
        <f>Total!F57</f>
        <v>Tai Koo_3 Apita</v>
      </c>
      <c r="G24" s="115" t="str">
        <f>Total!G57</f>
        <v>Mar/19-20,25</v>
      </c>
      <c r="H24" s="115">
        <f>Total!H57</f>
        <v>3</v>
      </c>
      <c r="I24" s="115">
        <f>Total!I57</f>
        <v>24</v>
      </c>
      <c r="J24" s="115">
        <f>Total!J57</f>
        <v>60</v>
      </c>
      <c r="K24" s="115">
        <f>Total!K57</f>
        <v>1440</v>
      </c>
      <c r="L24" s="115">
        <f>Total!L57</f>
        <v>11043</v>
      </c>
      <c r="M24" s="115">
        <f>Total!M57</f>
        <v>0</v>
      </c>
      <c r="N24" s="115">
        <f>Total!N57</f>
        <v>220.86</v>
      </c>
      <c r="O24" s="115">
        <f>Total!O57</f>
        <v>0</v>
      </c>
      <c r="P24" s="115">
        <f>Total!P57</f>
        <v>0</v>
      </c>
      <c r="Q24" s="115">
        <f>Total!Q57</f>
        <v>0</v>
      </c>
      <c r="R24" s="115">
        <f>Total!R57</f>
        <v>0</v>
      </c>
      <c r="S24" s="115">
        <f>Total!S57</f>
        <v>0</v>
      </c>
      <c r="T24" s="115">
        <f>Total!T57</f>
        <v>0</v>
      </c>
      <c r="U24" s="115">
        <f>Total!U57</f>
        <v>0</v>
      </c>
      <c r="V24" s="115">
        <f>Total!V57</f>
        <v>0</v>
      </c>
      <c r="W24" s="115">
        <f>Total!W57</f>
        <v>0</v>
      </c>
      <c r="X24" s="115">
        <f>Total!X57</f>
        <v>0</v>
      </c>
      <c r="Y24" s="115">
        <f>Total!Y57</f>
        <v>0</v>
      </c>
      <c r="Z24" s="115">
        <f>Total!Z57</f>
        <v>0</v>
      </c>
      <c r="AA24" s="115">
        <f>Total!AA57</f>
        <v>0</v>
      </c>
      <c r="AB24" s="115">
        <f>Total!AB57</f>
        <v>0</v>
      </c>
      <c r="AC24" s="115">
        <f>Total!AC57</f>
        <v>0</v>
      </c>
      <c r="AD24" s="115">
        <f>Total!AD57</f>
        <v>0</v>
      </c>
      <c r="AE24" s="115">
        <f>Total!AE57</f>
        <v>0</v>
      </c>
      <c r="AF24" s="115">
        <f>Total!AF57</f>
        <v>0</v>
      </c>
      <c r="AG24" s="115">
        <f>Total!AH57</f>
        <v>1661</v>
      </c>
      <c r="AO24" s="115" t="str">
        <f>表格1[[#Headers],[日本飯煲 RC-DS10K/18K]]</f>
        <v>日本飯煲 RC-DS10K/18K</v>
      </c>
      <c r="AP24" s="115" t="str">
        <f>表格1[[#Headers],[酵活炊電飯煲特佣 RC-18AMXH(W)]]</f>
        <v>酵活炊電飯煲特佣 RC-18AMXH(W)</v>
      </c>
      <c r="AQ24" s="115" t="str">
        <f>表格1[[#Headers],[嵌入式微波氣炸蒸焗爐特佣 EB-T500APW]]</f>
        <v>嵌入式微波氣炸蒸焗爐特佣 EB-T500APW</v>
      </c>
      <c r="AR24" s="115" t="str">
        <f>表格1[[#Headers],[蒸氣烤焗水波爐特佣 ER-VD7000HK(XK)]]</f>
        <v>蒸氣烤焗水波爐特佣 ER-VD7000HK(XK)</v>
      </c>
      <c r="AS24" s="115" t="str">
        <f>表格1[[#Headers],[TWDT21BU95 ]]</f>
        <v xml:space="preserve">TWDT21BU95 </v>
      </c>
      <c r="AT24" s="115" t="str">
        <f>表格1[[#Headers],[日式洗衣機一特佣 AW-Q800APH(WW)]]</f>
        <v>日式洗衣機一特佣 AW-Q800APH(WW)</v>
      </c>
      <c r="AU24" s="115" t="str">
        <f>表格1[[#Headers],[日式洗衣機二特佣 AW-Q801APH(WW)]]</f>
        <v>日式洗衣機二特佣 AW-Q801APH(WW)</v>
      </c>
      <c r="AV24" s="115" t="str">
        <f>表格1[[#Headers],[三門雪櫃特佣 GR-RM469WE-PGA(B3)]]</f>
        <v>三門雪櫃特佣 GR-RM469WE-PGA(B3)</v>
      </c>
      <c r="AW24" s="115" t="str">
        <f>表格1[[#Headers],[雙門雪櫃一特佣 GR-RB449WE-PMA(57)]]</f>
        <v>雙門雪櫃一特佣 GR-RB449WE-PMA(57)</v>
      </c>
      <c r="AX24" s="115" t="str">
        <f>表格1[[#Headers],[雙門雪櫃一特佣 GR-RB410WE-PMA(06)]]</f>
        <v>雙門雪櫃一特佣 GR-RB410WE-PMA(06)</v>
      </c>
      <c r="AY24" s="115" t="str">
        <f>表格1[[#Headers],[十字門雪櫃 GR-RF698WI]]</f>
        <v>十字門雪櫃 GR-RF698WI</v>
      </c>
      <c r="AZ24" s="115" t="str">
        <f>表格1[[#Headers],[水機 TWP-W2265THK(W)]]</f>
        <v>水機 TWP-W2265THK(W)</v>
      </c>
      <c r="BA24" s="115" t="str">
        <f>表格1[[#Headers],[抽濕機特佣]]</f>
        <v>抽濕機特佣</v>
      </c>
      <c r="BB24" s="115" t="str">
        <f>表格1[[#Headers],[(Fortress ONLY)TW-T25BZU115MWH(MG) ]]</f>
        <v>(Fortress ONLY)TW-T25BZU115MWH(MG) </v>
      </c>
      <c r="BC24" s="115" t="str">
        <f>表格1[[#Headers],[開門紅(三月)]]</f>
        <v>開門紅(三月)</v>
      </c>
      <c r="BD24" s="115" t="str">
        <f>表格1[[#Headers],[開門紅(第一季)]]</f>
        <v>開門紅(第一季)</v>
      </c>
      <c r="BE24" s="115" t="str">
        <f>表格1[[#Headers],[酵活炊電飯煲特佣 RC-18AMXH(W)]]</f>
        <v>酵活炊電飯煲特佣 RC-18AMXH(W)</v>
      </c>
    </row>
    <row r="25" spans="1:57" ht="26.25">
      <c r="A25" s="114">
        <v>51</v>
      </c>
      <c r="B25" s="114" t="str">
        <f t="shared" si="0"/>
        <v>2026-03 Toshiba</v>
      </c>
      <c r="C25" s="115" t="str">
        <f>Total!C58</f>
        <v>PoWan</v>
      </c>
      <c r="D25" s="115" t="str">
        <f>Total!D58</f>
        <v>Ng Po Wan</v>
      </c>
      <c r="E25" s="115">
        <f>Total!E58</f>
        <v>20873</v>
      </c>
      <c r="F25" s="115" t="str">
        <f>Total!F58</f>
        <v>Kln Bay Demo Broadway</v>
      </c>
      <c r="G25" s="115" t="str">
        <f>Total!G58</f>
        <v>Mar/1-9</v>
      </c>
      <c r="H25" s="115">
        <f>Total!H58</f>
        <v>9</v>
      </c>
      <c r="I25" s="115">
        <f>Total!I58</f>
        <v>72</v>
      </c>
      <c r="J25" s="115">
        <f>Total!J58</f>
        <v>80</v>
      </c>
      <c r="K25" s="115">
        <f>Total!K58</f>
        <v>5760</v>
      </c>
      <c r="L25" s="115">
        <f>Total!L58</f>
        <v>172594</v>
      </c>
      <c r="M25" s="115">
        <f>Total!M58</f>
        <v>0</v>
      </c>
      <c r="N25" s="115">
        <f>Total!N58</f>
        <v>3451.88</v>
      </c>
      <c r="O25" s="115">
        <f>Total!O58</f>
        <v>0</v>
      </c>
      <c r="P25" s="115">
        <f>Total!P58</f>
        <v>0</v>
      </c>
      <c r="Q25" s="115">
        <f>Total!Q58</f>
        <v>0</v>
      </c>
      <c r="R25" s="115">
        <f>Total!R58</f>
        <v>0</v>
      </c>
      <c r="S25" s="115">
        <f>Total!S58</f>
        <v>0</v>
      </c>
      <c r="T25" s="115">
        <f>Total!T58</f>
        <v>0</v>
      </c>
      <c r="U25" s="115">
        <f>Total!U58</f>
        <v>0</v>
      </c>
      <c r="V25" s="115">
        <f>Total!V58</f>
        <v>0</v>
      </c>
      <c r="W25" s="115">
        <f>Total!W58</f>
        <v>0</v>
      </c>
      <c r="X25" s="115">
        <f>Total!X58</f>
        <v>0</v>
      </c>
      <c r="Y25" s="115">
        <f>Total!Y58</f>
        <v>0</v>
      </c>
      <c r="Z25" s="115">
        <f>Total!Z58</f>
        <v>0</v>
      </c>
      <c r="AA25" s="115">
        <f>Total!AA58</f>
        <v>0</v>
      </c>
      <c r="AB25" s="115">
        <f>Total!AB58</f>
        <v>0</v>
      </c>
      <c r="AC25" s="115">
        <f>Total!AC58</f>
        <v>0</v>
      </c>
      <c r="AD25" s="115">
        <f>Total!AD58</f>
        <v>0</v>
      </c>
      <c r="AE25" s="115">
        <f>Total!AE58</f>
        <v>0</v>
      </c>
      <c r="AF25" s="115">
        <f>Total!AF58</f>
        <v>1510</v>
      </c>
      <c r="AG25" s="115">
        <f>Total!AH58</f>
        <v>10722</v>
      </c>
      <c r="AO25" s="115" t="str">
        <f>表格1[[#Headers],[日本飯煲 RC-DS10K/18K]]</f>
        <v>日本飯煲 RC-DS10K/18K</v>
      </c>
      <c r="AP25" s="115" t="str">
        <f>表格1[[#Headers],[酵活炊電飯煲特佣 RC-18AMXH(W)]]</f>
        <v>酵活炊電飯煲特佣 RC-18AMXH(W)</v>
      </c>
      <c r="AQ25" s="115" t="str">
        <f>表格1[[#Headers],[嵌入式微波氣炸蒸焗爐特佣 EB-T500APW]]</f>
        <v>嵌入式微波氣炸蒸焗爐特佣 EB-T500APW</v>
      </c>
      <c r="AR25" s="115" t="str">
        <f>表格1[[#Headers],[蒸氣烤焗水波爐特佣 ER-VD7000HK(XK)]]</f>
        <v>蒸氣烤焗水波爐特佣 ER-VD7000HK(XK)</v>
      </c>
      <c r="AS25" s="115" t="str">
        <f>表格1[[#Headers],[TWDT21BU95 ]]</f>
        <v xml:space="preserve">TWDT21BU95 </v>
      </c>
      <c r="AT25" s="115" t="str">
        <f>表格1[[#Headers],[日式洗衣機一特佣 AW-Q800APH(WW)]]</f>
        <v>日式洗衣機一特佣 AW-Q800APH(WW)</v>
      </c>
      <c r="AU25" s="115" t="str">
        <f>表格1[[#Headers],[日式洗衣機二特佣 AW-Q801APH(WW)]]</f>
        <v>日式洗衣機二特佣 AW-Q801APH(WW)</v>
      </c>
      <c r="AV25" s="115" t="str">
        <f>表格1[[#Headers],[三門雪櫃特佣 GR-RM469WE-PGA(B3)]]</f>
        <v>三門雪櫃特佣 GR-RM469WE-PGA(B3)</v>
      </c>
      <c r="AW25" s="115" t="str">
        <f>表格1[[#Headers],[雙門雪櫃一特佣 GR-RB449WE-PMA(57)]]</f>
        <v>雙門雪櫃一特佣 GR-RB449WE-PMA(57)</v>
      </c>
      <c r="AX25" s="115" t="str">
        <f>表格1[[#Headers],[雙門雪櫃一特佣 GR-RB410WE-PMA(06)]]</f>
        <v>雙門雪櫃一特佣 GR-RB410WE-PMA(06)</v>
      </c>
      <c r="AY25" s="115" t="str">
        <f>表格1[[#Headers],[十字門雪櫃 GR-RF698WI]]</f>
        <v>十字門雪櫃 GR-RF698WI</v>
      </c>
      <c r="AZ25" s="115" t="str">
        <f>表格1[[#Headers],[水機 TWP-W2265THK(W)]]</f>
        <v>水機 TWP-W2265THK(W)</v>
      </c>
      <c r="BA25" s="115" t="str">
        <f>表格1[[#Headers],[抽濕機特佣]]</f>
        <v>抽濕機特佣</v>
      </c>
      <c r="BB25" s="115" t="str">
        <f>表格1[[#Headers],[(Fortress ONLY)TW-T25BZU115MWH(MG) ]]</f>
        <v>(Fortress ONLY)TW-T25BZU115MWH(MG) </v>
      </c>
      <c r="BC25" s="115" t="str">
        <f>表格1[[#Headers],[開門紅(三月)]]</f>
        <v>開門紅(三月)</v>
      </c>
      <c r="BD25" s="115" t="str">
        <f>表格1[[#Headers],[開門紅(第一季)]]</f>
        <v>開門紅(第一季)</v>
      </c>
      <c r="BE25" s="115" t="str">
        <f>表格1[[#Headers],[酵活炊電飯煲特佣 RC-18AMXH(W)]]</f>
        <v>酵活炊電飯煲特佣 RC-18AMXH(W)</v>
      </c>
    </row>
    <row r="26" spans="1:57" ht="26.25">
      <c r="A26" s="116">
        <v>52</v>
      </c>
      <c r="B26" s="114" t="str">
        <f t="shared" si="0"/>
        <v>2026-03 Toshiba</v>
      </c>
      <c r="C26" s="115" t="str">
        <f>Total!C59</f>
        <v>Maggie Ho_2</v>
      </c>
      <c r="D26" s="115" t="str">
        <f>Total!D59</f>
        <v>Ho Lai Kuen</v>
      </c>
      <c r="E26" s="115">
        <f>Total!E59</f>
        <v>20874</v>
      </c>
      <c r="F26" s="115" t="str">
        <f>Total!F59</f>
        <v>CWB Sogo</v>
      </c>
      <c r="G26" s="115" t="str">
        <f>Total!G59</f>
        <v>Mar/16-17,20-21,23-24,26-27</v>
      </c>
      <c r="H26" s="115">
        <f>Total!H59</f>
        <v>8</v>
      </c>
      <c r="I26" s="115">
        <f>Total!I59</f>
        <v>64</v>
      </c>
      <c r="J26" s="115">
        <f>Total!J59</f>
        <v>65</v>
      </c>
      <c r="K26" s="115">
        <f>Total!K59</f>
        <v>4160</v>
      </c>
      <c r="L26" s="115">
        <f>Total!L59</f>
        <v>71785</v>
      </c>
      <c r="M26" s="115">
        <f>Total!M59</f>
        <v>0</v>
      </c>
      <c r="N26" s="115">
        <f>Total!N59</f>
        <v>1435.7</v>
      </c>
      <c r="O26" s="115">
        <f>Total!O59</f>
        <v>0</v>
      </c>
      <c r="P26" s="115">
        <f>Total!P59</f>
        <v>0</v>
      </c>
      <c r="Q26" s="115">
        <f>Total!Q59</f>
        <v>0</v>
      </c>
      <c r="R26" s="115">
        <f>Total!R59</f>
        <v>0</v>
      </c>
      <c r="S26" s="115">
        <f>Total!S59</f>
        <v>0</v>
      </c>
      <c r="T26" s="115">
        <f>Total!T59</f>
        <v>0</v>
      </c>
      <c r="U26" s="115">
        <f>Total!U59</f>
        <v>0</v>
      </c>
      <c r="V26" s="115">
        <f>Total!V59</f>
        <v>0</v>
      </c>
      <c r="W26" s="115">
        <f>Total!W59</f>
        <v>0</v>
      </c>
      <c r="X26" s="115">
        <f>Total!X59</f>
        <v>0</v>
      </c>
      <c r="Y26" s="115">
        <f>Total!Y59</f>
        <v>0</v>
      </c>
      <c r="Z26" s="115">
        <f>Total!Z59</f>
        <v>0</v>
      </c>
      <c r="AA26" s="115">
        <f>Total!AA59</f>
        <v>0</v>
      </c>
      <c r="AB26" s="115">
        <f>Total!AB59</f>
        <v>0</v>
      </c>
      <c r="AC26" s="115">
        <f>Total!AC59</f>
        <v>0</v>
      </c>
      <c r="AD26" s="115">
        <f>Total!AD59</f>
        <v>0</v>
      </c>
      <c r="AE26" s="115">
        <f>Total!AE59</f>
        <v>0</v>
      </c>
      <c r="AF26" s="115">
        <f>Total!AF59</f>
        <v>0</v>
      </c>
      <c r="AG26" s="115">
        <f>Total!AH59</f>
        <v>5596</v>
      </c>
      <c r="AO26" s="115" t="str">
        <f>表格1[[#Headers],[日本飯煲 RC-DS10K/18K]]</f>
        <v>日本飯煲 RC-DS10K/18K</v>
      </c>
      <c r="AP26" s="115" t="str">
        <f>表格1[[#Headers],[酵活炊電飯煲特佣 RC-18AMXH(W)]]</f>
        <v>酵活炊電飯煲特佣 RC-18AMXH(W)</v>
      </c>
      <c r="AQ26" s="115" t="str">
        <f>表格1[[#Headers],[嵌入式微波氣炸蒸焗爐特佣 EB-T500APW]]</f>
        <v>嵌入式微波氣炸蒸焗爐特佣 EB-T500APW</v>
      </c>
      <c r="AR26" s="115" t="str">
        <f>表格1[[#Headers],[蒸氣烤焗水波爐特佣 ER-VD7000HK(XK)]]</f>
        <v>蒸氣烤焗水波爐特佣 ER-VD7000HK(XK)</v>
      </c>
      <c r="AS26" s="115" t="str">
        <f>表格1[[#Headers],[TWDT21BU95 ]]</f>
        <v xml:space="preserve">TWDT21BU95 </v>
      </c>
      <c r="AT26" s="115" t="str">
        <f>表格1[[#Headers],[日式洗衣機一特佣 AW-Q800APH(WW)]]</f>
        <v>日式洗衣機一特佣 AW-Q800APH(WW)</v>
      </c>
      <c r="AU26" s="115" t="str">
        <f>表格1[[#Headers],[日式洗衣機二特佣 AW-Q801APH(WW)]]</f>
        <v>日式洗衣機二特佣 AW-Q801APH(WW)</v>
      </c>
      <c r="AV26" s="115" t="str">
        <f>表格1[[#Headers],[三門雪櫃特佣 GR-RM469WE-PGA(B3)]]</f>
        <v>三門雪櫃特佣 GR-RM469WE-PGA(B3)</v>
      </c>
      <c r="AW26" s="115" t="str">
        <f>表格1[[#Headers],[雙門雪櫃一特佣 GR-RB449WE-PMA(57)]]</f>
        <v>雙門雪櫃一特佣 GR-RB449WE-PMA(57)</v>
      </c>
      <c r="AX26" s="115" t="str">
        <f>表格1[[#Headers],[雙門雪櫃一特佣 GR-RB410WE-PMA(06)]]</f>
        <v>雙門雪櫃一特佣 GR-RB410WE-PMA(06)</v>
      </c>
      <c r="AY26" s="115" t="str">
        <f>表格1[[#Headers],[十字門雪櫃 GR-RF698WI]]</f>
        <v>十字門雪櫃 GR-RF698WI</v>
      </c>
      <c r="AZ26" s="115" t="str">
        <f>表格1[[#Headers],[水機 TWP-W2265THK(W)]]</f>
        <v>水機 TWP-W2265THK(W)</v>
      </c>
      <c r="BA26" s="115" t="str">
        <f>表格1[[#Headers],[抽濕機特佣]]</f>
        <v>抽濕機特佣</v>
      </c>
      <c r="BB26" s="115" t="str">
        <f>表格1[[#Headers],[(Fortress ONLY)TW-T25BZU115MWH(MG) ]]</f>
        <v>(Fortress ONLY)TW-T25BZU115MWH(MG) </v>
      </c>
      <c r="BC26" s="115" t="str">
        <f>表格1[[#Headers],[開門紅(三月)]]</f>
        <v>開門紅(三月)</v>
      </c>
      <c r="BD26" s="115" t="str">
        <f>表格1[[#Headers],[開門紅(第一季)]]</f>
        <v>開門紅(第一季)</v>
      </c>
      <c r="BE26" s="115" t="str">
        <f>表格1[[#Headers],[酵活炊電飯煲特佣 RC-18AMXH(W)]]</f>
        <v>酵活炊電飯煲特佣 RC-18AMXH(W)</v>
      </c>
    </row>
    <row r="27" spans="1:57" ht="26.25">
      <c r="A27" s="114">
        <v>54</v>
      </c>
      <c r="B27" s="114" t="str">
        <f t="shared" si="0"/>
        <v>2026-03 Toshiba</v>
      </c>
      <c r="C27" s="115" t="str">
        <f>Total!C61</f>
        <v>Ho_2</v>
      </c>
      <c r="D27" s="115" t="str">
        <f>Total!D61</f>
        <v>Kwan Tit Ho</v>
      </c>
      <c r="E27" s="115">
        <f>Total!E61</f>
        <v>20875</v>
      </c>
      <c r="F27" s="115" t="str">
        <f>Total!F61</f>
        <v>TC RS Tung Yuen</v>
      </c>
      <c r="G27" s="115" t="str">
        <f>Total!G61</f>
        <v>Mar/20-23</v>
      </c>
      <c r="H27" s="115">
        <f>Total!H61</f>
        <v>4</v>
      </c>
      <c r="I27" s="115">
        <f>Total!I61</f>
        <v>32</v>
      </c>
      <c r="J27" s="115">
        <f>Total!J61</f>
        <v>60</v>
      </c>
      <c r="K27" s="115">
        <f>Total!K61</f>
        <v>1920</v>
      </c>
      <c r="L27" s="115">
        <f>Total!L61</f>
        <v>75226</v>
      </c>
      <c r="M27" s="115">
        <f>Total!M61</f>
        <v>0</v>
      </c>
      <c r="N27" s="115">
        <f>Total!N61</f>
        <v>1504.52</v>
      </c>
      <c r="O27" s="115">
        <f>Total!O61</f>
        <v>0</v>
      </c>
      <c r="P27" s="115">
        <f>Total!P61</f>
        <v>0</v>
      </c>
      <c r="Q27" s="115">
        <f>Total!Q61</f>
        <v>0</v>
      </c>
      <c r="R27" s="115">
        <f>Total!R61</f>
        <v>0</v>
      </c>
      <c r="S27" s="115">
        <f>Total!S61</f>
        <v>0</v>
      </c>
      <c r="T27" s="115">
        <f>Total!T61</f>
        <v>0</v>
      </c>
      <c r="U27" s="115">
        <f>Total!U61</f>
        <v>0</v>
      </c>
      <c r="V27" s="115">
        <f>Total!V61</f>
        <v>0</v>
      </c>
      <c r="W27" s="115">
        <f>Total!W61</f>
        <v>0</v>
      </c>
      <c r="X27" s="115">
        <f>Total!X61</f>
        <v>0</v>
      </c>
      <c r="Y27" s="115">
        <f>Total!Y61</f>
        <v>0</v>
      </c>
      <c r="Z27" s="115">
        <f>Total!Z61</f>
        <v>0</v>
      </c>
      <c r="AA27" s="115">
        <f>Total!AA61</f>
        <v>0</v>
      </c>
      <c r="AB27" s="115">
        <f>Total!AB61</f>
        <v>0</v>
      </c>
      <c r="AC27" s="115">
        <f>Total!AC61</f>
        <v>0</v>
      </c>
      <c r="AD27" s="115">
        <f>Total!AD61</f>
        <v>0</v>
      </c>
      <c r="AE27" s="115">
        <f>Total!AE61</f>
        <v>0</v>
      </c>
      <c r="AF27" s="115">
        <f>Total!AF61</f>
        <v>0</v>
      </c>
      <c r="AG27" s="115">
        <f>Total!AH61</f>
        <v>3425</v>
      </c>
      <c r="AO27" s="115" t="str">
        <f>表格1[[#Headers],[日本飯煲 RC-DS10K/18K]]</f>
        <v>日本飯煲 RC-DS10K/18K</v>
      </c>
      <c r="AP27" s="115" t="str">
        <f>表格1[[#Headers],[酵活炊電飯煲特佣 RC-18AMXH(W)]]</f>
        <v>酵活炊電飯煲特佣 RC-18AMXH(W)</v>
      </c>
      <c r="AQ27" s="115" t="str">
        <f>表格1[[#Headers],[嵌入式微波氣炸蒸焗爐特佣 EB-T500APW]]</f>
        <v>嵌入式微波氣炸蒸焗爐特佣 EB-T500APW</v>
      </c>
      <c r="AR27" s="115" t="str">
        <f>表格1[[#Headers],[蒸氣烤焗水波爐特佣 ER-VD7000HK(XK)]]</f>
        <v>蒸氣烤焗水波爐特佣 ER-VD7000HK(XK)</v>
      </c>
      <c r="AS27" s="115" t="str">
        <f>表格1[[#Headers],[TWDT21BU95 ]]</f>
        <v xml:space="preserve">TWDT21BU95 </v>
      </c>
      <c r="AT27" s="115" t="str">
        <f>表格1[[#Headers],[日式洗衣機一特佣 AW-Q800APH(WW)]]</f>
        <v>日式洗衣機一特佣 AW-Q800APH(WW)</v>
      </c>
      <c r="AU27" s="115" t="str">
        <f>表格1[[#Headers],[日式洗衣機二特佣 AW-Q801APH(WW)]]</f>
        <v>日式洗衣機二特佣 AW-Q801APH(WW)</v>
      </c>
      <c r="AV27" s="115" t="str">
        <f>表格1[[#Headers],[三門雪櫃特佣 GR-RM469WE-PGA(B3)]]</f>
        <v>三門雪櫃特佣 GR-RM469WE-PGA(B3)</v>
      </c>
      <c r="AW27" s="115" t="str">
        <f>表格1[[#Headers],[雙門雪櫃一特佣 GR-RB449WE-PMA(57)]]</f>
        <v>雙門雪櫃一特佣 GR-RB449WE-PMA(57)</v>
      </c>
      <c r="AX27" s="115" t="str">
        <f>表格1[[#Headers],[雙門雪櫃一特佣 GR-RB410WE-PMA(06)]]</f>
        <v>雙門雪櫃一特佣 GR-RB410WE-PMA(06)</v>
      </c>
      <c r="AY27" s="115" t="str">
        <f>表格1[[#Headers],[十字門雪櫃 GR-RF698WI]]</f>
        <v>十字門雪櫃 GR-RF698WI</v>
      </c>
      <c r="AZ27" s="115" t="str">
        <f>表格1[[#Headers],[水機 TWP-W2265THK(W)]]</f>
        <v>水機 TWP-W2265THK(W)</v>
      </c>
      <c r="BA27" s="115" t="str">
        <f>表格1[[#Headers],[抽濕機特佣]]</f>
        <v>抽濕機特佣</v>
      </c>
      <c r="BB27" s="115" t="str">
        <f>表格1[[#Headers],[(Fortress ONLY)TW-T25BZU115MWH(MG) ]]</f>
        <v>(Fortress ONLY)TW-T25BZU115MWH(MG) </v>
      </c>
      <c r="BC27" s="115" t="str">
        <f>表格1[[#Headers],[開門紅(三月)]]</f>
        <v>開門紅(三月)</v>
      </c>
      <c r="BD27" s="115" t="str">
        <f>表格1[[#Headers],[開門紅(第一季)]]</f>
        <v>開門紅(第一季)</v>
      </c>
      <c r="BE27" s="115" t="str">
        <f>表格1[[#Headers],[酵活炊電飯煲特佣 RC-18AMXH(W)]]</f>
        <v>酵活炊電飯煲特佣 RC-18AMXH(W)</v>
      </c>
    </row>
    <row r="28" spans="1:57" ht="26.25">
      <c r="A28" s="114">
        <v>55</v>
      </c>
      <c r="B28" s="114" t="str">
        <f t="shared" si="0"/>
        <v>2026-03 Toshiba</v>
      </c>
      <c r="C28" s="115" t="str">
        <f>Total!C62</f>
        <v>Terence_2</v>
      </c>
      <c r="D28" s="115" t="str">
        <f>Total!D62</f>
        <v>Tsang Tak Kin</v>
      </c>
      <c r="E28" s="115">
        <f>Total!E62</f>
        <v>20876</v>
      </c>
      <c r="F28" s="115" t="str">
        <f>Total!F62</f>
        <v>TM RS Fortress</v>
      </c>
      <c r="G28" s="115" t="str">
        <f>Total!G62</f>
        <v>Mar/27-30</v>
      </c>
      <c r="H28" s="115">
        <f>Total!H62</f>
        <v>4</v>
      </c>
      <c r="I28" s="115">
        <f>Total!I62</f>
        <v>40</v>
      </c>
      <c r="J28" s="115">
        <f>Total!J62</f>
        <v>60</v>
      </c>
      <c r="K28" s="115">
        <f>Total!K62</f>
        <v>2400</v>
      </c>
      <c r="L28" s="115">
        <f>Total!L62</f>
        <v>542192</v>
      </c>
      <c r="M28" s="115">
        <f>Total!M62</f>
        <v>0</v>
      </c>
      <c r="N28" s="115">
        <f>Total!N62</f>
        <v>5421.92</v>
      </c>
      <c r="O28" s="115">
        <f>Total!O62</f>
        <v>0</v>
      </c>
      <c r="P28" s="115">
        <f>Total!P62</f>
        <v>0</v>
      </c>
      <c r="Q28" s="115">
        <f>Total!Q62</f>
        <v>0</v>
      </c>
      <c r="R28" s="115">
        <f>Total!R62</f>
        <v>0</v>
      </c>
      <c r="S28" s="115">
        <f>Total!S62</f>
        <v>0</v>
      </c>
      <c r="T28" s="115">
        <f>Total!T62</f>
        <v>0</v>
      </c>
      <c r="U28" s="115">
        <f>Total!U62</f>
        <v>0</v>
      </c>
      <c r="V28" s="115">
        <f>Total!V62</f>
        <v>0</v>
      </c>
      <c r="W28" s="115">
        <f>Total!W62</f>
        <v>0</v>
      </c>
      <c r="X28" s="115">
        <f>Total!X62</f>
        <v>0</v>
      </c>
      <c r="Y28" s="115">
        <f>Total!Y62</f>
        <v>0</v>
      </c>
      <c r="Z28" s="115">
        <f>Total!Z62</f>
        <v>0</v>
      </c>
      <c r="AA28" s="115">
        <f>Total!AA62</f>
        <v>0</v>
      </c>
      <c r="AB28" s="115">
        <f>Total!AB62</f>
        <v>0</v>
      </c>
      <c r="AC28" s="115">
        <f>Total!AC62</f>
        <v>0</v>
      </c>
      <c r="AD28" s="115">
        <f>Total!AD62</f>
        <v>0</v>
      </c>
      <c r="AE28" s="115">
        <f>Total!AE62</f>
        <v>0</v>
      </c>
      <c r="AF28" s="115">
        <f>Total!AF62</f>
        <v>0</v>
      </c>
      <c r="AG28" s="115">
        <f>Total!AH62</f>
        <v>7822</v>
      </c>
      <c r="AO28" s="115" t="str">
        <f>表格1[[#Headers],[日本飯煲 RC-DS10K/18K]]</f>
        <v>日本飯煲 RC-DS10K/18K</v>
      </c>
      <c r="AP28" s="115" t="str">
        <f>表格1[[#Headers],[酵活炊電飯煲特佣 RC-18AMXH(W)]]</f>
        <v>酵活炊電飯煲特佣 RC-18AMXH(W)</v>
      </c>
      <c r="AQ28" s="115" t="str">
        <f>表格1[[#Headers],[嵌入式微波氣炸蒸焗爐特佣 EB-T500APW]]</f>
        <v>嵌入式微波氣炸蒸焗爐特佣 EB-T500APW</v>
      </c>
      <c r="AR28" s="115" t="str">
        <f>表格1[[#Headers],[蒸氣烤焗水波爐特佣 ER-VD7000HK(XK)]]</f>
        <v>蒸氣烤焗水波爐特佣 ER-VD7000HK(XK)</v>
      </c>
      <c r="AS28" s="115" t="str">
        <f>表格1[[#Headers],[TWDT21BU95 ]]</f>
        <v xml:space="preserve">TWDT21BU95 </v>
      </c>
      <c r="AT28" s="115" t="str">
        <f>表格1[[#Headers],[日式洗衣機一特佣 AW-Q800APH(WW)]]</f>
        <v>日式洗衣機一特佣 AW-Q800APH(WW)</v>
      </c>
      <c r="AU28" s="115" t="str">
        <f>表格1[[#Headers],[日式洗衣機二特佣 AW-Q801APH(WW)]]</f>
        <v>日式洗衣機二特佣 AW-Q801APH(WW)</v>
      </c>
      <c r="AV28" s="115" t="str">
        <f>表格1[[#Headers],[三門雪櫃特佣 GR-RM469WE-PGA(B3)]]</f>
        <v>三門雪櫃特佣 GR-RM469WE-PGA(B3)</v>
      </c>
      <c r="AW28" s="115" t="str">
        <f>表格1[[#Headers],[雙門雪櫃一特佣 GR-RB449WE-PMA(57)]]</f>
        <v>雙門雪櫃一特佣 GR-RB449WE-PMA(57)</v>
      </c>
      <c r="AX28" s="115" t="str">
        <f>表格1[[#Headers],[雙門雪櫃一特佣 GR-RB410WE-PMA(06)]]</f>
        <v>雙門雪櫃一特佣 GR-RB410WE-PMA(06)</v>
      </c>
      <c r="AY28" s="115" t="str">
        <f>表格1[[#Headers],[十字門雪櫃 GR-RF698WI]]</f>
        <v>十字門雪櫃 GR-RF698WI</v>
      </c>
      <c r="AZ28" s="115" t="str">
        <f>表格1[[#Headers],[水機 TWP-W2265THK(W)]]</f>
        <v>水機 TWP-W2265THK(W)</v>
      </c>
      <c r="BA28" s="115" t="str">
        <f>表格1[[#Headers],[抽濕機特佣]]</f>
        <v>抽濕機特佣</v>
      </c>
      <c r="BB28" s="115" t="str">
        <f>表格1[[#Headers],[(Fortress ONLY)TW-T25BZU115MWH(MG) ]]</f>
        <v>(Fortress ONLY)TW-T25BZU115MWH(MG) </v>
      </c>
      <c r="BC28" s="115" t="str">
        <f>表格1[[#Headers],[開門紅(三月)]]</f>
        <v>開門紅(三月)</v>
      </c>
      <c r="BD28" s="115" t="str">
        <f>表格1[[#Headers],[開門紅(第一季)]]</f>
        <v>開門紅(第一季)</v>
      </c>
      <c r="BE28" s="115" t="str">
        <f>表格1[[#Headers],[酵活炊電飯煲特佣 RC-18AMXH(W)]]</f>
        <v>酵活炊電飯煲特佣 RC-18AMXH(W)</v>
      </c>
    </row>
    <row r="29" spans="1:57" ht="26.25">
      <c r="A29" s="114">
        <v>56</v>
      </c>
      <c r="B29" s="114" t="str">
        <f t="shared" si="0"/>
        <v>2026-03 Toshiba</v>
      </c>
      <c r="C29" s="115" t="str">
        <f>Total!C63</f>
        <v>Ho_1</v>
      </c>
      <c r="D29" s="115" t="str">
        <f>Total!D63</f>
        <v>Kwan Tit Ho</v>
      </c>
      <c r="E29" s="115">
        <f>Total!E63</f>
        <v>20877</v>
      </c>
      <c r="F29" s="115" t="str">
        <f>Total!F63</f>
        <v>Tsuen Wan Aeon</v>
      </c>
      <c r="G29" s="115" t="str">
        <f>Total!G63</f>
        <v>Mar/1-3,5-12,14-15</v>
      </c>
      <c r="H29" s="115">
        <f>Total!H63</f>
        <v>13</v>
      </c>
      <c r="I29" s="115">
        <f>Total!I63</f>
        <v>104</v>
      </c>
      <c r="J29" s="115">
        <f>Total!J63</f>
        <v>60</v>
      </c>
      <c r="K29" s="115">
        <f>Total!K63</f>
        <v>6240</v>
      </c>
      <c r="L29" s="115">
        <f>Total!L63</f>
        <v>111304</v>
      </c>
      <c r="M29" s="115">
        <f>Total!M63</f>
        <v>0</v>
      </c>
      <c r="N29" s="115">
        <f>Total!N63</f>
        <v>2226.08</v>
      </c>
      <c r="O29" s="115">
        <f>Total!O63</f>
        <v>0</v>
      </c>
      <c r="P29" s="115">
        <f>Total!P63</f>
        <v>0</v>
      </c>
      <c r="Q29" s="115">
        <f>Total!Q63</f>
        <v>0</v>
      </c>
      <c r="R29" s="115">
        <f>Total!R63</f>
        <v>0</v>
      </c>
      <c r="S29" s="115">
        <f>Total!S63</f>
        <v>0</v>
      </c>
      <c r="T29" s="115">
        <f>Total!T63</f>
        <v>0</v>
      </c>
      <c r="U29" s="115">
        <f>Total!U63</f>
        <v>0</v>
      </c>
      <c r="V29" s="115">
        <f>Total!V63</f>
        <v>0</v>
      </c>
      <c r="W29" s="115">
        <f>Total!W63</f>
        <v>0</v>
      </c>
      <c r="X29" s="115">
        <f>Total!X63</f>
        <v>0</v>
      </c>
      <c r="Y29" s="115">
        <f>Total!Y63</f>
        <v>0</v>
      </c>
      <c r="Z29" s="115">
        <f>Total!Z63</f>
        <v>0</v>
      </c>
      <c r="AA29" s="115">
        <f>Total!AA63</f>
        <v>0</v>
      </c>
      <c r="AB29" s="115">
        <f>Total!AB63</f>
        <v>0</v>
      </c>
      <c r="AC29" s="115">
        <f>Total!AC63</f>
        <v>0</v>
      </c>
      <c r="AD29" s="115">
        <f>Total!AD63</f>
        <v>0</v>
      </c>
      <c r="AE29" s="115">
        <f>Total!AE63</f>
        <v>0</v>
      </c>
      <c r="AF29" s="115">
        <f>Total!AF63</f>
        <v>0</v>
      </c>
      <c r="AG29" s="115">
        <f>Total!AH63</f>
        <v>8466</v>
      </c>
      <c r="AO29" s="115" t="str">
        <f>表格1[[#Headers],[日本飯煲 RC-DS10K/18K]]</f>
        <v>日本飯煲 RC-DS10K/18K</v>
      </c>
      <c r="AP29" s="115" t="str">
        <f>表格1[[#Headers],[酵活炊電飯煲特佣 RC-18AMXH(W)]]</f>
        <v>酵活炊電飯煲特佣 RC-18AMXH(W)</v>
      </c>
      <c r="AQ29" s="115" t="str">
        <f>表格1[[#Headers],[嵌入式微波氣炸蒸焗爐特佣 EB-T500APW]]</f>
        <v>嵌入式微波氣炸蒸焗爐特佣 EB-T500APW</v>
      </c>
      <c r="AR29" s="115" t="str">
        <f>表格1[[#Headers],[蒸氣烤焗水波爐特佣 ER-VD7000HK(XK)]]</f>
        <v>蒸氣烤焗水波爐特佣 ER-VD7000HK(XK)</v>
      </c>
      <c r="AS29" s="115" t="str">
        <f>表格1[[#Headers],[TWDT21BU95 ]]</f>
        <v xml:space="preserve">TWDT21BU95 </v>
      </c>
      <c r="AT29" s="115" t="str">
        <f>表格1[[#Headers],[日式洗衣機一特佣 AW-Q800APH(WW)]]</f>
        <v>日式洗衣機一特佣 AW-Q800APH(WW)</v>
      </c>
      <c r="AU29" s="115" t="str">
        <f>表格1[[#Headers],[日式洗衣機二特佣 AW-Q801APH(WW)]]</f>
        <v>日式洗衣機二特佣 AW-Q801APH(WW)</v>
      </c>
      <c r="AV29" s="115" t="str">
        <f>表格1[[#Headers],[三門雪櫃特佣 GR-RM469WE-PGA(B3)]]</f>
        <v>三門雪櫃特佣 GR-RM469WE-PGA(B3)</v>
      </c>
      <c r="AW29" s="115" t="str">
        <f>表格1[[#Headers],[雙門雪櫃一特佣 GR-RB449WE-PMA(57)]]</f>
        <v>雙門雪櫃一特佣 GR-RB449WE-PMA(57)</v>
      </c>
      <c r="AX29" s="115" t="str">
        <f>表格1[[#Headers],[雙門雪櫃一特佣 GR-RB410WE-PMA(06)]]</f>
        <v>雙門雪櫃一特佣 GR-RB410WE-PMA(06)</v>
      </c>
      <c r="AY29" s="115" t="str">
        <f>表格1[[#Headers],[十字門雪櫃 GR-RF698WI]]</f>
        <v>十字門雪櫃 GR-RF698WI</v>
      </c>
      <c r="AZ29" s="115" t="str">
        <f>表格1[[#Headers],[水機 TWP-W2265THK(W)]]</f>
        <v>水機 TWP-W2265THK(W)</v>
      </c>
      <c r="BA29" s="115" t="str">
        <f>表格1[[#Headers],[抽濕機特佣]]</f>
        <v>抽濕機特佣</v>
      </c>
      <c r="BB29" s="115" t="str">
        <f>表格1[[#Headers],[(Fortress ONLY)TW-T25BZU115MWH(MG) ]]</f>
        <v>(Fortress ONLY)TW-T25BZU115MWH(MG) </v>
      </c>
      <c r="BC29" s="115" t="str">
        <f>表格1[[#Headers],[開門紅(三月)]]</f>
        <v>開門紅(三月)</v>
      </c>
      <c r="BD29" s="115" t="str">
        <f>表格1[[#Headers],[開門紅(第一季)]]</f>
        <v>開門紅(第一季)</v>
      </c>
      <c r="BE29" s="115" t="str">
        <f>表格1[[#Headers],[酵活炊電飯煲特佣 RC-18AMXH(W)]]</f>
        <v>酵活炊電飯煲特佣 RC-18AMXH(W)</v>
      </c>
    </row>
    <row r="30" spans="1:57" ht="26.25">
      <c r="A30" s="97">
        <v>57</v>
      </c>
      <c r="B30" s="114" t="str">
        <f t="shared" si="0"/>
        <v>2026-03 Toshiba</v>
      </c>
      <c r="C30" s="115" t="str">
        <f>Total!C64</f>
        <v>Winnie</v>
      </c>
      <c r="D30" s="115" t="str">
        <f>Total!D64</f>
        <v>Lee Yee Wan</v>
      </c>
      <c r="E30" s="115">
        <f>Total!E64</f>
        <v>20878</v>
      </c>
      <c r="F30" s="115" t="str">
        <f>Total!F64</f>
        <v>Panda Aeon</v>
      </c>
      <c r="G30" s="115" t="str">
        <f>Total!G64</f>
        <v>Mar/1,7-8,14-15</v>
      </c>
      <c r="H30" s="115">
        <f>Total!H64</f>
        <v>5</v>
      </c>
      <c r="I30" s="115">
        <f>Total!I64</f>
        <v>40</v>
      </c>
      <c r="J30" s="115">
        <f>Total!J64</f>
        <v>60</v>
      </c>
      <c r="K30" s="115">
        <f>Total!K64</f>
        <v>2400</v>
      </c>
      <c r="L30" s="115">
        <f>Total!L64</f>
        <v>66360</v>
      </c>
      <c r="M30" s="115">
        <f>Total!M64</f>
        <v>0</v>
      </c>
      <c r="N30" s="115">
        <f>Total!N64</f>
        <v>1327.2</v>
      </c>
      <c r="O30" s="115">
        <f>Total!O64</f>
        <v>0</v>
      </c>
      <c r="P30" s="115">
        <f>Total!P64</f>
        <v>0</v>
      </c>
      <c r="Q30" s="115">
        <f>Total!Q64</f>
        <v>0</v>
      </c>
      <c r="R30" s="115">
        <f>Total!R64</f>
        <v>0</v>
      </c>
      <c r="S30" s="115">
        <f>Total!S64</f>
        <v>0</v>
      </c>
      <c r="T30" s="115">
        <f>Total!T64</f>
        <v>0</v>
      </c>
      <c r="U30" s="115">
        <f>Total!U64</f>
        <v>0</v>
      </c>
      <c r="V30" s="115">
        <f>Total!V64</f>
        <v>0</v>
      </c>
      <c r="W30" s="115">
        <f>Total!W64</f>
        <v>0</v>
      </c>
      <c r="X30" s="115">
        <f>Total!X64</f>
        <v>0</v>
      </c>
      <c r="Y30" s="115">
        <f>Total!Y64</f>
        <v>0</v>
      </c>
      <c r="Z30" s="115">
        <f>Total!Z64</f>
        <v>0</v>
      </c>
      <c r="AA30" s="115">
        <f>Total!AA64</f>
        <v>0</v>
      </c>
      <c r="AB30" s="115">
        <f>Total!AB64</f>
        <v>0</v>
      </c>
      <c r="AC30" s="115">
        <f>Total!AC64</f>
        <v>0</v>
      </c>
      <c r="AD30" s="115">
        <f>Total!AD64</f>
        <v>0</v>
      </c>
      <c r="AE30" s="115">
        <f>Total!AE64</f>
        <v>0</v>
      </c>
      <c r="AF30" s="115">
        <f>Total!AF64</f>
        <v>0</v>
      </c>
      <c r="AG30" s="115">
        <f>Total!AH64</f>
        <v>3727</v>
      </c>
      <c r="AO30" s="115" t="str">
        <f>表格1[[#Headers],[日本飯煲 RC-DS10K/18K]]</f>
        <v>日本飯煲 RC-DS10K/18K</v>
      </c>
      <c r="AP30" s="115" t="str">
        <f>表格1[[#Headers],[酵活炊電飯煲特佣 RC-18AMXH(W)]]</f>
        <v>酵活炊電飯煲特佣 RC-18AMXH(W)</v>
      </c>
      <c r="AQ30" s="115" t="str">
        <f>表格1[[#Headers],[嵌入式微波氣炸蒸焗爐特佣 EB-T500APW]]</f>
        <v>嵌入式微波氣炸蒸焗爐特佣 EB-T500APW</v>
      </c>
      <c r="AR30" s="115" t="str">
        <f>表格1[[#Headers],[蒸氣烤焗水波爐特佣 ER-VD7000HK(XK)]]</f>
        <v>蒸氣烤焗水波爐特佣 ER-VD7000HK(XK)</v>
      </c>
      <c r="AS30" s="115" t="str">
        <f>表格1[[#Headers],[TWDT21BU95 ]]</f>
        <v xml:space="preserve">TWDT21BU95 </v>
      </c>
      <c r="AT30" s="115" t="str">
        <f>表格1[[#Headers],[日式洗衣機一特佣 AW-Q800APH(WW)]]</f>
        <v>日式洗衣機一特佣 AW-Q800APH(WW)</v>
      </c>
      <c r="AU30" s="115" t="str">
        <f>表格1[[#Headers],[日式洗衣機二特佣 AW-Q801APH(WW)]]</f>
        <v>日式洗衣機二特佣 AW-Q801APH(WW)</v>
      </c>
      <c r="AV30" s="115" t="str">
        <f>表格1[[#Headers],[三門雪櫃特佣 GR-RM469WE-PGA(B3)]]</f>
        <v>三門雪櫃特佣 GR-RM469WE-PGA(B3)</v>
      </c>
      <c r="AW30" s="115" t="str">
        <f>表格1[[#Headers],[雙門雪櫃一特佣 GR-RB449WE-PMA(57)]]</f>
        <v>雙門雪櫃一特佣 GR-RB449WE-PMA(57)</v>
      </c>
      <c r="AX30" s="115" t="str">
        <f>表格1[[#Headers],[雙門雪櫃一特佣 GR-RB410WE-PMA(06)]]</f>
        <v>雙門雪櫃一特佣 GR-RB410WE-PMA(06)</v>
      </c>
      <c r="AY30" s="115" t="str">
        <f>表格1[[#Headers],[十字門雪櫃 GR-RF698WI]]</f>
        <v>十字門雪櫃 GR-RF698WI</v>
      </c>
      <c r="AZ30" s="115" t="str">
        <f>表格1[[#Headers],[水機 TWP-W2265THK(W)]]</f>
        <v>水機 TWP-W2265THK(W)</v>
      </c>
      <c r="BA30" s="115" t="str">
        <f>表格1[[#Headers],[抽濕機特佣]]</f>
        <v>抽濕機特佣</v>
      </c>
      <c r="BB30" s="115" t="str">
        <f>表格1[[#Headers],[(Fortress ONLY)TW-T25BZU115MWH(MG) ]]</f>
        <v>(Fortress ONLY)TW-T25BZU115MWH(MG) </v>
      </c>
      <c r="BC30" s="115" t="str">
        <f>表格1[[#Headers],[開門紅(三月)]]</f>
        <v>開門紅(三月)</v>
      </c>
      <c r="BD30" s="115" t="str">
        <f>表格1[[#Headers],[開門紅(第一季)]]</f>
        <v>開門紅(第一季)</v>
      </c>
      <c r="BE30" s="115" t="str">
        <f>表格1[[#Headers],[酵活炊電飯煲特佣 RC-18AMXH(W)]]</f>
        <v>酵活炊電飯煲特佣 RC-18AMXH(W)</v>
      </c>
    </row>
    <row r="31" spans="1:57" ht="26.25">
      <c r="A31" s="114">
        <v>58</v>
      </c>
      <c r="B31" s="114" t="str">
        <f t="shared" si="0"/>
        <v>2026-03 Toshiba</v>
      </c>
      <c r="C31" s="115" t="str">
        <f>Total!C65</f>
        <v>Wendy Lau</v>
      </c>
      <c r="D31" s="115" t="str">
        <f>Total!D65</f>
        <v>Lau Kwan Wai</v>
      </c>
      <c r="E31" s="115">
        <f>Total!E65</f>
        <v>20879</v>
      </c>
      <c r="F31" s="115" t="str">
        <f>Total!F65</f>
        <v>LCK Aeon</v>
      </c>
      <c r="G31" s="115" t="str">
        <f>Total!G65</f>
        <v>Mar/1,7-8,14-15</v>
      </c>
      <c r="H31" s="115">
        <f>Total!H65</f>
        <v>5</v>
      </c>
      <c r="I31" s="115">
        <f>Total!I65</f>
        <v>40</v>
      </c>
      <c r="J31" s="115">
        <f>Total!J65</f>
        <v>60</v>
      </c>
      <c r="K31" s="115">
        <f>Total!K65</f>
        <v>2400</v>
      </c>
      <c r="L31" s="115">
        <f>Total!L65</f>
        <v>79014</v>
      </c>
      <c r="M31" s="115">
        <f>Total!M65</f>
        <v>0</v>
      </c>
      <c r="N31" s="115">
        <f>Total!N65</f>
        <v>1580.28</v>
      </c>
      <c r="O31" s="115">
        <f>Total!O65</f>
        <v>0</v>
      </c>
      <c r="P31" s="115">
        <f>Total!P65</f>
        <v>0</v>
      </c>
      <c r="Q31" s="115">
        <f>Total!Q65</f>
        <v>0</v>
      </c>
      <c r="R31" s="115">
        <f>Total!R65</f>
        <v>0</v>
      </c>
      <c r="S31" s="115">
        <f>Total!S65</f>
        <v>0</v>
      </c>
      <c r="T31" s="115">
        <f>Total!T65</f>
        <v>0</v>
      </c>
      <c r="U31" s="115">
        <f>Total!U65</f>
        <v>0</v>
      </c>
      <c r="V31" s="115">
        <f>Total!V65</f>
        <v>0</v>
      </c>
      <c r="W31" s="115">
        <f>Total!W65</f>
        <v>0</v>
      </c>
      <c r="X31" s="115">
        <f>Total!X65</f>
        <v>0</v>
      </c>
      <c r="Y31" s="115">
        <f>Total!Y65</f>
        <v>0</v>
      </c>
      <c r="Z31" s="115">
        <f>Total!Z65</f>
        <v>0</v>
      </c>
      <c r="AA31" s="115">
        <f>Total!AA65</f>
        <v>0</v>
      </c>
      <c r="AB31" s="115">
        <f>Total!AB65</f>
        <v>0</v>
      </c>
      <c r="AC31" s="115">
        <f>Total!AC65</f>
        <v>0</v>
      </c>
      <c r="AD31" s="115">
        <f>Total!AD65</f>
        <v>0</v>
      </c>
      <c r="AE31" s="115">
        <f>Total!AE65</f>
        <v>0</v>
      </c>
      <c r="AF31" s="115">
        <f>Total!AF65</f>
        <v>0</v>
      </c>
      <c r="AG31" s="115">
        <f>Total!AH65</f>
        <v>3980</v>
      </c>
      <c r="AO31" s="115" t="str">
        <f>表格1[[#Headers],[日本飯煲 RC-DS10K/18K]]</f>
        <v>日本飯煲 RC-DS10K/18K</v>
      </c>
      <c r="AP31" s="115" t="str">
        <f>表格1[[#Headers],[酵活炊電飯煲特佣 RC-18AMXH(W)]]</f>
        <v>酵活炊電飯煲特佣 RC-18AMXH(W)</v>
      </c>
      <c r="AQ31" s="115" t="str">
        <f>表格1[[#Headers],[嵌入式微波氣炸蒸焗爐特佣 EB-T500APW]]</f>
        <v>嵌入式微波氣炸蒸焗爐特佣 EB-T500APW</v>
      </c>
      <c r="AR31" s="115" t="str">
        <f>表格1[[#Headers],[蒸氣烤焗水波爐特佣 ER-VD7000HK(XK)]]</f>
        <v>蒸氣烤焗水波爐特佣 ER-VD7000HK(XK)</v>
      </c>
      <c r="AS31" s="115" t="str">
        <f>表格1[[#Headers],[TWDT21BU95 ]]</f>
        <v xml:space="preserve">TWDT21BU95 </v>
      </c>
      <c r="AT31" s="115" t="str">
        <f>表格1[[#Headers],[日式洗衣機一特佣 AW-Q800APH(WW)]]</f>
        <v>日式洗衣機一特佣 AW-Q800APH(WW)</v>
      </c>
      <c r="AU31" s="115" t="str">
        <f>表格1[[#Headers],[日式洗衣機二特佣 AW-Q801APH(WW)]]</f>
        <v>日式洗衣機二特佣 AW-Q801APH(WW)</v>
      </c>
      <c r="AV31" s="115" t="str">
        <f>表格1[[#Headers],[三門雪櫃特佣 GR-RM469WE-PGA(B3)]]</f>
        <v>三門雪櫃特佣 GR-RM469WE-PGA(B3)</v>
      </c>
      <c r="AW31" s="115" t="str">
        <f>表格1[[#Headers],[雙門雪櫃一特佣 GR-RB449WE-PMA(57)]]</f>
        <v>雙門雪櫃一特佣 GR-RB449WE-PMA(57)</v>
      </c>
      <c r="AX31" s="115" t="str">
        <f>表格1[[#Headers],[雙門雪櫃一特佣 GR-RB410WE-PMA(06)]]</f>
        <v>雙門雪櫃一特佣 GR-RB410WE-PMA(06)</v>
      </c>
      <c r="AY31" s="115" t="str">
        <f>表格1[[#Headers],[十字門雪櫃 GR-RF698WI]]</f>
        <v>十字門雪櫃 GR-RF698WI</v>
      </c>
      <c r="AZ31" s="115" t="str">
        <f>表格1[[#Headers],[水機 TWP-W2265THK(W)]]</f>
        <v>水機 TWP-W2265THK(W)</v>
      </c>
      <c r="BA31" s="115" t="str">
        <f>表格1[[#Headers],[抽濕機特佣]]</f>
        <v>抽濕機特佣</v>
      </c>
      <c r="BB31" s="115" t="str">
        <f>表格1[[#Headers],[(Fortress ONLY)TW-T25BZU115MWH(MG) ]]</f>
        <v>(Fortress ONLY)TW-T25BZU115MWH(MG) </v>
      </c>
      <c r="BC31" s="115" t="str">
        <f>表格1[[#Headers],[開門紅(三月)]]</f>
        <v>開門紅(三月)</v>
      </c>
      <c r="BD31" s="115" t="str">
        <f>表格1[[#Headers],[開門紅(第一季)]]</f>
        <v>開門紅(第一季)</v>
      </c>
      <c r="BE31" s="115" t="str">
        <f>表格1[[#Headers],[酵活炊電飯煲特佣 RC-18AMXH(W)]]</f>
        <v>酵活炊電飯煲特佣 RC-18AMXH(W)</v>
      </c>
    </row>
    <row r="32" spans="1:57" ht="26.25">
      <c r="A32" s="114">
        <v>61</v>
      </c>
      <c r="B32" s="114" t="str">
        <f t="shared" si="0"/>
        <v>2026-03 Toshiba</v>
      </c>
      <c r="C32" s="115" t="str">
        <f>Total!C68</f>
        <v>Maggie Ho_1</v>
      </c>
      <c r="D32" s="115" t="str">
        <f>Total!D68</f>
        <v>Ho Lai Kuen</v>
      </c>
      <c r="E32" s="115">
        <f>Total!E68</f>
        <v>20880</v>
      </c>
      <c r="F32" s="115" t="str">
        <f>Total!F68</f>
        <v>TKO Aeon</v>
      </c>
      <c r="G32" s="115" t="str">
        <f>Total!G68</f>
        <v>Mar/1,7-8,14-15</v>
      </c>
      <c r="H32" s="115">
        <f>Total!H68</f>
        <v>5</v>
      </c>
      <c r="I32" s="115">
        <f>Total!I68</f>
        <v>40</v>
      </c>
      <c r="J32" s="115">
        <f>Total!J68</f>
        <v>65</v>
      </c>
      <c r="K32" s="115">
        <f>Total!K68</f>
        <v>2600</v>
      </c>
      <c r="L32" s="115">
        <f>Total!L68</f>
        <v>88772</v>
      </c>
      <c r="M32" s="115">
        <f>Total!M68</f>
        <v>0</v>
      </c>
      <c r="N32" s="115">
        <f>Total!N68</f>
        <v>1775.44</v>
      </c>
      <c r="O32" s="115">
        <f>Total!O68</f>
        <v>0</v>
      </c>
      <c r="P32" s="115">
        <f>Total!P68</f>
        <v>0</v>
      </c>
      <c r="Q32" s="115">
        <f>Total!Q68</f>
        <v>0</v>
      </c>
      <c r="R32" s="115">
        <f>Total!R68</f>
        <v>0</v>
      </c>
      <c r="S32" s="115">
        <f>Total!S68</f>
        <v>0</v>
      </c>
      <c r="T32" s="115">
        <f>Total!T68</f>
        <v>0</v>
      </c>
      <c r="U32" s="115">
        <f>Total!U68</f>
        <v>0</v>
      </c>
      <c r="V32" s="115">
        <f>Total!V68</f>
        <v>0</v>
      </c>
      <c r="W32" s="115">
        <f>Total!W68</f>
        <v>0</v>
      </c>
      <c r="X32" s="115">
        <f>Total!X68</f>
        <v>0</v>
      </c>
      <c r="Y32" s="115">
        <f>Total!Y68</f>
        <v>0</v>
      </c>
      <c r="Z32" s="115">
        <f>Total!Z68</f>
        <v>0</v>
      </c>
      <c r="AA32" s="115">
        <f>Total!AA68</f>
        <v>0</v>
      </c>
      <c r="AB32" s="115">
        <f>Total!AB68</f>
        <v>0</v>
      </c>
      <c r="AC32" s="115">
        <f>Total!AC68</f>
        <v>0</v>
      </c>
      <c r="AD32" s="115">
        <f>Total!AD68</f>
        <v>0</v>
      </c>
      <c r="AE32" s="115">
        <f>Total!AE68</f>
        <v>0</v>
      </c>
      <c r="AF32" s="115">
        <f>Total!AF68</f>
        <v>0</v>
      </c>
      <c r="AG32" s="115">
        <f>Total!AH68</f>
        <v>4375</v>
      </c>
      <c r="AO32" s="115" t="str">
        <f>表格1[[#Headers],[日本飯煲 RC-DS10K/18K]]</f>
        <v>日本飯煲 RC-DS10K/18K</v>
      </c>
      <c r="AP32" s="115" t="str">
        <f>表格1[[#Headers],[酵活炊電飯煲特佣 RC-18AMXH(W)]]</f>
        <v>酵活炊電飯煲特佣 RC-18AMXH(W)</v>
      </c>
      <c r="AQ32" s="115" t="str">
        <f>表格1[[#Headers],[嵌入式微波氣炸蒸焗爐特佣 EB-T500APW]]</f>
        <v>嵌入式微波氣炸蒸焗爐特佣 EB-T500APW</v>
      </c>
      <c r="AR32" s="115" t="str">
        <f>表格1[[#Headers],[蒸氣烤焗水波爐特佣 ER-VD7000HK(XK)]]</f>
        <v>蒸氣烤焗水波爐特佣 ER-VD7000HK(XK)</v>
      </c>
      <c r="AS32" s="115" t="str">
        <f>表格1[[#Headers],[TWDT21BU95 ]]</f>
        <v xml:space="preserve">TWDT21BU95 </v>
      </c>
      <c r="AT32" s="115" t="str">
        <f>表格1[[#Headers],[日式洗衣機一特佣 AW-Q800APH(WW)]]</f>
        <v>日式洗衣機一特佣 AW-Q800APH(WW)</v>
      </c>
      <c r="AU32" s="115" t="str">
        <f>表格1[[#Headers],[日式洗衣機二特佣 AW-Q801APH(WW)]]</f>
        <v>日式洗衣機二特佣 AW-Q801APH(WW)</v>
      </c>
      <c r="AV32" s="115" t="str">
        <f>表格1[[#Headers],[三門雪櫃特佣 GR-RM469WE-PGA(B3)]]</f>
        <v>三門雪櫃特佣 GR-RM469WE-PGA(B3)</v>
      </c>
      <c r="AW32" s="115" t="str">
        <f>表格1[[#Headers],[雙門雪櫃一特佣 GR-RB449WE-PMA(57)]]</f>
        <v>雙門雪櫃一特佣 GR-RB449WE-PMA(57)</v>
      </c>
      <c r="AX32" s="115" t="str">
        <f>表格1[[#Headers],[雙門雪櫃一特佣 GR-RB410WE-PMA(06)]]</f>
        <v>雙門雪櫃一特佣 GR-RB410WE-PMA(06)</v>
      </c>
      <c r="AY32" s="115" t="str">
        <f>表格1[[#Headers],[十字門雪櫃 GR-RF698WI]]</f>
        <v>十字門雪櫃 GR-RF698WI</v>
      </c>
      <c r="AZ32" s="115" t="str">
        <f>表格1[[#Headers],[水機 TWP-W2265THK(W)]]</f>
        <v>水機 TWP-W2265THK(W)</v>
      </c>
      <c r="BA32" s="115" t="str">
        <f>表格1[[#Headers],[抽濕機特佣]]</f>
        <v>抽濕機特佣</v>
      </c>
      <c r="BB32" s="115" t="str">
        <f>表格1[[#Headers],[(Fortress ONLY)TW-T25BZU115MWH(MG) ]]</f>
        <v>(Fortress ONLY)TW-T25BZU115MWH(MG) </v>
      </c>
      <c r="BC32" s="115" t="str">
        <f>表格1[[#Headers],[開門紅(三月)]]</f>
        <v>開門紅(三月)</v>
      </c>
      <c r="BD32" s="115" t="str">
        <f>表格1[[#Headers],[開門紅(第一季)]]</f>
        <v>開門紅(第一季)</v>
      </c>
      <c r="BE32" s="115" t="str">
        <f>表格1[[#Headers],[酵活炊電飯煲特佣 RC-18AMXH(W)]]</f>
        <v>酵活炊電飯煲特佣 RC-18AMXH(W)</v>
      </c>
    </row>
    <row r="33" spans="1:57" ht="26.25">
      <c r="A33" s="116">
        <v>62</v>
      </c>
      <c r="B33" s="114" t="str">
        <f t="shared" si="0"/>
        <v>2026-03 Toshiba</v>
      </c>
      <c r="C33" s="115" t="str">
        <f>Total!C69</f>
        <v>Eddy</v>
      </c>
      <c r="D33" s="115" t="str">
        <f>Total!D69</f>
        <v>Chan Chi Tim</v>
      </c>
      <c r="E33" s="115">
        <f>Total!E69</f>
        <v>20881</v>
      </c>
      <c r="F33" s="115" t="str">
        <f>Total!F69</f>
        <v>Training_1</v>
      </c>
      <c r="G33" s="115" t="str">
        <f>Total!G69</f>
        <v>Mar/24</v>
      </c>
      <c r="H33" s="115">
        <f>Total!H69</f>
        <v>1</v>
      </c>
      <c r="I33" s="115">
        <f>Total!I69</f>
        <v>7</v>
      </c>
      <c r="J33" s="115">
        <f>Total!J69</f>
        <v>50</v>
      </c>
      <c r="K33" s="115">
        <f>Total!K69</f>
        <v>350</v>
      </c>
      <c r="L33" s="115">
        <f>Total!L69</f>
        <v>0</v>
      </c>
      <c r="M33" s="115">
        <f>Total!M69</f>
        <v>0</v>
      </c>
      <c r="N33" s="115">
        <f>Total!N69</f>
        <v>0</v>
      </c>
      <c r="O33" s="115">
        <f>Total!O69</f>
        <v>0</v>
      </c>
      <c r="P33" s="115">
        <f>Total!P69</f>
        <v>0</v>
      </c>
      <c r="Q33" s="115">
        <f>Total!Q69</f>
        <v>0</v>
      </c>
      <c r="R33" s="115">
        <f>Total!R69</f>
        <v>0</v>
      </c>
      <c r="S33" s="115">
        <f>Total!S69</f>
        <v>0</v>
      </c>
      <c r="T33" s="115">
        <f>Total!T69</f>
        <v>0</v>
      </c>
      <c r="U33" s="115">
        <f>Total!U69</f>
        <v>0</v>
      </c>
      <c r="V33" s="115">
        <f>Total!V69</f>
        <v>0</v>
      </c>
      <c r="W33" s="115">
        <f>Total!W69</f>
        <v>0</v>
      </c>
      <c r="X33" s="115">
        <f>Total!X69</f>
        <v>0</v>
      </c>
      <c r="Y33" s="115">
        <f>Total!Y69</f>
        <v>0</v>
      </c>
      <c r="Z33" s="115">
        <f>Total!Z69</f>
        <v>0</v>
      </c>
      <c r="AA33" s="115">
        <f>Total!AA69</f>
        <v>0</v>
      </c>
      <c r="AB33" s="115">
        <f>Total!AB69</f>
        <v>0</v>
      </c>
      <c r="AC33" s="115">
        <f>Total!AC69</f>
        <v>0</v>
      </c>
      <c r="AD33" s="115">
        <f>Total!AD69</f>
        <v>0</v>
      </c>
      <c r="AE33" s="115">
        <f>Total!AE69</f>
        <v>0</v>
      </c>
      <c r="AF33" s="115">
        <f>Total!AF69</f>
        <v>0</v>
      </c>
      <c r="AG33" s="115">
        <f>Total!AH69</f>
        <v>350</v>
      </c>
      <c r="AO33" s="115" t="str">
        <f>表格1[[#Headers],[日本飯煲 RC-DS10K/18K]]</f>
        <v>日本飯煲 RC-DS10K/18K</v>
      </c>
      <c r="AP33" s="115" t="str">
        <f>表格1[[#Headers],[酵活炊電飯煲特佣 RC-18AMXH(W)]]</f>
        <v>酵活炊電飯煲特佣 RC-18AMXH(W)</v>
      </c>
      <c r="AQ33" s="115" t="str">
        <f>表格1[[#Headers],[嵌入式微波氣炸蒸焗爐特佣 EB-T500APW]]</f>
        <v>嵌入式微波氣炸蒸焗爐特佣 EB-T500APW</v>
      </c>
      <c r="AR33" s="115" t="str">
        <f>表格1[[#Headers],[蒸氣烤焗水波爐特佣 ER-VD7000HK(XK)]]</f>
        <v>蒸氣烤焗水波爐特佣 ER-VD7000HK(XK)</v>
      </c>
      <c r="AS33" s="115" t="str">
        <f>表格1[[#Headers],[TWDT21BU95 ]]</f>
        <v xml:space="preserve">TWDT21BU95 </v>
      </c>
      <c r="AT33" s="115" t="str">
        <f>表格1[[#Headers],[日式洗衣機一特佣 AW-Q800APH(WW)]]</f>
        <v>日式洗衣機一特佣 AW-Q800APH(WW)</v>
      </c>
      <c r="AU33" s="115" t="str">
        <f>表格1[[#Headers],[日式洗衣機二特佣 AW-Q801APH(WW)]]</f>
        <v>日式洗衣機二特佣 AW-Q801APH(WW)</v>
      </c>
      <c r="AV33" s="115" t="str">
        <f>表格1[[#Headers],[三門雪櫃特佣 GR-RM469WE-PGA(B3)]]</f>
        <v>三門雪櫃特佣 GR-RM469WE-PGA(B3)</v>
      </c>
      <c r="AW33" s="115" t="str">
        <f>表格1[[#Headers],[雙門雪櫃一特佣 GR-RB449WE-PMA(57)]]</f>
        <v>雙門雪櫃一特佣 GR-RB449WE-PMA(57)</v>
      </c>
      <c r="AX33" s="115" t="str">
        <f>表格1[[#Headers],[雙門雪櫃一特佣 GR-RB410WE-PMA(06)]]</f>
        <v>雙門雪櫃一特佣 GR-RB410WE-PMA(06)</v>
      </c>
      <c r="AY33" s="115" t="str">
        <f>表格1[[#Headers],[十字門雪櫃 GR-RF698WI]]</f>
        <v>十字門雪櫃 GR-RF698WI</v>
      </c>
      <c r="AZ33" s="115" t="str">
        <f>表格1[[#Headers],[水機 TWP-W2265THK(W)]]</f>
        <v>水機 TWP-W2265THK(W)</v>
      </c>
      <c r="BA33" s="115" t="str">
        <f>表格1[[#Headers],[抽濕機特佣]]</f>
        <v>抽濕機特佣</v>
      </c>
      <c r="BB33" s="115" t="str">
        <f>表格1[[#Headers],[(Fortress ONLY)TW-T25BZU115MWH(MG) ]]</f>
        <v>(Fortress ONLY)TW-T25BZU115MWH(MG) </v>
      </c>
      <c r="BC33" s="115" t="str">
        <f>表格1[[#Headers],[開門紅(三月)]]</f>
        <v>開門紅(三月)</v>
      </c>
      <c r="BD33" s="115" t="str">
        <f>表格1[[#Headers],[開門紅(第一季)]]</f>
        <v>開門紅(第一季)</v>
      </c>
      <c r="BE33" s="115" t="str">
        <f>表格1[[#Headers],[酵活炊電飯煲特佣 RC-18AMXH(W)]]</f>
        <v>酵活炊電飯煲特佣 RC-18AMXH(W)</v>
      </c>
    </row>
    <row r="34" spans="1:57" ht="26.25">
      <c r="A34" s="116">
        <v>64</v>
      </c>
      <c r="B34" s="114" t="str">
        <f t="shared" si="0"/>
        <v>2026-03 Toshiba</v>
      </c>
      <c r="C34" s="115" t="str">
        <f>Total!C71</f>
        <v>WanWah</v>
      </c>
      <c r="D34" s="115" t="str">
        <f>Total!D71</f>
        <v>Chan Wan Wah</v>
      </c>
      <c r="E34" s="115">
        <f>Total!E71</f>
        <v>20882</v>
      </c>
      <c r="F34" s="115" t="str">
        <f>Total!F71</f>
        <v>Training_3</v>
      </c>
      <c r="G34" s="115" t="str">
        <f>Total!G71</f>
        <v>Mar/24</v>
      </c>
      <c r="H34" s="115">
        <f>Total!H71</f>
        <v>1</v>
      </c>
      <c r="I34" s="115">
        <f>Total!I71</f>
        <v>7</v>
      </c>
      <c r="J34" s="115">
        <f>Total!J71</f>
        <v>50</v>
      </c>
      <c r="K34" s="115">
        <f>Total!K71</f>
        <v>350</v>
      </c>
      <c r="L34" s="115">
        <f>Total!L71</f>
        <v>0</v>
      </c>
      <c r="M34" s="115">
        <f>Total!M71</f>
        <v>0</v>
      </c>
      <c r="N34" s="115">
        <f>Total!N71</f>
        <v>0</v>
      </c>
      <c r="O34" s="115">
        <f>Total!O71</f>
        <v>0</v>
      </c>
      <c r="P34" s="115">
        <f>Total!P71</f>
        <v>0</v>
      </c>
      <c r="Q34" s="115">
        <f>Total!Q71</f>
        <v>0</v>
      </c>
      <c r="R34" s="115">
        <f>Total!R71</f>
        <v>0</v>
      </c>
      <c r="S34" s="115">
        <f>Total!S71</f>
        <v>0</v>
      </c>
      <c r="T34" s="115">
        <f>Total!T71</f>
        <v>0</v>
      </c>
      <c r="U34" s="115">
        <f>Total!U71</f>
        <v>0</v>
      </c>
      <c r="V34" s="115">
        <f>Total!V71</f>
        <v>0</v>
      </c>
      <c r="W34" s="115">
        <f>Total!W71</f>
        <v>0</v>
      </c>
      <c r="X34" s="115">
        <f>Total!X71</f>
        <v>0</v>
      </c>
      <c r="Y34" s="115">
        <f>Total!Y71</f>
        <v>0</v>
      </c>
      <c r="Z34" s="115">
        <f>Total!Z71</f>
        <v>0</v>
      </c>
      <c r="AA34" s="115">
        <f>Total!AA71</f>
        <v>0</v>
      </c>
      <c r="AB34" s="115">
        <f>Total!AB71</f>
        <v>0</v>
      </c>
      <c r="AC34" s="115">
        <f>Total!AC71</f>
        <v>0</v>
      </c>
      <c r="AD34" s="115">
        <f>Total!AD71</f>
        <v>0</v>
      </c>
      <c r="AE34" s="115">
        <f>Total!AE71</f>
        <v>0</v>
      </c>
      <c r="AF34" s="115">
        <f>Total!AF71</f>
        <v>0</v>
      </c>
      <c r="AG34" s="115">
        <f>Total!AH71</f>
        <v>350</v>
      </c>
      <c r="AO34" s="115" t="str">
        <f>表格1[[#Headers],[日本飯煲 RC-DS10K/18K]]</f>
        <v>日本飯煲 RC-DS10K/18K</v>
      </c>
      <c r="AP34" s="115" t="str">
        <f>表格1[[#Headers],[酵活炊電飯煲特佣 RC-18AMXH(W)]]</f>
        <v>酵活炊電飯煲特佣 RC-18AMXH(W)</v>
      </c>
      <c r="AQ34" s="115" t="str">
        <f>表格1[[#Headers],[嵌入式微波氣炸蒸焗爐特佣 EB-T500APW]]</f>
        <v>嵌入式微波氣炸蒸焗爐特佣 EB-T500APW</v>
      </c>
      <c r="AR34" s="115" t="str">
        <f>表格1[[#Headers],[蒸氣烤焗水波爐特佣 ER-VD7000HK(XK)]]</f>
        <v>蒸氣烤焗水波爐特佣 ER-VD7000HK(XK)</v>
      </c>
      <c r="AS34" s="115" t="str">
        <f>表格1[[#Headers],[TWDT21BU95 ]]</f>
        <v xml:space="preserve">TWDT21BU95 </v>
      </c>
      <c r="AT34" s="115" t="str">
        <f>表格1[[#Headers],[日式洗衣機一特佣 AW-Q800APH(WW)]]</f>
        <v>日式洗衣機一特佣 AW-Q800APH(WW)</v>
      </c>
      <c r="AU34" s="115" t="str">
        <f>表格1[[#Headers],[日式洗衣機二特佣 AW-Q801APH(WW)]]</f>
        <v>日式洗衣機二特佣 AW-Q801APH(WW)</v>
      </c>
      <c r="AV34" s="115" t="str">
        <f>表格1[[#Headers],[三門雪櫃特佣 GR-RM469WE-PGA(B3)]]</f>
        <v>三門雪櫃特佣 GR-RM469WE-PGA(B3)</v>
      </c>
      <c r="AW34" s="115" t="str">
        <f>表格1[[#Headers],[雙門雪櫃一特佣 GR-RB449WE-PMA(57)]]</f>
        <v>雙門雪櫃一特佣 GR-RB449WE-PMA(57)</v>
      </c>
      <c r="AX34" s="115" t="str">
        <f>表格1[[#Headers],[雙門雪櫃一特佣 GR-RB410WE-PMA(06)]]</f>
        <v>雙門雪櫃一特佣 GR-RB410WE-PMA(06)</v>
      </c>
      <c r="AY34" s="115" t="str">
        <f>表格1[[#Headers],[十字門雪櫃 GR-RF698WI]]</f>
        <v>十字門雪櫃 GR-RF698WI</v>
      </c>
      <c r="AZ34" s="115" t="str">
        <f>表格1[[#Headers],[水機 TWP-W2265THK(W)]]</f>
        <v>水機 TWP-W2265THK(W)</v>
      </c>
      <c r="BA34" s="115" t="str">
        <f>表格1[[#Headers],[抽濕機特佣]]</f>
        <v>抽濕機特佣</v>
      </c>
      <c r="BB34" s="115" t="str">
        <f>表格1[[#Headers],[(Fortress ONLY)TW-T25BZU115MWH(MG) ]]</f>
        <v>(Fortress ONLY)TW-T25BZU115MWH(MG) </v>
      </c>
      <c r="BC34" s="115" t="str">
        <f>表格1[[#Headers],[開門紅(三月)]]</f>
        <v>開門紅(三月)</v>
      </c>
      <c r="BD34" s="115" t="str">
        <f>表格1[[#Headers],[開門紅(第一季)]]</f>
        <v>開門紅(第一季)</v>
      </c>
      <c r="BE34" s="115" t="str">
        <f>表格1[[#Headers],[酵活炊電飯煲特佣 RC-18AMXH(W)]]</f>
        <v>酵活炊電飯煲特佣 RC-18AMXH(W)</v>
      </c>
    </row>
    <row r="35" spans="1:57" ht="26.25">
      <c r="A35" s="116">
        <v>2</v>
      </c>
      <c r="B35" s="114" t="str">
        <f t="shared" ref="B35:B66" si="1">B34</f>
        <v>2026-03 Toshiba</v>
      </c>
      <c r="C35" s="115" t="str">
        <f>Total!C9</f>
        <v>Ivy Wong_1</v>
      </c>
      <c r="D35" s="115" t="str">
        <f>Total!D9</f>
        <v>Wong Wai Chu</v>
      </c>
      <c r="E35" s="115" t="str">
        <f>Total!E9</f>
        <v>Autopay</v>
      </c>
      <c r="F35" s="115" t="str">
        <f>Total!F9</f>
        <v>Vcity_1 Fortress</v>
      </c>
      <c r="G35" s="115" t="str">
        <f>Total!G9</f>
        <v>Mar/1,14-15,21-22,25,28</v>
      </c>
      <c r="H35" s="115">
        <f>Total!H9</f>
        <v>7</v>
      </c>
      <c r="I35" s="115">
        <f>Total!I9</f>
        <v>56</v>
      </c>
      <c r="J35" s="115">
        <f>Total!J9</f>
        <v>60</v>
      </c>
      <c r="K35" s="115">
        <f>Total!K9</f>
        <v>3360</v>
      </c>
      <c r="L35" s="115">
        <f>Total!L9</f>
        <v>242326</v>
      </c>
      <c r="M35" s="115">
        <f>Total!M9</f>
        <v>0</v>
      </c>
      <c r="N35" s="115">
        <f>Total!N9</f>
        <v>4846.5200000000004</v>
      </c>
      <c r="O35" s="115">
        <f>Total!O9</f>
        <v>0</v>
      </c>
      <c r="P35" s="115">
        <f>Total!P9</f>
        <v>0</v>
      </c>
      <c r="Q35" s="115">
        <f>Total!Q9</f>
        <v>0</v>
      </c>
      <c r="R35" s="115">
        <f>Total!R9</f>
        <v>0</v>
      </c>
      <c r="S35" s="115">
        <f>Total!S9</f>
        <v>0</v>
      </c>
      <c r="T35" s="115">
        <f>Total!T9</f>
        <v>0</v>
      </c>
      <c r="U35" s="115">
        <f>Total!U9</f>
        <v>0</v>
      </c>
      <c r="V35" s="115">
        <f>Total!V9</f>
        <v>0</v>
      </c>
      <c r="W35" s="115">
        <f>Total!W9</f>
        <v>0</v>
      </c>
      <c r="X35" s="115">
        <f>Total!X9</f>
        <v>0</v>
      </c>
      <c r="Y35" s="115">
        <f>Total!Y9</f>
        <v>200</v>
      </c>
      <c r="Z35" s="115">
        <f>Total!Z9</f>
        <v>0</v>
      </c>
      <c r="AA35" s="115">
        <f>Total!AA9</f>
        <v>200</v>
      </c>
      <c r="AB35" s="115">
        <f>Total!AB9</f>
        <v>0</v>
      </c>
      <c r="AC35" s="115">
        <f>Total!AC9</f>
        <v>0</v>
      </c>
      <c r="AD35" s="115">
        <f>Total!AD9</f>
        <v>0</v>
      </c>
      <c r="AE35" s="115">
        <f>Total!AE9</f>
        <v>0</v>
      </c>
      <c r="AF35" s="115">
        <f>Total!AF9</f>
        <v>0</v>
      </c>
      <c r="AG35" s="115">
        <f>Total!AH9</f>
        <v>8607</v>
      </c>
      <c r="AO35" s="115" t="str">
        <f>表格1[[#Headers],[日本飯煲 RC-DS10K/18K]]</f>
        <v>日本飯煲 RC-DS10K/18K</v>
      </c>
      <c r="AP35" s="115" t="str">
        <f>表格1[[#Headers],[酵活炊電飯煲特佣 RC-18AMXH(W)]]</f>
        <v>酵活炊電飯煲特佣 RC-18AMXH(W)</v>
      </c>
      <c r="AQ35" s="115" t="str">
        <f>表格1[[#Headers],[嵌入式微波氣炸蒸焗爐特佣 EB-T500APW]]</f>
        <v>嵌入式微波氣炸蒸焗爐特佣 EB-T500APW</v>
      </c>
      <c r="AR35" s="115" t="str">
        <f>表格1[[#Headers],[蒸氣烤焗水波爐特佣 ER-VD7000HK(XK)]]</f>
        <v>蒸氣烤焗水波爐特佣 ER-VD7000HK(XK)</v>
      </c>
      <c r="AS35" s="115" t="str">
        <f>表格1[[#Headers],[TWDT21BU95 ]]</f>
        <v xml:space="preserve">TWDT21BU95 </v>
      </c>
      <c r="AT35" s="115" t="str">
        <f>表格1[[#Headers],[日式洗衣機一特佣 AW-Q800APH(WW)]]</f>
        <v>日式洗衣機一特佣 AW-Q800APH(WW)</v>
      </c>
      <c r="AU35" s="115" t="str">
        <f>表格1[[#Headers],[日式洗衣機二特佣 AW-Q801APH(WW)]]</f>
        <v>日式洗衣機二特佣 AW-Q801APH(WW)</v>
      </c>
      <c r="AV35" s="115" t="str">
        <f>表格1[[#Headers],[三門雪櫃特佣 GR-RM469WE-PGA(B3)]]</f>
        <v>三門雪櫃特佣 GR-RM469WE-PGA(B3)</v>
      </c>
      <c r="AW35" s="115" t="str">
        <f>表格1[[#Headers],[雙門雪櫃一特佣 GR-RB449WE-PMA(57)]]</f>
        <v>雙門雪櫃一特佣 GR-RB449WE-PMA(57)</v>
      </c>
      <c r="AX35" s="115" t="str">
        <f>表格1[[#Headers],[雙門雪櫃一特佣 GR-RB410WE-PMA(06)]]</f>
        <v>雙門雪櫃一特佣 GR-RB410WE-PMA(06)</v>
      </c>
      <c r="AY35" s="115" t="str">
        <f>表格1[[#Headers],[十字門雪櫃 GR-RF698WI]]</f>
        <v>十字門雪櫃 GR-RF698WI</v>
      </c>
      <c r="AZ35" s="115" t="str">
        <f>表格1[[#Headers],[水機 TWP-W2265THK(W)]]</f>
        <v>水機 TWP-W2265THK(W)</v>
      </c>
      <c r="BA35" s="115" t="str">
        <f>表格1[[#Headers],[抽濕機特佣]]</f>
        <v>抽濕機特佣</v>
      </c>
      <c r="BB35" s="115" t="str">
        <f>表格1[[#Headers],[(Fortress ONLY)TW-T25BZU115MWH(MG) ]]</f>
        <v>(Fortress ONLY)TW-T25BZU115MWH(MG) </v>
      </c>
      <c r="BC35" s="115" t="str">
        <f>表格1[[#Headers],[開門紅(三月)]]</f>
        <v>開門紅(三月)</v>
      </c>
      <c r="BD35" s="115" t="str">
        <f>表格1[[#Headers],[開門紅(第一季)]]</f>
        <v>開門紅(第一季)</v>
      </c>
      <c r="BE35" s="115" t="str">
        <f>表格1[[#Headers],[酵活炊電飯煲特佣 RC-18AMXH(W)]]</f>
        <v>酵活炊電飯煲特佣 RC-18AMXH(W)</v>
      </c>
    </row>
    <row r="36" spans="1:57" ht="26.25">
      <c r="A36" s="114">
        <v>3</v>
      </c>
      <c r="B36" s="114" t="str">
        <f t="shared" si="1"/>
        <v>2026-03 Toshiba</v>
      </c>
      <c r="C36" s="115" t="str">
        <f>Total!C10</f>
        <v>Kit_3</v>
      </c>
      <c r="D36" s="115" t="str">
        <f>Total!D10</f>
        <v>Li Wenjie</v>
      </c>
      <c r="E36" s="115" t="str">
        <f>Total!E10</f>
        <v>Autopay</v>
      </c>
      <c r="F36" s="115" t="str">
        <f>Total!F10</f>
        <v>Vcity_2 Fortress</v>
      </c>
      <c r="G36" s="115" t="str">
        <f>Total!G10</f>
        <v>Mar/7-8</v>
      </c>
      <c r="H36" s="115">
        <f>Total!H10</f>
        <v>2</v>
      </c>
      <c r="I36" s="115">
        <f>Total!I10</f>
        <v>16</v>
      </c>
      <c r="J36" s="115">
        <f>Total!J10</f>
        <v>60</v>
      </c>
      <c r="K36" s="115">
        <f>Total!K10</f>
        <v>960</v>
      </c>
      <c r="L36" s="115">
        <f>Total!L10</f>
        <v>7911</v>
      </c>
      <c r="M36" s="115">
        <f>Total!M10</f>
        <v>0</v>
      </c>
      <c r="N36" s="115">
        <f>Total!N10</f>
        <v>158.22</v>
      </c>
      <c r="O36" s="115">
        <f>Total!O10</f>
        <v>0</v>
      </c>
      <c r="P36" s="115">
        <f>Total!P10</f>
        <v>0</v>
      </c>
      <c r="Q36" s="115">
        <f>Total!Q10</f>
        <v>0</v>
      </c>
      <c r="R36" s="115">
        <f>Total!R10</f>
        <v>0</v>
      </c>
      <c r="S36" s="115">
        <f>Total!S10</f>
        <v>0</v>
      </c>
      <c r="T36" s="115">
        <f>Total!T10</f>
        <v>0</v>
      </c>
      <c r="U36" s="115">
        <f>Total!U10</f>
        <v>0</v>
      </c>
      <c r="V36" s="115">
        <f>Total!V10</f>
        <v>0</v>
      </c>
      <c r="W36" s="115">
        <f>Total!W10</f>
        <v>0</v>
      </c>
      <c r="X36" s="115">
        <f>Total!X10</f>
        <v>0</v>
      </c>
      <c r="Y36" s="115">
        <f>Total!Y10</f>
        <v>0</v>
      </c>
      <c r="Z36" s="115">
        <f>Total!Z10</f>
        <v>0</v>
      </c>
      <c r="AA36" s="115">
        <f>Total!AA10</f>
        <v>0</v>
      </c>
      <c r="AB36" s="115">
        <f>Total!AB10</f>
        <v>0</v>
      </c>
      <c r="AC36" s="115">
        <f>Total!AC10</f>
        <v>0</v>
      </c>
      <c r="AD36" s="115">
        <f>Total!AD10</f>
        <v>0</v>
      </c>
      <c r="AE36" s="115">
        <f>Total!AE10</f>
        <v>0</v>
      </c>
      <c r="AF36" s="115">
        <f>Total!AF10</f>
        <v>0</v>
      </c>
      <c r="AG36" s="115">
        <f>Total!AH10</f>
        <v>1118</v>
      </c>
      <c r="AO36" s="115" t="str">
        <f>表格1[[#Headers],[日本飯煲 RC-DS10K/18K]]</f>
        <v>日本飯煲 RC-DS10K/18K</v>
      </c>
      <c r="AP36" s="115" t="str">
        <f>表格1[[#Headers],[酵活炊電飯煲特佣 RC-18AMXH(W)]]</f>
        <v>酵活炊電飯煲特佣 RC-18AMXH(W)</v>
      </c>
      <c r="AQ36" s="115" t="str">
        <f>表格1[[#Headers],[嵌入式微波氣炸蒸焗爐特佣 EB-T500APW]]</f>
        <v>嵌入式微波氣炸蒸焗爐特佣 EB-T500APW</v>
      </c>
      <c r="AR36" s="115" t="str">
        <f>表格1[[#Headers],[蒸氣烤焗水波爐特佣 ER-VD7000HK(XK)]]</f>
        <v>蒸氣烤焗水波爐特佣 ER-VD7000HK(XK)</v>
      </c>
      <c r="AS36" s="115" t="str">
        <f>表格1[[#Headers],[TWDT21BU95 ]]</f>
        <v xml:space="preserve">TWDT21BU95 </v>
      </c>
      <c r="AT36" s="115" t="str">
        <f>表格1[[#Headers],[日式洗衣機一特佣 AW-Q800APH(WW)]]</f>
        <v>日式洗衣機一特佣 AW-Q800APH(WW)</v>
      </c>
      <c r="AU36" s="115" t="str">
        <f>表格1[[#Headers],[日式洗衣機二特佣 AW-Q801APH(WW)]]</f>
        <v>日式洗衣機二特佣 AW-Q801APH(WW)</v>
      </c>
      <c r="AV36" s="115" t="str">
        <f>表格1[[#Headers],[三門雪櫃特佣 GR-RM469WE-PGA(B3)]]</f>
        <v>三門雪櫃特佣 GR-RM469WE-PGA(B3)</v>
      </c>
      <c r="AW36" s="115" t="str">
        <f>表格1[[#Headers],[雙門雪櫃一特佣 GR-RB449WE-PMA(57)]]</f>
        <v>雙門雪櫃一特佣 GR-RB449WE-PMA(57)</v>
      </c>
      <c r="AX36" s="115" t="str">
        <f>表格1[[#Headers],[雙門雪櫃一特佣 GR-RB410WE-PMA(06)]]</f>
        <v>雙門雪櫃一特佣 GR-RB410WE-PMA(06)</v>
      </c>
      <c r="AY36" s="115" t="str">
        <f>表格1[[#Headers],[十字門雪櫃 GR-RF698WI]]</f>
        <v>十字門雪櫃 GR-RF698WI</v>
      </c>
      <c r="AZ36" s="115" t="str">
        <f>表格1[[#Headers],[水機 TWP-W2265THK(W)]]</f>
        <v>水機 TWP-W2265THK(W)</v>
      </c>
      <c r="BA36" s="115" t="str">
        <f>表格1[[#Headers],[抽濕機特佣]]</f>
        <v>抽濕機特佣</v>
      </c>
      <c r="BB36" s="115" t="str">
        <f>表格1[[#Headers],[(Fortress ONLY)TW-T25BZU115MWH(MG) ]]</f>
        <v>(Fortress ONLY)TW-T25BZU115MWH(MG) </v>
      </c>
      <c r="BC36" s="115" t="str">
        <f>表格1[[#Headers],[開門紅(三月)]]</f>
        <v>開門紅(三月)</v>
      </c>
      <c r="BD36" s="115" t="str">
        <f>表格1[[#Headers],[開門紅(第一季)]]</f>
        <v>開門紅(第一季)</v>
      </c>
      <c r="BE36" s="115" t="str">
        <f>表格1[[#Headers],[酵活炊電飯煲特佣 RC-18AMXH(W)]]</f>
        <v>酵活炊電飯煲特佣 RC-18AMXH(W)</v>
      </c>
    </row>
    <row r="37" spans="1:57" ht="26.25">
      <c r="A37" s="114">
        <v>5</v>
      </c>
      <c r="B37" s="114" t="str">
        <f t="shared" si="1"/>
        <v>2026-03 Toshiba</v>
      </c>
      <c r="C37" s="115" t="str">
        <f>Total!C12</f>
        <v>Michelle</v>
      </c>
      <c r="D37" s="115" t="str">
        <f>Total!D12</f>
        <v>Lo Muk Chun</v>
      </c>
      <c r="E37" s="115" t="str">
        <f>Total!E12</f>
        <v>Autopay</v>
      </c>
      <c r="F37" s="115" t="str">
        <f>Total!F12</f>
        <v>Good Hope Fortress</v>
      </c>
      <c r="G37" s="115" t="str">
        <f>Total!G12</f>
        <v>Mar/1,5-8,11-15,17-22,25-29,31</v>
      </c>
      <c r="H37" s="115">
        <f>Total!H12</f>
        <v>22</v>
      </c>
      <c r="I37" s="115">
        <f>Total!I12</f>
        <v>176</v>
      </c>
      <c r="J37" s="115">
        <f>Total!J12</f>
        <v>60</v>
      </c>
      <c r="K37" s="115">
        <f>Total!K12</f>
        <v>10560</v>
      </c>
      <c r="L37" s="115">
        <f>Total!L12</f>
        <v>442858</v>
      </c>
      <c r="M37" s="115">
        <f>Total!M12</f>
        <v>0</v>
      </c>
      <c r="N37" s="115">
        <f>Total!N12</f>
        <v>8857.16</v>
      </c>
      <c r="O37" s="115">
        <f>Total!O12</f>
        <v>0</v>
      </c>
      <c r="P37" s="115">
        <f>Total!P12</f>
        <v>0</v>
      </c>
      <c r="Q37" s="115">
        <f>Total!Q12</f>
        <v>0</v>
      </c>
      <c r="R37" s="115">
        <f>Total!R12</f>
        <v>0</v>
      </c>
      <c r="S37" s="115">
        <f>Total!S12</f>
        <v>0</v>
      </c>
      <c r="T37" s="115">
        <f>Total!T12</f>
        <v>480</v>
      </c>
      <c r="U37" s="115">
        <f>Total!U12</f>
        <v>0</v>
      </c>
      <c r="V37" s="115">
        <f>Total!V12</f>
        <v>0</v>
      </c>
      <c r="W37" s="115">
        <f>Total!W12</f>
        <v>0</v>
      </c>
      <c r="X37" s="115">
        <f>Total!X12</f>
        <v>500</v>
      </c>
      <c r="Y37" s="115">
        <f>Total!Y12</f>
        <v>0</v>
      </c>
      <c r="Z37" s="115">
        <f>Total!Z12</f>
        <v>0</v>
      </c>
      <c r="AA37" s="115">
        <f>Total!AA12</f>
        <v>0</v>
      </c>
      <c r="AB37" s="115">
        <f>Total!AB12</f>
        <v>0</v>
      </c>
      <c r="AC37" s="115">
        <f>Total!AC12</f>
        <v>0</v>
      </c>
      <c r="AD37" s="115">
        <f>Total!AD12</f>
        <v>0</v>
      </c>
      <c r="AE37" s="115">
        <f>Total!AE12</f>
        <v>0</v>
      </c>
      <c r="AF37" s="115">
        <f>Total!AF12</f>
        <v>0</v>
      </c>
      <c r="AG37" s="115">
        <f>Total!AH12</f>
        <v>20397</v>
      </c>
      <c r="AO37" s="115" t="str">
        <f>表格1[[#Headers],[日本飯煲 RC-DS10K/18K]]</f>
        <v>日本飯煲 RC-DS10K/18K</v>
      </c>
      <c r="AP37" s="115" t="str">
        <f>表格1[[#Headers],[酵活炊電飯煲特佣 RC-18AMXH(W)]]</f>
        <v>酵活炊電飯煲特佣 RC-18AMXH(W)</v>
      </c>
      <c r="AQ37" s="115" t="str">
        <f>表格1[[#Headers],[嵌入式微波氣炸蒸焗爐特佣 EB-T500APW]]</f>
        <v>嵌入式微波氣炸蒸焗爐特佣 EB-T500APW</v>
      </c>
      <c r="AR37" s="115" t="str">
        <f>表格1[[#Headers],[蒸氣烤焗水波爐特佣 ER-VD7000HK(XK)]]</f>
        <v>蒸氣烤焗水波爐特佣 ER-VD7000HK(XK)</v>
      </c>
      <c r="AS37" s="115" t="str">
        <f>表格1[[#Headers],[TWDT21BU95 ]]</f>
        <v xml:space="preserve">TWDT21BU95 </v>
      </c>
      <c r="AT37" s="115" t="str">
        <f>表格1[[#Headers],[日式洗衣機一特佣 AW-Q800APH(WW)]]</f>
        <v>日式洗衣機一特佣 AW-Q800APH(WW)</v>
      </c>
      <c r="AU37" s="115" t="str">
        <f>表格1[[#Headers],[日式洗衣機二特佣 AW-Q801APH(WW)]]</f>
        <v>日式洗衣機二特佣 AW-Q801APH(WW)</v>
      </c>
      <c r="AV37" s="115" t="str">
        <f>表格1[[#Headers],[三門雪櫃特佣 GR-RM469WE-PGA(B3)]]</f>
        <v>三門雪櫃特佣 GR-RM469WE-PGA(B3)</v>
      </c>
      <c r="AW37" s="115" t="str">
        <f>表格1[[#Headers],[雙門雪櫃一特佣 GR-RB449WE-PMA(57)]]</f>
        <v>雙門雪櫃一特佣 GR-RB449WE-PMA(57)</v>
      </c>
      <c r="AX37" s="115" t="str">
        <f>表格1[[#Headers],[雙門雪櫃一特佣 GR-RB410WE-PMA(06)]]</f>
        <v>雙門雪櫃一特佣 GR-RB410WE-PMA(06)</v>
      </c>
      <c r="AY37" s="115" t="str">
        <f>表格1[[#Headers],[十字門雪櫃 GR-RF698WI]]</f>
        <v>十字門雪櫃 GR-RF698WI</v>
      </c>
      <c r="AZ37" s="115" t="str">
        <f>表格1[[#Headers],[水機 TWP-W2265THK(W)]]</f>
        <v>水機 TWP-W2265THK(W)</v>
      </c>
      <c r="BA37" s="115" t="str">
        <f>表格1[[#Headers],[抽濕機特佣]]</f>
        <v>抽濕機特佣</v>
      </c>
      <c r="BB37" s="115" t="str">
        <f>表格1[[#Headers],[(Fortress ONLY)TW-T25BZU115MWH(MG) ]]</f>
        <v>(Fortress ONLY)TW-T25BZU115MWH(MG) </v>
      </c>
      <c r="BC37" s="115" t="str">
        <f>表格1[[#Headers],[開門紅(三月)]]</f>
        <v>開門紅(三月)</v>
      </c>
      <c r="BD37" s="115" t="str">
        <f>表格1[[#Headers],[開門紅(第一季)]]</f>
        <v>開門紅(第一季)</v>
      </c>
      <c r="BE37" s="115" t="str">
        <f>表格1[[#Headers],[酵活炊電飯煲特佣 RC-18AMXH(W)]]</f>
        <v>酵活炊電飯煲特佣 RC-18AMXH(W)</v>
      </c>
    </row>
    <row r="38" spans="1:57" ht="26.25">
      <c r="A38" s="97">
        <v>9</v>
      </c>
      <c r="B38" s="114" t="str">
        <f t="shared" si="1"/>
        <v>2026-03 Toshiba</v>
      </c>
      <c r="C38" s="115" t="str">
        <f>Total!C16</f>
        <v>Fong_1</v>
      </c>
      <c r="D38" s="115" t="str">
        <f>Total!D16</f>
        <v>Ng Nga Fong</v>
      </c>
      <c r="E38" s="115" t="str">
        <f>Total!E16</f>
        <v>Autopay</v>
      </c>
      <c r="F38" s="115" t="str">
        <f>Total!F16</f>
        <v>Diamond Hill_1 Broadway</v>
      </c>
      <c r="G38" s="115" t="str">
        <f>Total!G16</f>
        <v>Mar/1,7-8,14-15,28-29</v>
      </c>
      <c r="H38" s="115">
        <f>Total!H16</f>
        <v>7</v>
      </c>
      <c r="I38" s="115">
        <f>Total!I16</f>
        <v>56</v>
      </c>
      <c r="J38" s="115">
        <f>Total!J16</f>
        <v>60</v>
      </c>
      <c r="K38" s="115">
        <f>Total!K16</f>
        <v>3360</v>
      </c>
      <c r="L38" s="115">
        <f>Total!L16</f>
        <v>67587</v>
      </c>
      <c r="M38" s="115">
        <f>Total!M16</f>
        <v>0</v>
      </c>
      <c r="N38" s="115">
        <f>Total!N16</f>
        <v>1351.74</v>
      </c>
      <c r="O38" s="115">
        <f>Total!O16</f>
        <v>0</v>
      </c>
      <c r="P38" s="115">
        <f>Total!P16</f>
        <v>0</v>
      </c>
      <c r="Q38" s="115">
        <f>Total!Q16</f>
        <v>0</v>
      </c>
      <c r="R38" s="115">
        <f>Total!R16</f>
        <v>0</v>
      </c>
      <c r="S38" s="115">
        <f>Total!S16</f>
        <v>0</v>
      </c>
      <c r="T38" s="115">
        <f>Total!T16</f>
        <v>0</v>
      </c>
      <c r="U38" s="115">
        <f>Total!U16</f>
        <v>0</v>
      </c>
      <c r="V38" s="115">
        <f>Total!V16</f>
        <v>0</v>
      </c>
      <c r="W38" s="115">
        <f>Total!W16</f>
        <v>0</v>
      </c>
      <c r="X38" s="115">
        <f>Total!X16</f>
        <v>0</v>
      </c>
      <c r="Y38" s="115">
        <f>Total!Y16</f>
        <v>0</v>
      </c>
      <c r="Z38" s="115">
        <f>Total!Z16</f>
        <v>0</v>
      </c>
      <c r="AA38" s="115">
        <f>Total!AA16</f>
        <v>0</v>
      </c>
      <c r="AB38" s="115">
        <f>Total!AB16</f>
        <v>0</v>
      </c>
      <c r="AC38" s="115">
        <f>Total!AC16</f>
        <v>0</v>
      </c>
      <c r="AD38" s="115">
        <f>Total!AD16</f>
        <v>0</v>
      </c>
      <c r="AE38" s="115">
        <f>Total!AE16</f>
        <v>0</v>
      </c>
      <c r="AF38" s="115">
        <f>Total!AF16</f>
        <v>0</v>
      </c>
      <c r="AG38" s="115">
        <f>Total!AH16</f>
        <v>4712</v>
      </c>
      <c r="AO38" s="115" t="str">
        <f>表格1[[#Headers],[日本飯煲 RC-DS10K/18K]]</f>
        <v>日本飯煲 RC-DS10K/18K</v>
      </c>
      <c r="AP38" s="115" t="str">
        <f>表格1[[#Headers],[酵活炊電飯煲特佣 RC-18AMXH(W)]]</f>
        <v>酵活炊電飯煲特佣 RC-18AMXH(W)</v>
      </c>
      <c r="AQ38" s="115" t="str">
        <f>表格1[[#Headers],[嵌入式微波氣炸蒸焗爐特佣 EB-T500APW]]</f>
        <v>嵌入式微波氣炸蒸焗爐特佣 EB-T500APW</v>
      </c>
      <c r="AR38" s="115" t="str">
        <f>表格1[[#Headers],[蒸氣烤焗水波爐特佣 ER-VD7000HK(XK)]]</f>
        <v>蒸氣烤焗水波爐特佣 ER-VD7000HK(XK)</v>
      </c>
      <c r="AS38" s="115" t="str">
        <f>表格1[[#Headers],[TWDT21BU95 ]]</f>
        <v xml:space="preserve">TWDT21BU95 </v>
      </c>
      <c r="AT38" s="115" t="str">
        <f>表格1[[#Headers],[日式洗衣機一特佣 AW-Q800APH(WW)]]</f>
        <v>日式洗衣機一特佣 AW-Q800APH(WW)</v>
      </c>
      <c r="AU38" s="115" t="str">
        <f>表格1[[#Headers],[日式洗衣機二特佣 AW-Q801APH(WW)]]</f>
        <v>日式洗衣機二特佣 AW-Q801APH(WW)</v>
      </c>
      <c r="AV38" s="115" t="str">
        <f>表格1[[#Headers],[三門雪櫃特佣 GR-RM469WE-PGA(B3)]]</f>
        <v>三門雪櫃特佣 GR-RM469WE-PGA(B3)</v>
      </c>
      <c r="AW38" s="115" t="str">
        <f>表格1[[#Headers],[雙門雪櫃一特佣 GR-RB449WE-PMA(57)]]</f>
        <v>雙門雪櫃一特佣 GR-RB449WE-PMA(57)</v>
      </c>
      <c r="AX38" s="115" t="str">
        <f>表格1[[#Headers],[雙門雪櫃一特佣 GR-RB410WE-PMA(06)]]</f>
        <v>雙門雪櫃一特佣 GR-RB410WE-PMA(06)</v>
      </c>
      <c r="AY38" s="115" t="str">
        <f>表格1[[#Headers],[十字門雪櫃 GR-RF698WI]]</f>
        <v>十字門雪櫃 GR-RF698WI</v>
      </c>
      <c r="AZ38" s="115" t="str">
        <f>表格1[[#Headers],[水機 TWP-W2265THK(W)]]</f>
        <v>水機 TWP-W2265THK(W)</v>
      </c>
      <c r="BA38" s="115" t="str">
        <f>表格1[[#Headers],[抽濕機特佣]]</f>
        <v>抽濕機特佣</v>
      </c>
      <c r="BB38" s="115" t="str">
        <f>表格1[[#Headers],[(Fortress ONLY)TW-T25BZU115MWH(MG) ]]</f>
        <v>(Fortress ONLY)TW-T25BZU115MWH(MG) </v>
      </c>
      <c r="BC38" s="115" t="str">
        <f>表格1[[#Headers],[開門紅(三月)]]</f>
        <v>開門紅(三月)</v>
      </c>
      <c r="BD38" s="115" t="str">
        <f>表格1[[#Headers],[開門紅(第一季)]]</f>
        <v>開門紅(第一季)</v>
      </c>
      <c r="BE38" s="115" t="str">
        <f>表格1[[#Headers],[酵活炊電飯煲特佣 RC-18AMXH(W)]]</f>
        <v>酵活炊電飯煲特佣 RC-18AMXH(W)</v>
      </c>
    </row>
    <row r="39" spans="1:57" ht="26.25">
      <c r="A39" s="114">
        <v>10</v>
      </c>
      <c r="B39" s="114" t="str">
        <f t="shared" si="1"/>
        <v>2026-03 Toshiba</v>
      </c>
      <c r="C39" s="115" t="str">
        <f>Total!C17</f>
        <v>Mui Chan_2</v>
      </c>
      <c r="D39" s="115" t="str">
        <f>Total!D17</f>
        <v>Chan So Mui</v>
      </c>
      <c r="E39" s="115" t="str">
        <f>Total!E17</f>
        <v>Autopay</v>
      </c>
      <c r="F39" s="115" t="str">
        <f>Total!F17</f>
        <v>Diamond Hill_2 Broadway</v>
      </c>
      <c r="G39" s="115" t="str">
        <f>Total!G17</f>
        <v>Mar/21-22</v>
      </c>
      <c r="H39" s="115">
        <f>Total!H17</f>
        <v>2</v>
      </c>
      <c r="I39" s="115">
        <f>Total!I17</f>
        <v>16</v>
      </c>
      <c r="J39" s="115">
        <f>Total!J17</f>
        <v>60</v>
      </c>
      <c r="K39" s="115">
        <f>Total!K17</f>
        <v>960</v>
      </c>
      <c r="L39" s="115">
        <f>Total!L17</f>
        <v>17304</v>
      </c>
      <c r="M39" s="115">
        <f>Total!M17</f>
        <v>0</v>
      </c>
      <c r="N39" s="115">
        <f>Total!N17</f>
        <v>346.08</v>
      </c>
      <c r="O39" s="115">
        <f>Total!O17</f>
        <v>0</v>
      </c>
      <c r="P39" s="115">
        <f>Total!P17</f>
        <v>0</v>
      </c>
      <c r="Q39" s="115">
        <f>Total!Q17</f>
        <v>0</v>
      </c>
      <c r="R39" s="115">
        <f>Total!R17</f>
        <v>0</v>
      </c>
      <c r="S39" s="115">
        <f>Total!S17</f>
        <v>0</v>
      </c>
      <c r="T39" s="115">
        <f>Total!T17</f>
        <v>0</v>
      </c>
      <c r="U39" s="115">
        <f>Total!U17</f>
        <v>0</v>
      </c>
      <c r="V39" s="115">
        <f>Total!V17</f>
        <v>0</v>
      </c>
      <c r="W39" s="115">
        <f>Total!W17</f>
        <v>0</v>
      </c>
      <c r="X39" s="115">
        <f>Total!X17</f>
        <v>0</v>
      </c>
      <c r="Y39" s="115">
        <f>Total!Y17</f>
        <v>0</v>
      </c>
      <c r="Z39" s="115">
        <f>Total!Z17</f>
        <v>0</v>
      </c>
      <c r="AA39" s="115">
        <f>Total!AA17</f>
        <v>0</v>
      </c>
      <c r="AB39" s="115">
        <f>Total!AB17</f>
        <v>0</v>
      </c>
      <c r="AC39" s="115">
        <f>Total!AC17</f>
        <v>0</v>
      </c>
      <c r="AD39" s="115">
        <f>Total!AD17</f>
        <v>0</v>
      </c>
      <c r="AE39" s="115">
        <f>Total!AE17</f>
        <v>0</v>
      </c>
      <c r="AF39" s="115">
        <f>Total!AF17</f>
        <v>30</v>
      </c>
      <c r="AG39" s="115">
        <f>Total!AH17</f>
        <v>1336</v>
      </c>
      <c r="AO39" s="115" t="str">
        <f>表格1[[#Headers],[日本飯煲 RC-DS10K/18K]]</f>
        <v>日本飯煲 RC-DS10K/18K</v>
      </c>
      <c r="AP39" s="115" t="str">
        <f>表格1[[#Headers],[酵活炊電飯煲特佣 RC-18AMXH(W)]]</f>
        <v>酵活炊電飯煲特佣 RC-18AMXH(W)</v>
      </c>
      <c r="AQ39" s="115" t="str">
        <f>表格1[[#Headers],[嵌入式微波氣炸蒸焗爐特佣 EB-T500APW]]</f>
        <v>嵌入式微波氣炸蒸焗爐特佣 EB-T500APW</v>
      </c>
      <c r="AR39" s="115" t="str">
        <f>表格1[[#Headers],[蒸氣烤焗水波爐特佣 ER-VD7000HK(XK)]]</f>
        <v>蒸氣烤焗水波爐特佣 ER-VD7000HK(XK)</v>
      </c>
      <c r="AS39" s="115" t="str">
        <f>表格1[[#Headers],[TWDT21BU95 ]]</f>
        <v xml:space="preserve">TWDT21BU95 </v>
      </c>
      <c r="AT39" s="115" t="str">
        <f>表格1[[#Headers],[日式洗衣機一特佣 AW-Q800APH(WW)]]</f>
        <v>日式洗衣機一特佣 AW-Q800APH(WW)</v>
      </c>
      <c r="AU39" s="115" t="str">
        <f>表格1[[#Headers],[日式洗衣機二特佣 AW-Q801APH(WW)]]</f>
        <v>日式洗衣機二特佣 AW-Q801APH(WW)</v>
      </c>
      <c r="AV39" s="115" t="str">
        <f>表格1[[#Headers],[三門雪櫃特佣 GR-RM469WE-PGA(B3)]]</f>
        <v>三門雪櫃特佣 GR-RM469WE-PGA(B3)</v>
      </c>
      <c r="AW39" s="115" t="str">
        <f>表格1[[#Headers],[雙門雪櫃一特佣 GR-RB449WE-PMA(57)]]</f>
        <v>雙門雪櫃一特佣 GR-RB449WE-PMA(57)</v>
      </c>
      <c r="AX39" s="115" t="str">
        <f>表格1[[#Headers],[雙門雪櫃一特佣 GR-RB410WE-PMA(06)]]</f>
        <v>雙門雪櫃一特佣 GR-RB410WE-PMA(06)</v>
      </c>
      <c r="AY39" s="115" t="str">
        <f>表格1[[#Headers],[十字門雪櫃 GR-RF698WI]]</f>
        <v>十字門雪櫃 GR-RF698WI</v>
      </c>
      <c r="AZ39" s="115" t="str">
        <f>表格1[[#Headers],[水機 TWP-W2265THK(W)]]</f>
        <v>水機 TWP-W2265THK(W)</v>
      </c>
      <c r="BA39" s="115" t="str">
        <f>表格1[[#Headers],[抽濕機特佣]]</f>
        <v>抽濕機特佣</v>
      </c>
      <c r="BB39" s="115" t="str">
        <f>表格1[[#Headers],[(Fortress ONLY)TW-T25BZU115MWH(MG) ]]</f>
        <v>(Fortress ONLY)TW-T25BZU115MWH(MG) </v>
      </c>
      <c r="BC39" s="115" t="str">
        <f>表格1[[#Headers],[開門紅(三月)]]</f>
        <v>開門紅(三月)</v>
      </c>
      <c r="BD39" s="115" t="str">
        <f>表格1[[#Headers],[開門紅(第一季)]]</f>
        <v>開門紅(第一季)</v>
      </c>
      <c r="BE39" s="115" t="str">
        <f>表格1[[#Headers],[酵活炊電飯煲特佣 RC-18AMXH(W)]]</f>
        <v>酵活炊電飯煲特佣 RC-18AMXH(W)</v>
      </c>
    </row>
    <row r="40" spans="1:57" ht="26.25">
      <c r="A40" s="116">
        <v>12</v>
      </c>
      <c r="B40" s="114" t="str">
        <f t="shared" si="1"/>
        <v>2026-03 Toshiba</v>
      </c>
      <c r="C40" s="115" t="str">
        <f>Total!C19</f>
        <v>Wendy Wong_1</v>
      </c>
      <c r="D40" s="115" t="str">
        <f>Total!D19</f>
        <v>Wong Lai Ying</v>
      </c>
      <c r="E40" s="115" t="str">
        <f>Total!E19</f>
        <v>Autopay</v>
      </c>
      <c r="F40" s="115" t="str">
        <f>Total!F19</f>
        <v>TW_2 Citistore</v>
      </c>
      <c r="G40" s="115" t="str">
        <f>Total!G19</f>
        <v>Mar/3-4,11,13,18-19,24</v>
      </c>
      <c r="H40" s="115">
        <f>Total!H19</f>
        <v>7</v>
      </c>
      <c r="I40" s="115">
        <f>Total!I19</f>
        <v>63</v>
      </c>
      <c r="J40" s="115">
        <f>Total!J19</f>
        <v>60</v>
      </c>
      <c r="K40" s="115">
        <f>Total!K19</f>
        <v>3780</v>
      </c>
      <c r="L40" s="115">
        <f>Total!L19</f>
        <v>28203</v>
      </c>
      <c r="M40" s="115">
        <f>Total!M19</f>
        <v>0</v>
      </c>
      <c r="N40" s="115">
        <f>Total!N19</f>
        <v>564.06000000000006</v>
      </c>
      <c r="O40" s="115">
        <f>Total!O19</f>
        <v>0</v>
      </c>
      <c r="P40" s="115">
        <f>Total!P19</f>
        <v>0</v>
      </c>
      <c r="Q40" s="115">
        <f>Total!Q19</f>
        <v>0</v>
      </c>
      <c r="R40" s="115">
        <f>Total!R19</f>
        <v>0</v>
      </c>
      <c r="S40" s="115">
        <f>Total!S19</f>
        <v>0</v>
      </c>
      <c r="T40" s="115">
        <f>Total!T19</f>
        <v>0</v>
      </c>
      <c r="U40" s="115">
        <f>Total!U19</f>
        <v>0</v>
      </c>
      <c r="V40" s="115">
        <f>Total!V19</f>
        <v>0</v>
      </c>
      <c r="W40" s="115">
        <f>Total!W19</f>
        <v>0</v>
      </c>
      <c r="X40" s="115">
        <f>Total!X19</f>
        <v>0</v>
      </c>
      <c r="Y40" s="115">
        <f>Total!Y19</f>
        <v>0</v>
      </c>
      <c r="Z40" s="115">
        <f>Total!Z19</f>
        <v>0</v>
      </c>
      <c r="AA40" s="115">
        <f>Total!AA19</f>
        <v>0</v>
      </c>
      <c r="AB40" s="115">
        <f>Total!AB19</f>
        <v>0</v>
      </c>
      <c r="AC40" s="115">
        <f>Total!AC19</f>
        <v>0</v>
      </c>
      <c r="AD40" s="115">
        <f>Total!AD19</f>
        <v>0</v>
      </c>
      <c r="AE40" s="115">
        <f>Total!AE19</f>
        <v>0</v>
      </c>
      <c r="AF40" s="115">
        <f>Total!AF19</f>
        <v>0</v>
      </c>
      <c r="AG40" s="115">
        <f>Total!AH19</f>
        <v>4344</v>
      </c>
      <c r="AO40" s="115" t="str">
        <f>表格1[[#Headers],[日本飯煲 RC-DS10K/18K]]</f>
        <v>日本飯煲 RC-DS10K/18K</v>
      </c>
      <c r="AP40" s="115" t="str">
        <f>表格1[[#Headers],[酵活炊電飯煲特佣 RC-18AMXH(W)]]</f>
        <v>酵活炊電飯煲特佣 RC-18AMXH(W)</v>
      </c>
      <c r="AQ40" s="115" t="str">
        <f>表格1[[#Headers],[嵌入式微波氣炸蒸焗爐特佣 EB-T500APW]]</f>
        <v>嵌入式微波氣炸蒸焗爐特佣 EB-T500APW</v>
      </c>
      <c r="AR40" s="115" t="str">
        <f>表格1[[#Headers],[蒸氣烤焗水波爐特佣 ER-VD7000HK(XK)]]</f>
        <v>蒸氣烤焗水波爐特佣 ER-VD7000HK(XK)</v>
      </c>
      <c r="AS40" s="115" t="str">
        <f>表格1[[#Headers],[TWDT21BU95 ]]</f>
        <v xml:space="preserve">TWDT21BU95 </v>
      </c>
      <c r="AT40" s="115" t="str">
        <f>表格1[[#Headers],[日式洗衣機一特佣 AW-Q800APH(WW)]]</f>
        <v>日式洗衣機一特佣 AW-Q800APH(WW)</v>
      </c>
      <c r="AU40" s="115" t="str">
        <f>表格1[[#Headers],[日式洗衣機二特佣 AW-Q801APH(WW)]]</f>
        <v>日式洗衣機二特佣 AW-Q801APH(WW)</v>
      </c>
      <c r="AV40" s="115" t="str">
        <f>表格1[[#Headers],[三門雪櫃特佣 GR-RM469WE-PGA(B3)]]</f>
        <v>三門雪櫃特佣 GR-RM469WE-PGA(B3)</v>
      </c>
      <c r="AW40" s="115" t="str">
        <f>表格1[[#Headers],[雙門雪櫃一特佣 GR-RB449WE-PMA(57)]]</f>
        <v>雙門雪櫃一特佣 GR-RB449WE-PMA(57)</v>
      </c>
      <c r="AX40" s="115" t="str">
        <f>表格1[[#Headers],[雙門雪櫃一特佣 GR-RB410WE-PMA(06)]]</f>
        <v>雙門雪櫃一特佣 GR-RB410WE-PMA(06)</v>
      </c>
      <c r="AY40" s="115" t="str">
        <f>表格1[[#Headers],[十字門雪櫃 GR-RF698WI]]</f>
        <v>十字門雪櫃 GR-RF698WI</v>
      </c>
      <c r="AZ40" s="115" t="str">
        <f>表格1[[#Headers],[水機 TWP-W2265THK(W)]]</f>
        <v>水機 TWP-W2265THK(W)</v>
      </c>
      <c r="BA40" s="115" t="str">
        <f>表格1[[#Headers],[抽濕機特佣]]</f>
        <v>抽濕機特佣</v>
      </c>
      <c r="BB40" s="115" t="str">
        <f>表格1[[#Headers],[(Fortress ONLY)TW-T25BZU115MWH(MG) ]]</f>
        <v>(Fortress ONLY)TW-T25BZU115MWH(MG) </v>
      </c>
      <c r="BC40" s="115" t="str">
        <f>表格1[[#Headers],[開門紅(三月)]]</f>
        <v>開門紅(三月)</v>
      </c>
      <c r="BD40" s="115" t="str">
        <f>表格1[[#Headers],[開門紅(第一季)]]</f>
        <v>開門紅(第一季)</v>
      </c>
      <c r="BE40" s="115" t="str">
        <f>表格1[[#Headers],[酵活炊電飯煲特佣 RC-18AMXH(W)]]</f>
        <v>酵活炊電飯煲特佣 RC-18AMXH(W)</v>
      </c>
    </row>
    <row r="41" spans="1:57" ht="26.25">
      <c r="A41" s="114">
        <v>13</v>
      </c>
      <c r="B41" s="114" t="str">
        <f t="shared" si="1"/>
        <v>2026-03 Toshiba</v>
      </c>
      <c r="C41" s="115" t="str">
        <f>Total!C20</f>
        <v>Mandy</v>
      </c>
      <c r="D41" s="115" t="str">
        <f>Total!D20</f>
        <v>Ho Lai Sim</v>
      </c>
      <c r="E41" s="115" t="str">
        <f>Total!E20</f>
        <v>Autopay</v>
      </c>
      <c r="F41" s="115" t="str">
        <f>Total!F20</f>
        <v>TW_3 Citistore</v>
      </c>
      <c r="G41" s="115" t="str">
        <f>Total!G20</f>
        <v>Mar/12</v>
      </c>
      <c r="H41" s="115">
        <f>Total!H20</f>
        <v>1</v>
      </c>
      <c r="I41" s="115">
        <f>Total!I20</f>
        <v>9</v>
      </c>
      <c r="J41" s="115">
        <f>Total!J20</f>
        <v>60</v>
      </c>
      <c r="K41" s="115">
        <f>Total!K20</f>
        <v>540</v>
      </c>
      <c r="L41" s="115">
        <f>Total!L20</f>
        <v>4664</v>
      </c>
      <c r="M41" s="115">
        <f>Total!M20</f>
        <v>0</v>
      </c>
      <c r="N41" s="115">
        <f>Total!N20</f>
        <v>93.28</v>
      </c>
      <c r="O41" s="115">
        <f>Total!O20</f>
        <v>0</v>
      </c>
      <c r="P41" s="115">
        <f>Total!P20</f>
        <v>0</v>
      </c>
      <c r="Q41" s="115">
        <f>Total!Q20</f>
        <v>0</v>
      </c>
      <c r="R41" s="115">
        <f>Total!R20</f>
        <v>0</v>
      </c>
      <c r="S41" s="115">
        <f>Total!S20</f>
        <v>0</v>
      </c>
      <c r="T41" s="115">
        <f>Total!T20</f>
        <v>0</v>
      </c>
      <c r="U41" s="115">
        <f>Total!U20</f>
        <v>0</v>
      </c>
      <c r="V41" s="115">
        <f>Total!V20</f>
        <v>0</v>
      </c>
      <c r="W41" s="115">
        <f>Total!W20</f>
        <v>0</v>
      </c>
      <c r="X41" s="115">
        <f>Total!X20</f>
        <v>0</v>
      </c>
      <c r="Y41" s="115">
        <f>Total!Y20</f>
        <v>0</v>
      </c>
      <c r="Z41" s="115">
        <f>Total!Z20</f>
        <v>0</v>
      </c>
      <c r="AA41" s="115">
        <f>Total!AA20</f>
        <v>0</v>
      </c>
      <c r="AB41" s="115">
        <f>Total!AB20</f>
        <v>0</v>
      </c>
      <c r="AC41" s="115">
        <f>Total!AC20</f>
        <v>0</v>
      </c>
      <c r="AD41" s="115">
        <f>Total!AD20</f>
        <v>0</v>
      </c>
      <c r="AE41" s="115">
        <f>Total!AE20</f>
        <v>0</v>
      </c>
      <c r="AF41" s="115">
        <f>Total!AF20</f>
        <v>0</v>
      </c>
      <c r="AG41" s="115">
        <f>Total!AH20</f>
        <v>633</v>
      </c>
      <c r="AO41" s="115" t="str">
        <f>表格1[[#Headers],[日本飯煲 RC-DS10K/18K]]</f>
        <v>日本飯煲 RC-DS10K/18K</v>
      </c>
      <c r="AP41" s="115" t="str">
        <f>表格1[[#Headers],[酵活炊電飯煲特佣 RC-18AMXH(W)]]</f>
        <v>酵活炊電飯煲特佣 RC-18AMXH(W)</v>
      </c>
      <c r="AQ41" s="115" t="str">
        <f>表格1[[#Headers],[嵌入式微波氣炸蒸焗爐特佣 EB-T500APW]]</f>
        <v>嵌入式微波氣炸蒸焗爐特佣 EB-T500APW</v>
      </c>
      <c r="AR41" s="115" t="str">
        <f>表格1[[#Headers],[蒸氣烤焗水波爐特佣 ER-VD7000HK(XK)]]</f>
        <v>蒸氣烤焗水波爐特佣 ER-VD7000HK(XK)</v>
      </c>
      <c r="AS41" s="115" t="str">
        <f>表格1[[#Headers],[TWDT21BU95 ]]</f>
        <v xml:space="preserve">TWDT21BU95 </v>
      </c>
      <c r="AT41" s="115" t="str">
        <f>表格1[[#Headers],[日式洗衣機一特佣 AW-Q800APH(WW)]]</f>
        <v>日式洗衣機一特佣 AW-Q800APH(WW)</v>
      </c>
      <c r="AU41" s="115" t="str">
        <f>表格1[[#Headers],[日式洗衣機二特佣 AW-Q801APH(WW)]]</f>
        <v>日式洗衣機二特佣 AW-Q801APH(WW)</v>
      </c>
      <c r="AV41" s="115" t="str">
        <f>表格1[[#Headers],[三門雪櫃特佣 GR-RM469WE-PGA(B3)]]</f>
        <v>三門雪櫃特佣 GR-RM469WE-PGA(B3)</v>
      </c>
      <c r="AW41" s="115" t="str">
        <f>表格1[[#Headers],[雙門雪櫃一特佣 GR-RB449WE-PMA(57)]]</f>
        <v>雙門雪櫃一特佣 GR-RB449WE-PMA(57)</v>
      </c>
      <c r="AX41" s="115" t="str">
        <f>表格1[[#Headers],[雙門雪櫃一特佣 GR-RB410WE-PMA(06)]]</f>
        <v>雙門雪櫃一特佣 GR-RB410WE-PMA(06)</v>
      </c>
      <c r="AY41" s="115" t="str">
        <f>表格1[[#Headers],[十字門雪櫃 GR-RF698WI]]</f>
        <v>十字門雪櫃 GR-RF698WI</v>
      </c>
      <c r="AZ41" s="115" t="str">
        <f>表格1[[#Headers],[水機 TWP-W2265THK(W)]]</f>
        <v>水機 TWP-W2265THK(W)</v>
      </c>
      <c r="BA41" s="115" t="str">
        <f>表格1[[#Headers],[抽濕機特佣]]</f>
        <v>抽濕機特佣</v>
      </c>
      <c r="BB41" s="115" t="str">
        <f>表格1[[#Headers],[(Fortress ONLY)TW-T25BZU115MWH(MG) ]]</f>
        <v>(Fortress ONLY)TW-T25BZU115MWH(MG) </v>
      </c>
      <c r="BC41" s="115" t="str">
        <f>表格1[[#Headers],[開門紅(三月)]]</f>
        <v>開門紅(三月)</v>
      </c>
      <c r="BD41" s="115" t="str">
        <f>表格1[[#Headers],[開門紅(第一季)]]</f>
        <v>開門紅(第一季)</v>
      </c>
      <c r="BE41" s="115" t="str">
        <f>表格1[[#Headers],[酵活炊電飯煲特佣 RC-18AMXH(W)]]</f>
        <v>酵活炊電飯煲特佣 RC-18AMXH(W)</v>
      </c>
    </row>
    <row r="42" spans="1:57" ht="26.25">
      <c r="A42" s="97">
        <v>15</v>
      </c>
      <c r="B42" s="114" t="str">
        <f t="shared" si="1"/>
        <v>2026-03 Toshiba</v>
      </c>
      <c r="C42" s="115" t="str">
        <f>Total!C22</f>
        <v>Wendy Wong_2</v>
      </c>
      <c r="D42" s="115" t="str">
        <f>Total!D22</f>
        <v>Wong Lai Ying</v>
      </c>
      <c r="E42" s="115" t="str">
        <f>Total!E22</f>
        <v>Autopay</v>
      </c>
      <c r="F42" s="115" t="str">
        <f>Total!F22</f>
        <v>TW RS_2 Citistore</v>
      </c>
      <c r="G42" s="115" t="str">
        <f>Total!G22</f>
        <v>Mar/27-29</v>
      </c>
      <c r="H42" s="115">
        <f>Total!H22</f>
        <v>3</v>
      </c>
      <c r="I42" s="115">
        <f>Total!I22</f>
        <v>24</v>
      </c>
      <c r="J42" s="115">
        <f>Total!J22</f>
        <v>60</v>
      </c>
      <c r="K42" s="115">
        <f>Total!K22</f>
        <v>1440</v>
      </c>
      <c r="L42" s="115">
        <f>Total!L22</f>
        <v>79845</v>
      </c>
      <c r="M42" s="115">
        <f>Total!M22</f>
        <v>0</v>
      </c>
      <c r="N42" s="115">
        <f>Total!N22</f>
        <v>798.45</v>
      </c>
      <c r="O42" s="115">
        <f>Total!O22</f>
        <v>0</v>
      </c>
      <c r="P42" s="115">
        <f>Total!P22</f>
        <v>0</v>
      </c>
      <c r="Q42" s="115">
        <f>Total!Q22</f>
        <v>0</v>
      </c>
      <c r="R42" s="115">
        <f>Total!R22</f>
        <v>0</v>
      </c>
      <c r="S42" s="115">
        <f>Total!S22</f>
        <v>0</v>
      </c>
      <c r="T42" s="115">
        <f>Total!T22</f>
        <v>0</v>
      </c>
      <c r="U42" s="115">
        <f>Total!U22</f>
        <v>0</v>
      </c>
      <c r="V42" s="115">
        <f>Total!V22</f>
        <v>0</v>
      </c>
      <c r="W42" s="115">
        <f>Total!W22</f>
        <v>0</v>
      </c>
      <c r="X42" s="115">
        <f>Total!X22</f>
        <v>0</v>
      </c>
      <c r="Y42" s="115">
        <f>Total!Y22</f>
        <v>0</v>
      </c>
      <c r="Z42" s="115">
        <f>Total!Z22</f>
        <v>0</v>
      </c>
      <c r="AA42" s="115">
        <f>Total!AA22</f>
        <v>0</v>
      </c>
      <c r="AB42" s="115">
        <f>Total!AB22</f>
        <v>0</v>
      </c>
      <c r="AC42" s="115">
        <f>Total!AC22</f>
        <v>0</v>
      </c>
      <c r="AD42" s="115">
        <f>Total!AD22</f>
        <v>0</v>
      </c>
      <c r="AE42" s="115">
        <f>Total!AE22</f>
        <v>0</v>
      </c>
      <c r="AF42" s="115">
        <f>Total!AF22</f>
        <v>0</v>
      </c>
      <c r="AG42" s="115">
        <f>Total!AH22</f>
        <v>2238</v>
      </c>
      <c r="AO42" s="115" t="str">
        <f>表格1[[#Headers],[日本飯煲 RC-DS10K/18K]]</f>
        <v>日本飯煲 RC-DS10K/18K</v>
      </c>
      <c r="AP42" s="115" t="str">
        <f>表格1[[#Headers],[酵活炊電飯煲特佣 RC-18AMXH(W)]]</f>
        <v>酵活炊電飯煲特佣 RC-18AMXH(W)</v>
      </c>
      <c r="AQ42" s="115" t="str">
        <f>表格1[[#Headers],[嵌入式微波氣炸蒸焗爐特佣 EB-T500APW]]</f>
        <v>嵌入式微波氣炸蒸焗爐特佣 EB-T500APW</v>
      </c>
      <c r="AR42" s="115" t="str">
        <f>表格1[[#Headers],[蒸氣烤焗水波爐特佣 ER-VD7000HK(XK)]]</f>
        <v>蒸氣烤焗水波爐特佣 ER-VD7000HK(XK)</v>
      </c>
      <c r="AS42" s="115" t="str">
        <f>表格1[[#Headers],[TWDT21BU95 ]]</f>
        <v xml:space="preserve">TWDT21BU95 </v>
      </c>
      <c r="AT42" s="115" t="str">
        <f>表格1[[#Headers],[日式洗衣機一特佣 AW-Q800APH(WW)]]</f>
        <v>日式洗衣機一特佣 AW-Q800APH(WW)</v>
      </c>
      <c r="AU42" s="115" t="str">
        <f>表格1[[#Headers],[日式洗衣機二特佣 AW-Q801APH(WW)]]</f>
        <v>日式洗衣機二特佣 AW-Q801APH(WW)</v>
      </c>
      <c r="AV42" s="115" t="str">
        <f>表格1[[#Headers],[三門雪櫃特佣 GR-RM469WE-PGA(B3)]]</f>
        <v>三門雪櫃特佣 GR-RM469WE-PGA(B3)</v>
      </c>
      <c r="AW42" s="115" t="str">
        <f>表格1[[#Headers],[雙門雪櫃一特佣 GR-RB449WE-PMA(57)]]</f>
        <v>雙門雪櫃一特佣 GR-RB449WE-PMA(57)</v>
      </c>
      <c r="AX42" s="115" t="str">
        <f>表格1[[#Headers],[雙門雪櫃一特佣 GR-RB410WE-PMA(06)]]</f>
        <v>雙門雪櫃一特佣 GR-RB410WE-PMA(06)</v>
      </c>
      <c r="AY42" s="115" t="str">
        <f>表格1[[#Headers],[十字門雪櫃 GR-RF698WI]]</f>
        <v>十字門雪櫃 GR-RF698WI</v>
      </c>
      <c r="AZ42" s="115" t="str">
        <f>表格1[[#Headers],[水機 TWP-W2265THK(W)]]</f>
        <v>水機 TWP-W2265THK(W)</v>
      </c>
      <c r="BA42" s="115" t="str">
        <f>表格1[[#Headers],[抽濕機特佣]]</f>
        <v>抽濕機特佣</v>
      </c>
      <c r="BB42" s="115" t="str">
        <f>表格1[[#Headers],[(Fortress ONLY)TW-T25BZU115MWH(MG) ]]</f>
        <v>(Fortress ONLY)TW-T25BZU115MWH(MG) </v>
      </c>
      <c r="BC42" s="115" t="str">
        <f>表格1[[#Headers],[開門紅(三月)]]</f>
        <v>開門紅(三月)</v>
      </c>
      <c r="BD42" s="115" t="str">
        <f>表格1[[#Headers],[開門紅(第一季)]]</f>
        <v>開門紅(第一季)</v>
      </c>
      <c r="BE42" s="115" t="str">
        <f>表格1[[#Headers],[酵活炊電飯煲特佣 RC-18AMXH(W)]]</f>
        <v>酵活炊電飯煲特佣 RC-18AMXH(W)</v>
      </c>
    </row>
    <row r="43" spans="1:57" ht="26.25">
      <c r="A43" s="97">
        <v>16</v>
      </c>
      <c r="B43" s="114" t="str">
        <f t="shared" si="1"/>
        <v>2026-03 Toshiba</v>
      </c>
      <c r="C43" s="115" t="str">
        <f>Total!C23</f>
        <v>Kiko</v>
      </c>
      <c r="D43" s="115" t="str">
        <f>Total!D23</f>
        <v>Chan Mei Sim</v>
      </c>
      <c r="E43" s="115" t="str">
        <f>Total!E23</f>
        <v>Autopay</v>
      </c>
      <c r="F43" s="115" t="str">
        <f>Total!F23</f>
        <v>Tai Koo Fortress</v>
      </c>
      <c r="G43" s="115" t="str">
        <f>Total!G23</f>
        <v>Mar/1-3,7-11,14-18,21-25,28-31</v>
      </c>
      <c r="H43" s="115">
        <f>Total!H23</f>
        <v>22</v>
      </c>
      <c r="I43" s="115">
        <f>Total!I23</f>
        <v>176</v>
      </c>
      <c r="J43" s="115">
        <f>Total!J23</f>
        <v>60</v>
      </c>
      <c r="K43" s="115">
        <f>Total!K23</f>
        <v>10560</v>
      </c>
      <c r="L43" s="115">
        <f>Total!L23</f>
        <v>487590</v>
      </c>
      <c r="M43" s="115">
        <f>Total!M23</f>
        <v>0</v>
      </c>
      <c r="N43" s="115">
        <f>Total!N23</f>
        <v>9751.8000000000011</v>
      </c>
      <c r="O43" s="115">
        <f>Total!O23</f>
        <v>0</v>
      </c>
      <c r="P43" s="115">
        <f>Total!P23</f>
        <v>0</v>
      </c>
      <c r="Q43" s="115">
        <f>Total!Q23</f>
        <v>0</v>
      </c>
      <c r="R43" s="115">
        <f>Total!R23</f>
        <v>0</v>
      </c>
      <c r="S43" s="115">
        <f>Total!S23</f>
        <v>0</v>
      </c>
      <c r="T43" s="115">
        <f>Total!T23</f>
        <v>320</v>
      </c>
      <c r="U43" s="115">
        <f>Total!U23</f>
        <v>0</v>
      </c>
      <c r="V43" s="115">
        <f>Total!V23</f>
        <v>0</v>
      </c>
      <c r="W43" s="115">
        <f>Total!W23</f>
        <v>0</v>
      </c>
      <c r="X43" s="115">
        <f>Total!X23</f>
        <v>0</v>
      </c>
      <c r="Y43" s="115">
        <f>Total!Y23</f>
        <v>0</v>
      </c>
      <c r="Z43" s="115">
        <f>Total!Z23</f>
        <v>0</v>
      </c>
      <c r="AA43" s="115">
        <f>Total!AA23</f>
        <v>0</v>
      </c>
      <c r="AB43" s="115">
        <f>Total!AB23</f>
        <v>0</v>
      </c>
      <c r="AC43" s="115">
        <f>Total!AC23</f>
        <v>0</v>
      </c>
      <c r="AD43" s="115">
        <f>Total!AD23</f>
        <v>500</v>
      </c>
      <c r="AE43" s="115">
        <f>Total!AE23</f>
        <v>1000</v>
      </c>
      <c r="AF43" s="115">
        <f>Total!AF23</f>
        <v>0</v>
      </c>
      <c r="AG43" s="115">
        <f>Total!AH23</f>
        <v>22132</v>
      </c>
      <c r="AO43" s="115" t="str">
        <f>表格1[[#Headers],[日本飯煲 RC-DS10K/18K]]</f>
        <v>日本飯煲 RC-DS10K/18K</v>
      </c>
      <c r="AP43" s="115" t="str">
        <f>表格1[[#Headers],[酵活炊電飯煲特佣 RC-18AMXH(W)]]</f>
        <v>酵活炊電飯煲特佣 RC-18AMXH(W)</v>
      </c>
      <c r="AQ43" s="115" t="str">
        <f>表格1[[#Headers],[嵌入式微波氣炸蒸焗爐特佣 EB-T500APW]]</f>
        <v>嵌入式微波氣炸蒸焗爐特佣 EB-T500APW</v>
      </c>
      <c r="AR43" s="115" t="str">
        <f>表格1[[#Headers],[蒸氣烤焗水波爐特佣 ER-VD7000HK(XK)]]</f>
        <v>蒸氣烤焗水波爐特佣 ER-VD7000HK(XK)</v>
      </c>
      <c r="AS43" s="115" t="str">
        <f>表格1[[#Headers],[TWDT21BU95 ]]</f>
        <v xml:space="preserve">TWDT21BU95 </v>
      </c>
      <c r="AT43" s="115" t="str">
        <f>表格1[[#Headers],[日式洗衣機一特佣 AW-Q800APH(WW)]]</f>
        <v>日式洗衣機一特佣 AW-Q800APH(WW)</v>
      </c>
      <c r="AU43" s="115" t="str">
        <f>表格1[[#Headers],[日式洗衣機二特佣 AW-Q801APH(WW)]]</f>
        <v>日式洗衣機二特佣 AW-Q801APH(WW)</v>
      </c>
      <c r="AV43" s="115" t="str">
        <f>表格1[[#Headers],[三門雪櫃特佣 GR-RM469WE-PGA(B3)]]</f>
        <v>三門雪櫃特佣 GR-RM469WE-PGA(B3)</v>
      </c>
      <c r="AW43" s="115" t="str">
        <f>表格1[[#Headers],[雙門雪櫃一特佣 GR-RB449WE-PMA(57)]]</f>
        <v>雙門雪櫃一特佣 GR-RB449WE-PMA(57)</v>
      </c>
      <c r="AX43" s="115" t="str">
        <f>表格1[[#Headers],[雙門雪櫃一特佣 GR-RB410WE-PMA(06)]]</f>
        <v>雙門雪櫃一特佣 GR-RB410WE-PMA(06)</v>
      </c>
      <c r="AY43" s="115" t="str">
        <f>表格1[[#Headers],[十字門雪櫃 GR-RF698WI]]</f>
        <v>十字門雪櫃 GR-RF698WI</v>
      </c>
      <c r="AZ43" s="115" t="str">
        <f>表格1[[#Headers],[水機 TWP-W2265THK(W)]]</f>
        <v>水機 TWP-W2265THK(W)</v>
      </c>
      <c r="BA43" s="115" t="str">
        <f>表格1[[#Headers],[抽濕機特佣]]</f>
        <v>抽濕機特佣</v>
      </c>
      <c r="BB43" s="115" t="str">
        <f>表格1[[#Headers],[(Fortress ONLY)TW-T25BZU115MWH(MG) ]]</f>
        <v>(Fortress ONLY)TW-T25BZU115MWH(MG) </v>
      </c>
      <c r="BC43" s="115" t="str">
        <f>表格1[[#Headers],[開門紅(三月)]]</f>
        <v>開門紅(三月)</v>
      </c>
      <c r="BD43" s="115" t="str">
        <f>表格1[[#Headers],[開門紅(第一季)]]</f>
        <v>開門紅(第一季)</v>
      </c>
      <c r="BE43" s="115" t="str">
        <f>表格1[[#Headers],[酵活炊電飯煲特佣 RC-18AMXH(W)]]</f>
        <v>酵活炊電飯煲特佣 RC-18AMXH(W)</v>
      </c>
    </row>
    <row r="44" spans="1:57" ht="26.25">
      <c r="A44" s="97">
        <v>18</v>
      </c>
      <c r="B44" s="114" t="str">
        <f t="shared" si="1"/>
        <v>2026-03 Toshiba</v>
      </c>
      <c r="C44" s="115" t="str">
        <f>Total!C25</f>
        <v>Daisy</v>
      </c>
      <c r="D44" s="115" t="str">
        <f>Total!D25</f>
        <v>Yeung Kwai Lin</v>
      </c>
      <c r="E44" s="115" t="str">
        <f>Total!E25</f>
        <v>Autopay</v>
      </c>
      <c r="F44" s="115" t="str">
        <f>Total!F25</f>
        <v>TM Suning</v>
      </c>
      <c r="G44" s="115" t="str">
        <f>Total!G25</f>
        <v>Mar/1-4,7-10,14-18,20-25,28-31</v>
      </c>
      <c r="H44" s="115">
        <f>Total!H25</f>
        <v>23</v>
      </c>
      <c r="I44" s="115">
        <f>Total!I25</f>
        <v>184</v>
      </c>
      <c r="J44" s="115">
        <f>Total!J25</f>
        <v>60</v>
      </c>
      <c r="K44" s="115">
        <f>Total!K25</f>
        <v>11040</v>
      </c>
      <c r="L44" s="115">
        <f>Total!L25</f>
        <v>335290</v>
      </c>
      <c r="M44" s="115">
        <f>Total!M25</f>
        <v>0</v>
      </c>
      <c r="N44" s="115">
        <f>Total!N25</f>
        <v>6705.8</v>
      </c>
      <c r="O44" s="115">
        <f>Total!O25</f>
        <v>0</v>
      </c>
      <c r="P44" s="115">
        <f>Total!P25</f>
        <v>0</v>
      </c>
      <c r="Q44" s="115">
        <f>Total!Q25</f>
        <v>200</v>
      </c>
      <c r="R44" s="115">
        <f>Total!R25</f>
        <v>0</v>
      </c>
      <c r="S44" s="115">
        <f>Total!S25</f>
        <v>0</v>
      </c>
      <c r="T44" s="115">
        <f>Total!T25</f>
        <v>0</v>
      </c>
      <c r="U44" s="115">
        <f>Total!U25</f>
        <v>0</v>
      </c>
      <c r="V44" s="115">
        <f>Total!V25</f>
        <v>0</v>
      </c>
      <c r="W44" s="115">
        <f>Total!W25</f>
        <v>0</v>
      </c>
      <c r="X44" s="115">
        <f>Total!X25</f>
        <v>0</v>
      </c>
      <c r="Y44" s="115">
        <f>Total!Y25</f>
        <v>0</v>
      </c>
      <c r="Z44" s="115">
        <f>Total!Z25</f>
        <v>0</v>
      </c>
      <c r="AA44" s="115">
        <f>Total!AA25</f>
        <v>200</v>
      </c>
      <c r="AB44" s="115">
        <f>Total!AB25</f>
        <v>0</v>
      </c>
      <c r="AC44" s="115">
        <f>Total!AC25</f>
        <v>0</v>
      </c>
      <c r="AD44" s="115">
        <f>Total!AD25</f>
        <v>0</v>
      </c>
      <c r="AE44" s="115">
        <f>Total!AE25</f>
        <v>0</v>
      </c>
      <c r="AF44" s="115">
        <f>Total!AF25</f>
        <v>0</v>
      </c>
      <c r="AG44" s="115">
        <f>Total!AH25</f>
        <v>18146</v>
      </c>
      <c r="AO44" s="115" t="str">
        <f>表格1[[#Headers],[日本飯煲 RC-DS10K/18K]]</f>
        <v>日本飯煲 RC-DS10K/18K</v>
      </c>
      <c r="AP44" s="115" t="str">
        <f>表格1[[#Headers],[酵活炊電飯煲特佣 RC-18AMXH(W)]]</f>
        <v>酵活炊電飯煲特佣 RC-18AMXH(W)</v>
      </c>
      <c r="AQ44" s="115" t="str">
        <f>表格1[[#Headers],[嵌入式微波氣炸蒸焗爐特佣 EB-T500APW]]</f>
        <v>嵌入式微波氣炸蒸焗爐特佣 EB-T500APW</v>
      </c>
      <c r="AR44" s="115" t="str">
        <f>表格1[[#Headers],[蒸氣烤焗水波爐特佣 ER-VD7000HK(XK)]]</f>
        <v>蒸氣烤焗水波爐特佣 ER-VD7000HK(XK)</v>
      </c>
      <c r="AS44" s="115" t="str">
        <f>表格1[[#Headers],[TWDT21BU95 ]]</f>
        <v xml:space="preserve">TWDT21BU95 </v>
      </c>
      <c r="AT44" s="115" t="str">
        <f>表格1[[#Headers],[日式洗衣機一特佣 AW-Q800APH(WW)]]</f>
        <v>日式洗衣機一特佣 AW-Q800APH(WW)</v>
      </c>
      <c r="AU44" s="115" t="str">
        <f>表格1[[#Headers],[日式洗衣機二特佣 AW-Q801APH(WW)]]</f>
        <v>日式洗衣機二特佣 AW-Q801APH(WW)</v>
      </c>
      <c r="AV44" s="115" t="str">
        <f>表格1[[#Headers],[三門雪櫃特佣 GR-RM469WE-PGA(B3)]]</f>
        <v>三門雪櫃特佣 GR-RM469WE-PGA(B3)</v>
      </c>
      <c r="AW44" s="115" t="str">
        <f>表格1[[#Headers],[雙門雪櫃一特佣 GR-RB449WE-PMA(57)]]</f>
        <v>雙門雪櫃一特佣 GR-RB449WE-PMA(57)</v>
      </c>
      <c r="AX44" s="115" t="str">
        <f>表格1[[#Headers],[雙門雪櫃一特佣 GR-RB410WE-PMA(06)]]</f>
        <v>雙門雪櫃一特佣 GR-RB410WE-PMA(06)</v>
      </c>
      <c r="AY44" s="115" t="str">
        <f>表格1[[#Headers],[十字門雪櫃 GR-RF698WI]]</f>
        <v>十字門雪櫃 GR-RF698WI</v>
      </c>
      <c r="AZ44" s="115" t="str">
        <f>表格1[[#Headers],[水機 TWP-W2265THK(W)]]</f>
        <v>水機 TWP-W2265THK(W)</v>
      </c>
      <c r="BA44" s="115" t="str">
        <f>表格1[[#Headers],[抽濕機特佣]]</f>
        <v>抽濕機特佣</v>
      </c>
      <c r="BB44" s="115" t="str">
        <f>表格1[[#Headers],[(Fortress ONLY)TW-T25BZU115MWH(MG) ]]</f>
        <v>(Fortress ONLY)TW-T25BZU115MWH(MG) </v>
      </c>
      <c r="BC44" s="115" t="str">
        <f>表格1[[#Headers],[開門紅(三月)]]</f>
        <v>開門紅(三月)</v>
      </c>
      <c r="BD44" s="115" t="str">
        <f>表格1[[#Headers],[開門紅(第一季)]]</f>
        <v>開門紅(第一季)</v>
      </c>
      <c r="BE44" s="115" t="str">
        <f>表格1[[#Headers],[酵活炊電飯煲特佣 RC-18AMXH(W)]]</f>
        <v>酵活炊電飯煲特佣 RC-18AMXH(W)</v>
      </c>
    </row>
    <row r="45" spans="1:57" ht="26.25">
      <c r="A45" s="116">
        <v>19</v>
      </c>
      <c r="B45" s="114" t="str">
        <f t="shared" si="1"/>
        <v>2026-03 Toshiba</v>
      </c>
      <c r="C45" s="115" t="str">
        <f>Total!C26</f>
        <v>Pam</v>
      </c>
      <c r="D45" s="115" t="str">
        <f>Total!D26</f>
        <v>Tam Wing Lam</v>
      </c>
      <c r="E45" s="115" t="str">
        <f>Total!E26</f>
        <v>Autopay</v>
      </c>
      <c r="F45" s="115" t="str">
        <f>Total!F26</f>
        <v>Mos_1 Citistore</v>
      </c>
      <c r="G45" s="115" t="str">
        <f>Total!G26</f>
        <v>Mar/1,3-5,7-10,12-16,18,24-26,28-31</v>
      </c>
      <c r="H45" s="115">
        <f>Total!H26</f>
        <v>21</v>
      </c>
      <c r="I45" s="115">
        <f>Total!I26</f>
        <v>168</v>
      </c>
      <c r="J45" s="115">
        <f>Total!J26</f>
        <v>55</v>
      </c>
      <c r="K45" s="115">
        <f>Total!K26</f>
        <v>9240</v>
      </c>
      <c r="L45" s="115">
        <f>Total!L26</f>
        <v>119202.6</v>
      </c>
      <c r="M45" s="115">
        <f>Total!M26</f>
        <v>0</v>
      </c>
      <c r="N45" s="115">
        <f>Total!N26</f>
        <v>2384.0520000000001</v>
      </c>
      <c r="O45" s="115">
        <f>Total!O26</f>
        <v>0</v>
      </c>
      <c r="P45" s="115">
        <f>Total!P26</f>
        <v>0</v>
      </c>
      <c r="Q45" s="115">
        <f>Total!Q26</f>
        <v>0</v>
      </c>
      <c r="R45" s="115">
        <f>Total!R26</f>
        <v>0</v>
      </c>
      <c r="S45" s="115">
        <f>Total!S26</f>
        <v>0</v>
      </c>
      <c r="T45" s="115">
        <f>Total!T26</f>
        <v>0</v>
      </c>
      <c r="U45" s="115">
        <f>Total!U26</f>
        <v>0</v>
      </c>
      <c r="V45" s="115">
        <f>Total!V26</f>
        <v>0</v>
      </c>
      <c r="W45" s="115">
        <f>Total!W26</f>
        <v>0</v>
      </c>
      <c r="X45" s="115">
        <f>Total!X26</f>
        <v>0</v>
      </c>
      <c r="Y45" s="115">
        <f>Total!Y26</f>
        <v>0</v>
      </c>
      <c r="Z45" s="115">
        <f>Total!Z26</f>
        <v>0</v>
      </c>
      <c r="AA45" s="115">
        <f>Total!AA26</f>
        <v>0</v>
      </c>
      <c r="AB45" s="115">
        <f>Total!AB26</f>
        <v>0</v>
      </c>
      <c r="AC45" s="115">
        <f>Total!AC26</f>
        <v>0</v>
      </c>
      <c r="AD45" s="115">
        <f>Total!AD26</f>
        <v>0</v>
      </c>
      <c r="AE45" s="115">
        <f>Total!AE26</f>
        <v>0</v>
      </c>
      <c r="AF45" s="115">
        <f>Total!AF26</f>
        <v>0</v>
      </c>
      <c r="AG45" s="115">
        <f>Total!AH26</f>
        <v>11624</v>
      </c>
      <c r="AO45" s="115" t="str">
        <f>表格1[[#Headers],[日本飯煲 RC-DS10K/18K]]</f>
        <v>日本飯煲 RC-DS10K/18K</v>
      </c>
      <c r="AP45" s="115" t="str">
        <f>表格1[[#Headers],[酵活炊電飯煲特佣 RC-18AMXH(W)]]</f>
        <v>酵活炊電飯煲特佣 RC-18AMXH(W)</v>
      </c>
      <c r="AQ45" s="115" t="str">
        <f>表格1[[#Headers],[嵌入式微波氣炸蒸焗爐特佣 EB-T500APW]]</f>
        <v>嵌入式微波氣炸蒸焗爐特佣 EB-T500APW</v>
      </c>
      <c r="AR45" s="115" t="str">
        <f>表格1[[#Headers],[蒸氣烤焗水波爐特佣 ER-VD7000HK(XK)]]</f>
        <v>蒸氣烤焗水波爐特佣 ER-VD7000HK(XK)</v>
      </c>
      <c r="AS45" s="115" t="str">
        <f>表格1[[#Headers],[TWDT21BU95 ]]</f>
        <v xml:space="preserve">TWDT21BU95 </v>
      </c>
      <c r="AT45" s="115" t="str">
        <f>表格1[[#Headers],[日式洗衣機一特佣 AW-Q800APH(WW)]]</f>
        <v>日式洗衣機一特佣 AW-Q800APH(WW)</v>
      </c>
      <c r="AU45" s="115" t="str">
        <f>表格1[[#Headers],[日式洗衣機二特佣 AW-Q801APH(WW)]]</f>
        <v>日式洗衣機二特佣 AW-Q801APH(WW)</v>
      </c>
      <c r="AV45" s="115" t="str">
        <f>表格1[[#Headers],[三門雪櫃特佣 GR-RM469WE-PGA(B3)]]</f>
        <v>三門雪櫃特佣 GR-RM469WE-PGA(B3)</v>
      </c>
      <c r="AW45" s="115" t="str">
        <f>表格1[[#Headers],[雙門雪櫃一特佣 GR-RB449WE-PMA(57)]]</f>
        <v>雙門雪櫃一特佣 GR-RB449WE-PMA(57)</v>
      </c>
      <c r="AX45" s="115" t="str">
        <f>表格1[[#Headers],[雙門雪櫃一特佣 GR-RB410WE-PMA(06)]]</f>
        <v>雙門雪櫃一特佣 GR-RB410WE-PMA(06)</v>
      </c>
      <c r="AY45" s="115" t="str">
        <f>表格1[[#Headers],[十字門雪櫃 GR-RF698WI]]</f>
        <v>十字門雪櫃 GR-RF698WI</v>
      </c>
      <c r="AZ45" s="115" t="str">
        <f>表格1[[#Headers],[水機 TWP-W2265THK(W)]]</f>
        <v>水機 TWP-W2265THK(W)</v>
      </c>
      <c r="BA45" s="115" t="str">
        <f>表格1[[#Headers],[抽濕機特佣]]</f>
        <v>抽濕機特佣</v>
      </c>
      <c r="BB45" s="115" t="str">
        <f>表格1[[#Headers],[(Fortress ONLY)TW-T25BZU115MWH(MG) ]]</f>
        <v>(Fortress ONLY)TW-T25BZU115MWH(MG) </v>
      </c>
      <c r="BC45" s="115" t="str">
        <f>表格1[[#Headers],[開門紅(三月)]]</f>
        <v>開門紅(三月)</v>
      </c>
      <c r="BD45" s="115" t="str">
        <f>表格1[[#Headers],[開門紅(第一季)]]</f>
        <v>開門紅(第一季)</v>
      </c>
      <c r="BE45" s="115" t="str">
        <f>表格1[[#Headers],[酵活炊電飯煲特佣 RC-18AMXH(W)]]</f>
        <v>酵活炊電飯煲特佣 RC-18AMXH(W)</v>
      </c>
    </row>
    <row r="46" spans="1:57" ht="26.25">
      <c r="A46" s="116">
        <v>20</v>
      </c>
      <c r="B46" s="114" t="str">
        <f t="shared" si="1"/>
        <v>2026-03 Toshiba</v>
      </c>
      <c r="C46" s="115" t="str">
        <f>Total!C27</f>
        <v>Tony_4</v>
      </c>
      <c r="D46" s="115" t="str">
        <f>Total!D27</f>
        <v>Wong Tak Chung</v>
      </c>
      <c r="E46" s="115" t="str">
        <f>Total!E27</f>
        <v>Autopay</v>
      </c>
      <c r="F46" s="115" t="str">
        <f>Total!F27</f>
        <v>Mos_2 Citistore</v>
      </c>
      <c r="G46" s="115" t="str">
        <f>Total!G27</f>
        <v>Mar/21-22</v>
      </c>
      <c r="H46" s="115">
        <f>Total!H27</f>
        <v>2</v>
      </c>
      <c r="I46" s="115">
        <f>Total!I27</f>
        <v>16</v>
      </c>
      <c r="J46" s="115">
        <f>Total!J27</f>
        <v>60</v>
      </c>
      <c r="K46" s="115">
        <f>Total!K27</f>
        <v>960</v>
      </c>
      <c r="L46" s="115">
        <f>Total!L27</f>
        <v>17628</v>
      </c>
      <c r="M46" s="115">
        <f>Total!M27</f>
        <v>0</v>
      </c>
      <c r="N46" s="115">
        <f>Total!N27</f>
        <v>352.56</v>
      </c>
      <c r="O46" s="115">
        <f>Total!O27</f>
        <v>0</v>
      </c>
      <c r="P46" s="115">
        <f>Total!P27</f>
        <v>0</v>
      </c>
      <c r="Q46" s="115">
        <f>Total!Q27</f>
        <v>0</v>
      </c>
      <c r="R46" s="115">
        <f>Total!R27</f>
        <v>0</v>
      </c>
      <c r="S46" s="115">
        <f>Total!S27</f>
        <v>0</v>
      </c>
      <c r="T46" s="115">
        <f>Total!T27</f>
        <v>0</v>
      </c>
      <c r="U46" s="115">
        <f>Total!U27</f>
        <v>0</v>
      </c>
      <c r="V46" s="115">
        <f>Total!V27</f>
        <v>0</v>
      </c>
      <c r="W46" s="115">
        <f>Total!W27</f>
        <v>0</v>
      </c>
      <c r="X46" s="115">
        <f>Total!X27</f>
        <v>0</v>
      </c>
      <c r="Y46" s="115">
        <f>Total!Y27</f>
        <v>0</v>
      </c>
      <c r="Z46" s="115">
        <f>Total!Z27</f>
        <v>0</v>
      </c>
      <c r="AA46" s="115">
        <f>Total!AA27</f>
        <v>0</v>
      </c>
      <c r="AB46" s="115">
        <f>Total!AB27</f>
        <v>0</v>
      </c>
      <c r="AC46" s="115">
        <f>Total!AC27</f>
        <v>0</v>
      </c>
      <c r="AD46" s="115">
        <f>Total!AD27</f>
        <v>0</v>
      </c>
      <c r="AE46" s="115">
        <f>Total!AE27</f>
        <v>0</v>
      </c>
      <c r="AF46" s="115">
        <f>Total!AF27</f>
        <v>0</v>
      </c>
      <c r="AG46" s="115">
        <f>Total!AH27</f>
        <v>1313</v>
      </c>
      <c r="AO46" s="115" t="str">
        <f>表格1[[#Headers],[日本飯煲 RC-DS10K/18K]]</f>
        <v>日本飯煲 RC-DS10K/18K</v>
      </c>
      <c r="AP46" s="115" t="str">
        <f>表格1[[#Headers],[酵活炊電飯煲特佣 RC-18AMXH(W)]]</f>
        <v>酵活炊電飯煲特佣 RC-18AMXH(W)</v>
      </c>
      <c r="AQ46" s="115" t="str">
        <f>表格1[[#Headers],[嵌入式微波氣炸蒸焗爐特佣 EB-T500APW]]</f>
        <v>嵌入式微波氣炸蒸焗爐特佣 EB-T500APW</v>
      </c>
      <c r="AR46" s="115" t="str">
        <f>表格1[[#Headers],[蒸氣烤焗水波爐特佣 ER-VD7000HK(XK)]]</f>
        <v>蒸氣烤焗水波爐特佣 ER-VD7000HK(XK)</v>
      </c>
      <c r="AS46" s="115" t="str">
        <f>表格1[[#Headers],[TWDT21BU95 ]]</f>
        <v xml:space="preserve">TWDT21BU95 </v>
      </c>
      <c r="AT46" s="115" t="str">
        <f>表格1[[#Headers],[日式洗衣機一特佣 AW-Q800APH(WW)]]</f>
        <v>日式洗衣機一特佣 AW-Q800APH(WW)</v>
      </c>
      <c r="AU46" s="115" t="str">
        <f>表格1[[#Headers],[日式洗衣機二特佣 AW-Q801APH(WW)]]</f>
        <v>日式洗衣機二特佣 AW-Q801APH(WW)</v>
      </c>
      <c r="AV46" s="115" t="str">
        <f>表格1[[#Headers],[三門雪櫃特佣 GR-RM469WE-PGA(B3)]]</f>
        <v>三門雪櫃特佣 GR-RM469WE-PGA(B3)</v>
      </c>
      <c r="AW46" s="115" t="str">
        <f>表格1[[#Headers],[雙門雪櫃一特佣 GR-RB449WE-PMA(57)]]</f>
        <v>雙門雪櫃一特佣 GR-RB449WE-PMA(57)</v>
      </c>
      <c r="AX46" s="115" t="str">
        <f>表格1[[#Headers],[雙門雪櫃一特佣 GR-RB410WE-PMA(06)]]</f>
        <v>雙門雪櫃一特佣 GR-RB410WE-PMA(06)</v>
      </c>
      <c r="AY46" s="115" t="str">
        <f>表格1[[#Headers],[十字門雪櫃 GR-RF698WI]]</f>
        <v>十字門雪櫃 GR-RF698WI</v>
      </c>
      <c r="AZ46" s="115" t="str">
        <f>表格1[[#Headers],[水機 TWP-W2265THK(W)]]</f>
        <v>水機 TWP-W2265THK(W)</v>
      </c>
      <c r="BA46" s="115" t="str">
        <f>表格1[[#Headers],[抽濕機特佣]]</f>
        <v>抽濕機特佣</v>
      </c>
      <c r="BB46" s="115" t="str">
        <f>表格1[[#Headers],[(Fortress ONLY)TW-T25BZU115MWH(MG) ]]</f>
        <v>(Fortress ONLY)TW-T25BZU115MWH(MG) </v>
      </c>
      <c r="BC46" s="115" t="str">
        <f>表格1[[#Headers],[開門紅(三月)]]</f>
        <v>開門紅(三月)</v>
      </c>
      <c r="BD46" s="115" t="str">
        <f>表格1[[#Headers],[開門紅(第一季)]]</f>
        <v>開門紅(第一季)</v>
      </c>
      <c r="BE46" s="115" t="str">
        <f>表格1[[#Headers],[酵活炊電飯煲特佣 RC-18AMXH(W)]]</f>
        <v>酵活炊電飯煲特佣 RC-18AMXH(W)</v>
      </c>
    </row>
    <row r="47" spans="1:57" ht="26.25">
      <c r="A47" s="114">
        <v>25</v>
      </c>
      <c r="B47" s="114" t="str">
        <f t="shared" si="1"/>
        <v>2026-03 Toshiba</v>
      </c>
      <c r="C47" s="115" t="str">
        <f>Total!C32</f>
        <v>Leo</v>
      </c>
      <c r="D47" s="115" t="str">
        <f>Total!D32</f>
        <v>Lam King Chung</v>
      </c>
      <c r="E47" s="115" t="str">
        <f>Total!E32</f>
        <v>Autopay</v>
      </c>
      <c r="F47" s="115" t="str">
        <f>Total!F32</f>
        <v>Yoho Suning</v>
      </c>
      <c r="G47" s="115" t="str">
        <f>Total!G32</f>
        <v>Mar/2-3,5,7-10,12-17,19-24,26,29-31</v>
      </c>
      <c r="H47" s="115">
        <f>Total!H32</f>
        <v>23</v>
      </c>
      <c r="I47" s="115">
        <f>Total!I32</f>
        <v>184</v>
      </c>
      <c r="J47" s="115">
        <f>Total!J32</f>
        <v>55</v>
      </c>
      <c r="K47" s="115">
        <f>Total!K32</f>
        <v>10120</v>
      </c>
      <c r="L47" s="115">
        <f>Total!L32</f>
        <v>294578</v>
      </c>
      <c r="M47" s="115">
        <f>Total!M32</f>
        <v>0</v>
      </c>
      <c r="N47" s="115">
        <f>Total!N32</f>
        <v>5891.56</v>
      </c>
      <c r="O47" s="115">
        <f>Total!O32</f>
        <v>0</v>
      </c>
      <c r="P47" s="115">
        <f>Total!P32</f>
        <v>0</v>
      </c>
      <c r="Q47" s="115">
        <f>Total!Q32</f>
        <v>0</v>
      </c>
      <c r="R47" s="115">
        <f>Total!R32</f>
        <v>0</v>
      </c>
      <c r="S47" s="115">
        <f>Total!S32</f>
        <v>0</v>
      </c>
      <c r="T47" s="115">
        <f>Total!T32</f>
        <v>0</v>
      </c>
      <c r="U47" s="115">
        <f>Total!U32</f>
        <v>0</v>
      </c>
      <c r="V47" s="115">
        <f>Total!V32</f>
        <v>0</v>
      </c>
      <c r="W47" s="115">
        <f>Total!W32</f>
        <v>0</v>
      </c>
      <c r="X47" s="115">
        <f>Total!X32</f>
        <v>300</v>
      </c>
      <c r="Y47" s="115">
        <f>Total!Y32</f>
        <v>0</v>
      </c>
      <c r="Z47" s="115">
        <f>Total!Z32</f>
        <v>0</v>
      </c>
      <c r="AA47" s="115">
        <f>Total!AA32</f>
        <v>0</v>
      </c>
      <c r="AB47" s="115">
        <f>Total!AB32</f>
        <v>0</v>
      </c>
      <c r="AC47" s="115">
        <f>Total!AC32</f>
        <v>0</v>
      </c>
      <c r="AD47" s="115">
        <f>Total!AD32</f>
        <v>500</v>
      </c>
      <c r="AE47" s="115">
        <f>Total!AE32</f>
        <v>1000</v>
      </c>
      <c r="AF47" s="115">
        <f>Total!AF32</f>
        <v>0</v>
      </c>
      <c r="AG47" s="115">
        <f>Total!AH32</f>
        <v>17812</v>
      </c>
      <c r="AO47" s="115" t="str">
        <f>表格1[[#Headers],[日本飯煲 RC-DS10K/18K]]</f>
        <v>日本飯煲 RC-DS10K/18K</v>
      </c>
      <c r="AP47" s="115" t="str">
        <f>表格1[[#Headers],[酵活炊電飯煲特佣 RC-18AMXH(W)]]</f>
        <v>酵活炊電飯煲特佣 RC-18AMXH(W)</v>
      </c>
      <c r="AQ47" s="115" t="str">
        <f>表格1[[#Headers],[嵌入式微波氣炸蒸焗爐特佣 EB-T500APW]]</f>
        <v>嵌入式微波氣炸蒸焗爐特佣 EB-T500APW</v>
      </c>
      <c r="AR47" s="115" t="str">
        <f>表格1[[#Headers],[蒸氣烤焗水波爐特佣 ER-VD7000HK(XK)]]</f>
        <v>蒸氣烤焗水波爐特佣 ER-VD7000HK(XK)</v>
      </c>
      <c r="AS47" s="115" t="str">
        <f>表格1[[#Headers],[TWDT21BU95 ]]</f>
        <v xml:space="preserve">TWDT21BU95 </v>
      </c>
      <c r="AT47" s="115" t="str">
        <f>表格1[[#Headers],[日式洗衣機一特佣 AW-Q800APH(WW)]]</f>
        <v>日式洗衣機一特佣 AW-Q800APH(WW)</v>
      </c>
      <c r="AU47" s="115" t="str">
        <f>表格1[[#Headers],[日式洗衣機二特佣 AW-Q801APH(WW)]]</f>
        <v>日式洗衣機二特佣 AW-Q801APH(WW)</v>
      </c>
      <c r="AV47" s="115" t="str">
        <f>表格1[[#Headers],[三門雪櫃特佣 GR-RM469WE-PGA(B3)]]</f>
        <v>三門雪櫃特佣 GR-RM469WE-PGA(B3)</v>
      </c>
      <c r="AW47" s="115" t="str">
        <f>表格1[[#Headers],[雙門雪櫃一特佣 GR-RB449WE-PMA(57)]]</f>
        <v>雙門雪櫃一特佣 GR-RB449WE-PMA(57)</v>
      </c>
      <c r="AX47" s="115" t="str">
        <f>表格1[[#Headers],[雙門雪櫃一特佣 GR-RB410WE-PMA(06)]]</f>
        <v>雙門雪櫃一特佣 GR-RB410WE-PMA(06)</v>
      </c>
      <c r="AY47" s="115" t="str">
        <f>表格1[[#Headers],[十字門雪櫃 GR-RF698WI]]</f>
        <v>十字門雪櫃 GR-RF698WI</v>
      </c>
      <c r="AZ47" s="115" t="str">
        <f>表格1[[#Headers],[水機 TWP-W2265THK(W)]]</f>
        <v>水機 TWP-W2265THK(W)</v>
      </c>
      <c r="BA47" s="115" t="str">
        <f>表格1[[#Headers],[抽濕機特佣]]</f>
        <v>抽濕機特佣</v>
      </c>
      <c r="BB47" s="115" t="str">
        <f>表格1[[#Headers],[(Fortress ONLY)TW-T25BZU115MWH(MG) ]]</f>
        <v>(Fortress ONLY)TW-T25BZU115MWH(MG) </v>
      </c>
      <c r="BC47" s="115" t="str">
        <f>表格1[[#Headers],[開門紅(三月)]]</f>
        <v>開門紅(三月)</v>
      </c>
      <c r="BD47" s="115" t="str">
        <f>表格1[[#Headers],[開門紅(第一季)]]</f>
        <v>開門紅(第一季)</v>
      </c>
      <c r="BE47" s="115" t="str">
        <f>表格1[[#Headers],[酵活炊電飯煲特佣 RC-18AMXH(W)]]</f>
        <v>酵活炊電飯煲特佣 RC-18AMXH(W)</v>
      </c>
    </row>
    <row r="48" spans="1:57" ht="26.25">
      <c r="A48" s="114">
        <v>27</v>
      </c>
      <c r="B48" s="114" t="str">
        <f t="shared" si="1"/>
        <v>2026-03 Toshiba</v>
      </c>
      <c r="C48" s="115" t="str">
        <f>Total!C34</f>
        <v>Ling Ho</v>
      </c>
      <c r="D48" s="115" t="str">
        <f>Total!D34</f>
        <v>Ho Wai Ling</v>
      </c>
      <c r="E48" s="115" t="str">
        <f>Total!E34</f>
        <v>Autopay</v>
      </c>
      <c r="F48" s="115" t="str">
        <f>Total!F34</f>
        <v>TM Citistore</v>
      </c>
      <c r="G48" s="115" t="str">
        <f>Total!G34</f>
        <v>Mar/1,3-4,6-9,11-12,14-17,20-24,26-31</v>
      </c>
      <c r="H48" s="115">
        <f>Total!H34</f>
        <v>24</v>
      </c>
      <c r="I48" s="115">
        <f>Total!I34</f>
        <v>192</v>
      </c>
      <c r="J48" s="115">
        <f>Total!J34</f>
        <v>60</v>
      </c>
      <c r="K48" s="115">
        <f>Total!K34</f>
        <v>11520</v>
      </c>
      <c r="L48" s="115">
        <f>Total!L34</f>
        <v>153807.4</v>
      </c>
      <c r="M48" s="115">
        <f>Total!M34</f>
        <v>0</v>
      </c>
      <c r="N48" s="115">
        <f>Total!N34</f>
        <v>3076.1480000000001</v>
      </c>
      <c r="O48" s="115">
        <f>Total!O34</f>
        <v>0</v>
      </c>
      <c r="P48" s="115">
        <f>Total!P34</f>
        <v>0</v>
      </c>
      <c r="Q48" s="115">
        <f>Total!Q34</f>
        <v>0</v>
      </c>
      <c r="R48" s="115">
        <f>Total!R34</f>
        <v>0</v>
      </c>
      <c r="S48" s="115">
        <f>Total!S34</f>
        <v>0</v>
      </c>
      <c r="T48" s="115">
        <f>Total!T34</f>
        <v>0</v>
      </c>
      <c r="U48" s="115">
        <f>Total!U34</f>
        <v>0</v>
      </c>
      <c r="V48" s="115">
        <f>Total!V34</f>
        <v>0</v>
      </c>
      <c r="W48" s="115">
        <f>Total!W34</f>
        <v>0</v>
      </c>
      <c r="X48" s="115">
        <f>Total!X34</f>
        <v>0</v>
      </c>
      <c r="Y48" s="115">
        <f>Total!Y34</f>
        <v>0</v>
      </c>
      <c r="Z48" s="115">
        <f>Total!Z34</f>
        <v>0</v>
      </c>
      <c r="AA48" s="115">
        <f>Total!AA34</f>
        <v>0</v>
      </c>
      <c r="AB48" s="115">
        <f>Total!AB34</f>
        <v>0</v>
      </c>
      <c r="AC48" s="115">
        <f>Total!AC34</f>
        <v>0</v>
      </c>
      <c r="AD48" s="115">
        <f>Total!AD34</f>
        <v>0</v>
      </c>
      <c r="AE48" s="115">
        <f>Total!AE34</f>
        <v>0</v>
      </c>
      <c r="AF48" s="115">
        <f>Total!AF34</f>
        <v>0</v>
      </c>
      <c r="AG48" s="115">
        <f>Total!AH34</f>
        <v>14596</v>
      </c>
      <c r="AO48" s="115" t="str">
        <f>表格1[[#Headers],[日本飯煲 RC-DS10K/18K]]</f>
        <v>日本飯煲 RC-DS10K/18K</v>
      </c>
      <c r="AP48" s="115" t="str">
        <f>表格1[[#Headers],[酵活炊電飯煲特佣 RC-18AMXH(W)]]</f>
        <v>酵活炊電飯煲特佣 RC-18AMXH(W)</v>
      </c>
      <c r="AQ48" s="115" t="str">
        <f>表格1[[#Headers],[嵌入式微波氣炸蒸焗爐特佣 EB-T500APW]]</f>
        <v>嵌入式微波氣炸蒸焗爐特佣 EB-T500APW</v>
      </c>
      <c r="AR48" s="115" t="str">
        <f>表格1[[#Headers],[蒸氣烤焗水波爐特佣 ER-VD7000HK(XK)]]</f>
        <v>蒸氣烤焗水波爐特佣 ER-VD7000HK(XK)</v>
      </c>
      <c r="AS48" s="115" t="str">
        <f>表格1[[#Headers],[TWDT21BU95 ]]</f>
        <v xml:space="preserve">TWDT21BU95 </v>
      </c>
      <c r="AT48" s="115" t="str">
        <f>表格1[[#Headers],[日式洗衣機一特佣 AW-Q800APH(WW)]]</f>
        <v>日式洗衣機一特佣 AW-Q800APH(WW)</v>
      </c>
      <c r="AU48" s="115" t="str">
        <f>表格1[[#Headers],[日式洗衣機二特佣 AW-Q801APH(WW)]]</f>
        <v>日式洗衣機二特佣 AW-Q801APH(WW)</v>
      </c>
      <c r="AV48" s="115" t="str">
        <f>表格1[[#Headers],[三門雪櫃特佣 GR-RM469WE-PGA(B3)]]</f>
        <v>三門雪櫃特佣 GR-RM469WE-PGA(B3)</v>
      </c>
      <c r="AW48" s="115" t="str">
        <f>表格1[[#Headers],[雙門雪櫃一特佣 GR-RB449WE-PMA(57)]]</f>
        <v>雙門雪櫃一特佣 GR-RB449WE-PMA(57)</v>
      </c>
      <c r="AX48" s="115" t="str">
        <f>表格1[[#Headers],[雙門雪櫃一特佣 GR-RB410WE-PMA(06)]]</f>
        <v>雙門雪櫃一特佣 GR-RB410WE-PMA(06)</v>
      </c>
      <c r="AY48" s="115" t="str">
        <f>表格1[[#Headers],[十字門雪櫃 GR-RF698WI]]</f>
        <v>十字門雪櫃 GR-RF698WI</v>
      </c>
      <c r="AZ48" s="115" t="str">
        <f>表格1[[#Headers],[水機 TWP-W2265THK(W)]]</f>
        <v>水機 TWP-W2265THK(W)</v>
      </c>
      <c r="BA48" s="115" t="str">
        <f>表格1[[#Headers],[抽濕機特佣]]</f>
        <v>抽濕機特佣</v>
      </c>
      <c r="BB48" s="115" t="str">
        <f>表格1[[#Headers],[(Fortress ONLY)TW-T25BZU115MWH(MG) ]]</f>
        <v>(Fortress ONLY)TW-T25BZU115MWH(MG) </v>
      </c>
      <c r="BC48" s="115" t="str">
        <f>表格1[[#Headers],[開門紅(三月)]]</f>
        <v>開門紅(三月)</v>
      </c>
      <c r="BD48" s="115" t="str">
        <f>表格1[[#Headers],[開門紅(第一季)]]</f>
        <v>開門紅(第一季)</v>
      </c>
      <c r="BE48" s="115" t="str">
        <f>表格1[[#Headers],[酵活炊電飯煲特佣 RC-18AMXH(W)]]</f>
        <v>酵活炊電飯煲特佣 RC-18AMXH(W)</v>
      </c>
    </row>
    <row r="49" spans="1:57" ht="26.25">
      <c r="A49" s="114">
        <v>29</v>
      </c>
      <c r="B49" s="114" t="str">
        <f t="shared" si="1"/>
        <v>2026-03 Toshiba</v>
      </c>
      <c r="C49" s="115" t="str">
        <f>Total!C36</f>
        <v>Tiffany</v>
      </c>
      <c r="D49" s="115" t="str">
        <f>Total!D36</f>
        <v>Man Wai Han</v>
      </c>
      <c r="E49" s="115" t="str">
        <f>Total!E36</f>
        <v>Autopay</v>
      </c>
      <c r="F49" s="115" t="str">
        <f>Total!F36</f>
        <v>APM Fortress</v>
      </c>
      <c r="G49" s="115" t="str">
        <f>Total!G36</f>
        <v>Mar/1,5-6,8-9,11-12,14,16,19-22,24-26,29,31</v>
      </c>
      <c r="H49" s="115">
        <f>Total!H36</f>
        <v>18</v>
      </c>
      <c r="I49" s="115">
        <f>Total!I36</f>
        <v>144</v>
      </c>
      <c r="J49" s="115">
        <f>Total!J36</f>
        <v>60</v>
      </c>
      <c r="K49" s="115">
        <f>Total!K36</f>
        <v>8640</v>
      </c>
      <c r="L49" s="115">
        <f>Total!L36</f>
        <v>376482</v>
      </c>
      <c r="M49" s="115">
        <f>Total!M36</f>
        <v>0</v>
      </c>
      <c r="N49" s="115">
        <f>Total!N36</f>
        <v>7529.64</v>
      </c>
      <c r="O49" s="115">
        <f>Total!O36</f>
        <v>6653.48</v>
      </c>
      <c r="P49" s="115">
        <f>Total!P36</f>
        <v>0</v>
      </c>
      <c r="Q49" s="115">
        <f>Total!Q36</f>
        <v>0</v>
      </c>
      <c r="R49" s="115">
        <f>Total!R36</f>
        <v>0</v>
      </c>
      <c r="S49" s="115">
        <f>Total!S36</f>
        <v>0</v>
      </c>
      <c r="T49" s="115">
        <f>Total!T36</f>
        <v>160</v>
      </c>
      <c r="U49" s="115">
        <f>Total!U36</f>
        <v>0</v>
      </c>
      <c r="V49" s="115">
        <f>Total!V36</f>
        <v>0</v>
      </c>
      <c r="W49" s="115">
        <f>Total!W36</f>
        <v>0</v>
      </c>
      <c r="X49" s="115">
        <f>Total!X36</f>
        <v>0</v>
      </c>
      <c r="Y49" s="115">
        <f>Total!Y36</f>
        <v>0</v>
      </c>
      <c r="Z49" s="115">
        <f>Total!Z36</f>
        <v>0</v>
      </c>
      <c r="AA49" s="115">
        <f>Total!AA36</f>
        <v>0</v>
      </c>
      <c r="AB49" s="115">
        <f>Total!AB36</f>
        <v>0</v>
      </c>
      <c r="AC49" s="115">
        <f>Total!AC36</f>
        <v>0</v>
      </c>
      <c r="AD49" s="115">
        <f>Total!AD36</f>
        <v>0</v>
      </c>
      <c r="AE49" s="115">
        <f>Total!AE36</f>
        <v>0</v>
      </c>
      <c r="AF49" s="115">
        <f>Total!AF36</f>
        <v>0</v>
      </c>
      <c r="AG49" s="115">
        <f>Total!AH36</f>
        <v>22983</v>
      </c>
      <c r="AO49" s="115" t="str">
        <f>表格1[[#Headers],[日本飯煲 RC-DS10K/18K]]</f>
        <v>日本飯煲 RC-DS10K/18K</v>
      </c>
      <c r="AP49" s="115" t="str">
        <f>表格1[[#Headers],[酵活炊電飯煲特佣 RC-18AMXH(W)]]</f>
        <v>酵活炊電飯煲特佣 RC-18AMXH(W)</v>
      </c>
      <c r="AQ49" s="115" t="str">
        <f>表格1[[#Headers],[嵌入式微波氣炸蒸焗爐特佣 EB-T500APW]]</f>
        <v>嵌入式微波氣炸蒸焗爐特佣 EB-T500APW</v>
      </c>
      <c r="AR49" s="115" t="str">
        <f>表格1[[#Headers],[蒸氣烤焗水波爐特佣 ER-VD7000HK(XK)]]</f>
        <v>蒸氣烤焗水波爐特佣 ER-VD7000HK(XK)</v>
      </c>
      <c r="AS49" s="115" t="str">
        <f>表格1[[#Headers],[TWDT21BU95 ]]</f>
        <v xml:space="preserve">TWDT21BU95 </v>
      </c>
      <c r="AT49" s="115" t="str">
        <f>表格1[[#Headers],[日式洗衣機一特佣 AW-Q800APH(WW)]]</f>
        <v>日式洗衣機一特佣 AW-Q800APH(WW)</v>
      </c>
      <c r="AU49" s="115" t="str">
        <f>表格1[[#Headers],[日式洗衣機二特佣 AW-Q801APH(WW)]]</f>
        <v>日式洗衣機二特佣 AW-Q801APH(WW)</v>
      </c>
      <c r="AV49" s="115" t="str">
        <f>表格1[[#Headers],[三門雪櫃特佣 GR-RM469WE-PGA(B3)]]</f>
        <v>三門雪櫃特佣 GR-RM469WE-PGA(B3)</v>
      </c>
      <c r="AW49" s="115" t="str">
        <f>表格1[[#Headers],[雙門雪櫃一特佣 GR-RB449WE-PMA(57)]]</f>
        <v>雙門雪櫃一特佣 GR-RB449WE-PMA(57)</v>
      </c>
      <c r="AX49" s="115" t="str">
        <f>表格1[[#Headers],[雙門雪櫃一特佣 GR-RB410WE-PMA(06)]]</f>
        <v>雙門雪櫃一特佣 GR-RB410WE-PMA(06)</v>
      </c>
      <c r="AY49" s="115" t="str">
        <f>表格1[[#Headers],[十字門雪櫃 GR-RF698WI]]</f>
        <v>十字門雪櫃 GR-RF698WI</v>
      </c>
      <c r="AZ49" s="115" t="str">
        <f>表格1[[#Headers],[水機 TWP-W2265THK(W)]]</f>
        <v>水機 TWP-W2265THK(W)</v>
      </c>
      <c r="BA49" s="115" t="str">
        <f>表格1[[#Headers],[抽濕機特佣]]</f>
        <v>抽濕機特佣</v>
      </c>
      <c r="BB49" s="115" t="str">
        <f>表格1[[#Headers],[(Fortress ONLY)TW-T25BZU115MWH(MG) ]]</f>
        <v>(Fortress ONLY)TW-T25BZU115MWH(MG) </v>
      </c>
      <c r="BC49" s="115" t="str">
        <f>表格1[[#Headers],[開門紅(三月)]]</f>
        <v>開門紅(三月)</v>
      </c>
      <c r="BD49" s="115" t="str">
        <f>表格1[[#Headers],[開門紅(第一季)]]</f>
        <v>開門紅(第一季)</v>
      </c>
      <c r="BE49" s="115" t="str">
        <f>表格1[[#Headers],[酵活炊電飯煲特佣 RC-18AMXH(W)]]</f>
        <v>酵活炊電飯煲特佣 RC-18AMXH(W)</v>
      </c>
    </row>
    <row r="50" spans="1:57" ht="26.25">
      <c r="A50" s="97">
        <v>33</v>
      </c>
      <c r="B50" s="114" t="str">
        <f t="shared" si="1"/>
        <v>2026-03 Toshiba</v>
      </c>
      <c r="C50" s="115" t="str">
        <f>Total!C40</f>
        <v>Emma</v>
      </c>
      <c r="D50" s="115" t="str">
        <f>Total!D40</f>
        <v>Ng Yuk Ying</v>
      </c>
      <c r="E50" s="115" t="str">
        <f>Total!E40</f>
        <v>Autopay</v>
      </c>
      <c r="F50" s="115" t="str">
        <f>Total!F40</f>
        <v>Shatin_2 Yata</v>
      </c>
      <c r="G50" s="115" t="str">
        <f>Total!G40</f>
        <v>Mar/3-4,18-19</v>
      </c>
      <c r="H50" s="115">
        <f>Total!H40</f>
        <v>4</v>
      </c>
      <c r="I50" s="115">
        <f>Total!I40</f>
        <v>32</v>
      </c>
      <c r="J50" s="115">
        <f>Total!J40</f>
        <v>60</v>
      </c>
      <c r="K50" s="115">
        <f>Total!K40</f>
        <v>1920</v>
      </c>
      <c r="L50" s="115">
        <f>Total!L40</f>
        <v>15785</v>
      </c>
      <c r="M50" s="115">
        <f>Total!M40</f>
        <v>0</v>
      </c>
      <c r="N50" s="115">
        <f>Total!N40</f>
        <v>315.7</v>
      </c>
      <c r="O50" s="115">
        <f>Total!O40</f>
        <v>0</v>
      </c>
      <c r="P50" s="115">
        <f>Total!P40</f>
        <v>0</v>
      </c>
      <c r="Q50" s="115">
        <f>Total!Q40</f>
        <v>0</v>
      </c>
      <c r="R50" s="115">
        <f>Total!R40</f>
        <v>0</v>
      </c>
      <c r="S50" s="115">
        <f>Total!S40</f>
        <v>0</v>
      </c>
      <c r="T50" s="115">
        <f>Total!T40</f>
        <v>0</v>
      </c>
      <c r="U50" s="115">
        <f>Total!U40</f>
        <v>0</v>
      </c>
      <c r="V50" s="115">
        <f>Total!V40</f>
        <v>0</v>
      </c>
      <c r="W50" s="115">
        <f>Total!W40</f>
        <v>0</v>
      </c>
      <c r="X50" s="115">
        <f>Total!X40</f>
        <v>0</v>
      </c>
      <c r="Y50" s="115">
        <f>Total!Y40</f>
        <v>0</v>
      </c>
      <c r="Z50" s="115">
        <f>Total!Z40</f>
        <v>0</v>
      </c>
      <c r="AA50" s="115">
        <f>Total!AA40</f>
        <v>0</v>
      </c>
      <c r="AB50" s="115">
        <f>Total!AB40</f>
        <v>0</v>
      </c>
      <c r="AC50" s="115">
        <f>Total!AC40</f>
        <v>0</v>
      </c>
      <c r="AD50" s="115">
        <f>Total!AD40</f>
        <v>0</v>
      </c>
      <c r="AE50" s="115">
        <f>Total!AE40</f>
        <v>0</v>
      </c>
      <c r="AF50" s="115">
        <f>Total!AF40</f>
        <v>45</v>
      </c>
      <c r="AG50" s="115">
        <f>Total!AH40</f>
        <v>2281</v>
      </c>
      <c r="AO50" s="115" t="str">
        <f>表格1[[#Headers],[日本飯煲 RC-DS10K/18K]]</f>
        <v>日本飯煲 RC-DS10K/18K</v>
      </c>
      <c r="AP50" s="115" t="str">
        <f>表格1[[#Headers],[酵活炊電飯煲特佣 RC-18AMXH(W)]]</f>
        <v>酵活炊電飯煲特佣 RC-18AMXH(W)</v>
      </c>
      <c r="AQ50" s="115" t="str">
        <f>表格1[[#Headers],[嵌入式微波氣炸蒸焗爐特佣 EB-T500APW]]</f>
        <v>嵌入式微波氣炸蒸焗爐特佣 EB-T500APW</v>
      </c>
      <c r="AR50" s="115" t="str">
        <f>表格1[[#Headers],[蒸氣烤焗水波爐特佣 ER-VD7000HK(XK)]]</f>
        <v>蒸氣烤焗水波爐特佣 ER-VD7000HK(XK)</v>
      </c>
      <c r="AS50" s="115" t="str">
        <f>表格1[[#Headers],[TWDT21BU95 ]]</f>
        <v xml:space="preserve">TWDT21BU95 </v>
      </c>
      <c r="AT50" s="115" t="str">
        <f>表格1[[#Headers],[日式洗衣機一特佣 AW-Q800APH(WW)]]</f>
        <v>日式洗衣機一特佣 AW-Q800APH(WW)</v>
      </c>
      <c r="AU50" s="115" t="str">
        <f>表格1[[#Headers],[日式洗衣機二特佣 AW-Q801APH(WW)]]</f>
        <v>日式洗衣機二特佣 AW-Q801APH(WW)</v>
      </c>
      <c r="AV50" s="115" t="str">
        <f>表格1[[#Headers],[三門雪櫃特佣 GR-RM469WE-PGA(B3)]]</f>
        <v>三門雪櫃特佣 GR-RM469WE-PGA(B3)</v>
      </c>
      <c r="AW50" s="115" t="str">
        <f>表格1[[#Headers],[雙門雪櫃一特佣 GR-RB449WE-PMA(57)]]</f>
        <v>雙門雪櫃一特佣 GR-RB449WE-PMA(57)</v>
      </c>
      <c r="AX50" s="115" t="str">
        <f>表格1[[#Headers],[雙門雪櫃一特佣 GR-RB410WE-PMA(06)]]</f>
        <v>雙門雪櫃一特佣 GR-RB410WE-PMA(06)</v>
      </c>
      <c r="AY50" s="115" t="str">
        <f>表格1[[#Headers],[十字門雪櫃 GR-RF698WI]]</f>
        <v>十字門雪櫃 GR-RF698WI</v>
      </c>
      <c r="AZ50" s="115" t="str">
        <f>表格1[[#Headers],[水機 TWP-W2265THK(W)]]</f>
        <v>水機 TWP-W2265THK(W)</v>
      </c>
      <c r="BA50" s="115" t="str">
        <f>表格1[[#Headers],[抽濕機特佣]]</f>
        <v>抽濕機特佣</v>
      </c>
      <c r="BB50" s="115" t="str">
        <f>表格1[[#Headers],[(Fortress ONLY)TW-T25BZU115MWH(MG) ]]</f>
        <v>(Fortress ONLY)TW-T25BZU115MWH(MG) </v>
      </c>
      <c r="BC50" s="115" t="str">
        <f>表格1[[#Headers],[開門紅(三月)]]</f>
        <v>開門紅(三月)</v>
      </c>
      <c r="BD50" s="115" t="str">
        <f>表格1[[#Headers],[開門紅(第一季)]]</f>
        <v>開門紅(第一季)</v>
      </c>
      <c r="BE50" s="115" t="str">
        <f>表格1[[#Headers],[酵活炊電飯煲特佣 RC-18AMXH(W)]]</f>
        <v>酵活炊電飯煲特佣 RC-18AMXH(W)</v>
      </c>
    </row>
    <row r="51" spans="1:57" ht="26.25">
      <c r="A51" s="114">
        <v>34</v>
      </c>
      <c r="B51" s="114" t="str">
        <f t="shared" si="1"/>
        <v>2026-03 Toshiba</v>
      </c>
      <c r="C51" s="115" t="str">
        <f>Total!C41</f>
        <v>Tony_1</v>
      </c>
      <c r="D51" s="115" t="str">
        <f>Total!D41</f>
        <v>Wong Tak Chung</v>
      </c>
      <c r="E51" s="115" t="str">
        <f>Total!E41</f>
        <v>Autopay</v>
      </c>
      <c r="F51" s="115" t="str">
        <f>Total!F41</f>
        <v>Shatin_3 Yata</v>
      </c>
      <c r="G51" s="115" t="str">
        <f>Total!G41</f>
        <v>Mar/25-26</v>
      </c>
      <c r="H51" s="115">
        <f>Total!H41</f>
        <v>2</v>
      </c>
      <c r="I51" s="115">
        <f>Total!I41</f>
        <v>16</v>
      </c>
      <c r="J51" s="115">
        <f>Total!J41</f>
        <v>60</v>
      </c>
      <c r="K51" s="115">
        <f>Total!K41</f>
        <v>960</v>
      </c>
      <c r="L51" s="115">
        <f>Total!L41</f>
        <v>5686</v>
      </c>
      <c r="M51" s="115">
        <f>Total!M41</f>
        <v>0</v>
      </c>
      <c r="N51" s="115">
        <f>Total!N41</f>
        <v>113.72</v>
      </c>
      <c r="O51" s="115">
        <f>Total!O41</f>
        <v>0</v>
      </c>
      <c r="P51" s="115">
        <f>Total!P41</f>
        <v>0</v>
      </c>
      <c r="Q51" s="115">
        <f>Total!Q41</f>
        <v>0</v>
      </c>
      <c r="R51" s="115">
        <f>Total!R41</f>
        <v>0</v>
      </c>
      <c r="S51" s="115">
        <f>Total!S41</f>
        <v>0</v>
      </c>
      <c r="T51" s="115">
        <f>Total!T41</f>
        <v>0</v>
      </c>
      <c r="U51" s="115">
        <f>Total!U41</f>
        <v>0</v>
      </c>
      <c r="V51" s="115">
        <f>Total!V41</f>
        <v>0</v>
      </c>
      <c r="W51" s="115">
        <f>Total!W41</f>
        <v>0</v>
      </c>
      <c r="X51" s="115">
        <f>Total!X41</f>
        <v>0</v>
      </c>
      <c r="Y51" s="115">
        <f>Total!Y41</f>
        <v>0</v>
      </c>
      <c r="Z51" s="115">
        <f>Total!Z41</f>
        <v>0</v>
      </c>
      <c r="AA51" s="115">
        <f>Total!AA41</f>
        <v>0</v>
      </c>
      <c r="AB51" s="115">
        <f>Total!AB41</f>
        <v>0</v>
      </c>
      <c r="AC51" s="115">
        <f>Total!AC41</f>
        <v>0</v>
      </c>
      <c r="AD51" s="115">
        <f>Total!AD41</f>
        <v>0</v>
      </c>
      <c r="AE51" s="115">
        <f>Total!AE41</f>
        <v>0</v>
      </c>
      <c r="AF51" s="115">
        <f>Total!AF41</f>
        <v>0</v>
      </c>
      <c r="AG51" s="115">
        <f>Total!AH41</f>
        <v>1074</v>
      </c>
      <c r="AO51" s="115" t="str">
        <f>表格1[[#Headers],[日本飯煲 RC-DS10K/18K]]</f>
        <v>日本飯煲 RC-DS10K/18K</v>
      </c>
      <c r="AP51" s="115" t="str">
        <f>表格1[[#Headers],[酵活炊電飯煲特佣 RC-18AMXH(W)]]</f>
        <v>酵活炊電飯煲特佣 RC-18AMXH(W)</v>
      </c>
      <c r="AQ51" s="115" t="str">
        <f>表格1[[#Headers],[嵌入式微波氣炸蒸焗爐特佣 EB-T500APW]]</f>
        <v>嵌入式微波氣炸蒸焗爐特佣 EB-T500APW</v>
      </c>
      <c r="AR51" s="115" t="str">
        <f>表格1[[#Headers],[蒸氣烤焗水波爐特佣 ER-VD7000HK(XK)]]</f>
        <v>蒸氣烤焗水波爐特佣 ER-VD7000HK(XK)</v>
      </c>
      <c r="AS51" s="115" t="str">
        <f>表格1[[#Headers],[TWDT21BU95 ]]</f>
        <v xml:space="preserve">TWDT21BU95 </v>
      </c>
      <c r="AT51" s="115" t="str">
        <f>表格1[[#Headers],[日式洗衣機一特佣 AW-Q800APH(WW)]]</f>
        <v>日式洗衣機一特佣 AW-Q800APH(WW)</v>
      </c>
      <c r="AU51" s="115" t="str">
        <f>表格1[[#Headers],[日式洗衣機二特佣 AW-Q801APH(WW)]]</f>
        <v>日式洗衣機二特佣 AW-Q801APH(WW)</v>
      </c>
      <c r="AV51" s="115" t="str">
        <f>表格1[[#Headers],[三門雪櫃特佣 GR-RM469WE-PGA(B3)]]</f>
        <v>三門雪櫃特佣 GR-RM469WE-PGA(B3)</v>
      </c>
      <c r="AW51" s="115" t="str">
        <f>表格1[[#Headers],[雙門雪櫃一特佣 GR-RB449WE-PMA(57)]]</f>
        <v>雙門雪櫃一特佣 GR-RB449WE-PMA(57)</v>
      </c>
      <c r="AX51" s="115" t="str">
        <f>表格1[[#Headers],[雙門雪櫃一特佣 GR-RB410WE-PMA(06)]]</f>
        <v>雙門雪櫃一特佣 GR-RB410WE-PMA(06)</v>
      </c>
      <c r="AY51" s="115" t="str">
        <f>表格1[[#Headers],[十字門雪櫃 GR-RF698WI]]</f>
        <v>十字門雪櫃 GR-RF698WI</v>
      </c>
      <c r="AZ51" s="115" t="str">
        <f>表格1[[#Headers],[水機 TWP-W2265THK(W)]]</f>
        <v>水機 TWP-W2265THK(W)</v>
      </c>
      <c r="BA51" s="115" t="str">
        <f>表格1[[#Headers],[抽濕機特佣]]</f>
        <v>抽濕機特佣</v>
      </c>
      <c r="BB51" s="115" t="str">
        <f>表格1[[#Headers],[(Fortress ONLY)TW-T25BZU115MWH(MG) ]]</f>
        <v>(Fortress ONLY)TW-T25BZU115MWH(MG) </v>
      </c>
      <c r="BC51" s="115" t="str">
        <f>表格1[[#Headers],[開門紅(三月)]]</f>
        <v>開門紅(三月)</v>
      </c>
      <c r="BD51" s="115" t="str">
        <f>表格1[[#Headers],[開門紅(第一季)]]</f>
        <v>開門紅(第一季)</v>
      </c>
      <c r="BE51" s="115" t="str">
        <f>表格1[[#Headers],[酵活炊電飯煲特佣 RC-18AMXH(W)]]</f>
        <v>酵活炊電飯煲特佣 RC-18AMXH(W)</v>
      </c>
    </row>
    <row r="52" spans="1:57" ht="26.25">
      <c r="A52" s="114">
        <v>35</v>
      </c>
      <c r="B52" s="114" t="str">
        <f t="shared" si="1"/>
        <v>2026-03 Toshiba</v>
      </c>
      <c r="C52" s="115" t="str">
        <f>Total!C42</f>
        <v>Kit_1</v>
      </c>
      <c r="D52" s="115" t="str">
        <f>Total!D42</f>
        <v>Li Wenjie</v>
      </c>
      <c r="E52" s="115" t="str">
        <f>Total!E42</f>
        <v>Autopay</v>
      </c>
      <c r="F52" s="115" t="str">
        <f>Total!F42</f>
        <v>Shatin_4 Yata</v>
      </c>
      <c r="G52" s="115" t="str">
        <f>Total!G42</f>
        <v>Mar/11-13</v>
      </c>
      <c r="H52" s="115">
        <f>Total!H42</f>
        <v>3</v>
      </c>
      <c r="I52" s="115">
        <f>Total!I42</f>
        <v>24</v>
      </c>
      <c r="J52" s="115">
        <f>Total!J42</f>
        <v>60</v>
      </c>
      <c r="K52" s="115">
        <f>Total!K42</f>
        <v>1440</v>
      </c>
      <c r="L52" s="115">
        <f>Total!L42</f>
        <v>20004</v>
      </c>
      <c r="M52" s="115">
        <f>Total!M42</f>
        <v>0</v>
      </c>
      <c r="N52" s="115">
        <f>Total!N42</f>
        <v>400.08</v>
      </c>
      <c r="O52" s="115">
        <f>Total!O42</f>
        <v>0</v>
      </c>
      <c r="P52" s="115">
        <f>Total!P42</f>
        <v>0</v>
      </c>
      <c r="Q52" s="115">
        <f>Total!Q42</f>
        <v>0</v>
      </c>
      <c r="R52" s="115">
        <f>Total!R42</f>
        <v>0</v>
      </c>
      <c r="S52" s="115">
        <f>Total!S42</f>
        <v>0</v>
      </c>
      <c r="T52" s="115">
        <f>Total!T42</f>
        <v>0</v>
      </c>
      <c r="U52" s="115">
        <f>Total!U42</f>
        <v>0</v>
      </c>
      <c r="V52" s="115">
        <f>Total!V42</f>
        <v>0</v>
      </c>
      <c r="W52" s="115">
        <f>Total!W42</f>
        <v>0</v>
      </c>
      <c r="X52" s="115">
        <f>Total!X42</f>
        <v>0</v>
      </c>
      <c r="Y52" s="115">
        <f>Total!Y42</f>
        <v>0</v>
      </c>
      <c r="Z52" s="115">
        <f>Total!Z42</f>
        <v>0</v>
      </c>
      <c r="AA52" s="115">
        <f>Total!AA42</f>
        <v>0</v>
      </c>
      <c r="AB52" s="115">
        <f>Total!AB42</f>
        <v>0</v>
      </c>
      <c r="AC52" s="115">
        <f>Total!AC42</f>
        <v>0</v>
      </c>
      <c r="AD52" s="115">
        <f>Total!AD42</f>
        <v>0</v>
      </c>
      <c r="AE52" s="115">
        <f>Total!AE42</f>
        <v>0</v>
      </c>
      <c r="AF52" s="115">
        <f>Total!AF42</f>
        <v>0</v>
      </c>
      <c r="AG52" s="115">
        <f>Total!AH42</f>
        <v>1840</v>
      </c>
      <c r="AO52" s="115" t="str">
        <f>表格1[[#Headers],[日本飯煲 RC-DS10K/18K]]</f>
        <v>日本飯煲 RC-DS10K/18K</v>
      </c>
      <c r="AP52" s="115" t="str">
        <f>表格1[[#Headers],[酵活炊電飯煲特佣 RC-18AMXH(W)]]</f>
        <v>酵活炊電飯煲特佣 RC-18AMXH(W)</v>
      </c>
      <c r="AQ52" s="115" t="str">
        <f>表格1[[#Headers],[嵌入式微波氣炸蒸焗爐特佣 EB-T500APW]]</f>
        <v>嵌入式微波氣炸蒸焗爐特佣 EB-T500APW</v>
      </c>
      <c r="AR52" s="115" t="str">
        <f>表格1[[#Headers],[蒸氣烤焗水波爐特佣 ER-VD7000HK(XK)]]</f>
        <v>蒸氣烤焗水波爐特佣 ER-VD7000HK(XK)</v>
      </c>
      <c r="AS52" s="115" t="str">
        <f>表格1[[#Headers],[TWDT21BU95 ]]</f>
        <v xml:space="preserve">TWDT21BU95 </v>
      </c>
      <c r="AT52" s="115" t="str">
        <f>表格1[[#Headers],[日式洗衣機一特佣 AW-Q800APH(WW)]]</f>
        <v>日式洗衣機一特佣 AW-Q800APH(WW)</v>
      </c>
      <c r="AU52" s="115" t="str">
        <f>表格1[[#Headers],[日式洗衣機二特佣 AW-Q801APH(WW)]]</f>
        <v>日式洗衣機二特佣 AW-Q801APH(WW)</v>
      </c>
      <c r="AV52" s="115" t="str">
        <f>表格1[[#Headers],[三門雪櫃特佣 GR-RM469WE-PGA(B3)]]</f>
        <v>三門雪櫃特佣 GR-RM469WE-PGA(B3)</v>
      </c>
      <c r="AW52" s="115" t="str">
        <f>表格1[[#Headers],[雙門雪櫃一特佣 GR-RB449WE-PMA(57)]]</f>
        <v>雙門雪櫃一特佣 GR-RB449WE-PMA(57)</v>
      </c>
      <c r="AX52" s="115" t="str">
        <f>表格1[[#Headers],[雙門雪櫃一特佣 GR-RB410WE-PMA(06)]]</f>
        <v>雙門雪櫃一特佣 GR-RB410WE-PMA(06)</v>
      </c>
      <c r="AY52" s="115" t="str">
        <f>表格1[[#Headers],[十字門雪櫃 GR-RF698WI]]</f>
        <v>十字門雪櫃 GR-RF698WI</v>
      </c>
      <c r="AZ52" s="115" t="str">
        <f>表格1[[#Headers],[水機 TWP-W2265THK(W)]]</f>
        <v>水機 TWP-W2265THK(W)</v>
      </c>
      <c r="BA52" s="115" t="str">
        <f>表格1[[#Headers],[抽濕機特佣]]</f>
        <v>抽濕機特佣</v>
      </c>
      <c r="BB52" s="115" t="str">
        <f>表格1[[#Headers],[(Fortress ONLY)TW-T25BZU115MWH(MG) ]]</f>
        <v>(Fortress ONLY)TW-T25BZU115MWH(MG) </v>
      </c>
      <c r="BC52" s="115" t="str">
        <f>表格1[[#Headers],[開門紅(三月)]]</f>
        <v>開門紅(三月)</v>
      </c>
      <c r="BD52" s="115" t="str">
        <f>表格1[[#Headers],[開門紅(第一季)]]</f>
        <v>開門紅(第一季)</v>
      </c>
      <c r="BE52" s="115" t="str">
        <f>表格1[[#Headers],[酵活炊電飯煲特佣 RC-18AMXH(W)]]</f>
        <v>酵活炊電飯煲特佣 RC-18AMXH(W)</v>
      </c>
    </row>
    <row r="53" spans="1:57" ht="26.25">
      <c r="A53" s="114">
        <v>37</v>
      </c>
      <c r="B53" s="114" t="str">
        <f t="shared" si="1"/>
        <v>2026-03 Toshiba</v>
      </c>
      <c r="C53" s="115" t="str">
        <f>Total!C44</f>
        <v>Tony_2</v>
      </c>
      <c r="D53" s="115" t="str">
        <f>Total!D44</f>
        <v>Wong Tak Chung</v>
      </c>
      <c r="E53" s="115" t="str">
        <f>Total!E44</f>
        <v>Autopay</v>
      </c>
      <c r="F53" s="115" t="str">
        <f>Total!F44</f>
        <v>TP_2 Yata</v>
      </c>
      <c r="G53" s="115" t="str">
        <f>Total!G44</f>
        <v>Mar/9-10,23-24,30-31</v>
      </c>
      <c r="H53" s="115">
        <f>Total!H44</f>
        <v>6</v>
      </c>
      <c r="I53" s="115">
        <f>Total!I44</f>
        <v>48</v>
      </c>
      <c r="J53" s="115">
        <f>Total!J44</f>
        <v>60</v>
      </c>
      <c r="K53" s="115">
        <f>Total!K44</f>
        <v>2880</v>
      </c>
      <c r="L53" s="115">
        <f>Total!L44</f>
        <v>32952</v>
      </c>
      <c r="M53" s="115">
        <f>Total!M44</f>
        <v>0</v>
      </c>
      <c r="N53" s="115">
        <f>Total!N44</f>
        <v>659.04</v>
      </c>
      <c r="O53" s="115">
        <f>Total!O44</f>
        <v>0</v>
      </c>
      <c r="P53" s="115">
        <f>Total!P44</f>
        <v>0</v>
      </c>
      <c r="Q53" s="115">
        <f>Total!Q44</f>
        <v>0</v>
      </c>
      <c r="R53" s="115">
        <f>Total!R44</f>
        <v>0</v>
      </c>
      <c r="S53" s="115">
        <f>Total!S44</f>
        <v>0</v>
      </c>
      <c r="T53" s="115">
        <f>Total!T44</f>
        <v>0</v>
      </c>
      <c r="U53" s="115">
        <f>Total!U44</f>
        <v>0</v>
      </c>
      <c r="V53" s="115">
        <f>Total!V44</f>
        <v>0</v>
      </c>
      <c r="W53" s="115">
        <f>Total!W44</f>
        <v>0</v>
      </c>
      <c r="X53" s="115">
        <f>Total!X44</f>
        <v>0</v>
      </c>
      <c r="Y53" s="115">
        <f>Total!Y44</f>
        <v>0</v>
      </c>
      <c r="Z53" s="115">
        <f>Total!Z44</f>
        <v>0</v>
      </c>
      <c r="AA53" s="115">
        <f>Total!AA44</f>
        <v>0</v>
      </c>
      <c r="AB53" s="115">
        <f>Total!AB44</f>
        <v>0</v>
      </c>
      <c r="AC53" s="115">
        <f>Total!AC44</f>
        <v>0</v>
      </c>
      <c r="AD53" s="115">
        <f>Total!AD44</f>
        <v>0</v>
      </c>
      <c r="AE53" s="115">
        <f>Total!AE44</f>
        <v>0</v>
      </c>
      <c r="AF53" s="115">
        <f>Total!AF44</f>
        <v>0</v>
      </c>
      <c r="AG53" s="115">
        <f>Total!AH44</f>
        <v>3539</v>
      </c>
      <c r="AO53" s="115" t="str">
        <f>表格1[[#Headers],[日本飯煲 RC-DS10K/18K]]</f>
        <v>日本飯煲 RC-DS10K/18K</v>
      </c>
      <c r="AP53" s="115" t="str">
        <f>表格1[[#Headers],[酵活炊電飯煲特佣 RC-18AMXH(W)]]</f>
        <v>酵活炊電飯煲特佣 RC-18AMXH(W)</v>
      </c>
      <c r="AQ53" s="115" t="str">
        <f>表格1[[#Headers],[嵌入式微波氣炸蒸焗爐特佣 EB-T500APW]]</f>
        <v>嵌入式微波氣炸蒸焗爐特佣 EB-T500APW</v>
      </c>
      <c r="AR53" s="115" t="str">
        <f>表格1[[#Headers],[蒸氣烤焗水波爐特佣 ER-VD7000HK(XK)]]</f>
        <v>蒸氣烤焗水波爐特佣 ER-VD7000HK(XK)</v>
      </c>
      <c r="AS53" s="115" t="str">
        <f>表格1[[#Headers],[TWDT21BU95 ]]</f>
        <v xml:space="preserve">TWDT21BU95 </v>
      </c>
      <c r="AT53" s="115" t="str">
        <f>表格1[[#Headers],[日式洗衣機一特佣 AW-Q800APH(WW)]]</f>
        <v>日式洗衣機一特佣 AW-Q800APH(WW)</v>
      </c>
      <c r="AU53" s="115" t="str">
        <f>表格1[[#Headers],[日式洗衣機二特佣 AW-Q801APH(WW)]]</f>
        <v>日式洗衣機二特佣 AW-Q801APH(WW)</v>
      </c>
      <c r="AV53" s="115" t="str">
        <f>表格1[[#Headers],[三門雪櫃特佣 GR-RM469WE-PGA(B3)]]</f>
        <v>三門雪櫃特佣 GR-RM469WE-PGA(B3)</v>
      </c>
      <c r="AW53" s="115" t="str">
        <f>表格1[[#Headers],[雙門雪櫃一特佣 GR-RB449WE-PMA(57)]]</f>
        <v>雙門雪櫃一特佣 GR-RB449WE-PMA(57)</v>
      </c>
      <c r="AX53" s="115" t="str">
        <f>表格1[[#Headers],[雙門雪櫃一特佣 GR-RB410WE-PMA(06)]]</f>
        <v>雙門雪櫃一特佣 GR-RB410WE-PMA(06)</v>
      </c>
      <c r="AY53" s="115" t="str">
        <f>表格1[[#Headers],[十字門雪櫃 GR-RF698WI]]</f>
        <v>十字門雪櫃 GR-RF698WI</v>
      </c>
      <c r="AZ53" s="115" t="str">
        <f>表格1[[#Headers],[水機 TWP-W2265THK(W)]]</f>
        <v>水機 TWP-W2265THK(W)</v>
      </c>
      <c r="BA53" s="115" t="str">
        <f>表格1[[#Headers],[抽濕機特佣]]</f>
        <v>抽濕機特佣</v>
      </c>
      <c r="BB53" s="115" t="str">
        <f>表格1[[#Headers],[(Fortress ONLY)TW-T25BZU115MWH(MG) ]]</f>
        <v>(Fortress ONLY)TW-T25BZU115MWH(MG) </v>
      </c>
      <c r="BC53" s="115" t="str">
        <f>表格1[[#Headers],[開門紅(三月)]]</f>
        <v>開門紅(三月)</v>
      </c>
      <c r="BD53" s="115" t="str">
        <f>表格1[[#Headers],[開門紅(第一季)]]</f>
        <v>開門紅(第一季)</v>
      </c>
      <c r="BE53" s="115" t="str">
        <f>表格1[[#Headers],[酵活炊電飯煲特佣 RC-18AMXH(W)]]</f>
        <v>酵活炊電飯煲特佣 RC-18AMXH(W)</v>
      </c>
    </row>
    <row r="54" spans="1:57" ht="26.25">
      <c r="A54" s="114">
        <v>38</v>
      </c>
      <c r="B54" s="114" t="str">
        <f t="shared" si="1"/>
        <v>2026-03 Toshiba</v>
      </c>
      <c r="C54" s="115" t="str">
        <f>Total!C45</f>
        <v>Kit_2</v>
      </c>
      <c r="D54" s="115" t="str">
        <f>Total!D45</f>
        <v>Li Wenjie</v>
      </c>
      <c r="E54" s="115" t="str">
        <f>Total!E45</f>
        <v>Autopay</v>
      </c>
      <c r="F54" s="115" t="str">
        <f>Total!F45</f>
        <v>TP_3 Yata</v>
      </c>
      <c r="G54" s="115" t="str">
        <f>Total!G45</f>
        <v>Mar/2-3,16-17</v>
      </c>
      <c r="H54" s="115">
        <f>Total!H45</f>
        <v>4</v>
      </c>
      <c r="I54" s="115">
        <f>Total!I45</f>
        <v>32</v>
      </c>
      <c r="J54" s="115">
        <f>Total!J45</f>
        <v>60</v>
      </c>
      <c r="K54" s="115">
        <f>Total!K45</f>
        <v>1920</v>
      </c>
      <c r="L54" s="115">
        <f>Total!L45</f>
        <v>8550</v>
      </c>
      <c r="M54" s="115">
        <f>Total!M45</f>
        <v>0</v>
      </c>
      <c r="N54" s="115">
        <f>Total!N45</f>
        <v>171</v>
      </c>
      <c r="O54" s="115">
        <f>Total!O45</f>
        <v>0</v>
      </c>
      <c r="P54" s="115">
        <f>Total!P45</f>
        <v>0</v>
      </c>
      <c r="Q54" s="115">
        <f>Total!Q45</f>
        <v>0</v>
      </c>
      <c r="R54" s="115">
        <f>Total!R45</f>
        <v>0</v>
      </c>
      <c r="S54" s="115">
        <f>Total!S45</f>
        <v>0</v>
      </c>
      <c r="T54" s="115">
        <f>Total!T45</f>
        <v>0</v>
      </c>
      <c r="U54" s="115">
        <f>Total!U45</f>
        <v>0</v>
      </c>
      <c r="V54" s="115">
        <f>Total!V45</f>
        <v>0</v>
      </c>
      <c r="W54" s="115">
        <f>Total!W45</f>
        <v>0</v>
      </c>
      <c r="X54" s="115">
        <f>Total!X45</f>
        <v>0</v>
      </c>
      <c r="Y54" s="115">
        <f>Total!Y45</f>
        <v>0</v>
      </c>
      <c r="Z54" s="115">
        <f>Total!Z45</f>
        <v>0</v>
      </c>
      <c r="AA54" s="115">
        <f>Total!AA45</f>
        <v>0</v>
      </c>
      <c r="AB54" s="115">
        <f>Total!AB45</f>
        <v>0</v>
      </c>
      <c r="AC54" s="115">
        <f>Total!AC45</f>
        <v>0</v>
      </c>
      <c r="AD54" s="115">
        <f>Total!AD45</f>
        <v>0</v>
      </c>
      <c r="AE54" s="115">
        <f>Total!AE45</f>
        <v>0</v>
      </c>
      <c r="AF54" s="115">
        <f>Total!AF45</f>
        <v>0</v>
      </c>
      <c r="AG54" s="115">
        <f>Total!AH45</f>
        <v>2091</v>
      </c>
      <c r="AO54" s="115" t="str">
        <f>表格1[[#Headers],[日本飯煲 RC-DS10K/18K]]</f>
        <v>日本飯煲 RC-DS10K/18K</v>
      </c>
      <c r="AP54" s="115" t="str">
        <f>表格1[[#Headers],[酵活炊電飯煲特佣 RC-18AMXH(W)]]</f>
        <v>酵活炊電飯煲特佣 RC-18AMXH(W)</v>
      </c>
      <c r="AQ54" s="115" t="str">
        <f>表格1[[#Headers],[嵌入式微波氣炸蒸焗爐特佣 EB-T500APW]]</f>
        <v>嵌入式微波氣炸蒸焗爐特佣 EB-T500APW</v>
      </c>
      <c r="AR54" s="115" t="str">
        <f>表格1[[#Headers],[蒸氣烤焗水波爐特佣 ER-VD7000HK(XK)]]</f>
        <v>蒸氣烤焗水波爐特佣 ER-VD7000HK(XK)</v>
      </c>
      <c r="AS54" s="115" t="str">
        <f>表格1[[#Headers],[TWDT21BU95 ]]</f>
        <v xml:space="preserve">TWDT21BU95 </v>
      </c>
      <c r="AT54" s="115" t="str">
        <f>表格1[[#Headers],[日式洗衣機一特佣 AW-Q800APH(WW)]]</f>
        <v>日式洗衣機一特佣 AW-Q800APH(WW)</v>
      </c>
      <c r="AU54" s="115" t="str">
        <f>表格1[[#Headers],[日式洗衣機二特佣 AW-Q801APH(WW)]]</f>
        <v>日式洗衣機二特佣 AW-Q801APH(WW)</v>
      </c>
      <c r="AV54" s="115" t="str">
        <f>表格1[[#Headers],[三門雪櫃特佣 GR-RM469WE-PGA(B3)]]</f>
        <v>三門雪櫃特佣 GR-RM469WE-PGA(B3)</v>
      </c>
      <c r="AW54" s="115" t="str">
        <f>表格1[[#Headers],[雙門雪櫃一特佣 GR-RB449WE-PMA(57)]]</f>
        <v>雙門雪櫃一特佣 GR-RB449WE-PMA(57)</v>
      </c>
      <c r="AX54" s="115" t="str">
        <f>表格1[[#Headers],[雙門雪櫃一特佣 GR-RB410WE-PMA(06)]]</f>
        <v>雙門雪櫃一特佣 GR-RB410WE-PMA(06)</v>
      </c>
      <c r="AY54" s="115" t="str">
        <f>表格1[[#Headers],[十字門雪櫃 GR-RF698WI]]</f>
        <v>十字門雪櫃 GR-RF698WI</v>
      </c>
      <c r="AZ54" s="115" t="str">
        <f>表格1[[#Headers],[水機 TWP-W2265THK(W)]]</f>
        <v>水機 TWP-W2265THK(W)</v>
      </c>
      <c r="BA54" s="115" t="str">
        <f>表格1[[#Headers],[抽濕機特佣]]</f>
        <v>抽濕機特佣</v>
      </c>
      <c r="BB54" s="115" t="str">
        <f>表格1[[#Headers],[(Fortress ONLY)TW-T25BZU115MWH(MG) ]]</f>
        <v>(Fortress ONLY)TW-T25BZU115MWH(MG) </v>
      </c>
      <c r="BC54" s="115" t="str">
        <f>表格1[[#Headers],[開門紅(三月)]]</f>
        <v>開門紅(三月)</v>
      </c>
      <c r="BD54" s="115" t="str">
        <f>表格1[[#Headers],[開門紅(第一季)]]</f>
        <v>開門紅(第一季)</v>
      </c>
      <c r="BE54" s="115" t="str">
        <f>表格1[[#Headers],[酵活炊電飯煲特佣 RC-18AMXH(W)]]</f>
        <v>酵活炊電飯煲特佣 RC-18AMXH(W)</v>
      </c>
    </row>
    <row r="55" spans="1:57" ht="26.25">
      <c r="A55" s="97">
        <v>39</v>
      </c>
      <c r="B55" s="114" t="str">
        <f t="shared" si="1"/>
        <v>2026-03 Toshiba</v>
      </c>
      <c r="C55" s="115" t="str">
        <f>Total!C46</f>
        <v>Anita_1</v>
      </c>
      <c r="D55" s="115" t="str">
        <f>Total!D46</f>
        <v>Chan Siu Kuen</v>
      </c>
      <c r="E55" s="115" t="str">
        <f>Total!E46</f>
        <v>Autopay</v>
      </c>
      <c r="F55" s="115" t="str">
        <f>Total!F46</f>
        <v>Kai Tak_1 Sogo</v>
      </c>
      <c r="G55" s="115" t="str">
        <f>Total!G46</f>
        <v>Mar/21-22,31</v>
      </c>
      <c r="H55" s="115">
        <f>Total!H46</f>
        <v>3</v>
      </c>
      <c r="I55" s="115">
        <f>Total!I46</f>
        <v>24</v>
      </c>
      <c r="J55" s="115">
        <f>Total!J46</f>
        <v>60</v>
      </c>
      <c r="K55" s="115">
        <f>Total!K46</f>
        <v>1440</v>
      </c>
      <c r="L55" s="115">
        <f>Total!L46</f>
        <v>5694</v>
      </c>
      <c r="M55" s="115">
        <f>Total!M46</f>
        <v>0</v>
      </c>
      <c r="N55" s="115">
        <f>Total!N46</f>
        <v>113.88</v>
      </c>
      <c r="O55" s="115">
        <f>Total!O46</f>
        <v>0</v>
      </c>
      <c r="P55" s="115">
        <f>Total!P46</f>
        <v>0</v>
      </c>
      <c r="Q55" s="115">
        <f>Total!Q46</f>
        <v>0</v>
      </c>
      <c r="R55" s="115">
        <f>Total!R46</f>
        <v>0</v>
      </c>
      <c r="S55" s="115">
        <f>Total!S46</f>
        <v>0</v>
      </c>
      <c r="T55" s="115">
        <f>Total!T46</f>
        <v>0</v>
      </c>
      <c r="U55" s="115">
        <f>Total!U46</f>
        <v>0</v>
      </c>
      <c r="V55" s="115">
        <f>Total!V46</f>
        <v>0</v>
      </c>
      <c r="W55" s="115">
        <f>Total!W46</f>
        <v>0</v>
      </c>
      <c r="X55" s="115">
        <f>Total!X46</f>
        <v>0</v>
      </c>
      <c r="Y55" s="115">
        <f>Total!Y46</f>
        <v>0</v>
      </c>
      <c r="Z55" s="115">
        <f>Total!Z46</f>
        <v>0</v>
      </c>
      <c r="AA55" s="115">
        <f>Total!AA46</f>
        <v>0</v>
      </c>
      <c r="AB55" s="115">
        <f>Total!AB46</f>
        <v>0</v>
      </c>
      <c r="AC55" s="115">
        <f>Total!AC46</f>
        <v>0</v>
      </c>
      <c r="AD55" s="115">
        <f>Total!AD46</f>
        <v>0</v>
      </c>
      <c r="AE55" s="115">
        <f>Total!AE46</f>
        <v>0</v>
      </c>
      <c r="AF55" s="115">
        <f>Total!AF46</f>
        <v>0</v>
      </c>
      <c r="AG55" s="115">
        <f>Total!AH46</f>
        <v>1554</v>
      </c>
      <c r="AO55" s="115" t="str">
        <f>表格1[[#Headers],[日本飯煲 RC-DS10K/18K]]</f>
        <v>日本飯煲 RC-DS10K/18K</v>
      </c>
      <c r="AP55" s="115" t="str">
        <f>表格1[[#Headers],[酵活炊電飯煲特佣 RC-18AMXH(W)]]</f>
        <v>酵活炊電飯煲特佣 RC-18AMXH(W)</v>
      </c>
      <c r="AQ55" s="115" t="str">
        <f>表格1[[#Headers],[嵌入式微波氣炸蒸焗爐特佣 EB-T500APW]]</f>
        <v>嵌入式微波氣炸蒸焗爐特佣 EB-T500APW</v>
      </c>
      <c r="AR55" s="115" t="str">
        <f>表格1[[#Headers],[蒸氣烤焗水波爐特佣 ER-VD7000HK(XK)]]</f>
        <v>蒸氣烤焗水波爐特佣 ER-VD7000HK(XK)</v>
      </c>
      <c r="AS55" s="115" t="str">
        <f>表格1[[#Headers],[TWDT21BU95 ]]</f>
        <v xml:space="preserve">TWDT21BU95 </v>
      </c>
      <c r="AT55" s="115" t="str">
        <f>表格1[[#Headers],[日式洗衣機一特佣 AW-Q800APH(WW)]]</f>
        <v>日式洗衣機一特佣 AW-Q800APH(WW)</v>
      </c>
      <c r="AU55" s="115" t="str">
        <f>表格1[[#Headers],[日式洗衣機二特佣 AW-Q801APH(WW)]]</f>
        <v>日式洗衣機二特佣 AW-Q801APH(WW)</v>
      </c>
      <c r="AV55" s="115" t="str">
        <f>表格1[[#Headers],[三門雪櫃特佣 GR-RM469WE-PGA(B3)]]</f>
        <v>三門雪櫃特佣 GR-RM469WE-PGA(B3)</v>
      </c>
      <c r="AW55" s="115" t="str">
        <f>表格1[[#Headers],[雙門雪櫃一特佣 GR-RB449WE-PMA(57)]]</f>
        <v>雙門雪櫃一特佣 GR-RB449WE-PMA(57)</v>
      </c>
      <c r="AX55" s="115" t="str">
        <f>表格1[[#Headers],[雙門雪櫃一特佣 GR-RB410WE-PMA(06)]]</f>
        <v>雙門雪櫃一特佣 GR-RB410WE-PMA(06)</v>
      </c>
      <c r="AY55" s="115" t="str">
        <f>表格1[[#Headers],[十字門雪櫃 GR-RF698WI]]</f>
        <v>十字門雪櫃 GR-RF698WI</v>
      </c>
      <c r="AZ55" s="115" t="str">
        <f>表格1[[#Headers],[水機 TWP-W2265THK(W)]]</f>
        <v>水機 TWP-W2265THK(W)</v>
      </c>
      <c r="BA55" s="115" t="str">
        <f>表格1[[#Headers],[抽濕機特佣]]</f>
        <v>抽濕機特佣</v>
      </c>
      <c r="BB55" s="115" t="str">
        <f>表格1[[#Headers],[(Fortress ONLY)TW-T25BZU115MWH(MG) ]]</f>
        <v>(Fortress ONLY)TW-T25BZU115MWH(MG) </v>
      </c>
      <c r="BC55" s="115" t="str">
        <f>表格1[[#Headers],[開門紅(三月)]]</f>
        <v>開門紅(三月)</v>
      </c>
      <c r="BD55" s="115" t="str">
        <f>表格1[[#Headers],[開門紅(第一季)]]</f>
        <v>開門紅(第一季)</v>
      </c>
      <c r="BE55" s="115" t="str">
        <f>表格1[[#Headers],[酵活炊電飯煲特佣 RC-18AMXH(W)]]</f>
        <v>酵活炊電飯煲特佣 RC-18AMXH(W)</v>
      </c>
    </row>
    <row r="56" spans="1:57" ht="26.25">
      <c r="A56" s="114">
        <v>41</v>
      </c>
      <c r="B56" s="114" t="str">
        <f t="shared" si="1"/>
        <v>2026-03 Toshiba</v>
      </c>
      <c r="C56" s="115" t="str">
        <f>Total!C48</f>
        <v>Mui Chan_1</v>
      </c>
      <c r="D56" s="115" t="str">
        <f>Total!D48</f>
        <v>Chan So Mui</v>
      </c>
      <c r="E56" s="115" t="str">
        <f>Total!E48</f>
        <v>Autopay</v>
      </c>
      <c r="F56" s="115" t="str">
        <f>Total!F48</f>
        <v>Kai Tak_3 Sogo</v>
      </c>
      <c r="G56" s="115" t="str">
        <f>Total!G48</f>
        <v>Mar/5,9-19,24-26</v>
      </c>
      <c r="H56" s="115">
        <f>Total!H48</f>
        <v>15</v>
      </c>
      <c r="I56" s="115">
        <f>Total!I48</f>
        <v>120</v>
      </c>
      <c r="J56" s="115">
        <f>Total!J48</f>
        <v>60</v>
      </c>
      <c r="K56" s="115">
        <f>Total!K48</f>
        <v>7200</v>
      </c>
      <c r="L56" s="115">
        <f>Total!L48</f>
        <v>187023</v>
      </c>
      <c r="M56" s="115">
        <f>Total!M48</f>
        <v>0</v>
      </c>
      <c r="N56" s="115">
        <f>Total!N48</f>
        <v>3097.61</v>
      </c>
      <c r="O56" s="115">
        <f>Total!O48</f>
        <v>887.06</v>
      </c>
      <c r="P56" s="115">
        <f>Total!P48</f>
        <v>0</v>
      </c>
      <c r="Q56" s="115">
        <f>Total!Q48</f>
        <v>300</v>
      </c>
      <c r="R56" s="115">
        <f>Total!R48</f>
        <v>400</v>
      </c>
      <c r="S56" s="115">
        <f>Total!S48</f>
        <v>0</v>
      </c>
      <c r="T56" s="115">
        <f>Total!T48</f>
        <v>0</v>
      </c>
      <c r="U56" s="115">
        <f>Total!U48</f>
        <v>0</v>
      </c>
      <c r="V56" s="115">
        <f>Total!V48</f>
        <v>0</v>
      </c>
      <c r="W56" s="115">
        <f>Total!W48</f>
        <v>0</v>
      </c>
      <c r="X56" s="115">
        <f>Total!X48</f>
        <v>0</v>
      </c>
      <c r="Y56" s="115">
        <f>Total!Y48</f>
        <v>0</v>
      </c>
      <c r="Z56" s="115">
        <f>Total!Z48</f>
        <v>0</v>
      </c>
      <c r="AA56" s="115">
        <f>Total!AA48</f>
        <v>0</v>
      </c>
      <c r="AB56" s="115">
        <f>Total!AB48</f>
        <v>0</v>
      </c>
      <c r="AC56" s="115">
        <f>Total!AC48</f>
        <v>0</v>
      </c>
      <c r="AD56" s="115">
        <f>Total!AD48</f>
        <v>0</v>
      </c>
      <c r="AE56" s="115">
        <f>Total!AE48</f>
        <v>0</v>
      </c>
      <c r="AF56" s="115">
        <f>Total!AF48</f>
        <v>0</v>
      </c>
      <c r="AG56" s="115">
        <f>Total!AH48</f>
        <v>11885</v>
      </c>
      <c r="AO56" s="115" t="str">
        <f>表格1[[#Headers],[日本飯煲 RC-DS10K/18K]]</f>
        <v>日本飯煲 RC-DS10K/18K</v>
      </c>
      <c r="AP56" s="115" t="str">
        <f>表格1[[#Headers],[酵活炊電飯煲特佣 RC-18AMXH(W)]]</f>
        <v>酵活炊電飯煲特佣 RC-18AMXH(W)</v>
      </c>
      <c r="AQ56" s="115" t="str">
        <f>表格1[[#Headers],[嵌入式微波氣炸蒸焗爐特佣 EB-T500APW]]</f>
        <v>嵌入式微波氣炸蒸焗爐特佣 EB-T500APW</v>
      </c>
      <c r="AR56" s="115" t="str">
        <f>表格1[[#Headers],[蒸氣烤焗水波爐特佣 ER-VD7000HK(XK)]]</f>
        <v>蒸氣烤焗水波爐特佣 ER-VD7000HK(XK)</v>
      </c>
      <c r="AS56" s="115" t="str">
        <f>表格1[[#Headers],[TWDT21BU95 ]]</f>
        <v xml:space="preserve">TWDT21BU95 </v>
      </c>
      <c r="AT56" s="115" t="str">
        <f>表格1[[#Headers],[日式洗衣機一特佣 AW-Q800APH(WW)]]</f>
        <v>日式洗衣機一特佣 AW-Q800APH(WW)</v>
      </c>
      <c r="AU56" s="115" t="str">
        <f>表格1[[#Headers],[日式洗衣機二特佣 AW-Q801APH(WW)]]</f>
        <v>日式洗衣機二特佣 AW-Q801APH(WW)</v>
      </c>
      <c r="AV56" s="115" t="str">
        <f>表格1[[#Headers],[三門雪櫃特佣 GR-RM469WE-PGA(B3)]]</f>
        <v>三門雪櫃特佣 GR-RM469WE-PGA(B3)</v>
      </c>
      <c r="AW56" s="115" t="str">
        <f>表格1[[#Headers],[雙門雪櫃一特佣 GR-RB449WE-PMA(57)]]</f>
        <v>雙門雪櫃一特佣 GR-RB449WE-PMA(57)</v>
      </c>
      <c r="AX56" s="115" t="str">
        <f>表格1[[#Headers],[雙門雪櫃一特佣 GR-RB410WE-PMA(06)]]</f>
        <v>雙門雪櫃一特佣 GR-RB410WE-PMA(06)</v>
      </c>
      <c r="AY56" s="115" t="str">
        <f>表格1[[#Headers],[十字門雪櫃 GR-RF698WI]]</f>
        <v>十字門雪櫃 GR-RF698WI</v>
      </c>
      <c r="AZ56" s="115" t="str">
        <f>表格1[[#Headers],[水機 TWP-W2265THK(W)]]</f>
        <v>水機 TWP-W2265THK(W)</v>
      </c>
      <c r="BA56" s="115" t="str">
        <f>表格1[[#Headers],[抽濕機特佣]]</f>
        <v>抽濕機特佣</v>
      </c>
      <c r="BB56" s="115" t="str">
        <f>表格1[[#Headers],[(Fortress ONLY)TW-T25BZU115MWH(MG) ]]</f>
        <v>(Fortress ONLY)TW-T25BZU115MWH(MG) </v>
      </c>
      <c r="BC56" s="115" t="str">
        <f>表格1[[#Headers],[開門紅(三月)]]</f>
        <v>開門紅(三月)</v>
      </c>
      <c r="BD56" s="115" t="str">
        <f>表格1[[#Headers],[開門紅(第一季)]]</f>
        <v>開門紅(第一季)</v>
      </c>
      <c r="BE56" s="115" t="str">
        <f>表格1[[#Headers],[酵活炊電飯煲特佣 RC-18AMXH(W)]]</f>
        <v>酵活炊電飯煲特佣 RC-18AMXH(W)</v>
      </c>
    </row>
    <row r="57" spans="1:57" ht="26.25">
      <c r="A57" s="97">
        <v>42</v>
      </c>
      <c r="B57" s="114" t="str">
        <f t="shared" si="1"/>
        <v>2026-03 Toshiba</v>
      </c>
      <c r="C57" s="115" t="str">
        <f>Total!C49</f>
        <v>Fong_2</v>
      </c>
      <c r="D57" s="115" t="str">
        <f>Total!D49</f>
        <v>Ng Nga Fong</v>
      </c>
      <c r="E57" s="115" t="str">
        <f>Total!E49</f>
        <v>Autopay</v>
      </c>
      <c r="F57" s="115" t="str">
        <f>Total!F49</f>
        <v>Kai Tak_4 Sogo</v>
      </c>
      <c r="G57" s="115" t="str">
        <f>Total!G49</f>
        <v>Mar/6</v>
      </c>
      <c r="H57" s="115">
        <f>Total!H49</f>
        <v>1</v>
      </c>
      <c r="I57" s="115">
        <f>Total!I49</f>
        <v>8</v>
      </c>
      <c r="J57" s="115">
        <f>Total!J49</f>
        <v>60</v>
      </c>
      <c r="K57" s="115">
        <f>Total!K49</f>
        <v>480</v>
      </c>
      <c r="L57" s="115">
        <f>Total!L49</f>
        <v>3718</v>
      </c>
      <c r="M57" s="115">
        <f>Total!M49</f>
        <v>0</v>
      </c>
      <c r="N57" s="115">
        <f>Total!N49</f>
        <v>74.36</v>
      </c>
      <c r="O57" s="115">
        <f>Total!O49</f>
        <v>0</v>
      </c>
      <c r="P57" s="115">
        <f>Total!P49</f>
        <v>0</v>
      </c>
      <c r="Q57" s="115">
        <f>Total!Q49</f>
        <v>0</v>
      </c>
      <c r="R57" s="115">
        <f>Total!R49</f>
        <v>0</v>
      </c>
      <c r="S57" s="115">
        <f>Total!S49</f>
        <v>0</v>
      </c>
      <c r="T57" s="115">
        <f>Total!T49</f>
        <v>0</v>
      </c>
      <c r="U57" s="115">
        <f>Total!U49</f>
        <v>0</v>
      </c>
      <c r="V57" s="115">
        <f>Total!V49</f>
        <v>0</v>
      </c>
      <c r="W57" s="115">
        <f>Total!W49</f>
        <v>0</v>
      </c>
      <c r="X57" s="115">
        <f>Total!X49</f>
        <v>0</v>
      </c>
      <c r="Y57" s="115">
        <f>Total!Y49</f>
        <v>0</v>
      </c>
      <c r="Z57" s="115">
        <f>Total!Z49</f>
        <v>0</v>
      </c>
      <c r="AA57" s="115">
        <f>Total!AA49</f>
        <v>0</v>
      </c>
      <c r="AB57" s="115">
        <f>Total!AB49</f>
        <v>0</v>
      </c>
      <c r="AC57" s="115">
        <f>Total!AC49</f>
        <v>0</v>
      </c>
      <c r="AD57" s="115">
        <f>Total!AD49</f>
        <v>0</v>
      </c>
      <c r="AE57" s="115">
        <f>Total!AE49</f>
        <v>0</v>
      </c>
      <c r="AF57" s="115">
        <f>Total!AF49</f>
        <v>0</v>
      </c>
      <c r="AG57" s="115">
        <f>Total!AH49</f>
        <v>554</v>
      </c>
      <c r="AO57" s="115" t="str">
        <f>表格1[[#Headers],[日本飯煲 RC-DS10K/18K]]</f>
        <v>日本飯煲 RC-DS10K/18K</v>
      </c>
      <c r="AP57" s="115" t="str">
        <f>表格1[[#Headers],[酵活炊電飯煲特佣 RC-18AMXH(W)]]</f>
        <v>酵活炊電飯煲特佣 RC-18AMXH(W)</v>
      </c>
      <c r="AQ57" s="115" t="str">
        <f>表格1[[#Headers],[嵌入式微波氣炸蒸焗爐特佣 EB-T500APW]]</f>
        <v>嵌入式微波氣炸蒸焗爐特佣 EB-T500APW</v>
      </c>
      <c r="AR57" s="115" t="str">
        <f>表格1[[#Headers],[蒸氣烤焗水波爐特佣 ER-VD7000HK(XK)]]</f>
        <v>蒸氣烤焗水波爐特佣 ER-VD7000HK(XK)</v>
      </c>
      <c r="AS57" s="115" t="str">
        <f>表格1[[#Headers],[TWDT21BU95 ]]</f>
        <v xml:space="preserve">TWDT21BU95 </v>
      </c>
      <c r="AT57" s="115" t="str">
        <f>表格1[[#Headers],[日式洗衣機一特佣 AW-Q800APH(WW)]]</f>
        <v>日式洗衣機一特佣 AW-Q800APH(WW)</v>
      </c>
      <c r="AU57" s="115" t="str">
        <f>表格1[[#Headers],[日式洗衣機二特佣 AW-Q801APH(WW)]]</f>
        <v>日式洗衣機二特佣 AW-Q801APH(WW)</v>
      </c>
      <c r="AV57" s="115" t="str">
        <f>表格1[[#Headers],[三門雪櫃特佣 GR-RM469WE-PGA(B3)]]</f>
        <v>三門雪櫃特佣 GR-RM469WE-PGA(B3)</v>
      </c>
      <c r="AW57" s="115" t="str">
        <f>表格1[[#Headers],[雙門雪櫃一特佣 GR-RB449WE-PMA(57)]]</f>
        <v>雙門雪櫃一特佣 GR-RB449WE-PMA(57)</v>
      </c>
      <c r="AX57" s="115" t="str">
        <f>表格1[[#Headers],[雙門雪櫃一特佣 GR-RB410WE-PMA(06)]]</f>
        <v>雙門雪櫃一特佣 GR-RB410WE-PMA(06)</v>
      </c>
      <c r="AY57" s="115" t="str">
        <f>表格1[[#Headers],[十字門雪櫃 GR-RF698WI]]</f>
        <v>十字門雪櫃 GR-RF698WI</v>
      </c>
      <c r="AZ57" s="115" t="str">
        <f>表格1[[#Headers],[水機 TWP-W2265THK(W)]]</f>
        <v>水機 TWP-W2265THK(W)</v>
      </c>
      <c r="BA57" s="115" t="str">
        <f>表格1[[#Headers],[抽濕機特佣]]</f>
        <v>抽濕機特佣</v>
      </c>
      <c r="BB57" s="115" t="str">
        <f>表格1[[#Headers],[(Fortress ONLY)TW-T25BZU115MWH(MG) ]]</f>
        <v>(Fortress ONLY)TW-T25BZU115MWH(MG) </v>
      </c>
      <c r="BC57" s="115" t="str">
        <f>表格1[[#Headers],[開門紅(三月)]]</f>
        <v>開門紅(三月)</v>
      </c>
      <c r="BD57" s="115" t="str">
        <f>表格1[[#Headers],[開門紅(第一季)]]</f>
        <v>開門紅(第一季)</v>
      </c>
      <c r="BE57" s="115" t="str">
        <f>表格1[[#Headers],[酵活炊電飯煲特佣 RC-18AMXH(W)]]</f>
        <v>酵活炊電飯煲特佣 RC-18AMXH(W)</v>
      </c>
    </row>
    <row r="58" spans="1:57" ht="26.25">
      <c r="A58" s="116">
        <v>44</v>
      </c>
      <c r="B58" s="114" t="str">
        <f t="shared" si="1"/>
        <v>2026-03 Toshiba</v>
      </c>
      <c r="C58" s="115" t="str">
        <f>Total!C51</f>
        <v>Wendy Wong_3</v>
      </c>
      <c r="D58" s="115" t="str">
        <f>Total!D51</f>
        <v>Wong Lai Ying</v>
      </c>
      <c r="E58" s="115" t="str">
        <f>Total!E51</f>
        <v>Autopay</v>
      </c>
      <c r="F58" s="115" t="str">
        <f>Total!F51</f>
        <v>Kai Tak RS_1 Sogo</v>
      </c>
      <c r="G58" s="115" t="str">
        <f>Total!G51</f>
        <v>Mar/1,7-8</v>
      </c>
      <c r="H58" s="115">
        <f>Total!H51</f>
        <v>3</v>
      </c>
      <c r="I58" s="115">
        <f>Total!I51</f>
        <v>24</v>
      </c>
      <c r="J58" s="115">
        <f>Total!J51</f>
        <v>60</v>
      </c>
      <c r="K58" s="115">
        <f>Total!K51</f>
        <v>1440</v>
      </c>
      <c r="L58" s="115">
        <f>Total!L51</f>
        <v>31320</v>
      </c>
      <c r="M58" s="115">
        <f>Total!M51</f>
        <v>0</v>
      </c>
      <c r="N58" s="115">
        <f>Total!N51</f>
        <v>313.2</v>
      </c>
      <c r="O58" s="115">
        <f>Total!O51</f>
        <v>0</v>
      </c>
      <c r="P58" s="115">
        <f>Total!P51</f>
        <v>0</v>
      </c>
      <c r="Q58" s="115">
        <f>Total!Q51</f>
        <v>0</v>
      </c>
      <c r="R58" s="115">
        <f>Total!R51</f>
        <v>0</v>
      </c>
      <c r="S58" s="115">
        <f>Total!S51</f>
        <v>0</v>
      </c>
      <c r="T58" s="115">
        <f>Total!T51</f>
        <v>0</v>
      </c>
      <c r="U58" s="115">
        <f>Total!U51</f>
        <v>0</v>
      </c>
      <c r="V58" s="115">
        <f>Total!V51</f>
        <v>0</v>
      </c>
      <c r="W58" s="115">
        <f>Total!W51</f>
        <v>0</v>
      </c>
      <c r="X58" s="115">
        <f>Total!X51</f>
        <v>0</v>
      </c>
      <c r="Y58" s="115">
        <f>Total!Y51</f>
        <v>0</v>
      </c>
      <c r="Z58" s="115">
        <f>Total!Z51</f>
        <v>0</v>
      </c>
      <c r="AA58" s="115">
        <f>Total!AA51</f>
        <v>0</v>
      </c>
      <c r="AB58" s="115">
        <f>Total!AB51</f>
        <v>0</v>
      </c>
      <c r="AC58" s="115">
        <f>Total!AC51</f>
        <v>0</v>
      </c>
      <c r="AD58" s="115">
        <f>Total!AD51</f>
        <v>0</v>
      </c>
      <c r="AE58" s="115">
        <f>Total!AE51</f>
        <v>0</v>
      </c>
      <c r="AF58" s="115">
        <f>Total!AF51</f>
        <v>0</v>
      </c>
      <c r="AG58" s="115">
        <f>Total!AH51</f>
        <v>1753</v>
      </c>
      <c r="AO58" s="115" t="str">
        <f>表格1[[#Headers],[日本飯煲 RC-DS10K/18K]]</f>
        <v>日本飯煲 RC-DS10K/18K</v>
      </c>
      <c r="AP58" s="115" t="str">
        <f>表格1[[#Headers],[酵活炊電飯煲特佣 RC-18AMXH(W)]]</f>
        <v>酵活炊電飯煲特佣 RC-18AMXH(W)</v>
      </c>
      <c r="AQ58" s="115" t="str">
        <f>表格1[[#Headers],[嵌入式微波氣炸蒸焗爐特佣 EB-T500APW]]</f>
        <v>嵌入式微波氣炸蒸焗爐特佣 EB-T500APW</v>
      </c>
      <c r="AR58" s="115" t="str">
        <f>表格1[[#Headers],[蒸氣烤焗水波爐特佣 ER-VD7000HK(XK)]]</f>
        <v>蒸氣烤焗水波爐特佣 ER-VD7000HK(XK)</v>
      </c>
      <c r="AS58" s="115" t="str">
        <f>表格1[[#Headers],[TWDT21BU95 ]]</f>
        <v xml:space="preserve">TWDT21BU95 </v>
      </c>
      <c r="AT58" s="115" t="str">
        <f>表格1[[#Headers],[日式洗衣機一特佣 AW-Q800APH(WW)]]</f>
        <v>日式洗衣機一特佣 AW-Q800APH(WW)</v>
      </c>
      <c r="AU58" s="115" t="str">
        <f>表格1[[#Headers],[日式洗衣機二特佣 AW-Q801APH(WW)]]</f>
        <v>日式洗衣機二特佣 AW-Q801APH(WW)</v>
      </c>
      <c r="AV58" s="115" t="str">
        <f>表格1[[#Headers],[三門雪櫃特佣 GR-RM469WE-PGA(B3)]]</f>
        <v>三門雪櫃特佣 GR-RM469WE-PGA(B3)</v>
      </c>
      <c r="AW58" s="115" t="str">
        <f>表格1[[#Headers],[雙門雪櫃一特佣 GR-RB449WE-PMA(57)]]</f>
        <v>雙門雪櫃一特佣 GR-RB449WE-PMA(57)</v>
      </c>
      <c r="AX58" s="115" t="str">
        <f>表格1[[#Headers],[雙門雪櫃一特佣 GR-RB410WE-PMA(06)]]</f>
        <v>雙門雪櫃一特佣 GR-RB410WE-PMA(06)</v>
      </c>
      <c r="AY58" s="115" t="str">
        <f>表格1[[#Headers],[十字門雪櫃 GR-RF698WI]]</f>
        <v>十字門雪櫃 GR-RF698WI</v>
      </c>
      <c r="AZ58" s="115" t="str">
        <f>表格1[[#Headers],[水機 TWP-W2265THK(W)]]</f>
        <v>水機 TWP-W2265THK(W)</v>
      </c>
      <c r="BA58" s="115" t="str">
        <f>表格1[[#Headers],[抽濕機特佣]]</f>
        <v>抽濕機特佣</v>
      </c>
      <c r="BB58" s="115" t="str">
        <f>表格1[[#Headers],[(Fortress ONLY)TW-T25BZU115MWH(MG) ]]</f>
        <v>(Fortress ONLY)TW-T25BZU115MWH(MG) </v>
      </c>
      <c r="BC58" s="115" t="str">
        <f>表格1[[#Headers],[開門紅(三月)]]</f>
        <v>開門紅(三月)</v>
      </c>
      <c r="BD58" s="115" t="str">
        <f>表格1[[#Headers],[開門紅(第一季)]]</f>
        <v>開門紅(第一季)</v>
      </c>
      <c r="BE58" s="115" t="str">
        <f>表格1[[#Headers],[酵活炊電飯煲特佣 RC-18AMXH(W)]]</f>
        <v>酵活炊電飯煲特佣 RC-18AMXH(W)</v>
      </c>
    </row>
    <row r="59" spans="1:57" ht="26.25">
      <c r="A59" s="116">
        <v>45</v>
      </c>
      <c r="B59" s="114" t="str">
        <f t="shared" si="1"/>
        <v>2026-03 Toshiba</v>
      </c>
      <c r="C59" s="115" t="str">
        <f>Total!C52</f>
        <v>Anita_2</v>
      </c>
      <c r="D59" s="115" t="str">
        <f>Total!D52</f>
        <v>Chan Siu Kuen</v>
      </c>
      <c r="E59" s="115" t="str">
        <f>Total!E52</f>
        <v>Autopay</v>
      </c>
      <c r="F59" s="115" t="str">
        <f>Total!F52</f>
        <v>Kai Tak RS_2 Sogo</v>
      </c>
      <c r="G59" s="115" t="str">
        <f>Total!G52</f>
        <v>Mar/14-15</v>
      </c>
      <c r="H59" s="115">
        <f>Total!H52</f>
        <v>2</v>
      </c>
      <c r="I59" s="115">
        <f>Total!I52</f>
        <v>16</v>
      </c>
      <c r="J59" s="115">
        <f>Total!J52</f>
        <v>60</v>
      </c>
      <c r="K59" s="115">
        <f>Total!K52</f>
        <v>960</v>
      </c>
      <c r="L59" s="115">
        <f>Total!L52</f>
        <v>64285</v>
      </c>
      <c r="M59" s="115">
        <f>Total!M52</f>
        <v>0</v>
      </c>
      <c r="N59" s="115">
        <f>Total!N52</f>
        <v>642.85</v>
      </c>
      <c r="O59" s="115">
        <f>Total!O52</f>
        <v>0</v>
      </c>
      <c r="P59" s="115">
        <f>Total!P52</f>
        <v>0</v>
      </c>
      <c r="Q59" s="115">
        <f>Total!Q52</f>
        <v>0</v>
      </c>
      <c r="R59" s="115">
        <f>Total!R52</f>
        <v>0</v>
      </c>
      <c r="S59" s="115">
        <f>Total!S52</f>
        <v>0</v>
      </c>
      <c r="T59" s="115">
        <f>Total!T52</f>
        <v>0</v>
      </c>
      <c r="U59" s="115">
        <f>Total!U52</f>
        <v>0</v>
      </c>
      <c r="V59" s="115">
        <f>Total!V52</f>
        <v>0</v>
      </c>
      <c r="W59" s="115">
        <f>Total!W52</f>
        <v>0</v>
      </c>
      <c r="X59" s="115">
        <f>Total!X52</f>
        <v>0</v>
      </c>
      <c r="Y59" s="115">
        <f>Total!Y52</f>
        <v>0</v>
      </c>
      <c r="Z59" s="115">
        <f>Total!Z52</f>
        <v>0</v>
      </c>
      <c r="AA59" s="115">
        <f>Total!AA52</f>
        <v>0</v>
      </c>
      <c r="AB59" s="115">
        <f>Total!AB52</f>
        <v>0</v>
      </c>
      <c r="AC59" s="115">
        <f>Total!AC52</f>
        <v>0</v>
      </c>
      <c r="AD59" s="115">
        <f>Total!AD52</f>
        <v>0</v>
      </c>
      <c r="AE59" s="115">
        <f>Total!AE52</f>
        <v>0</v>
      </c>
      <c r="AF59" s="115">
        <f>Total!AF52</f>
        <v>0</v>
      </c>
      <c r="AG59" s="115">
        <f>Total!AH52</f>
        <v>1603</v>
      </c>
      <c r="AO59" s="115" t="str">
        <f>表格1[[#Headers],[日本飯煲 RC-DS10K/18K]]</f>
        <v>日本飯煲 RC-DS10K/18K</v>
      </c>
      <c r="AP59" s="115" t="str">
        <f>表格1[[#Headers],[酵活炊電飯煲特佣 RC-18AMXH(W)]]</f>
        <v>酵活炊電飯煲特佣 RC-18AMXH(W)</v>
      </c>
      <c r="AQ59" s="115" t="str">
        <f>表格1[[#Headers],[嵌入式微波氣炸蒸焗爐特佣 EB-T500APW]]</f>
        <v>嵌入式微波氣炸蒸焗爐特佣 EB-T500APW</v>
      </c>
      <c r="AR59" s="115" t="str">
        <f>表格1[[#Headers],[蒸氣烤焗水波爐特佣 ER-VD7000HK(XK)]]</f>
        <v>蒸氣烤焗水波爐特佣 ER-VD7000HK(XK)</v>
      </c>
      <c r="AS59" s="115" t="str">
        <f>表格1[[#Headers],[TWDT21BU95 ]]</f>
        <v xml:space="preserve">TWDT21BU95 </v>
      </c>
      <c r="AT59" s="115" t="str">
        <f>表格1[[#Headers],[日式洗衣機一特佣 AW-Q800APH(WW)]]</f>
        <v>日式洗衣機一特佣 AW-Q800APH(WW)</v>
      </c>
      <c r="AU59" s="115" t="str">
        <f>表格1[[#Headers],[日式洗衣機二特佣 AW-Q801APH(WW)]]</f>
        <v>日式洗衣機二特佣 AW-Q801APH(WW)</v>
      </c>
      <c r="AV59" s="115" t="str">
        <f>表格1[[#Headers],[三門雪櫃特佣 GR-RM469WE-PGA(B3)]]</f>
        <v>三門雪櫃特佣 GR-RM469WE-PGA(B3)</v>
      </c>
      <c r="AW59" s="115" t="str">
        <f>表格1[[#Headers],[雙門雪櫃一特佣 GR-RB449WE-PMA(57)]]</f>
        <v>雙門雪櫃一特佣 GR-RB449WE-PMA(57)</v>
      </c>
      <c r="AX59" s="115" t="str">
        <f>表格1[[#Headers],[雙門雪櫃一特佣 GR-RB410WE-PMA(06)]]</f>
        <v>雙門雪櫃一特佣 GR-RB410WE-PMA(06)</v>
      </c>
      <c r="AY59" s="115" t="str">
        <f>表格1[[#Headers],[十字門雪櫃 GR-RF698WI]]</f>
        <v>十字門雪櫃 GR-RF698WI</v>
      </c>
      <c r="AZ59" s="115" t="str">
        <f>表格1[[#Headers],[水機 TWP-W2265THK(W)]]</f>
        <v>水機 TWP-W2265THK(W)</v>
      </c>
      <c r="BA59" s="115" t="str">
        <f>表格1[[#Headers],[抽濕機特佣]]</f>
        <v>抽濕機特佣</v>
      </c>
      <c r="BB59" s="115" t="str">
        <f>表格1[[#Headers],[(Fortress ONLY)TW-T25BZU115MWH(MG) ]]</f>
        <v>(Fortress ONLY)TW-T25BZU115MWH(MG) </v>
      </c>
      <c r="BC59" s="115" t="str">
        <f>表格1[[#Headers],[開門紅(三月)]]</f>
        <v>開門紅(三月)</v>
      </c>
      <c r="BD59" s="115" t="str">
        <f>表格1[[#Headers],[開門紅(第一季)]]</f>
        <v>開門紅(第一季)</v>
      </c>
      <c r="BE59" s="115" t="str">
        <f>表格1[[#Headers],[酵活炊電飯煲特佣 RC-18AMXH(W)]]</f>
        <v>酵活炊電飯煲特佣 RC-18AMXH(W)</v>
      </c>
    </row>
    <row r="60" spans="1:57" ht="26.25">
      <c r="A60" s="97">
        <v>48</v>
      </c>
      <c r="B60" s="114" t="str">
        <f t="shared" si="1"/>
        <v>2026-03 Toshiba</v>
      </c>
      <c r="C60" s="115" t="str">
        <f>Total!C55</f>
        <v>SK</v>
      </c>
      <c r="D60" s="115" t="str">
        <f>Total!D55</f>
        <v>Ip Sau King</v>
      </c>
      <c r="E60" s="115" t="str">
        <f>Total!E55</f>
        <v>Autopay</v>
      </c>
      <c r="F60" s="115" t="str">
        <f>Total!F55</f>
        <v>Tai Koo_1 Apita</v>
      </c>
      <c r="G60" s="115" t="str">
        <f>Total!G55</f>
        <v>Mar/1,7-8,14,21-24,28-29</v>
      </c>
      <c r="H60" s="115">
        <f>Total!H55</f>
        <v>10</v>
      </c>
      <c r="I60" s="115">
        <f>Total!I55</f>
        <v>80</v>
      </c>
      <c r="J60" s="115">
        <f>Total!J55</f>
        <v>60</v>
      </c>
      <c r="K60" s="115">
        <f>Total!K55</f>
        <v>4800</v>
      </c>
      <c r="L60" s="115">
        <f>Total!L55</f>
        <v>47199</v>
      </c>
      <c r="M60" s="115">
        <f>Total!M55</f>
        <v>0</v>
      </c>
      <c r="N60" s="115">
        <f>Total!N55</f>
        <v>943.98</v>
      </c>
      <c r="O60" s="115">
        <f>Total!O55</f>
        <v>0</v>
      </c>
      <c r="P60" s="115">
        <f>Total!P55</f>
        <v>0</v>
      </c>
      <c r="Q60" s="115">
        <f>Total!Q55</f>
        <v>0</v>
      </c>
      <c r="R60" s="115">
        <f>Total!R55</f>
        <v>0</v>
      </c>
      <c r="S60" s="115">
        <f>Total!S55</f>
        <v>0</v>
      </c>
      <c r="T60" s="115">
        <f>Total!T55</f>
        <v>0</v>
      </c>
      <c r="U60" s="115">
        <f>Total!U55</f>
        <v>0</v>
      </c>
      <c r="V60" s="115">
        <f>Total!V55</f>
        <v>0</v>
      </c>
      <c r="W60" s="115">
        <f>Total!W55</f>
        <v>0</v>
      </c>
      <c r="X60" s="115">
        <f>Total!X55</f>
        <v>0</v>
      </c>
      <c r="Y60" s="115">
        <f>Total!Y55</f>
        <v>0</v>
      </c>
      <c r="Z60" s="115">
        <f>Total!Z55</f>
        <v>0</v>
      </c>
      <c r="AA60" s="115">
        <f>Total!AA55</f>
        <v>0</v>
      </c>
      <c r="AB60" s="115">
        <f>Total!AB55</f>
        <v>0</v>
      </c>
      <c r="AC60" s="115">
        <f>Total!AC55</f>
        <v>0</v>
      </c>
      <c r="AD60" s="115">
        <f>Total!AD55</f>
        <v>0</v>
      </c>
      <c r="AE60" s="115">
        <f>Total!AE55</f>
        <v>0</v>
      </c>
      <c r="AF60" s="115">
        <f>Total!AF55</f>
        <v>0</v>
      </c>
      <c r="AG60" s="115">
        <f>Total!AH55</f>
        <v>5744</v>
      </c>
      <c r="AO60" s="115" t="str">
        <f>表格1[[#Headers],[日本飯煲 RC-DS10K/18K]]</f>
        <v>日本飯煲 RC-DS10K/18K</v>
      </c>
      <c r="AP60" s="115" t="str">
        <f>表格1[[#Headers],[酵活炊電飯煲特佣 RC-18AMXH(W)]]</f>
        <v>酵活炊電飯煲特佣 RC-18AMXH(W)</v>
      </c>
      <c r="AQ60" s="115" t="str">
        <f>表格1[[#Headers],[嵌入式微波氣炸蒸焗爐特佣 EB-T500APW]]</f>
        <v>嵌入式微波氣炸蒸焗爐特佣 EB-T500APW</v>
      </c>
      <c r="AR60" s="115" t="str">
        <f>表格1[[#Headers],[蒸氣烤焗水波爐特佣 ER-VD7000HK(XK)]]</f>
        <v>蒸氣烤焗水波爐特佣 ER-VD7000HK(XK)</v>
      </c>
      <c r="AS60" s="115" t="str">
        <f>表格1[[#Headers],[TWDT21BU95 ]]</f>
        <v xml:space="preserve">TWDT21BU95 </v>
      </c>
      <c r="AT60" s="115" t="str">
        <f>表格1[[#Headers],[日式洗衣機一特佣 AW-Q800APH(WW)]]</f>
        <v>日式洗衣機一特佣 AW-Q800APH(WW)</v>
      </c>
      <c r="AU60" s="115" t="str">
        <f>表格1[[#Headers],[日式洗衣機二特佣 AW-Q801APH(WW)]]</f>
        <v>日式洗衣機二特佣 AW-Q801APH(WW)</v>
      </c>
      <c r="AV60" s="115" t="str">
        <f>表格1[[#Headers],[三門雪櫃特佣 GR-RM469WE-PGA(B3)]]</f>
        <v>三門雪櫃特佣 GR-RM469WE-PGA(B3)</v>
      </c>
      <c r="AW60" s="115" t="str">
        <f>表格1[[#Headers],[雙門雪櫃一特佣 GR-RB449WE-PMA(57)]]</f>
        <v>雙門雪櫃一特佣 GR-RB449WE-PMA(57)</v>
      </c>
      <c r="AX60" s="115" t="str">
        <f>表格1[[#Headers],[雙門雪櫃一特佣 GR-RB410WE-PMA(06)]]</f>
        <v>雙門雪櫃一特佣 GR-RB410WE-PMA(06)</v>
      </c>
      <c r="AY60" s="115" t="str">
        <f>表格1[[#Headers],[十字門雪櫃 GR-RF698WI]]</f>
        <v>十字門雪櫃 GR-RF698WI</v>
      </c>
      <c r="AZ60" s="115" t="str">
        <f>表格1[[#Headers],[水機 TWP-W2265THK(W)]]</f>
        <v>水機 TWP-W2265THK(W)</v>
      </c>
      <c r="BA60" s="115" t="str">
        <f>表格1[[#Headers],[抽濕機特佣]]</f>
        <v>抽濕機特佣</v>
      </c>
      <c r="BB60" s="115" t="str">
        <f>表格1[[#Headers],[(Fortress ONLY)TW-T25BZU115MWH(MG) ]]</f>
        <v>(Fortress ONLY)TW-T25BZU115MWH(MG) </v>
      </c>
      <c r="BC60" s="115" t="str">
        <f>表格1[[#Headers],[開門紅(三月)]]</f>
        <v>開門紅(三月)</v>
      </c>
      <c r="BD60" s="115" t="str">
        <f>表格1[[#Headers],[開門紅(第一季)]]</f>
        <v>開門紅(第一季)</v>
      </c>
      <c r="BE60" s="115" t="str">
        <f>表格1[[#Headers],[酵活炊電飯煲特佣 RC-18AMXH(W)]]</f>
        <v>酵活炊電飯煲特佣 RC-18AMXH(W)</v>
      </c>
    </row>
    <row r="61" spans="1:57" ht="26.25">
      <c r="A61" s="114">
        <v>49</v>
      </c>
      <c r="B61" s="114" t="str">
        <f t="shared" si="1"/>
        <v>2026-03 Toshiba</v>
      </c>
      <c r="C61" s="115" t="str">
        <f>Total!C56</f>
        <v>Tony_3</v>
      </c>
      <c r="D61" s="115" t="str">
        <f>Total!D56</f>
        <v>Wong Tak Chung</v>
      </c>
      <c r="E61" s="115" t="str">
        <f>Total!E56</f>
        <v>Autopay</v>
      </c>
      <c r="F61" s="115" t="str">
        <f>Total!F56</f>
        <v>Tai Koo_2 Apita</v>
      </c>
      <c r="G61" s="115" t="str">
        <f>Total!G56</f>
        <v>Mar/15</v>
      </c>
      <c r="H61" s="115">
        <f>Total!H56</f>
        <v>1</v>
      </c>
      <c r="I61" s="115">
        <f>Total!I56</f>
        <v>8</v>
      </c>
      <c r="J61" s="115">
        <f>Total!J56</f>
        <v>60</v>
      </c>
      <c r="K61" s="115">
        <f>Total!K56</f>
        <v>480</v>
      </c>
      <c r="L61" s="115">
        <f>Total!L56</f>
        <v>6265</v>
      </c>
      <c r="M61" s="115">
        <f>Total!M56</f>
        <v>0</v>
      </c>
      <c r="N61" s="115">
        <f>Total!N56</f>
        <v>125.3</v>
      </c>
      <c r="O61" s="115">
        <f>Total!O56</f>
        <v>0</v>
      </c>
      <c r="P61" s="115">
        <f>Total!P56</f>
        <v>0</v>
      </c>
      <c r="Q61" s="115">
        <f>Total!Q56</f>
        <v>0</v>
      </c>
      <c r="R61" s="115">
        <f>Total!R56</f>
        <v>0</v>
      </c>
      <c r="S61" s="115">
        <f>Total!S56</f>
        <v>0</v>
      </c>
      <c r="T61" s="115">
        <f>Total!T56</f>
        <v>0</v>
      </c>
      <c r="U61" s="115">
        <f>Total!U56</f>
        <v>0</v>
      </c>
      <c r="V61" s="115">
        <f>Total!V56</f>
        <v>0</v>
      </c>
      <c r="W61" s="115">
        <f>Total!W56</f>
        <v>0</v>
      </c>
      <c r="X61" s="115">
        <f>Total!X56</f>
        <v>0</v>
      </c>
      <c r="Y61" s="115">
        <f>Total!Y56</f>
        <v>0</v>
      </c>
      <c r="Z61" s="115">
        <f>Total!Z56</f>
        <v>0</v>
      </c>
      <c r="AA61" s="115">
        <f>Total!AA56</f>
        <v>0</v>
      </c>
      <c r="AB61" s="115">
        <f>Total!AB56</f>
        <v>0</v>
      </c>
      <c r="AC61" s="115">
        <f>Total!AC56</f>
        <v>0</v>
      </c>
      <c r="AD61" s="115">
        <f>Total!AD56</f>
        <v>0</v>
      </c>
      <c r="AE61" s="115">
        <f>Total!AE56</f>
        <v>0</v>
      </c>
      <c r="AF61" s="115">
        <f>Total!AF56</f>
        <v>0</v>
      </c>
      <c r="AG61" s="115">
        <f>Total!AH56</f>
        <v>605</v>
      </c>
      <c r="AO61" s="115" t="str">
        <f>表格1[[#Headers],[日本飯煲 RC-DS10K/18K]]</f>
        <v>日本飯煲 RC-DS10K/18K</v>
      </c>
      <c r="AP61" s="115" t="str">
        <f>表格1[[#Headers],[酵活炊電飯煲特佣 RC-18AMXH(W)]]</f>
        <v>酵活炊電飯煲特佣 RC-18AMXH(W)</v>
      </c>
      <c r="AQ61" s="115" t="str">
        <f>表格1[[#Headers],[嵌入式微波氣炸蒸焗爐特佣 EB-T500APW]]</f>
        <v>嵌入式微波氣炸蒸焗爐特佣 EB-T500APW</v>
      </c>
      <c r="AR61" s="115" t="str">
        <f>表格1[[#Headers],[蒸氣烤焗水波爐特佣 ER-VD7000HK(XK)]]</f>
        <v>蒸氣烤焗水波爐特佣 ER-VD7000HK(XK)</v>
      </c>
      <c r="AS61" s="115" t="str">
        <f>表格1[[#Headers],[TWDT21BU95 ]]</f>
        <v xml:space="preserve">TWDT21BU95 </v>
      </c>
      <c r="AT61" s="115" t="str">
        <f>表格1[[#Headers],[日式洗衣機一特佣 AW-Q800APH(WW)]]</f>
        <v>日式洗衣機一特佣 AW-Q800APH(WW)</v>
      </c>
      <c r="AU61" s="115" t="str">
        <f>表格1[[#Headers],[日式洗衣機二特佣 AW-Q801APH(WW)]]</f>
        <v>日式洗衣機二特佣 AW-Q801APH(WW)</v>
      </c>
      <c r="AV61" s="115" t="str">
        <f>表格1[[#Headers],[三門雪櫃特佣 GR-RM469WE-PGA(B3)]]</f>
        <v>三門雪櫃特佣 GR-RM469WE-PGA(B3)</v>
      </c>
      <c r="AW61" s="115" t="str">
        <f>表格1[[#Headers],[雙門雪櫃一特佣 GR-RB449WE-PMA(57)]]</f>
        <v>雙門雪櫃一特佣 GR-RB449WE-PMA(57)</v>
      </c>
      <c r="AX61" s="115" t="str">
        <f>表格1[[#Headers],[雙門雪櫃一特佣 GR-RB410WE-PMA(06)]]</f>
        <v>雙門雪櫃一特佣 GR-RB410WE-PMA(06)</v>
      </c>
      <c r="AY61" s="115" t="str">
        <f>表格1[[#Headers],[十字門雪櫃 GR-RF698WI]]</f>
        <v>十字門雪櫃 GR-RF698WI</v>
      </c>
      <c r="AZ61" s="115" t="str">
        <f>表格1[[#Headers],[水機 TWP-W2265THK(W)]]</f>
        <v>水機 TWP-W2265THK(W)</v>
      </c>
      <c r="BA61" s="115" t="str">
        <f>表格1[[#Headers],[抽濕機特佣]]</f>
        <v>抽濕機特佣</v>
      </c>
      <c r="BB61" s="115" t="str">
        <f>表格1[[#Headers],[(Fortress ONLY)TW-T25BZU115MWH(MG) ]]</f>
        <v>(Fortress ONLY)TW-T25BZU115MWH(MG) </v>
      </c>
      <c r="BC61" s="115" t="str">
        <f>表格1[[#Headers],[開門紅(三月)]]</f>
        <v>開門紅(三月)</v>
      </c>
      <c r="BD61" s="115" t="str">
        <f>表格1[[#Headers],[開門紅(第一季)]]</f>
        <v>開門紅(第一季)</v>
      </c>
      <c r="BE61" s="115" t="str">
        <f>表格1[[#Headers],[酵活炊電飯煲特佣 RC-18AMXH(W)]]</f>
        <v>酵活炊電飯煲特佣 RC-18AMXH(W)</v>
      </c>
    </row>
    <row r="62" spans="1:57" ht="26.25">
      <c r="A62" s="114">
        <v>53</v>
      </c>
      <c r="B62" s="114" t="str">
        <f t="shared" si="1"/>
        <v>2026-03 Toshiba</v>
      </c>
      <c r="C62" s="115" t="str">
        <f>Total!C60</f>
        <v>Ivy Wong_2</v>
      </c>
      <c r="D62" s="115" t="str">
        <f>Total!D60</f>
        <v>Wong Wai Chu</v>
      </c>
      <c r="E62" s="115" t="str">
        <f>Total!E60</f>
        <v>Autopay</v>
      </c>
      <c r="F62" s="115" t="str">
        <f>Total!F60</f>
        <v>TSW RS Tung Yuen</v>
      </c>
      <c r="G62" s="115" t="str">
        <f>Total!G60</f>
        <v>Mar/6-9</v>
      </c>
      <c r="H62" s="115">
        <f>Total!H60</f>
        <v>4</v>
      </c>
      <c r="I62" s="115">
        <f>Total!I60</f>
        <v>35.5</v>
      </c>
      <c r="J62" s="115">
        <f>Total!J60</f>
        <v>60</v>
      </c>
      <c r="K62" s="115">
        <f>Total!K60</f>
        <v>2130</v>
      </c>
      <c r="L62" s="115">
        <f>Total!L60</f>
        <v>83810</v>
      </c>
      <c r="M62" s="115">
        <f>Total!M60</f>
        <v>0</v>
      </c>
      <c r="N62" s="115">
        <f>Total!N60</f>
        <v>1676.2</v>
      </c>
      <c r="O62" s="115">
        <f>Total!O60</f>
        <v>0</v>
      </c>
      <c r="P62" s="115">
        <f>Total!P60</f>
        <v>0</v>
      </c>
      <c r="Q62" s="115">
        <f>Total!Q60</f>
        <v>0</v>
      </c>
      <c r="R62" s="115">
        <f>Total!R60</f>
        <v>0</v>
      </c>
      <c r="S62" s="115">
        <f>Total!S60</f>
        <v>0</v>
      </c>
      <c r="T62" s="115">
        <f>Total!T60</f>
        <v>0</v>
      </c>
      <c r="U62" s="115">
        <f>Total!U60</f>
        <v>0</v>
      </c>
      <c r="V62" s="115">
        <f>Total!V60</f>
        <v>0</v>
      </c>
      <c r="W62" s="115">
        <f>Total!W60</f>
        <v>0</v>
      </c>
      <c r="X62" s="115">
        <f>Total!X60</f>
        <v>0</v>
      </c>
      <c r="Y62" s="115">
        <f>Total!Y60</f>
        <v>0</v>
      </c>
      <c r="Z62" s="115">
        <f>Total!Z60</f>
        <v>0</v>
      </c>
      <c r="AA62" s="115">
        <f>Total!AA60</f>
        <v>0</v>
      </c>
      <c r="AB62" s="115">
        <f>Total!AB60</f>
        <v>0</v>
      </c>
      <c r="AC62" s="115">
        <f>Total!AC60</f>
        <v>0</v>
      </c>
      <c r="AD62" s="115">
        <f>Total!AD60</f>
        <v>0</v>
      </c>
      <c r="AE62" s="115">
        <f>Total!AE60</f>
        <v>0</v>
      </c>
      <c r="AF62" s="115">
        <f>Total!AF60</f>
        <v>0</v>
      </c>
      <c r="AG62" s="115">
        <f>Total!AH60</f>
        <v>3806</v>
      </c>
      <c r="AO62" s="115" t="str">
        <f>表格1[[#Headers],[日本飯煲 RC-DS10K/18K]]</f>
        <v>日本飯煲 RC-DS10K/18K</v>
      </c>
      <c r="AP62" s="115" t="str">
        <f>表格1[[#Headers],[酵活炊電飯煲特佣 RC-18AMXH(W)]]</f>
        <v>酵活炊電飯煲特佣 RC-18AMXH(W)</v>
      </c>
      <c r="AQ62" s="115" t="str">
        <f>表格1[[#Headers],[嵌入式微波氣炸蒸焗爐特佣 EB-T500APW]]</f>
        <v>嵌入式微波氣炸蒸焗爐特佣 EB-T500APW</v>
      </c>
      <c r="AR62" s="115" t="str">
        <f>表格1[[#Headers],[蒸氣烤焗水波爐特佣 ER-VD7000HK(XK)]]</f>
        <v>蒸氣烤焗水波爐特佣 ER-VD7000HK(XK)</v>
      </c>
      <c r="AS62" s="115" t="str">
        <f>表格1[[#Headers],[TWDT21BU95 ]]</f>
        <v xml:space="preserve">TWDT21BU95 </v>
      </c>
      <c r="AT62" s="115" t="str">
        <f>表格1[[#Headers],[日式洗衣機一特佣 AW-Q800APH(WW)]]</f>
        <v>日式洗衣機一特佣 AW-Q800APH(WW)</v>
      </c>
      <c r="AU62" s="115" t="str">
        <f>表格1[[#Headers],[日式洗衣機二特佣 AW-Q801APH(WW)]]</f>
        <v>日式洗衣機二特佣 AW-Q801APH(WW)</v>
      </c>
      <c r="AV62" s="115" t="str">
        <f>表格1[[#Headers],[三門雪櫃特佣 GR-RM469WE-PGA(B3)]]</f>
        <v>三門雪櫃特佣 GR-RM469WE-PGA(B3)</v>
      </c>
      <c r="AW62" s="115" t="str">
        <f>表格1[[#Headers],[雙門雪櫃一特佣 GR-RB449WE-PMA(57)]]</f>
        <v>雙門雪櫃一特佣 GR-RB449WE-PMA(57)</v>
      </c>
      <c r="AX62" s="115" t="str">
        <f>表格1[[#Headers],[雙門雪櫃一特佣 GR-RB410WE-PMA(06)]]</f>
        <v>雙門雪櫃一特佣 GR-RB410WE-PMA(06)</v>
      </c>
      <c r="AY62" s="115" t="str">
        <f>表格1[[#Headers],[十字門雪櫃 GR-RF698WI]]</f>
        <v>十字門雪櫃 GR-RF698WI</v>
      </c>
      <c r="AZ62" s="115" t="str">
        <f>表格1[[#Headers],[水機 TWP-W2265THK(W)]]</f>
        <v>水機 TWP-W2265THK(W)</v>
      </c>
      <c r="BA62" s="115" t="str">
        <f>表格1[[#Headers],[抽濕機特佣]]</f>
        <v>抽濕機特佣</v>
      </c>
      <c r="BB62" s="115" t="str">
        <f>表格1[[#Headers],[(Fortress ONLY)TW-T25BZU115MWH(MG) ]]</f>
        <v>(Fortress ONLY)TW-T25BZU115MWH(MG) </v>
      </c>
      <c r="BC62" s="115" t="str">
        <f>表格1[[#Headers],[開門紅(三月)]]</f>
        <v>開門紅(三月)</v>
      </c>
      <c r="BD62" s="115" t="str">
        <f>表格1[[#Headers],[開門紅(第一季)]]</f>
        <v>開門紅(第一季)</v>
      </c>
      <c r="BE62" s="115" t="str">
        <f>表格1[[#Headers],[酵活炊電飯煲特佣 RC-18AMXH(W)]]</f>
        <v>酵活炊電飯煲特佣 RC-18AMXH(W)</v>
      </c>
    </row>
    <row r="63" spans="1:57" ht="26.25">
      <c r="A63" s="114">
        <v>59</v>
      </c>
      <c r="B63" s="114" t="str">
        <f t="shared" si="1"/>
        <v>2026-03 Toshiba</v>
      </c>
      <c r="C63" s="115" t="str">
        <f>Total!C66</f>
        <v>Me</v>
      </c>
      <c r="D63" s="115" t="str">
        <f>Total!D66</f>
        <v>Ngai Kong Ying</v>
      </c>
      <c r="E63" s="115" t="str">
        <f>Total!E66</f>
        <v>Autopay</v>
      </c>
      <c r="F63" s="115" t="str">
        <f>Total!F66</f>
        <v>Megabox Aeon</v>
      </c>
      <c r="G63" s="115" t="str">
        <f>Total!G66</f>
        <v>Mar/1-4,6-10,12-15</v>
      </c>
      <c r="H63" s="115">
        <f>Total!H66</f>
        <v>13</v>
      </c>
      <c r="I63" s="115">
        <f>Total!I66</f>
        <v>104</v>
      </c>
      <c r="J63" s="115">
        <f>Total!J66</f>
        <v>60</v>
      </c>
      <c r="K63" s="115">
        <f>Total!K66</f>
        <v>6240</v>
      </c>
      <c r="L63" s="115">
        <f>Total!L66</f>
        <v>287112</v>
      </c>
      <c r="M63" s="115">
        <f>Total!M66</f>
        <v>0</v>
      </c>
      <c r="N63" s="115">
        <f>Total!N66</f>
        <v>5742.24</v>
      </c>
      <c r="O63" s="115">
        <f>Total!O66</f>
        <v>0</v>
      </c>
      <c r="P63" s="115">
        <f>Total!P66</f>
        <v>0</v>
      </c>
      <c r="Q63" s="115">
        <f>Total!Q66</f>
        <v>0</v>
      </c>
      <c r="R63" s="115">
        <f>Total!R66</f>
        <v>0</v>
      </c>
      <c r="S63" s="115">
        <f>Total!S66</f>
        <v>0</v>
      </c>
      <c r="T63" s="115">
        <f>Total!T66</f>
        <v>0</v>
      </c>
      <c r="U63" s="115">
        <f>Total!U66</f>
        <v>0</v>
      </c>
      <c r="V63" s="115">
        <f>Total!V66</f>
        <v>0</v>
      </c>
      <c r="W63" s="115">
        <f>Total!W66</f>
        <v>0</v>
      </c>
      <c r="X63" s="115">
        <f>Total!X66</f>
        <v>0</v>
      </c>
      <c r="Y63" s="115">
        <f>Total!Y66</f>
        <v>0</v>
      </c>
      <c r="Z63" s="115">
        <f>Total!Z66</f>
        <v>0</v>
      </c>
      <c r="AA63" s="115">
        <f>Total!AA66</f>
        <v>0</v>
      </c>
      <c r="AB63" s="115">
        <f>Total!AB66</f>
        <v>0</v>
      </c>
      <c r="AC63" s="115">
        <f>Total!AC66</f>
        <v>0</v>
      </c>
      <c r="AD63" s="115">
        <f>Total!AD66</f>
        <v>0</v>
      </c>
      <c r="AE63" s="115">
        <f>Total!AE66</f>
        <v>0</v>
      </c>
      <c r="AF63" s="115">
        <f>Total!AF66</f>
        <v>0</v>
      </c>
      <c r="AG63" s="115">
        <f>Total!AH66</f>
        <v>11982</v>
      </c>
      <c r="AO63" s="115" t="str">
        <f>表格1[[#Headers],[日本飯煲 RC-DS10K/18K]]</f>
        <v>日本飯煲 RC-DS10K/18K</v>
      </c>
      <c r="AP63" s="115" t="str">
        <f>表格1[[#Headers],[酵活炊電飯煲特佣 RC-18AMXH(W)]]</f>
        <v>酵活炊電飯煲特佣 RC-18AMXH(W)</v>
      </c>
      <c r="AQ63" s="115" t="str">
        <f>表格1[[#Headers],[嵌入式微波氣炸蒸焗爐特佣 EB-T500APW]]</f>
        <v>嵌入式微波氣炸蒸焗爐特佣 EB-T500APW</v>
      </c>
      <c r="AR63" s="115" t="str">
        <f>表格1[[#Headers],[蒸氣烤焗水波爐特佣 ER-VD7000HK(XK)]]</f>
        <v>蒸氣烤焗水波爐特佣 ER-VD7000HK(XK)</v>
      </c>
      <c r="AS63" s="115" t="str">
        <f>表格1[[#Headers],[TWDT21BU95 ]]</f>
        <v xml:space="preserve">TWDT21BU95 </v>
      </c>
      <c r="AT63" s="115" t="str">
        <f>表格1[[#Headers],[日式洗衣機一特佣 AW-Q800APH(WW)]]</f>
        <v>日式洗衣機一特佣 AW-Q800APH(WW)</v>
      </c>
      <c r="AU63" s="115" t="str">
        <f>表格1[[#Headers],[日式洗衣機二特佣 AW-Q801APH(WW)]]</f>
        <v>日式洗衣機二特佣 AW-Q801APH(WW)</v>
      </c>
      <c r="AV63" s="115" t="str">
        <f>表格1[[#Headers],[三門雪櫃特佣 GR-RM469WE-PGA(B3)]]</f>
        <v>三門雪櫃特佣 GR-RM469WE-PGA(B3)</v>
      </c>
      <c r="AW63" s="115" t="str">
        <f>表格1[[#Headers],[雙門雪櫃一特佣 GR-RB449WE-PMA(57)]]</f>
        <v>雙門雪櫃一特佣 GR-RB449WE-PMA(57)</v>
      </c>
      <c r="AX63" s="115" t="str">
        <f>表格1[[#Headers],[雙門雪櫃一特佣 GR-RB410WE-PMA(06)]]</f>
        <v>雙門雪櫃一特佣 GR-RB410WE-PMA(06)</v>
      </c>
      <c r="AY63" s="115" t="str">
        <f>表格1[[#Headers],[十字門雪櫃 GR-RF698WI]]</f>
        <v>十字門雪櫃 GR-RF698WI</v>
      </c>
      <c r="AZ63" s="115" t="str">
        <f>表格1[[#Headers],[水機 TWP-W2265THK(W)]]</f>
        <v>水機 TWP-W2265THK(W)</v>
      </c>
      <c r="BA63" s="115" t="str">
        <f>表格1[[#Headers],[抽濕機特佣]]</f>
        <v>抽濕機特佣</v>
      </c>
      <c r="BB63" s="115" t="str">
        <f>表格1[[#Headers],[(Fortress ONLY)TW-T25BZU115MWH(MG) ]]</f>
        <v>(Fortress ONLY)TW-T25BZU115MWH(MG) </v>
      </c>
      <c r="BC63" s="115" t="str">
        <f>表格1[[#Headers],[開門紅(三月)]]</f>
        <v>開門紅(三月)</v>
      </c>
      <c r="BD63" s="115" t="str">
        <f>表格1[[#Headers],[開門紅(第一季)]]</f>
        <v>開門紅(第一季)</v>
      </c>
      <c r="BE63" s="115" t="str">
        <f>表格1[[#Headers],[酵活炊電飯煲特佣 RC-18AMXH(W)]]</f>
        <v>酵活炊電飯煲特佣 RC-18AMXH(W)</v>
      </c>
    </row>
    <row r="64" spans="1:57" ht="26.25">
      <c r="A64" s="116">
        <v>60</v>
      </c>
      <c r="B64" s="114" t="str">
        <f t="shared" si="1"/>
        <v>2026-03 Toshiba</v>
      </c>
      <c r="C64" s="115" t="str">
        <f>Total!C67</f>
        <v>Pinky</v>
      </c>
      <c r="D64" s="115" t="str">
        <f>Total!D67</f>
        <v>Cheung Yin Ping</v>
      </c>
      <c r="E64" s="115" t="str">
        <f>Total!E67</f>
        <v>Autopay</v>
      </c>
      <c r="F64" s="115" t="str">
        <f>Total!F67</f>
        <v>Yau Tong Aeon</v>
      </c>
      <c r="G64" s="115" t="str">
        <f>Total!G67</f>
        <v>Mar/1,7-8,14-15</v>
      </c>
      <c r="H64" s="115">
        <f>Total!H67</f>
        <v>5</v>
      </c>
      <c r="I64" s="115">
        <f>Total!I67</f>
        <v>40</v>
      </c>
      <c r="J64" s="115">
        <f>Total!J67</f>
        <v>60</v>
      </c>
      <c r="K64" s="115">
        <f>Total!K67</f>
        <v>2400</v>
      </c>
      <c r="L64" s="115">
        <f>Total!L67</f>
        <v>10588</v>
      </c>
      <c r="M64" s="115">
        <f>Total!M67</f>
        <v>0</v>
      </c>
      <c r="N64" s="115">
        <f>Total!N67</f>
        <v>211.76</v>
      </c>
      <c r="O64" s="115">
        <f>Total!O67</f>
        <v>0</v>
      </c>
      <c r="P64" s="115">
        <f>Total!P67</f>
        <v>0</v>
      </c>
      <c r="Q64" s="115">
        <f>Total!Q67</f>
        <v>0</v>
      </c>
      <c r="R64" s="115">
        <f>Total!R67</f>
        <v>0</v>
      </c>
      <c r="S64" s="115">
        <f>Total!S67</f>
        <v>0</v>
      </c>
      <c r="T64" s="115">
        <f>Total!T67</f>
        <v>0</v>
      </c>
      <c r="U64" s="115">
        <f>Total!U67</f>
        <v>0</v>
      </c>
      <c r="V64" s="115">
        <f>Total!V67</f>
        <v>0</v>
      </c>
      <c r="W64" s="115">
        <f>Total!W67</f>
        <v>0</v>
      </c>
      <c r="X64" s="115">
        <f>Total!X67</f>
        <v>0</v>
      </c>
      <c r="Y64" s="115">
        <f>Total!Y67</f>
        <v>0</v>
      </c>
      <c r="Z64" s="115">
        <f>Total!Z67</f>
        <v>0</v>
      </c>
      <c r="AA64" s="115">
        <f>Total!AA67</f>
        <v>0</v>
      </c>
      <c r="AB64" s="115">
        <f>Total!AB67</f>
        <v>0</v>
      </c>
      <c r="AC64" s="115">
        <f>Total!AC67</f>
        <v>0</v>
      </c>
      <c r="AD64" s="115">
        <f>Total!AD67</f>
        <v>0</v>
      </c>
      <c r="AE64" s="115">
        <f>Total!AE67</f>
        <v>0</v>
      </c>
      <c r="AF64" s="115">
        <f>Total!AF67</f>
        <v>0</v>
      </c>
      <c r="AG64" s="115">
        <f>Total!AH67</f>
        <v>2612</v>
      </c>
      <c r="AO64" s="115" t="str">
        <f>表格1[[#Headers],[日本飯煲 RC-DS10K/18K]]</f>
        <v>日本飯煲 RC-DS10K/18K</v>
      </c>
      <c r="AP64" s="115" t="str">
        <f>表格1[[#Headers],[酵活炊電飯煲特佣 RC-18AMXH(W)]]</f>
        <v>酵活炊電飯煲特佣 RC-18AMXH(W)</v>
      </c>
      <c r="AQ64" s="115" t="str">
        <f>表格1[[#Headers],[嵌入式微波氣炸蒸焗爐特佣 EB-T500APW]]</f>
        <v>嵌入式微波氣炸蒸焗爐特佣 EB-T500APW</v>
      </c>
      <c r="AR64" s="115" t="str">
        <f>表格1[[#Headers],[蒸氣烤焗水波爐特佣 ER-VD7000HK(XK)]]</f>
        <v>蒸氣烤焗水波爐特佣 ER-VD7000HK(XK)</v>
      </c>
      <c r="AS64" s="115" t="str">
        <f>表格1[[#Headers],[TWDT21BU95 ]]</f>
        <v xml:space="preserve">TWDT21BU95 </v>
      </c>
      <c r="AT64" s="115" t="str">
        <f>表格1[[#Headers],[日式洗衣機一特佣 AW-Q800APH(WW)]]</f>
        <v>日式洗衣機一特佣 AW-Q800APH(WW)</v>
      </c>
      <c r="AU64" s="115" t="str">
        <f>表格1[[#Headers],[日式洗衣機二特佣 AW-Q801APH(WW)]]</f>
        <v>日式洗衣機二特佣 AW-Q801APH(WW)</v>
      </c>
      <c r="AV64" s="115" t="str">
        <f>表格1[[#Headers],[三門雪櫃特佣 GR-RM469WE-PGA(B3)]]</f>
        <v>三門雪櫃特佣 GR-RM469WE-PGA(B3)</v>
      </c>
      <c r="AW64" s="115" t="str">
        <f>表格1[[#Headers],[雙門雪櫃一特佣 GR-RB449WE-PMA(57)]]</f>
        <v>雙門雪櫃一特佣 GR-RB449WE-PMA(57)</v>
      </c>
      <c r="AX64" s="115" t="str">
        <f>表格1[[#Headers],[雙門雪櫃一特佣 GR-RB410WE-PMA(06)]]</f>
        <v>雙門雪櫃一特佣 GR-RB410WE-PMA(06)</v>
      </c>
      <c r="AY64" s="115" t="str">
        <f>表格1[[#Headers],[十字門雪櫃 GR-RF698WI]]</f>
        <v>十字門雪櫃 GR-RF698WI</v>
      </c>
      <c r="AZ64" s="115" t="str">
        <f>表格1[[#Headers],[水機 TWP-W2265THK(W)]]</f>
        <v>水機 TWP-W2265THK(W)</v>
      </c>
      <c r="BA64" s="115" t="str">
        <f>表格1[[#Headers],[抽濕機特佣]]</f>
        <v>抽濕機特佣</v>
      </c>
      <c r="BB64" s="115" t="str">
        <f>表格1[[#Headers],[(Fortress ONLY)TW-T25BZU115MWH(MG) ]]</f>
        <v>(Fortress ONLY)TW-T25BZU115MWH(MG) </v>
      </c>
      <c r="BC64" s="115" t="str">
        <f>表格1[[#Headers],[開門紅(三月)]]</f>
        <v>開門紅(三月)</v>
      </c>
      <c r="BD64" s="115" t="str">
        <f>表格1[[#Headers],[開門紅(第一季)]]</f>
        <v>開門紅(第一季)</v>
      </c>
      <c r="BE64" s="115" t="str">
        <f>表格1[[#Headers],[酵活炊電飯煲特佣 RC-18AMXH(W)]]</f>
        <v>酵活炊電飯煲特佣 RC-18AMXH(W)</v>
      </c>
    </row>
    <row r="65" spans="1:57" ht="26.25">
      <c r="A65" s="114">
        <v>63</v>
      </c>
      <c r="B65" s="114" t="str">
        <f t="shared" si="1"/>
        <v>2026-03 Toshiba</v>
      </c>
      <c r="C65" s="115" t="str">
        <f>Total!C70</f>
        <v>Jenny</v>
      </c>
      <c r="D65" s="115" t="str">
        <f>Total!D70</f>
        <v>Pang Kam Chun</v>
      </c>
      <c r="E65" s="115" t="str">
        <f>Total!E70</f>
        <v>Autopay</v>
      </c>
      <c r="F65" s="115" t="str">
        <f>Total!F70</f>
        <v>Training_2</v>
      </c>
      <c r="G65" s="115" t="str">
        <f>Total!G70</f>
        <v>Mar/24</v>
      </c>
      <c r="H65" s="115">
        <f>Total!H70</f>
        <v>1</v>
      </c>
      <c r="I65" s="115">
        <f>Total!I70</f>
        <v>7</v>
      </c>
      <c r="J65" s="115">
        <f>Total!J70</f>
        <v>50</v>
      </c>
      <c r="K65" s="115">
        <f>Total!K70</f>
        <v>350</v>
      </c>
      <c r="L65" s="115">
        <f>Total!L70</f>
        <v>0</v>
      </c>
      <c r="M65" s="115">
        <f>Total!M70</f>
        <v>0</v>
      </c>
      <c r="N65" s="115">
        <f>Total!N70</f>
        <v>0</v>
      </c>
      <c r="O65" s="115">
        <f>Total!O70</f>
        <v>0</v>
      </c>
      <c r="P65" s="115">
        <f>Total!P70</f>
        <v>0</v>
      </c>
      <c r="Q65" s="115">
        <f>Total!Q70</f>
        <v>0</v>
      </c>
      <c r="R65" s="115">
        <f>Total!R70</f>
        <v>0</v>
      </c>
      <c r="S65" s="115">
        <f>Total!S70</f>
        <v>0</v>
      </c>
      <c r="T65" s="115">
        <f>Total!T70</f>
        <v>0</v>
      </c>
      <c r="U65" s="115">
        <f>Total!U70</f>
        <v>0</v>
      </c>
      <c r="V65" s="115">
        <f>Total!V70</f>
        <v>0</v>
      </c>
      <c r="W65" s="115">
        <f>Total!W70</f>
        <v>0</v>
      </c>
      <c r="X65" s="115">
        <f>Total!X70</f>
        <v>0</v>
      </c>
      <c r="Y65" s="115">
        <f>Total!Y70</f>
        <v>0</v>
      </c>
      <c r="Z65" s="115">
        <f>Total!Z70</f>
        <v>0</v>
      </c>
      <c r="AA65" s="115">
        <f>Total!AA70</f>
        <v>0</v>
      </c>
      <c r="AB65" s="115">
        <f>Total!AB70</f>
        <v>0</v>
      </c>
      <c r="AC65" s="115">
        <f>Total!AC70</f>
        <v>0</v>
      </c>
      <c r="AD65" s="115">
        <f>Total!AD70</f>
        <v>0</v>
      </c>
      <c r="AE65" s="115">
        <f>Total!AE70</f>
        <v>0</v>
      </c>
      <c r="AF65" s="115">
        <f>Total!AF70</f>
        <v>0</v>
      </c>
      <c r="AG65" s="115">
        <f>Total!AH70</f>
        <v>350</v>
      </c>
      <c r="AO65" s="115" t="str">
        <f>表格1[[#Headers],[日本飯煲 RC-DS10K/18K]]</f>
        <v>日本飯煲 RC-DS10K/18K</v>
      </c>
      <c r="AP65" s="115" t="str">
        <f>表格1[[#Headers],[酵活炊電飯煲特佣 RC-18AMXH(W)]]</f>
        <v>酵活炊電飯煲特佣 RC-18AMXH(W)</v>
      </c>
      <c r="AQ65" s="115" t="str">
        <f>表格1[[#Headers],[嵌入式微波氣炸蒸焗爐特佣 EB-T500APW]]</f>
        <v>嵌入式微波氣炸蒸焗爐特佣 EB-T500APW</v>
      </c>
      <c r="AR65" s="115" t="str">
        <f>表格1[[#Headers],[蒸氣烤焗水波爐特佣 ER-VD7000HK(XK)]]</f>
        <v>蒸氣烤焗水波爐特佣 ER-VD7000HK(XK)</v>
      </c>
      <c r="AS65" s="115" t="str">
        <f>表格1[[#Headers],[TWDT21BU95 ]]</f>
        <v xml:space="preserve">TWDT21BU95 </v>
      </c>
      <c r="AT65" s="115" t="str">
        <f>表格1[[#Headers],[日式洗衣機一特佣 AW-Q800APH(WW)]]</f>
        <v>日式洗衣機一特佣 AW-Q800APH(WW)</v>
      </c>
      <c r="AU65" s="115" t="str">
        <f>表格1[[#Headers],[日式洗衣機二特佣 AW-Q801APH(WW)]]</f>
        <v>日式洗衣機二特佣 AW-Q801APH(WW)</v>
      </c>
      <c r="AV65" s="115" t="str">
        <f>表格1[[#Headers],[三門雪櫃特佣 GR-RM469WE-PGA(B3)]]</f>
        <v>三門雪櫃特佣 GR-RM469WE-PGA(B3)</v>
      </c>
      <c r="AW65" s="115" t="str">
        <f>表格1[[#Headers],[雙門雪櫃一特佣 GR-RB449WE-PMA(57)]]</f>
        <v>雙門雪櫃一特佣 GR-RB449WE-PMA(57)</v>
      </c>
      <c r="AX65" s="115" t="str">
        <f>表格1[[#Headers],[雙門雪櫃一特佣 GR-RB410WE-PMA(06)]]</f>
        <v>雙門雪櫃一特佣 GR-RB410WE-PMA(06)</v>
      </c>
      <c r="AY65" s="115" t="str">
        <f>表格1[[#Headers],[十字門雪櫃 GR-RF698WI]]</f>
        <v>十字門雪櫃 GR-RF698WI</v>
      </c>
      <c r="AZ65" s="115" t="str">
        <f>表格1[[#Headers],[水機 TWP-W2265THK(W)]]</f>
        <v>水機 TWP-W2265THK(W)</v>
      </c>
      <c r="BA65" s="115" t="str">
        <f>表格1[[#Headers],[抽濕機特佣]]</f>
        <v>抽濕機特佣</v>
      </c>
      <c r="BB65" s="115" t="str">
        <f>表格1[[#Headers],[(Fortress ONLY)TW-T25BZU115MWH(MG) ]]</f>
        <v>(Fortress ONLY)TW-T25BZU115MWH(MG) </v>
      </c>
      <c r="BC65" s="115" t="str">
        <f>表格1[[#Headers],[開門紅(三月)]]</f>
        <v>開門紅(三月)</v>
      </c>
      <c r="BD65" s="115" t="str">
        <f>表格1[[#Headers],[開門紅(第一季)]]</f>
        <v>開門紅(第一季)</v>
      </c>
      <c r="BE65" s="115" t="str">
        <f>表格1[[#Headers],[酵活炊電飯煲特佣 RC-18AMXH(W)]]</f>
        <v>酵活炊電飯煲特佣 RC-18AMXH(W)</v>
      </c>
    </row>
    <row r="66" spans="1:57" ht="26.25" hidden="1">
      <c r="A66" s="114">
        <v>65</v>
      </c>
      <c r="B66" s="114" t="str">
        <f t="shared" si="1"/>
        <v>2026-03 Toshiba</v>
      </c>
      <c r="C66" s="115" t="str">
        <f>Total!C72</f>
        <v>Hung</v>
      </c>
      <c r="D66" s="115" t="str">
        <f>Total!D72</f>
        <v>Hui Man Hung</v>
      </c>
      <c r="E66" s="115">
        <f>Total!E72</f>
        <v>20889</v>
      </c>
      <c r="F66" s="115">
        <f>Total!F72</f>
        <v>0</v>
      </c>
      <c r="G66" s="115">
        <f>Total!G72</f>
        <v>0</v>
      </c>
      <c r="H66" s="115">
        <f>Total!H72</f>
        <v>0</v>
      </c>
      <c r="I66" s="115">
        <f>Total!I72</f>
        <v>0</v>
      </c>
      <c r="J66" s="115">
        <f>Total!J72</f>
        <v>0</v>
      </c>
      <c r="K66" s="115">
        <f>Total!K72</f>
        <v>0</v>
      </c>
      <c r="L66" s="115">
        <f>Total!L72</f>
        <v>364140</v>
      </c>
      <c r="M66" s="115">
        <f>Total!M72</f>
        <v>0</v>
      </c>
      <c r="N66" s="115">
        <f>Total!N72</f>
        <v>7282.8</v>
      </c>
      <c r="O66" s="115" t="str">
        <f>Total!O72</f>
        <v xml:space="preserve"> </v>
      </c>
      <c r="P66" s="115">
        <f>Total!P72</f>
        <v>0</v>
      </c>
      <c r="Q66" s="115">
        <f>Total!Q72</f>
        <v>0</v>
      </c>
      <c r="R66" s="115">
        <f>Total!R72</f>
        <v>0</v>
      </c>
      <c r="S66" s="115">
        <f>Total!S72</f>
        <v>0</v>
      </c>
      <c r="T66" s="115">
        <f>Total!T72</f>
        <v>0</v>
      </c>
      <c r="U66" s="115">
        <f>Total!U72</f>
        <v>0</v>
      </c>
      <c r="V66" s="115">
        <f>Total!V72</f>
        <v>0</v>
      </c>
      <c r="W66" s="115">
        <f>Total!W72</f>
        <v>0</v>
      </c>
      <c r="X66" s="115">
        <f>Total!X72</f>
        <v>0</v>
      </c>
      <c r="Y66" s="115">
        <f>Total!Y72</f>
        <v>0</v>
      </c>
      <c r="Z66" s="115">
        <f>Total!Z72</f>
        <v>0</v>
      </c>
      <c r="AA66" s="115">
        <f>Total!AA72</f>
        <v>0</v>
      </c>
      <c r="AB66" s="115">
        <f>Total!AB72</f>
        <v>0</v>
      </c>
      <c r="AC66" s="115">
        <f>Total!AC72</f>
        <v>0</v>
      </c>
      <c r="AD66" s="115">
        <f>Total!AD72</f>
        <v>0</v>
      </c>
      <c r="AE66" s="115">
        <f>Total!AE72</f>
        <v>0</v>
      </c>
      <c r="AF66" s="115">
        <f>Total!AF72</f>
        <v>0</v>
      </c>
      <c r="AG66" s="115">
        <f>Total!AH72</f>
        <v>7283</v>
      </c>
      <c r="AO66" s="115" t="str">
        <f>表格1[[#Headers],[日本飯煲 RC-DS10K/18K]]</f>
        <v>日本飯煲 RC-DS10K/18K</v>
      </c>
      <c r="AP66" s="115" t="str">
        <f>表格1[[#Headers],[酵活炊電飯煲特佣 RC-18AMXH(W)]]</f>
        <v>酵活炊電飯煲特佣 RC-18AMXH(W)</v>
      </c>
      <c r="AQ66" s="115" t="str">
        <f>表格1[[#Headers],[嵌入式微波氣炸蒸焗爐特佣 EB-T500APW]]</f>
        <v>嵌入式微波氣炸蒸焗爐特佣 EB-T500APW</v>
      </c>
      <c r="AR66" s="115" t="str">
        <f>表格1[[#Headers],[蒸氣烤焗水波爐特佣 ER-VD7000HK(XK)]]</f>
        <v>蒸氣烤焗水波爐特佣 ER-VD7000HK(XK)</v>
      </c>
      <c r="AS66" s="115" t="str">
        <f>表格1[[#Headers],[TWDT21BU95 ]]</f>
        <v xml:space="preserve">TWDT21BU95 </v>
      </c>
      <c r="AT66" s="115" t="str">
        <f>表格1[[#Headers],[日式洗衣機一特佣 AW-Q800APH(WW)]]</f>
        <v>日式洗衣機一特佣 AW-Q800APH(WW)</v>
      </c>
      <c r="AU66" s="115" t="str">
        <f>表格1[[#Headers],[日式洗衣機二特佣 AW-Q801APH(WW)]]</f>
        <v>日式洗衣機二特佣 AW-Q801APH(WW)</v>
      </c>
      <c r="AV66" s="115" t="str">
        <f>表格1[[#Headers],[三門雪櫃特佣 GR-RM469WE-PGA(B3)]]</f>
        <v>三門雪櫃特佣 GR-RM469WE-PGA(B3)</v>
      </c>
      <c r="AW66" s="115" t="str">
        <f>表格1[[#Headers],[雙門雪櫃一特佣 GR-RB449WE-PMA(57)]]</f>
        <v>雙門雪櫃一特佣 GR-RB449WE-PMA(57)</v>
      </c>
      <c r="AX66" s="115" t="str">
        <f>表格1[[#Headers],[雙門雪櫃一特佣 GR-RB410WE-PMA(06)]]</f>
        <v>雙門雪櫃一特佣 GR-RB410WE-PMA(06)</v>
      </c>
      <c r="AY66" s="115" t="str">
        <f>表格1[[#Headers],[十字門雪櫃 GR-RF698WI]]</f>
        <v>十字門雪櫃 GR-RF698WI</v>
      </c>
      <c r="AZ66" s="115" t="str">
        <f>表格1[[#Headers],[水機 TWP-W2265THK(W)]]</f>
        <v>水機 TWP-W2265THK(W)</v>
      </c>
      <c r="BA66" s="115" t="str">
        <f>表格1[[#Headers],[抽濕機特佣]]</f>
        <v>抽濕機特佣</v>
      </c>
      <c r="BB66" s="115" t="str">
        <f>表格1[[#Headers],[(Fortress ONLY)TW-T25BZU115MWH(MG) ]]</f>
        <v>(Fortress ONLY)TW-T25BZU115MWH(MG) </v>
      </c>
      <c r="BC66" s="115" t="str">
        <f>表格1[[#Headers],[開門紅(三月)]]</f>
        <v>開門紅(三月)</v>
      </c>
      <c r="BD66" s="115" t="str">
        <f>表格1[[#Headers],[開門紅(第一季)]]</f>
        <v>開門紅(第一季)</v>
      </c>
      <c r="BE66" s="115" t="str">
        <f>表格1[[#Headers],[酵活炊電飯煲特佣 RC-18AMXH(W)]]</f>
        <v>酵活炊電飯煲特佣 RC-18AMXH(W)</v>
      </c>
    </row>
    <row r="67" spans="1:57" ht="26.25" hidden="1">
      <c r="A67" s="114">
        <v>66</v>
      </c>
      <c r="B67" s="114" t="str">
        <f t="shared" ref="B67:B87" si="2">B66</f>
        <v>2026-03 Toshiba</v>
      </c>
      <c r="C67" s="115" t="str">
        <f>Total!C73</f>
        <v>Connie</v>
      </c>
      <c r="D67" s="115" t="str">
        <f>Total!D73</f>
        <v xml:space="preserve">Chan Siu Mui </v>
      </c>
      <c r="E67" s="115">
        <f>Total!E73</f>
        <v>20890</v>
      </c>
      <c r="F67" s="115">
        <f>Total!F73</f>
        <v>0</v>
      </c>
      <c r="G67" s="115">
        <f>Total!G73</f>
        <v>0</v>
      </c>
      <c r="H67" s="115">
        <f>Total!H73</f>
        <v>0</v>
      </c>
      <c r="I67" s="115">
        <f>Total!I73</f>
        <v>0</v>
      </c>
      <c r="J67" s="115">
        <f>Total!J73</f>
        <v>0</v>
      </c>
      <c r="K67" s="115">
        <f>Total!K73</f>
        <v>0</v>
      </c>
      <c r="L67" s="115">
        <f>Total!L73</f>
        <v>102671</v>
      </c>
      <c r="M67" s="115">
        <f>Total!M73</f>
        <v>0</v>
      </c>
      <c r="N67" s="115">
        <f>Total!N73</f>
        <v>2053.42</v>
      </c>
      <c r="O67" s="115" t="str">
        <f>Total!O73</f>
        <v xml:space="preserve"> </v>
      </c>
      <c r="P67" s="115">
        <f>Total!P73</f>
        <v>0</v>
      </c>
      <c r="Q67" s="115">
        <f>Total!Q73</f>
        <v>0</v>
      </c>
      <c r="R67" s="115">
        <f>Total!R73</f>
        <v>0</v>
      </c>
      <c r="S67" s="115">
        <f>Total!S73</f>
        <v>0</v>
      </c>
      <c r="T67" s="115">
        <f>Total!T73</f>
        <v>0</v>
      </c>
      <c r="U67" s="115">
        <f>Total!U73</f>
        <v>0</v>
      </c>
      <c r="V67" s="115">
        <f>Total!V73</f>
        <v>0</v>
      </c>
      <c r="W67" s="115">
        <f>Total!W73</f>
        <v>0</v>
      </c>
      <c r="X67" s="115">
        <f>Total!X73</f>
        <v>0</v>
      </c>
      <c r="Y67" s="115">
        <f>Total!Y73</f>
        <v>0</v>
      </c>
      <c r="Z67" s="115">
        <f>Total!Z73</f>
        <v>0</v>
      </c>
      <c r="AA67" s="115">
        <f>Total!AA73</f>
        <v>0</v>
      </c>
      <c r="AB67" s="115">
        <f>Total!AB73</f>
        <v>0</v>
      </c>
      <c r="AC67" s="115">
        <f>Total!AC73</f>
        <v>0</v>
      </c>
      <c r="AD67" s="115">
        <f>Total!AD73</f>
        <v>0</v>
      </c>
      <c r="AE67" s="115">
        <f>Total!AE73</f>
        <v>0</v>
      </c>
      <c r="AF67" s="115">
        <f>Total!AF73</f>
        <v>0</v>
      </c>
      <c r="AG67" s="115">
        <f>Total!AH73</f>
        <v>2053</v>
      </c>
      <c r="AO67" s="115" t="str">
        <f>表格1[[#Headers],[日本飯煲 RC-DS10K/18K]]</f>
        <v>日本飯煲 RC-DS10K/18K</v>
      </c>
      <c r="AP67" s="115" t="str">
        <f>表格1[[#Headers],[酵活炊電飯煲特佣 RC-18AMXH(W)]]</f>
        <v>酵活炊電飯煲特佣 RC-18AMXH(W)</v>
      </c>
      <c r="AQ67" s="115" t="str">
        <f>表格1[[#Headers],[嵌入式微波氣炸蒸焗爐特佣 EB-T500APW]]</f>
        <v>嵌入式微波氣炸蒸焗爐特佣 EB-T500APW</v>
      </c>
      <c r="AR67" s="115" t="str">
        <f>表格1[[#Headers],[蒸氣烤焗水波爐特佣 ER-VD7000HK(XK)]]</f>
        <v>蒸氣烤焗水波爐特佣 ER-VD7000HK(XK)</v>
      </c>
      <c r="AS67" s="115" t="str">
        <f>表格1[[#Headers],[TWDT21BU95 ]]</f>
        <v xml:space="preserve">TWDT21BU95 </v>
      </c>
      <c r="AT67" s="115" t="str">
        <f>表格1[[#Headers],[日式洗衣機一特佣 AW-Q800APH(WW)]]</f>
        <v>日式洗衣機一特佣 AW-Q800APH(WW)</v>
      </c>
      <c r="AU67" s="115" t="str">
        <f>表格1[[#Headers],[日式洗衣機二特佣 AW-Q801APH(WW)]]</f>
        <v>日式洗衣機二特佣 AW-Q801APH(WW)</v>
      </c>
      <c r="AV67" s="115" t="str">
        <f>表格1[[#Headers],[三門雪櫃特佣 GR-RM469WE-PGA(B3)]]</f>
        <v>三門雪櫃特佣 GR-RM469WE-PGA(B3)</v>
      </c>
      <c r="AW67" s="115" t="str">
        <f>表格1[[#Headers],[雙門雪櫃一特佣 GR-RB449WE-PMA(57)]]</f>
        <v>雙門雪櫃一特佣 GR-RB449WE-PMA(57)</v>
      </c>
      <c r="AX67" s="115" t="str">
        <f>表格1[[#Headers],[雙門雪櫃一特佣 GR-RB410WE-PMA(06)]]</f>
        <v>雙門雪櫃一特佣 GR-RB410WE-PMA(06)</v>
      </c>
      <c r="AY67" s="115" t="str">
        <f>表格1[[#Headers],[十字門雪櫃 GR-RF698WI]]</f>
        <v>十字門雪櫃 GR-RF698WI</v>
      </c>
      <c r="AZ67" s="115" t="str">
        <f>表格1[[#Headers],[水機 TWP-W2265THK(W)]]</f>
        <v>水機 TWP-W2265THK(W)</v>
      </c>
      <c r="BA67" s="115" t="str">
        <f>表格1[[#Headers],[抽濕機特佣]]</f>
        <v>抽濕機特佣</v>
      </c>
      <c r="BB67" s="115" t="str">
        <f>表格1[[#Headers],[(Fortress ONLY)TW-T25BZU115MWH(MG) ]]</f>
        <v>(Fortress ONLY)TW-T25BZU115MWH(MG) </v>
      </c>
      <c r="BC67" s="115" t="str">
        <f>表格1[[#Headers],[開門紅(三月)]]</f>
        <v>開門紅(三月)</v>
      </c>
      <c r="BD67" s="115" t="str">
        <f>表格1[[#Headers],[開門紅(第一季)]]</f>
        <v>開門紅(第一季)</v>
      </c>
      <c r="BE67" s="115" t="str">
        <f>表格1[[#Headers],[酵活炊電飯煲特佣 RC-18AMXH(W)]]</f>
        <v>酵活炊電飯煲特佣 RC-18AMXH(W)</v>
      </c>
    </row>
    <row r="68" spans="1:57" ht="26.25" hidden="1">
      <c r="A68" s="114">
        <v>67</v>
      </c>
      <c r="B68" s="114" t="str">
        <f t="shared" si="2"/>
        <v>2026-03 Toshiba</v>
      </c>
      <c r="C68" s="115" t="str">
        <f>Total!C74</f>
        <v>Hung</v>
      </c>
      <c r="D68" s="115" t="str">
        <f>Total!D74</f>
        <v>Hui Man Hung</v>
      </c>
      <c r="E68" s="115">
        <f>Total!E74</f>
        <v>20891</v>
      </c>
      <c r="F68" s="115">
        <f>Total!F74</f>
        <v>0</v>
      </c>
      <c r="G68" s="115">
        <f>Total!G74</f>
        <v>0</v>
      </c>
      <c r="H68" s="115">
        <f>Total!H74</f>
        <v>0</v>
      </c>
      <c r="I68" s="115">
        <f>Total!I74</f>
        <v>0</v>
      </c>
      <c r="J68" s="115">
        <f>Total!J74</f>
        <v>0</v>
      </c>
      <c r="K68" s="115">
        <f>Total!K74</f>
        <v>0</v>
      </c>
      <c r="L68" s="115">
        <f>Total!L74</f>
        <v>0</v>
      </c>
      <c r="M68" s="115">
        <f>Total!M74</f>
        <v>0</v>
      </c>
      <c r="N68" s="115" t="str">
        <f>Total!N74</f>
        <v xml:space="preserve"> </v>
      </c>
      <c r="O68" s="115" t="str">
        <f>Total!O74</f>
        <v xml:space="preserve"> </v>
      </c>
      <c r="P68" s="115">
        <f>Total!P74</f>
        <v>0</v>
      </c>
      <c r="Q68" s="115">
        <f>Total!Q74</f>
        <v>0</v>
      </c>
      <c r="R68" s="115">
        <f>Total!R74</f>
        <v>0</v>
      </c>
      <c r="S68" s="115">
        <f>Total!S74</f>
        <v>0</v>
      </c>
      <c r="T68" s="115">
        <f>Total!T74</f>
        <v>0</v>
      </c>
      <c r="U68" s="115">
        <f>Total!U74</f>
        <v>0</v>
      </c>
      <c r="V68" s="115">
        <f>Total!V74</f>
        <v>0</v>
      </c>
      <c r="W68" s="115">
        <f>Total!W74</f>
        <v>0</v>
      </c>
      <c r="X68" s="115">
        <f>Total!X74</f>
        <v>0</v>
      </c>
      <c r="Y68" s="115">
        <f>Total!Y74</f>
        <v>0</v>
      </c>
      <c r="Z68" s="115">
        <f>Total!Z74</f>
        <v>0</v>
      </c>
      <c r="AA68" s="115">
        <f>Total!AA74</f>
        <v>0</v>
      </c>
      <c r="AB68" s="115">
        <f>Total!AB74</f>
        <v>0</v>
      </c>
      <c r="AC68" s="115">
        <f>Total!AC74</f>
        <v>0</v>
      </c>
      <c r="AD68" s="115">
        <f>Total!AD74</f>
        <v>500</v>
      </c>
      <c r="AE68" s="115">
        <f>Total!AE74</f>
        <v>1000</v>
      </c>
      <c r="AF68" s="115">
        <f>Total!AF74</f>
        <v>0</v>
      </c>
      <c r="AG68" s="115">
        <f>Total!AH74</f>
        <v>1500</v>
      </c>
      <c r="AO68" s="115" t="str">
        <f>表格1[[#Headers],[日本飯煲 RC-DS10K/18K]]</f>
        <v>日本飯煲 RC-DS10K/18K</v>
      </c>
      <c r="AP68" s="115" t="str">
        <f>表格1[[#Headers],[酵活炊電飯煲特佣 RC-18AMXH(W)]]</f>
        <v>酵活炊電飯煲特佣 RC-18AMXH(W)</v>
      </c>
      <c r="AQ68" s="115" t="str">
        <f>表格1[[#Headers],[嵌入式微波氣炸蒸焗爐特佣 EB-T500APW]]</f>
        <v>嵌入式微波氣炸蒸焗爐特佣 EB-T500APW</v>
      </c>
      <c r="AR68" s="115" t="str">
        <f>表格1[[#Headers],[蒸氣烤焗水波爐特佣 ER-VD7000HK(XK)]]</f>
        <v>蒸氣烤焗水波爐特佣 ER-VD7000HK(XK)</v>
      </c>
      <c r="AS68" s="115" t="str">
        <f>表格1[[#Headers],[TWDT21BU95 ]]</f>
        <v xml:space="preserve">TWDT21BU95 </v>
      </c>
      <c r="AT68" s="115" t="str">
        <f>表格1[[#Headers],[日式洗衣機一特佣 AW-Q800APH(WW)]]</f>
        <v>日式洗衣機一特佣 AW-Q800APH(WW)</v>
      </c>
      <c r="AU68" s="115" t="str">
        <f>表格1[[#Headers],[日式洗衣機二特佣 AW-Q801APH(WW)]]</f>
        <v>日式洗衣機二特佣 AW-Q801APH(WW)</v>
      </c>
      <c r="AV68" s="115" t="str">
        <f>表格1[[#Headers],[三門雪櫃特佣 GR-RM469WE-PGA(B3)]]</f>
        <v>三門雪櫃特佣 GR-RM469WE-PGA(B3)</v>
      </c>
      <c r="AW68" s="115" t="str">
        <f>表格1[[#Headers],[雙門雪櫃一特佣 GR-RB449WE-PMA(57)]]</f>
        <v>雙門雪櫃一特佣 GR-RB449WE-PMA(57)</v>
      </c>
      <c r="AX68" s="115" t="str">
        <f>表格1[[#Headers],[雙門雪櫃一特佣 GR-RB410WE-PMA(06)]]</f>
        <v>雙門雪櫃一特佣 GR-RB410WE-PMA(06)</v>
      </c>
      <c r="AY68" s="115" t="str">
        <f>表格1[[#Headers],[十字門雪櫃 GR-RF698WI]]</f>
        <v>十字門雪櫃 GR-RF698WI</v>
      </c>
      <c r="AZ68" s="115" t="str">
        <f>表格1[[#Headers],[水機 TWP-W2265THK(W)]]</f>
        <v>水機 TWP-W2265THK(W)</v>
      </c>
      <c r="BA68" s="115" t="str">
        <f>表格1[[#Headers],[抽濕機特佣]]</f>
        <v>抽濕機特佣</v>
      </c>
      <c r="BB68" s="115" t="str">
        <f>表格1[[#Headers],[(Fortress ONLY)TW-T25BZU115MWH(MG) ]]</f>
        <v>(Fortress ONLY)TW-T25BZU115MWH(MG) </v>
      </c>
      <c r="BC68" s="115" t="str">
        <f>表格1[[#Headers],[開門紅(三月)]]</f>
        <v>開門紅(三月)</v>
      </c>
      <c r="BD68" s="115" t="str">
        <f>表格1[[#Headers],[開門紅(第一季)]]</f>
        <v>開門紅(第一季)</v>
      </c>
      <c r="BE68" s="115" t="str">
        <f>表格1[[#Headers],[酵活炊電飯煲特佣 RC-18AMXH(W)]]</f>
        <v>酵活炊電飯煲特佣 RC-18AMXH(W)</v>
      </c>
    </row>
    <row r="69" spans="1:57" ht="26.25" hidden="1">
      <c r="A69" s="114">
        <v>68</v>
      </c>
      <c r="B69" s="114" t="str">
        <f t="shared" si="2"/>
        <v>2026-03 Toshiba</v>
      </c>
      <c r="C69" s="115" t="str">
        <f>Total!C75</f>
        <v>Kandy</v>
      </c>
      <c r="D69" s="115" t="str">
        <f>Total!D75</f>
        <v>Sin Hoi Yam</v>
      </c>
      <c r="E69" s="115">
        <f>Total!E75</f>
        <v>20907</v>
      </c>
      <c r="F69" s="115" t="str">
        <f>Total!F75</f>
        <v>TW Fortress</v>
      </c>
      <c r="G69" s="115" t="str">
        <f>Total!G75</f>
        <v>Mar/1,7-8,21-22,28-29</v>
      </c>
      <c r="H69" s="115">
        <f>Total!H75</f>
        <v>0</v>
      </c>
      <c r="I69" s="115">
        <f>Total!I75</f>
        <v>56</v>
      </c>
      <c r="J69" s="115">
        <f>Total!J75</f>
        <v>5</v>
      </c>
      <c r="K69" s="115">
        <f>Total!K75</f>
        <v>280</v>
      </c>
      <c r="L69" s="115">
        <f>Total!L75</f>
        <v>0</v>
      </c>
      <c r="M69" s="115">
        <f>Total!M75</f>
        <v>0</v>
      </c>
      <c r="N69" s="115" t="str">
        <f>Total!N75</f>
        <v xml:space="preserve"> </v>
      </c>
      <c r="O69" s="115" t="str">
        <f>Total!O75</f>
        <v xml:space="preserve"> </v>
      </c>
      <c r="P69" s="115">
        <f>Total!P75</f>
        <v>0</v>
      </c>
      <c r="Q69" s="115">
        <f>Total!Q75</f>
        <v>0</v>
      </c>
      <c r="R69" s="115">
        <f>Total!R75</f>
        <v>0</v>
      </c>
      <c r="S69" s="115">
        <f>Total!S75</f>
        <v>0</v>
      </c>
      <c r="T69" s="115">
        <f>Total!T75</f>
        <v>0</v>
      </c>
      <c r="U69" s="115">
        <f>Total!U75</f>
        <v>0</v>
      </c>
      <c r="V69" s="115">
        <f>Total!V75</f>
        <v>0</v>
      </c>
      <c r="W69" s="115">
        <f>Total!W75</f>
        <v>0</v>
      </c>
      <c r="X69" s="115">
        <f>Total!X75</f>
        <v>0</v>
      </c>
      <c r="Y69" s="115">
        <f>Total!Y75</f>
        <v>0</v>
      </c>
      <c r="Z69" s="115">
        <f>Total!Z75</f>
        <v>0</v>
      </c>
      <c r="AA69" s="115">
        <f>Total!AA75</f>
        <v>0</v>
      </c>
      <c r="AB69" s="115">
        <f>Total!AB75</f>
        <v>0</v>
      </c>
      <c r="AC69" s="115">
        <f>Total!AC75</f>
        <v>0</v>
      </c>
      <c r="AD69" s="115">
        <f>Total!AD75</f>
        <v>0</v>
      </c>
      <c r="AE69" s="115">
        <f>Total!AE75</f>
        <v>0</v>
      </c>
      <c r="AF69" s="115">
        <f>Total!AF75</f>
        <v>0</v>
      </c>
      <c r="AG69" s="115">
        <f>Total!AH75</f>
        <v>280</v>
      </c>
      <c r="AO69" s="115" t="str">
        <f>表格1[[#Headers],[日本飯煲 RC-DS10K/18K]]</f>
        <v>日本飯煲 RC-DS10K/18K</v>
      </c>
      <c r="AP69" s="115" t="str">
        <f>表格1[[#Headers],[酵活炊電飯煲特佣 RC-18AMXH(W)]]</f>
        <v>酵活炊電飯煲特佣 RC-18AMXH(W)</v>
      </c>
      <c r="AQ69" s="115" t="str">
        <f>表格1[[#Headers],[嵌入式微波氣炸蒸焗爐特佣 EB-T500APW]]</f>
        <v>嵌入式微波氣炸蒸焗爐特佣 EB-T500APW</v>
      </c>
      <c r="AR69" s="115" t="str">
        <f>表格1[[#Headers],[蒸氣烤焗水波爐特佣 ER-VD7000HK(XK)]]</f>
        <v>蒸氣烤焗水波爐特佣 ER-VD7000HK(XK)</v>
      </c>
      <c r="AS69" s="115" t="str">
        <f>表格1[[#Headers],[TWDT21BU95 ]]</f>
        <v xml:space="preserve">TWDT21BU95 </v>
      </c>
      <c r="AT69" s="115" t="str">
        <f>表格1[[#Headers],[日式洗衣機一特佣 AW-Q800APH(WW)]]</f>
        <v>日式洗衣機一特佣 AW-Q800APH(WW)</v>
      </c>
      <c r="AU69" s="115" t="str">
        <f>表格1[[#Headers],[日式洗衣機二特佣 AW-Q801APH(WW)]]</f>
        <v>日式洗衣機二特佣 AW-Q801APH(WW)</v>
      </c>
      <c r="AV69" s="115" t="str">
        <f>表格1[[#Headers],[三門雪櫃特佣 GR-RM469WE-PGA(B3)]]</f>
        <v>三門雪櫃特佣 GR-RM469WE-PGA(B3)</v>
      </c>
      <c r="AW69" s="115" t="str">
        <f>表格1[[#Headers],[雙門雪櫃一特佣 GR-RB449WE-PMA(57)]]</f>
        <v>雙門雪櫃一特佣 GR-RB449WE-PMA(57)</v>
      </c>
      <c r="AX69" s="115" t="str">
        <f>表格1[[#Headers],[雙門雪櫃一特佣 GR-RB410WE-PMA(06)]]</f>
        <v>雙門雪櫃一特佣 GR-RB410WE-PMA(06)</v>
      </c>
      <c r="AY69" s="115" t="str">
        <f>表格1[[#Headers],[十字門雪櫃 GR-RF698WI]]</f>
        <v>十字門雪櫃 GR-RF698WI</v>
      </c>
      <c r="AZ69" s="115" t="str">
        <f>表格1[[#Headers],[水機 TWP-W2265THK(W)]]</f>
        <v>水機 TWP-W2265THK(W)</v>
      </c>
      <c r="BA69" s="115" t="str">
        <f>表格1[[#Headers],[抽濕機特佣]]</f>
        <v>抽濕機特佣</v>
      </c>
      <c r="BB69" s="115" t="str">
        <f>表格1[[#Headers],[(Fortress ONLY)TW-T25BZU115MWH(MG) ]]</f>
        <v>(Fortress ONLY)TW-T25BZU115MWH(MG) </v>
      </c>
      <c r="BC69" s="115" t="str">
        <f>表格1[[#Headers],[開門紅(三月)]]</f>
        <v>開門紅(三月)</v>
      </c>
      <c r="BD69" s="115" t="str">
        <f>表格1[[#Headers],[開門紅(第一季)]]</f>
        <v>開門紅(第一季)</v>
      </c>
      <c r="BE69" s="115" t="str">
        <f>表格1[[#Headers],[酵活炊電飯煲特佣 RC-18AMXH(W)]]</f>
        <v>酵活炊電飯煲特佣 RC-18AMXH(W)</v>
      </c>
    </row>
    <row r="70" spans="1:57" ht="26.25" hidden="1">
      <c r="A70" s="97">
        <v>69</v>
      </c>
      <c r="B70" s="114" t="str">
        <f t="shared" si="2"/>
        <v>2026-03 Toshiba</v>
      </c>
      <c r="C70" s="115" t="str">
        <f>Total!C76</f>
        <v>Ho_3</v>
      </c>
      <c r="D70" s="115" t="str">
        <f>Total!D76</f>
        <v>Kwan Tit Ho</v>
      </c>
      <c r="E70" s="115">
        <f>Total!E76</f>
        <v>20962</v>
      </c>
      <c r="F70" s="115" t="str">
        <f>Total!F76</f>
        <v>補差價</v>
      </c>
      <c r="G70" s="115">
        <f>Total!G76</f>
        <v>0</v>
      </c>
      <c r="H70" s="115">
        <f>Total!H76</f>
        <v>0</v>
      </c>
      <c r="I70" s="115">
        <f>Total!I76</f>
        <v>32</v>
      </c>
      <c r="J70" s="115">
        <f>Total!J76</f>
        <v>5</v>
      </c>
      <c r="K70" s="115">
        <f>Total!K76</f>
        <v>160</v>
      </c>
      <c r="L70" s="115">
        <f>Total!L76</f>
        <v>0</v>
      </c>
      <c r="M70" s="115">
        <f>Total!M76</f>
        <v>0</v>
      </c>
      <c r="N70" s="115" t="str">
        <f>Total!N76</f>
        <v xml:space="preserve"> </v>
      </c>
      <c r="O70" s="115" t="str">
        <f>Total!O76</f>
        <v xml:space="preserve"> </v>
      </c>
      <c r="P70" s="115">
        <f>Total!P76</f>
        <v>0</v>
      </c>
      <c r="Q70" s="115">
        <f>Total!Q76</f>
        <v>0</v>
      </c>
      <c r="R70" s="115">
        <f>Total!R76</f>
        <v>0</v>
      </c>
      <c r="S70" s="115">
        <f>Total!S76</f>
        <v>0</v>
      </c>
      <c r="T70" s="115">
        <f>Total!T76</f>
        <v>0</v>
      </c>
      <c r="U70" s="115">
        <f>Total!U76</f>
        <v>0</v>
      </c>
      <c r="V70" s="115">
        <f>Total!V76</f>
        <v>0</v>
      </c>
      <c r="W70" s="115">
        <f>Total!W76</f>
        <v>0</v>
      </c>
      <c r="X70" s="115">
        <f>Total!X76</f>
        <v>0</v>
      </c>
      <c r="Y70" s="115">
        <f>Total!Y76</f>
        <v>0</v>
      </c>
      <c r="Z70" s="115">
        <f>Total!Z76</f>
        <v>0</v>
      </c>
      <c r="AA70" s="115">
        <f>Total!AA76</f>
        <v>0</v>
      </c>
      <c r="AB70" s="115">
        <f>Total!AB76</f>
        <v>0</v>
      </c>
      <c r="AC70" s="115">
        <f>Total!AC76</f>
        <v>0</v>
      </c>
      <c r="AD70" s="115">
        <f>Total!AD76</f>
        <v>0</v>
      </c>
      <c r="AE70" s="115">
        <f>Total!AE76</f>
        <v>0</v>
      </c>
      <c r="AF70" s="115">
        <f>Total!AF76</f>
        <v>0</v>
      </c>
      <c r="AG70" s="115">
        <f>Total!AH76</f>
        <v>160</v>
      </c>
      <c r="AO70" s="115" t="str">
        <f>表格1[[#Headers],[日本飯煲 RC-DS10K/18K]]</f>
        <v>日本飯煲 RC-DS10K/18K</v>
      </c>
      <c r="AP70" s="115" t="str">
        <f>表格1[[#Headers],[酵活炊電飯煲特佣 RC-18AMXH(W)]]</f>
        <v>酵活炊電飯煲特佣 RC-18AMXH(W)</v>
      </c>
      <c r="AQ70" s="115" t="str">
        <f>表格1[[#Headers],[嵌入式微波氣炸蒸焗爐特佣 EB-T500APW]]</f>
        <v>嵌入式微波氣炸蒸焗爐特佣 EB-T500APW</v>
      </c>
      <c r="AR70" s="115" t="str">
        <f>表格1[[#Headers],[蒸氣烤焗水波爐特佣 ER-VD7000HK(XK)]]</f>
        <v>蒸氣烤焗水波爐特佣 ER-VD7000HK(XK)</v>
      </c>
      <c r="AS70" s="115" t="str">
        <f>表格1[[#Headers],[TWDT21BU95 ]]</f>
        <v xml:space="preserve">TWDT21BU95 </v>
      </c>
      <c r="AT70" s="115" t="str">
        <f>表格1[[#Headers],[日式洗衣機一特佣 AW-Q800APH(WW)]]</f>
        <v>日式洗衣機一特佣 AW-Q800APH(WW)</v>
      </c>
      <c r="AU70" s="115" t="str">
        <f>表格1[[#Headers],[日式洗衣機二特佣 AW-Q801APH(WW)]]</f>
        <v>日式洗衣機二特佣 AW-Q801APH(WW)</v>
      </c>
      <c r="AV70" s="115" t="str">
        <f>表格1[[#Headers],[三門雪櫃特佣 GR-RM469WE-PGA(B3)]]</f>
        <v>三門雪櫃特佣 GR-RM469WE-PGA(B3)</v>
      </c>
      <c r="AW70" s="115" t="str">
        <f>表格1[[#Headers],[雙門雪櫃一特佣 GR-RB449WE-PMA(57)]]</f>
        <v>雙門雪櫃一特佣 GR-RB449WE-PMA(57)</v>
      </c>
      <c r="AX70" s="115" t="str">
        <f>表格1[[#Headers],[雙門雪櫃一特佣 GR-RB410WE-PMA(06)]]</f>
        <v>雙門雪櫃一特佣 GR-RB410WE-PMA(06)</v>
      </c>
      <c r="AY70" s="115" t="str">
        <f>表格1[[#Headers],[十字門雪櫃 GR-RF698WI]]</f>
        <v>十字門雪櫃 GR-RF698WI</v>
      </c>
      <c r="AZ70" s="115" t="str">
        <f>表格1[[#Headers],[水機 TWP-W2265THK(W)]]</f>
        <v>水機 TWP-W2265THK(W)</v>
      </c>
      <c r="BA70" s="115" t="str">
        <f>表格1[[#Headers],[抽濕機特佣]]</f>
        <v>抽濕機特佣</v>
      </c>
      <c r="BB70" s="115" t="str">
        <f>表格1[[#Headers],[(Fortress ONLY)TW-T25BZU115MWH(MG) ]]</f>
        <v>(Fortress ONLY)TW-T25BZU115MWH(MG) </v>
      </c>
      <c r="BC70" s="115" t="str">
        <f>表格1[[#Headers],[開門紅(三月)]]</f>
        <v>開門紅(三月)</v>
      </c>
      <c r="BD70" s="115" t="str">
        <f>表格1[[#Headers],[開門紅(第一季)]]</f>
        <v>開門紅(第一季)</v>
      </c>
      <c r="BE70" s="115" t="str">
        <f>表格1[[#Headers],[酵活炊電飯煲特佣 RC-18AMXH(W)]]</f>
        <v>酵活炊電飯煲特佣 RC-18AMXH(W)</v>
      </c>
    </row>
    <row r="71" spans="1:57" ht="26.25" hidden="1">
      <c r="A71" s="114">
        <v>70</v>
      </c>
      <c r="B71" s="114" t="str">
        <f t="shared" si="2"/>
        <v>2026-03 Toshiba</v>
      </c>
      <c r="C71" s="115" t="str">
        <f>Total!C77</f>
        <v>Hazel</v>
      </c>
      <c r="D71" s="115" t="str">
        <f>Total!D77</f>
        <v>Tan Xingfang</v>
      </c>
      <c r="E71" s="115">
        <f>Total!E77</f>
        <v>21015</v>
      </c>
      <c r="F71" s="115">
        <f>Total!F77</f>
        <v>0</v>
      </c>
      <c r="G71" s="115" t="str">
        <f>Total!G77</f>
        <v>補佣</v>
      </c>
      <c r="H71" s="115">
        <f>Total!H77</f>
        <v>0</v>
      </c>
      <c r="I71" s="115">
        <f>Total!I77</f>
        <v>0</v>
      </c>
      <c r="J71" s="115">
        <f>Total!J77</f>
        <v>0</v>
      </c>
      <c r="K71" s="115">
        <f>Total!K77</f>
        <v>0</v>
      </c>
      <c r="L71" s="115">
        <f>Total!L77</f>
        <v>0</v>
      </c>
      <c r="M71" s="115">
        <f>Total!M77</f>
        <v>0</v>
      </c>
      <c r="N71" s="115">
        <f>Total!N77</f>
        <v>313.2</v>
      </c>
      <c r="O71" s="115" t="str">
        <f>Total!O77</f>
        <v xml:space="preserve"> </v>
      </c>
      <c r="P71" s="115">
        <f>Total!P77</f>
        <v>0</v>
      </c>
      <c r="Q71" s="115">
        <f>Total!Q77</f>
        <v>0</v>
      </c>
      <c r="R71" s="115">
        <f>Total!R77</f>
        <v>0</v>
      </c>
      <c r="S71" s="115">
        <f>Total!S77</f>
        <v>0</v>
      </c>
      <c r="T71" s="115">
        <f>Total!T77</f>
        <v>0</v>
      </c>
      <c r="U71" s="115">
        <f>Total!U77</f>
        <v>0</v>
      </c>
      <c r="V71" s="115">
        <f>Total!V77</f>
        <v>0</v>
      </c>
      <c r="W71" s="115">
        <f>Total!W77</f>
        <v>0</v>
      </c>
      <c r="X71" s="115">
        <f>Total!X77</f>
        <v>0</v>
      </c>
      <c r="Y71" s="115">
        <f>Total!Y77</f>
        <v>0</v>
      </c>
      <c r="Z71" s="115">
        <f>Total!Z77</f>
        <v>0</v>
      </c>
      <c r="AA71" s="115">
        <f>Total!AA77</f>
        <v>0</v>
      </c>
      <c r="AB71" s="115">
        <f>Total!AB77</f>
        <v>0</v>
      </c>
      <c r="AC71" s="115">
        <f>Total!AC77</f>
        <v>0</v>
      </c>
      <c r="AD71" s="115">
        <f>Total!AD77</f>
        <v>0</v>
      </c>
      <c r="AE71" s="115">
        <f>Total!AE77</f>
        <v>0</v>
      </c>
      <c r="AF71" s="115">
        <f>Total!AF77</f>
        <v>0</v>
      </c>
      <c r="AG71" s="115">
        <f>Total!AH77</f>
        <v>313</v>
      </c>
      <c r="AO71" s="115" t="str">
        <f>表格1[[#Headers],[日本飯煲 RC-DS10K/18K]]</f>
        <v>日本飯煲 RC-DS10K/18K</v>
      </c>
      <c r="AP71" s="115" t="str">
        <f>表格1[[#Headers],[酵活炊電飯煲特佣 RC-18AMXH(W)]]</f>
        <v>酵活炊電飯煲特佣 RC-18AMXH(W)</v>
      </c>
      <c r="AQ71" s="115" t="str">
        <f>表格1[[#Headers],[嵌入式微波氣炸蒸焗爐特佣 EB-T500APW]]</f>
        <v>嵌入式微波氣炸蒸焗爐特佣 EB-T500APW</v>
      </c>
      <c r="AR71" s="115" t="str">
        <f>表格1[[#Headers],[蒸氣烤焗水波爐特佣 ER-VD7000HK(XK)]]</f>
        <v>蒸氣烤焗水波爐特佣 ER-VD7000HK(XK)</v>
      </c>
      <c r="AS71" s="115" t="str">
        <f>表格1[[#Headers],[TWDT21BU95 ]]</f>
        <v xml:space="preserve">TWDT21BU95 </v>
      </c>
      <c r="AT71" s="115" t="str">
        <f>表格1[[#Headers],[日式洗衣機一特佣 AW-Q800APH(WW)]]</f>
        <v>日式洗衣機一特佣 AW-Q800APH(WW)</v>
      </c>
      <c r="AU71" s="115" t="str">
        <f>表格1[[#Headers],[日式洗衣機二特佣 AW-Q801APH(WW)]]</f>
        <v>日式洗衣機二特佣 AW-Q801APH(WW)</v>
      </c>
      <c r="AV71" s="115" t="str">
        <f>表格1[[#Headers],[三門雪櫃特佣 GR-RM469WE-PGA(B3)]]</f>
        <v>三門雪櫃特佣 GR-RM469WE-PGA(B3)</v>
      </c>
      <c r="AW71" s="115" t="str">
        <f>表格1[[#Headers],[雙門雪櫃一特佣 GR-RB449WE-PMA(57)]]</f>
        <v>雙門雪櫃一特佣 GR-RB449WE-PMA(57)</v>
      </c>
      <c r="AX71" s="115" t="str">
        <f>表格1[[#Headers],[雙門雪櫃一特佣 GR-RB410WE-PMA(06)]]</f>
        <v>雙門雪櫃一特佣 GR-RB410WE-PMA(06)</v>
      </c>
      <c r="AY71" s="115" t="str">
        <f>表格1[[#Headers],[十字門雪櫃 GR-RF698WI]]</f>
        <v>十字門雪櫃 GR-RF698WI</v>
      </c>
      <c r="AZ71" s="115" t="str">
        <f>表格1[[#Headers],[水機 TWP-W2265THK(W)]]</f>
        <v>水機 TWP-W2265THK(W)</v>
      </c>
      <c r="BA71" s="115" t="str">
        <f>表格1[[#Headers],[抽濕機特佣]]</f>
        <v>抽濕機特佣</v>
      </c>
      <c r="BB71" s="115" t="str">
        <f>表格1[[#Headers],[(Fortress ONLY)TW-T25BZU115MWH(MG) ]]</f>
        <v>(Fortress ONLY)TW-T25BZU115MWH(MG) </v>
      </c>
      <c r="BC71" s="115" t="str">
        <f>表格1[[#Headers],[開門紅(三月)]]</f>
        <v>開門紅(三月)</v>
      </c>
      <c r="BD71" s="115" t="str">
        <f>表格1[[#Headers],[開門紅(第一季)]]</f>
        <v>開門紅(第一季)</v>
      </c>
      <c r="BE71" s="115" t="str">
        <f>表格1[[#Headers],[酵活炊電飯煲特佣 RC-18AMXH(W)]]</f>
        <v>酵活炊電飯煲特佣 RC-18AMXH(W)</v>
      </c>
    </row>
    <row r="72" spans="1:57" ht="26.25" hidden="1">
      <c r="A72" s="114">
        <v>71</v>
      </c>
      <c r="B72" s="114" t="str">
        <f t="shared" si="2"/>
        <v>2026-03 Toshiba</v>
      </c>
      <c r="C72" s="115">
        <f>Total!C78</f>
        <v>0</v>
      </c>
      <c r="D72" s="115">
        <f>Total!D78</f>
        <v>0</v>
      </c>
      <c r="E72" s="115">
        <f>Total!E78</f>
        <v>0</v>
      </c>
      <c r="F72" s="115">
        <f>Total!F78</f>
        <v>0</v>
      </c>
      <c r="G72" s="115">
        <f>Total!G78</f>
        <v>0</v>
      </c>
      <c r="H72" s="115">
        <f>Total!H78</f>
        <v>0</v>
      </c>
      <c r="I72" s="115">
        <f>Total!I78</f>
        <v>0</v>
      </c>
      <c r="J72" s="115">
        <f>Total!J78</f>
        <v>0</v>
      </c>
      <c r="K72" s="115">
        <f>Total!K78</f>
        <v>0</v>
      </c>
      <c r="L72" s="115">
        <f>Total!L78</f>
        <v>0</v>
      </c>
      <c r="M72" s="115">
        <f>Total!M78</f>
        <v>0</v>
      </c>
      <c r="N72" s="115">
        <f>Total!N78</f>
        <v>0</v>
      </c>
      <c r="O72" s="115">
        <f>Total!O78</f>
        <v>0</v>
      </c>
      <c r="P72" s="115">
        <f>Total!P78</f>
        <v>0</v>
      </c>
      <c r="Q72" s="115">
        <f>Total!Q78</f>
        <v>0</v>
      </c>
      <c r="R72" s="115">
        <f>Total!R78</f>
        <v>0</v>
      </c>
      <c r="S72" s="115">
        <f>Total!S78</f>
        <v>0</v>
      </c>
      <c r="T72" s="115">
        <f>Total!T78</f>
        <v>0</v>
      </c>
      <c r="U72" s="115">
        <f>Total!U78</f>
        <v>0</v>
      </c>
      <c r="V72" s="115">
        <f>Total!V78</f>
        <v>0</v>
      </c>
      <c r="W72" s="115">
        <f>Total!W78</f>
        <v>0</v>
      </c>
      <c r="X72" s="115">
        <f>Total!X78</f>
        <v>0</v>
      </c>
      <c r="Y72" s="115">
        <f>Total!Y78</f>
        <v>0</v>
      </c>
      <c r="Z72" s="115">
        <f>Total!Z78</f>
        <v>0</v>
      </c>
      <c r="AA72" s="115">
        <f>Total!AA78</f>
        <v>0</v>
      </c>
      <c r="AB72" s="115">
        <f>Total!AB78</f>
        <v>0</v>
      </c>
      <c r="AC72" s="115">
        <f>Total!AC78</f>
        <v>0</v>
      </c>
      <c r="AD72" s="115">
        <f>Total!AD78</f>
        <v>0</v>
      </c>
      <c r="AE72" s="115">
        <f>Total!AE78</f>
        <v>0</v>
      </c>
      <c r="AF72" s="115">
        <f>Total!AF78</f>
        <v>0</v>
      </c>
      <c r="AG72" s="115">
        <f>Total!AH78</f>
        <v>0</v>
      </c>
      <c r="AO72" s="115" t="str">
        <f>表格1[[#Headers],[日本飯煲 RC-DS10K/18K]]</f>
        <v>日本飯煲 RC-DS10K/18K</v>
      </c>
      <c r="AP72" s="115" t="str">
        <f>表格1[[#Headers],[酵活炊電飯煲特佣 RC-18AMXH(W)]]</f>
        <v>酵活炊電飯煲特佣 RC-18AMXH(W)</v>
      </c>
      <c r="AQ72" s="115" t="str">
        <f>表格1[[#Headers],[嵌入式微波氣炸蒸焗爐特佣 EB-T500APW]]</f>
        <v>嵌入式微波氣炸蒸焗爐特佣 EB-T500APW</v>
      </c>
      <c r="AR72" s="115" t="str">
        <f>表格1[[#Headers],[蒸氣烤焗水波爐特佣 ER-VD7000HK(XK)]]</f>
        <v>蒸氣烤焗水波爐特佣 ER-VD7000HK(XK)</v>
      </c>
      <c r="AS72" s="115" t="str">
        <f>表格1[[#Headers],[TWDT21BU95 ]]</f>
        <v xml:space="preserve">TWDT21BU95 </v>
      </c>
      <c r="AT72" s="115" t="str">
        <f>表格1[[#Headers],[日式洗衣機一特佣 AW-Q800APH(WW)]]</f>
        <v>日式洗衣機一特佣 AW-Q800APH(WW)</v>
      </c>
      <c r="AU72" s="115" t="str">
        <f>表格1[[#Headers],[日式洗衣機二特佣 AW-Q801APH(WW)]]</f>
        <v>日式洗衣機二特佣 AW-Q801APH(WW)</v>
      </c>
      <c r="AV72" s="115" t="str">
        <f>表格1[[#Headers],[三門雪櫃特佣 GR-RM469WE-PGA(B3)]]</f>
        <v>三門雪櫃特佣 GR-RM469WE-PGA(B3)</v>
      </c>
      <c r="AW72" s="115" t="str">
        <f>表格1[[#Headers],[雙門雪櫃一特佣 GR-RB449WE-PMA(57)]]</f>
        <v>雙門雪櫃一特佣 GR-RB449WE-PMA(57)</v>
      </c>
      <c r="AX72" s="115" t="str">
        <f>表格1[[#Headers],[雙門雪櫃一特佣 GR-RB410WE-PMA(06)]]</f>
        <v>雙門雪櫃一特佣 GR-RB410WE-PMA(06)</v>
      </c>
      <c r="AY72" s="115" t="str">
        <f>表格1[[#Headers],[十字門雪櫃 GR-RF698WI]]</f>
        <v>十字門雪櫃 GR-RF698WI</v>
      </c>
      <c r="AZ72" s="115" t="str">
        <f>表格1[[#Headers],[水機 TWP-W2265THK(W)]]</f>
        <v>水機 TWP-W2265THK(W)</v>
      </c>
      <c r="BA72" s="115" t="str">
        <f>表格1[[#Headers],[抽濕機特佣]]</f>
        <v>抽濕機特佣</v>
      </c>
      <c r="BB72" s="115" t="str">
        <f>表格1[[#Headers],[(Fortress ONLY)TW-T25BZU115MWH(MG) ]]</f>
        <v>(Fortress ONLY)TW-T25BZU115MWH(MG) </v>
      </c>
      <c r="BC72" s="115" t="str">
        <f>表格1[[#Headers],[開門紅(三月)]]</f>
        <v>開門紅(三月)</v>
      </c>
      <c r="BD72" s="115" t="str">
        <f>表格1[[#Headers],[開門紅(第一季)]]</f>
        <v>開門紅(第一季)</v>
      </c>
      <c r="BE72" s="115" t="str">
        <f>表格1[[#Headers],[酵活炊電飯煲特佣 RC-18AMXH(W)]]</f>
        <v>酵活炊電飯煲特佣 RC-18AMXH(W)</v>
      </c>
    </row>
    <row r="73" spans="1:57" ht="26.25" hidden="1">
      <c r="A73" s="116">
        <v>72</v>
      </c>
      <c r="B73" s="114" t="str">
        <f t="shared" si="2"/>
        <v>2026-03 Toshiba</v>
      </c>
      <c r="C73" s="115">
        <f>Total!C79</f>
        <v>0</v>
      </c>
      <c r="D73" s="115">
        <f>Total!D79</f>
        <v>0</v>
      </c>
      <c r="E73" s="115">
        <f>Total!E79</f>
        <v>0</v>
      </c>
      <c r="F73" s="115">
        <f>Total!F79</f>
        <v>0</v>
      </c>
      <c r="G73" s="115">
        <f>Total!G79</f>
        <v>0</v>
      </c>
      <c r="H73" s="115">
        <f>Total!H79</f>
        <v>0</v>
      </c>
      <c r="I73" s="115">
        <f>Total!I79</f>
        <v>0</v>
      </c>
      <c r="J73" s="115">
        <f>Total!J79</f>
        <v>0</v>
      </c>
      <c r="K73" s="115">
        <f>Total!K79</f>
        <v>0</v>
      </c>
      <c r="L73" s="115">
        <f>Total!L79</f>
        <v>0</v>
      </c>
      <c r="M73" s="115">
        <f>Total!M79</f>
        <v>0</v>
      </c>
      <c r="N73" s="115">
        <f>Total!N79</f>
        <v>0</v>
      </c>
      <c r="O73" s="115">
        <f>Total!O79</f>
        <v>0</v>
      </c>
      <c r="P73" s="115">
        <f>Total!P79</f>
        <v>0</v>
      </c>
      <c r="Q73" s="115">
        <f>Total!Q79</f>
        <v>0</v>
      </c>
      <c r="R73" s="115">
        <f>Total!R79</f>
        <v>0</v>
      </c>
      <c r="S73" s="115">
        <f>Total!S79</f>
        <v>0</v>
      </c>
      <c r="T73" s="115">
        <f>Total!T79</f>
        <v>0</v>
      </c>
      <c r="U73" s="115">
        <f>Total!U79</f>
        <v>0</v>
      </c>
      <c r="V73" s="115">
        <f>Total!V79</f>
        <v>0</v>
      </c>
      <c r="W73" s="115">
        <f>Total!W79</f>
        <v>0</v>
      </c>
      <c r="X73" s="115">
        <f>Total!X79</f>
        <v>0</v>
      </c>
      <c r="Y73" s="115">
        <f>Total!Y79</f>
        <v>0</v>
      </c>
      <c r="Z73" s="115">
        <f>Total!Z79</f>
        <v>0</v>
      </c>
      <c r="AA73" s="115">
        <f>Total!AA79</f>
        <v>0</v>
      </c>
      <c r="AB73" s="115">
        <f>Total!AB79</f>
        <v>0</v>
      </c>
      <c r="AC73" s="115">
        <f>Total!AC79</f>
        <v>0</v>
      </c>
      <c r="AD73" s="115">
        <f>Total!AD79</f>
        <v>0</v>
      </c>
      <c r="AE73" s="115">
        <f>Total!AE79</f>
        <v>0</v>
      </c>
      <c r="AF73" s="115">
        <f>Total!AF79</f>
        <v>0</v>
      </c>
      <c r="AG73" s="115">
        <f>Total!AH79</f>
        <v>0</v>
      </c>
      <c r="AO73" s="115" t="str">
        <f>表格1[[#Headers],[日本飯煲 RC-DS10K/18K]]</f>
        <v>日本飯煲 RC-DS10K/18K</v>
      </c>
      <c r="AP73" s="115" t="str">
        <f>表格1[[#Headers],[酵活炊電飯煲特佣 RC-18AMXH(W)]]</f>
        <v>酵活炊電飯煲特佣 RC-18AMXH(W)</v>
      </c>
      <c r="AQ73" s="115" t="str">
        <f>表格1[[#Headers],[嵌入式微波氣炸蒸焗爐特佣 EB-T500APW]]</f>
        <v>嵌入式微波氣炸蒸焗爐特佣 EB-T500APW</v>
      </c>
      <c r="AR73" s="115" t="str">
        <f>表格1[[#Headers],[蒸氣烤焗水波爐特佣 ER-VD7000HK(XK)]]</f>
        <v>蒸氣烤焗水波爐特佣 ER-VD7000HK(XK)</v>
      </c>
      <c r="AS73" s="115" t="str">
        <f>表格1[[#Headers],[TWDT21BU95 ]]</f>
        <v xml:space="preserve">TWDT21BU95 </v>
      </c>
      <c r="AT73" s="115" t="str">
        <f>表格1[[#Headers],[日式洗衣機一特佣 AW-Q800APH(WW)]]</f>
        <v>日式洗衣機一特佣 AW-Q800APH(WW)</v>
      </c>
      <c r="AU73" s="115" t="str">
        <f>表格1[[#Headers],[日式洗衣機二特佣 AW-Q801APH(WW)]]</f>
        <v>日式洗衣機二特佣 AW-Q801APH(WW)</v>
      </c>
      <c r="AV73" s="115" t="str">
        <f>表格1[[#Headers],[三門雪櫃特佣 GR-RM469WE-PGA(B3)]]</f>
        <v>三門雪櫃特佣 GR-RM469WE-PGA(B3)</v>
      </c>
      <c r="AW73" s="115" t="str">
        <f>表格1[[#Headers],[雙門雪櫃一特佣 GR-RB449WE-PMA(57)]]</f>
        <v>雙門雪櫃一特佣 GR-RB449WE-PMA(57)</v>
      </c>
      <c r="AX73" s="115" t="str">
        <f>表格1[[#Headers],[雙門雪櫃一特佣 GR-RB410WE-PMA(06)]]</f>
        <v>雙門雪櫃一特佣 GR-RB410WE-PMA(06)</v>
      </c>
      <c r="AY73" s="115" t="str">
        <f>表格1[[#Headers],[十字門雪櫃 GR-RF698WI]]</f>
        <v>十字門雪櫃 GR-RF698WI</v>
      </c>
      <c r="AZ73" s="115" t="str">
        <f>表格1[[#Headers],[水機 TWP-W2265THK(W)]]</f>
        <v>水機 TWP-W2265THK(W)</v>
      </c>
      <c r="BA73" s="115" t="str">
        <f>表格1[[#Headers],[抽濕機特佣]]</f>
        <v>抽濕機特佣</v>
      </c>
      <c r="BB73" s="115" t="str">
        <f>表格1[[#Headers],[(Fortress ONLY)TW-T25BZU115MWH(MG) ]]</f>
        <v>(Fortress ONLY)TW-T25BZU115MWH(MG) </v>
      </c>
      <c r="BC73" s="115" t="str">
        <f>表格1[[#Headers],[開門紅(三月)]]</f>
        <v>開門紅(三月)</v>
      </c>
      <c r="BD73" s="115" t="str">
        <f>表格1[[#Headers],[開門紅(第一季)]]</f>
        <v>開門紅(第一季)</v>
      </c>
      <c r="BE73" s="115" t="str">
        <f>表格1[[#Headers],[酵活炊電飯煲特佣 RC-18AMXH(W)]]</f>
        <v>酵活炊電飯煲特佣 RC-18AMXH(W)</v>
      </c>
    </row>
    <row r="74" spans="1:57" ht="26.25" hidden="1">
      <c r="A74" s="114">
        <v>73</v>
      </c>
      <c r="B74" s="114" t="str">
        <f t="shared" si="2"/>
        <v>2026-03 Toshiba</v>
      </c>
      <c r="C74" s="115">
        <f>Total!C80</f>
        <v>0</v>
      </c>
      <c r="D74" s="115">
        <f>Total!D80</f>
        <v>0</v>
      </c>
      <c r="E74" s="115">
        <f>Total!E80</f>
        <v>0</v>
      </c>
      <c r="F74" s="115">
        <f>Total!F80</f>
        <v>0</v>
      </c>
      <c r="G74" s="115">
        <f>Total!G80</f>
        <v>0</v>
      </c>
      <c r="H74" s="115">
        <f>Total!H80</f>
        <v>0</v>
      </c>
      <c r="I74" s="115">
        <f>Total!I80</f>
        <v>0</v>
      </c>
      <c r="J74" s="115">
        <f>Total!J80</f>
        <v>0</v>
      </c>
      <c r="K74" s="115">
        <f>Total!K80</f>
        <v>0</v>
      </c>
      <c r="L74" s="115">
        <f>Total!L80</f>
        <v>0</v>
      </c>
      <c r="M74" s="115">
        <f>Total!M80</f>
        <v>0</v>
      </c>
      <c r="N74" s="115">
        <f>Total!N80</f>
        <v>0</v>
      </c>
      <c r="O74" s="115">
        <f>Total!O80</f>
        <v>0</v>
      </c>
      <c r="P74" s="115">
        <f>Total!P80</f>
        <v>0</v>
      </c>
      <c r="Q74" s="115">
        <f>Total!Q80</f>
        <v>0</v>
      </c>
      <c r="R74" s="115">
        <f>Total!R80</f>
        <v>0</v>
      </c>
      <c r="S74" s="115">
        <f>Total!S80</f>
        <v>0</v>
      </c>
      <c r="T74" s="115">
        <f>Total!T80</f>
        <v>0</v>
      </c>
      <c r="U74" s="115">
        <f>Total!U80</f>
        <v>0</v>
      </c>
      <c r="V74" s="115">
        <f>Total!V80</f>
        <v>0</v>
      </c>
      <c r="W74" s="115">
        <f>Total!W80</f>
        <v>0</v>
      </c>
      <c r="X74" s="115">
        <f>Total!X80</f>
        <v>0</v>
      </c>
      <c r="Y74" s="115">
        <f>Total!Y80</f>
        <v>0</v>
      </c>
      <c r="Z74" s="115">
        <f>Total!Z80</f>
        <v>0</v>
      </c>
      <c r="AA74" s="115">
        <f>Total!AA80</f>
        <v>0</v>
      </c>
      <c r="AB74" s="115">
        <f>Total!AB80</f>
        <v>0</v>
      </c>
      <c r="AC74" s="115">
        <f>Total!AC80</f>
        <v>0</v>
      </c>
      <c r="AD74" s="115">
        <f>Total!AD80</f>
        <v>0</v>
      </c>
      <c r="AE74" s="115">
        <f>Total!AE80</f>
        <v>0</v>
      </c>
      <c r="AF74" s="115">
        <f>Total!AF80</f>
        <v>0</v>
      </c>
      <c r="AG74" s="115">
        <f>Total!AH80</f>
        <v>0</v>
      </c>
      <c r="AO74" s="115" t="str">
        <f>表格1[[#Headers],[日本飯煲 RC-DS10K/18K]]</f>
        <v>日本飯煲 RC-DS10K/18K</v>
      </c>
      <c r="AP74" s="115" t="str">
        <f>表格1[[#Headers],[酵活炊電飯煲特佣 RC-18AMXH(W)]]</f>
        <v>酵活炊電飯煲特佣 RC-18AMXH(W)</v>
      </c>
      <c r="AQ74" s="115" t="str">
        <f>表格1[[#Headers],[嵌入式微波氣炸蒸焗爐特佣 EB-T500APW]]</f>
        <v>嵌入式微波氣炸蒸焗爐特佣 EB-T500APW</v>
      </c>
      <c r="AR74" s="115" t="str">
        <f>表格1[[#Headers],[蒸氣烤焗水波爐特佣 ER-VD7000HK(XK)]]</f>
        <v>蒸氣烤焗水波爐特佣 ER-VD7000HK(XK)</v>
      </c>
      <c r="AS74" s="115" t="str">
        <f>表格1[[#Headers],[TWDT21BU95 ]]</f>
        <v xml:space="preserve">TWDT21BU95 </v>
      </c>
      <c r="AT74" s="115" t="str">
        <f>表格1[[#Headers],[日式洗衣機一特佣 AW-Q800APH(WW)]]</f>
        <v>日式洗衣機一特佣 AW-Q800APH(WW)</v>
      </c>
      <c r="AU74" s="115" t="str">
        <f>表格1[[#Headers],[日式洗衣機二特佣 AW-Q801APH(WW)]]</f>
        <v>日式洗衣機二特佣 AW-Q801APH(WW)</v>
      </c>
      <c r="AV74" s="115" t="str">
        <f>表格1[[#Headers],[三門雪櫃特佣 GR-RM469WE-PGA(B3)]]</f>
        <v>三門雪櫃特佣 GR-RM469WE-PGA(B3)</v>
      </c>
      <c r="AW74" s="115" t="str">
        <f>表格1[[#Headers],[雙門雪櫃一特佣 GR-RB449WE-PMA(57)]]</f>
        <v>雙門雪櫃一特佣 GR-RB449WE-PMA(57)</v>
      </c>
      <c r="AX74" s="115" t="str">
        <f>表格1[[#Headers],[雙門雪櫃一特佣 GR-RB410WE-PMA(06)]]</f>
        <v>雙門雪櫃一特佣 GR-RB410WE-PMA(06)</v>
      </c>
      <c r="AY74" s="115" t="str">
        <f>表格1[[#Headers],[十字門雪櫃 GR-RF698WI]]</f>
        <v>十字門雪櫃 GR-RF698WI</v>
      </c>
      <c r="AZ74" s="115" t="str">
        <f>表格1[[#Headers],[水機 TWP-W2265THK(W)]]</f>
        <v>水機 TWP-W2265THK(W)</v>
      </c>
      <c r="BA74" s="115" t="str">
        <f>表格1[[#Headers],[抽濕機特佣]]</f>
        <v>抽濕機特佣</v>
      </c>
      <c r="BB74" s="115" t="str">
        <f>表格1[[#Headers],[(Fortress ONLY)TW-T25BZU115MWH(MG) ]]</f>
        <v>(Fortress ONLY)TW-T25BZU115MWH(MG) </v>
      </c>
      <c r="BC74" s="115" t="str">
        <f>表格1[[#Headers],[開門紅(三月)]]</f>
        <v>開門紅(三月)</v>
      </c>
      <c r="BD74" s="115" t="str">
        <f>表格1[[#Headers],[開門紅(第一季)]]</f>
        <v>開門紅(第一季)</v>
      </c>
      <c r="BE74" s="115" t="str">
        <f>表格1[[#Headers],[酵活炊電飯煲特佣 RC-18AMXH(W)]]</f>
        <v>酵活炊電飯煲特佣 RC-18AMXH(W)</v>
      </c>
    </row>
    <row r="75" spans="1:57" ht="26.25" hidden="1">
      <c r="A75" s="114">
        <v>74</v>
      </c>
      <c r="B75" s="114" t="str">
        <f t="shared" si="2"/>
        <v>2026-03 Toshiba</v>
      </c>
      <c r="C75" s="115">
        <f>Total!C81</f>
        <v>0</v>
      </c>
      <c r="D75" s="115">
        <f>Total!D81</f>
        <v>0</v>
      </c>
      <c r="E75" s="115">
        <f>Total!E81</f>
        <v>0</v>
      </c>
      <c r="F75" s="115">
        <f>Total!F81</f>
        <v>0</v>
      </c>
      <c r="G75" s="115">
        <f>Total!G81</f>
        <v>0</v>
      </c>
      <c r="H75" s="115">
        <f>Total!H81</f>
        <v>0</v>
      </c>
      <c r="I75" s="115">
        <f>Total!I81</f>
        <v>0</v>
      </c>
      <c r="J75" s="115">
        <f>Total!J81</f>
        <v>0</v>
      </c>
      <c r="K75" s="115">
        <f>Total!K81</f>
        <v>0</v>
      </c>
      <c r="L75" s="115">
        <f>Total!L81</f>
        <v>0</v>
      </c>
      <c r="M75" s="115">
        <f>Total!M81</f>
        <v>0</v>
      </c>
      <c r="N75" s="115">
        <f>Total!N81</f>
        <v>0</v>
      </c>
      <c r="O75" s="115">
        <f>Total!O81</f>
        <v>0</v>
      </c>
      <c r="P75" s="115">
        <f>Total!P81</f>
        <v>0</v>
      </c>
      <c r="Q75" s="115">
        <f>Total!Q81</f>
        <v>0</v>
      </c>
      <c r="R75" s="115">
        <f>Total!R81</f>
        <v>0</v>
      </c>
      <c r="S75" s="115">
        <f>Total!S81</f>
        <v>0</v>
      </c>
      <c r="T75" s="115">
        <f>Total!T81</f>
        <v>0</v>
      </c>
      <c r="U75" s="115">
        <f>Total!U81</f>
        <v>0</v>
      </c>
      <c r="V75" s="115">
        <f>Total!V81</f>
        <v>0</v>
      </c>
      <c r="W75" s="115">
        <f>Total!W81</f>
        <v>0</v>
      </c>
      <c r="X75" s="115">
        <f>Total!X81</f>
        <v>0</v>
      </c>
      <c r="Y75" s="115">
        <f>Total!Y81</f>
        <v>0</v>
      </c>
      <c r="Z75" s="115">
        <f>Total!Z81</f>
        <v>0</v>
      </c>
      <c r="AA75" s="115">
        <f>Total!AA81</f>
        <v>0</v>
      </c>
      <c r="AB75" s="115">
        <f>Total!AB81</f>
        <v>0</v>
      </c>
      <c r="AC75" s="115">
        <f>Total!AC81</f>
        <v>0</v>
      </c>
      <c r="AD75" s="115">
        <f>Total!AD81</f>
        <v>0</v>
      </c>
      <c r="AE75" s="115">
        <f>Total!AE81</f>
        <v>0</v>
      </c>
      <c r="AF75" s="115">
        <f>Total!AF81</f>
        <v>0</v>
      </c>
      <c r="AG75" s="115">
        <f>Total!AH81</f>
        <v>0</v>
      </c>
      <c r="AO75" s="115" t="str">
        <f>表格1[[#Headers],[日本飯煲 RC-DS10K/18K]]</f>
        <v>日本飯煲 RC-DS10K/18K</v>
      </c>
      <c r="AP75" s="115" t="str">
        <f>表格1[[#Headers],[酵活炊電飯煲特佣 RC-18AMXH(W)]]</f>
        <v>酵活炊電飯煲特佣 RC-18AMXH(W)</v>
      </c>
      <c r="AQ75" s="115" t="str">
        <f>表格1[[#Headers],[嵌入式微波氣炸蒸焗爐特佣 EB-T500APW]]</f>
        <v>嵌入式微波氣炸蒸焗爐特佣 EB-T500APW</v>
      </c>
      <c r="AR75" s="115" t="str">
        <f>表格1[[#Headers],[蒸氣烤焗水波爐特佣 ER-VD7000HK(XK)]]</f>
        <v>蒸氣烤焗水波爐特佣 ER-VD7000HK(XK)</v>
      </c>
      <c r="AS75" s="115" t="str">
        <f>表格1[[#Headers],[TWDT21BU95 ]]</f>
        <v xml:space="preserve">TWDT21BU95 </v>
      </c>
      <c r="AT75" s="115" t="str">
        <f>表格1[[#Headers],[日式洗衣機一特佣 AW-Q800APH(WW)]]</f>
        <v>日式洗衣機一特佣 AW-Q800APH(WW)</v>
      </c>
      <c r="AU75" s="115" t="str">
        <f>表格1[[#Headers],[日式洗衣機二特佣 AW-Q801APH(WW)]]</f>
        <v>日式洗衣機二特佣 AW-Q801APH(WW)</v>
      </c>
      <c r="AV75" s="115" t="str">
        <f>表格1[[#Headers],[三門雪櫃特佣 GR-RM469WE-PGA(B3)]]</f>
        <v>三門雪櫃特佣 GR-RM469WE-PGA(B3)</v>
      </c>
      <c r="AW75" s="115" t="str">
        <f>表格1[[#Headers],[雙門雪櫃一特佣 GR-RB449WE-PMA(57)]]</f>
        <v>雙門雪櫃一特佣 GR-RB449WE-PMA(57)</v>
      </c>
      <c r="AX75" s="115" t="str">
        <f>表格1[[#Headers],[雙門雪櫃一特佣 GR-RB410WE-PMA(06)]]</f>
        <v>雙門雪櫃一特佣 GR-RB410WE-PMA(06)</v>
      </c>
      <c r="AY75" s="115" t="str">
        <f>表格1[[#Headers],[十字門雪櫃 GR-RF698WI]]</f>
        <v>十字門雪櫃 GR-RF698WI</v>
      </c>
      <c r="AZ75" s="115" t="str">
        <f>表格1[[#Headers],[水機 TWP-W2265THK(W)]]</f>
        <v>水機 TWP-W2265THK(W)</v>
      </c>
      <c r="BA75" s="115" t="str">
        <f>表格1[[#Headers],[抽濕機特佣]]</f>
        <v>抽濕機特佣</v>
      </c>
      <c r="BB75" s="115" t="str">
        <f>表格1[[#Headers],[(Fortress ONLY)TW-T25BZU115MWH(MG) ]]</f>
        <v>(Fortress ONLY)TW-T25BZU115MWH(MG) </v>
      </c>
      <c r="BC75" s="115" t="str">
        <f>表格1[[#Headers],[開門紅(三月)]]</f>
        <v>開門紅(三月)</v>
      </c>
      <c r="BD75" s="115" t="str">
        <f>表格1[[#Headers],[開門紅(第一季)]]</f>
        <v>開門紅(第一季)</v>
      </c>
      <c r="BE75" s="115" t="str">
        <f>表格1[[#Headers],[酵活炊電飯煲特佣 RC-18AMXH(W)]]</f>
        <v>酵活炊電飯煲特佣 RC-18AMXH(W)</v>
      </c>
    </row>
    <row r="76" spans="1:57" ht="26.25" hidden="1">
      <c r="A76" s="97">
        <v>75</v>
      </c>
      <c r="B76" s="114" t="str">
        <f t="shared" si="2"/>
        <v>2026-03 Toshiba</v>
      </c>
      <c r="C76" s="115">
        <f>Total!C82</f>
        <v>0</v>
      </c>
      <c r="D76" s="115">
        <f>Total!D82</f>
        <v>0</v>
      </c>
      <c r="E76" s="115">
        <f>Total!E82</f>
        <v>0</v>
      </c>
      <c r="F76" s="115">
        <f>Total!F82</f>
        <v>0</v>
      </c>
      <c r="G76" s="115">
        <f>Total!G82</f>
        <v>0</v>
      </c>
      <c r="H76" s="115">
        <f>Total!H82</f>
        <v>0</v>
      </c>
      <c r="I76" s="115">
        <f>Total!I82</f>
        <v>0</v>
      </c>
      <c r="J76" s="115">
        <f>Total!J82</f>
        <v>0</v>
      </c>
      <c r="K76" s="115">
        <f>Total!K82</f>
        <v>0</v>
      </c>
      <c r="L76" s="115">
        <f>Total!L82</f>
        <v>0</v>
      </c>
      <c r="M76" s="115">
        <f>Total!M82</f>
        <v>0</v>
      </c>
      <c r="N76" s="115">
        <f>Total!N82</f>
        <v>0</v>
      </c>
      <c r="O76" s="115">
        <f>Total!O82</f>
        <v>0</v>
      </c>
      <c r="P76" s="115">
        <f>Total!P82</f>
        <v>0</v>
      </c>
      <c r="Q76" s="115">
        <f>Total!Q82</f>
        <v>0</v>
      </c>
      <c r="R76" s="115">
        <f>Total!R82</f>
        <v>0</v>
      </c>
      <c r="S76" s="115">
        <f>Total!S82</f>
        <v>0</v>
      </c>
      <c r="T76" s="115">
        <f>Total!T82</f>
        <v>0</v>
      </c>
      <c r="U76" s="115">
        <f>Total!U82</f>
        <v>0</v>
      </c>
      <c r="V76" s="115">
        <f>Total!V82</f>
        <v>0</v>
      </c>
      <c r="W76" s="115">
        <f>Total!W82</f>
        <v>0</v>
      </c>
      <c r="X76" s="115">
        <f>Total!X82</f>
        <v>0</v>
      </c>
      <c r="Y76" s="115">
        <f>Total!Y82</f>
        <v>0</v>
      </c>
      <c r="Z76" s="115">
        <f>Total!Z82</f>
        <v>0</v>
      </c>
      <c r="AA76" s="115">
        <f>Total!AA82</f>
        <v>0</v>
      </c>
      <c r="AB76" s="115">
        <f>Total!AB82</f>
        <v>0</v>
      </c>
      <c r="AC76" s="115">
        <f>Total!AC82</f>
        <v>0</v>
      </c>
      <c r="AD76" s="115">
        <f>Total!AD82</f>
        <v>0</v>
      </c>
      <c r="AE76" s="115">
        <f>Total!AE82</f>
        <v>0</v>
      </c>
      <c r="AF76" s="115">
        <f>Total!AF82</f>
        <v>0</v>
      </c>
      <c r="AG76" s="115">
        <f>Total!AH82</f>
        <v>0</v>
      </c>
      <c r="AO76" s="115" t="str">
        <f>表格1[[#Headers],[日本飯煲 RC-DS10K/18K]]</f>
        <v>日本飯煲 RC-DS10K/18K</v>
      </c>
      <c r="AP76" s="115" t="str">
        <f>表格1[[#Headers],[酵活炊電飯煲特佣 RC-18AMXH(W)]]</f>
        <v>酵活炊電飯煲特佣 RC-18AMXH(W)</v>
      </c>
      <c r="AQ76" s="115" t="str">
        <f>表格1[[#Headers],[嵌入式微波氣炸蒸焗爐特佣 EB-T500APW]]</f>
        <v>嵌入式微波氣炸蒸焗爐特佣 EB-T500APW</v>
      </c>
      <c r="AR76" s="115" t="str">
        <f>表格1[[#Headers],[蒸氣烤焗水波爐特佣 ER-VD7000HK(XK)]]</f>
        <v>蒸氣烤焗水波爐特佣 ER-VD7000HK(XK)</v>
      </c>
      <c r="AS76" s="115" t="str">
        <f>表格1[[#Headers],[TWDT21BU95 ]]</f>
        <v xml:space="preserve">TWDT21BU95 </v>
      </c>
      <c r="AT76" s="115" t="str">
        <f>表格1[[#Headers],[日式洗衣機一特佣 AW-Q800APH(WW)]]</f>
        <v>日式洗衣機一特佣 AW-Q800APH(WW)</v>
      </c>
      <c r="AU76" s="115" t="str">
        <f>表格1[[#Headers],[日式洗衣機二特佣 AW-Q801APH(WW)]]</f>
        <v>日式洗衣機二特佣 AW-Q801APH(WW)</v>
      </c>
      <c r="AV76" s="115" t="str">
        <f>表格1[[#Headers],[三門雪櫃特佣 GR-RM469WE-PGA(B3)]]</f>
        <v>三門雪櫃特佣 GR-RM469WE-PGA(B3)</v>
      </c>
      <c r="AW76" s="115" t="str">
        <f>表格1[[#Headers],[雙門雪櫃一特佣 GR-RB449WE-PMA(57)]]</f>
        <v>雙門雪櫃一特佣 GR-RB449WE-PMA(57)</v>
      </c>
      <c r="AX76" s="115" t="str">
        <f>表格1[[#Headers],[雙門雪櫃一特佣 GR-RB410WE-PMA(06)]]</f>
        <v>雙門雪櫃一特佣 GR-RB410WE-PMA(06)</v>
      </c>
      <c r="AY76" s="115" t="str">
        <f>表格1[[#Headers],[十字門雪櫃 GR-RF698WI]]</f>
        <v>十字門雪櫃 GR-RF698WI</v>
      </c>
      <c r="AZ76" s="115" t="str">
        <f>表格1[[#Headers],[水機 TWP-W2265THK(W)]]</f>
        <v>水機 TWP-W2265THK(W)</v>
      </c>
      <c r="BA76" s="115" t="str">
        <f>表格1[[#Headers],[抽濕機特佣]]</f>
        <v>抽濕機特佣</v>
      </c>
      <c r="BB76" s="115" t="str">
        <f>表格1[[#Headers],[(Fortress ONLY)TW-T25BZU115MWH(MG) ]]</f>
        <v>(Fortress ONLY)TW-T25BZU115MWH(MG) </v>
      </c>
      <c r="BC76" s="115" t="str">
        <f>表格1[[#Headers],[開門紅(三月)]]</f>
        <v>開門紅(三月)</v>
      </c>
      <c r="BD76" s="115" t="str">
        <f>表格1[[#Headers],[開門紅(第一季)]]</f>
        <v>開門紅(第一季)</v>
      </c>
      <c r="BE76" s="115" t="str">
        <f>表格1[[#Headers],[酵活炊電飯煲特佣 RC-18AMXH(W)]]</f>
        <v>酵活炊電飯煲特佣 RC-18AMXH(W)</v>
      </c>
    </row>
    <row r="77" spans="1:57" ht="26.25" hidden="1">
      <c r="A77" s="114">
        <v>76</v>
      </c>
      <c r="B77" s="114" t="str">
        <f t="shared" si="2"/>
        <v>2026-03 Toshiba</v>
      </c>
      <c r="C77" s="115">
        <f>Total!C83</f>
        <v>0</v>
      </c>
      <c r="D77" s="115">
        <f>Total!D83</f>
        <v>0</v>
      </c>
      <c r="E77" s="115">
        <f>Total!E83</f>
        <v>0</v>
      </c>
      <c r="F77" s="115">
        <f>Total!F83</f>
        <v>0</v>
      </c>
      <c r="G77" s="115">
        <f>Total!G83</f>
        <v>0</v>
      </c>
      <c r="H77" s="115">
        <f>Total!H83</f>
        <v>0</v>
      </c>
      <c r="I77" s="115">
        <f>Total!I83</f>
        <v>0</v>
      </c>
      <c r="J77" s="115">
        <f>Total!J83</f>
        <v>0</v>
      </c>
      <c r="K77" s="115">
        <f>Total!K83</f>
        <v>0</v>
      </c>
      <c r="L77" s="115">
        <f>Total!L83</f>
        <v>0</v>
      </c>
      <c r="M77" s="115">
        <f>Total!M83</f>
        <v>0</v>
      </c>
      <c r="N77" s="115">
        <f>Total!N83</f>
        <v>0</v>
      </c>
      <c r="O77" s="115">
        <f>Total!O83</f>
        <v>0</v>
      </c>
      <c r="P77" s="115">
        <f>Total!P83</f>
        <v>0</v>
      </c>
      <c r="Q77" s="115">
        <f>Total!Q83</f>
        <v>0</v>
      </c>
      <c r="R77" s="115">
        <f>Total!R83</f>
        <v>0</v>
      </c>
      <c r="S77" s="115">
        <f>Total!S83</f>
        <v>0</v>
      </c>
      <c r="T77" s="115">
        <f>Total!T83</f>
        <v>0</v>
      </c>
      <c r="U77" s="115">
        <f>Total!U83</f>
        <v>0</v>
      </c>
      <c r="V77" s="115">
        <f>Total!V83</f>
        <v>0</v>
      </c>
      <c r="W77" s="115">
        <f>Total!W83</f>
        <v>0</v>
      </c>
      <c r="X77" s="115">
        <f>Total!X83</f>
        <v>0</v>
      </c>
      <c r="Y77" s="115">
        <f>Total!Y83</f>
        <v>0</v>
      </c>
      <c r="Z77" s="115">
        <f>Total!Z83</f>
        <v>0</v>
      </c>
      <c r="AA77" s="115">
        <f>Total!AA83</f>
        <v>0</v>
      </c>
      <c r="AB77" s="115">
        <f>Total!AB83</f>
        <v>0</v>
      </c>
      <c r="AC77" s="115">
        <f>Total!AC83</f>
        <v>0</v>
      </c>
      <c r="AD77" s="115">
        <f>Total!AD83</f>
        <v>0</v>
      </c>
      <c r="AE77" s="115">
        <f>Total!AE83</f>
        <v>0</v>
      </c>
      <c r="AF77" s="115">
        <f>Total!AF83</f>
        <v>0</v>
      </c>
      <c r="AG77" s="115">
        <f>Total!AH83</f>
        <v>0</v>
      </c>
      <c r="AO77" s="115" t="str">
        <f>表格1[[#Headers],[日本飯煲 RC-DS10K/18K]]</f>
        <v>日本飯煲 RC-DS10K/18K</v>
      </c>
      <c r="AP77" s="115" t="str">
        <f>表格1[[#Headers],[酵活炊電飯煲特佣 RC-18AMXH(W)]]</f>
        <v>酵活炊電飯煲特佣 RC-18AMXH(W)</v>
      </c>
      <c r="AQ77" s="115" t="str">
        <f>表格1[[#Headers],[嵌入式微波氣炸蒸焗爐特佣 EB-T500APW]]</f>
        <v>嵌入式微波氣炸蒸焗爐特佣 EB-T500APW</v>
      </c>
      <c r="AR77" s="115" t="str">
        <f>表格1[[#Headers],[蒸氣烤焗水波爐特佣 ER-VD7000HK(XK)]]</f>
        <v>蒸氣烤焗水波爐特佣 ER-VD7000HK(XK)</v>
      </c>
      <c r="AS77" s="115" t="str">
        <f>表格1[[#Headers],[TWDT21BU95 ]]</f>
        <v xml:space="preserve">TWDT21BU95 </v>
      </c>
      <c r="AT77" s="115" t="str">
        <f>表格1[[#Headers],[日式洗衣機一特佣 AW-Q800APH(WW)]]</f>
        <v>日式洗衣機一特佣 AW-Q800APH(WW)</v>
      </c>
      <c r="AU77" s="115" t="str">
        <f>表格1[[#Headers],[日式洗衣機二特佣 AW-Q801APH(WW)]]</f>
        <v>日式洗衣機二特佣 AW-Q801APH(WW)</v>
      </c>
      <c r="AV77" s="115" t="str">
        <f>表格1[[#Headers],[三門雪櫃特佣 GR-RM469WE-PGA(B3)]]</f>
        <v>三門雪櫃特佣 GR-RM469WE-PGA(B3)</v>
      </c>
      <c r="AW77" s="115" t="str">
        <f>表格1[[#Headers],[雙門雪櫃一特佣 GR-RB449WE-PMA(57)]]</f>
        <v>雙門雪櫃一特佣 GR-RB449WE-PMA(57)</v>
      </c>
      <c r="AX77" s="115" t="str">
        <f>表格1[[#Headers],[雙門雪櫃一特佣 GR-RB410WE-PMA(06)]]</f>
        <v>雙門雪櫃一特佣 GR-RB410WE-PMA(06)</v>
      </c>
      <c r="AY77" s="115" t="str">
        <f>表格1[[#Headers],[十字門雪櫃 GR-RF698WI]]</f>
        <v>十字門雪櫃 GR-RF698WI</v>
      </c>
      <c r="AZ77" s="115" t="str">
        <f>表格1[[#Headers],[水機 TWP-W2265THK(W)]]</f>
        <v>水機 TWP-W2265THK(W)</v>
      </c>
      <c r="BA77" s="115" t="str">
        <f>表格1[[#Headers],[抽濕機特佣]]</f>
        <v>抽濕機特佣</v>
      </c>
      <c r="BB77" s="115" t="str">
        <f>表格1[[#Headers],[(Fortress ONLY)TW-T25BZU115MWH(MG) ]]</f>
        <v>(Fortress ONLY)TW-T25BZU115MWH(MG) </v>
      </c>
      <c r="BC77" s="115" t="str">
        <f>表格1[[#Headers],[開門紅(三月)]]</f>
        <v>開門紅(三月)</v>
      </c>
      <c r="BD77" s="115" t="str">
        <f>表格1[[#Headers],[開門紅(第一季)]]</f>
        <v>開門紅(第一季)</v>
      </c>
      <c r="BE77" s="115" t="str">
        <f>表格1[[#Headers],[酵活炊電飯煲特佣 RC-18AMXH(W)]]</f>
        <v>酵活炊電飯煲特佣 RC-18AMXH(W)</v>
      </c>
    </row>
    <row r="78" spans="1:57" ht="26.25" hidden="1">
      <c r="A78" s="97">
        <v>77</v>
      </c>
      <c r="B78" s="114" t="str">
        <f t="shared" si="2"/>
        <v>2026-03 Toshiba</v>
      </c>
      <c r="C78" s="115">
        <f>Total!C84</f>
        <v>0</v>
      </c>
      <c r="D78" s="115">
        <f>Total!D84</f>
        <v>0</v>
      </c>
      <c r="E78" s="115">
        <f>Total!E84</f>
        <v>0</v>
      </c>
      <c r="F78" s="115">
        <f>Total!F84</f>
        <v>0</v>
      </c>
      <c r="G78" s="115">
        <f>Total!G84</f>
        <v>0</v>
      </c>
      <c r="H78" s="115">
        <f>Total!H84</f>
        <v>0</v>
      </c>
      <c r="I78" s="115">
        <f>Total!I84</f>
        <v>0</v>
      </c>
      <c r="J78" s="115">
        <f>Total!J84</f>
        <v>0</v>
      </c>
      <c r="K78" s="115">
        <f>Total!K84</f>
        <v>0</v>
      </c>
      <c r="L78" s="115">
        <f>Total!L84</f>
        <v>0</v>
      </c>
      <c r="M78" s="115">
        <f>Total!M84</f>
        <v>0</v>
      </c>
      <c r="N78" s="115">
        <f>Total!N84</f>
        <v>0</v>
      </c>
      <c r="O78" s="115">
        <f>Total!O84</f>
        <v>0</v>
      </c>
      <c r="P78" s="115">
        <f>Total!P84</f>
        <v>0</v>
      </c>
      <c r="Q78" s="115">
        <f>Total!Q84</f>
        <v>0</v>
      </c>
      <c r="R78" s="115">
        <f>Total!R84</f>
        <v>0</v>
      </c>
      <c r="S78" s="115">
        <f>Total!S84</f>
        <v>0</v>
      </c>
      <c r="T78" s="115">
        <f>Total!T84</f>
        <v>0</v>
      </c>
      <c r="U78" s="115">
        <f>Total!U84</f>
        <v>0</v>
      </c>
      <c r="V78" s="115">
        <f>Total!V84</f>
        <v>0</v>
      </c>
      <c r="W78" s="115">
        <f>Total!W84</f>
        <v>0</v>
      </c>
      <c r="X78" s="115">
        <f>Total!X84</f>
        <v>0</v>
      </c>
      <c r="Y78" s="115">
        <f>Total!Y84</f>
        <v>0</v>
      </c>
      <c r="Z78" s="115">
        <f>Total!Z84</f>
        <v>0</v>
      </c>
      <c r="AA78" s="115">
        <f>Total!AA84</f>
        <v>0</v>
      </c>
      <c r="AB78" s="115">
        <f>Total!AB84</f>
        <v>0</v>
      </c>
      <c r="AC78" s="115">
        <f>Total!AC84</f>
        <v>0</v>
      </c>
      <c r="AD78" s="115">
        <f>Total!AD84</f>
        <v>0</v>
      </c>
      <c r="AE78" s="115">
        <f>Total!AE84</f>
        <v>0</v>
      </c>
      <c r="AF78" s="115">
        <f>Total!AF84</f>
        <v>0</v>
      </c>
      <c r="AG78" s="115">
        <f>Total!AH84</f>
        <v>0</v>
      </c>
      <c r="AO78" s="115" t="str">
        <f>表格1[[#Headers],[日本飯煲 RC-DS10K/18K]]</f>
        <v>日本飯煲 RC-DS10K/18K</v>
      </c>
      <c r="AP78" s="115" t="str">
        <f>表格1[[#Headers],[酵活炊電飯煲特佣 RC-18AMXH(W)]]</f>
        <v>酵活炊電飯煲特佣 RC-18AMXH(W)</v>
      </c>
      <c r="AQ78" s="115" t="str">
        <f>表格1[[#Headers],[嵌入式微波氣炸蒸焗爐特佣 EB-T500APW]]</f>
        <v>嵌入式微波氣炸蒸焗爐特佣 EB-T500APW</v>
      </c>
      <c r="AR78" s="115" t="str">
        <f>表格1[[#Headers],[蒸氣烤焗水波爐特佣 ER-VD7000HK(XK)]]</f>
        <v>蒸氣烤焗水波爐特佣 ER-VD7000HK(XK)</v>
      </c>
      <c r="AS78" s="115" t="str">
        <f>表格1[[#Headers],[TWDT21BU95 ]]</f>
        <v xml:space="preserve">TWDT21BU95 </v>
      </c>
      <c r="AT78" s="115" t="str">
        <f>表格1[[#Headers],[日式洗衣機一特佣 AW-Q800APH(WW)]]</f>
        <v>日式洗衣機一特佣 AW-Q800APH(WW)</v>
      </c>
      <c r="AU78" s="115" t="str">
        <f>表格1[[#Headers],[日式洗衣機二特佣 AW-Q801APH(WW)]]</f>
        <v>日式洗衣機二特佣 AW-Q801APH(WW)</v>
      </c>
      <c r="AV78" s="115" t="str">
        <f>表格1[[#Headers],[三門雪櫃特佣 GR-RM469WE-PGA(B3)]]</f>
        <v>三門雪櫃特佣 GR-RM469WE-PGA(B3)</v>
      </c>
      <c r="AW78" s="115" t="str">
        <f>表格1[[#Headers],[雙門雪櫃一特佣 GR-RB449WE-PMA(57)]]</f>
        <v>雙門雪櫃一特佣 GR-RB449WE-PMA(57)</v>
      </c>
      <c r="AX78" s="115" t="str">
        <f>表格1[[#Headers],[雙門雪櫃一特佣 GR-RB410WE-PMA(06)]]</f>
        <v>雙門雪櫃一特佣 GR-RB410WE-PMA(06)</v>
      </c>
      <c r="AY78" s="115" t="str">
        <f>表格1[[#Headers],[十字門雪櫃 GR-RF698WI]]</f>
        <v>十字門雪櫃 GR-RF698WI</v>
      </c>
      <c r="AZ78" s="115" t="str">
        <f>表格1[[#Headers],[水機 TWP-W2265THK(W)]]</f>
        <v>水機 TWP-W2265THK(W)</v>
      </c>
      <c r="BA78" s="115" t="str">
        <f>表格1[[#Headers],[抽濕機特佣]]</f>
        <v>抽濕機特佣</v>
      </c>
      <c r="BB78" s="115" t="str">
        <f>表格1[[#Headers],[(Fortress ONLY)TW-T25BZU115MWH(MG) ]]</f>
        <v>(Fortress ONLY)TW-T25BZU115MWH(MG) </v>
      </c>
      <c r="BC78" s="115" t="str">
        <f>表格1[[#Headers],[開門紅(三月)]]</f>
        <v>開門紅(三月)</v>
      </c>
      <c r="BD78" s="115" t="str">
        <f>表格1[[#Headers],[開門紅(第一季)]]</f>
        <v>開門紅(第一季)</v>
      </c>
      <c r="BE78" s="115" t="str">
        <f>表格1[[#Headers],[酵活炊電飯煲特佣 RC-18AMXH(W)]]</f>
        <v>酵活炊電飯煲特佣 RC-18AMXH(W)</v>
      </c>
    </row>
    <row r="79" spans="1:57" ht="26.25" hidden="1">
      <c r="A79" s="114">
        <v>78</v>
      </c>
      <c r="B79" s="114" t="str">
        <f t="shared" si="2"/>
        <v>2026-03 Toshiba</v>
      </c>
      <c r="C79" s="115">
        <f>Total!C85</f>
        <v>0</v>
      </c>
      <c r="D79" s="115">
        <f>Total!D85</f>
        <v>0</v>
      </c>
      <c r="E79" s="115">
        <f>Total!E85</f>
        <v>0</v>
      </c>
      <c r="F79" s="115">
        <f>Total!F85</f>
        <v>0</v>
      </c>
      <c r="G79" s="115">
        <f>Total!G85</f>
        <v>0</v>
      </c>
      <c r="H79" s="115">
        <f>Total!H85</f>
        <v>0</v>
      </c>
      <c r="I79" s="115">
        <f>Total!I85</f>
        <v>0</v>
      </c>
      <c r="J79" s="115">
        <f>Total!J85</f>
        <v>0</v>
      </c>
      <c r="K79" s="115">
        <f>Total!K85</f>
        <v>0</v>
      </c>
      <c r="L79" s="115">
        <f>Total!L85</f>
        <v>0</v>
      </c>
      <c r="M79" s="115">
        <f>Total!M85</f>
        <v>0</v>
      </c>
      <c r="N79" s="115">
        <f>Total!N85</f>
        <v>0</v>
      </c>
      <c r="O79" s="115">
        <f>Total!O85</f>
        <v>0</v>
      </c>
      <c r="P79" s="115">
        <f>Total!P85</f>
        <v>0</v>
      </c>
      <c r="Q79" s="115">
        <f>Total!Q85</f>
        <v>0</v>
      </c>
      <c r="R79" s="115">
        <f>Total!R85</f>
        <v>0</v>
      </c>
      <c r="S79" s="115">
        <f>Total!S85</f>
        <v>0</v>
      </c>
      <c r="T79" s="115">
        <f>Total!T85</f>
        <v>0</v>
      </c>
      <c r="U79" s="115">
        <f>Total!U85</f>
        <v>0</v>
      </c>
      <c r="V79" s="115">
        <f>Total!V85</f>
        <v>0</v>
      </c>
      <c r="W79" s="115">
        <f>Total!W85</f>
        <v>0</v>
      </c>
      <c r="X79" s="115">
        <f>Total!X85</f>
        <v>0</v>
      </c>
      <c r="Y79" s="115">
        <f>Total!Y85</f>
        <v>0</v>
      </c>
      <c r="Z79" s="115">
        <f>Total!Z85</f>
        <v>0</v>
      </c>
      <c r="AA79" s="115">
        <f>Total!AA85</f>
        <v>0</v>
      </c>
      <c r="AB79" s="115">
        <f>Total!AB85</f>
        <v>0</v>
      </c>
      <c r="AC79" s="115">
        <f>Total!AC85</f>
        <v>0</v>
      </c>
      <c r="AD79" s="115">
        <f>Total!AD85</f>
        <v>0</v>
      </c>
      <c r="AE79" s="115">
        <f>Total!AE85</f>
        <v>0</v>
      </c>
      <c r="AF79" s="115">
        <f>Total!AF85</f>
        <v>0</v>
      </c>
      <c r="AG79" s="115">
        <f>Total!AH85</f>
        <v>0</v>
      </c>
      <c r="AO79" s="115" t="str">
        <f>表格1[[#Headers],[日本飯煲 RC-DS10K/18K]]</f>
        <v>日本飯煲 RC-DS10K/18K</v>
      </c>
      <c r="AP79" s="115" t="str">
        <f>表格1[[#Headers],[酵活炊電飯煲特佣 RC-18AMXH(W)]]</f>
        <v>酵活炊電飯煲特佣 RC-18AMXH(W)</v>
      </c>
      <c r="AQ79" s="115" t="str">
        <f>表格1[[#Headers],[嵌入式微波氣炸蒸焗爐特佣 EB-T500APW]]</f>
        <v>嵌入式微波氣炸蒸焗爐特佣 EB-T500APW</v>
      </c>
      <c r="AR79" s="115" t="str">
        <f>表格1[[#Headers],[蒸氣烤焗水波爐特佣 ER-VD7000HK(XK)]]</f>
        <v>蒸氣烤焗水波爐特佣 ER-VD7000HK(XK)</v>
      </c>
      <c r="AS79" s="115" t="str">
        <f>表格1[[#Headers],[TWDT21BU95 ]]</f>
        <v xml:space="preserve">TWDT21BU95 </v>
      </c>
      <c r="AT79" s="115" t="str">
        <f>表格1[[#Headers],[日式洗衣機一特佣 AW-Q800APH(WW)]]</f>
        <v>日式洗衣機一特佣 AW-Q800APH(WW)</v>
      </c>
      <c r="AU79" s="115" t="str">
        <f>表格1[[#Headers],[日式洗衣機二特佣 AW-Q801APH(WW)]]</f>
        <v>日式洗衣機二特佣 AW-Q801APH(WW)</v>
      </c>
      <c r="AV79" s="115" t="str">
        <f>表格1[[#Headers],[三門雪櫃特佣 GR-RM469WE-PGA(B3)]]</f>
        <v>三門雪櫃特佣 GR-RM469WE-PGA(B3)</v>
      </c>
      <c r="AW79" s="115" t="str">
        <f>表格1[[#Headers],[雙門雪櫃一特佣 GR-RB449WE-PMA(57)]]</f>
        <v>雙門雪櫃一特佣 GR-RB449WE-PMA(57)</v>
      </c>
      <c r="AX79" s="115" t="str">
        <f>表格1[[#Headers],[雙門雪櫃一特佣 GR-RB410WE-PMA(06)]]</f>
        <v>雙門雪櫃一特佣 GR-RB410WE-PMA(06)</v>
      </c>
      <c r="AY79" s="115" t="str">
        <f>表格1[[#Headers],[十字門雪櫃 GR-RF698WI]]</f>
        <v>十字門雪櫃 GR-RF698WI</v>
      </c>
      <c r="AZ79" s="115" t="str">
        <f>表格1[[#Headers],[水機 TWP-W2265THK(W)]]</f>
        <v>水機 TWP-W2265THK(W)</v>
      </c>
      <c r="BA79" s="115" t="str">
        <f>表格1[[#Headers],[抽濕機特佣]]</f>
        <v>抽濕機特佣</v>
      </c>
      <c r="BB79" s="115" t="str">
        <f>表格1[[#Headers],[(Fortress ONLY)TW-T25BZU115MWH(MG) ]]</f>
        <v>(Fortress ONLY)TW-T25BZU115MWH(MG) </v>
      </c>
      <c r="BC79" s="115" t="str">
        <f>表格1[[#Headers],[開門紅(三月)]]</f>
        <v>開門紅(三月)</v>
      </c>
      <c r="BD79" s="115" t="str">
        <f>表格1[[#Headers],[開門紅(第一季)]]</f>
        <v>開門紅(第一季)</v>
      </c>
      <c r="BE79" s="115" t="str">
        <f>表格1[[#Headers],[酵活炊電飯煲特佣 RC-18AMXH(W)]]</f>
        <v>酵活炊電飯煲特佣 RC-18AMXH(W)</v>
      </c>
    </row>
    <row r="80" spans="1:57" ht="26.25" hidden="1">
      <c r="A80" s="97">
        <v>79</v>
      </c>
      <c r="B80" s="114" t="str">
        <f t="shared" si="2"/>
        <v>2026-03 Toshiba</v>
      </c>
      <c r="C80" s="115">
        <f>Total!C86</f>
        <v>0</v>
      </c>
      <c r="D80" s="115">
        <f>Total!D86</f>
        <v>0</v>
      </c>
      <c r="E80" s="115">
        <f>Total!E86</f>
        <v>0</v>
      </c>
      <c r="F80" s="115">
        <f>Total!F86</f>
        <v>0</v>
      </c>
      <c r="G80" s="115">
        <f>Total!G86</f>
        <v>0</v>
      </c>
      <c r="H80" s="115">
        <f>Total!H86</f>
        <v>0</v>
      </c>
      <c r="I80" s="115">
        <f>Total!I86</f>
        <v>0</v>
      </c>
      <c r="J80" s="115">
        <f>Total!J86</f>
        <v>0</v>
      </c>
      <c r="K80" s="115">
        <f>Total!K86</f>
        <v>0</v>
      </c>
      <c r="L80" s="115">
        <f>Total!L86</f>
        <v>0</v>
      </c>
      <c r="M80" s="115">
        <f>Total!M86</f>
        <v>0</v>
      </c>
      <c r="N80" s="115">
        <f>Total!N86</f>
        <v>0</v>
      </c>
      <c r="O80" s="115">
        <f>Total!O86</f>
        <v>0</v>
      </c>
      <c r="P80" s="115">
        <f>Total!P86</f>
        <v>0</v>
      </c>
      <c r="Q80" s="115">
        <f>Total!Q86</f>
        <v>0</v>
      </c>
      <c r="R80" s="115">
        <f>Total!R86</f>
        <v>0</v>
      </c>
      <c r="S80" s="115">
        <f>Total!S86</f>
        <v>0</v>
      </c>
      <c r="T80" s="115">
        <f>Total!T86</f>
        <v>0</v>
      </c>
      <c r="U80" s="115">
        <f>Total!U86</f>
        <v>0</v>
      </c>
      <c r="V80" s="115">
        <f>Total!V86</f>
        <v>0</v>
      </c>
      <c r="W80" s="115">
        <f>Total!W86</f>
        <v>0</v>
      </c>
      <c r="X80" s="115">
        <f>Total!X86</f>
        <v>0</v>
      </c>
      <c r="Y80" s="115">
        <f>Total!Y86</f>
        <v>0</v>
      </c>
      <c r="Z80" s="115">
        <f>Total!Z86</f>
        <v>0</v>
      </c>
      <c r="AA80" s="115">
        <f>Total!AA86</f>
        <v>0</v>
      </c>
      <c r="AB80" s="115">
        <f>Total!AB86</f>
        <v>0</v>
      </c>
      <c r="AC80" s="115">
        <f>Total!AC86</f>
        <v>0</v>
      </c>
      <c r="AD80" s="115">
        <f>Total!AD86</f>
        <v>0</v>
      </c>
      <c r="AE80" s="115">
        <f>Total!AE86</f>
        <v>0</v>
      </c>
      <c r="AF80" s="115">
        <f>Total!AF86</f>
        <v>0</v>
      </c>
      <c r="AG80" s="115">
        <f>Total!AH86</f>
        <v>0</v>
      </c>
      <c r="AO80" s="115" t="str">
        <f>表格1[[#Headers],[日本飯煲 RC-DS10K/18K]]</f>
        <v>日本飯煲 RC-DS10K/18K</v>
      </c>
      <c r="AP80" s="115" t="str">
        <f>表格1[[#Headers],[酵活炊電飯煲特佣 RC-18AMXH(W)]]</f>
        <v>酵活炊電飯煲特佣 RC-18AMXH(W)</v>
      </c>
      <c r="AQ80" s="115" t="str">
        <f>表格1[[#Headers],[嵌入式微波氣炸蒸焗爐特佣 EB-T500APW]]</f>
        <v>嵌入式微波氣炸蒸焗爐特佣 EB-T500APW</v>
      </c>
      <c r="AR80" s="115" t="str">
        <f>表格1[[#Headers],[蒸氣烤焗水波爐特佣 ER-VD7000HK(XK)]]</f>
        <v>蒸氣烤焗水波爐特佣 ER-VD7000HK(XK)</v>
      </c>
      <c r="AS80" s="115" t="str">
        <f>表格1[[#Headers],[TWDT21BU95 ]]</f>
        <v xml:space="preserve">TWDT21BU95 </v>
      </c>
      <c r="AT80" s="115" t="str">
        <f>表格1[[#Headers],[日式洗衣機一特佣 AW-Q800APH(WW)]]</f>
        <v>日式洗衣機一特佣 AW-Q800APH(WW)</v>
      </c>
      <c r="AU80" s="115" t="str">
        <f>表格1[[#Headers],[日式洗衣機二特佣 AW-Q801APH(WW)]]</f>
        <v>日式洗衣機二特佣 AW-Q801APH(WW)</v>
      </c>
      <c r="AV80" s="115" t="str">
        <f>表格1[[#Headers],[三門雪櫃特佣 GR-RM469WE-PGA(B3)]]</f>
        <v>三門雪櫃特佣 GR-RM469WE-PGA(B3)</v>
      </c>
      <c r="AW80" s="115" t="str">
        <f>表格1[[#Headers],[雙門雪櫃一特佣 GR-RB449WE-PMA(57)]]</f>
        <v>雙門雪櫃一特佣 GR-RB449WE-PMA(57)</v>
      </c>
      <c r="AX80" s="115" t="str">
        <f>表格1[[#Headers],[雙門雪櫃一特佣 GR-RB410WE-PMA(06)]]</f>
        <v>雙門雪櫃一特佣 GR-RB410WE-PMA(06)</v>
      </c>
      <c r="AY80" s="115" t="str">
        <f>表格1[[#Headers],[十字門雪櫃 GR-RF698WI]]</f>
        <v>十字門雪櫃 GR-RF698WI</v>
      </c>
      <c r="AZ80" s="115" t="str">
        <f>表格1[[#Headers],[水機 TWP-W2265THK(W)]]</f>
        <v>水機 TWP-W2265THK(W)</v>
      </c>
      <c r="BA80" s="115" t="str">
        <f>表格1[[#Headers],[抽濕機特佣]]</f>
        <v>抽濕機特佣</v>
      </c>
      <c r="BB80" s="115" t="str">
        <f>表格1[[#Headers],[(Fortress ONLY)TW-T25BZU115MWH(MG) ]]</f>
        <v>(Fortress ONLY)TW-T25BZU115MWH(MG) </v>
      </c>
      <c r="BC80" s="115" t="str">
        <f>表格1[[#Headers],[開門紅(三月)]]</f>
        <v>開門紅(三月)</v>
      </c>
      <c r="BD80" s="115" t="str">
        <f>表格1[[#Headers],[開門紅(第一季)]]</f>
        <v>開門紅(第一季)</v>
      </c>
      <c r="BE80" s="115" t="str">
        <f>表格1[[#Headers],[酵活炊電飯煲特佣 RC-18AMXH(W)]]</f>
        <v>酵活炊電飯煲特佣 RC-18AMXH(W)</v>
      </c>
    </row>
    <row r="81" spans="1:57" ht="26.25" hidden="1">
      <c r="A81" s="114">
        <v>80</v>
      </c>
      <c r="B81" s="114" t="str">
        <f t="shared" si="2"/>
        <v>2026-03 Toshiba</v>
      </c>
      <c r="C81" s="115">
        <f>Total!C87</f>
        <v>0</v>
      </c>
      <c r="D81" s="115">
        <f>Total!D87</f>
        <v>0</v>
      </c>
      <c r="E81" s="115">
        <f>Total!E87</f>
        <v>0</v>
      </c>
      <c r="F81" s="115">
        <f>Total!F87</f>
        <v>0</v>
      </c>
      <c r="G81" s="115">
        <f>Total!G87</f>
        <v>0</v>
      </c>
      <c r="H81" s="115">
        <f>Total!H87</f>
        <v>0</v>
      </c>
      <c r="I81" s="115">
        <f>Total!I87</f>
        <v>0</v>
      </c>
      <c r="J81" s="115">
        <f>Total!J87</f>
        <v>0</v>
      </c>
      <c r="K81" s="115">
        <f>Total!K87</f>
        <v>0</v>
      </c>
      <c r="L81" s="115">
        <f>Total!L87</f>
        <v>0</v>
      </c>
      <c r="M81" s="115">
        <f>Total!M87</f>
        <v>0</v>
      </c>
      <c r="N81" s="115">
        <f>Total!N87</f>
        <v>0</v>
      </c>
      <c r="O81" s="115">
        <f>Total!O87</f>
        <v>0</v>
      </c>
      <c r="P81" s="115">
        <f>Total!P87</f>
        <v>0</v>
      </c>
      <c r="Q81" s="115">
        <f>Total!Q87</f>
        <v>0</v>
      </c>
      <c r="R81" s="115">
        <f>Total!R87</f>
        <v>0</v>
      </c>
      <c r="S81" s="115">
        <f>Total!S87</f>
        <v>0</v>
      </c>
      <c r="T81" s="115">
        <f>Total!T87</f>
        <v>0</v>
      </c>
      <c r="U81" s="115">
        <f>Total!U87</f>
        <v>0</v>
      </c>
      <c r="V81" s="115">
        <f>Total!V87</f>
        <v>0</v>
      </c>
      <c r="W81" s="115">
        <f>Total!W87</f>
        <v>0</v>
      </c>
      <c r="X81" s="115">
        <f>Total!X87</f>
        <v>0</v>
      </c>
      <c r="Y81" s="115">
        <f>Total!Y87</f>
        <v>0</v>
      </c>
      <c r="Z81" s="115">
        <f>Total!Z87</f>
        <v>0</v>
      </c>
      <c r="AA81" s="115">
        <f>Total!AA87</f>
        <v>0</v>
      </c>
      <c r="AB81" s="115">
        <f>Total!AB87</f>
        <v>0</v>
      </c>
      <c r="AC81" s="115">
        <f>Total!AC87</f>
        <v>0</v>
      </c>
      <c r="AD81" s="115">
        <f>Total!AD87</f>
        <v>0</v>
      </c>
      <c r="AE81" s="115">
        <f>Total!AE87</f>
        <v>0</v>
      </c>
      <c r="AF81" s="115">
        <f>Total!AF87</f>
        <v>0</v>
      </c>
      <c r="AG81" s="115">
        <f>Total!AH87</f>
        <v>0</v>
      </c>
      <c r="AO81" s="115" t="str">
        <f>表格1[[#Headers],[日本飯煲 RC-DS10K/18K]]</f>
        <v>日本飯煲 RC-DS10K/18K</v>
      </c>
      <c r="AP81" s="115" t="str">
        <f>表格1[[#Headers],[酵活炊電飯煲特佣 RC-18AMXH(W)]]</f>
        <v>酵活炊電飯煲特佣 RC-18AMXH(W)</v>
      </c>
      <c r="AQ81" s="115" t="str">
        <f>表格1[[#Headers],[嵌入式微波氣炸蒸焗爐特佣 EB-T500APW]]</f>
        <v>嵌入式微波氣炸蒸焗爐特佣 EB-T500APW</v>
      </c>
      <c r="AR81" s="115" t="str">
        <f>表格1[[#Headers],[蒸氣烤焗水波爐特佣 ER-VD7000HK(XK)]]</f>
        <v>蒸氣烤焗水波爐特佣 ER-VD7000HK(XK)</v>
      </c>
      <c r="AS81" s="115" t="str">
        <f>表格1[[#Headers],[TWDT21BU95 ]]</f>
        <v xml:space="preserve">TWDT21BU95 </v>
      </c>
      <c r="AT81" s="115" t="str">
        <f>表格1[[#Headers],[日式洗衣機一特佣 AW-Q800APH(WW)]]</f>
        <v>日式洗衣機一特佣 AW-Q800APH(WW)</v>
      </c>
      <c r="AU81" s="115" t="str">
        <f>表格1[[#Headers],[日式洗衣機二特佣 AW-Q801APH(WW)]]</f>
        <v>日式洗衣機二特佣 AW-Q801APH(WW)</v>
      </c>
      <c r="AV81" s="115" t="str">
        <f>表格1[[#Headers],[三門雪櫃特佣 GR-RM469WE-PGA(B3)]]</f>
        <v>三門雪櫃特佣 GR-RM469WE-PGA(B3)</v>
      </c>
      <c r="AW81" s="115" t="str">
        <f>表格1[[#Headers],[雙門雪櫃一特佣 GR-RB449WE-PMA(57)]]</f>
        <v>雙門雪櫃一特佣 GR-RB449WE-PMA(57)</v>
      </c>
      <c r="AX81" s="115" t="str">
        <f>表格1[[#Headers],[雙門雪櫃一特佣 GR-RB410WE-PMA(06)]]</f>
        <v>雙門雪櫃一特佣 GR-RB410WE-PMA(06)</v>
      </c>
      <c r="AY81" s="115" t="str">
        <f>表格1[[#Headers],[十字門雪櫃 GR-RF698WI]]</f>
        <v>十字門雪櫃 GR-RF698WI</v>
      </c>
      <c r="AZ81" s="115" t="str">
        <f>表格1[[#Headers],[水機 TWP-W2265THK(W)]]</f>
        <v>水機 TWP-W2265THK(W)</v>
      </c>
      <c r="BA81" s="115" t="str">
        <f>表格1[[#Headers],[抽濕機特佣]]</f>
        <v>抽濕機特佣</v>
      </c>
      <c r="BB81" s="115" t="str">
        <f>表格1[[#Headers],[(Fortress ONLY)TW-T25BZU115MWH(MG) ]]</f>
        <v>(Fortress ONLY)TW-T25BZU115MWH(MG) </v>
      </c>
      <c r="BC81" s="115" t="str">
        <f>表格1[[#Headers],[開門紅(三月)]]</f>
        <v>開門紅(三月)</v>
      </c>
      <c r="BD81" s="115" t="str">
        <f>表格1[[#Headers],[開門紅(第一季)]]</f>
        <v>開門紅(第一季)</v>
      </c>
      <c r="BE81" s="115" t="str">
        <f>表格1[[#Headers],[酵活炊電飯煲特佣 RC-18AMXH(W)]]</f>
        <v>酵活炊電飯煲特佣 RC-18AMXH(W)</v>
      </c>
    </row>
    <row r="82" spans="1:57" ht="26.25" hidden="1">
      <c r="A82" s="97">
        <v>81</v>
      </c>
      <c r="B82" s="114" t="str">
        <f t="shared" si="2"/>
        <v>2026-03 Toshiba</v>
      </c>
      <c r="C82" s="115">
        <f>Total!C88</f>
        <v>0</v>
      </c>
      <c r="D82" s="115">
        <f>Total!D88</f>
        <v>0</v>
      </c>
      <c r="E82" s="115">
        <f>Total!E88</f>
        <v>0</v>
      </c>
      <c r="F82" s="115">
        <f>Total!F88</f>
        <v>0</v>
      </c>
      <c r="G82" s="115">
        <f>Total!G88</f>
        <v>0</v>
      </c>
      <c r="H82" s="115">
        <f>Total!H88</f>
        <v>0</v>
      </c>
      <c r="I82" s="115">
        <f>Total!I88</f>
        <v>0</v>
      </c>
      <c r="J82" s="115">
        <f>Total!J88</f>
        <v>0</v>
      </c>
      <c r="K82" s="115">
        <f>Total!K88</f>
        <v>0</v>
      </c>
      <c r="L82" s="115">
        <f>Total!L88</f>
        <v>0</v>
      </c>
      <c r="M82" s="115">
        <f>Total!M88</f>
        <v>0</v>
      </c>
      <c r="N82" s="115">
        <f>Total!N88</f>
        <v>0</v>
      </c>
      <c r="O82" s="115">
        <f>Total!O88</f>
        <v>0</v>
      </c>
      <c r="P82" s="115">
        <f>Total!P88</f>
        <v>0</v>
      </c>
      <c r="Q82" s="115">
        <f>Total!Q88</f>
        <v>0</v>
      </c>
      <c r="R82" s="115">
        <f>Total!R88</f>
        <v>0</v>
      </c>
      <c r="S82" s="115">
        <f>Total!S88</f>
        <v>0</v>
      </c>
      <c r="T82" s="115">
        <f>Total!T88</f>
        <v>0</v>
      </c>
      <c r="U82" s="115">
        <f>Total!U88</f>
        <v>0</v>
      </c>
      <c r="V82" s="115">
        <f>Total!V88</f>
        <v>0</v>
      </c>
      <c r="W82" s="115">
        <f>Total!W88</f>
        <v>0</v>
      </c>
      <c r="X82" s="115">
        <f>Total!X88</f>
        <v>0</v>
      </c>
      <c r="Y82" s="115">
        <f>Total!Y88</f>
        <v>0</v>
      </c>
      <c r="Z82" s="115">
        <f>Total!Z88</f>
        <v>0</v>
      </c>
      <c r="AA82" s="115">
        <f>Total!AA88</f>
        <v>0</v>
      </c>
      <c r="AB82" s="115">
        <f>Total!AB88</f>
        <v>0</v>
      </c>
      <c r="AC82" s="115">
        <f>Total!AC88</f>
        <v>0</v>
      </c>
      <c r="AD82" s="115">
        <f>Total!AD88</f>
        <v>0</v>
      </c>
      <c r="AE82" s="115">
        <f>Total!AE88</f>
        <v>0</v>
      </c>
      <c r="AF82" s="115">
        <f>Total!AF88</f>
        <v>0</v>
      </c>
      <c r="AG82" s="115">
        <f>Total!AH88</f>
        <v>0</v>
      </c>
      <c r="AO82" s="115" t="str">
        <f>表格1[[#Headers],[日本飯煲 RC-DS10K/18K]]</f>
        <v>日本飯煲 RC-DS10K/18K</v>
      </c>
      <c r="AP82" s="115" t="str">
        <f>表格1[[#Headers],[酵活炊電飯煲特佣 RC-18AMXH(W)]]</f>
        <v>酵活炊電飯煲特佣 RC-18AMXH(W)</v>
      </c>
      <c r="AQ82" s="115" t="str">
        <f>表格1[[#Headers],[嵌入式微波氣炸蒸焗爐特佣 EB-T500APW]]</f>
        <v>嵌入式微波氣炸蒸焗爐特佣 EB-T500APW</v>
      </c>
      <c r="AR82" s="115" t="str">
        <f>表格1[[#Headers],[蒸氣烤焗水波爐特佣 ER-VD7000HK(XK)]]</f>
        <v>蒸氣烤焗水波爐特佣 ER-VD7000HK(XK)</v>
      </c>
      <c r="AS82" s="115" t="str">
        <f>表格1[[#Headers],[TWDT21BU95 ]]</f>
        <v xml:space="preserve">TWDT21BU95 </v>
      </c>
      <c r="AT82" s="115" t="str">
        <f>表格1[[#Headers],[日式洗衣機一特佣 AW-Q800APH(WW)]]</f>
        <v>日式洗衣機一特佣 AW-Q800APH(WW)</v>
      </c>
      <c r="AU82" s="115" t="str">
        <f>表格1[[#Headers],[日式洗衣機二特佣 AW-Q801APH(WW)]]</f>
        <v>日式洗衣機二特佣 AW-Q801APH(WW)</v>
      </c>
      <c r="AV82" s="115" t="str">
        <f>表格1[[#Headers],[三門雪櫃特佣 GR-RM469WE-PGA(B3)]]</f>
        <v>三門雪櫃特佣 GR-RM469WE-PGA(B3)</v>
      </c>
      <c r="AW82" s="115" t="str">
        <f>表格1[[#Headers],[雙門雪櫃一特佣 GR-RB449WE-PMA(57)]]</f>
        <v>雙門雪櫃一特佣 GR-RB449WE-PMA(57)</v>
      </c>
      <c r="AX82" s="115" t="str">
        <f>表格1[[#Headers],[雙門雪櫃一特佣 GR-RB410WE-PMA(06)]]</f>
        <v>雙門雪櫃一特佣 GR-RB410WE-PMA(06)</v>
      </c>
      <c r="AY82" s="115" t="str">
        <f>表格1[[#Headers],[十字門雪櫃 GR-RF698WI]]</f>
        <v>十字門雪櫃 GR-RF698WI</v>
      </c>
      <c r="AZ82" s="115" t="str">
        <f>表格1[[#Headers],[水機 TWP-W2265THK(W)]]</f>
        <v>水機 TWP-W2265THK(W)</v>
      </c>
      <c r="BA82" s="115" t="str">
        <f>表格1[[#Headers],[抽濕機特佣]]</f>
        <v>抽濕機特佣</v>
      </c>
      <c r="BB82" s="115" t="str">
        <f>表格1[[#Headers],[(Fortress ONLY)TW-T25BZU115MWH(MG) ]]</f>
        <v>(Fortress ONLY)TW-T25BZU115MWH(MG) </v>
      </c>
      <c r="BC82" s="115" t="str">
        <f>表格1[[#Headers],[開門紅(三月)]]</f>
        <v>開門紅(三月)</v>
      </c>
      <c r="BD82" s="115" t="str">
        <f>表格1[[#Headers],[開門紅(第一季)]]</f>
        <v>開門紅(第一季)</v>
      </c>
      <c r="BE82" s="115" t="str">
        <f>表格1[[#Headers],[酵活炊電飯煲特佣 RC-18AMXH(W)]]</f>
        <v>酵活炊電飯煲特佣 RC-18AMXH(W)</v>
      </c>
    </row>
    <row r="83" spans="1:57" ht="26.25" hidden="1">
      <c r="A83" s="114">
        <v>82</v>
      </c>
      <c r="B83" s="114" t="str">
        <f t="shared" si="2"/>
        <v>2026-03 Toshiba</v>
      </c>
      <c r="C83" s="115">
        <f>Total!C89</f>
        <v>0</v>
      </c>
      <c r="D83" s="115">
        <f>Total!D89</f>
        <v>0</v>
      </c>
      <c r="E83" s="115">
        <f>Total!E89</f>
        <v>0</v>
      </c>
      <c r="F83" s="115">
        <f>Total!F89</f>
        <v>0</v>
      </c>
      <c r="G83" s="115">
        <f>Total!G89</f>
        <v>0</v>
      </c>
      <c r="H83" s="115">
        <f>Total!H89</f>
        <v>0</v>
      </c>
      <c r="I83" s="115">
        <f>Total!I89</f>
        <v>0</v>
      </c>
      <c r="J83" s="115">
        <f>Total!J89</f>
        <v>0</v>
      </c>
      <c r="K83" s="115">
        <f>Total!K89</f>
        <v>0</v>
      </c>
      <c r="L83" s="115">
        <f>Total!L89</f>
        <v>0</v>
      </c>
      <c r="M83" s="115">
        <f>Total!M89</f>
        <v>0</v>
      </c>
      <c r="N83" s="115">
        <f>Total!N89</f>
        <v>0</v>
      </c>
      <c r="O83" s="115" t="str">
        <f>Total!O89</f>
        <v xml:space="preserve"> </v>
      </c>
      <c r="P83" s="115">
        <f>Total!P89</f>
        <v>0</v>
      </c>
      <c r="Q83" s="115">
        <f>Total!Q89</f>
        <v>0</v>
      </c>
      <c r="R83" s="115">
        <f>Total!R89</f>
        <v>0</v>
      </c>
      <c r="S83" s="115">
        <f>Total!S89</f>
        <v>0</v>
      </c>
      <c r="T83" s="115">
        <f>Total!T89</f>
        <v>0</v>
      </c>
      <c r="U83" s="115">
        <f>Total!U89</f>
        <v>0</v>
      </c>
      <c r="V83" s="115">
        <f>Total!V89</f>
        <v>0</v>
      </c>
      <c r="W83" s="115">
        <f>Total!W89</f>
        <v>0</v>
      </c>
      <c r="X83" s="115">
        <f>Total!X89</f>
        <v>0</v>
      </c>
      <c r="Y83" s="115">
        <f>Total!Y89</f>
        <v>0</v>
      </c>
      <c r="Z83" s="115">
        <f>Total!Z89</f>
        <v>0</v>
      </c>
      <c r="AA83" s="115">
        <f>Total!AA89</f>
        <v>0</v>
      </c>
      <c r="AB83" s="115">
        <f>Total!AB89</f>
        <v>0</v>
      </c>
      <c r="AC83" s="115">
        <f>Total!AC89</f>
        <v>0</v>
      </c>
      <c r="AD83" s="115">
        <f>Total!AD89</f>
        <v>0</v>
      </c>
      <c r="AE83" s="115">
        <f>Total!AE89</f>
        <v>0</v>
      </c>
      <c r="AF83" s="115">
        <f>Total!AF89</f>
        <v>0</v>
      </c>
      <c r="AG83" s="115">
        <f>Total!AH89</f>
        <v>0</v>
      </c>
      <c r="AO83" s="115" t="str">
        <f>表格1[[#Headers],[日本飯煲 RC-DS10K/18K]]</f>
        <v>日本飯煲 RC-DS10K/18K</v>
      </c>
      <c r="AP83" s="115" t="str">
        <f>表格1[[#Headers],[酵活炊電飯煲特佣 RC-18AMXH(W)]]</f>
        <v>酵活炊電飯煲特佣 RC-18AMXH(W)</v>
      </c>
      <c r="AQ83" s="115" t="str">
        <f>表格1[[#Headers],[嵌入式微波氣炸蒸焗爐特佣 EB-T500APW]]</f>
        <v>嵌入式微波氣炸蒸焗爐特佣 EB-T500APW</v>
      </c>
      <c r="AR83" s="115" t="str">
        <f>表格1[[#Headers],[蒸氣烤焗水波爐特佣 ER-VD7000HK(XK)]]</f>
        <v>蒸氣烤焗水波爐特佣 ER-VD7000HK(XK)</v>
      </c>
      <c r="AS83" s="115" t="str">
        <f>表格1[[#Headers],[TWDT21BU95 ]]</f>
        <v xml:space="preserve">TWDT21BU95 </v>
      </c>
      <c r="AT83" s="115" t="str">
        <f>表格1[[#Headers],[日式洗衣機一特佣 AW-Q800APH(WW)]]</f>
        <v>日式洗衣機一特佣 AW-Q800APH(WW)</v>
      </c>
      <c r="AU83" s="115" t="str">
        <f>表格1[[#Headers],[日式洗衣機二特佣 AW-Q801APH(WW)]]</f>
        <v>日式洗衣機二特佣 AW-Q801APH(WW)</v>
      </c>
      <c r="AV83" s="115" t="str">
        <f>表格1[[#Headers],[三門雪櫃特佣 GR-RM469WE-PGA(B3)]]</f>
        <v>三門雪櫃特佣 GR-RM469WE-PGA(B3)</v>
      </c>
      <c r="AW83" s="115" t="str">
        <f>表格1[[#Headers],[雙門雪櫃一特佣 GR-RB449WE-PMA(57)]]</f>
        <v>雙門雪櫃一特佣 GR-RB449WE-PMA(57)</v>
      </c>
      <c r="AX83" s="115" t="str">
        <f>表格1[[#Headers],[雙門雪櫃一特佣 GR-RB410WE-PMA(06)]]</f>
        <v>雙門雪櫃一特佣 GR-RB410WE-PMA(06)</v>
      </c>
      <c r="AY83" s="115" t="str">
        <f>表格1[[#Headers],[十字門雪櫃 GR-RF698WI]]</f>
        <v>十字門雪櫃 GR-RF698WI</v>
      </c>
      <c r="AZ83" s="115" t="str">
        <f>表格1[[#Headers],[水機 TWP-W2265THK(W)]]</f>
        <v>水機 TWP-W2265THK(W)</v>
      </c>
      <c r="BA83" s="115" t="str">
        <f>表格1[[#Headers],[抽濕機特佣]]</f>
        <v>抽濕機特佣</v>
      </c>
      <c r="BB83" s="115" t="str">
        <f>表格1[[#Headers],[(Fortress ONLY)TW-T25BZU115MWH(MG) ]]</f>
        <v>(Fortress ONLY)TW-T25BZU115MWH(MG) </v>
      </c>
      <c r="BC83" s="115" t="str">
        <f>表格1[[#Headers],[開門紅(三月)]]</f>
        <v>開門紅(三月)</v>
      </c>
      <c r="BD83" s="115" t="str">
        <f>表格1[[#Headers],[開門紅(第一季)]]</f>
        <v>開門紅(第一季)</v>
      </c>
      <c r="BE83" s="115" t="str">
        <f>表格1[[#Headers],[酵活炊電飯煲特佣 RC-18AMXH(W)]]</f>
        <v>酵活炊電飯煲特佣 RC-18AMXH(W)</v>
      </c>
    </row>
    <row r="84" spans="1:57" ht="26.25" hidden="1">
      <c r="A84" s="97">
        <v>83</v>
      </c>
      <c r="B84" s="114" t="str">
        <f t="shared" si="2"/>
        <v>2026-03 Toshiba</v>
      </c>
      <c r="C84" s="115">
        <f>Total!C90</f>
        <v>0</v>
      </c>
      <c r="D84" s="115">
        <f>Total!D90</f>
        <v>0</v>
      </c>
      <c r="E84" s="115">
        <f>Total!E90</f>
        <v>0</v>
      </c>
      <c r="F84" s="115">
        <f>Total!F90</f>
        <v>0</v>
      </c>
      <c r="G84" s="115">
        <f>Total!G90</f>
        <v>0</v>
      </c>
      <c r="H84" s="115">
        <f>Total!H90</f>
        <v>0</v>
      </c>
      <c r="I84" s="115">
        <f>Total!I90</f>
        <v>0</v>
      </c>
      <c r="J84" s="115">
        <f>Total!J90</f>
        <v>0</v>
      </c>
      <c r="K84" s="115">
        <f>Total!K90</f>
        <v>0</v>
      </c>
      <c r="L84" s="115">
        <f>Total!L90</f>
        <v>0</v>
      </c>
      <c r="M84" s="115">
        <f>Total!M90</f>
        <v>0</v>
      </c>
      <c r="N84" s="115">
        <f>Total!N90</f>
        <v>0</v>
      </c>
      <c r="O84" s="115">
        <f>Total!O90</f>
        <v>0</v>
      </c>
      <c r="P84" s="115">
        <f>Total!P90</f>
        <v>0</v>
      </c>
      <c r="Q84" s="115">
        <f>Total!Q90</f>
        <v>0</v>
      </c>
      <c r="R84" s="115">
        <f>Total!R90</f>
        <v>0</v>
      </c>
      <c r="S84" s="115">
        <f>Total!S90</f>
        <v>0</v>
      </c>
      <c r="T84" s="115">
        <f>Total!T90</f>
        <v>0</v>
      </c>
      <c r="U84" s="115">
        <f>Total!U90</f>
        <v>0</v>
      </c>
      <c r="V84" s="115">
        <f>Total!V90</f>
        <v>0</v>
      </c>
      <c r="W84" s="115">
        <f>Total!W90</f>
        <v>0</v>
      </c>
      <c r="X84" s="115">
        <f>Total!X90</f>
        <v>0</v>
      </c>
      <c r="Y84" s="115">
        <f>Total!Y90</f>
        <v>0</v>
      </c>
      <c r="Z84" s="115">
        <f>Total!Z90</f>
        <v>0</v>
      </c>
      <c r="AA84" s="115">
        <f>Total!AA90</f>
        <v>0</v>
      </c>
      <c r="AB84" s="115">
        <f>Total!AB90</f>
        <v>0</v>
      </c>
      <c r="AC84" s="115">
        <f>Total!AC90</f>
        <v>0</v>
      </c>
      <c r="AD84" s="115">
        <f>Total!AD90</f>
        <v>0</v>
      </c>
      <c r="AE84" s="115">
        <f>Total!AE90</f>
        <v>0</v>
      </c>
      <c r="AF84" s="115">
        <f>Total!AF90</f>
        <v>0</v>
      </c>
      <c r="AG84" s="115">
        <f>Total!AH90</f>
        <v>0</v>
      </c>
      <c r="AO84" s="115" t="str">
        <f>表格1[[#Headers],[日本飯煲 RC-DS10K/18K]]</f>
        <v>日本飯煲 RC-DS10K/18K</v>
      </c>
      <c r="AP84" s="115" t="str">
        <f>表格1[[#Headers],[酵活炊電飯煲特佣 RC-18AMXH(W)]]</f>
        <v>酵活炊電飯煲特佣 RC-18AMXH(W)</v>
      </c>
      <c r="AQ84" s="115" t="str">
        <f>表格1[[#Headers],[嵌入式微波氣炸蒸焗爐特佣 EB-T500APW]]</f>
        <v>嵌入式微波氣炸蒸焗爐特佣 EB-T500APW</v>
      </c>
      <c r="AR84" s="115" t="str">
        <f>表格1[[#Headers],[蒸氣烤焗水波爐特佣 ER-VD7000HK(XK)]]</f>
        <v>蒸氣烤焗水波爐特佣 ER-VD7000HK(XK)</v>
      </c>
      <c r="AS84" s="115" t="str">
        <f>表格1[[#Headers],[TWDT21BU95 ]]</f>
        <v xml:space="preserve">TWDT21BU95 </v>
      </c>
      <c r="AT84" s="115" t="str">
        <f>表格1[[#Headers],[日式洗衣機一特佣 AW-Q800APH(WW)]]</f>
        <v>日式洗衣機一特佣 AW-Q800APH(WW)</v>
      </c>
      <c r="AU84" s="115" t="str">
        <f>表格1[[#Headers],[日式洗衣機二特佣 AW-Q801APH(WW)]]</f>
        <v>日式洗衣機二特佣 AW-Q801APH(WW)</v>
      </c>
      <c r="AV84" s="115" t="str">
        <f>表格1[[#Headers],[三門雪櫃特佣 GR-RM469WE-PGA(B3)]]</f>
        <v>三門雪櫃特佣 GR-RM469WE-PGA(B3)</v>
      </c>
      <c r="AW84" s="115" t="str">
        <f>表格1[[#Headers],[雙門雪櫃一特佣 GR-RB449WE-PMA(57)]]</f>
        <v>雙門雪櫃一特佣 GR-RB449WE-PMA(57)</v>
      </c>
      <c r="AX84" s="115" t="str">
        <f>表格1[[#Headers],[雙門雪櫃一特佣 GR-RB410WE-PMA(06)]]</f>
        <v>雙門雪櫃一特佣 GR-RB410WE-PMA(06)</v>
      </c>
      <c r="AY84" s="115" t="str">
        <f>表格1[[#Headers],[十字門雪櫃 GR-RF698WI]]</f>
        <v>十字門雪櫃 GR-RF698WI</v>
      </c>
      <c r="AZ84" s="115" t="str">
        <f>表格1[[#Headers],[水機 TWP-W2265THK(W)]]</f>
        <v>水機 TWP-W2265THK(W)</v>
      </c>
      <c r="BA84" s="115" t="str">
        <f>表格1[[#Headers],[抽濕機特佣]]</f>
        <v>抽濕機特佣</v>
      </c>
      <c r="BB84" s="115" t="str">
        <f>表格1[[#Headers],[(Fortress ONLY)TW-T25BZU115MWH(MG) ]]</f>
        <v>(Fortress ONLY)TW-T25BZU115MWH(MG) </v>
      </c>
      <c r="BC84" s="115" t="str">
        <f>表格1[[#Headers],[開門紅(三月)]]</f>
        <v>開門紅(三月)</v>
      </c>
      <c r="BD84" s="115" t="str">
        <f>表格1[[#Headers],[開門紅(第一季)]]</f>
        <v>開門紅(第一季)</v>
      </c>
      <c r="BE84" s="115" t="str">
        <f>表格1[[#Headers],[酵活炊電飯煲特佣 RC-18AMXH(W)]]</f>
        <v>酵活炊電飯煲特佣 RC-18AMXH(W)</v>
      </c>
    </row>
    <row r="85" spans="1:57" ht="26.25" hidden="1">
      <c r="A85" s="114">
        <v>84</v>
      </c>
      <c r="B85" s="114" t="str">
        <f t="shared" si="2"/>
        <v>2026-03 Toshiba</v>
      </c>
      <c r="C85" s="115">
        <f>Total!C91</f>
        <v>0</v>
      </c>
      <c r="D85" s="115">
        <f>Total!D91</f>
        <v>0</v>
      </c>
      <c r="E85" s="115">
        <f>Total!E91</f>
        <v>0</v>
      </c>
      <c r="F85" s="115">
        <f>Total!F91</f>
        <v>0</v>
      </c>
      <c r="G85" s="115">
        <f>Total!G91</f>
        <v>0</v>
      </c>
      <c r="H85" s="115">
        <f>Total!H91</f>
        <v>0</v>
      </c>
      <c r="I85" s="115">
        <f>Total!I91</f>
        <v>0</v>
      </c>
      <c r="J85" s="115">
        <f>Total!J91</f>
        <v>0</v>
      </c>
      <c r="K85" s="115">
        <f>Total!K91</f>
        <v>0</v>
      </c>
      <c r="L85" s="115">
        <f>Total!L91</f>
        <v>0</v>
      </c>
      <c r="M85" s="115">
        <f>Total!M91</f>
        <v>0</v>
      </c>
      <c r="N85" s="115">
        <f>Total!N91</f>
        <v>0</v>
      </c>
      <c r="O85" s="115">
        <f>Total!O91</f>
        <v>0</v>
      </c>
      <c r="P85" s="115">
        <f>Total!P91</f>
        <v>0</v>
      </c>
      <c r="Q85" s="115">
        <f>Total!Q91</f>
        <v>0</v>
      </c>
      <c r="R85" s="115">
        <f>Total!R91</f>
        <v>0</v>
      </c>
      <c r="S85" s="115">
        <f>Total!S91</f>
        <v>0</v>
      </c>
      <c r="T85" s="115">
        <f>Total!T91</f>
        <v>0</v>
      </c>
      <c r="U85" s="115">
        <f>Total!U91</f>
        <v>0</v>
      </c>
      <c r="V85" s="115">
        <f>Total!V91</f>
        <v>0</v>
      </c>
      <c r="W85" s="115">
        <f>Total!W91</f>
        <v>0</v>
      </c>
      <c r="X85" s="115">
        <f>Total!X91</f>
        <v>0</v>
      </c>
      <c r="Y85" s="115">
        <f>Total!Y91</f>
        <v>0</v>
      </c>
      <c r="Z85" s="115">
        <f>Total!Z91</f>
        <v>0</v>
      </c>
      <c r="AA85" s="115">
        <f>Total!AA91</f>
        <v>0</v>
      </c>
      <c r="AB85" s="115">
        <f>Total!AB91</f>
        <v>0</v>
      </c>
      <c r="AC85" s="115">
        <f>Total!AC91</f>
        <v>0</v>
      </c>
      <c r="AD85" s="115">
        <f>Total!AD91</f>
        <v>0</v>
      </c>
      <c r="AE85" s="115">
        <f>Total!AE91</f>
        <v>0</v>
      </c>
      <c r="AF85" s="115">
        <f>Total!AF91</f>
        <v>0</v>
      </c>
      <c r="AG85" s="115">
        <f>Total!AH91</f>
        <v>0</v>
      </c>
      <c r="AO85" s="115" t="str">
        <f>表格1[[#Headers],[日本飯煲 RC-DS10K/18K]]</f>
        <v>日本飯煲 RC-DS10K/18K</v>
      </c>
      <c r="AP85" s="115" t="str">
        <f>表格1[[#Headers],[酵活炊電飯煲特佣 RC-18AMXH(W)]]</f>
        <v>酵活炊電飯煲特佣 RC-18AMXH(W)</v>
      </c>
      <c r="AQ85" s="115" t="str">
        <f>表格1[[#Headers],[嵌入式微波氣炸蒸焗爐特佣 EB-T500APW]]</f>
        <v>嵌入式微波氣炸蒸焗爐特佣 EB-T500APW</v>
      </c>
      <c r="AR85" s="115" t="str">
        <f>表格1[[#Headers],[蒸氣烤焗水波爐特佣 ER-VD7000HK(XK)]]</f>
        <v>蒸氣烤焗水波爐特佣 ER-VD7000HK(XK)</v>
      </c>
      <c r="AS85" s="115" t="str">
        <f>表格1[[#Headers],[TWDT21BU95 ]]</f>
        <v xml:space="preserve">TWDT21BU95 </v>
      </c>
      <c r="AT85" s="115" t="str">
        <f>表格1[[#Headers],[日式洗衣機一特佣 AW-Q800APH(WW)]]</f>
        <v>日式洗衣機一特佣 AW-Q800APH(WW)</v>
      </c>
      <c r="AU85" s="115" t="str">
        <f>表格1[[#Headers],[日式洗衣機二特佣 AW-Q801APH(WW)]]</f>
        <v>日式洗衣機二特佣 AW-Q801APH(WW)</v>
      </c>
      <c r="AV85" s="115" t="str">
        <f>表格1[[#Headers],[三門雪櫃特佣 GR-RM469WE-PGA(B3)]]</f>
        <v>三門雪櫃特佣 GR-RM469WE-PGA(B3)</v>
      </c>
      <c r="AW85" s="115" t="str">
        <f>表格1[[#Headers],[雙門雪櫃一特佣 GR-RB449WE-PMA(57)]]</f>
        <v>雙門雪櫃一特佣 GR-RB449WE-PMA(57)</v>
      </c>
      <c r="AX85" s="115" t="str">
        <f>表格1[[#Headers],[雙門雪櫃一特佣 GR-RB410WE-PMA(06)]]</f>
        <v>雙門雪櫃一特佣 GR-RB410WE-PMA(06)</v>
      </c>
      <c r="AY85" s="115" t="str">
        <f>表格1[[#Headers],[十字門雪櫃 GR-RF698WI]]</f>
        <v>十字門雪櫃 GR-RF698WI</v>
      </c>
      <c r="AZ85" s="115" t="str">
        <f>表格1[[#Headers],[水機 TWP-W2265THK(W)]]</f>
        <v>水機 TWP-W2265THK(W)</v>
      </c>
      <c r="BA85" s="115" t="str">
        <f>表格1[[#Headers],[抽濕機特佣]]</f>
        <v>抽濕機特佣</v>
      </c>
      <c r="BB85" s="115" t="str">
        <f>表格1[[#Headers],[(Fortress ONLY)TW-T25BZU115MWH(MG) ]]</f>
        <v>(Fortress ONLY)TW-T25BZU115MWH(MG) </v>
      </c>
      <c r="BC85" s="115" t="str">
        <f>表格1[[#Headers],[開門紅(三月)]]</f>
        <v>開門紅(三月)</v>
      </c>
      <c r="BD85" s="115" t="str">
        <f>表格1[[#Headers],[開門紅(第一季)]]</f>
        <v>開門紅(第一季)</v>
      </c>
      <c r="BE85" s="115" t="str">
        <f>表格1[[#Headers],[酵活炊電飯煲特佣 RC-18AMXH(W)]]</f>
        <v>酵活炊電飯煲特佣 RC-18AMXH(W)</v>
      </c>
    </row>
    <row r="86" spans="1:57" ht="26.25" hidden="1">
      <c r="A86" s="97">
        <v>85</v>
      </c>
      <c r="B86" s="114" t="str">
        <f t="shared" si="2"/>
        <v>2026-03 Toshiba</v>
      </c>
      <c r="C86" s="115">
        <f>Total!C92</f>
        <v>0</v>
      </c>
      <c r="D86" s="115">
        <f>Total!D92</f>
        <v>0</v>
      </c>
      <c r="E86" s="115">
        <f>Total!E92</f>
        <v>0</v>
      </c>
      <c r="F86" s="115">
        <f>Total!F92</f>
        <v>0</v>
      </c>
      <c r="G86" s="115">
        <f>Total!G92</f>
        <v>0</v>
      </c>
      <c r="H86" s="115">
        <f>Total!H92</f>
        <v>0</v>
      </c>
      <c r="I86" s="115">
        <f>Total!I92</f>
        <v>0</v>
      </c>
      <c r="J86" s="115">
        <f>Total!J92</f>
        <v>0</v>
      </c>
      <c r="K86" s="115">
        <f>Total!K92</f>
        <v>0</v>
      </c>
      <c r="L86" s="115">
        <f>Total!L92</f>
        <v>0</v>
      </c>
      <c r="M86" s="115">
        <f>Total!M92</f>
        <v>0</v>
      </c>
      <c r="N86" s="115">
        <f>Total!N92</f>
        <v>0</v>
      </c>
      <c r="O86" s="115">
        <f>Total!O92</f>
        <v>0</v>
      </c>
      <c r="P86" s="115">
        <f>Total!P92</f>
        <v>0</v>
      </c>
      <c r="Q86" s="115">
        <f>Total!Q92</f>
        <v>0</v>
      </c>
      <c r="R86" s="115">
        <f>Total!R92</f>
        <v>0</v>
      </c>
      <c r="S86" s="115">
        <f>Total!S92</f>
        <v>0</v>
      </c>
      <c r="T86" s="115">
        <f>Total!T92</f>
        <v>0</v>
      </c>
      <c r="U86" s="115">
        <f>Total!U92</f>
        <v>0</v>
      </c>
      <c r="V86" s="115">
        <f>Total!V92</f>
        <v>0</v>
      </c>
      <c r="W86" s="115">
        <f>Total!W92</f>
        <v>0</v>
      </c>
      <c r="X86" s="115">
        <f>Total!X92</f>
        <v>0</v>
      </c>
      <c r="Y86" s="115">
        <f>Total!Y92</f>
        <v>0</v>
      </c>
      <c r="Z86" s="115">
        <f>Total!Z92</f>
        <v>0</v>
      </c>
      <c r="AA86" s="115">
        <f>Total!AA92</f>
        <v>0</v>
      </c>
      <c r="AB86" s="115">
        <f>Total!AB92</f>
        <v>0</v>
      </c>
      <c r="AC86" s="115">
        <f>Total!AC92</f>
        <v>0</v>
      </c>
      <c r="AD86" s="115">
        <f>Total!AD92</f>
        <v>0</v>
      </c>
      <c r="AE86" s="115">
        <f>Total!AE92</f>
        <v>0</v>
      </c>
      <c r="AF86" s="115">
        <f>Total!AF92</f>
        <v>0</v>
      </c>
      <c r="AG86" s="115">
        <f>Total!AH92</f>
        <v>0</v>
      </c>
      <c r="AO86" s="115" t="str">
        <f>表格1[[#Headers],[日本飯煲 RC-DS10K/18K]]</f>
        <v>日本飯煲 RC-DS10K/18K</v>
      </c>
      <c r="AP86" s="115" t="str">
        <f>表格1[[#Headers],[酵活炊電飯煲特佣 RC-18AMXH(W)]]</f>
        <v>酵活炊電飯煲特佣 RC-18AMXH(W)</v>
      </c>
      <c r="AQ86" s="115" t="str">
        <f>表格1[[#Headers],[嵌入式微波氣炸蒸焗爐特佣 EB-T500APW]]</f>
        <v>嵌入式微波氣炸蒸焗爐特佣 EB-T500APW</v>
      </c>
      <c r="AR86" s="115" t="str">
        <f>表格1[[#Headers],[蒸氣烤焗水波爐特佣 ER-VD7000HK(XK)]]</f>
        <v>蒸氣烤焗水波爐特佣 ER-VD7000HK(XK)</v>
      </c>
      <c r="AS86" s="115" t="str">
        <f>表格1[[#Headers],[TWDT21BU95 ]]</f>
        <v xml:space="preserve">TWDT21BU95 </v>
      </c>
      <c r="AT86" s="115" t="str">
        <f>表格1[[#Headers],[日式洗衣機一特佣 AW-Q800APH(WW)]]</f>
        <v>日式洗衣機一特佣 AW-Q800APH(WW)</v>
      </c>
      <c r="AU86" s="115" t="str">
        <f>表格1[[#Headers],[日式洗衣機二特佣 AW-Q801APH(WW)]]</f>
        <v>日式洗衣機二特佣 AW-Q801APH(WW)</v>
      </c>
      <c r="AV86" s="115" t="str">
        <f>表格1[[#Headers],[三門雪櫃特佣 GR-RM469WE-PGA(B3)]]</f>
        <v>三門雪櫃特佣 GR-RM469WE-PGA(B3)</v>
      </c>
      <c r="AW86" s="115" t="str">
        <f>表格1[[#Headers],[雙門雪櫃一特佣 GR-RB449WE-PMA(57)]]</f>
        <v>雙門雪櫃一特佣 GR-RB449WE-PMA(57)</v>
      </c>
      <c r="AX86" s="115" t="str">
        <f>表格1[[#Headers],[雙門雪櫃一特佣 GR-RB410WE-PMA(06)]]</f>
        <v>雙門雪櫃一特佣 GR-RB410WE-PMA(06)</v>
      </c>
      <c r="AY86" s="115" t="str">
        <f>表格1[[#Headers],[十字門雪櫃 GR-RF698WI]]</f>
        <v>十字門雪櫃 GR-RF698WI</v>
      </c>
      <c r="AZ86" s="115" t="str">
        <f>表格1[[#Headers],[水機 TWP-W2265THK(W)]]</f>
        <v>水機 TWP-W2265THK(W)</v>
      </c>
      <c r="BA86" s="115" t="str">
        <f>表格1[[#Headers],[抽濕機特佣]]</f>
        <v>抽濕機特佣</v>
      </c>
      <c r="BB86" s="115" t="str">
        <f>表格1[[#Headers],[(Fortress ONLY)TW-T25BZU115MWH(MG) ]]</f>
        <v>(Fortress ONLY)TW-T25BZU115MWH(MG) </v>
      </c>
      <c r="BC86" s="115" t="str">
        <f>表格1[[#Headers],[開門紅(三月)]]</f>
        <v>開門紅(三月)</v>
      </c>
      <c r="BD86" s="115" t="str">
        <f>表格1[[#Headers],[開門紅(第一季)]]</f>
        <v>開門紅(第一季)</v>
      </c>
      <c r="BE86" s="115" t="str">
        <f>表格1[[#Headers],[酵活炊電飯煲特佣 RC-18AMXH(W)]]</f>
        <v>酵活炊電飯煲特佣 RC-18AMXH(W)</v>
      </c>
    </row>
    <row r="87" spans="1:57" ht="26.25" hidden="1">
      <c r="A87" s="114">
        <v>86</v>
      </c>
      <c r="B87" s="114" t="str">
        <f t="shared" si="2"/>
        <v>2026-03 Toshiba</v>
      </c>
      <c r="C87" s="115">
        <f>Total!C93</f>
        <v>0</v>
      </c>
      <c r="D87" s="115">
        <f>Total!D93</f>
        <v>0</v>
      </c>
      <c r="E87" s="115">
        <f>Total!E93</f>
        <v>0</v>
      </c>
      <c r="F87" s="115">
        <f>Total!F93</f>
        <v>0</v>
      </c>
      <c r="G87" s="115">
        <f>Total!G93</f>
        <v>0</v>
      </c>
      <c r="H87" s="115">
        <f>Total!H93</f>
        <v>0</v>
      </c>
      <c r="I87" s="115">
        <f>Total!I93</f>
        <v>0</v>
      </c>
      <c r="J87" s="115">
        <f>Total!J93</f>
        <v>0</v>
      </c>
      <c r="K87" s="115">
        <f>Total!K93</f>
        <v>0</v>
      </c>
      <c r="L87" s="115">
        <f>Total!L93</f>
        <v>0</v>
      </c>
      <c r="M87" s="115">
        <f>Total!M93</f>
        <v>0</v>
      </c>
      <c r="N87" s="115">
        <f>Total!N93</f>
        <v>0</v>
      </c>
      <c r="O87" s="115">
        <f>Total!O93</f>
        <v>0</v>
      </c>
      <c r="P87" s="115">
        <f>Total!P93</f>
        <v>0</v>
      </c>
      <c r="Q87" s="115">
        <f>Total!Q93</f>
        <v>0</v>
      </c>
      <c r="R87" s="115">
        <f>Total!R93</f>
        <v>0</v>
      </c>
      <c r="S87" s="115">
        <f>Total!S93</f>
        <v>0</v>
      </c>
      <c r="T87" s="115">
        <f>Total!T93</f>
        <v>0</v>
      </c>
      <c r="U87" s="115">
        <f>Total!U93</f>
        <v>0</v>
      </c>
      <c r="V87" s="115">
        <f>Total!V93</f>
        <v>0</v>
      </c>
      <c r="W87" s="115">
        <f>Total!W93</f>
        <v>0</v>
      </c>
      <c r="X87" s="115">
        <f>Total!X93</f>
        <v>0</v>
      </c>
      <c r="Y87" s="115">
        <f>Total!Y93</f>
        <v>0</v>
      </c>
      <c r="Z87" s="115">
        <f>Total!Z93</f>
        <v>0</v>
      </c>
      <c r="AA87" s="115">
        <f>Total!AA93</f>
        <v>0</v>
      </c>
      <c r="AB87" s="115">
        <f>Total!AB93</f>
        <v>0</v>
      </c>
      <c r="AC87" s="115">
        <f>Total!AC93</f>
        <v>0</v>
      </c>
      <c r="AD87" s="115">
        <f>Total!AD93</f>
        <v>0</v>
      </c>
      <c r="AE87" s="115">
        <f>Total!AE93</f>
        <v>0</v>
      </c>
      <c r="AF87" s="115">
        <f>Total!AF93</f>
        <v>0</v>
      </c>
      <c r="AG87" s="115">
        <f>Total!AH93</f>
        <v>0</v>
      </c>
      <c r="AO87" s="115" t="str">
        <f>表格1[[#Headers],[日本飯煲 RC-DS10K/18K]]</f>
        <v>日本飯煲 RC-DS10K/18K</v>
      </c>
      <c r="AP87" s="115" t="str">
        <f>表格1[[#Headers],[酵活炊電飯煲特佣 RC-18AMXH(W)]]</f>
        <v>酵活炊電飯煲特佣 RC-18AMXH(W)</v>
      </c>
      <c r="AQ87" s="115" t="str">
        <f>表格1[[#Headers],[嵌入式微波氣炸蒸焗爐特佣 EB-T500APW]]</f>
        <v>嵌入式微波氣炸蒸焗爐特佣 EB-T500APW</v>
      </c>
      <c r="AR87" s="115" t="str">
        <f>表格1[[#Headers],[蒸氣烤焗水波爐特佣 ER-VD7000HK(XK)]]</f>
        <v>蒸氣烤焗水波爐特佣 ER-VD7000HK(XK)</v>
      </c>
      <c r="AS87" s="115" t="str">
        <f>表格1[[#Headers],[TWDT21BU95 ]]</f>
        <v xml:space="preserve">TWDT21BU95 </v>
      </c>
      <c r="AT87" s="115" t="str">
        <f>表格1[[#Headers],[日式洗衣機一特佣 AW-Q800APH(WW)]]</f>
        <v>日式洗衣機一特佣 AW-Q800APH(WW)</v>
      </c>
      <c r="AU87" s="115" t="str">
        <f>表格1[[#Headers],[日式洗衣機二特佣 AW-Q801APH(WW)]]</f>
        <v>日式洗衣機二特佣 AW-Q801APH(WW)</v>
      </c>
      <c r="AV87" s="115" t="str">
        <f>表格1[[#Headers],[三門雪櫃特佣 GR-RM469WE-PGA(B3)]]</f>
        <v>三門雪櫃特佣 GR-RM469WE-PGA(B3)</v>
      </c>
      <c r="AW87" s="115" t="str">
        <f>表格1[[#Headers],[雙門雪櫃一特佣 GR-RB449WE-PMA(57)]]</f>
        <v>雙門雪櫃一特佣 GR-RB449WE-PMA(57)</v>
      </c>
      <c r="AX87" s="115" t="str">
        <f>表格1[[#Headers],[雙門雪櫃一特佣 GR-RB410WE-PMA(06)]]</f>
        <v>雙門雪櫃一特佣 GR-RB410WE-PMA(06)</v>
      </c>
      <c r="AY87" s="115" t="str">
        <f>表格1[[#Headers],[十字門雪櫃 GR-RF698WI]]</f>
        <v>十字門雪櫃 GR-RF698WI</v>
      </c>
      <c r="AZ87" s="115" t="str">
        <f>表格1[[#Headers],[水機 TWP-W2265THK(W)]]</f>
        <v>水機 TWP-W2265THK(W)</v>
      </c>
      <c r="BA87" s="115" t="str">
        <f>表格1[[#Headers],[抽濕機特佣]]</f>
        <v>抽濕機特佣</v>
      </c>
      <c r="BB87" s="115" t="str">
        <f>表格1[[#Headers],[(Fortress ONLY)TW-T25BZU115MWH(MG) ]]</f>
        <v>(Fortress ONLY)TW-T25BZU115MWH(MG) </v>
      </c>
      <c r="BC87" s="115" t="str">
        <f>表格1[[#Headers],[開門紅(三月)]]</f>
        <v>開門紅(三月)</v>
      </c>
      <c r="BD87" s="115" t="str">
        <f>表格1[[#Headers],[開門紅(第一季)]]</f>
        <v>開門紅(第一季)</v>
      </c>
      <c r="BE87" s="115" t="str">
        <f>表格1[[#Headers],[酵活炊電飯煲特佣 RC-18AMXH(W)]]</f>
        <v>酵活炊電飯煲特佣 RC-18AMXH(W)</v>
      </c>
    </row>
    <row r="88" spans="1:57" ht="26.25">
      <c r="AO88" s="115" t="str">
        <f>表格1[[#Headers],[日本飯煲 RC-DS10K/18K]]</f>
        <v>日本飯煲 RC-DS10K/18K</v>
      </c>
      <c r="AP88" s="115" t="str">
        <f>表格1[[#Headers],[酵活炊電飯煲特佣 RC-18AMXH(W)]]</f>
        <v>酵活炊電飯煲特佣 RC-18AMXH(W)</v>
      </c>
      <c r="AQ88" s="115" t="str">
        <f>表格1[[#Headers],[嵌入式微波氣炸蒸焗爐特佣 EB-T500APW]]</f>
        <v>嵌入式微波氣炸蒸焗爐特佣 EB-T500APW</v>
      </c>
      <c r="AR88" s="115" t="str">
        <f>表格1[[#Headers],[蒸氣烤焗水波爐特佣 ER-VD7000HK(XK)]]</f>
        <v>蒸氣烤焗水波爐特佣 ER-VD7000HK(XK)</v>
      </c>
      <c r="AS88" s="115" t="str">
        <f>表格1[[#Headers],[TWDT21BU95 ]]</f>
        <v xml:space="preserve">TWDT21BU95 </v>
      </c>
      <c r="AT88" s="115" t="str">
        <f>表格1[[#Headers],[日式洗衣機一特佣 AW-Q800APH(WW)]]</f>
        <v>日式洗衣機一特佣 AW-Q800APH(WW)</v>
      </c>
      <c r="AU88" s="115" t="str">
        <f>表格1[[#Headers],[日式洗衣機二特佣 AW-Q801APH(WW)]]</f>
        <v>日式洗衣機二特佣 AW-Q801APH(WW)</v>
      </c>
      <c r="AV88" s="115" t="str">
        <f>表格1[[#Headers],[三門雪櫃特佣 GR-RM469WE-PGA(B3)]]</f>
        <v>三門雪櫃特佣 GR-RM469WE-PGA(B3)</v>
      </c>
      <c r="AW88" s="115" t="str">
        <f>表格1[[#Headers],[雙門雪櫃一特佣 GR-RB449WE-PMA(57)]]</f>
        <v>雙門雪櫃一特佣 GR-RB449WE-PMA(57)</v>
      </c>
      <c r="AX88" s="115" t="str">
        <f>表格1[[#Headers],[雙門雪櫃一特佣 GR-RB410WE-PMA(06)]]</f>
        <v>雙門雪櫃一特佣 GR-RB410WE-PMA(06)</v>
      </c>
      <c r="AY88" s="115" t="str">
        <f>表格1[[#Headers],[十字門雪櫃 GR-RF698WI]]</f>
        <v>十字門雪櫃 GR-RF698WI</v>
      </c>
      <c r="AZ88" s="115" t="str">
        <f>表格1[[#Headers],[水機 TWP-W2265THK(W)]]</f>
        <v>水機 TWP-W2265THK(W)</v>
      </c>
      <c r="BA88" s="115" t="str">
        <f>表格1[[#Headers],[抽濕機特佣]]</f>
        <v>抽濕機特佣</v>
      </c>
      <c r="BB88" s="115" t="str">
        <f>表格1[[#Headers],[(Fortress ONLY)TW-T25BZU115MWH(MG) ]]</f>
        <v>(Fortress ONLY)TW-T25BZU115MWH(MG) </v>
      </c>
      <c r="BC88" s="115" t="str">
        <f>表格1[[#Headers],[開門紅(三月)]]</f>
        <v>開門紅(三月)</v>
      </c>
      <c r="BD88" s="115" t="str">
        <f>表格1[[#Headers],[開門紅(第一季)]]</f>
        <v>開門紅(第一季)</v>
      </c>
      <c r="BE88" s="115" t="str">
        <f>表格1[[#Headers],[酵活炊電飯煲特佣 RC-18AMXH(W)]]</f>
        <v>酵活炊電飯煲特佣 RC-18AMXH(W)</v>
      </c>
    </row>
    <row r="89" spans="1:57" ht="26.25">
      <c r="AO89" s="115" t="str">
        <f>表格1[[#Headers],[日本飯煲 RC-DS10K/18K]]</f>
        <v>日本飯煲 RC-DS10K/18K</v>
      </c>
      <c r="AP89" s="115" t="str">
        <f>表格1[[#Headers],[酵活炊電飯煲特佣 RC-18AMXH(W)]]</f>
        <v>酵活炊電飯煲特佣 RC-18AMXH(W)</v>
      </c>
      <c r="AQ89" s="115" t="str">
        <f>表格1[[#Headers],[嵌入式微波氣炸蒸焗爐特佣 EB-T500APW]]</f>
        <v>嵌入式微波氣炸蒸焗爐特佣 EB-T500APW</v>
      </c>
      <c r="AR89" s="115" t="str">
        <f>表格1[[#Headers],[蒸氣烤焗水波爐特佣 ER-VD7000HK(XK)]]</f>
        <v>蒸氣烤焗水波爐特佣 ER-VD7000HK(XK)</v>
      </c>
      <c r="AS89" s="115" t="str">
        <f>表格1[[#Headers],[TWDT21BU95 ]]</f>
        <v xml:space="preserve">TWDT21BU95 </v>
      </c>
      <c r="AT89" s="115" t="str">
        <f>表格1[[#Headers],[日式洗衣機一特佣 AW-Q800APH(WW)]]</f>
        <v>日式洗衣機一特佣 AW-Q800APH(WW)</v>
      </c>
      <c r="AU89" s="115" t="str">
        <f>表格1[[#Headers],[日式洗衣機二特佣 AW-Q801APH(WW)]]</f>
        <v>日式洗衣機二特佣 AW-Q801APH(WW)</v>
      </c>
      <c r="AV89" s="115" t="str">
        <f>表格1[[#Headers],[三門雪櫃特佣 GR-RM469WE-PGA(B3)]]</f>
        <v>三門雪櫃特佣 GR-RM469WE-PGA(B3)</v>
      </c>
      <c r="AW89" s="115" t="str">
        <f>表格1[[#Headers],[雙門雪櫃一特佣 GR-RB449WE-PMA(57)]]</f>
        <v>雙門雪櫃一特佣 GR-RB449WE-PMA(57)</v>
      </c>
      <c r="AX89" s="115" t="str">
        <f>表格1[[#Headers],[雙門雪櫃一特佣 GR-RB410WE-PMA(06)]]</f>
        <v>雙門雪櫃一特佣 GR-RB410WE-PMA(06)</v>
      </c>
      <c r="AY89" s="115" t="str">
        <f>表格1[[#Headers],[十字門雪櫃 GR-RF698WI]]</f>
        <v>十字門雪櫃 GR-RF698WI</v>
      </c>
      <c r="AZ89" s="115" t="str">
        <f>表格1[[#Headers],[水機 TWP-W2265THK(W)]]</f>
        <v>水機 TWP-W2265THK(W)</v>
      </c>
      <c r="BA89" s="115" t="str">
        <f>表格1[[#Headers],[抽濕機特佣]]</f>
        <v>抽濕機特佣</v>
      </c>
      <c r="BB89" s="115" t="str">
        <f>表格1[[#Headers],[(Fortress ONLY)TW-T25BZU115MWH(MG) ]]</f>
        <v>(Fortress ONLY)TW-T25BZU115MWH(MG) </v>
      </c>
      <c r="BC89" s="115" t="str">
        <f>表格1[[#Headers],[開門紅(三月)]]</f>
        <v>開門紅(三月)</v>
      </c>
      <c r="BD89" s="115" t="str">
        <f>表格1[[#Headers],[開門紅(第一季)]]</f>
        <v>開門紅(第一季)</v>
      </c>
      <c r="BE89" s="115" t="str">
        <f>表格1[[#Headers],[酵活炊電飯煲特佣 RC-18AMXH(W)]]</f>
        <v>酵活炊電飯煲特佣 RC-18AMXH(W)</v>
      </c>
    </row>
    <row r="90" spans="1:57" ht="26.25">
      <c r="AO90" s="115" t="str">
        <f>表格1[[#Headers],[日本飯煲 RC-DS10K/18K]]</f>
        <v>日本飯煲 RC-DS10K/18K</v>
      </c>
      <c r="AP90" s="115" t="str">
        <f>表格1[[#Headers],[酵活炊電飯煲特佣 RC-18AMXH(W)]]</f>
        <v>酵活炊電飯煲特佣 RC-18AMXH(W)</v>
      </c>
      <c r="AQ90" s="115" t="str">
        <f>表格1[[#Headers],[嵌入式微波氣炸蒸焗爐特佣 EB-T500APW]]</f>
        <v>嵌入式微波氣炸蒸焗爐特佣 EB-T500APW</v>
      </c>
      <c r="AR90" s="115" t="str">
        <f>表格1[[#Headers],[蒸氣烤焗水波爐特佣 ER-VD7000HK(XK)]]</f>
        <v>蒸氣烤焗水波爐特佣 ER-VD7000HK(XK)</v>
      </c>
      <c r="AS90" s="115" t="str">
        <f>表格1[[#Headers],[TWDT21BU95 ]]</f>
        <v xml:space="preserve">TWDT21BU95 </v>
      </c>
      <c r="AT90" s="115" t="str">
        <f>表格1[[#Headers],[日式洗衣機一特佣 AW-Q800APH(WW)]]</f>
        <v>日式洗衣機一特佣 AW-Q800APH(WW)</v>
      </c>
      <c r="AU90" s="115" t="str">
        <f>表格1[[#Headers],[日式洗衣機二特佣 AW-Q801APH(WW)]]</f>
        <v>日式洗衣機二特佣 AW-Q801APH(WW)</v>
      </c>
      <c r="AV90" s="115" t="str">
        <f>表格1[[#Headers],[三門雪櫃特佣 GR-RM469WE-PGA(B3)]]</f>
        <v>三門雪櫃特佣 GR-RM469WE-PGA(B3)</v>
      </c>
      <c r="AW90" s="115" t="str">
        <f>表格1[[#Headers],[雙門雪櫃一特佣 GR-RB449WE-PMA(57)]]</f>
        <v>雙門雪櫃一特佣 GR-RB449WE-PMA(57)</v>
      </c>
      <c r="AX90" s="115" t="str">
        <f>表格1[[#Headers],[雙門雪櫃一特佣 GR-RB410WE-PMA(06)]]</f>
        <v>雙門雪櫃一特佣 GR-RB410WE-PMA(06)</v>
      </c>
      <c r="AY90" s="115" t="str">
        <f>表格1[[#Headers],[十字門雪櫃 GR-RF698WI]]</f>
        <v>十字門雪櫃 GR-RF698WI</v>
      </c>
      <c r="AZ90" s="115" t="str">
        <f>表格1[[#Headers],[水機 TWP-W2265THK(W)]]</f>
        <v>水機 TWP-W2265THK(W)</v>
      </c>
      <c r="BA90" s="115" t="str">
        <f>表格1[[#Headers],[抽濕機特佣]]</f>
        <v>抽濕機特佣</v>
      </c>
      <c r="BB90" s="115" t="str">
        <f>表格1[[#Headers],[(Fortress ONLY)TW-T25BZU115MWH(MG) ]]</f>
        <v>(Fortress ONLY)TW-T25BZU115MWH(MG) </v>
      </c>
      <c r="BC90" s="115" t="str">
        <f>表格1[[#Headers],[開門紅(三月)]]</f>
        <v>開門紅(三月)</v>
      </c>
      <c r="BD90" s="115" t="str">
        <f>表格1[[#Headers],[開門紅(第一季)]]</f>
        <v>開門紅(第一季)</v>
      </c>
      <c r="BE90" s="115" t="str">
        <f>表格1[[#Headers],[酵活炊電飯煲特佣 RC-18AMXH(W)]]</f>
        <v>酵活炊電飯煲特佣 RC-18AMXH(W)</v>
      </c>
    </row>
    <row r="91" spans="1:57" ht="26.25">
      <c r="AO91" s="115" t="str">
        <f>表格1[[#Headers],[日本飯煲 RC-DS10K/18K]]</f>
        <v>日本飯煲 RC-DS10K/18K</v>
      </c>
      <c r="AP91" s="115" t="str">
        <f>表格1[[#Headers],[酵活炊電飯煲特佣 RC-18AMXH(W)]]</f>
        <v>酵活炊電飯煲特佣 RC-18AMXH(W)</v>
      </c>
      <c r="AQ91" s="115" t="str">
        <f>表格1[[#Headers],[嵌入式微波氣炸蒸焗爐特佣 EB-T500APW]]</f>
        <v>嵌入式微波氣炸蒸焗爐特佣 EB-T500APW</v>
      </c>
      <c r="AR91" s="115" t="str">
        <f>表格1[[#Headers],[蒸氣烤焗水波爐特佣 ER-VD7000HK(XK)]]</f>
        <v>蒸氣烤焗水波爐特佣 ER-VD7000HK(XK)</v>
      </c>
      <c r="AS91" s="115" t="str">
        <f>表格1[[#Headers],[TWDT21BU95 ]]</f>
        <v xml:space="preserve">TWDT21BU95 </v>
      </c>
      <c r="AT91" s="115" t="str">
        <f>表格1[[#Headers],[日式洗衣機一特佣 AW-Q800APH(WW)]]</f>
        <v>日式洗衣機一特佣 AW-Q800APH(WW)</v>
      </c>
      <c r="AU91" s="115" t="str">
        <f>表格1[[#Headers],[日式洗衣機二特佣 AW-Q801APH(WW)]]</f>
        <v>日式洗衣機二特佣 AW-Q801APH(WW)</v>
      </c>
      <c r="AV91" s="115" t="str">
        <f>表格1[[#Headers],[三門雪櫃特佣 GR-RM469WE-PGA(B3)]]</f>
        <v>三門雪櫃特佣 GR-RM469WE-PGA(B3)</v>
      </c>
      <c r="AW91" s="115" t="str">
        <f>表格1[[#Headers],[雙門雪櫃一特佣 GR-RB449WE-PMA(57)]]</f>
        <v>雙門雪櫃一特佣 GR-RB449WE-PMA(57)</v>
      </c>
      <c r="AX91" s="115" t="str">
        <f>表格1[[#Headers],[雙門雪櫃一特佣 GR-RB410WE-PMA(06)]]</f>
        <v>雙門雪櫃一特佣 GR-RB410WE-PMA(06)</v>
      </c>
      <c r="AY91" s="115" t="str">
        <f>表格1[[#Headers],[十字門雪櫃 GR-RF698WI]]</f>
        <v>十字門雪櫃 GR-RF698WI</v>
      </c>
      <c r="AZ91" s="115" t="str">
        <f>表格1[[#Headers],[水機 TWP-W2265THK(W)]]</f>
        <v>水機 TWP-W2265THK(W)</v>
      </c>
      <c r="BA91" s="115" t="str">
        <f>表格1[[#Headers],[抽濕機特佣]]</f>
        <v>抽濕機特佣</v>
      </c>
      <c r="BB91" s="115" t="str">
        <f>表格1[[#Headers],[(Fortress ONLY)TW-T25BZU115MWH(MG) ]]</f>
        <v>(Fortress ONLY)TW-T25BZU115MWH(MG) </v>
      </c>
      <c r="BC91" s="115" t="str">
        <f>表格1[[#Headers],[開門紅(三月)]]</f>
        <v>開門紅(三月)</v>
      </c>
      <c r="BD91" s="115" t="str">
        <f>表格1[[#Headers],[開門紅(第一季)]]</f>
        <v>開門紅(第一季)</v>
      </c>
      <c r="BE91" s="115" t="str">
        <f>表格1[[#Headers],[酵活炊電飯煲特佣 RC-18AMXH(W)]]</f>
        <v>酵活炊電飯煲特佣 RC-18AMXH(W)</v>
      </c>
    </row>
    <row r="92" spans="1:57" ht="26.25">
      <c r="AO92" s="115" t="str">
        <f>表格1[[#Headers],[日本飯煲 RC-DS10K/18K]]</f>
        <v>日本飯煲 RC-DS10K/18K</v>
      </c>
      <c r="AP92" s="115" t="str">
        <f>表格1[[#Headers],[酵活炊電飯煲特佣 RC-18AMXH(W)]]</f>
        <v>酵活炊電飯煲特佣 RC-18AMXH(W)</v>
      </c>
      <c r="AQ92" s="115" t="str">
        <f>表格1[[#Headers],[嵌入式微波氣炸蒸焗爐特佣 EB-T500APW]]</f>
        <v>嵌入式微波氣炸蒸焗爐特佣 EB-T500APW</v>
      </c>
      <c r="AR92" s="115" t="str">
        <f>表格1[[#Headers],[蒸氣烤焗水波爐特佣 ER-VD7000HK(XK)]]</f>
        <v>蒸氣烤焗水波爐特佣 ER-VD7000HK(XK)</v>
      </c>
      <c r="AS92" s="115" t="str">
        <f>表格1[[#Headers],[TWDT21BU95 ]]</f>
        <v xml:space="preserve">TWDT21BU95 </v>
      </c>
      <c r="AT92" s="115" t="str">
        <f>表格1[[#Headers],[日式洗衣機一特佣 AW-Q800APH(WW)]]</f>
        <v>日式洗衣機一特佣 AW-Q800APH(WW)</v>
      </c>
      <c r="AU92" s="115" t="str">
        <f>表格1[[#Headers],[日式洗衣機二特佣 AW-Q801APH(WW)]]</f>
        <v>日式洗衣機二特佣 AW-Q801APH(WW)</v>
      </c>
      <c r="AV92" s="115" t="str">
        <f>表格1[[#Headers],[三門雪櫃特佣 GR-RM469WE-PGA(B3)]]</f>
        <v>三門雪櫃特佣 GR-RM469WE-PGA(B3)</v>
      </c>
      <c r="AW92" s="115" t="str">
        <f>表格1[[#Headers],[雙門雪櫃一特佣 GR-RB449WE-PMA(57)]]</f>
        <v>雙門雪櫃一特佣 GR-RB449WE-PMA(57)</v>
      </c>
      <c r="AX92" s="115" t="str">
        <f>表格1[[#Headers],[雙門雪櫃一特佣 GR-RB410WE-PMA(06)]]</f>
        <v>雙門雪櫃一特佣 GR-RB410WE-PMA(06)</v>
      </c>
      <c r="AY92" s="115" t="str">
        <f>表格1[[#Headers],[十字門雪櫃 GR-RF698WI]]</f>
        <v>十字門雪櫃 GR-RF698WI</v>
      </c>
      <c r="AZ92" s="115" t="str">
        <f>表格1[[#Headers],[水機 TWP-W2265THK(W)]]</f>
        <v>水機 TWP-W2265THK(W)</v>
      </c>
      <c r="BA92" s="115" t="str">
        <f>表格1[[#Headers],[抽濕機特佣]]</f>
        <v>抽濕機特佣</v>
      </c>
      <c r="BB92" s="115" t="str">
        <f>表格1[[#Headers],[(Fortress ONLY)TW-T25BZU115MWH(MG) ]]</f>
        <v>(Fortress ONLY)TW-T25BZU115MWH(MG) </v>
      </c>
      <c r="BC92" s="115" t="str">
        <f>表格1[[#Headers],[開門紅(三月)]]</f>
        <v>開門紅(三月)</v>
      </c>
      <c r="BD92" s="115" t="str">
        <f>表格1[[#Headers],[開門紅(第一季)]]</f>
        <v>開門紅(第一季)</v>
      </c>
      <c r="BE92" s="115" t="str">
        <f>表格1[[#Headers],[酵活炊電飯煲特佣 RC-18AMXH(W)]]</f>
        <v>酵活炊電飯煲特佣 RC-18AMXH(W)</v>
      </c>
    </row>
    <row r="93" spans="1:57" ht="26.25">
      <c r="AO93" s="115" t="str">
        <f>表格1[[#Headers],[日本飯煲 RC-DS10K/18K]]</f>
        <v>日本飯煲 RC-DS10K/18K</v>
      </c>
      <c r="AP93" s="115" t="str">
        <f>表格1[[#Headers],[酵活炊電飯煲特佣 RC-18AMXH(W)]]</f>
        <v>酵活炊電飯煲特佣 RC-18AMXH(W)</v>
      </c>
      <c r="AQ93" s="115" t="str">
        <f>表格1[[#Headers],[嵌入式微波氣炸蒸焗爐特佣 EB-T500APW]]</f>
        <v>嵌入式微波氣炸蒸焗爐特佣 EB-T500APW</v>
      </c>
      <c r="AR93" s="115" t="str">
        <f>表格1[[#Headers],[蒸氣烤焗水波爐特佣 ER-VD7000HK(XK)]]</f>
        <v>蒸氣烤焗水波爐特佣 ER-VD7000HK(XK)</v>
      </c>
      <c r="AS93" s="115" t="str">
        <f>表格1[[#Headers],[TWDT21BU95 ]]</f>
        <v xml:space="preserve">TWDT21BU95 </v>
      </c>
      <c r="AT93" s="115" t="str">
        <f>表格1[[#Headers],[日式洗衣機一特佣 AW-Q800APH(WW)]]</f>
        <v>日式洗衣機一特佣 AW-Q800APH(WW)</v>
      </c>
      <c r="AU93" s="115" t="str">
        <f>表格1[[#Headers],[日式洗衣機二特佣 AW-Q801APH(WW)]]</f>
        <v>日式洗衣機二特佣 AW-Q801APH(WW)</v>
      </c>
      <c r="AV93" s="115" t="str">
        <f>表格1[[#Headers],[三門雪櫃特佣 GR-RM469WE-PGA(B3)]]</f>
        <v>三門雪櫃特佣 GR-RM469WE-PGA(B3)</v>
      </c>
      <c r="AW93" s="115" t="str">
        <f>表格1[[#Headers],[雙門雪櫃一特佣 GR-RB449WE-PMA(57)]]</f>
        <v>雙門雪櫃一特佣 GR-RB449WE-PMA(57)</v>
      </c>
      <c r="AX93" s="115" t="str">
        <f>表格1[[#Headers],[雙門雪櫃一特佣 GR-RB410WE-PMA(06)]]</f>
        <v>雙門雪櫃一特佣 GR-RB410WE-PMA(06)</v>
      </c>
      <c r="AY93" s="115" t="str">
        <f>表格1[[#Headers],[十字門雪櫃 GR-RF698WI]]</f>
        <v>十字門雪櫃 GR-RF698WI</v>
      </c>
      <c r="AZ93" s="115" t="str">
        <f>表格1[[#Headers],[水機 TWP-W2265THK(W)]]</f>
        <v>水機 TWP-W2265THK(W)</v>
      </c>
      <c r="BA93" s="115" t="str">
        <f>表格1[[#Headers],[抽濕機特佣]]</f>
        <v>抽濕機特佣</v>
      </c>
      <c r="BB93" s="115" t="str">
        <f>表格1[[#Headers],[(Fortress ONLY)TW-T25BZU115MWH(MG) ]]</f>
        <v>(Fortress ONLY)TW-T25BZU115MWH(MG) </v>
      </c>
      <c r="BC93" s="115" t="str">
        <f>表格1[[#Headers],[開門紅(三月)]]</f>
        <v>開門紅(三月)</v>
      </c>
      <c r="BD93" s="115" t="str">
        <f>表格1[[#Headers],[開門紅(第一季)]]</f>
        <v>開門紅(第一季)</v>
      </c>
      <c r="BE93" s="115" t="str">
        <f>表格1[[#Headers],[酵活炊電飯煲特佣 RC-18AMXH(W)]]</f>
        <v>酵活炊電飯煲特佣 RC-18AMXH(W)</v>
      </c>
    </row>
    <row r="94" spans="1:57" ht="26.25">
      <c r="AO94" s="115" t="str">
        <f>表格1[[#Headers],[日本飯煲 RC-DS10K/18K]]</f>
        <v>日本飯煲 RC-DS10K/18K</v>
      </c>
      <c r="AP94" s="115" t="str">
        <f>表格1[[#Headers],[酵活炊電飯煲特佣 RC-18AMXH(W)]]</f>
        <v>酵活炊電飯煲特佣 RC-18AMXH(W)</v>
      </c>
      <c r="AQ94" s="115" t="str">
        <f>表格1[[#Headers],[嵌入式微波氣炸蒸焗爐特佣 EB-T500APW]]</f>
        <v>嵌入式微波氣炸蒸焗爐特佣 EB-T500APW</v>
      </c>
      <c r="AR94" s="115" t="str">
        <f>表格1[[#Headers],[蒸氣烤焗水波爐特佣 ER-VD7000HK(XK)]]</f>
        <v>蒸氣烤焗水波爐特佣 ER-VD7000HK(XK)</v>
      </c>
      <c r="AS94" s="115" t="str">
        <f>表格1[[#Headers],[TWDT21BU95 ]]</f>
        <v xml:space="preserve">TWDT21BU95 </v>
      </c>
      <c r="AT94" s="115" t="str">
        <f>表格1[[#Headers],[日式洗衣機一特佣 AW-Q800APH(WW)]]</f>
        <v>日式洗衣機一特佣 AW-Q800APH(WW)</v>
      </c>
      <c r="AU94" s="115" t="str">
        <f>表格1[[#Headers],[日式洗衣機二特佣 AW-Q801APH(WW)]]</f>
        <v>日式洗衣機二特佣 AW-Q801APH(WW)</v>
      </c>
      <c r="AV94" s="115" t="str">
        <f>表格1[[#Headers],[三門雪櫃特佣 GR-RM469WE-PGA(B3)]]</f>
        <v>三門雪櫃特佣 GR-RM469WE-PGA(B3)</v>
      </c>
      <c r="AW94" s="115" t="str">
        <f>表格1[[#Headers],[雙門雪櫃一特佣 GR-RB449WE-PMA(57)]]</f>
        <v>雙門雪櫃一特佣 GR-RB449WE-PMA(57)</v>
      </c>
      <c r="AX94" s="115" t="str">
        <f>表格1[[#Headers],[雙門雪櫃一特佣 GR-RB410WE-PMA(06)]]</f>
        <v>雙門雪櫃一特佣 GR-RB410WE-PMA(06)</v>
      </c>
      <c r="AY94" s="115" t="str">
        <f>表格1[[#Headers],[十字門雪櫃 GR-RF698WI]]</f>
        <v>十字門雪櫃 GR-RF698WI</v>
      </c>
      <c r="AZ94" s="115" t="str">
        <f>表格1[[#Headers],[水機 TWP-W2265THK(W)]]</f>
        <v>水機 TWP-W2265THK(W)</v>
      </c>
      <c r="BA94" s="115" t="str">
        <f>表格1[[#Headers],[抽濕機特佣]]</f>
        <v>抽濕機特佣</v>
      </c>
      <c r="BB94" s="115" t="str">
        <f>表格1[[#Headers],[(Fortress ONLY)TW-T25BZU115MWH(MG) ]]</f>
        <v>(Fortress ONLY)TW-T25BZU115MWH(MG) </v>
      </c>
      <c r="BC94" s="115" t="str">
        <f>表格1[[#Headers],[開門紅(三月)]]</f>
        <v>開門紅(三月)</v>
      </c>
      <c r="BD94" s="115" t="str">
        <f>表格1[[#Headers],[開門紅(第一季)]]</f>
        <v>開門紅(第一季)</v>
      </c>
      <c r="BE94" s="115" t="str">
        <f>表格1[[#Headers],[酵活炊電飯煲特佣 RC-18AMXH(W)]]</f>
        <v>酵活炊電飯煲特佣 RC-18AMXH(W)</v>
      </c>
    </row>
    <row r="95" spans="1:57" ht="26.25">
      <c r="AO95" s="115" t="str">
        <f>表格1[[#Headers],[日本飯煲 RC-DS10K/18K]]</f>
        <v>日本飯煲 RC-DS10K/18K</v>
      </c>
      <c r="AP95" s="115" t="str">
        <f>表格1[[#Headers],[酵活炊電飯煲特佣 RC-18AMXH(W)]]</f>
        <v>酵活炊電飯煲特佣 RC-18AMXH(W)</v>
      </c>
      <c r="AQ95" s="115" t="str">
        <f>表格1[[#Headers],[嵌入式微波氣炸蒸焗爐特佣 EB-T500APW]]</f>
        <v>嵌入式微波氣炸蒸焗爐特佣 EB-T500APW</v>
      </c>
      <c r="AR95" s="115" t="str">
        <f>表格1[[#Headers],[蒸氣烤焗水波爐特佣 ER-VD7000HK(XK)]]</f>
        <v>蒸氣烤焗水波爐特佣 ER-VD7000HK(XK)</v>
      </c>
      <c r="AS95" s="115" t="str">
        <f>表格1[[#Headers],[TWDT21BU95 ]]</f>
        <v xml:space="preserve">TWDT21BU95 </v>
      </c>
      <c r="AT95" s="115" t="str">
        <f>表格1[[#Headers],[日式洗衣機一特佣 AW-Q800APH(WW)]]</f>
        <v>日式洗衣機一特佣 AW-Q800APH(WW)</v>
      </c>
      <c r="AU95" s="115" t="str">
        <f>表格1[[#Headers],[日式洗衣機二特佣 AW-Q801APH(WW)]]</f>
        <v>日式洗衣機二特佣 AW-Q801APH(WW)</v>
      </c>
      <c r="AV95" s="115" t="str">
        <f>表格1[[#Headers],[三門雪櫃特佣 GR-RM469WE-PGA(B3)]]</f>
        <v>三門雪櫃特佣 GR-RM469WE-PGA(B3)</v>
      </c>
      <c r="AW95" s="115" t="str">
        <f>表格1[[#Headers],[雙門雪櫃一特佣 GR-RB449WE-PMA(57)]]</f>
        <v>雙門雪櫃一特佣 GR-RB449WE-PMA(57)</v>
      </c>
      <c r="AX95" s="115" t="str">
        <f>表格1[[#Headers],[雙門雪櫃一特佣 GR-RB410WE-PMA(06)]]</f>
        <v>雙門雪櫃一特佣 GR-RB410WE-PMA(06)</v>
      </c>
      <c r="AY95" s="115" t="str">
        <f>表格1[[#Headers],[十字門雪櫃 GR-RF698WI]]</f>
        <v>十字門雪櫃 GR-RF698WI</v>
      </c>
      <c r="AZ95" s="115" t="str">
        <f>表格1[[#Headers],[水機 TWP-W2265THK(W)]]</f>
        <v>水機 TWP-W2265THK(W)</v>
      </c>
      <c r="BA95" s="115" t="str">
        <f>表格1[[#Headers],[抽濕機特佣]]</f>
        <v>抽濕機特佣</v>
      </c>
      <c r="BB95" s="115" t="str">
        <f>表格1[[#Headers],[(Fortress ONLY)TW-T25BZU115MWH(MG) ]]</f>
        <v>(Fortress ONLY)TW-T25BZU115MWH(MG) </v>
      </c>
      <c r="BC95" s="115" t="str">
        <f>表格1[[#Headers],[開門紅(三月)]]</f>
        <v>開門紅(三月)</v>
      </c>
      <c r="BD95" s="115" t="str">
        <f>表格1[[#Headers],[開門紅(第一季)]]</f>
        <v>開門紅(第一季)</v>
      </c>
      <c r="BE95" s="115" t="str">
        <f>表格1[[#Headers],[酵活炊電飯煲特佣 RC-18AMXH(W)]]</f>
        <v>酵活炊電飯煲特佣 RC-18AMXH(W)</v>
      </c>
    </row>
    <row r="96" spans="1:57" ht="26.25">
      <c r="AO96" s="115" t="str">
        <f>表格1[[#Headers],[日本飯煲 RC-DS10K/18K]]</f>
        <v>日本飯煲 RC-DS10K/18K</v>
      </c>
      <c r="AP96" s="115" t="str">
        <f>表格1[[#Headers],[酵活炊電飯煲特佣 RC-18AMXH(W)]]</f>
        <v>酵活炊電飯煲特佣 RC-18AMXH(W)</v>
      </c>
      <c r="AQ96" s="115" t="str">
        <f>表格1[[#Headers],[嵌入式微波氣炸蒸焗爐特佣 EB-T500APW]]</f>
        <v>嵌入式微波氣炸蒸焗爐特佣 EB-T500APW</v>
      </c>
      <c r="AR96" s="115" t="str">
        <f>表格1[[#Headers],[蒸氣烤焗水波爐特佣 ER-VD7000HK(XK)]]</f>
        <v>蒸氣烤焗水波爐特佣 ER-VD7000HK(XK)</v>
      </c>
      <c r="AS96" s="115" t="str">
        <f>表格1[[#Headers],[TWDT21BU95 ]]</f>
        <v xml:space="preserve">TWDT21BU95 </v>
      </c>
      <c r="AT96" s="115" t="str">
        <f>表格1[[#Headers],[日式洗衣機一特佣 AW-Q800APH(WW)]]</f>
        <v>日式洗衣機一特佣 AW-Q800APH(WW)</v>
      </c>
      <c r="AU96" s="115" t="str">
        <f>表格1[[#Headers],[日式洗衣機二特佣 AW-Q801APH(WW)]]</f>
        <v>日式洗衣機二特佣 AW-Q801APH(WW)</v>
      </c>
      <c r="AV96" s="115" t="str">
        <f>表格1[[#Headers],[三門雪櫃特佣 GR-RM469WE-PGA(B3)]]</f>
        <v>三門雪櫃特佣 GR-RM469WE-PGA(B3)</v>
      </c>
      <c r="AW96" s="115" t="str">
        <f>表格1[[#Headers],[雙門雪櫃一特佣 GR-RB449WE-PMA(57)]]</f>
        <v>雙門雪櫃一特佣 GR-RB449WE-PMA(57)</v>
      </c>
      <c r="AX96" s="115" t="str">
        <f>表格1[[#Headers],[雙門雪櫃一特佣 GR-RB410WE-PMA(06)]]</f>
        <v>雙門雪櫃一特佣 GR-RB410WE-PMA(06)</v>
      </c>
      <c r="AY96" s="115" t="str">
        <f>表格1[[#Headers],[十字門雪櫃 GR-RF698WI]]</f>
        <v>十字門雪櫃 GR-RF698WI</v>
      </c>
      <c r="AZ96" s="115" t="str">
        <f>表格1[[#Headers],[水機 TWP-W2265THK(W)]]</f>
        <v>水機 TWP-W2265THK(W)</v>
      </c>
      <c r="BA96" s="115" t="str">
        <f>表格1[[#Headers],[抽濕機特佣]]</f>
        <v>抽濕機特佣</v>
      </c>
      <c r="BB96" s="115" t="str">
        <f>表格1[[#Headers],[(Fortress ONLY)TW-T25BZU115MWH(MG) ]]</f>
        <v>(Fortress ONLY)TW-T25BZU115MWH(MG) </v>
      </c>
      <c r="BC96" s="115" t="str">
        <f>表格1[[#Headers],[開門紅(三月)]]</f>
        <v>開門紅(三月)</v>
      </c>
      <c r="BD96" s="115" t="str">
        <f>表格1[[#Headers],[開門紅(第一季)]]</f>
        <v>開門紅(第一季)</v>
      </c>
      <c r="BE96" s="115" t="str">
        <f>表格1[[#Headers],[酵活炊電飯煲特佣 RC-18AMXH(W)]]</f>
        <v>酵活炊電飯煲特佣 RC-18AMXH(W)</v>
      </c>
    </row>
    <row r="97" spans="41:57" ht="26.25">
      <c r="AO97" s="115" t="str">
        <f>表格1[[#Headers],[日本飯煲 RC-DS10K/18K]]</f>
        <v>日本飯煲 RC-DS10K/18K</v>
      </c>
      <c r="AP97" s="115" t="str">
        <f>表格1[[#Headers],[酵活炊電飯煲特佣 RC-18AMXH(W)]]</f>
        <v>酵活炊電飯煲特佣 RC-18AMXH(W)</v>
      </c>
      <c r="AQ97" s="115" t="str">
        <f>表格1[[#Headers],[嵌入式微波氣炸蒸焗爐特佣 EB-T500APW]]</f>
        <v>嵌入式微波氣炸蒸焗爐特佣 EB-T500APW</v>
      </c>
      <c r="AR97" s="115" t="str">
        <f>表格1[[#Headers],[蒸氣烤焗水波爐特佣 ER-VD7000HK(XK)]]</f>
        <v>蒸氣烤焗水波爐特佣 ER-VD7000HK(XK)</v>
      </c>
      <c r="AS97" s="115" t="str">
        <f>表格1[[#Headers],[TWDT21BU95 ]]</f>
        <v xml:space="preserve">TWDT21BU95 </v>
      </c>
      <c r="AT97" s="115" t="str">
        <f>表格1[[#Headers],[日式洗衣機一特佣 AW-Q800APH(WW)]]</f>
        <v>日式洗衣機一特佣 AW-Q800APH(WW)</v>
      </c>
      <c r="AU97" s="115" t="str">
        <f>表格1[[#Headers],[日式洗衣機二特佣 AW-Q801APH(WW)]]</f>
        <v>日式洗衣機二特佣 AW-Q801APH(WW)</v>
      </c>
      <c r="AV97" s="115" t="str">
        <f>表格1[[#Headers],[三門雪櫃特佣 GR-RM469WE-PGA(B3)]]</f>
        <v>三門雪櫃特佣 GR-RM469WE-PGA(B3)</v>
      </c>
      <c r="AW97" s="115" t="str">
        <f>表格1[[#Headers],[雙門雪櫃一特佣 GR-RB449WE-PMA(57)]]</f>
        <v>雙門雪櫃一特佣 GR-RB449WE-PMA(57)</v>
      </c>
      <c r="AX97" s="115" t="str">
        <f>表格1[[#Headers],[雙門雪櫃一特佣 GR-RB410WE-PMA(06)]]</f>
        <v>雙門雪櫃一特佣 GR-RB410WE-PMA(06)</v>
      </c>
      <c r="AY97" s="115" t="str">
        <f>表格1[[#Headers],[十字門雪櫃 GR-RF698WI]]</f>
        <v>十字門雪櫃 GR-RF698WI</v>
      </c>
      <c r="AZ97" s="115" t="str">
        <f>表格1[[#Headers],[水機 TWP-W2265THK(W)]]</f>
        <v>水機 TWP-W2265THK(W)</v>
      </c>
      <c r="BA97" s="115" t="str">
        <f>表格1[[#Headers],[抽濕機特佣]]</f>
        <v>抽濕機特佣</v>
      </c>
      <c r="BB97" s="115" t="str">
        <f>表格1[[#Headers],[(Fortress ONLY)TW-T25BZU115MWH(MG) ]]</f>
        <v>(Fortress ONLY)TW-T25BZU115MWH(MG) </v>
      </c>
      <c r="BC97" s="115" t="str">
        <f>表格1[[#Headers],[開門紅(三月)]]</f>
        <v>開門紅(三月)</v>
      </c>
      <c r="BD97" s="115" t="str">
        <f>表格1[[#Headers],[開門紅(第一季)]]</f>
        <v>開門紅(第一季)</v>
      </c>
      <c r="BE97" s="115" t="str">
        <f>表格1[[#Headers],[酵活炊電飯煲特佣 RC-18AMXH(W)]]</f>
        <v>酵活炊電飯煲特佣 RC-18AMXH(W)</v>
      </c>
    </row>
    <row r="98" spans="41:57" ht="26.25">
      <c r="AO98" s="115" t="str">
        <f>表格1[[#Headers],[日本飯煲 RC-DS10K/18K]]</f>
        <v>日本飯煲 RC-DS10K/18K</v>
      </c>
      <c r="AP98" s="115" t="str">
        <f>表格1[[#Headers],[酵活炊電飯煲特佣 RC-18AMXH(W)]]</f>
        <v>酵活炊電飯煲特佣 RC-18AMXH(W)</v>
      </c>
      <c r="AQ98" s="115" t="str">
        <f>表格1[[#Headers],[嵌入式微波氣炸蒸焗爐特佣 EB-T500APW]]</f>
        <v>嵌入式微波氣炸蒸焗爐特佣 EB-T500APW</v>
      </c>
      <c r="AR98" s="115" t="str">
        <f>表格1[[#Headers],[蒸氣烤焗水波爐特佣 ER-VD7000HK(XK)]]</f>
        <v>蒸氣烤焗水波爐特佣 ER-VD7000HK(XK)</v>
      </c>
      <c r="AS98" s="115" t="str">
        <f>表格1[[#Headers],[TWDT21BU95 ]]</f>
        <v xml:space="preserve">TWDT21BU95 </v>
      </c>
      <c r="AT98" s="115" t="str">
        <f>表格1[[#Headers],[日式洗衣機一特佣 AW-Q800APH(WW)]]</f>
        <v>日式洗衣機一特佣 AW-Q800APH(WW)</v>
      </c>
      <c r="AU98" s="115" t="str">
        <f>表格1[[#Headers],[日式洗衣機二特佣 AW-Q801APH(WW)]]</f>
        <v>日式洗衣機二特佣 AW-Q801APH(WW)</v>
      </c>
      <c r="AV98" s="115" t="str">
        <f>表格1[[#Headers],[三門雪櫃特佣 GR-RM469WE-PGA(B3)]]</f>
        <v>三門雪櫃特佣 GR-RM469WE-PGA(B3)</v>
      </c>
      <c r="AW98" s="115" t="str">
        <f>表格1[[#Headers],[雙門雪櫃一特佣 GR-RB449WE-PMA(57)]]</f>
        <v>雙門雪櫃一特佣 GR-RB449WE-PMA(57)</v>
      </c>
      <c r="AX98" s="115" t="str">
        <f>表格1[[#Headers],[雙門雪櫃一特佣 GR-RB410WE-PMA(06)]]</f>
        <v>雙門雪櫃一特佣 GR-RB410WE-PMA(06)</v>
      </c>
      <c r="AY98" s="115" t="str">
        <f>表格1[[#Headers],[十字門雪櫃 GR-RF698WI]]</f>
        <v>十字門雪櫃 GR-RF698WI</v>
      </c>
      <c r="AZ98" s="115" t="str">
        <f>表格1[[#Headers],[水機 TWP-W2265THK(W)]]</f>
        <v>水機 TWP-W2265THK(W)</v>
      </c>
      <c r="BA98" s="115" t="str">
        <f>表格1[[#Headers],[抽濕機特佣]]</f>
        <v>抽濕機特佣</v>
      </c>
      <c r="BB98" s="115" t="str">
        <f>表格1[[#Headers],[(Fortress ONLY)TW-T25BZU115MWH(MG) ]]</f>
        <v>(Fortress ONLY)TW-T25BZU115MWH(MG) </v>
      </c>
      <c r="BC98" s="115" t="str">
        <f>表格1[[#Headers],[開門紅(三月)]]</f>
        <v>開門紅(三月)</v>
      </c>
      <c r="BD98" s="115" t="str">
        <f>表格1[[#Headers],[開門紅(第一季)]]</f>
        <v>開門紅(第一季)</v>
      </c>
      <c r="BE98" s="115" t="str">
        <f>表格1[[#Headers],[酵活炊電飯煲特佣 RC-18AMXH(W)]]</f>
        <v>酵活炊電飯煲特佣 RC-18AMXH(W)</v>
      </c>
    </row>
    <row r="99" spans="41:57" ht="26.25">
      <c r="AO99" s="115" t="str">
        <f>表格1[[#Headers],[日本飯煲 RC-DS10K/18K]]</f>
        <v>日本飯煲 RC-DS10K/18K</v>
      </c>
      <c r="AP99" s="115" t="str">
        <f>表格1[[#Headers],[酵活炊電飯煲特佣 RC-18AMXH(W)]]</f>
        <v>酵活炊電飯煲特佣 RC-18AMXH(W)</v>
      </c>
      <c r="AQ99" s="115" t="str">
        <f>表格1[[#Headers],[嵌入式微波氣炸蒸焗爐特佣 EB-T500APW]]</f>
        <v>嵌入式微波氣炸蒸焗爐特佣 EB-T500APW</v>
      </c>
      <c r="AR99" s="115" t="str">
        <f>表格1[[#Headers],[蒸氣烤焗水波爐特佣 ER-VD7000HK(XK)]]</f>
        <v>蒸氣烤焗水波爐特佣 ER-VD7000HK(XK)</v>
      </c>
      <c r="AS99" s="115" t="str">
        <f>表格1[[#Headers],[TWDT21BU95 ]]</f>
        <v xml:space="preserve">TWDT21BU95 </v>
      </c>
      <c r="AT99" s="115" t="str">
        <f>表格1[[#Headers],[日式洗衣機一特佣 AW-Q800APH(WW)]]</f>
        <v>日式洗衣機一特佣 AW-Q800APH(WW)</v>
      </c>
      <c r="AU99" s="115" t="str">
        <f>表格1[[#Headers],[日式洗衣機二特佣 AW-Q801APH(WW)]]</f>
        <v>日式洗衣機二特佣 AW-Q801APH(WW)</v>
      </c>
      <c r="AV99" s="115" t="str">
        <f>表格1[[#Headers],[三門雪櫃特佣 GR-RM469WE-PGA(B3)]]</f>
        <v>三門雪櫃特佣 GR-RM469WE-PGA(B3)</v>
      </c>
      <c r="AW99" s="115" t="str">
        <f>表格1[[#Headers],[雙門雪櫃一特佣 GR-RB449WE-PMA(57)]]</f>
        <v>雙門雪櫃一特佣 GR-RB449WE-PMA(57)</v>
      </c>
      <c r="AX99" s="115" t="str">
        <f>表格1[[#Headers],[雙門雪櫃一特佣 GR-RB410WE-PMA(06)]]</f>
        <v>雙門雪櫃一特佣 GR-RB410WE-PMA(06)</v>
      </c>
      <c r="AY99" s="115" t="str">
        <f>表格1[[#Headers],[十字門雪櫃 GR-RF698WI]]</f>
        <v>十字門雪櫃 GR-RF698WI</v>
      </c>
      <c r="AZ99" s="115" t="str">
        <f>表格1[[#Headers],[水機 TWP-W2265THK(W)]]</f>
        <v>水機 TWP-W2265THK(W)</v>
      </c>
      <c r="BA99" s="115" t="str">
        <f>表格1[[#Headers],[抽濕機特佣]]</f>
        <v>抽濕機特佣</v>
      </c>
      <c r="BB99" s="115" t="str">
        <f>表格1[[#Headers],[(Fortress ONLY)TW-T25BZU115MWH(MG) ]]</f>
        <v>(Fortress ONLY)TW-T25BZU115MWH(MG) </v>
      </c>
      <c r="BC99" s="115" t="str">
        <f>表格1[[#Headers],[開門紅(三月)]]</f>
        <v>開門紅(三月)</v>
      </c>
      <c r="BD99" s="115" t="str">
        <f>表格1[[#Headers],[開門紅(第一季)]]</f>
        <v>開門紅(第一季)</v>
      </c>
      <c r="BE99" s="115" t="str">
        <f>表格1[[#Headers],[酵活炊電飯煲特佣 RC-18AMXH(W)]]</f>
        <v>酵活炊電飯煲特佣 RC-18AMXH(W)</v>
      </c>
    </row>
  </sheetData>
  <autoFilter ref="A1:AG87" xr:uid="{EB378068-D502-4DE7-82BA-7CDA3790B73B}">
    <filterColumn colId="4">
      <filters>
        <filter val="20850"/>
        <filter val="20851"/>
        <filter val="20852"/>
        <filter val="20853"/>
        <filter val="20854"/>
        <filter val="20855"/>
        <filter val="20856"/>
        <filter val="20857"/>
        <filter val="20858"/>
        <filter val="20859"/>
        <filter val="20860"/>
        <filter val="20861"/>
        <filter val="20862"/>
        <filter val="20863"/>
        <filter val="20864"/>
        <filter val="20865"/>
        <filter val="20866"/>
        <filter val="20867"/>
        <filter val="20868"/>
        <filter val="20869"/>
        <filter val="20870"/>
        <filter val="20871"/>
        <filter val="20872"/>
        <filter val="20873"/>
        <filter val="20874"/>
        <filter val="20875"/>
        <filter val="20876"/>
        <filter val="20877"/>
        <filter val="20878"/>
        <filter val="20879"/>
        <filter val="20880"/>
        <filter val="20881"/>
        <filter val="20882"/>
        <filter val="Autopay"/>
      </filters>
    </filterColumn>
    <sortState xmlns:xlrd2="http://schemas.microsoft.com/office/spreadsheetml/2017/richdata2" ref="A2:AG65">
      <sortCondition ref="E1:E87"/>
    </sortState>
  </autoFilter>
  <phoneticPr fontId="10" type="noConversion"/>
  <conditionalFormatting sqref="C37:D37 C39:D40 C42:D42">
    <cfRule type="cellIs" dxfId="119" priority="25" operator="equal">
      <formula>"F"</formula>
    </cfRule>
    <cfRule type="cellIs" dxfId="118" priority="26" operator="equal">
      <formula>"E"</formula>
    </cfRule>
    <cfRule type="cellIs" dxfId="117" priority="27" operator="equal">
      <formula>"o"</formula>
    </cfRule>
  </conditionalFormatting>
  <conditionalFormatting sqref="C1:AG87">
    <cfRule type="cellIs" dxfId="116" priority="55" operator="equal">
      <formula>"F"</formula>
    </cfRule>
    <cfRule type="cellIs" dxfId="115" priority="56" operator="equal">
      <formula>"E"</formula>
    </cfRule>
    <cfRule type="cellIs" dxfId="114" priority="57" operator="equal">
      <formula>"o"</formula>
    </cfRule>
  </conditionalFormatting>
  <conditionalFormatting sqref="F2:F87">
    <cfRule type="cellIs" dxfId="113" priority="49" operator="equal">
      <formula>"F"</formula>
    </cfRule>
    <cfRule type="cellIs" dxfId="112" priority="50" operator="equal">
      <formula>"E"</formula>
    </cfRule>
    <cfRule type="cellIs" dxfId="111" priority="51" operator="equal">
      <formula>"o"</formula>
    </cfRule>
  </conditionalFormatting>
  <conditionalFormatting sqref="F21:F22">
    <cfRule type="cellIs" dxfId="110" priority="41" stopIfTrue="1" operator="equal">
      <formula>"sun"</formula>
    </cfRule>
    <cfRule type="cellIs" dxfId="109" priority="40" stopIfTrue="1" operator="equal">
      <formula>"sat"</formula>
    </cfRule>
    <cfRule type="cellIs" dxfId="108" priority="36" stopIfTrue="1" operator="equal">
      <formula>"off"</formula>
    </cfRule>
    <cfRule type="cellIs" dxfId="107" priority="37" stopIfTrue="1" operator="equal">
      <formula>"x"</formula>
    </cfRule>
    <cfRule type="cellIs" dxfId="106" priority="43" stopIfTrue="1" operator="equal">
      <formula>"off"</formula>
    </cfRule>
    <cfRule type="cellIs" dxfId="105" priority="39" stopIfTrue="1" operator="equal">
      <formula>"旺角"</formula>
    </cfRule>
    <cfRule type="cellIs" dxfId="104" priority="38" stopIfTrue="1" operator="equal">
      <formula>"x"</formula>
    </cfRule>
    <cfRule type="cellIs" dxfId="103" priority="35" stopIfTrue="1" operator="equal">
      <formula>"."</formula>
    </cfRule>
    <cfRule type="cellIs" dxfId="102" priority="42" stopIfTrue="1" operator="equal">
      <formula>"."</formula>
    </cfRule>
    <cfRule type="cellIs" dxfId="101" priority="44" stopIfTrue="1" operator="equal">
      <formula>26</formula>
    </cfRule>
    <cfRule type="cellIs" dxfId="100" priority="45" stopIfTrue="1" operator="equal">
      <formula>25</formula>
    </cfRule>
    <cfRule type="cellIs" dxfId="99" priority="46" stopIfTrue="1" operator="equal">
      <formula>"sun"</formula>
    </cfRule>
    <cfRule type="cellIs" dxfId="98" priority="47" stopIfTrue="1" operator="equal">
      <formula>"sat"</formula>
    </cfRule>
    <cfRule type="cellIs" dxfId="97" priority="48" operator="equal">
      <formula>"."</formula>
    </cfRule>
  </conditionalFormatting>
  <conditionalFormatting sqref="F36">
    <cfRule type="cellIs" dxfId="96" priority="31" operator="equal">
      <formula>"F"</formula>
    </cfRule>
    <cfRule type="cellIs" dxfId="95" priority="33" operator="equal">
      <formula>"o"</formula>
    </cfRule>
    <cfRule type="cellIs" dxfId="94" priority="32" operator="equal">
      <formula>"E"</formula>
    </cfRule>
  </conditionalFormatting>
  <conditionalFormatting sqref="F49">
    <cfRule type="cellIs" dxfId="93" priority="20" operator="equal">
      <formula>"E"</formula>
    </cfRule>
    <cfRule type="cellIs" dxfId="92" priority="19" operator="equal">
      <formula>"F"</formula>
    </cfRule>
    <cfRule type="cellIs" dxfId="91" priority="21" operator="equal">
      <formula>"o"</formula>
    </cfRule>
  </conditionalFormatting>
  <conditionalFormatting sqref="F51:F52">
    <cfRule type="cellIs" dxfId="90" priority="16" operator="equal">
      <formula>"F"</formula>
    </cfRule>
    <cfRule type="cellIs" dxfId="89" priority="17" operator="equal">
      <formula>"E"</formula>
    </cfRule>
    <cfRule type="cellIs" dxfId="88" priority="18" operator="equal">
      <formula>"o"</formula>
    </cfRule>
  </conditionalFormatting>
  <conditionalFormatting sqref="H2:H87">
    <cfRule type="cellIs" dxfId="87" priority="11" operator="equal">
      <formula>"E"</formula>
    </cfRule>
    <cfRule type="cellIs" dxfId="86" priority="12" operator="equal">
      <formula>"o"</formula>
    </cfRule>
    <cfRule type="cellIs" dxfId="85" priority="10" operator="equal">
      <formula>"F"</formula>
    </cfRule>
  </conditionalFormatting>
  <conditionalFormatting sqref="K2:K87">
    <cfRule type="cellIs" dxfId="84" priority="52" operator="equal">
      <formula>"F"</formula>
    </cfRule>
    <cfRule type="cellIs" dxfId="83" priority="53" operator="equal">
      <formula>"E"</formula>
    </cfRule>
    <cfRule type="cellIs" dxfId="82" priority="54" operator="equal">
      <formula>"o"</formula>
    </cfRule>
  </conditionalFormatting>
  <conditionalFormatting sqref="L2:M87">
    <cfRule type="duplicateValues" dxfId="81" priority="58"/>
  </conditionalFormatting>
  <conditionalFormatting sqref="AO1:BE99 C5:C61">
    <cfRule type="cellIs" dxfId="80" priority="9" operator="equal">
      <formula>"o"</formula>
    </cfRule>
    <cfRule type="cellIs" dxfId="79" priority="8" operator="equal">
      <formula>"E"</formula>
    </cfRule>
    <cfRule type="cellIs" dxfId="78" priority="7" operator="equal">
      <formula>"F"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E9C38-BF81-4B40-B752-331BFCEB5927}">
  <sheetPr>
    <pageSetUpPr fitToPage="1"/>
  </sheetPr>
  <dimension ref="A2:V186"/>
  <sheetViews>
    <sheetView zoomScale="70" zoomScaleNormal="70" workbookViewId="0">
      <pane xSplit="10215" topLeftCell="P1" activePane="topRight"/>
      <selection activeCell="C118" sqref="C118:J186"/>
      <selection pane="topRight" activeCell="R184" sqref="R184"/>
    </sheetView>
  </sheetViews>
  <sheetFormatPr defaultRowHeight="16.5"/>
  <cols>
    <col min="3" max="3" width="12" customWidth="1"/>
    <col min="4" max="4" width="17.75" customWidth="1"/>
    <col min="5" max="5" width="12.625" customWidth="1"/>
    <col min="6" max="6" width="9.75" customWidth="1"/>
    <col min="7" max="7" width="12" customWidth="1"/>
    <col min="8" max="8" width="11.5" customWidth="1"/>
    <col min="9" max="9" width="15.625" customWidth="1"/>
    <col min="17" max="17" width="29.375" bestFit="1" customWidth="1"/>
    <col min="18" max="18" width="37.625" customWidth="1"/>
    <col min="19" max="19" width="27.75" bestFit="1" customWidth="1"/>
    <col min="20" max="20" width="17.625" bestFit="1" customWidth="1"/>
    <col min="21" max="21" width="19.25" bestFit="1" customWidth="1"/>
    <col min="22" max="22" width="18.125" bestFit="1" customWidth="1"/>
  </cols>
  <sheetData>
    <row r="2" spans="1:22" ht="26.25">
      <c r="A2" s="248" t="s">
        <v>9</v>
      </c>
      <c r="B2" s="249" t="s">
        <v>63</v>
      </c>
      <c r="C2" s="249" t="s">
        <v>363</v>
      </c>
      <c r="D2" s="249" t="s">
        <v>364</v>
      </c>
      <c r="E2" s="249" t="s">
        <v>1</v>
      </c>
      <c r="F2" s="249" t="s">
        <v>10</v>
      </c>
      <c r="G2" s="249" t="s">
        <v>11</v>
      </c>
      <c r="H2" s="250" t="s">
        <v>12</v>
      </c>
      <c r="I2" s="251" t="s">
        <v>13</v>
      </c>
      <c r="J2" s="249" t="s">
        <v>14</v>
      </c>
      <c r="Q2" s="256"/>
      <c r="R2" s="256"/>
      <c r="S2" s="256"/>
      <c r="T2" s="255" t="s">
        <v>466</v>
      </c>
      <c r="U2" s="256"/>
      <c r="V2" s="256"/>
    </row>
    <row r="3" spans="1:22" ht="26.25">
      <c r="A3" s="98">
        <v>1</v>
      </c>
      <c r="B3" s="115" t="s">
        <v>365</v>
      </c>
      <c r="C3" s="115" t="s">
        <v>66</v>
      </c>
      <c r="D3" s="115" t="s">
        <v>202</v>
      </c>
      <c r="E3" s="233">
        <v>20640</v>
      </c>
      <c r="F3" s="234" t="s">
        <v>124</v>
      </c>
      <c r="G3" s="235" t="s">
        <v>366</v>
      </c>
      <c r="H3" s="236">
        <v>25</v>
      </c>
      <c r="I3" s="242">
        <v>200</v>
      </c>
      <c r="J3" s="178">
        <v>55</v>
      </c>
      <c r="Q3" s="255" t="s">
        <v>364</v>
      </c>
      <c r="R3" s="255" t="s">
        <v>10</v>
      </c>
      <c r="S3" s="255" t="s">
        <v>11</v>
      </c>
      <c r="T3" s="256" t="s">
        <v>465</v>
      </c>
      <c r="U3" s="256" t="s">
        <v>467</v>
      </c>
      <c r="V3" s="256" t="s">
        <v>468</v>
      </c>
    </row>
    <row r="4" spans="1:22" ht="26.25">
      <c r="A4" s="98">
        <v>2</v>
      </c>
      <c r="B4" s="96" t="s">
        <v>365</v>
      </c>
      <c r="C4" s="96" t="s">
        <v>89</v>
      </c>
      <c r="D4" s="96" t="s">
        <v>170</v>
      </c>
      <c r="E4" s="97" t="s">
        <v>277</v>
      </c>
      <c r="F4" s="174" t="s">
        <v>125</v>
      </c>
      <c r="G4" s="175" t="s">
        <v>367</v>
      </c>
      <c r="H4" s="237">
        <v>8</v>
      </c>
      <c r="I4" s="243">
        <v>64</v>
      </c>
      <c r="J4" s="178">
        <v>60</v>
      </c>
      <c r="Q4" s="256" t="s">
        <v>91</v>
      </c>
      <c r="R4" s="256"/>
      <c r="S4" s="256"/>
      <c r="T4" s="256">
        <v>39</v>
      </c>
      <c r="U4" s="256">
        <v>66.666666666666671</v>
      </c>
      <c r="V4" s="256">
        <v>0</v>
      </c>
    </row>
    <row r="5" spans="1:22" ht="36">
      <c r="A5" s="98">
        <v>3</v>
      </c>
      <c r="B5" s="115" t="s">
        <v>365</v>
      </c>
      <c r="C5" s="238" t="s">
        <v>214</v>
      </c>
      <c r="D5" s="115" t="s">
        <v>215</v>
      </c>
      <c r="E5" s="116">
        <v>20641</v>
      </c>
      <c r="F5" s="234" t="s">
        <v>167</v>
      </c>
      <c r="G5" s="235" t="s">
        <v>368</v>
      </c>
      <c r="H5" s="236">
        <v>24</v>
      </c>
      <c r="I5" s="242">
        <v>192</v>
      </c>
      <c r="J5" s="178">
        <v>60</v>
      </c>
      <c r="Q5" s="256"/>
      <c r="R5" s="256" t="s">
        <v>270</v>
      </c>
      <c r="S5" s="256" t="s">
        <v>346</v>
      </c>
      <c r="T5" s="256">
        <v>16</v>
      </c>
      <c r="U5" s="256">
        <v>80</v>
      </c>
      <c r="V5" s="256">
        <v>1</v>
      </c>
    </row>
    <row r="6" spans="1:22" ht="26.25">
      <c r="A6" s="98">
        <v>4</v>
      </c>
      <c r="B6" s="96" t="s">
        <v>365</v>
      </c>
      <c r="C6" s="96" t="s">
        <v>58</v>
      </c>
      <c r="D6" s="96" t="s">
        <v>171</v>
      </c>
      <c r="E6" s="97" t="s">
        <v>277</v>
      </c>
      <c r="F6" s="174" t="s">
        <v>126</v>
      </c>
      <c r="G6" s="185" t="s">
        <v>369</v>
      </c>
      <c r="H6" s="237">
        <v>24</v>
      </c>
      <c r="I6" s="243">
        <v>192</v>
      </c>
      <c r="J6" s="178">
        <v>60</v>
      </c>
      <c r="Q6" s="256"/>
      <c r="R6" s="256" t="s">
        <v>271</v>
      </c>
      <c r="S6" s="256"/>
      <c r="T6" s="256">
        <v>9</v>
      </c>
      <c r="U6" s="256">
        <v>80</v>
      </c>
      <c r="V6" s="256">
        <v>1</v>
      </c>
    </row>
    <row r="7" spans="1:22" ht="26.25">
      <c r="A7" s="98">
        <v>5</v>
      </c>
      <c r="B7" s="115" t="s">
        <v>365</v>
      </c>
      <c r="C7" s="115" t="s">
        <v>158</v>
      </c>
      <c r="D7" s="115" t="s">
        <v>193</v>
      </c>
      <c r="E7" s="116" t="s">
        <v>277</v>
      </c>
      <c r="F7" s="234" t="s">
        <v>263</v>
      </c>
      <c r="G7" s="239" t="s">
        <v>370</v>
      </c>
      <c r="H7" s="236">
        <v>25</v>
      </c>
      <c r="I7" s="242">
        <v>200</v>
      </c>
      <c r="J7" s="178">
        <v>55</v>
      </c>
      <c r="Q7" s="256"/>
      <c r="R7" s="256" t="s">
        <v>458</v>
      </c>
      <c r="S7" s="256" t="s">
        <v>459</v>
      </c>
      <c r="T7" s="256">
        <v>5</v>
      </c>
      <c r="U7" s="256">
        <v>60</v>
      </c>
      <c r="V7" s="256">
        <v>1</v>
      </c>
    </row>
    <row r="8" spans="1:22" ht="26.25">
      <c r="A8" s="98">
        <v>6</v>
      </c>
      <c r="B8" s="96" t="s">
        <v>365</v>
      </c>
      <c r="C8" s="96" t="s">
        <v>118</v>
      </c>
      <c r="D8" s="96" t="s">
        <v>172</v>
      </c>
      <c r="E8" s="197">
        <v>20642</v>
      </c>
      <c r="F8" s="174" t="s">
        <v>371</v>
      </c>
      <c r="G8" s="175" t="s">
        <v>372</v>
      </c>
      <c r="H8" s="237">
        <v>20</v>
      </c>
      <c r="I8" s="243">
        <v>160</v>
      </c>
      <c r="J8" s="178">
        <v>60</v>
      </c>
      <c r="Q8" s="256"/>
      <c r="R8" s="256" t="s">
        <v>394</v>
      </c>
      <c r="S8" s="256" t="s">
        <v>395</v>
      </c>
      <c r="T8" s="256">
        <v>2</v>
      </c>
      <c r="U8" s="256">
        <v>60</v>
      </c>
      <c r="V8" s="256">
        <v>1</v>
      </c>
    </row>
    <row r="9" spans="1:22" ht="26.25">
      <c r="A9" s="98">
        <v>7</v>
      </c>
      <c r="B9" s="115" t="s">
        <v>365</v>
      </c>
      <c r="C9" s="115" t="s">
        <v>245</v>
      </c>
      <c r="D9" s="115" t="s">
        <v>246</v>
      </c>
      <c r="E9" s="116" t="s">
        <v>277</v>
      </c>
      <c r="F9" s="234" t="s">
        <v>373</v>
      </c>
      <c r="G9" s="239" t="s">
        <v>374</v>
      </c>
      <c r="H9" s="236">
        <v>5</v>
      </c>
      <c r="I9" s="242">
        <v>40</v>
      </c>
      <c r="J9" s="178">
        <v>60</v>
      </c>
      <c r="Q9" s="256"/>
      <c r="R9" s="256" t="s">
        <v>497</v>
      </c>
      <c r="S9" s="256" t="s">
        <v>575</v>
      </c>
      <c r="T9" s="256">
        <v>3</v>
      </c>
      <c r="U9" s="256">
        <v>60</v>
      </c>
      <c r="V9" s="256">
        <v>1</v>
      </c>
    </row>
    <row r="10" spans="1:22" ht="26.25">
      <c r="A10" s="98">
        <v>8</v>
      </c>
      <c r="B10" s="96" t="s">
        <v>365</v>
      </c>
      <c r="C10" s="96" t="s">
        <v>61</v>
      </c>
      <c r="D10" s="96" t="s">
        <v>173</v>
      </c>
      <c r="E10" s="97">
        <v>20643</v>
      </c>
      <c r="F10" s="174" t="s">
        <v>127</v>
      </c>
      <c r="G10" s="185" t="s">
        <v>375</v>
      </c>
      <c r="H10" s="237">
        <v>8</v>
      </c>
      <c r="I10" s="243">
        <v>64</v>
      </c>
      <c r="J10" s="178">
        <v>55</v>
      </c>
      <c r="Q10" s="256"/>
      <c r="R10" s="256" t="s">
        <v>502</v>
      </c>
      <c r="S10" s="256" t="s">
        <v>580</v>
      </c>
      <c r="T10" s="256">
        <v>4</v>
      </c>
      <c r="U10" s="256">
        <v>60</v>
      </c>
      <c r="V10" s="256">
        <v>1</v>
      </c>
    </row>
    <row r="11" spans="1:22" ht="26.25">
      <c r="A11" s="98">
        <v>9</v>
      </c>
      <c r="B11" s="115" t="s">
        <v>365</v>
      </c>
      <c r="C11" s="115" t="s">
        <v>376</v>
      </c>
      <c r="D11" s="115" t="s">
        <v>210</v>
      </c>
      <c r="E11" s="116" t="s">
        <v>277</v>
      </c>
      <c r="F11" s="234" t="s">
        <v>235</v>
      </c>
      <c r="G11" s="239" t="s">
        <v>377</v>
      </c>
      <c r="H11" s="236">
        <v>8</v>
      </c>
      <c r="I11" s="242">
        <v>64</v>
      </c>
      <c r="J11" s="178">
        <v>60</v>
      </c>
      <c r="Q11" s="256"/>
      <c r="R11" s="256"/>
      <c r="S11" s="256"/>
      <c r="T11" s="256"/>
      <c r="U11" s="256"/>
      <c r="V11" s="256"/>
    </row>
    <row r="12" spans="1:22" ht="26.25">
      <c r="A12" s="98">
        <v>10</v>
      </c>
      <c r="B12" s="96" t="s">
        <v>365</v>
      </c>
      <c r="C12" s="96" t="s">
        <v>211</v>
      </c>
      <c r="D12" s="96" t="s">
        <v>154</v>
      </c>
      <c r="E12" s="97">
        <v>20644</v>
      </c>
      <c r="F12" s="174" t="s">
        <v>128</v>
      </c>
      <c r="G12" s="185" t="s">
        <v>378</v>
      </c>
      <c r="H12" s="237">
        <v>23</v>
      </c>
      <c r="I12" s="243">
        <v>207</v>
      </c>
      <c r="J12" s="178">
        <v>60</v>
      </c>
      <c r="Q12" s="256" t="s">
        <v>464</v>
      </c>
      <c r="R12" s="256"/>
      <c r="S12" s="256"/>
      <c r="T12" s="256">
        <v>39</v>
      </c>
      <c r="U12" s="256">
        <v>66.666666666666671</v>
      </c>
      <c r="V12" s="256">
        <v>0</v>
      </c>
    </row>
    <row r="13" spans="1:22" ht="26.25">
      <c r="A13" s="98">
        <v>11</v>
      </c>
      <c r="B13" s="115" t="s">
        <v>365</v>
      </c>
      <c r="C13" s="115" t="s">
        <v>255</v>
      </c>
      <c r="D13" s="115" t="s">
        <v>123</v>
      </c>
      <c r="E13" s="116" t="s">
        <v>277</v>
      </c>
      <c r="F13" s="234" t="s">
        <v>129</v>
      </c>
      <c r="G13" s="235" t="s">
        <v>379</v>
      </c>
      <c r="H13" s="236">
        <v>8</v>
      </c>
      <c r="I13" s="242">
        <v>72</v>
      </c>
      <c r="J13" s="178">
        <v>60</v>
      </c>
    </row>
    <row r="14" spans="1:22" ht="26.25">
      <c r="A14" s="98">
        <v>12</v>
      </c>
      <c r="B14" s="96" t="s">
        <v>365</v>
      </c>
      <c r="C14" s="96" t="s">
        <v>65</v>
      </c>
      <c r="D14" s="96" t="s">
        <v>174</v>
      </c>
      <c r="E14" s="97" t="s">
        <v>277</v>
      </c>
      <c r="F14" s="174" t="s">
        <v>264</v>
      </c>
      <c r="G14" s="185" t="s">
        <v>380</v>
      </c>
      <c r="H14" s="237">
        <v>20</v>
      </c>
      <c r="I14" s="243">
        <v>160</v>
      </c>
      <c r="J14" s="178">
        <v>60</v>
      </c>
    </row>
    <row r="15" spans="1:22" ht="26.25">
      <c r="A15" s="98">
        <v>13</v>
      </c>
      <c r="B15" s="115" t="s">
        <v>365</v>
      </c>
      <c r="C15" s="115" t="s">
        <v>107</v>
      </c>
      <c r="D15" s="115" t="s">
        <v>180</v>
      </c>
      <c r="E15" s="116">
        <v>20645</v>
      </c>
      <c r="F15" s="234" t="s">
        <v>381</v>
      </c>
      <c r="G15" s="235" t="s">
        <v>382</v>
      </c>
      <c r="H15" s="236">
        <v>19</v>
      </c>
      <c r="I15" s="242">
        <v>152</v>
      </c>
      <c r="J15" s="178">
        <v>60</v>
      </c>
    </row>
    <row r="16" spans="1:22" ht="26.25">
      <c r="A16" s="98">
        <v>14</v>
      </c>
      <c r="B16" s="96" t="s">
        <v>365</v>
      </c>
      <c r="C16" s="96" t="s">
        <v>383</v>
      </c>
      <c r="D16" s="96" t="s">
        <v>217</v>
      </c>
      <c r="E16" s="97">
        <v>20646</v>
      </c>
      <c r="F16" s="174" t="s">
        <v>384</v>
      </c>
      <c r="G16" s="175" t="s">
        <v>374</v>
      </c>
      <c r="H16" s="237">
        <v>5</v>
      </c>
      <c r="I16" s="243">
        <v>40</v>
      </c>
      <c r="J16" s="178">
        <v>60</v>
      </c>
    </row>
    <row r="17" spans="1:10" ht="26.25">
      <c r="A17" s="98">
        <v>15</v>
      </c>
      <c r="B17" s="115" t="s">
        <v>365</v>
      </c>
      <c r="C17" s="115" t="s">
        <v>55</v>
      </c>
      <c r="D17" s="115" t="s">
        <v>102</v>
      </c>
      <c r="E17" s="116" t="s">
        <v>277</v>
      </c>
      <c r="F17" s="234" t="s">
        <v>130</v>
      </c>
      <c r="G17" s="235" t="s">
        <v>385</v>
      </c>
      <c r="H17" s="236">
        <v>23</v>
      </c>
      <c r="I17" s="242">
        <v>184</v>
      </c>
      <c r="J17" s="178">
        <v>60</v>
      </c>
    </row>
    <row r="18" spans="1:10" ht="26.25">
      <c r="A18" s="98">
        <v>16</v>
      </c>
      <c r="B18" s="96" t="s">
        <v>365</v>
      </c>
      <c r="C18" s="96" t="s">
        <v>208</v>
      </c>
      <c r="D18" s="96" t="s">
        <v>155</v>
      </c>
      <c r="E18" s="97" t="s">
        <v>277</v>
      </c>
      <c r="F18" s="174" t="s">
        <v>265</v>
      </c>
      <c r="G18" s="185" t="s">
        <v>386</v>
      </c>
      <c r="H18" s="237">
        <v>24</v>
      </c>
      <c r="I18" s="243">
        <v>195.5</v>
      </c>
      <c r="J18" s="178">
        <v>55</v>
      </c>
    </row>
    <row r="19" spans="1:10" ht="26.25">
      <c r="A19" s="98">
        <v>17</v>
      </c>
      <c r="B19" s="115" t="s">
        <v>365</v>
      </c>
      <c r="C19" s="115" t="s">
        <v>106</v>
      </c>
      <c r="D19" s="115" t="s">
        <v>93</v>
      </c>
      <c r="E19" s="116" t="s">
        <v>277</v>
      </c>
      <c r="F19" s="234" t="s">
        <v>387</v>
      </c>
      <c r="G19" s="239" t="s">
        <v>388</v>
      </c>
      <c r="H19" s="236">
        <v>2</v>
      </c>
      <c r="I19" s="242">
        <v>16</v>
      </c>
      <c r="J19" s="178">
        <v>60</v>
      </c>
    </row>
    <row r="20" spans="1:10" ht="26.25">
      <c r="A20" s="98">
        <v>18</v>
      </c>
      <c r="B20" s="96" t="s">
        <v>365</v>
      </c>
      <c r="C20" s="96" t="s">
        <v>105</v>
      </c>
      <c r="D20" s="96" t="s">
        <v>175</v>
      </c>
      <c r="E20" s="97">
        <v>20647</v>
      </c>
      <c r="F20" s="174" t="s">
        <v>131</v>
      </c>
      <c r="G20" s="185" t="s">
        <v>389</v>
      </c>
      <c r="H20" s="237">
        <v>20</v>
      </c>
      <c r="I20" s="243">
        <v>156.5</v>
      </c>
      <c r="J20" s="178">
        <v>55</v>
      </c>
    </row>
    <row r="21" spans="1:10" ht="26.25">
      <c r="A21" s="98">
        <v>19</v>
      </c>
      <c r="B21" s="115" t="s">
        <v>365</v>
      </c>
      <c r="C21" s="115" t="s">
        <v>90</v>
      </c>
      <c r="D21" s="115" t="s">
        <v>207</v>
      </c>
      <c r="E21" s="233">
        <v>20648</v>
      </c>
      <c r="F21" s="234" t="s">
        <v>98</v>
      </c>
      <c r="G21" s="235" t="s">
        <v>390</v>
      </c>
      <c r="H21" s="236">
        <v>3</v>
      </c>
      <c r="I21" s="242">
        <v>24</v>
      </c>
      <c r="J21" s="178">
        <v>55</v>
      </c>
    </row>
    <row r="22" spans="1:10" ht="26.25">
      <c r="A22" s="98">
        <v>20</v>
      </c>
      <c r="B22" s="96" t="s">
        <v>365</v>
      </c>
      <c r="C22" s="96" t="s">
        <v>227</v>
      </c>
      <c r="D22" s="96" t="s">
        <v>97</v>
      </c>
      <c r="E22" s="97">
        <v>20673</v>
      </c>
      <c r="F22" s="174" t="s">
        <v>391</v>
      </c>
      <c r="G22" s="185" t="s">
        <v>392</v>
      </c>
      <c r="H22" s="237">
        <v>3</v>
      </c>
      <c r="I22" s="243">
        <v>24</v>
      </c>
      <c r="J22" s="178">
        <v>65</v>
      </c>
    </row>
    <row r="23" spans="1:10" ht="26.25">
      <c r="A23" s="98">
        <v>21</v>
      </c>
      <c r="B23" s="115" t="s">
        <v>365</v>
      </c>
      <c r="C23" s="115" t="s">
        <v>393</v>
      </c>
      <c r="D23" s="115" t="s">
        <v>91</v>
      </c>
      <c r="E23" s="116">
        <v>20650</v>
      </c>
      <c r="F23" s="234" t="s">
        <v>394</v>
      </c>
      <c r="G23" s="239" t="s">
        <v>395</v>
      </c>
      <c r="H23" s="236">
        <v>2</v>
      </c>
      <c r="I23" s="242">
        <v>16</v>
      </c>
      <c r="J23" s="178">
        <v>60</v>
      </c>
    </row>
    <row r="24" spans="1:10" ht="26.25">
      <c r="A24" s="98">
        <v>22</v>
      </c>
      <c r="B24" s="96" t="s">
        <v>365</v>
      </c>
      <c r="C24" s="96" t="s">
        <v>396</v>
      </c>
      <c r="D24" s="96" t="s">
        <v>195</v>
      </c>
      <c r="E24" s="97" t="s">
        <v>277</v>
      </c>
      <c r="F24" s="174" t="s">
        <v>397</v>
      </c>
      <c r="G24" s="175" t="s">
        <v>398</v>
      </c>
      <c r="H24" s="237">
        <v>1</v>
      </c>
      <c r="I24" s="243">
        <v>8</v>
      </c>
      <c r="J24" s="178">
        <v>60</v>
      </c>
    </row>
    <row r="25" spans="1:10" ht="26.25">
      <c r="A25" s="98">
        <v>23</v>
      </c>
      <c r="B25" s="115" t="s">
        <v>365</v>
      </c>
      <c r="C25" s="115" t="s">
        <v>160</v>
      </c>
      <c r="D25" s="115" t="s">
        <v>177</v>
      </c>
      <c r="E25" s="116">
        <v>20651</v>
      </c>
      <c r="F25" s="234" t="s">
        <v>132</v>
      </c>
      <c r="G25" s="239" t="s">
        <v>399</v>
      </c>
      <c r="H25" s="236">
        <v>22</v>
      </c>
      <c r="I25" s="242">
        <v>176</v>
      </c>
      <c r="J25" s="178">
        <v>60</v>
      </c>
    </row>
    <row r="26" spans="1:10" ht="26.25">
      <c r="A26" s="98">
        <v>24</v>
      </c>
      <c r="B26" s="96" t="s">
        <v>365</v>
      </c>
      <c r="C26" s="96" t="s">
        <v>68</v>
      </c>
      <c r="D26" s="96" t="s">
        <v>178</v>
      </c>
      <c r="E26" s="97" t="s">
        <v>277</v>
      </c>
      <c r="F26" s="174" t="s">
        <v>133</v>
      </c>
      <c r="G26" s="175" t="s">
        <v>400</v>
      </c>
      <c r="H26" s="237">
        <v>22</v>
      </c>
      <c r="I26" s="243">
        <v>176</v>
      </c>
      <c r="J26" s="178">
        <v>55</v>
      </c>
    </row>
    <row r="27" spans="1:10" ht="26.25">
      <c r="A27" s="98">
        <v>25</v>
      </c>
      <c r="B27" s="115" t="s">
        <v>365</v>
      </c>
      <c r="C27" s="115" t="s">
        <v>86</v>
      </c>
      <c r="D27" s="115" t="s">
        <v>179</v>
      </c>
      <c r="E27" s="116" t="s">
        <v>277</v>
      </c>
      <c r="F27" s="234" t="s">
        <v>266</v>
      </c>
      <c r="G27" s="239" t="s">
        <v>401</v>
      </c>
      <c r="H27" s="236">
        <v>23</v>
      </c>
      <c r="I27" s="242">
        <v>184</v>
      </c>
      <c r="J27" s="178">
        <v>60</v>
      </c>
    </row>
    <row r="28" spans="1:10" ht="26.25">
      <c r="A28" s="98">
        <v>26</v>
      </c>
      <c r="B28" s="96" t="s">
        <v>365</v>
      </c>
      <c r="C28" s="194" t="s">
        <v>402</v>
      </c>
      <c r="D28" s="96" t="s">
        <v>92</v>
      </c>
      <c r="E28" s="97">
        <v>20652</v>
      </c>
      <c r="F28" s="174" t="s">
        <v>267</v>
      </c>
      <c r="G28" s="185" t="s">
        <v>403</v>
      </c>
      <c r="H28" s="237">
        <v>7</v>
      </c>
      <c r="I28" s="244">
        <v>56</v>
      </c>
      <c r="J28" s="178">
        <v>60</v>
      </c>
    </row>
    <row r="29" spans="1:10" ht="26.25">
      <c r="A29" s="98">
        <v>27</v>
      </c>
      <c r="B29" s="115" t="s">
        <v>365</v>
      </c>
      <c r="C29" s="115" t="s">
        <v>404</v>
      </c>
      <c r="D29" s="115" t="s">
        <v>113</v>
      </c>
      <c r="E29" s="116">
        <v>20653</v>
      </c>
      <c r="F29" s="234" t="s">
        <v>405</v>
      </c>
      <c r="G29" s="239" t="s">
        <v>406</v>
      </c>
      <c r="H29" s="236">
        <v>1</v>
      </c>
      <c r="I29" s="242">
        <v>8</v>
      </c>
      <c r="J29" s="178">
        <v>60</v>
      </c>
    </row>
    <row r="30" spans="1:10" ht="26.25">
      <c r="A30" s="98">
        <v>28</v>
      </c>
      <c r="B30" s="96" t="s">
        <v>365</v>
      </c>
      <c r="C30" s="96" t="s">
        <v>119</v>
      </c>
      <c r="D30" s="96" t="s">
        <v>110</v>
      </c>
      <c r="E30" s="97" t="s">
        <v>277</v>
      </c>
      <c r="F30" s="174" t="s">
        <v>134</v>
      </c>
      <c r="G30" s="185" t="s">
        <v>407</v>
      </c>
      <c r="H30" s="237">
        <v>26</v>
      </c>
      <c r="I30" s="243">
        <v>208</v>
      </c>
      <c r="J30" s="178">
        <v>60</v>
      </c>
    </row>
    <row r="31" spans="1:10" ht="26.25">
      <c r="A31" s="98">
        <v>29</v>
      </c>
      <c r="B31" s="115" t="s">
        <v>365</v>
      </c>
      <c r="C31" s="115" t="s">
        <v>104</v>
      </c>
      <c r="D31" s="115" t="s">
        <v>115</v>
      </c>
      <c r="E31" s="116">
        <v>20654</v>
      </c>
      <c r="F31" s="234" t="s">
        <v>236</v>
      </c>
      <c r="G31" s="235" t="s">
        <v>408</v>
      </c>
      <c r="H31" s="236">
        <v>21</v>
      </c>
      <c r="I31" s="242">
        <v>168</v>
      </c>
      <c r="J31" s="178">
        <v>60</v>
      </c>
    </row>
    <row r="32" spans="1:10" ht="26.25">
      <c r="A32" s="98">
        <v>30</v>
      </c>
      <c r="B32" s="96" t="s">
        <v>365</v>
      </c>
      <c r="C32" s="96" t="s">
        <v>409</v>
      </c>
      <c r="D32" s="96" t="s">
        <v>69</v>
      </c>
      <c r="E32" s="97">
        <v>20655</v>
      </c>
      <c r="F32" s="174" t="s">
        <v>410</v>
      </c>
      <c r="G32" s="175" t="s">
        <v>411</v>
      </c>
      <c r="H32" s="237">
        <v>7</v>
      </c>
      <c r="I32" s="243">
        <v>56</v>
      </c>
      <c r="J32" s="178">
        <v>60</v>
      </c>
    </row>
    <row r="33" spans="1:10" ht="26.25">
      <c r="A33" s="98">
        <v>31</v>
      </c>
      <c r="B33" s="115" t="s">
        <v>365</v>
      </c>
      <c r="C33" s="115" t="s">
        <v>225</v>
      </c>
      <c r="D33" s="115" t="s">
        <v>237</v>
      </c>
      <c r="E33" s="116" t="s">
        <v>277</v>
      </c>
      <c r="F33" s="234" t="s">
        <v>412</v>
      </c>
      <c r="G33" s="235" t="s">
        <v>413</v>
      </c>
      <c r="H33" s="240">
        <v>1</v>
      </c>
      <c r="I33" s="245">
        <v>8</v>
      </c>
      <c r="J33" s="191">
        <v>60</v>
      </c>
    </row>
    <row r="34" spans="1:10" ht="26.25">
      <c r="A34" s="98">
        <v>32</v>
      </c>
      <c r="B34" s="96" t="s">
        <v>365</v>
      </c>
      <c r="C34" s="96" t="s">
        <v>120</v>
      </c>
      <c r="D34" s="96" t="s">
        <v>112</v>
      </c>
      <c r="E34" s="97">
        <v>20656</v>
      </c>
      <c r="F34" s="174" t="s">
        <v>135</v>
      </c>
      <c r="G34" s="175" t="s">
        <v>414</v>
      </c>
      <c r="H34" s="237">
        <v>20</v>
      </c>
      <c r="I34" s="243">
        <v>160</v>
      </c>
      <c r="J34" s="178">
        <v>60</v>
      </c>
    </row>
    <row r="35" spans="1:10" ht="26.25">
      <c r="A35" s="98">
        <v>33</v>
      </c>
      <c r="B35" s="115" t="s">
        <v>365</v>
      </c>
      <c r="C35" s="115" t="s">
        <v>415</v>
      </c>
      <c r="D35" s="115" t="s">
        <v>69</v>
      </c>
      <c r="E35" s="116">
        <v>20657</v>
      </c>
      <c r="F35" s="234" t="s">
        <v>268</v>
      </c>
      <c r="G35" s="235" t="s">
        <v>416</v>
      </c>
      <c r="H35" s="236">
        <v>13</v>
      </c>
      <c r="I35" s="242">
        <v>102</v>
      </c>
      <c r="J35" s="178">
        <v>60</v>
      </c>
    </row>
    <row r="36" spans="1:10" ht="26.25">
      <c r="A36" s="98">
        <v>34</v>
      </c>
      <c r="B36" s="96" t="s">
        <v>365</v>
      </c>
      <c r="C36" s="96" t="s">
        <v>417</v>
      </c>
      <c r="D36" s="96" t="s">
        <v>113</v>
      </c>
      <c r="E36" s="197">
        <v>20658</v>
      </c>
      <c r="F36" s="174" t="s">
        <v>418</v>
      </c>
      <c r="G36" s="175" t="s">
        <v>419</v>
      </c>
      <c r="H36" s="237">
        <v>14</v>
      </c>
      <c r="I36" s="243">
        <v>112</v>
      </c>
      <c r="J36" s="178">
        <v>60</v>
      </c>
    </row>
    <row r="37" spans="1:10" ht="26.25">
      <c r="A37" s="98">
        <v>35</v>
      </c>
      <c r="B37" s="115" t="s">
        <v>365</v>
      </c>
      <c r="C37" s="115" t="s">
        <v>256</v>
      </c>
      <c r="D37" s="115" t="s">
        <v>257</v>
      </c>
      <c r="E37" s="233">
        <v>20659</v>
      </c>
      <c r="F37" s="234" t="s">
        <v>247</v>
      </c>
      <c r="G37" s="239" t="s">
        <v>420</v>
      </c>
      <c r="H37" s="236">
        <v>13</v>
      </c>
      <c r="I37" s="242">
        <v>98.5</v>
      </c>
      <c r="J37" s="178">
        <v>60</v>
      </c>
    </row>
    <row r="38" spans="1:10" ht="26.25">
      <c r="A38" s="98">
        <v>36</v>
      </c>
      <c r="B38" s="96" t="s">
        <v>365</v>
      </c>
      <c r="C38" s="96" t="s">
        <v>421</v>
      </c>
      <c r="D38" s="96" t="s">
        <v>169</v>
      </c>
      <c r="E38" s="97" t="s">
        <v>277</v>
      </c>
      <c r="F38" s="174" t="s">
        <v>422</v>
      </c>
      <c r="G38" s="175" t="s">
        <v>423</v>
      </c>
      <c r="H38" s="237">
        <v>22</v>
      </c>
      <c r="I38" s="243">
        <v>176</v>
      </c>
      <c r="J38" s="178">
        <v>60</v>
      </c>
    </row>
    <row r="39" spans="1:10" ht="26.25">
      <c r="A39" s="98">
        <v>37</v>
      </c>
      <c r="B39" s="115" t="s">
        <v>365</v>
      </c>
      <c r="C39" s="115" t="s">
        <v>221</v>
      </c>
      <c r="D39" s="115" t="s">
        <v>254</v>
      </c>
      <c r="E39" s="116" t="s">
        <v>277</v>
      </c>
      <c r="F39" s="234" t="s">
        <v>424</v>
      </c>
      <c r="G39" s="239" t="s">
        <v>425</v>
      </c>
      <c r="H39" s="236">
        <v>2</v>
      </c>
      <c r="I39" s="242">
        <v>16</v>
      </c>
      <c r="J39" s="178">
        <v>60</v>
      </c>
    </row>
    <row r="40" spans="1:10" ht="26.25">
      <c r="A40" s="98">
        <v>38</v>
      </c>
      <c r="B40" s="96" t="s">
        <v>365</v>
      </c>
      <c r="C40" s="96" t="s">
        <v>199</v>
      </c>
      <c r="D40" s="96" t="s">
        <v>200</v>
      </c>
      <c r="E40" s="97">
        <v>20660</v>
      </c>
      <c r="F40" s="96" t="s">
        <v>75</v>
      </c>
      <c r="G40" s="175" t="s">
        <v>426</v>
      </c>
      <c r="H40" s="237">
        <v>24</v>
      </c>
      <c r="I40" s="243">
        <v>192</v>
      </c>
      <c r="J40" s="178">
        <v>60</v>
      </c>
    </row>
    <row r="41" spans="1:10" ht="26.25">
      <c r="A41" s="98">
        <v>39</v>
      </c>
      <c r="B41" s="115" t="s">
        <v>365</v>
      </c>
      <c r="C41" s="115" t="s">
        <v>162</v>
      </c>
      <c r="D41" s="115" t="s">
        <v>186</v>
      </c>
      <c r="E41" s="116" t="s">
        <v>277</v>
      </c>
      <c r="F41" s="234" t="s">
        <v>76</v>
      </c>
      <c r="G41" s="239" t="s">
        <v>427</v>
      </c>
      <c r="H41" s="236">
        <v>7</v>
      </c>
      <c r="I41" s="242">
        <v>56</v>
      </c>
      <c r="J41" s="178">
        <v>60</v>
      </c>
    </row>
    <row r="42" spans="1:10" ht="26.25">
      <c r="A42" s="98">
        <v>40</v>
      </c>
      <c r="B42" s="96" t="s">
        <v>365</v>
      </c>
      <c r="C42" s="96" t="s">
        <v>163</v>
      </c>
      <c r="D42" s="96" t="s">
        <v>188</v>
      </c>
      <c r="E42" s="97">
        <v>20661</v>
      </c>
      <c r="F42" s="174" t="s">
        <v>99</v>
      </c>
      <c r="G42" s="175" t="s">
        <v>428</v>
      </c>
      <c r="H42" s="237">
        <v>23</v>
      </c>
      <c r="I42" s="243">
        <v>184</v>
      </c>
      <c r="J42" s="178">
        <v>60</v>
      </c>
    </row>
    <row r="43" spans="1:10" ht="26.25">
      <c r="A43" s="98">
        <v>41</v>
      </c>
      <c r="B43" s="115" t="s">
        <v>365</v>
      </c>
      <c r="C43" s="115" t="s">
        <v>164</v>
      </c>
      <c r="D43" s="115" t="s">
        <v>122</v>
      </c>
      <c r="E43" s="116" t="s">
        <v>277</v>
      </c>
      <c r="F43" s="234" t="s">
        <v>100</v>
      </c>
      <c r="G43" s="239" t="s">
        <v>429</v>
      </c>
      <c r="H43" s="236">
        <v>4</v>
      </c>
      <c r="I43" s="242">
        <v>32</v>
      </c>
      <c r="J43" s="178">
        <v>60</v>
      </c>
    </row>
    <row r="44" spans="1:10" ht="26.25">
      <c r="A44" s="98">
        <v>42</v>
      </c>
      <c r="B44" s="96" t="s">
        <v>365</v>
      </c>
      <c r="C44" s="96" t="s">
        <v>212</v>
      </c>
      <c r="D44" s="96" t="s">
        <v>114</v>
      </c>
      <c r="E44" s="97">
        <v>20662</v>
      </c>
      <c r="F44" s="174" t="s">
        <v>269</v>
      </c>
      <c r="G44" s="175" t="s">
        <v>430</v>
      </c>
      <c r="H44" s="237">
        <v>4</v>
      </c>
      <c r="I44" s="243">
        <v>32</v>
      </c>
      <c r="J44" s="178">
        <v>60</v>
      </c>
    </row>
    <row r="45" spans="1:10" ht="26.25">
      <c r="A45" s="98">
        <v>43</v>
      </c>
      <c r="B45" s="115" t="s">
        <v>365</v>
      </c>
      <c r="C45" s="115" t="s">
        <v>183</v>
      </c>
      <c r="D45" s="115" t="s">
        <v>116</v>
      </c>
      <c r="E45" s="116" t="s">
        <v>277</v>
      </c>
      <c r="F45" s="234" t="s">
        <v>85</v>
      </c>
      <c r="G45" s="235" t="s">
        <v>431</v>
      </c>
      <c r="H45" s="236">
        <v>19</v>
      </c>
      <c r="I45" s="245">
        <v>152</v>
      </c>
      <c r="J45" s="191">
        <v>60</v>
      </c>
    </row>
    <row r="46" spans="1:10" ht="26.25">
      <c r="A46" s="98">
        <v>44</v>
      </c>
      <c r="B46" s="96" t="s">
        <v>365</v>
      </c>
      <c r="C46" s="96" t="s">
        <v>258</v>
      </c>
      <c r="D46" s="96" t="s">
        <v>123</v>
      </c>
      <c r="E46" s="97" t="s">
        <v>277</v>
      </c>
      <c r="F46" s="174" t="s">
        <v>84</v>
      </c>
      <c r="G46" s="185" t="s">
        <v>432</v>
      </c>
      <c r="H46" s="237">
        <v>1</v>
      </c>
      <c r="I46" s="243">
        <v>8</v>
      </c>
      <c r="J46" s="178">
        <v>60</v>
      </c>
    </row>
    <row r="47" spans="1:10" ht="36">
      <c r="A47" s="98">
        <v>45</v>
      </c>
      <c r="B47" s="115" t="s">
        <v>365</v>
      </c>
      <c r="C47" s="238" t="s">
        <v>83</v>
      </c>
      <c r="D47" s="115" t="s">
        <v>93</v>
      </c>
      <c r="E47" s="116" t="s">
        <v>277</v>
      </c>
      <c r="F47" s="234" t="s">
        <v>433</v>
      </c>
      <c r="G47" s="235" t="s">
        <v>434</v>
      </c>
      <c r="H47" s="236">
        <v>11</v>
      </c>
      <c r="I47" s="242">
        <v>88</v>
      </c>
      <c r="J47" s="178">
        <v>60</v>
      </c>
    </row>
    <row r="48" spans="1:10" ht="26.25">
      <c r="A48" s="98">
        <v>46</v>
      </c>
      <c r="B48" s="96" t="s">
        <v>365</v>
      </c>
      <c r="C48" s="96" t="s">
        <v>435</v>
      </c>
      <c r="D48" s="96" t="s">
        <v>209</v>
      </c>
      <c r="E48" s="97">
        <v>20663</v>
      </c>
      <c r="F48" s="174" t="s">
        <v>436</v>
      </c>
      <c r="G48" s="185" t="s">
        <v>437</v>
      </c>
      <c r="H48" s="237">
        <v>1</v>
      </c>
      <c r="I48" s="243">
        <v>8</v>
      </c>
      <c r="J48" s="178">
        <v>80</v>
      </c>
    </row>
    <row r="49" spans="1:10" ht="26.25">
      <c r="A49" s="98">
        <v>47</v>
      </c>
      <c r="B49" s="115" t="s">
        <v>365</v>
      </c>
      <c r="C49" s="241" t="s">
        <v>438</v>
      </c>
      <c r="D49" s="241" t="s">
        <v>209</v>
      </c>
      <c r="E49" s="116">
        <v>20664</v>
      </c>
      <c r="F49" s="241" t="s">
        <v>270</v>
      </c>
      <c r="G49" s="235" t="s">
        <v>439</v>
      </c>
      <c r="H49" s="236">
        <v>13</v>
      </c>
      <c r="I49" s="245">
        <v>104</v>
      </c>
      <c r="J49" s="191">
        <v>80</v>
      </c>
    </row>
    <row r="50" spans="1:10" ht="26.25">
      <c r="A50" s="98">
        <v>48</v>
      </c>
      <c r="B50" s="96" t="s">
        <v>365</v>
      </c>
      <c r="C50" s="96" t="s">
        <v>440</v>
      </c>
      <c r="D50" s="96" t="s">
        <v>91</v>
      </c>
      <c r="E50" s="97">
        <v>20665</v>
      </c>
      <c r="F50" s="174" t="s">
        <v>271</v>
      </c>
      <c r="G50" s="185" t="s">
        <v>441</v>
      </c>
      <c r="H50" s="237">
        <v>9</v>
      </c>
      <c r="I50" s="246">
        <v>72</v>
      </c>
      <c r="J50" s="178">
        <v>80</v>
      </c>
    </row>
    <row r="51" spans="1:10" ht="26.25">
      <c r="A51" s="98">
        <v>49</v>
      </c>
      <c r="B51" s="115" t="s">
        <v>365</v>
      </c>
      <c r="C51" s="115" t="s">
        <v>442</v>
      </c>
      <c r="D51" s="115" t="s">
        <v>195</v>
      </c>
      <c r="E51" s="116" t="s">
        <v>277</v>
      </c>
      <c r="F51" s="234" t="s">
        <v>443</v>
      </c>
      <c r="G51" s="235" t="s">
        <v>406</v>
      </c>
      <c r="H51" s="236">
        <v>1</v>
      </c>
      <c r="I51" s="242">
        <v>8</v>
      </c>
      <c r="J51" s="178">
        <v>80</v>
      </c>
    </row>
    <row r="52" spans="1:10" ht="26.25">
      <c r="A52" s="98">
        <v>50</v>
      </c>
      <c r="B52" s="96" t="s">
        <v>365</v>
      </c>
      <c r="C52" s="96" t="s">
        <v>197</v>
      </c>
      <c r="D52" s="96" t="s">
        <v>198</v>
      </c>
      <c r="E52" s="97">
        <v>20666</v>
      </c>
      <c r="F52" s="96" t="s">
        <v>444</v>
      </c>
      <c r="G52" s="175" t="s">
        <v>445</v>
      </c>
      <c r="H52" s="237">
        <v>1</v>
      </c>
      <c r="I52" s="243">
        <v>8</v>
      </c>
      <c r="J52" s="178">
        <v>60</v>
      </c>
    </row>
    <row r="53" spans="1:10" ht="26.25">
      <c r="A53" s="98">
        <v>51</v>
      </c>
      <c r="B53" s="115" t="s">
        <v>365</v>
      </c>
      <c r="C53" s="115" t="s">
        <v>446</v>
      </c>
      <c r="D53" s="115" t="s">
        <v>210</v>
      </c>
      <c r="E53" s="116" t="s">
        <v>277</v>
      </c>
      <c r="F53" s="234" t="s">
        <v>447</v>
      </c>
      <c r="G53" s="235" t="s">
        <v>448</v>
      </c>
      <c r="H53" s="236">
        <v>3</v>
      </c>
      <c r="I53" s="242">
        <v>33</v>
      </c>
      <c r="J53" s="178">
        <v>60</v>
      </c>
    </row>
    <row r="54" spans="1:10" ht="26.25">
      <c r="A54" s="98">
        <v>52</v>
      </c>
      <c r="B54" s="96" t="s">
        <v>365</v>
      </c>
      <c r="C54" s="96" t="s">
        <v>449</v>
      </c>
      <c r="D54" s="96" t="s">
        <v>92</v>
      </c>
      <c r="E54" s="97">
        <v>20667</v>
      </c>
      <c r="F54" s="174" t="s">
        <v>272</v>
      </c>
      <c r="G54" s="175" t="s">
        <v>450</v>
      </c>
      <c r="H54" s="237">
        <v>21</v>
      </c>
      <c r="I54" s="243">
        <v>168</v>
      </c>
      <c r="J54" s="178">
        <v>60</v>
      </c>
    </row>
    <row r="55" spans="1:10" ht="36">
      <c r="A55" s="98">
        <v>53</v>
      </c>
      <c r="B55" s="115" t="s">
        <v>365</v>
      </c>
      <c r="C55" s="238" t="s">
        <v>219</v>
      </c>
      <c r="D55" s="238" t="s">
        <v>220</v>
      </c>
      <c r="E55" s="116">
        <v>20668</v>
      </c>
      <c r="F55" s="234" t="s">
        <v>273</v>
      </c>
      <c r="G55" s="235" t="s">
        <v>451</v>
      </c>
      <c r="H55" s="236">
        <v>20</v>
      </c>
      <c r="I55" s="242">
        <v>160</v>
      </c>
      <c r="J55" s="178">
        <v>60</v>
      </c>
    </row>
    <row r="56" spans="1:10" ht="26.25">
      <c r="A56" s="98">
        <v>54</v>
      </c>
      <c r="B56" s="96" t="s">
        <v>365</v>
      </c>
      <c r="C56" s="96" t="s">
        <v>452</v>
      </c>
      <c r="D56" s="96" t="s">
        <v>217</v>
      </c>
      <c r="E56" s="97">
        <v>20669</v>
      </c>
      <c r="F56" s="174" t="s">
        <v>453</v>
      </c>
      <c r="G56" s="185" t="s">
        <v>454</v>
      </c>
      <c r="H56" s="237">
        <v>20</v>
      </c>
      <c r="I56" s="243">
        <v>160</v>
      </c>
      <c r="J56" s="178">
        <v>60</v>
      </c>
    </row>
    <row r="57" spans="1:10" ht="26.25">
      <c r="A57" s="98">
        <v>55</v>
      </c>
      <c r="B57" s="115" t="s">
        <v>365</v>
      </c>
      <c r="C57" s="115" t="s">
        <v>203</v>
      </c>
      <c r="D57" s="115" t="s">
        <v>204</v>
      </c>
      <c r="E57" s="116" t="s">
        <v>277</v>
      </c>
      <c r="F57" s="234" t="s">
        <v>455</v>
      </c>
      <c r="G57" s="235" t="s">
        <v>456</v>
      </c>
      <c r="H57" s="236">
        <v>13</v>
      </c>
      <c r="I57" s="242">
        <v>104</v>
      </c>
      <c r="J57" s="178">
        <v>60</v>
      </c>
    </row>
    <row r="58" spans="1:10" ht="26.25">
      <c r="A58" s="98">
        <v>56</v>
      </c>
      <c r="B58" s="96" t="s">
        <v>365</v>
      </c>
      <c r="C58" s="96" t="s">
        <v>457</v>
      </c>
      <c r="D58" s="96" t="s">
        <v>91</v>
      </c>
      <c r="E58" s="97">
        <v>20670</v>
      </c>
      <c r="F58" s="174" t="s">
        <v>458</v>
      </c>
      <c r="G58" s="185" t="s">
        <v>459</v>
      </c>
      <c r="H58" s="237">
        <v>5</v>
      </c>
      <c r="I58" s="243">
        <v>40</v>
      </c>
      <c r="J58" s="178">
        <v>60</v>
      </c>
    </row>
    <row r="59" spans="1:10" ht="26.25">
      <c r="A59" s="98">
        <v>57</v>
      </c>
      <c r="B59" s="115" t="s">
        <v>365</v>
      </c>
      <c r="C59" s="115" t="s">
        <v>259</v>
      </c>
      <c r="D59" s="115" t="s">
        <v>260</v>
      </c>
      <c r="E59" s="116">
        <v>20671</v>
      </c>
      <c r="F59" s="234" t="s">
        <v>460</v>
      </c>
      <c r="G59" s="239" t="s">
        <v>461</v>
      </c>
      <c r="H59" s="236">
        <v>20</v>
      </c>
      <c r="I59" s="242">
        <v>161</v>
      </c>
      <c r="J59" s="178">
        <v>65</v>
      </c>
    </row>
    <row r="60" spans="1:10" ht="36">
      <c r="A60" s="98">
        <v>58</v>
      </c>
      <c r="B60" s="96" t="s">
        <v>365</v>
      </c>
      <c r="C60" s="96" t="s">
        <v>226</v>
      </c>
      <c r="D60" s="96" t="s">
        <v>97</v>
      </c>
      <c r="E60" s="97">
        <v>20672</v>
      </c>
      <c r="F60" s="174" t="s">
        <v>274</v>
      </c>
      <c r="G60" s="175" t="s">
        <v>462</v>
      </c>
      <c r="H60" s="237">
        <v>20</v>
      </c>
      <c r="I60" s="247">
        <v>160</v>
      </c>
      <c r="J60" s="178">
        <v>65</v>
      </c>
    </row>
    <row r="61" spans="1:10" ht="26.25">
      <c r="A61" s="98">
        <v>59</v>
      </c>
      <c r="B61" s="115" t="s">
        <v>365</v>
      </c>
      <c r="C61" s="115" t="s">
        <v>261</v>
      </c>
      <c r="D61" s="115" t="s">
        <v>262</v>
      </c>
      <c r="E61" s="116" t="s">
        <v>277</v>
      </c>
      <c r="F61" s="234" t="s">
        <v>463</v>
      </c>
      <c r="G61" s="235" t="s">
        <v>413</v>
      </c>
      <c r="H61" s="236">
        <v>1</v>
      </c>
      <c r="I61" s="242">
        <v>8</v>
      </c>
      <c r="J61" s="178">
        <v>50</v>
      </c>
    </row>
    <row r="62" spans="1:10" ht="26.25">
      <c r="A62" s="98">
        <v>1</v>
      </c>
      <c r="B62" s="115" t="s">
        <v>365</v>
      </c>
      <c r="C62" s="115" t="s">
        <v>66</v>
      </c>
      <c r="D62" s="115" t="s">
        <v>202</v>
      </c>
      <c r="E62" s="233">
        <v>20727</v>
      </c>
      <c r="F62" s="234" t="s">
        <v>124</v>
      </c>
      <c r="G62" s="235" t="s">
        <v>309</v>
      </c>
      <c r="H62" s="236">
        <v>19</v>
      </c>
      <c r="I62" s="242">
        <v>152</v>
      </c>
      <c r="J62">
        <v>55</v>
      </c>
    </row>
    <row r="63" spans="1:10" ht="26.25">
      <c r="A63" s="98">
        <v>2</v>
      </c>
      <c r="B63" s="96" t="s">
        <v>365</v>
      </c>
      <c r="C63" s="96" t="s">
        <v>278</v>
      </c>
      <c r="D63" s="96" t="s">
        <v>170</v>
      </c>
      <c r="E63" s="97" t="s">
        <v>277</v>
      </c>
      <c r="F63" s="174" t="s">
        <v>125</v>
      </c>
      <c r="G63" s="175" t="s">
        <v>310</v>
      </c>
      <c r="H63" s="237">
        <v>7</v>
      </c>
      <c r="I63" s="243">
        <v>56</v>
      </c>
      <c r="J63">
        <v>60</v>
      </c>
    </row>
    <row r="64" spans="1:10" ht="36">
      <c r="A64" s="98">
        <v>3</v>
      </c>
      <c r="B64" s="115" t="s">
        <v>365</v>
      </c>
      <c r="C64" s="238" t="s">
        <v>214</v>
      </c>
      <c r="D64" s="115" t="s">
        <v>215</v>
      </c>
      <c r="E64" s="116">
        <v>20758</v>
      </c>
      <c r="F64" s="234" t="s">
        <v>167</v>
      </c>
      <c r="G64" s="235" t="s">
        <v>311</v>
      </c>
      <c r="H64" s="236">
        <v>21</v>
      </c>
      <c r="I64" s="242">
        <v>167.5</v>
      </c>
      <c r="J64">
        <v>60</v>
      </c>
    </row>
    <row r="65" spans="1:10" ht="26.25">
      <c r="A65" s="98">
        <v>4</v>
      </c>
      <c r="B65" s="96" t="s">
        <v>365</v>
      </c>
      <c r="C65" s="96" t="s">
        <v>58</v>
      </c>
      <c r="D65" s="96" t="s">
        <v>171</v>
      </c>
      <c r="E65" s="97" t="s">
        <v>277</v>
      </c>
      <c r="F65" s="174" t="s">
        <v>126</v>
      </c>
      <c r="G65" s="185" t="s">
        <v>312</v>
      </c>
      <c r="H65" s="237">
        <v>19</v>
      </c>
      <c r="I65" s="243">
        <v>150</v>
      </c>
      <c r="J65">
        <v>60</v>
      </c>
    </row>
    <row r="66" spans="1:10" ht="26.25">
      <c r="A66" s="98">
        <v>5</v>
      </c>
      <c r="B66" s="115" t="s">
        <v>365</v>
      </c>
      <c r="C66" s="115" t="s">
        <v>158</v>
      </c>
      <c r="D66" s="115" t="s">
        <v>193</v>
      </c>
      <c r="E66" s="116" t="s">
        <v>277</v>
      </c>
      <c r="F66" s="234" t="s">
        <v>263</v>
      </c>
      <c r="G66" s="239" t="s">
        <v>313</v>
      </c>
      <c r="H66" s="236">
        <v>19</v>
      </c>
      <c r="I66" s="242">
        <v>152</v>
      </c>
      <c r="J66">
        <v>55</v>
      </c>
    </row>
    <row r="67" spans="1:10" ht="26.25">
      <c r="A67" s="98">
        <v>6</v>
      </c>
      <c r="B67" s="96" t="s">
        <v>365</v>
      </c>
      <c r="C67" s="96" t="s">
        <v>118</v>
      </c>
      <c r="D67" s="96" t="s">
        <v>172</v>
      </c>
      <c r="E67" s="197">
        <v>20729</v>
      </c>
      <c r="F67" s="174" t="s">
        <v>289</v>
      </c>
      <c r="G67" s="175" t="s">
        <v>314</v>
      </c>
      <c r="H67" s="237">
        <v>22</v>
      </c>
      <c r="I67" s="243">
        <v>176</v>
      </c>
      <c r="J67">
        <v>60</v>
      </c>
    </row>
    <row r="68" spans="1:10" ht="26.25">
      <c r="A68" s="98">
        <v>7</v>
      </c>
      <c r="B68" s="115" t="s">
        <v>365</v>
      </c>
      <c r="C68" s="115" t="s">
        <v>279</v>
      </c>
      <c r="D68" s="115" t="s">
        <v>173</v>
      </c>
      <c r="E68" s="116">
        <v>20759</v>
      </c>
      <c r="F68" s="234" t="s">
        <v>127</v>
      </c>
      <c r="G68" s="239" t="s">
        <v>315</v>
      </c>
      <c r="H68" s="236">
        <v>7</v>
      </c>
      <c r="I68" s="242">
        <v>56</v>
      </c>
      <c r="J68">
        <v>55</v>
      </c>
    </row>
    <row r="69" spans="1:10" ht="26.25">
      <c r="A69" s="98">
        <v>8</v>
      </c>
      <c r="B69" s="96" t="s">
        <v>365</v>
      </c>
      <c r="C69" s="96" t="s">
        <v>83</v>
      </c>
      <c r="D69" s="96" t="s">
        <v>93</v>
      </c>
      <c r="E69" s="97" t="s">
        <v>277</v>
      </c>
      <c r="F69" s="174" t="s">
        <v>235</v>
      </c>
      <c r="G69" s="185" t="s">
        <v>316</v>
      </c>
      <c r="H69" s="237">
        <v>8</v>
      </c>
      <c r="I69" s="243">
        <v>64</v>
      </c>
      <c r="J69">
        <v>60</v>
      </c>
    </row>
    <row r="70" spans="1:10" ht="26.25">
      <c r="A70" s="98">
        <v>9</v>
      </c>
      <c r="B70" s="115" t="s">
        <v>365</v>
      </c>
      <c r="C70" s="115" t="s">
        <v>211</v>
      </c>
      <c r="D70" s="115" t="s">
        <v>154</v>
      </c>
      <c r="E70" s="116">
        <v>20731</v>
      </c>
      <c r="F70" s="234" t="s">
        <v>128</v>
      </c>
      <c r="G70" s="239" t="s">
        <v>317</v>
      </c>
      <c r="H70" s="236">
        <v>19</v>
      </c>
      <c r="I70" s="242">
        <v>171</v>
      </c>
      <c r="J70">
        <v>60</v>
      </c>
    </row>
    <row r="71" spans="1:10" ht="26.25">
      <c r="A71" s="98">
        <v>10</v>
      </c>
      <c r="B71" s="96" t="s">
        <v>365</v>
      </c>
      <c r="C71" s="96" t="s">
        <v>255</v>
      </c>
      <c r="D71" s="96" t="s">
        <v>123</v>
      </c>
      <c r="E71" s="97" t="s">
        <v>277</v>
      </c>
      <c r="F71" s="174" t="s">
        <v>129</v>
      </c>
      <c r="G71" s="185" t="s">
        <v>318</v>
      </c>
      <c r="H71" s="237">
        <v>4</v>
      </c>
      <c r="I71" s="243">
        <v>36</v>
      </c>
      <c r="J71">
        <v>60</v>
      </c>
    </row>
    <row r="72" spans="1:10" ht="26.25">
      <c r="A72" s="98">
        <v>11</v>
      </c>
      <c r="B72" s="115" t="s">
        <v>365</v>
      </c>
      <c r="C72" s="115" t="s">
        <v>280</v>
      </c>
      <c r="D72" s="115" t="s">
        <v>114</v>
      </c>
      <c r="E72" s="116">
        <v>20753</v>
      </c>
      <c r="F72" s="234" t="s">
        <v>290</v>
      </c>
      <c r="G72" s="235" t="s">
        <v>319</v>
      </c>
      <c r="H72" s="236">
        <v>1</v>
      </c>
      <c r="I72" s="242">
        <v>9</v>
      </c>
      <c r="J72">
        <v>60</v>
      </c>
    </row>
    <row r="73" spans="1:10" ht="26.25">
      <c r="A73" s="98">
        <v>12</v>
      </c>
      <c r="B73" s="96" t="s">
        <v>365</v>
      </c>
      <c r="C73" s="96" t="s">
        <v>201</v>
      </c>
      <c r="D73" s="96" t="s">
        <v>96</v>
      </c>
      <c r="E73" s="97" t="s">
        <v>277</v>
      </c>
      <c r="F73" s="174" t="s">
        <v>291</v>
      </c>
      <c r="G73" s="185" t="s">
        <v>320</v>
      </c>
      <c r="H73" s="237">
        <v>1</v>
      </c>
      <c r="I73" s="243">
        <v>9</v>
      </c>
      <c r="J73">
        <v>60</v>
      </c>
    </row>
    <row r="74" spans="1:10" ht="26.25">
      <c r="A74" s="98">
        <v>13</v>
      </c>
      <c r="B74" s="115" t="s">
        <v>365</v>
      </c>
      <c r="C74" s="115" t="s">
        <v>65</v>
      </c>
      <c r="D74" s="115" t="s">
        <v>174</v>
      </c>
      <c r="E74" s="116" t="s">
        <v>277</v>
      </c>
      <c r="F74" s="234" t="s">
        <v>264</v>
      </c>
      <c r="G74" s="235" t="s">
        <v>321</v>
      </c>
      <c r="H74" s="236">
        <v>18</v>
      </c>
      <c r="I74" s="242">
        <v>144</v>
      </c>
      <c r="J74">
        <v>60</v>
      </c>
    </row>
    <row r="75" spans="1:10" ht="26.25">
      <c r="A75" s="98">
        <v>14</v>
      </c>
      <c r="B75" s="96" t="s">
        <v>365</v>
      </c>
      <c r="C75" s="96" t="s">
        <v>107</v>
      </c>
      <c r="D75" s="96" t="s">
        <v>180</v>
      </c>
      <c r="E75" s="97">
        <v>20760</v>
      </c>
      <c r="F75" s="174" t="s">
        <v>292</v>
      </c>
      <c r="G75" s="175" t="s">
        <v>322</v>
      </c>
      <c r="H75" s="237">
        <v>20</v>
      </c>
      <c r="I75" s="243">
        <v>160</v>
      </c>
      <c r="J75">
        <v>60</v>
      </c>
    </row>
    <row r="76" spans="1:10" ht="26.25">
      <c r="A76" s="98">
        <v>15</v>
      </c>
      <c r="B76" s="115" t="s">
        <v>365</v>
      </c>
      <c r="C76" s="115" t="s">
        <v>55</v>
      </c>
      <c r="D76" s="115" t="s">
        <v>102</v>
      </c>
      <c r="E76" s="116" t="s">
        <v>277</v>
      </c>
      <c r="F76" s="234" t="s">
        <v>130</v>
      </c>
      <c r="G76" s="235" t="s">
        <v>323</v>
      </c>
      <c r="H76" s="236">
        <v>16</v>
      </c>
      <c r="I76" s="242">
        <v>128</v>
      </c>
      <c r="J76">
        <v>60</v>
      </c>
    </row>
    <row r="77" spans="1:10" ht="26.25">
      <c r="A77" s="98">
        <v>16</v>
      </c>
      <c r="B77" s="96" t="s">
        <v>365</v>
      </c>
      <c r="C77" s="96" t="s">
        <v>208</v>
      </c>
      <c r="D77" s="96" t="s">
        <v>155</v>
      </c>
      <c r="E77" s="97" t="s">
        <v>277</v>
      </c>
      <c r="F77" s="174" t="s">
        <v>265</v>
      </c>
      <c r="G77" s="185" t="s">
        <v>324</v>
      </c>
      <c r="H77" s="237">
        <v>20</v>
      </c>
      <c r="I77" s="243">
        <v>160</v>
      </c>
      <c r="J77">
        <v>55</v>
      </c>
    </row>
    <row r="78" spans="1:10" ht="26.25">
      <c r="A78" s="98">
        <v>17</v>
      </c>
      <c r="B78" s="115" t="s">
        <v>365</v>
      </c>
      <c r="C78" s="115" t="s">
        <v>105</v>
      </c>
      <c r="D78" s="115" t="s">
        <v>175</v>
      </c>
      <c r="E78" s="116">
        <v>20761</v>
      </c>
      <c r="F78" s="234" t="s">
        <v>131</v>
      </c>
      <c r="G78" s="239" t="s">
        <v>325</v>
      </c>
      <c r="H78" s="236">
        <v>16</v>
      </c>
      <c r="I78" s="242">
        <v>128</v>
      </c>
      <c r="J78">
        <v>55</v>
      </c>
    </row>
    <row r="79" spans="1:10" ht="26.25">
      <c r="A79" s="98">
        <v>18</v>
      </c>
      <c r="B79" s="96" t="s">
        <v>365</v>
      </c>
      <c r="C79" s="96" t="s">
        <v>90</v>
      </c>
      <c r="D79" s="96" t="s">
        <v>207</v>
      </c>
      <c r="E79" s="97">
        <v>20762</v>
      </c>
      <c r="F79" s="174" t="s">
        <v>98</v>
      </c>
      <c r="G79" s="185" t="s">
        <v>326</v>
      </c>
      <c r="H79" s="237">
        <v>2</v>
      </c>
      <c r="I79" s="243">
        <v>16</v>
      </c>
      <c r="J79">
        <v>55</v>
      </c>
    </row>
    <row r="80" spans="1:10" ht="26.25">
      <c r="A80" s="98">
        <v>19</v>
      </c>
      <c r="B80" s="115" t="s">
        <v>365</v>
      </c>
      <c r="C80" s="115" t="s">
        <v>194</v>
      </c>
      <c r="D80" s="115" t="s">
        <v>195</v>
      </c>
      <c r="E80" s="233">
        <v>20735</v>
      </c>
      <c r="F80" s="234" t="s">
        <v>293</v>
      </c>
      <c r="G80" s="235" t="s">
        <v>327</v>
      </c>
      <c r="H80" s="236">
        <v>3</v>
      </c>
      <c r="I80" s="242">
        <v>24</v>
      </c>
      <c r="J80">
        <v>55</v>
      </c>
    </row>
    <row r="81" spans="1:10" ht="26.25">
      <c r="A81" s="98">
        <v>20</v>
      </c>
      <c r="B81" s="96" t="s">
        <v>365</v>
      </c>
      <c r="C81" s="96" t="s">
        <v>160</v>
      </c>
      <c r="D81" s="96" t="s">
        <v>177</v>
      </c>
      <c r="E81" s="97">
        <v>20736</v>
      </c>
      <c r="F81" s="174" t="s">
        <v>132</v>
      </c>
      <c r="G81" s="185" t="s">
        <v>328</v>
      </c>
      <c r="H81" s="237">
        <v>21</v>
      </c>
      <c r="I81" s="243">
        <v>168</v>
      </c>
      <c r="J81">
        <v>60</v>
      </c>
    </row>
    <row r="82" spans="1:10" ht="26.25">
      <c r="A82" s="98">
        <v>21</v>
      </c>
      <c r="B82" s="115" t="s">
        <v>365</v>
      </c>
      <c r="C82" s="115" t="s">
        <v>68</v>
      </c>
      <c r="D82" s="115" t="s">
        <v>178</v>
      </c>
      <c r="E82" s="116" t="s">
        <v>277</v>
      </c>
      <c r="F82" s="234" t="s">
        <v>133</v>
      </c>
      <c r="G82" s="239" t="s">
        <v>329</v>
      </c>
      <c r="H82" s="236">
        <v>18</v>
      </c>
      <c r="I82" s="242">
        <v>144</v>
      </c>
      <c r="J82">
        <v>55</v>
      </c>
    </row>
    <row r="83" spans="1:10" ht="26.25">
      <c r="A83" s="98">
        <v>22</v>
      </c>
      <c r="B83" s="96" t="s">
        <v>365</v>
      </c>
      <c r="C83" s="96" t="s">
        <v>121</v>
      </c>
      <c r="D83" s="96" t="s">
        <v>113</v>
      </c>
      <c r="E83" s="97">
        <v>20763</v>
      </c>
      <c r="F83" s="174" t="s">
        <v>266</v>
      </c>
      <c r="G83" s="175" t="s">
        <v>330</v>
      </c>
      <c r="H83" s="237">
        <v>18</v>
      </c>
      <c r="I83" s="243">
        <v>144</v>
      </c>
      <c r="J83">
        <v>60</v>
      </c>
    </row>
    <row r="84" spans="1:10" ht="26.25">
      <c r="A84" s="98">
        <v>23</v>
      </c>
      <c r="B84" s="115" t="s">
        <v>365</v>
      </c>
      <c r="C84" s="115" t="s">
        <v>281</v>
      </c>
      <c r="D84" s="115" t="s">
        <v>122</v>
      </c>
      <c r="E84" s="116" t="s">
        <v>277</v>
      </c>
      <c r="F84" s="234" t="s">
        <v>267</v>
      </c>
      <c r="G84" s="239" t="s">
        <v>331</v>
      </c>
      <c r="H84" s="236">
        <v>2</v>
      </c>
      <c r="I84" s="242">
        <v>16</v>
      </c>
      <c r="J84">
        <v>60</v>
      </c>
    </row>
    <row r="85" spans="1:10" ht="26.25">
      <c r="A85" s="98">
        <v>24</v>
      </c>
      <c r="B85" s="96" t="s">
        <v>365</v>
      </c>
      <c r="C85" s="96" t="s">
        <v>119</v>
      </c>
      <c r="D85" s="96" t="s">
        <v>110</v>
      </c>
      <c r="E85" s="97" t="s">
        <v>277</v>
      </c>
      <c r="F85" s="174" t="s">
        <v>134</v>
      </c>
      <c r="G85" s="175" t="s">
        <v>332</v>
      </c>
      <c r="H85" s="237">
        <v>21</v>
      </c>
      <c r="I85" s="243">
        <v>168</v>
      </c>
      <c r="J85">
        <v>60</v>
      </c>
    </row>
    <row r="86" spans="1:10" ht="26.25">
      <c r="A86" s="98">
        <v>25</v>
      </c>
      <c r="B86" s="115" t="s">
        <v>365</v>
      </c>
      <c r="C86" s="115" t="s">
        <v>104</v>
      </c>
      <c r="D86" s="115" t="s">
        <v>115</v>
      </c>
      <c r="E86" s="116">
        <v>20764</v>
      </c>
      <c r="F86" s="234" t="s">
        <v>236</v>
      </c>
      <c r="G86" s="239" t="s">
        <v>333</v>
      </c>
      <c r="H86" s="236">
        <v>18</v>
      </c>
      <c r="I86" s="242">
        <v>144</v>
      </c>
      <c r="J86">
        <v>60</v>
      </c>
    </row>
    <row r="87" spans="1:10" ht="26.25">
      <c r="A87" s="98">
        <v>26</v>
      </c>
      <c r="B87" s="96" t="s">
        <v>365</v>
      </c>
      <c r="C87" s="194" t="s">
        <v>225</v>
      </c>
      <c r="D87" s="96" t="s">
        <v>237</v>
      </c>
      <c r="E87" s="97" t="s">
        <v>277</v>
      </c>
      <c r="F87" s="174" t="s">
        <v>294</v>
      </c>
      <c r="G87" s="185" t="s">
        <v>334</v>
      </c>
      <c r="H87" s="237">
        <v>17</v>
      </c>
      <c r="I87" s="244">
        <v>136</v>
      </c>
      <c r="J87">
        <v>60</v>
      </c>
    </row>
    <row r="88" spans="1:10" ht="26.25">
      <c r="A88" s="98">
        <v>27</v>
      </c>
      <c r="B88" s="115" t="s">
        <v>365</v>
      </c>
      <c r="C88" s="115" t="s">
        <v>120</v>
      </c>
      <c r="D88" s="115" t="s">
        <v>112</v>
      </c>
      <c r="E88" s="116">
        <v>20765</v>
      </c>
      <c r="F88" s="234" t="s">
        <v>135</v>
      </c>
      <c r="G88" s="239" t="s">
        <v>335</v>
      </c>
      <c r="H88" s="236">
        <v>13</v>
      </c>
      <c r="I88" s="242">
        <v>104</v>
      </c>
      <c r="J88">
        <v>60</v>
      </c>
    </row>
    <row r="89" spans="1:10" ht="26.25">
      <c r="A89" s="98">
        <v>28</v>
      </c>
      <c r="B89" s="96" t="s">
        <v>365</v>
      </c>
      <c r="C89" s="96" t="s">
        <v>108</v>
      </c>
      <c r="D89" s="96" t="s">
        <v>69</v>
      </c>
      <c r="E89" s="97">
        <v>20766</v>
      </c>
      <c r="F89" s="174" t="s">
        <v>268</v>
      </c>
      <c r="G89" s="185" t="s">
        <v>336</v>
      </c>
      <c r="H89" s="237">
        <v>18</v>
      </c>
      <c r="I89" s="243">
        <v>144</v>
      </c>
      <c r="J89">
        <v>60</v>
      </c>
    </row>
    <row r="90" spans="1:10" ht="26.25">
      <c r="A90" s="98">
        <v>29</v>
      </c>
      <c r="B90" s="115" t="s">
        <v>365</v>
      </c>
      <c r="C90" s="115" t="s">
        <v>256</v>
      </c>
      <c r="D90" s="115" t="s">
        <v>257</v>
      </c>
      <c r="E90" s="116">
        <v>20767</v>
      </c>
      <c r="F90" s="234" t="s">
        <v>247</v>
      </c>
      <c r="G90" s="235" t="s">
        <v>337</v>
      </c>
      <c r="H90" s="236">
        <v>20</v>
      </c>
      <c r="I90" s="242">
        <v>158</v>
      </c>
      <c r="J90">
        <v>60</v>
      </c>
    </row>
    <row r="91" spans="1:10" ht="26.25">
      <c r="A91" s="98">
        <v>30</v>
      </c>
      <c r="B91" s="96" t="s">
        <v>365</v>
      </c>
      <c r="C91" s="96" t="s">
        <v>199</v>
      </c>
      <c r="D91" s="96" t="s">
        <v>200</v>
      </c>
      <c r="E91" s="97">
        <v>20768</v>
      </c>
      <c r="F91" s="174" t="s">
        <v>75</v>
      </c>
      <c r="G91" s="175" t="s">
        <v>338</v>
      </c>
      <c r="H91" s="237">
        <v>18</v>
      </c>
      <c r="I91" s="243">
        <v>144</v>
      </c>
      <c r="J91">
        <v>60</v>
      </c>
    </row>
    <row r="92" spans="1:10" ht="26.25">
      <c r="A92" s="98">
        <v>31</v>
      </c>
      <c r="B92" s="115" t="s">
        <v>365</v>
      </c>
      <c r="C92" s="115" t="s">
        <v>162</v>
      </c>
      <c r="D92" s="115" t="s">
        <v>186</v>
      </c>
      <c r="E92" s="116" t="s">
        <v>277</v>
      </c>
      <c r="F92" s="234" t="s">
        <v>76</v>
      </c>
      <c r="G92" s="235" t="s">
        <v>339</v>
      </c>
      <c r="H92" s="240">
        <v>7</v>
      </c>
      <c r="I92" s="245">
        <v>56</v>
      </c>
      <c r="J92">
        <v>60</v>
      </c>
    </row>
    <row r="93" spans="1:10" ht="26.25">
      <c r="A93" s="98">
        <v>32</v>
      </c>
      <c r="B93" s="96" t="s">
        <v>365</v>
      </c>
      <c r="C93" s="96" t="s">
        <v>163</v>
      </c>
      <c r="D93" s="96" t="s">
        <v>188</v>
      </c>
      <c r="E93" s="97">
        <v>20769</v>
      </c>
      <c r="F93" s="174" t="s">
        <v>99</v>
      </c>
      <c r="G93" s="175" t="s">
        <v>340</v>
      </c>
      <c r="H93" s="237">
        <v>18</v>
      </c>
      <c r="I93" s="243">
        <v>141</v>
      </c>
      <c r="J93">
        <v>60</v>
      </c>
    </row>
    <row r="94" spans="1:10" ht="26.25">
      <c r="A94" s="98">
        <v>33</v>
      </c>
      <c r="B94" s="115" t="s">
        <v>365</v>
      </c>
      <c r="C94" s="115" t="s">
        <v>282</v>
      </c>
      <c r="D94" s="115" t="s">
        <v>122</v>
      </c>
      <c r="E94" s="116" t="s">
        <v>277</v>
      </c>
      <c r="F94" s="234" t="s">
        <v>100</v>
      </c>
      <c r="G94" s="235" t="s">
        <v>341</v>
      </c>
      <c r="H94" s="236">
        <v>5</v>
      </c>
      <c r="I94" s="242">
        <v>40</v>
      </c>
      <c r="J94">
        <v>60</v>
      </c>
    </row>
    <row r="95" spans="1:10" ht="26.25">
      <c r="A95" s="98">
        <v>34</v>
      </c>
      <c r="B95" s="96" t="s">
        <v>365</v>
      </c>
      <c r="C95" s="96" t="s">
        <v>283</v>
      </c>
      <c r="D95" s="96" t="s">
        <v>114</v>
      </c>
      <c r="E95" s="197">
        <v>20755</v>
      </c>
      <c r="F95" s="174" t="s">
        <v>269</v>
      </c>
      <c r="G95" s="175" t="s">
        <v>342</v>
      </c>
      <c r="H95" s="237">
        <v>2</v>
      </c>
      <c r="I95" s="243">
        <v>16</v>
      </c>
      <c r="J95">
        <v>60</v>
      </c>
    </row>
    <row r="96" spans="1:10" ht="26.25">
      <c r="A96" s="98">
        <v>35</v>
      </c>
      <c r="B96" s="115" t="s">
        <v>365</v>
      </c>
      <c r="C96" s="115" t="s">
        <v>183</v>
      </c>
      <c r="D96" s="115" t="s">
        <v>116</v>
      </c>
      <c r="E96" s="233" t="s">
        <v>277</v>
      </c>
      <c r="F96" s="234" t="s">
        <v>85</v>
      </c>
      <c r="G96" s="239" t="s">
        <v>343</v>
      </c>
      <c r="H96" s="236">
        <v>19</v>
      </c>
      <c r="I96" s="242">
        <v>152</v>
      </c>
      <c r="J96">
        <v>60</v>
      </c>
    </row>
    <row r="97" spans="1:10" ht="26.25">
      <c r="A97" s="98">
        <v>36</v>
      </c>
      <c r="B97" s="96" t="s">
        <v>365</v>
      </c>
      <c r="C97" s="96" t="s">
        <v>106</v>
      </c>
      <c r="D97" s="96" t="s">
        <v>93</v>
      </c>
      <c r="E97" s="97" t="s">
        <v>277</v>
      </c>
      <c r="F97" s="174" t="s">
        <v>84</v>
      </c>
      <c r="G97" s="175" t="s">
        <v>344</v>
      </c>
      <c r="H97" s="237">
        <v>1</v>
      </c>
      <c r="I97" s="243">
        <v>8</v>
      </c>
      <c r="J97">
        <v>60</v>
      </c>
    </row>
    <row r="98" spans="1:10" ht="26.25">
      <c r="A98" s="98">
        <v>37</v>
      </c>
      <c r="B98" s="115" t="s">
        <v>365</v>
      </c>
      <c r="C98" s="115" t="s">
        <v>258</v>
      </c>
      <c r="D98" s="115" t="s">
        <v>123</v>
      </c>
      <c r="E98" s="116" t="s">
        <v>277</v>
      </c>
      <c r="F98" s="234" t="s">
        <v>295</v>
      </c>
      <c r="G98" s="239" t="s">
        <v>345</v>
      </c>
      <c r="H98" s="236">
        <v>1</v>
      </c>
      <c r="I98" s="242">
        <v>8</v>
      </c>
      <c r="J98">
        <v>60</v>
      </c>
    </row>
    <row r="99" spans="1:10" ht="26.25">
      <c r="A99" s="98">
        <v>38</v>
      </c>
      <c r="B99" s="96" t="s">
        <v>365</v>
      </c>
      <c r="C99" s="96" t="s">
        <v>213</v>
      </c>
      <c r="D99" s="96" t="s">
        <v>91</v>
      </c>
      <c r="E99" s="97">
        <v>20744</v>
      </c>
      <c r="F99" s="96" t="s">
        <v>270</v>
      </c>
      <c r="G99" s="175" t="s">
        <v>346</v>
      </c>
      <c r="H99" s="237">
        <v>16</v>
      </c>
      <c r="I99" s="243">
        <v>128</v>
      </c>
      <c r="J99">
        <v>80</v>
      </c>
    </row>
    <row r="100" spans="1:10" ht="26.25">
      <c r="A100" s="98">
        <v>39</v>
      </c>
      <c r="B100" s="115" t="s">
        <v>365</v>
      </c>
      <c r="C100" s="115" t="s">
        <v>284</v>
      </c>
      <c r="D100" s="115" t="s">
        <v>206</v>
      </c>
      <c r="E100" s="116" t="s">
        <v>277</v>
      </c>
      <c r="F100" s="234" t="s">
        <v>271</v>
      </c>
      <c r="G100" s="239" t="s">
        <v>347</v>
      </c>
      <c r="H100" s="236">
        <v>4</v>
      </c>
      <c r="I100" s="242">
        <v>32</v>
      </c>
      <c r="J100">
        <v>80</v>
      </c>
    </row>
    <row r="101" spans="1:10" ht="26.25">
      <c r="A101" s="98">
        <v>40</v>
      </c>
      <c r="B101" s="96" t="s">
        <v>365</v>
      </c>
      <c r="C101" s="96" t="s">
        <v>261</v>
      </c>
      <c r="D101" s="96" t="s">
        <v>262</v>
      </c>
      <c r="E101" s="97" t="s">
        <v>277</v>
      </c>
      <c r="F101" s="174" t="s">
        <v>296</v>
      </c>
      <c r="G101" s="175" t="s">
        <v>348</v>
      </c>
      <c r="H101" s="237">
        <v>15</v>
      </c>
      <c r="I101" s="243">
        <v>120</v>
      </c>
      <c r="J101">
        <v>60</v>
      </c>
    </row>
    <row r="102" spans="1:10" ht="26.25">
      <c r="A102" s="98">
        <v>41</v>
      </c>
      <c r="B102" s="115" t="s">
        <v>365</v>
      </c>
      <c r="C102" s="115" t="s">
        <v>285</v>
      </c>
      <c r="D102" s="115" t="s">
        <v>122</v>
      </c>
      <c r="E102" s="116" t="s">
        <v>277</v>
      </c>
      <c r="F102" s="234" t="s">
        <v>297</v>
      </c>
      <c r="G102" s="239" t="s">
        <v>349</v>
      </c>
      <c r="H102" s="236">
        <v>3</v>
      </c>
      <c r="I102" s="242">
        <v>24</v>
      </c>
      <c r="J102">
        <v>60</v>
      </c>
    </row>
    <row r="103" spans="1:10" ht="26.25">
      <c r="A103" s="98">
        <v>42</v>
      </c>
      <c r="B103" s="96" t="s">
        <v>365</v>
      </c>
      <c r="C103" s="96" t="s">
        <v>286</v>
      </c>
      <c r="D103" s="96" t="s">
        <v>170</v>
      </c>
      <c r="E103" s="97" t="s">
        <v>277</v>
      </c>
      <c r="F103" s="174" t="s">
        <v>298</v>
      </c>
      <c r="G103" s="175" t="s">
        <v>350</v>
      </c>
      <c r="H103" s="237">
        <v>1</v>
      </c>
      <c r="I103" s="243">
        <v>8</v>
      </c>
      <c r="J103">
        <v>60</v>
      </c>
    </row>
    <row r="104" spans="1:10" ht="26.25">
      <c r="A104" s="98">
        <v>43</v>
      </c>
      <c r="B104" s="115" t="s">
        <v>365</v>
      </c>
      <c r="C104" s="115" t="s">
        <v>287</v>
      </c>
      <c r="D104" s="115" t="s">
        <v>173</v>
      </c>
      <c r="E104" s="116">
        <v>20745</v>
      </c>
      <c r="F104" s="234" t="s">
        <v>299</v>
      </c>
      <c r="G104" s="235" t="s">
        <v>351</v>
      </c>
      <c r="H104" s="236">
        <v>2</v>
      </c>
      <c r="I104" s="245">
        <v>16</v>
      </c>
      <c r="J104">
        <v>55</v>
      </c>
    </row>
    <row r="105" spans="1:10" ht="26.25">
      <c r="A105" s="98">
        <v>44</v>
      </c>
      <c r="B105" s="96" t="s">
        <v>365</v>
      </c>
      <c r="C105" s="96" t="s">
        <v>166</v>
      </c>
      <c r="D105" s="96" t="s">
        <v>209</v>
      </c>
      <c r="E105" s="97">
        <v>20746</v>
      </c>
      <c r="F105" s="174" t="s">
        <v>300</v>
      </c>
      <c r="G105" s="185" t="s">
        <v>352</v>
      </c>
      <c r="H105" s="237">
        <v>16</v>
      </c>
      <c r="I105" s="243">
        <v>128</v>
      </c>
      <c r="J105">
        <v>80</v>
      </c>
    </row>
    <row r="106" spans="1:10" ht="36">
      <c r="A106" s="98">
        <v>45</v>
      </c>
      <c r="B106" s="115" t="s">
        <v>365</v>
      </c>
      <c r="C106" s="238" t="s">
        <v>288</v>
      </c>
      <c r="D106" s="115" t="s">
        <v>206</v>
      </c>
      <c r="E106" s="116" t="s">
        <v>277</v>
      </c>
      <c r="F106" s="234" t="s">
        <v>301</v>
      </c>
      <c r="G106" s="235" t="s">
        <v>353</v>
      </c>
      <c r="H106" s="236">
        <v>4</v>
      </c>
      <c r="I106" s="242">
        <v>32</v>
      </c>
      <c r="J106">
        <v>80</v>
      </c>
    </row>
    <row r="107" spans="1:10" ht="26.25">
      <c r="A107" s="98">
        <v>46</v>
      </c>
      <c r="B107" s="96" t="s">
        <v>365</v>
      </c>
      <c r="C107" s="96" t="s">
        <v>227</v>
      </c>
      <c r="D107" s="96" t="s">
        <v>97</v>
      </c>
      <c r="E107" s="97">
        <v>20747</v>
      </c>
      <c r="F107" s="174" t="s">
        <v>302</v>
      </c>
      <c r="G107" s="185" t="s">
        <v>354</v>
      </c>
      <c r="H107" s="237">
        <v>2</v>
      </c>
      <c r="I107" s="243">
        <v>16</v>
      </c>
      <c r="J107">
        <v>80</v>
      </c>
    </row>
    <row r="108" spans="1:10" ht="26.25">
      <c r="A108" s="98">
        <v>47</v>
      </c>
      <c r="B108" s="115" t="s">
        <v>365</v>
      </c>
      <c r="C108" s="241" t="s">
        <v>190</v>
      </c>
      <c r="D108" s="241" t="s">
        <v>92</v>
      </c>
      <c r="E108" s="116">
        <v>20748</v>
      </c>
      <c r="F108" s="241" t="s">
        <v>272</v>
      </c>
      <c r="G108" s="235" t="s">
        <v>355</v>
      </c>
      <c r="H108" s="236">
        <v>23</v>
      </c>
      <c r="I108" s="245">
        <v>184</v>
      </c>
      <c r="J108">
        <v>60</v>
      </c>
    </row>
    <row r="109" spans="1:10" ht="26.25">
      <c r="A109" s="98">
        <v>48</v>
      </c>
      <c r="B109" s="96" t="s">
        <v>365</v>
      </c>
      <c r="C109" s="96" t="s">
        <v>219</v>
      </c>
      <c r="D109" s="96" t="s">
        <v>220</v>
      </c>
      <c r="E109" s="97">
        <v>20749</v>
      </c>
      <c r="F109" s="174" t="s">
        <v>273</v>
      </c>
      <c r="G109" s="185" t="s">
        <v>356</v>
      </c>
      <c r="H109" s="237">
        <v>21</v>
      </c>
      <c r="I109" s="246">
        <v>168</v>
      </c>
      <c r="J109">
        <v>60</v>
      </c>
    </row>
    <row r="110" spans="1:10" ht="26.25">
      <c r="A110" s="98">
        <v>49</v>
      </c>
      <c r="B110" s="115" t="s">
        <v>365</v>
      </c>
      <c r="C110" s="115" t="s">
        <v>216</v>
      </c>
      <c r="D110" s="115" t="s">
        <v>217</v>
      </c>
      <c r="E110" s="116">
        <v>20750</v>
      </c>
      <c r="F110" s="234" t="s">
        <v>303</v>
      </c>
      <c r="G110" s="235" t="s">
        <v>357</v>
      </c>
      <c r="H110" s="236">
        <v>19</v>
      </c>
      <c r="I110" s="242">
        <v>152</v>
      </c>
      <c r="J110">
        <v>60</v>
      </c>
    </row>
    <row r="111" spans="1:10" ht="26.25">
      <c r="A111" s="98">
        <v>50</v>
      </c>
      <c r="B111" s="96" t="s">
        <v>365</v>
      </c>
      <c r="C111" s="96" t="s">
        <v>221</v>
      </c>
      <c r="D111" s="96" t="s">
        <v>254</v>
      </c>
      <c r="E111" s="97" t="s">
        <v>277</v>
      </c>
      <c r="F111" s="96" t="s">
        <v>304</v>
      </c>
      <c r="G111" s="175" t="s">
        <v>358</v>
      </c>
      <c r="H111" s="237">
        <v>2</v>
      </c>
      <c r="I111" s="243">
        <v>16</v>
      </c>
      <c r="J111">
        <v>60</v>
      </c>
    </row>
    <row r="112" spans="1:10" ht="26.25">
      <c r="A112" s="98">
        <v>51</v>
      </c>
      <c r="B112" s="115" t="s">
        <v>365</v>
      </c>
      <c r="C112" s="115" t="s">
        <v>203</v>
      </c>
      <c r="D112" s="115" t="s">
        <v>204</v>
      </c>
      <c r="E112" s="116" t="s">
        <v>277</v>
      </c>
      <c r="F112" s="234" t="s">
        <v>305</v>
      </c>
      <c r="G112" s="235" t="s">
        <v>359</v>
      </c>
      <c r="H112" s="236">
        <v>22</v>
      </c>
      <c r="I112" s="242">
        <v>176</v>
      </c>
      <c r="J112">
        <v>60</v>
      </c>
    </row>
    <row r="113" spans="1:10" ht="26.25">
      <c r="A113" s="98">
        <v>52</v>
      </c>
      <c r="B113" s="96" t="s">
        <v>365</v>
      </c>
      <c r="C113" s="96" t="s">
        <v>259</v>
      </c>
      <c r="D113" s="96" t="s">
        <v>260</v>
      </c>
      <c r="E113" s="97">
        <v>20770</v>
      </c>
      <c r="F113" s="174" t="s">
        <v>306</v>
      </c>
      <c r="G113" s="175" t="s">
        <v>360</v>
      </c>
      <c r="H113" s="237">
        <v>12</v>
      </c>
      <c r="I113" s="243">
        <v>96</v>
      </c>
      <c r="J113">
        <v>65</v>
      </c>
    </row>
    <row r="114" spans="1:10" ht="36">
      <c r="A114" s="98">
        <v>53</v>
      </c>
      <c r="B114" s="115" t="s">
        <v>365</v>
      </c>
      <c r="C114" s="238" t="s">
        <v>245</v>
      </c>
      <c r="D114" s="238" t="s">
        <v>246</v>
      </c>
      <c r="E114" s="116" t="s">
        <v>277</v>
      </c>
      <c r="F114" s="234" t="s">
        <v>307</v>
      </c>
      <c r="G114" s="235" t="s">
        <v>361</v>
      </c>
      <c r="H114" s="236">
        <v>9</v>
      </c>
      <c r="I114" s="242">
        <v>72</v>
      </c>
      <c r="J114">
        <v>60</v>
      </c>
    </row>
    <row r="115" spans="1:10" ht="26.25">
      <c r="A115" s="98">
        <v>54</v>
      </c>
      <c r="B115" s="96" t="s">
        <v>365</v>
      </c>
      <c r="C115" s="96" t="s">
        <v>226</v>
      </c>
      <c r="D115" s="96" t="s">
        <v>97</v>
      </c>
      <c r="E115" s="97">
        <v>20752</v>
      </c>
      <c r="F115" s="174" t="s">
        <v>274</v>
      </c>
      <c r="G115" s="185" t="s">
        <v>362</v>
      </c>
      <c r="H115" s="237">
        <v>18</v>
      </c>
      <c r="I115" s="243">
        <v>144</v>
      </c>
      <c r="J115">
        <v>65</v>
      </c>
    </row>
    <row r="116" spans="1:10" ht="26.25">
      <c r="A116" s="98">
        <v>55</v>
      </c>
      <c r="B116" s="115"/>
      <c r="C116" s="115" t="s">
        <v>199</v>
      </c>
      <c r="D116" s="115" t="s">
        <v>200</v>
      </c>
      <c r="E116" s="116">
        <v>20756</v>
      </c>
      <c r="F116" s="234" t="s">
        <v>75</v>
      </c>
      <c r="G116" s="235"/>
      <c r="H116" s="236"/>
      <c r="I116" s="242"/>
    </row>
    <row r="117" spans="1:10" ht="26.25">
      <c r="A117" s="252">
        <v>56</v>
      </c>
      <c r="B117" s="206"/>
      <c r="C117" s="206" t="s">
        <v>211</v>
      </c>
      <c r="D117" s="206" t="s">
        <v>154</v>
      </c>
      <c r="E117" s="207">
        <v>20757</v>
      </c>
      <c r="F117" s="208" t="s">
        <v>128</v>
      </c>
      <c r="G117" s="214"/>
      <c r="H117" s="253"/>
      <c r="I117" s="254"/>
    </row>
    <row r="118" spans="1:10" ht="26.25">
      <c r="A118" s="98">
        <v>1</v>
      </c>
      <c r="B118" s="96"/>
      <c r="C118" s="96" t="s">
        <v>66</v>
      </c>
      <c r="D118" s="96" t="s">
        <v>202</v>
      </c>
      <c r="E118" s="97">
        <v>20850</v>
      </c>
      <c r="F118" s="174" t="s">
        <v>124</v>
      </c>
      <c r="G118" s="185" t="s">
        <v>527</v>
      </c>
      <c r="H118" s="237">
        <v>22</v>
      </c>
      <c r="I118" s="243">
        <v>176</v>
      </c>
      <c r="J118">
        <v>55</v>
      </c>
    </row>
    <row r="119" spans="1:10" ht="26.25">
      <c r="A119" s="98">
        <v>2</v>
      </c>
      <c r="B119" s="96"/>
      <c r="C119" s="96" t="s">
        <v>278</v>
      </c>
      <c r="D119" s="96" t="s">
        <v>170</v>
      </c>
      <c r="E119" s="97" t="s">
        <v>277</v>
      </c>
      <c r="F119" s="174" t="s">
        <v>480</v>
      </c>
      <c r="G119" s="185" t="s">
        <v>528</v>
      </c>
      <c r="H119" s="237">
        <v>7</v>
      </c>
      <c r="I119" s="243">
        <v>56</v>
      </c>
      <c r="J119">
        <v>60</v>
      </c>
    </row>
    <row r="120" spans="1:10" ht="26.25">
      <c r="A120" s="98">
        <v>3</v>
      </c>
      <c r="B120" s="96"/>
      <c r="C120" s="96" t="s">
        <v>470</v>
      </c>
      <c r="D120" s="96" t="s">
        <v>179</v>
      </c>
      <c r="E120" s="97" t="s">
        <v>277</v>
      </c>
      <c r="F120" s="174" t="s">
        <v>481</v>
      </c>
      <c r="G120" s="185" t="s">
        <v>529</v>
      </c>
      <c r="H120" s="237">
        <v>2</v>
      </c>
      <c r="I120" s="243">
        <v>16</v>
      </c>
      <c r="J120">
        <v>60</v>
      </c>
    </row>
    <row r="121" spans="1:10" ht="26.25">
      <c r="A121" s="98">
        <v>4</v>
      </c>
      <c r="B121" s="96"/>
      <c r="C121" s="96" t="s">
        <v>214</v>
      </c>
      <c r="D121" s="96" t="s">
        <v>215</v>
      </c>
      <c r="E121" s="97">
        <v>20851</v>
      </c>
      <c r="F121" s="174" t="s">
        <v>167</v>
      </c>
      <c r="G121" s="185" t="s">
        <v>530</v>
      </c>
      <c r="H121" s="237">
        <v>24</v>
      </c>
      <c r="I121" s="243">
        <v>192</v>
      </c>
      <c r="J121">
        <v>60</v>
      </c>
    </row>
    <row r="122" spans="1:10" ht="26.25">
      <c r="A122" s="98">
        <v>5</v>
      </c>
      <c r="B122" s="96"/>
      <c r="C122" s="96" t="s">
        <v>58</v>
      </c>
      <c r="D122" s="96" t="s">
        <v>171</v>
      </c>
      <c r="E122" s="97" t="s">
        <v>277</v>
      </c>
      <c r="F122" s="174" t="s">
        <v>126</v>
      </c>
      <c r="G122" s="185" t="s">
        <v>531</v>
      </c>
      <c r="H122" s="237">
        <v>22</v>
      </c>
      <c r="I122" s="243">
        <v>176</v>
      </c>
      <c r="J122">
        <v>60</v>
      </c>
    </row>
    <row r="123" spans="1:10" ht="26.25">
      <c r="A123" s="98">
        <v>6</v>
      </c>
      <c r="B123" s="96"/>
      <c r="C123" s="96" t="s">
        <v>158</v>
      </c>
      <c r="D123" s="96" t="s">
        <v>193</v>
      </c>
      <c r="E123" s="97">
        <v>20852</v>
      </c>
      <c r="F123" s="174" t="s">
        <v>263</v>
      </c>
      <c r="G123" s="185" t="s">
        <v>532</v>
      </c>
      <c r="H123" s="237">
        <v>20</v>
      </c>
      <c r="I123" s="243">
        <v>160</v>
      </c>
      <c r="J123">
        <v>55</v>
      </c>
    </row>
    <row r="124" spans="1:10" ht="26.25">
      <c r="A124" s="98">
        <v>7</v>
      </c>
      <c r="B124" s="96"/>
      <c r="C124" s="96" t="s">
        <v>118</v>
      </c>
      <c r="D124" s="96" t="s">
        <v>172</v>
      </c>
      <c r="E124" s="97">
        <v>20853</v>
      </c>
      <c r="F124" s="174" t="s">
        <v>289</v>
      </c>
      <c r="G124" s="185" t="s">
        <v>533</v>
      </c>
      <c r="H124" s="237">
        <v>22</v>
      </c>
      <c r="I124" s="243">
        <v>176</v>
      </c>
      <c r="J124">
        <v>60</v>
      </c>
    </row>
    <row r="125" spans="1:10" ht="26.25">
      <c r="A125" s="98">
        <v>8</v>
      </c>
      <c r="B125" s="96"/>
      <c r="C125" s="96" t="s">
        <v>279</v>
      </c>
      <c r="D125" s="96" t="s">
        <v>173</v>
      </c>
      <c r="E125" s="97">
        <v>20854</v>
      </c>
      <c r="F125" s="174" t="s">
        <v>127</v>
      </c>
      <c r="G125" s="185" t="s">
        <v>534</v>
      </c>
      <c r="H125" s="237">
        <v>4</v>
      </c>
      <c r="I125" s="243">
        <v>32</v>
      </c>
      <c r="J125">
        <v>55</v>
      </c>
    </row>
    <row r="126" spans="1:10" ht="26.25">
      <c r="A126" s="98">
        <v>9</v>
      </c>
      <c r="B126" s="96"/>
      <c r="C126" s="96" t="s">
        <v>83</v>
      </c>
      <c r="D126" s="96" t="s">
        <v>93</v>
      </c>
      <c r="E126" s="97" t="s">
        <v>277</v>
      </c>
      <c r="F126" s="174" t="s">
        <v>482</v>
      </c>
      <c r="G126" s="185" t="s">
        <v>535</v>
      </c>
      <c r="H126" s="237">
        <v>7</v>
      </c>
      <c r="I126" s="243">
        <v>56</v>
      </c>
      <c r="J126">
        <v>60</v>
      </c>
    </row>
    <row r="127" spans="1:10" ht="26.25">
      <c r="A127" s="98">
        <v>10</v>
      </c>
      <c r="B127" s="96"/>
      <c r="C127" s="96" t="s">
        <v>288</v>
      </c>
      <c r="D127" s="96" t="s">
        <v>206</v>
      </c>
      <c r="E127" s="97" t="s">
        <v>277</v>
      </c>
      <c r="F127" s="174" t="s">
        <v>483</v>
      </c>
      <c r="G127" s="185" t="s">
        <v>536</v>
      </c>
      <c r="H127" s="237">
        <v>2</v>
      </c>
      <c r="I127" s="243">
        <v>16</v>
      </c>
      <c r="J127">
        <v>60</v>
      </c>
    </row>
    <row r="128" spans="1:10" ht="26.25">
      <c r="A128" s="98">
        <v>11</v>
      </c>
      <c r="B128" s="96"/>
      <c r="C128" s="96" t="s">
        <v>471</v>
      </c>
      <c r="D128" s="96" t="s">
        <v>154</v>
      </c>
      <c r="E128" s="97">
        <v>20855</v>
      </c>
      <c r="F128" s="174" t="s">
        <v>128</v>
      </c>
      <c r="G128" s="185" t="s">
        <v>537</v>
      </c>
      <c r="H128" s="237">
        <v>16</v>
      </c>
      <c r="I128" s="243">
        <v>144</v>
      </c>
      <c r="J128">
        <v>60</v>
      </c>
    </row>
    <row r="129" spans="1:10" ht="26.25">
      <c r="A129" s="98">
        <v>12</v>
      </c>
      <c r="B129" s="96"/>
      <c r="C129" s="96" t="s">
        <v>255</v>
      </c>
      <c r="D129" s="96" t="s">
        <v>123</v>
      </c>
      <c r="E129" s="97" t="s">
        <v>277</v>
      </c>
      <c r="F129" s="174" t="s">
        <v>129</v>
      </c>
      <c r="G129" s="185" t="s">
        <v>538</v>
      </c>
      <c r="H129" s="237">
        <v>7</v>
      </c>
      <c r="I129" s="243">
        <v>63</v>
      </c>
      <c r="J129">
        <v>60</v>
      </c>
    </row>
    <row r="130" spans="1:10" ht="26.25">
      <c r="A130" s="98">
        <v>13</v>
      </c>
      <c r="B130" s="96"/>
      <c r="C130" s="96" t="s">
        <v>201</v>
      </c>
      <c r="D130" s="96" t="s">
        <v>96</v>
      </c>
      <c r="E130" s="97" t="s">
        <v>277</v>
      </c>
      <c r="F130" s="174" t="s">
        <v>290</v>
      </c>
      <c r="G130" s="185" t="s">
        <v>539</v>
      </c>
      <c r="H130" s="237">
        <v>1</v>
      </c>
      <c r="I130" s="243">
        <v>9</v>
      </c>
      <c r="J130">
        <v>60</v>
      </c>
    </row>
    <row r="131" spans="1:10" ht="26.25">
      <c r="A131" s="98">
        <v>14</v>
      </c>
      <c r="B131" s="96"/>
      <c r="C131" s="96" t="s">
        <v>472</v>
      </c>
      <c r="D131" s="96" t="s">
        <v>154</v>
      </c>
      <c r="E131" s="97">
        <v>20856</v>
      </c>
      <c r="F131" s="174" t="s">
        <v>484</v>
      </c>
      <c r="G131" s="185" t="s">
        <v>540</v>
      </c>
      <c r="H131" s="237">
        <v>7</v>
      </c>
      <c r="I131" s="243">
        <v>56</v>
      </c>
      <c r="J131">
        <v>60</v>
      </c>
    </row>
    <row r="132" spans="1:10" ht="26.25">
      <c r="A132" s="98">
        <v>15</v>
      </c>
      <c r="B132" s="96"/>
      <c r="C132" s="96" t="s">
        <v>258</v>
      </c>
      <c r="D132" s="96" t="s">
        <v>123</v>
      </c>
      <c r="E132" s="97" t="s">
        <v>277</v>
      </c>
      <c r="F132" s="174" t="s">
        <v>485</v>
      </c>
      <c r="G132" s="185" t="s">
        <v>541</v>
      </c>
      <c r="H132" s="237">
        <v>3</v>
      </c>
      <c r="I132" s="243">
        <v>24</v>
      </c>
      <c r="J132">
        <v>60</v>
      </c>
    </row>
    <row r="133" spans="1:10" ht="26.25">
      <c r="A133" s="98">
        <v>16</v>
      </c>
      <c r="B133" s="96"/>
      <c r="C133" s="96" t="s">
        <v>65</v>
      </c>
      <c r="D133" s="96" t="s">
        <v>174</v>
      </c>
      <c r="E133" s="97" t="s">
        <v>277</v>
      </c>
      <c r="F133" s="174" t="s">
        <v>264</v>
      </c>
      <c r="G133" s="185" t="s">
        <v>542</v>
      </c>
      <c r="H133" s="237">
        <v>22</v>
      </c>
      <c r="I133" s="243">
        <v>176</v>
      </c>
      <c r="J133">
        <v>60</v>
      </c>
    </row>
    <row r="134" spans="1:10" ht="26.25">
      <c r="A134" s="98">
        <v>17</v>
      </c>
      <c r="B134" s="96"/>
      <c r="C134" s="96" t="s">
        <v>107</v>
      </c>
      <c r="D134" s="96" t="s">
        <v>180</v>
      </c>
      <c r="E134" s="97">
        <v>20857</v>
      </c>
      <c r="F134" s="174" t="s">
        <v>292</v>
      </c>
      <c r="G134" s="185" t="s">
        <v>543</v>
      </c>
      <c r="H134" s="237">
        <v>22</v>
      </c>
      <c r="I134" s="243">
        <v>170</v>
      </c>
      <c r="J134">
        <v>60</v>
      </c>
    </row>
    <row r="135" spans="1:10" ht="26.25">
      <c r="A135" s="98">
        <v>18</v>
      </c>
      <c r="B135" s="96"/>
      <c r="C135" s="96" t="s">
        <v>55</v>
      </c>
      <c r="D135" s="96" t="s">
        <v>102</v>
      </c>
      <c r="E135" s="97" t="s">
        <v>277</v>
      </c>
      <c r="F135" s="174" t="s">
        <v>130</v>
      </c>
      <c r="G135" s="185" t="s">
        <v>544</v>
      </c>
      <c r="H135" s="237">
        <v>23</v>
      </c>
      <c r="I135" s="243">
        <v>184</v>
      </c>
      <c r="J135">
        <v>60</v>
      </c>
    </row>
    <row r="136" spans="1:10" ht="26.25">
      <c r="A136" s="98">
        <v>19</v>
      </c>
      <c r="B136" s="96"/>
      <c r="C136" s="96" t="s">
        <v>208</v>
      </c>
      <c r="D136" s="96" t="s">
        <v>155</v>
      </c>
      <c r="E136" s="97" t="s">
        <v>277</v>
      </c>
      <c r="F136" s="174" t="s">
        <v>486</v>
      </c>
      <c r="G136" s="185" t="s">
        <v>545</v>
      </c>
      <c r="H136" s="237">
        <v>21</v>
      </c>
      <c r="I136" s="243">
        <v>168</v>
      </c>
      <c r="J136">
        <v>55</v>
      </c>
    </row>
    <row r="137" spans="1:10" ht="26.25">
      <c r="A137" s="98">
        <v>20</v>
      </c>
      <c r="B137" s="96"/>
      <c r="C137" s="96" t="s">
        <v>473</v>
      </c>
      <c r="D137" s="96" t="s">
        <v>122</v>
      </c>
      <c r="E137" s="97" t="s">
        <v>277</v>
      </c>
      <c r="F137" s="174" t="s">
        <v>487</v>
      </c>
      <c r="G137" s="185" t="s">
        <v>536</v>
      </c>
      <c r="H137" s="237">
        <v>2</v>
      </c>
      <c r="I137" s="243">
        <v>16</v>
      </c>
      <c r="J137">
        <v>60</v>
      </c>
    </row>
    <row r="138" spans="1:10" ht="26.25">
      <c r="A138" s="98">
        <v>21</v>
      </c>
      <c r="B138" s="96"/>
      <c r="C138" s="96" t="s">
        <v>105</v>
      </c>
      <c r="D138" s="96" t="s">
        <v>175</v>
      </c>
      <c r="E138" s="97">
        <v>20858</v>
      </c>
      <c r="F138" s="174" t="s">
        <v>131</v>
      </c>
      <c r="G138" s="185" t="s">
        <v>546</v>
      </c>
      <c r="H138" s="237">
        <v>16</v>
      </c>
      <c r="I138" s="243">
        <v>128</v>
      </c>
      <c r="J138">
        <v>55</v>
      </c>
    </row>
    <row r="139" spans="1:10" ht="26.25">
      <c r="A139" s="98">
        <v>22</v>
      </c>
      <c r="B139" s="96"/>
      <c r="C139" s="96" t="s">
        <v>474</v>
      </c>
      <c r="D139" s="96" t="s">
        <v>92</v>
      </c>
      <c r="E139" s="97">
        <v>20859</v>
      </c>
      <c r="F139" s="174" t="s">
        <v>98</v>
      </c>
      <c r="G139" s="185" t="s">
        <v>547</v>
      </c>
      <c r="H139" s="237">
        <v>4</v>
      </c>
      <c r="I139" s="243">
        <v>32</v>
      </c>
      <c r="J139">
        <v>55</v>
      </c>
    </row>
    <row r="140" spans="1:10" ht="26.25">
      <c r="A140" s="98">
        <v>23</v>
      </c>
      <c r="B140" s="96"/>
      <c r="C140" s="96" t="s">
        <v>194</v>
      </c>
      <c r="D140" s="96" t="s">
        <v>195</v>
      </c>
      <c r="E140" s="97">
        <v>20860</v>
      </c>
      <c r="F140" s="174" t="s">
        <v>293</v>
      </c>
      <c r="G140" s="185" t="s">
        <v>548</v>
      </c>
      <c r="H140" s="237">
        <v>7</v>
      </c>
      <c r="I140" s="243">
        <v>56</v>
      </c>
      <c r="J140">
        <v>55</v>
      </c>
    </row>
    <row r="141" spans="1:10" ht="26.25">
      <c r="A141" s="98">
        <v>24</v>
      </c>
      <c r="B141" s="96"/>
      <c r="C141" s="96" t="s">
        <v>160</v>
      </c>
      <c r="D141" s="96" t="s">
        <v>177</v>
      </c>
      <c r="E141" s="97">
        <v>20861</v>
      </c>
      <c r="F141" s="174" t="s">
        <v>132</v>
      </c>
      <c r="G141" s="185" t="s">
        <v>549</v>
      </c>
      <c r="H141" s="237">
        <v>22</v>
      </c>
      <c r="I141" s="243">
        <v>176</v>
      </c>
      <c r="J141">
        <v>60</v>
      </c>
    </row>
    <row r="142" spans="1:10" ht="26.25">
      <c r="A142" s="98">
        <v>25</v>
      </c>
      <c r="B142" s="96"/>
      <c r="C142" s="96" t="s">
        <v>68</v>
      </c>
      <c r="D142" s="96" t="s">
        <v>178</v>
      </c>
      <c r="E142" s="97" t="s">
        <v>277</v>
      </c>
      <c r="F142" s="174" t="s">
        <v>133</v>
      </c>
      <c r="G142" s="185" t="s">
        <v>550</v>
      </c>
      <c r="H142" s="237">
        <v>23</v>
      </c>
      <c r="I142" s="243">
        <v>184</v>
      </c>
      <c r="J142">
        <v>55</v>
      </c>
    </row>
    <row r="143" spans="1:10" ht="26.25">
      <c r="A143" s="98">
        <v>26</v>
      </c>
      <c r="B143" s="96"/>
      <c r="C143" s="96" t="s">
        <v>121</v>
      </c>
      <c r="D143" s="96" t="s">
        <v>113</v>
      </c>
      <c r="E143" s="97">
        <v>20862</v>
      </c>
      <c r="F143" s="174" t="s">
        <v>488</v>
      </c>
      <c r="G143" s="185" t="s">
        <v>551</v>
      </c>
      <c r="H143" s="237">
        <v>20</v>
      </c>
      <c r="I143" s="243">
        <v>160</v>
      </c>
      <c r="J143">
        <v>60</v>
      </c>
    </row>
    <row r="144" spans="1:10" ht="26.25">
      <c r="A144" s="98">
        <v>27</v>
      </c>
      <c r="B144" s="96"/>
      <c r="C144" s="96" t="s">
        <v>119</v>
      </c>
      <c r="D144" s="96" t="s">
        <v>110</v>
      </c>
      <c r="E144" s="97" t="s">
        <v>277</v>
      </c>
      <c r="F144" s="174" t="s">
        <v>134</v>
      </c>
      <c r="G144" s="185" t="s">
        <v>552</v>
      </c>
      <c r="H144" s="237">
        <v>24</v>
      </c>
      <c r="I144" s="243">
        <v>192</v>
      </c>
      <c r="J144">
        <v>60</v>
      </c>
    </row>
    <row r="145" spans="1:10" ht="26.25">
      <c r="A145" s="98">
        <v>28</v>
      </c>
      <c r="B145" s="96"/>
      <c r="C145" s="96" t="s">
        <v>104</v>
      </c>
      <c r="D145" s="96" t="s">
        <v>115</v>
      </c>
      <c r="E145" s="97">
        <v>20863</v>
      </c>
      <c r="F145" s="174" t="s">
        <v>236</v>
      </c>
      <c r="G145" s="185" t="s">
        <v>553</v>
      </c>
      <c r="H145" s="237">
        <v>22</v>
      </c>
      <c r="I145" s="243">
        <v>176</v>
      </c>
      <c r="J145">
        <v>60</v>
      </c>
    </row>
    <row r="146" spans="1:10" ht="26.25">
      <c r="A146" s="98">
        <v>29</v>
      </c>
      <c r="B146" s="96"/>
      <c r="C146" s="96" t="s">
        <v>225</v>
      </c>
      <c r="D146" s="96" t="s">
        <v>237</v>
      </c>
      <c r="E146" s="97" t="s">
        <v>277</v>
      </c>
      <c r="F146" s="174" t="s">
        <v>294</v>
      </c>
      <c r="G146" s="185" t="s">
        <v>554</v>
      </c>
      <c r="H146" s="237">
        <v>18</v>
      </c>
      <c r="I146" s="243">
        <v>144</v>
      </c>
      <c r="J146">
        <v>60</v>
      </c>
    </row>
    <row r="147" spans="1:10" ht="26.25">
      <c r="A147" s="98">
        <v>30</v>
      </c>
      <c r="B147" s="96"/>
      <c r="C147" s="96" t="s">
        <v>108</v>
      </c>
      <c r="D147" s="96" t="s">
        <v>69</v>
      </c>
      <c r="E147" s="97">
        <v>20864</v>
      </c>
      <c r="F147" s="174" t="s">
        <v>268</v>
      </c>
      <c r="G147" s="185" t="s">
        <v>555</v>
      </c>
      <c r="H147" s="237">
        <v>20</v>
      </c>
      <c r="I147" s="243">
        <v>160</v>
      </c>
      <c r="J147">
        <v>60</v>
      </c>
    </row>
    <row r="148" spans="1:10" ht="26.25">
      <c r="A148" s="98">
        <v>31</v>
      </c>
      <c r="B148" s="96"/>
      <c r="C148" s="96" t="s">
        <v>256</v>
      </c>
      <c r="D148" s="96" t="s">
        <v>257</v>
      </c>
      <c r="E148" s="97">
        <v>20865</v>
      </c>
      <c r="F148" s="174" t="s">
        <v>247</v>
      </c>
      <c r="G148" s="185" t="s">
        <v>556</v>
      </c>
      <c r="H148" s="237">
        <v>24</v>
      </c>
      <c r="I148" s="243">
        <v>192</v>
      </c>
      <c r="J148">
        <v>60</v>
      </c>
    </row>
    <row r="149" spans="1:10" ht="26.25">
      <c r="A149" s="98">
        <v>32</v>
      </c>
      <c r="B149" s="96"/>
      <c r="C149" s="96" t="s">
        <v>199</v>
      </c>
      <c r="D149" s="96" t="s">
        <v>200</v>
      </c>
      <c r="E149" s="97">
        <v>20866</v>
      </c>
      <c r="F149" s="174" t="s">
        <v>75</v>
      </c>
      <c r="G149" s="185" t="s">
        <v>557</v>
      </c>
      <c r="H149" s="237">
        <v>22</v>
      </c>
      <c r="I149" s="243">
        <v>176</v>
      </c>
      <c r="J149">
        <v>60</v>
      </c>
    </row>
    <row r="150" spans="1:10" ht="26.25">
      <c r="A150" s="98">
        <v>33</v>
      </c>
      <c r="B150" s="96"/>
      <c r="C150" s="96" t="s">
        <v>162</v>
      </c>
      <c r="D150" s="96" t="s">
        <v>186</v>
      </c>
      <c r="E150" s="97" t="s">
        <v>277</v>
      </c>
      <c r="F150" s="174" t="s">
        <v>76</v>
      </c>
      <c r="G150" s="185" t="s">
        <v>558</v>
      </c>
      <c r="H150" s="237">
        <v>4</v>
      </c>
      <c r="I150" s="243">
        <v>32</v>
      </c>
      <c r="J150">
        <v>60</v>
      </c>
    </row>
    <row r="151" spans="1:10" ht="26.25">
      <c r="A151" s="98">
        <v>34</v>
      </c>
      <c r="B151" s="96"/>
      <c r="C151" s="96" t="s">
        <v>281</v>
      </c>
      <c r="D151" s="96" t="s">
        <v>122</v>
      </c>
      <c r="E151" s="97" t="s">
        <v>277</v>
      </c>
      <c r="F151" s="174" t="s">
        <v>489</v>
      </c>
      <c r="G151" s="185" t="s">
        <v>559</v>
      </c>
      <c r="H151" s="237">
        <v>2</v>
      </c>
      <c r="I151" s="243">
        <v>16</v>
      </c>
      <c r="J151">
        <v>60</v>
      </c>
    </row>
    <row r="152" spans="1:10" ht="26.25">
      <c r="A152" s="98">
        <v>35</v>
      </c>
      <c r="B152" s="96"/>
      <c r="C152" s="96" t="s">
        <v>475</v>
      </c>
      <c r="D152" s="96" t="s">
        <v>179</v>
      </c>
      <c r="E152" s="97" t="s">
        <v>277</v>
      </c>
      <c r="F152" s="174" t="s">
        <v>490</v>
      </c>
      <c r="G152" s="185" t="s">
        <v>560</v>
      </c>
      <c r="H152" s="237">
        <v>3</v>
      </c>
      <c r="I152" s="243">
        <v>24</v>
      </c>
      <c r="J152">
        <v>60</v>
      </c>
    </row>
    <row r="153" spans="1:10" ht="26.25">
      <c r="A153" s="98">
        <v>36</v>
      </c>
      <c r="B153" s="96"/>
      <c r="C153" s="96" t="s">
        <v>163</v>
      </c>
      <c r="D153" s="96" t="s">
        <v>188</v>
      </c>
      <c r="E153" s="97">
        <v>20867</v>
      </c>
      <c r="F153" s="174" t="s">
        <v>99</v>
      </c>
      <c r="G153" s="185" t="s">
        <v>561</v>
      </c>
      <c r="H153" s="237">
        <v>21</v>
      </c>
      <c r="I153" s="243">
        <v>168</v>
      </c>
      <c r="J153">
        <v>60</v>
      </c>
    </row>
    <row r="154" spans="1:10" ht="26.25">
      <c r="A154" s="98">
        <v>37</v>
      </c>
      <c r="B154" s="96"/>
      <c r="C154" s="96" t="s">
        <v>282</v>
      </c>
      <c r="D154" s="96" t="s">
        <v>122</v>
      </c>
      <c r="E154" s="97" t="s">
        <v>277</v>
      </c>
      <c r="F154" s="174" t="s">
        <v>100</v>
      </c>
      <c r="G154" s="185" t="s">
        <v>562</v>
      </c>
      <c r="H154" s="237">
        <v>6</v>
      </c>
      <c r="I154" s="243">
        <v>48</v>
      </c>
      <c r="J154">
        <v>60</v>
      </c>
    </row>
    <row r="155" spans="1:10" ht="26.25">
      <c r="A155" s="98">
        <v>38</v>
      </c>
      <c r="B155" s="96"/>
      <c r="C155" s="96" t="s">
        <v>476</v>
      </c>
      <c r="D155" s="96" t="s">
        <v>179</v>
      </c>
      <c r="E155" s="97" t="s">
        <v>277</v>
      </c>
      <c r="F155" s="174" t="s">
        <v>269</v>
      </c>
      <c r="G155" s="185" t="s">
        <v>563</v>
      </c>
      <c r="H155" s="237">
        <v>4</v>
      </c>
      <c r="I155" s="243">
        <v>32</v>
      </c>
      <c r="J155">
        <v>60</v>
      </c>
    </row>
    <row r="156" spans="1:10" ht="26.25">
      <c r="A156" s="98">
        <v>39</v>
      </c>
      <c r="B156" s="96"/>
      <c r="C156" s="96" t="s">
        <v>477</v>
      </c>
      <c r="D156" s="96" t="s">
        <v>116</v>
      </c>
      <c r="E156" s="97" t="s">
        <v>277</v>
      </c>
      <c r="F156" s="174" t="s">
        <v>85</v>
      </c>
      <c r="G156" s="185" t="s">
        <v>564</v>
      </c>
      <c r="H156" s="237">
        <v>3</v>
      </c>
      <c r="I156" s="243">
        <v>24</v>
      </c>
      <c r="J156">
        <v>60</v>
      </c>
    </row>
    <row r="157" spans="1:10" ht="26.25">
      <c r="A157" s="98">
        <v>40</v>
      </c>
      <c r="B157" s="96"/>
      <c r="C157" s="96" t="s">
        <v>259</v>
      </c>
      <c r="D157" s="96" t="s">
        <v>260</v>
      </c>
      <c r="E157" s="97">
        <v>20868</v>
      </c>
      <c r="F157" s="174" t="s">
        <v>84</v>
      </c>
      <c r="G157" s="185" t="s">
        <v>565</v>
      </c>
      <c r="H157" s="237">
        <v>6</v>
      </c>
      <c r="I157" s="243">
        <v>48</v>
      </c>
      <c r="J157">
        <v>65</v>
      </c>
    </row>
    <row r="158" spans="1:10" ht="26.25">
      <c r="A158" s="98">
        <v>41</v>
      </c>
      <c r="B158" s="96"/>
      <c r="C158" s="96" t="s">
        <v>284</v>
      </c>
      <c r="D158" s="96" t="s">
        <v>206</v>
      </c>
      <c r="E158" s="97" t="s">
        <v>277</v>
      </c>
      <c r="F158" s="174" t="s">
        <v>433</v>
      </c>
      <c r="G158" s="185" t="s">
        <v>566</v>
      </c>
      <c r="H158" s="237">
        <v>15</v>
      </c>
      <c r="I158" s="243">
        <v>120</v>
      </c>
      <c r="J158">
        <v>60</v>
      </c>
    </row>
    <row r="159" spans="1:10" ht="26.25">
      <c r="A159" s="98">
        <v>42</v>
      </c>
      <c r="B159" s="96"/>
      <c r="C159" s="96" t="s">
        <v>106</v>
      </c>
      <c r="D159" s="96" t="s">
        <v>93</v>
      </c>
      <c r="E159" s="97" t="s">
        <v>277</v>
      </c>
      <c r="F159" s="174" t="s">
        <v>491</v>
      </c>
      <c r="G159" s="185" t="s">
        <v>567</v>
      </c>
      <c r="H159" s="237">
        <v>1</v>
      </c>
      <c r="I159" s="243">
        <v>8</v>
      </c>
      <c r="J159">
        <v>60</v>
      </c>
    </row>
    <row r="160" spans="1:10" ht="26.25">
      <c r="A160" s="98">
        <v>43</v>
      </c>
      <c r="B160" s="96"/>
      <c r="C160" s="96" t="s">
        <v>212</v>
      </c>
      <c r="D160" s="96" t="s">
        <v>114</v>
      </c>
      <c r="E160" s="97">
        <v>20869</v>
      </c>
      <c r="F160" s="174" t="s">
        <v>492</v>
      </c>
      <c r="G160" s="185" t="s">
        <v>568</v>
      </c>
      <c r="H160" s="237">
        <v>2</v>
      </c>
      <c r="I160" s="243">
        <v>16</v>
      </c>
      <c r="J160">
        <v>60</v>
      </c>
    </row>
    <row r="161" spans="1:10" ht="26.25">
      <c r="A161" s="98">
        <v>44</v>
      </c>
      <c r="B161" s="96"/>
      <c r="C161" s="96" t="s">
        <v>478</v>
      </c>
      <c r="D161" s="96" t="s">
        <v>123</v>
      </c>
      <c r="E161" s="97" t="s">
        <v>277</v>
      </c>
      <c r="F161" s="174" t="s">
        <v>493</v>
      </c>
      <c r="G161" s="185" t="s">
        <v>569</v>
      </c>
      <c r="H161" s="237">
        <v>3</v>
      </c>
      <c r="I161" s="243">
        <v>24</v>
      </c>
      <c r="J161">
        <v>60</v>
      </c>
    </row>
    <row r="162" spans="1:10" ht="26.25">
      <c r="A162" s="98">
        <v>45</v>
      </c>
      <c r="B162" s="96"/>
      <c r="C162" s="96" t="s">
        <v>479</v>
      </c>
      <c r="D162" s="96" t="s">
        <v>116</v>
      </c>
      <c r="E162" s="97" t="s">
        <v>277</v>
      </c>
      <c r="F162" s="174" t="s">
        <v>494</v>
      </c>
      <c r="G162" s="185" t="s">
        <v>570</v>
      </c>
      <c r="H162" s="237">
        <v>2</v>
      </c>
      <c r="I162" s="243">
        <v>16</v>
      </c>
      <c r="J162">
        <v>60</v>
      </c>
    </row>
    <row r="163" spans="1:10" ht="26.25">
      <c r="A163" s="98">
        <v>46</v>
      </c>
      <c r="B163" s="96"/>
      <c r="C163" s="96" t="s">
        <v>120</v>
      </c>
      <c r="D163" s="96" t="s">
        <v>112</v>
      </c>
      <c r="E163" s="97">
        <v>20870</v>
      </c>
      <c r="F163" s="174" t="s">
        <v>495</v>
      </c>
      <c r="G163" s="185" t="s">
        <v>571</v>
      </c>
      <c r="H163" s="237">
        <v>4</v>
      </c>
      <c r="I163" s="243">
        <v>32</v>
      </c>
      <c r="J163">
        <v>60</v>
      </c>
    </row>
    <row r="164" spans="1:10" ht="26.25">
      <c r="A164" s="98">
        <v>47</v>
      </c>
      <c r="B164" s="96"/>
      <c r="C164" s="96" t="s">
        <v>287</v>
      </c>
      <c r="D164" s="96" t="s">
        <v>173</v>
      </c>
      <c r="E164" s="97">
        <v>20871</v>
      </c>
      <c r="F164" s="174" t="s">
        <v>496</v>
      </c>
      <c r="G164" s="185" t="s">
        <v>572</v>
      </c>
      <c r="H164" s="237">
        <v>6</v>
      </c>
      <c r="I164" s="243">
        <v>48</v>
      </c>
      <c r="J164">
        <v>55</v>
      </c>
    </row>
    <row r="165" spans="1:10" ht="26.25">
      <c r="A165" s="98">
        <v>48</v>
      </c>
      <c r="B165" s="96"/>
      <c r="C165" s="96" t="s">
        <v>261</v>
      </c>
      <c r="D165" s="96" t="s">
        <v>262</v>
      </c>
      <c r="E165" s="97" t="s">
        <v>277</v>
      </c>
      <c r="F165" s="174" t="s">
        <v>296</v>
      </c>
      <c r="G165" s="185" t="s">
        <v>573</v>
      </c>
      <c r="H165" s="237">
        <v>10</v>
      </c>
      <c r="I165" s="243">
        <v>80</v>
      </c>
      <c r="J165">
        <v>60</v>
      </c>
    </row>
    <row r="166" spans="1:10" ht="26.25">
      <c r="A166" s="98">
        <v>49</v>
      </c>
      <c r="B166" s="96"/>
      <c r="C166" s="96" t="s">
        <v>285</v>
      </c>
      <c r="D166" s="96" t="s">
        <v>122</v>
      </c>
      <c r="E166" s="97" t="s">
        <v>277</v>
      </c>
      <c r="F166" s="174" t="s">
        <v>297</v>
      </c>
      <c r="G166" s="185" t="s">
        <v>574</v>
      </c>
      <c r="H166" s="237">
        <v>1</v>
      </c>
      <c r="I166" s="243">
        <v>8</v>
      </c>
      <c r="J166">
        <v>60</v>
      </c>
    </row>
    <row r="167" spans="1:10" ht="26.25">
      <c r="A167" s="98">
        <v>50</v>
      </c>
      <c r="B167" s="96"/>
      <c r="C167" s="96" t="s">
        <v>393</v>
      </c>
      <c r="D167" s="96" t="s">
        <v>91</v>
      </c>
      <c r="E167" s="97">
        <v>20872</v>
      </c>
      <c r="F167" s="174" t="s">
        <v>497</v>
      </c>
      <c r="G167" s="185" t="s">
        <v>575</v>
      </c>
      <c r="H167" s="237">
        <v>3</v>
      </c>
      <c r="I167" s="243">
        <v>24</v>
      </c>
      <c r="J167">
        <v>60</v>
      </c>
    </row>
    <row r="168" spans="1:10" ht="26.25">
      <c r="A168" s="98">
        <v>51</v>
      </c>
      <c r="B168" s="96"/>
      <c r="C168" s="96" t="s">
        <v>166</v>
      </c>
      <c r="D168" s="96" t="s">
        <v>209</v>
      </c>
      <c r="E168" s="97">
        <v>20873</v>
      </c>
      <c r="F168" s="174" t="s">
        <v>498</v>
      </c>
      <c r="G168" s="185" t="s">
        <v>576</v>
      </c>
      <c r="H168" s="237">
        <v>9</v>
      </c>
      <c r="I168" s="243">
        <v>72</v>
      </c>
      <c r="J168">
        <v>80</v>
      </c>
    </row>
    <row r="169" spans="1:10" ht="26.25">
      <c r="A169" s="98">
        <v>52</v>
      </c>
      <c r="B169" s="96"/>
      <c r="C169" s="96" t="s">
        <v>227</v>
      </c>
      <c r="D169" s="96" t="s">
        <v>97</v>
      </c>
      <c r="E169" s="97">
        <v>20874</v>
      </c>
      <c r="F169" s="174" t="s">
        <v>499</v>
      </c>
      <c r="G169" s="185" t="s">
        <v>577</v>
      </c>
      <c r="H169" s="237">
        <v>8</v>
      </c>
      <c r="I169" s="243">
        <v>64</v>
      </c>
      <c r="J169">
        <v>65</v>
      </c>
    </row>
    <row r="170" spans="1:10" ht="26.25">
      <c r="A170" s="98">
        <v>53</v>
      </c>
      <c r="B170" s="96"/>
      <c r="C170" s="96" t="s">
        <v>286</v>
      </c>
      <c r="D170" s="96" t="s">
        <v>170</v>
      </c>
      <c r="E170" s="97" t="s">
        <v>277</v>
      </c>
      <c r="F170" s="174" t="s">
        <v>500</v>
      </c>
      <c r="G170" s="185" t="s">
        <v>578</v>
      </c>
      <c r="H170" s="237">
        <v>4</v>
      </c>
      <c r="I170" s="243">
        <v>35.5</v>
      </c>
      <c r="J170">
        <v>60</v>
      </c>
    </row>
    <row r="171" spans="1:10" ht="26.25">
      <c r="A171" s="98">
        <v>54</v>
      </c>
      <c r="B171" s="96"/>
      <c r="C171" s="96" t="s">
        <v>402</v>
      </c>
      <c r="D171" s="96" t="s">
        <v>92</v>
      </c>
      <c r="E171" s="97">
        <v>20875</v>
      </c>
      <c r="F171" s="174" t="s">
        <v>501</v>
      </c>
      <c r="G171" s="185" t="s">
        <v>579</v>
      </c>
      <c r="H171" s="237">
        <v>4</v>
      </c>
      <c r="I171" s="243">
        <v>32</v>
      </c>
      <c r="J171">
        <v>60</v>
      </c>
    </row>
    <row r="172" spans="1:10" ht="26.25">
      <c r="A172" s="98">
        <v>55</v>
      </c>
      <c r="B172" s="96"/>
      <c r="C172" s="96" t="s">
        <v>440</v>
      </c>
      <c r="D172" s="96" t="s">
        <v>91</v>
      </c>
      <c r="E172" s="97">
        <v>20876</v>
      </c>
      <c r="F172" s="174" t="s">
        <v>502</v>
      </c>
      <c r="G172" s="185" t="s">
        <v>580</v>
      </c>
      <c r="H172" s="237">
        <v>4</v>
      </c>
      <c r="I172" s="243">
        <v>40</v>
      </c>
      <c r="J172">
        <v>60</v>
      </c>
    </row>
    <row r="173" spans="1:10" ht="26.25">
      <c r="A173" s="98">
        <v>56</v>
      </c>
      <c r="B173" s="96"/>
      <c r="C173" s="96" t="s">
        <v>449</v>
      </c>
      <c r="D173" s="96" t="s">
        <v>92</v>
      </c>
      <c r="E173" s="97">
        <v>20877</v>
      </c>
      <c r="F173" s="174" t="s">
        <v>272</v>
      </c>
      <c r="G173" s="185" t="s">
        <v>581</v>
      </c>
      <c r="H173" s="237">
        <v>13</v>
      </c>
      <c r="I173" s="243">
        <v>104</v>
      </c>
      <c r="J173">
        <v>60</v>
      </c>
    </row>
    <row r="174" spans="1:10" ht="26.25">
      <c r="A174" s="98">
        <v>57</v>
      </c>
      <c r="B174" s="96"/>
      <c r="C174" s="96" t="s">
        <v>219</v>
      </c>
      <c r="D174" s="96" t="s">
        <v>220</v>
      </c>
      <c r="E174" s="97">
        <v>20878</v>
      </c>
      <c r="F174" s="174" t="s">
        <v>273</v>
      </c>
      <c r="G174" s="185" t="s">
        <v>582</v>
      </c>
      <c r="H174" s="237">
        <v>5</v>
      </c>
      <c r="I174" s="243">
        <v>40</v>
      </c>
      <c r="J174">
        <v>60</v>
      </c>
    </row>
    <row r="175" spans="1:10" ht="26.25">
      <c r="A175" s="98">
        <v>58</v>
      </c>
      <c r="B175" s="96"/>
      <c r="C175" s="96" t="s">
        <v>216</v>
      </c>
      <c r="D175" s="96" t="s">
        <v>217</v>
      </c>
      <c r="E175" s="97">
        <v>20879</v>
      </c>
      <c r="F175" s="174" t="s">
        <v>453</v>
      </c>
      <c r="G175" s="185" t="s">
        <v>582</v>
      </c>
      <c r="H175" s="237">
        <v>5</v>
      </c>
      <c r="I175" s="243">
        <v>40</v>
      </c>
      <c r="J175">
        <v>60</v>
      </c>
    </row>
    <row r="176" spans="1:10" ht="26.25">
      <c r="A176" s="98">
        <v>59</v>
      </c>
      <c r="B176" s="96"/>
      <c r="C176" s="96" t="s">
        <v>203</v>
      </c>
      <c r="D176" s="96" t="s">
        <v>204</v>
      </c>
      <c r="E176" s="97" t="s">
        <v>277</v>
      </c>
      <c r="F176" s="174" t="s">
        <v>305</v>
      </c>
      <c r="G176" s="185" t="s">
        <v>583</v>
      </c>
      <c r="H176" s="237">
        <v>13</v>
      </c>
      <c r="I176" s="243">
        <v>104</v>
      </c>
      <c r="J176">
        <v>60</v>
      </c>
    </row>
    <row r="177" spans="1:10" ht="26.25">
      <c r="A177" s="98">
        <v>60</v>
      </c>
      <c r="B177" s="96"/>
      <c r="C177" s="96" t="s">
        <v>245</v>
      </c>
      <c r="D177" s="96" t="s">
        <v>246</v>
      </c>
      <c r="E177" s="97" t="s">
        <v>277</v>
      </c>
      <c r="F177" s="174" t="s">
        <v>460</v>
      </c>
      <c r="G177" s="185" t="s">
        <v>582</v>
      </c>
      <c r="H177" s="237">
        <v>5</v>
      </c>
      <c r="I177" s="243">
        <v>40</v>
      </c>
      <c r="J177">
        <v>60</v>
      </c>
    </row>
    <row r="178" spans="1:10" ht="26.25">
      <c r="A178" s="98">
        <v>61</v>
      </c>
      <c r="B178" s="96"/>
      <c r="C178" s="96" t="s">
        <v>226</v>
      </c>
      <c r="D178" s="96" t="s">
        <v>97</v>
      </c>
      <c r="E178" s="97">
        <v>20880</v>
      </c>
      <c r="F178" s="174" t="s">
        <v>274</v>
      </c>
      <c r="G178" s="185" t="s">
        <v>582</v>
      </c>
      <c r="H178" s="237">
        <v>5</v>
      </c>
      <c r="I178" s="243">
        <v>40</v>
      </c>
      <c r="J178">
        <v>65</v>
      </c>
    </row>
    <row r="179" spans="1:10" ht="26.25">
      <c r="A179" s="98">
        <v>62</v>
      </c>
      <c r="B179" s="96"/>
      <c r="C179" s="96" t="s">
        <v>503</v>
      </c>
      <c r="D179" s="96" t="s">
        <v>504</v>
      </c>
      <c r="E179" s="97">
        <v>20881</v>
      </c>
      <c r="F179" s="174" t="s">
        <v>509</v>
      </c>
      <c r="G179" s="185" t="s">
        <v>584</v>
      </c>
      <c r="H179" s="237">
        <v>1</v>
      </c>
      <c r="I179" s="243">
        <v>7</v>
      </c>
      <c r="J179">
        <v>50</v>
      </c>
    </row>
    <row r="180" spans="1:10" ht="26.25">
      <c r="A180" s="98">
        <v>63</v>
      </c>
      <c r="B180" s="96"/>
      <c r="C180" s="96" t="s">
        <v>505</v>
      </c>
      <c r="D180" s="96" t="s">
        <v>506</v>
      </c>
      <c r="E180" s="97" t="s">
        <v>277</v>
      </c>
      <c r="F180" s="174" t="s">
        <v>510</v>
      </c>
      <c r="G180" s="185" t="s">
        <v>584</v>
      </c>
      <c r="H180" s="237">
        <v>1</v>
      </c>
      <c r="I180" s="243">
        <v>7</v>
      </c>
      <c r="J180">
        <v>50</v>
      </c>
    </row>
    <row r="181" spans="1:10" ht="26.25">
      <c r="A181" s="98">
        <v>64</v>
      </c>
      <c r="B181" s="96"/>
      <c r="C181" s="96" t="s">
        <v>507</v>
      </c>
      <c r="D181" s="96" t="s">
        <v>508</v>
      </c>
      <c r="E181" s="97">
        <v>20882</v>
      </c>
      <c r="F181" s="174" t="s">
        <v>511</v>
      </c>
      <c r="G181" s="185" t="s">
        <v>584</v>
      </c>
      <c r="H181" s="237">
        <v>1</v>
      </c>
      <c r="I181" s="243">
        <v>7</v>
      </c>
      <c r="J181">
        <v>50</v>
      </c>
    </row>
    <row r="182" spans="1:10" ht="26.25">
      <c r="A182" s="98">
        <v>24</v>
      </c>
      <c r="B182" s="96"/>
      <c r="C182" s="96" t="s">
        <v>160</v>
      </c>
      <c r="D182" s="96" t="s">
        <v>177</v>
      </c>
      <c r="E182" s="97">
        <v>20889</v>
      </c>
      <c r="F182" s="174"/>
      <c r="G182" s="185"/>
      <c r="H182" s="237"/>
      <c r="I182" s="243"/>
    </row>
    <row r="183" spans="1:10" ht="26.25">
      <c r="A183" s="98">
        <v>46</v>
      </c>
      <c r="B183" s="96"/>
      <c r="C183" s="96" t="s">
        <v>120</v>
      </c>
      <c r="D183" s="96" t="s">
        <v>112</v>
      </c>
      <c r="E183" s="97">
        <v>20890</v>
      </c>
      <c r="F183" s="174"/>
      <c r="G183" s="185"/>
      <c r="H183" s="237"/>
      <c r="I183" s="243"/>
    </row>
    <row r="184" spans="1:10" ht="26.25">
      <c r="A184" s="252">
        <v>24</v>
      </c>
      <c r="B184" s="206"/>
      <c r="C184" s="206" t="s">
        <v>160</v>
      </c>
      <c r="D184" s="206" t="s">
        <v>177</v>
      </c>
      <c r="E184" s="207">
        <v>20891</v>
      </c>
      <c r="F184" s="208"/>
      <c r="G184" s="214"/>
      <c r="H184" s="253"/>
      <c r="I184" s="254"/>
    </row>
    <row r="185" spans="1:10" ht="26.25">
      <c r="A185" s="98"/>
      <c r="B185" s="96"/>
      <c r="C185" s="96" t="s">
        <v>194</v>
      </c>
      <c r="D185" s="96" t="s">
        <v>195</v>
      </c>
      <c r="E185" s="97">
        <v>20907</v>
      </c>
      <c r="F185" s="174" t="s">
        <v>293</v>
      </c>
      <c r="G185" s="185" t="s">
        <v>548</v>
      </c>
      <c r="H185" s="237"/>
      <c r="I185" s="243">
        <v>56</v>
      </c>
      <c r="J185">
        <v>5</v>
      </c>
    </row>
    <row r="186" spans="1:10" ht="26.25">
      <c r="A186" s="98"/>
      <c r="B186" s="96"/>
      <c r="C186" s="96" t="s">
        <v>474</v>
      </c>
      <c r="D186" s="96" t="s">
        <v>92</v>
      </c>
      <c r="E186" s="97"/>
      <c r="F186" s="174" t="s">
        <v>594</v>
      </c>
      <c r="G186" s="185"/>
      <c r="H186" s="237"/>
      <c r="I186" s="243">
        <v>32</v>
      </c>
      <c r="J186">
        <v>5</v>
      </c>
    </row>
  </sheetData>
  <phoneticPr fontId="10" type="noConversion"/>
  <conditionalFormatting sqref="A3:A61">
    <cfRule type="duplicateValues" dxfId="77" priority="81"/>
  </conditionalFormatting>
  <conditionalFormatting sqref="A62:A117">
    <cfRule type="duplicateValues" dxfId="76" priority="41"/>
  </conditionalFormatting>
  <conditionalFormatting sqref="C3:C4 C6:C61">
    <cfRule type="cellIs" dxfId="75" priority="46" operator="equal">
      <formula>"F"</formula>
    </cfRule>
    <cfRule type="cellIs" dxfId="74" priority="47" operator="equal">
      <formula>"E"</formula>
    </cfRule>
    <cfRule type="cellIs" dxfId="73" priority="48" operator="equal">
      <formula>"o"</formula>
    </cfRule>
  </conditionalFormatting>
  <conditionalFormatting sqref="C62:C63 C65:C117">
    <cfRule type="cellIs" dxfId="72" priority="6" operator="equal">
      <formula>"F"</formula>
    </cfRule>
    <cfRule type="cellIs" dxfId="71" priority="7" operator="equal">
      <formula>"E"</formula>
    </cfRule>
    <cfRule type="cellIs" dxfId="70" priority="8" operator="equal">
      <formula>"o"</formula>
    </cfRule>
  </conditionalFormatting>
  <conditionalFormatting sqref="C3:D61">
    <cfRule type="duplicateValues" dxfId="69" priority="42"/>
  </conditionalFormatting>
  <conditionalFormatting sqref="C25:D25">
    <cfRule type="cellIs" dxfId="68" priority="80" operator="equal">
      <formula>"o"</formula>
    </cfRule>
    <cfRule type="cellIs" dxfId="67" priority="79" operator="equal">
      <formula>"E"</formula>
    </cfRule>
    <cfRule type="cellIs" dxfId="66" priority="78" operator="equal">
      <formula>"F"</formula>
    </cfRule>
  </conditionalFormatting>
  <conditionalFormatting sqref="C38:D38 C40:D41 C43:D44">
    <cfRule type="cellIs" dxfId="65" priority="55" operator="equal">
      <formula>"F"</formula>
    </cfRule>
    <cfRule type="cellIs" dxfId="64" priority="57" operator="equal">
      <formula>"o"</formula>
    </cfRule>
    <cfRule type="cellIs" dxfId="63" priority="56" operator="equal">
      <formula>"E"</formula>
    </cfRule>
  </conditionalFormatting>
  <conditionalFormatting sqref="C62:D117">
    <cfRule type="duplicateValues" dxfId="62" priority="2"/>
  </conditionalFormatting>
  <conditionalFormatting sqref="C84:D84">
    <cfRule type="cellIs" dxfId="61" priority="40" operator="equal">
      <formula>"o"</formula>
    </cfRule>
    <cfRule type="cellIs" dxfId="60" priority="38" operator="equal">
      <formula>"F"</formula>
    </cfRule>
    <cfRule type="cellIs" dxfId="59" priority="39" operator="equal">
      <formula>"E"</formula>
    </cfRule>
  </conditionalFormatting>
  <conditionalFormatting sqref="C97:D97 C99:D100 C102:D103">
    <cfRule type="cellIs" dxfId="58" priority="17" operator="equal">
      <formula>"o"</formula>
    </cfRule>
    <cfRule type="cellIs" dxfId="57" priority="16" operator="equal">
      <formula>"E"</formula>
    </cfRule>
    <cfRule type="cellIs" dxfId="56" priority="15" operator="equal">
      <formula>"F"</formula>
    </cfRule>
  </conditionalFormatting>
  <conditionalFormatting sqref="F3:F61">
    <cfRule type="cellIs" dxfId="55" priority="77" operator="equal">
      <formula>"o"</formula>
    </cfRule>
    <cfRule type="cellIs" dxfId="54" priority="76" operator="equal">
      <formula>"E"</formula>
    </cfRule>
    <cfRule type="cellIs" dxfId="53" priority="75" operator="equal">
      <formula>"F"</formula>
    </cfRule>
  </conditionalFormatting>
  <conditionalFormatting sqref="F22:F23">
    <cfRule type="cellIs" dxfId="52" priority="74" operator="equal">
      <formula>"."</formula>
    </cfRule>
    <cfRule type="cellIs" dxfId="51" priority="63" stopIfTrue="1" operator="equal">
      <formula>"x"</formula>
    </cfRule>
    <cfRule type="cellIs" dxfId="50" priority="73" stopIfTrue="1" operator="equal">
      <formula>"sat"</formula>
    </cfRule>
    <cfRule type="cellIs" dxfId="49" priority="71" stopIfTrue="1" operator="equal">
      <formula>25</formula>
    </cfRule>
    <cfRule type="cellIs" dxfId="48" priority="70" stopIfTrue="1" operator="equal">
      <formula>26</formula>
    </cfRule>
    <cfRule type="cellIs" dxfId="47" priority="61" stopIfTrue="1" operator="equal">
      <formula>"."</formula>
    </cfRule>
    <cfRule type="cellIs" dxfId="46" priority="65" stopIfTrue="1" operator="equal">
      <formula>"旺角"</formula>
    </cfRule>
    <cfRule type="cellIs" dxfId="45" priority="62" stopIfTrue="1" operator="equal">
      <formula>"off"</formula>
    </cfRule>
    <cfRule type="cellIs" dxfId="44" priority="66" stopIfTrue="1" operator="equal">
      <formula>"sat"</formula>
    </cfRule>
    <cfRule type="cellIs" dxfId="43" priority="67" stopIfTrue="1" operator="equal">
      <formula>"sun"</formula>
    </cfRule>
    <cfRule type="cellIs" dxfId="42" priority="68" stopIfTrue="1" operator="equal">
      <formula>"."</formula>
    </cfRule>
    <cfRule type="cellIs" dxfId="41" priority="64" stopIfTrue="1" operator="equal">
      <formula>"x"</formula>
    </cfRule>
    <cfRule type="cellIs" dxfId="40" priority="69" stopIfTrue="1" operator="equal">
      <formula>"off"</formula>
    </cfRule>
    <cfRule type="cellIs" dxfId="39" priority="72" stopIfTrue="1" operator="equal">
      <formula>"sun"</formula>
    </cfRule>
  </conditionalFormatting>
  <conditionalFormatting sqref="F37">
    <cfRule type="cellIs" dxfId="38" priority="60" operator="equal">
      <formula>"o"</formula>
    </cfRule>
    <cfRule type="cellIs" dxfId="37" priority="59" operator="equal">
      <formula>"E"</formula>
    </cfRule>
    <cfRule type="cellIs" dxfId="36" priority="58" operator="equal">
      <formula>"F"</formula>
    </cfRule>
  </conditionalFormatting>
  <conditionalFormatting sqref="F52">
    <cfRule type="cellIs" dxfId="35" priority="52" operator="equal">
      <formula>"F"</formula>
    </cfRule>
    <cfRule type="cellIs" dxfId="34" priority="53" operator="equal">
      <formula>"E"</formula>
    </cfRule>
    <cfRule type="cellIs" dxfId="33" priority="54" operator="equal">
      <formula>"o"</formula>
    </cfRule>
  </conditionalFormatting>
  <conditionalFormatting sqref="F54:F55">
    <cfRule type="cellIs" dxfId="32" priority="49" operator="equal">
      <formula>"F"</formula>
    </cfRule>
    <cfRule type="cellIs" dxfId="31" priority="50" operator="equal">
      <formula>"E"</formula>
    </cfRule>
    <cfRule type="cellIs" dxfId="30" priority="51" operator="equal">
      <formula>"o"</formula>
    </cfRule>
  </conditionalFormatting>
  <conditionalFormatting sqref="F62:F117">
    <cfRule type="cellIs" dxfId="29" priority="36" operator="equal">
      <formula>"E"</formula>
    </cfRule>
    <cfRule type="cellIs" dxfId="28" priority="37" operator="equal">
      <formula>"o"</formula>
    </cfRule>
    <cfRule type="cellIs" dxfId="27" priority="35" operator="equal">
      <formula>"F"</formula>
    </cfRule>
  </conditionalFormatting>
  <conditionalFormatting sqref="F81:F82">
    <cfRule type="cellIs" dxfId="26" priority="32" stopIfTrue="1" operator="equal">
      <formula>"sun"</formula>
    </cfRule>
    <cfRule type="cellIs" dxfId="25" priority="30" stopIfTrue="1" operator="equal">
      <formula>26</formula>
    </cfRule>
    <cfRule type="cellIs" dxfId="24" priority="29" stopIfTrue="1" operator="equal">
      <formula>"off"</formula>
    </cfRule>
    <cfRule type="cellIs" dxfId="23" priority="28" stopIfTrue="1" operator="equal">
      <formula>"."</formula>
    </cfRule>
    <cfRule type="cellIs" dxfId="22" priority="27" stopIfTrue="1" operator="equal">
      <formula>"sun"</formula>
    </cfRule>
    <cfRule type="cellIs" dxfId="21" priority="26" stopIfTrue="1" operator="equal">
      <formula>"sat"</formula>
    </cfRule>
    <cfRule type="cellIs" dxfId="20" priority="25" stopIfTrue="1" operator="equal">
      <formula>"旺角"</formula>
    </cfRule>
    <cfRule type="cellIs" dxfId="19" priority="24" stopIfTrue="1" operator="equal">
      <formula>"x"</formula>
    </cfRule>
    <cfRule type="cellIs" dxfId="18" priority="23" stopIfTrue="1" operator="equal">
      <formula>"x"</formula>
    </cfRule>
    <cfRule type="cellIs" dxfId="17" priority="22" stopIfTrue="1" operator="equal">
      <formula>"off"</formula>
    </cfRule>
    <cfRule type="cellIs" dxfId="16" priority="21" stopIfTrue="1" operator="equal">
      <formula>"."</formula>
    </cfRule>
    <cfRule type="cellIs" dxfId="15" priority="31" stopIfTrue="1" operator="equal">
      <formula>25</formula>
    </cfRule>
    <cfRule type="cellIs" dxfId="14" priority="34" operator="equal">
      <formula>"."</formula>
    </cfRule>
    <cfRule type="cellIs" dxfId="13" priority="33" stopIfTrue="1" operator="equal">
      <formula>"sat"</formula>
    </cfRule>
  </conditionalFormatting>
  <conditionalFormatting sqref="F96">
    <cfRule type="cellIs" dxfId="12" priority="19" operator="equal">
      <formula>"E"</formula>
    </cfRule>
    <cfRule type="cellIs" dxfId="11" priority="20" operator="equal">
      <formula>"o"</formula>
    </cfRule>
    <cfRule type="cellIs" dxfId="10" priority="18" operator="equal">
      <formula>"F"</formula>
    </cfRule>
  </conditionalFormatting>
  <conditionalFormatting sqref="F111">
    <cfRule type="cellIs" dxfId="9" priority="14" operator="equal">
      <formula>"o"</formula>
    </cfRule>
    <cfRule type="cellIs" dxfId="8" priority="13" operator="equal">
      <formula>"E"</formula>
    </cfRule>
    <cfRule type="cellIs" dxfId="7" priority="12" operator="equal">
      <formula>"F"</formula>
    </cfRule>
  </conditionalFormatting>
  <conditionalFormatting sqref="F113:F114">
    <cfRule type="cellIs" dxfId="6" priority="10" operator="equal">
      <formula>"E"</formula>
    </cfRule>
    <cfRule type="cellIs" dxfId="5" priority="11" operator="equal">
      <formula>"o"</formula>
    </cfRule>
    <cfRule type="cellIs" dxfId="4" priority="9" operator="equal">
      <formula>"F"</formula>
    </cfRule>
  </conditionalFormatting>
  <conditionalFormatting sqref="H3:H186">
    <cfRule type="cellIs" dxfId="3" priority="5" operator="equal">
      <formula>"o"</formula>
    </cfRule>
    <cfRule type="cellIs" dxfId="2" priority="4" operator="equal">
      <formula>"E"</formula>
    </cfRule>
    <cfRule type="cellIs" dxfId="1" priority="3" operator="equal">
      <formula>"F"</formula>
    </cfRule>
  </conditionalFormatting>
  <conditionalFormatting sqref="J3:J61">
    <cfRule type="cellIs" dxfId="0" priority="1" operator="greaterThan">
      <formula>60</formula>
    </cfRule>
  </conditionalFormatting>
  <pageMargins left="0.7" right="0.7" top="0.75" bottom="0.75" header="0.3" footer="0.3"/>
  <pageSetup paperSize="9" scale="24" fitToHeight="0"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3</vt:i4>
      </vt:variant>
    </vt:vector>
  </HeadingPairs>
  <TitlesOfParts>
    <vt:vector size="9" baseType="lpstr">
      <vt:lpstr>1-10</vt:lpstr>
      <vt:lpstr>1-10 (2)</vt:lpstr>
      <vt:lpstr>Total</vt:lpstr>
      <vt:lpstr>工作表1</vt:lpstr>
      <vt:lpstr>工作表3</vt:lpstr>
      <vt:lpstr>工作表2</vt:lpstr>
      <vt:lpstr>'1-10'!Print_Area</vt:lpstr>
      <vt:lpstr>'1-10 (2)'!Print_Area</vt:lpstr>
      <vt:lpstr>Total!Print_Area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iwall@Ivan</dc:creator>
  <dc:description/>
  <cp:lastModifiedBy>a1334</cp:lastModifiedBy>
  <cp:revision>0</cp:revision>
  <cp:lastPrinted>2026-04-16T04:55:06Z</cp:lastPrinted>
  <dcterms:created xsi:type="dcterms:W3CDTF">2011-10-12T05:55:40Z</dcterms:created>
  <dcterms:modified xsi:type="dcterms:W3CDTF">2026-05-12T05:18:31Z</dcterms:modified>
  <dc:language>zh-HK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